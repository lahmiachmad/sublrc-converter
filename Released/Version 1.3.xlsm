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7C19011B-2F35-4842-8D76-300E31251EE7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DASHBOARD" sheetId="1" r:id="rId1"/>
    <sheet name="LRC TO ASS" sheetId="2" r:id="rId2"/>
    <sheet name="ASS TO LRC" sheetId="6" r:id="rId3"/>
    <sheet name="ASS START SYNC" sheetId="7" r:id="rId4"/>
    <sheet name="ASS END SYNC" sheetId="11" r:id="rId5"/>
    <sheet name="Temp" sheetId="9" state="hidden" r:id="rId6"/>
    <sheet name="ABOUT" sheetId="5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07" i="11" l="1"/>
  <c r="C1006" i="11"/>
  <c r="C1005" i="11"/>
  <c r="O1001" i="9" s="1"/>
  <c r="C1004" i="11"/>
  <c r="O1000" i="9" s="1"/>
  <c r="C1003" i="11"/>
  <c r="C1002" i="11"/>
  <c r="C1001" i="11"/>
  <c r="O997" i="9" s="1"/>
  <c r="C1000" i="11"/>
  <c r="O996" i="9" s="1"/>
  <c r="C999" i="11"/>
  <c r="C998" i="11"/>
  <c r="C997" i="11"/>
  <c r="O993" i="9" s="1"/>
  <c r="C996" i="11"/>
  <c r="O992" i="9" s="1"/>
  <c r="C995" i="11"/>
  <c r="C994" i="11"/>
  <c r="C993" i="11"/>
  <c r="O989" i="9" s="1"/>
  <c r="C992" i="11"/>
  <c r="O988" i="9" s="1"/>
  <c r="C991" i="11"/>
  <c r="C990" i="11"/>
  <c r="C989" i="11"/>
  <c r="O985" i="9" s="1"/>
  <c r="C988" i="11"/>
  <c r="O984" i="9" s="1"/>
  <c r="C987" i="11"/>
  <c r="C986" i="11"/>
  <c r="C985" i="11"/>
  <c r="O981" i="9" s="1"/>
  <c r="C984" i="11"/>
  <c r="O980" i="9" s="1"/>
  <c r="C983" i="11"/>
  <c r="C982" i="11"/>
  <c r="C981" i="11"/>
  <c r="C980" i="11"/>
  <c r="C979" i="11"/>
  <c r="C978" i="11"/>
  <c r="C977" i="11"/>
  <c r="C976" i="11"/>
  <c r="C975" i="11"/>
  <c r="C974" i="11"/>
  <c r="C973" i="11"/>
  <c r="C972" i="11"/>
  <c r="C971" i="11"/>
  <c r="C970" i="11"/>
  <c r="C969" i="11"/>
  <c r="C968" i="11"/>
  <c r="C967" i="11"/>
  <c r="C966" i="11"/>
  <c r="C965" i="11"/>
  <c r="C964" i="11"/>
  <c r="C963" i="11"/>
  <c r="C962" i="11"/>
  <c r="C961" i="11"/>
  <c r="C960" i="11"/>
  <c r="C959" i="11"/>
  <c r="C958" i="11"/>
  <c r="C957" i="11"/>
  <c r="C956" i="11"/>
  <c r="C955" i="11"/>
  <c r="C954" i="11"/>
  <c r="C953" i="11"/>
  <c r="C952" i="11"/>
  <c r="C951" i="11"/>
  <c r="C950" i="11"/>
  <c r="C949" i="11"/>
  <c r="C948" i="11"/>
  <c r="C947" i="11"/>
  <c r="C946" i="11"/>
  <c r="C945" i="11"/>
  <c r="C944" i="11"/>
  <c r="C943" i="11"/>
  <c r="C942" i="11"/>
  <c r="C941" i="11"/>
  <c r="C940" i="11"/>
  <c r="C939" i="11"/>
  <c r="C938" i="11"/>
  <c r="C937" i="11"/>
  <c r="C936" i="11"/>
  <c r="C935" i="11"/>
  <c r="C934" i="11"/>
  <c r="C933" i="11"/>
  <c r="C932" i="11"/>
  <c r="C931" i="11"/>
  <c r="C930" i="11"/>
  <c r="C929" i="11"/>
  <c r="C928" i="11"/>
  <c r="C927" i="11"/>
  <c r="C926" i="11"/>
  <c r="C925" i="11"/>
  <c r="C924" i="11"/>
  <c r="C923" i="11"/>
  <c r="O919" i="9" s="1"/>
  <c r="C922" i="11"/>
  <c r="C921" i="11"/>
  <c r="O917" i="9" s="1"/>
  <c r="C920" i="11"/>
  <c r="C919" i="11"/>
  <c r="O915" i="9" s="1"/>
  <c r="C918" i="11"/>
  <c r="C917" i="11"/>
  <c r="O913" i="9" s="1"/>
  <c r="C916" i="11"/>
  <c r="C915" i="11"/>
  <c r="O911" i="9" s="1"/>
  <c r="C914" i="11"/>
  <c r="C913" i="11"/>
  <c r="O909" i="9" s="1"/>
  <c r="C912" i="11"/>
  <c r="C911" i="11"/>
  <c r="O907" i="9" s="1"/>
  <c r="C910" i="11"/>
  <c r="C909" i="11"/>
  <c r="O905" i="9" s="1"/>
  <c r="C908" i="11"/>
  <c r="C907" i="11"/>
  <c r="O903" i="9" s="1"/>
  <c r="C906" i="11"/>
  <c r="C905" i="11"/>
  <c r="O901" i="9" s="1"/>
  <c r="C904" i="11"/>
  <c r="C903" i="11"/>
  <c r="O899" i="9" s="1"/>
  <c r="C902" i="11"/>
  <c r="C901" i="11"/>
  <c r="O897" i="9" s="1"/>
  <c r="C900" i="11"/>
  <c r="C899" i="11"/>
  <c r="O895" i="9" s="1"/>
  <c r="C898" i="11"/>
  <c r="C897" i="11"/>
  <c r="O893" i="9" s="1"/>
  <c r="C896" i="11"/>
  <c r="C895" i="11"/>
  <c r="O891" i="9" s="1"/>
  <c r="C894" i="11"/>
  <c r="C893" i="11"/>
  <c r="O889" i="9" s="1"/>
  <c r="C892" i="11"/>
  <c r="C891" i="11"/>
  <c r="O887" i="9" s="1"/>
  <c r="C890" i="11"/>
  <c r="C889" i="11"/>
  <c r="O885" i="9" s="1"/>
  <c r="C888" i="11"/>
  <c r="C887" i="11"/>
  <c r="O883" i="9" s="1"/>
  <c r="C886" i="11"/>
  <c r="C885" i="11"/>
  <c r="O881" i="9" s="1"/>
  <c r="C884" i="11"/>
  <c r="C883" i="11"/>
  <c r="O879" i="9" s="1"/>
  <c r="C882" i="11"/>
  <c r="C881" i="11"/>
  <c r="O877" i="9" s="1"/>
  <c r="C880" i="11"/>
  <c r="C879" i="11"/>
  <c r="O875" i="9" s="1"/>
  <c r="C878" i="11"/>
  <c r="C877" i="11"/>
  <c r="O873" i="9" s="1"/>
  <c r="C876" i="11"/>
  <c r="C875" i="11"/>
  <c r="O871" i="9" s="1"/>
  <c r="C874" i="11"/>
  <c r="C873" i="11"/>
  <c r="O869" i="9" s="1"/>
  <c r="C872" i="11"/>
  <c r="C871" i="11"/>
  <c r="O867" i="9" s="1"/>
  <c r="C870" i="11"/>
  <c r="C869" i="11"/>
  <c r="O865" i="9" s="1"/>
  <c r="C868" i="11"/>
  <c r="C867" i="11"/>
  <c r="O863" i="9" s="1"/>
  <c r="C866" i="11"/>
  <c r="C865" i="11"/>
  <c r="O861" i="9" s="1"/>
  <c r="C864" i="11"/>
  <c r="C863" i="11"/>
  <c r="O859" i="9" s="1"/>
  <c r="C862" i="11"/>
  <c r="C861" i="11"/>
  <c r="O857" i="9" s="1"/>
  <c r="C860" i="11"/>
  <c r="C859" i="11"/>
  <c r="O855" i="9" s="1"/>
  <c r="C858" i="11"/>
  <c r="C857" i="11"/>
  <c r="O853" i="9" s="1"/>
  <c r="C856" i="11"/>
  <c r="C855" i="11"/>
  <c r="O851" i="9" s="1"/>
  <c r="C854" i="11"/>
  <c r="C853" i="11"/>
  <c r="O849" i="9" s="1"/>
  <c r="C852" i="11"/>
  <c r="C851" i="11"/>
  <c r="O847" i="9" s="1"/>
  <c r="C850" i="11"/>
  <c r="C849" i="11"/>
  <c r="O845" i="9" s="1"/>
  <c r="C848" i="11"/>
  <c r="C847" i="11"/>
  <c r="O843" i="9" s="1"/>
  <c r="C846" i="11"/>
  <c r="C845" i="11"/>
  <c r="O841" i="9" s="1"/>
  <c r="C844" i="11"/>
  <c r="C843" i="11"/>
  <c r="O839" i="9" s="1"/>
  <c r="C842" i="11"/>
  <c r="C841" i="11"/>
  <c r="O837" i="9" s="1"/>
  <c r="C840" i="11"/>
  <c r="C839" i="11"/>
  <c r="O835" i="9" s="1"/>
  <c r="C838" i="11"/>
  <c r="C837" i="11"/>
  <c r="O833" i="9" s="1"/>
  <c r="C836" i="11"/>
  <c r="C835" i="11"/>
  <c r="O831" i="9" s="1"/>
  <c r="C834" i="11"/>
  <c r="C833" i="11"/>
  <c r="O829" i="9" s="1"/>
  <c r="C832" i="11"/>
  <c r="C831" i="11"/>
  <c r="O827" i="9" s="1"/>
  <c r="C830" i="11"/>
  <c r="C829" i="11"/>
  <c r="O825" i="9" s="1"/>
  <c r="C828" i="11"/>
  <c r="C827" i="11"/>
  <c r="O823" i="9" s="1"/>
  <c r="C826" i="11"/>
  <c r="C825" i="11"/>
  <c r="O821" i="9" s="1"/>
  <c r="C824" i="11"/>
  <c r="C823" i="11"/>
  <c r="O819" i="9" s="1"/>
  <c r="C822" i="11"/>
  <c r="C821" i="11"/>
  <c r="O817" i="9" s="1"/>
  <c r="C820" i="11"/>
  <c r="C819" i="11"/>
  <c r="O815" i="9" s="1"/>
  <c r="C818" i="11"/>
  <c r="C817" i="11"/>
  <c r="O813" i="9" s="1"/>
  <c r="C816" i="11"/>
  <c r="C815" i="11"/>
  <c r="O811" i="9" s="1"/>
  <c r="C814" i="11"/>
  <c r="C813" i="11"/>
  <c r="O809" i="9" s="1"/>
  <c r="C812" i="11"/>
  <c r="C811" i="11"/>
  <c r="O807" i="9" s="1"/>
  <c r="C810" i="11"/>
  <c r="C809" i="11"/>
  <c r="O805" i="9" s="1"/>
  <c r="C808" i="11"/>
  <c r="C807" i="11"/>
  <c r="O803" i="9" s="1"/>
  <c r="C806" i="11"/>
  <c r="C805" i="11"/>
  <c r="O801" i="9" s="1"/>
  <c r="C804" i="11"/>
  <c r="C803" i="11"/>
  <c r="O799" i="9" s="1"/>
  <c r="C802" i="11"/>
  <c r="C801" i="11"/>
  <c r="O797" i="9" s="1"/>
  <c r="C800" i="11"/>
  <c r="C799" i="11"/>
  <c r="O795" i="9" s="1"/>
  <c r="C798" i="11"/>
  <c r="C797" i="11"/>
  <c r="O793" i="9" s="1"/>
  <c r="C796" i="11"/>
  <c r="C795" i="11"/>
  <c r="O791" i="9" s="1"/>
  <c r="C794" i="11"/>
  <c r="C793" i="11"/>
  <c r="O789" i="9" s="1"/>
  <c r="C792" i="11"/>
  <c r="C791" i="11"/>
  <c r="O787" i="9" s="1"/>
  <c r="C790" i="11"/>
  <c r="C789" i="11"/>
  <c r="O785" i="9" s="1"/>
  <c r="C788" i="11"/>
  <c r="C787" i="11"/>
  <c r="O783" i="9" s="1"/>
  <c r="C786" i="11"/>
  <c r="C785" i="11"/>
  <c r="O781" i="9" s="1"/>
  <c r="C784" i="11"/>
  <c r="C783" i="11"/>
  <c r="O779" i="9" s="1"/>
  <c r="C782" i="11"/>
  <c r="C781" i="11"/>
  <c r="O777" i="9" s="1"/>
  <c r="C780" i="11"/>
  <c r="C779" i="11"/>
  <c r="O775" i="9" s="1"/>
  <c r="C778" i="11"/>
  <c r="C777" i="11"/>
  <c r="O773" i="9" s="1"/>
  <c r="C776" i="11"/>
  <c r="C775" i="11"/>
  <c r="O771" i="9" s="1"/>
  <c r="C774" i="11"/>
  <c r="C773" i="11"/>
  <c r="O769" i="9" s="1"/>
  <c r="C772" i="11"/>
  <c r="C771" i="11"/>
  <c r="O767" i="9" s="1"/>
  <c r="C770" i="11"/>
  <c r="C769" i="11"/>
  <c r="O765" i="9" s="1"/>
  <c r="C768" i="11"/>
  <c r="C767" i="11"/>
  <c r="O763" i="9" s="1"/>
  <c r="C766" i="11"/>
  <c r="C765" i="11"/>
  <c r="O761" i="9" s="1"/>
  <c r="C764" i="11"/>
  <c r="C763" i="11"/>
  <c r="O759" i="9" s="1"/>
  <c r="C762" i="11"/>
  <c r="C761" i="11"/>
  <c r="O757" i="9" s="1"/>
  <c r="C760" i="11"/>
  <c r="C759" i="11"/>
  <c r="O755" i="9" s="1"/>
  <c r="C758" i="11"/>
  <c r="C757" i="11"/>
  <c r="O753" i="9" s="1"/>
  <c r="C756" i="11"/>
  <c r="C755" i="11"/>
  <c r="O751" i="9" s="1"/>
  <c r="C754" i="11"/>
  <c r="C753" i="11"/>
  <c r="O749" i="9" s="1"/>
  <c r="C752" i="11"/>
  <c r="C751" i="11"/>
  <c r="O747" i="9" s="1"/>
  <c r="C750" i="11"/>
  <c r="C749" i="11"/>
  <c r="O745" i="9" s="1"/>
  <c r="C748" i="11"/>
  <c r="C747" i="11"/>
  <c r="O743" i="9" s="1"/>
  <c r="C746" i="11"/>
  <c r="C745" i="11"/>
  <c r="O741" i="9" s="1"/>
  <c r="C744" i="11"/>
  <c r="C743" i="11"/>
  <c r="O739" i="9" s="1"/>
  <c r="C742" i="11"/>
  <c r="C741" i="11"/>
  <c r="O737" i="9" s="1"/>
  <c r="C740" i="11"/>
  <c r="C739" i="11"/>
  <c r="O735" i="9" s="1"/>
  <c r="C738" i="11"/>
  <c r="C737" i="11"/>
  <c r="O733" i="9" s="1"/>
  <c r="C736" i="11"/>
  <c r="C735" i="11"/>
  <c r="O731" i="9" s="1"/>
  <c r="C734" i="11"/>
  <c r="C733" i="11"/>
  <c r="O729" i="9" s="1"/>
  <c r="C732" i="11"/>
  <c r="C731" i="11"/>
  <c r="O727" i="9" s="1"/>
  <c r="C730" i="11"/>
  <c r="C729" i="11"/>
  <c r="O725" i="9" s="1"/>
  <c r="C728" i="11"/>
  <c r="C727" i="11"/>
  <c r="O723" i="9" s="1"/>
  <c r="C726" i="11"/>
  <c r="C725" i="11"/>
  <c r="O721" i="9" s="1"/>
  <c r="C724" i="11"/>
  <c r="C723" i="11"/>
  <c r="O719" i="9" s="1"/>
  <c r="C722" i="11"/>
  <c r="C721" i="11"/>
  <c r="O717" i="9" s="1"/>
  <c r="C720" i="11"/>
  <c r="C719" i="11"/>
  <c r="O715" i="9" s="1"/>
  <c r="C718" i="11"/>
  <c r="C717" i="11"/>
  <c r="O713" i="9" s="1"/>
  <c r="C716" i="11"/>
  <c r="C715" i="11"/>
  <c r="O711" i="9" s="1"/>
  <c r="C714" i="11"/>
  <c r="C713" i="11"/>
  <c r="O709" i="9" s="1"/>
  <c r="C712" i="11"/>
  <c r="C711" i="11"/>
  <c r="O707" i="9" s="1"/>
  <c r="C710" i="11"/>
  <c r="C709" i="11"/>
  <c r="O705" i="9" s="1"/>
  <c r="C708" i="11"/>
  <c r="C707" i="11"/>
  <c r="O703" i="9" s="1"/>
  <c r="C706" i="11"/>
  <c r="C705" i="11"/>
  <c r="O701" i="9" s="1"/>
  <c r="C704" i="11"/>
  <c r="C703" i="11"/>
  <c r="O699" i="9" s="1"/>
  <c r="C702" i="11"/>
  <c r="C701" i="11"/>
  <c r="O697" i="9" s="1"/>
  <c r="C700" i="11"/>
  <c r="C699" i="11"/>
  <c r="O695" i="9" s="1"/>
  <c r="C698" i="11"/>
  <c r="C697" i="11"/>
  <c r="O693" i="9" s="1"/>
  <c r="C696" i="11"/>
  <c r="C695" i="11"/>
  <c r="O691" i="9" s="1"/>
  <c r="C694" i="11"/>
  <c r="C693" i="11"/>
  <c r="O689" i="9" s="1"/>
  <c r="C692" i="11"/>
  <c r="C691" i="11"/>
  <c r="C690" i="11"/>
  <c r="C689" i="11"/>
  <c r="C688" i="11"/>
  <c r="C687" i="11"/>
  <c r="C686" i="11"/>
  <c r="C685" i="11"/>
  <c r="C684" i="11"/>
  <c r="C683" i="11"/>
  <c r="C682" i="11"/>
  <c r="C681" i="11"/>
  <c r="C680" i="11"/>
  <c r="C679" i="11"/>
  <c r="C678" i="11"/>
  <c r="C677" i="11"/>
  <c r="C676" i="11"/>
  <c r="C675" i="11"/>
  <c r="C674" i="11"/>
  <c r="C673" i="11"/>
  <c r="C672" i="11"/>
  <c r="C671" i="11"/>
  <c r="C670" i="11"/>
  <c r="C669" i="11"/>
  <c r="C668" i="11"/>
  <c r="C667" i="11"/>
  <c r="C666" i="11"/>
  <c r="C665" i="11"/>
  <c r="C664" i="11"/>
  <c r="C663" i="11"/>
  <c r="C662" i="11"/>
  <c r="C661" i="11"/>
  <c r="C660" i="11"/>
  <c r="C659" i="11"/>
  <c r="C658" i="11"/>
  <c r="C657" i="11"/>
  <c r="C656" i="11"/>
  <c r="C655" i="11"/>
  <c r="C654" i="11"/>
  <c r="C653" i="11"/>
  <c r="C652" i="11"/>
  <c r="C651" i="11"/>
  <c r="C650" i="11"/>
  <c r="C649" i="11"/>
  <c r="C648" i="11"/>
  <c r="C647" i="11"/>
  <c r="C646" i="11"/>
  <c r="C645" i="11"/>
  <c r="C644" i="11"/>
  <c r="C643" i="11"/>
  <c r="C642" i="11"/>
  <c r="C641" i="11"/>
  <c r="C640" i="11"/>
  <c r="C639" i="11"/>
  <c r="C638" i="11"/>
  <c r="C637" i="11"/>
  <c r="C636" i="11"/>
  <c r="C635" i="11"/>
  <c r="C634" i="11"/>
  <c r="C633" i="11"/>
  <c r="C632" i="11"/>
  <c r="C631" i="11"/>
  <c r="C630" i="11"/>
  <c r="C629" i="11"/>
  <c r="C628" i="11"/>
  <c r="C627" i="11"/>
  <c r="C626" i="11"/>
  <c r="C625" i="11"/>
  <c r="C624" i="11"/>
  <c r="C623" i="11"/>
  <c r="C622" i="11"/>
  <c r="C621" i="11"/>
  <c r="C620" i="11"/>
  <c r="C619" i="11"/>
  <c r="C618" i="11"/>
  <c r="C617" i="11"/>
  <c r="C616" i="11"/>
  <c r="C615" i="11"/>
  <c r="C614" i="11"/>
  <c r="C613" i="11"/>
  <c r="C612" i="11"/>
  <c r="C611" i="11"/>
  <c r="C610" i="11"/>
  <c r="C609" i="11"/>
  <c r="C608" i="11"/>
  <c r="C607" i="11"/>
  <c r="C606" i="11"/>
  <c r="C605" i="11"/>
  <c r="C604" i="11"/>
  <c r="C603" i="11"/>
  <c r="C602" i="11"/>
  <c r="C601" i="11"/>
  <c r="C600" i="11"/>
  <c r="C599" i="11"/>
  <c r="C598" i="11"/>
  <c r="C597" i="11"/>
  <c r="C596" i="11"/>
  <c r="C595" i="11"/>
  <c r="C594" i="11"/>
  <c r="C593" i="11"/>
  <c r="C592" i="11"/>
  <c r="C591" i="11"/>
  <c r="C590" i="11"/>
  <c r="C589" i="11"/>
  <c r="C588" i="11"/>
  <c r="C587" i="11"/>
  <c r="C586" i="11"/>
  <c r="C585" i="11"/>
  <c r="C584" i="11"/>
  <c r="C583" i="11"/>
  <c r="C582" i="11"/>
  <c r="C581" i="11"/>
  <c r="C580" i="11"/>
  <c r="C579" i="11"/>
  <c r="C578" i="11"/>
  <c r="C577" i="11"/>
  <c r="C576" i="11"/>
  <c r="C575" i="11"/>
  <c r="C574" i="11"/>
  <c r="C573" i="11"/>
  <c r="C572" i="11"/>
  <c r="C571" i="11"/>
  <c r="C570" i="11"/>
  <c r="C569" i="11"/>
  <c r="C568" i="11"/>
  <c r="C567" i="11"/>
  <c r="C566" i="11"/>
  <c r="C565" i="11"/>
  <c r="C564" i="11"/>
  <c r="C563" i="11"/>
  <c r="C562" i="11"/>
  <c r="C561" i="11"/>
  <c r="C560" i="11"/>
  <c r="C559" i="11"/>
  <c r="C558" i="11"/>
  <c r="C557" i="11"/>
  <c r="C556" i="11"/>
  <c r="C555" i="11"/>
  <c r="C554" i="11"/>
  <c r="C553" i="11"/>
  <c r="C552" i="11"/>
  <c r="C551" i="11"/>
  <c r="C550" i="11"/>
  <c r="C549" i="11"/>
  <c r="C548" i="11"/>
  <c r="C547" i="11"/>
  <c r="C546" i="11"/>
  <c r="C545" i="11"/>
  <c r="C544" i="11"/>
  <c r="C543" i="11"/>
  <c r="C542" i="11"/>
  <c r="C541" i="11"/>
  <c r="C540" i="11"/>
  <c r="C539" i="11"/>
  <c r="C538" i="11"/>
  <c r="C537" i="11"/>
  <c r="C536" i="11"/>
  <c r="C535" i="11"/>
  <c r="C534" i="11"/>
  <c r="C533" i="11"/>
  <c r="C532" i="11"/>
  <c r="C531" i="11"/>
  <c r="C530" i="11"/>
  <c r="C529" i="11"/>
  <c r="C528" i="11"/>
  <c r="C527" i="11"/>
  <c r="C526" i="11"/>
  <c r="C525" i="11"/>
  <c r="C524" i="11"/>
  <c r="C523" i="11"/>
  <c r="C522" i="11"/>
  <c r="C521" i="11"/>
  <c r="C520" i="11"/>
  <c r="C519" i="11"/>
  <c r="C518" i="11"/>
  <c r="C517" i="11"/>
  <c r="C516" i="11"/>
  <c r="C515" i="11"/>
  <c r="C514" i="11"/>
  <c r="C513" i="11"/>
  <c r="C512" i="11"/>
  <c r="C511" i="11"/>
  <c r="C510" i="11"/>
  <c r="C509" i="11"/>
  <c r="C508" i="11"/>
  <c r="C507" i="11"/>
  <c r="C506" i="11"/>
  <c r="C505" i="11"/>
  <c r="C504" i="11"/>
  <c r="C503" i="11"/>
  <c r="C502" i="11"/>
  <c r="C501" i="11"/>
  <c r="C500" i="11"/>
  <c r="C499" i="11"/>
  <c r="C498" i="11"/>
  <c r="C497" i="11"/>
  <c r="C496" i="11"/>
  <c r="C495" i="11"/>
  <c r="C494" i="11"/>
  <c r="C493" i="11"/>
  <c r="C492" i="11"/>
  <c r="C491" i="11"/>
  <c r="C490" i="11"/>
  <c r="C489" i="11"/>
  <c r="C488" i="11"/>
  <c r="C487" i="11"/>
  <c r="C486" i="11"/>
  <c r="C485" i="11"/>
  <c r="C484" i="11"/>
  <c r="C483" i="11"/>
  <c r="C482" i="11"/>
  <c r="C481" i="11"/>
  <c r="C480" i="11"/>
  <c r="C479" i="11"/>
  <c r="C478" i="11"/>
  <c r="C477" i="11"/>
  <c r="C476" i="11"/>
  <c r="C475" i="11"/>
  <c r="C474" i="11"/>
  <c r="C473" i="11"/>
  <c r="C472" i="11"/>
  <c r="C471" i="11"/>
  <c r="C470" i="11"/>
  <c r="C469" i="11"/>
  <c r="C468" i="11"/>
  <c r="C467" i="11"/>
  <c r="C466" i="11"/>
  <c r="C465" i="11"/>
  <c r="C464" i="11"/>
  <c r="C463" i="11"/>
  <c r="C462" i="11"/>
  <c r="C461" i="11"/>
  <c r="C460" i="11"/>
  <c r="C459" i="11"/>
  <c r="C458" i="11"/>
  <c r="C457" i="11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C385" i="11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313" i="11"/>
  <c r="C312" i="11"/>
  <c r="C311" i="11"/>
  <c r="C310" i="11"/>
  <c r="C309" i="11"/>
  <c r="C308" i="11"/>
  <c r="O304" i="9" s="1"/>
  <c r="C307" i="11"/>
  <c r="C306" i="11"/>
  <c r="O302" i="9" s="1"/>
  <c r="C305" i="11"/>
  <c r="C304" i="11"/>
  <c r="O300" i="9" s="1"/>
  <c r="C303" i="11"/>
  <c r="C302" i="11"/>
  <c r="O298" i="9" s="1"/>
  <c r="C301" i="11"/>
  <c r="C300" i="11"/>
  <c r="O296" i="9" s="1"/>
  <c r="C299" i="11"/>
  <c r="C298" i="11"/>
  <c r="O294" i="9" s="1"/>
  <c r="C297" i="11"/>
  <c r="C296" i="11"/>
  <c r="O292" i="9" s="1"/>
  <c r="C295" i="11"/>
  <c r="C294" i="11"/>
  <c r="O290" i="9" s="1"/>
  <c r="C293" i="11"/>
  <c r="C292" i="11"/>
  <c r="O288" i="9" s="1"/>
  <c r="C291" i="11"/>
  <c r="C290" i="11"/>
  <c r="O286" i="9" s="1"/>
  <c r="C289" i="11"/>
  <c r="C288" i="11"/>
  <c r="O284" i="9" s="1"/>
  <c r="C287" i="11"/>
  <c r="C286" i="11"/>
  <c r="O282" i="9" s="1"/>
  <c r="C285" i="11"/>
  <c r="C284" i="11"/>
  <c r="O280" i="9" s="1"/>
  <c r="C283" i="11"/>
  <c r="C282" i="11"/>
  <c r="O278" i="9" s="1"/>
  <c r="C281" i="11"/>
  <c r="C280" i="11"/>
  <c r="O276" i="9" s="1"/>
  <c r="C279" i="11"/>
  <c r="C278" i="11"/>
  <c r="O274" i="9" s="1"/>
  <c r="C277" i="11"/>
  <c r="C276" i="11"/>
  <c r="O272" i="9" s="1"/>
  <c r="C275" i="11"/>
  <c r="C274" i="11"/>
  <c r="O270" i="9" s="1"/>
  <c r="C273" i="11"/>
  <c r="C272" i="11"/>
  <c r="O268" i="9" s="1"/>
  <c r="C271" i="11"/>
  <c r="C270" i="11"/>
  <c r="O266" i="9" s="1"/>
  <c r="C269" i="11"/>
  <c r="C268" i="11"/>
  <c r="O264" i="9" s="1"/>
  <c r="C267" i="11"/>
  <c r="C266" i="11"/>
  <c r="O262" i="9" s="1"/>
  <c r="C265" i="11"/>
  <c r="C264" i="11"/>
  <c r="O260" i="9" s="1"/>
  <c r="C263" i="11"/>
  <c r="C262" i="11"/>
  <c r="O258" i="9" s="1"/>
  <c r="C261" i="11"/>
  <c r="C260" i="11"/>
  <c r="O256" i="9" s="1"/>
  <c r="C259" i="11"/>
  <c r="C258" i="11"/>
  <c r="O254" i="9" s="1"/>
  <c r="C257" i="11"/>
  <c r="C256" i="11"/>
  <c r="O252" i="9" s="1"/>
  <c r="C255" i="11"/>
  <c r="C254" i="11"/>
  <c r="O250" i="9" s="1"/>
  <c r="C253" i="11"/>
  <c r="C252" i="11"/>
  <c r="O248" i="9" s="1"/>
  <c r="C251" i="11"/>
  <c r="C250" i="11"/>
  <c r="O246" i="9" s="1"/>
  <c r="C249" i="11"/>
  <c r="C248" i="11"/>
  <c r="O244" i="9" s="1"/>
  <c r="C247" i="11"/>
  <c r="C246" i="11"/>
  <c r="O242" i="9" s="1"/>
  <c r="C245" i="11"/>
  <c r="C244" i="11"/>
  <c r="O240" i="9" s="1"/>
  <c r="C243" i="11"/>
  <c r="C242" i="11"/>
  <c r="O238" i="9" s="1"/>
  <c r="C241" i="11"/>
  <c r="C240" i="11"/>
  <c r="O236" i="9" s="1"/>
  <c r="C239" i="11"/>
  <c r="C238" i="11"/>
  <c r="O234" i="9" s="1"/>
  <c r="C237" i="11"/>
  <c r="C236" i="11"/>
  <c r="R232" i="9" s="1"/>
  <c r="C235" i="11"/>
  <c r="C234" i="11"/>
  <c r="C233" i="11"/>
  <c r="C232" i="11"/>
  <c r="C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O30" i="9" s="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A8" i="11"/>
  <c r="H1004" i="9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D67" i="7" s="1"/>
  <c r="F67" i="7" s="1"/>
  <c r="C68" i="7"/>
  <c r="D68" i="7" s="1"/>
  <c r="F68" i="7" s="1"/>
  <c r="C69" i="7"/>
  <c r="D69" i="7" s="1"/>
  <c r="F69" i="7" s="1"/>
  <c r="C70" i="7"/>
  <c r="D70" i="7" s="1"/>
  <c r="F70" i="7" s="1"/>
  <c r="C71" i="7"/>
  <c r="D71" i="7" s="1"/>
  <c r="F71" i="7" s="1"/>
  <c r="C72" i="7"/>
  <c r="D72" i="7" s="1"/>
  <c r="F72" i="7" s="1"/>
  <c r="C73" i="7"/>
  <c r="D73" i="7" s="1"/>
  <c r="C74" i="7"/>
  <c r="D74" i="7" s="1"/>
  <c r="F74" i="7" s="1"/>
  <c r="C75" i="7"/>
  <c r="D75" i="7" s="1"/>
  <c r="F75" i="7" s="1"/>
  <c r="C76" i="7"/>
  <c r="D76" i="7" s="1"/>
  <c r="F76" i="7" s="1"/>
  <c r="C77" i="7"/>
  <c r="D77" i="7" s="1"/>
  <c r="F77" i="7" s="1"/>
  <c r="C78" i="7"/>
  <c r="D78" i="7" s="1"/>
  <c r="F78" i="7" s="1"/>
  <c r="C79" i="7"/>
  <c r="D79" i="7" s="1"/>
  <c r="F79" i="7" s="1"/>
  <c r="C80" i="7"/>
  <c r="D80" i="7" s="1"/>
  <c r="F80" i="7" s="1"/>
  <c r="C81" i="7"/>
  <c r="D81" i="7" s="1"/>
  <c r="F81" i="7" s="1"/>
  <c r="C82" i="7"/>
  <c r="D82" i="7" s="1"/>
  <c r="F82" i="7" s="1"/>
  <c r="C83" i="7"/>
  <c r="D83" i="7" s="1"/>
  <c r="F83" i="7" s="1"/>
  <c r="C84" i="7"/>
  <c r="D84" i="7" s="1"/>
  <c r="F84" i="7" s="1"/>
  <c r="C85" i="7"/>
  <c r="D85" i="7" s="1"/>
  <c r="F85" i="7" s="1"/>
  <c r="C86" i="7"/>
  <c r="D86" i="7" s="1"/>
  <c r="F86" i="7" s="1"/>
  <c r="C87" i="7"/>
  <c r="D87" i="7" s="1"/>
  <c r="F87" i="7" s="1"/>
  <c r="C88" i="7"/>
  <c r="D88" i="7" s="1"/>
  <c r="F88" i="7" s="1"/>
  <c r="C89" i="7"/>
  <c r="D89" i="7" s="1"/>
  <c r="F89" i="7" s="1"/>
  <c r="C90" i="7"/>
  <c r="D90" i="7" s="1"/>
  <c r="F90" i="7" s="1"/>
  <c r="C91" i="7"/>
  <c r="D91" i="7" s="1"/>
  <c r="F91" i="7" s="1"/>
  <c r="C92" i="7"/>
  <c r="D92" i="7" s="1"/>
  <c r="F92" i="7" s="1"/>
  <c r="C93" i="7"/>
  <c r="D93" i="7" s="1"/>
  <c r="F93" i="7" s="1"/>
  <c r="C94" i="7"/>
  <c r="D94" i="7" s="1"/>
  <c r="F94" i="7" s="1"/>
  <c r="C95" i="7"/>
  <c r="D95" i="7" s="1"/>
  <c r="F95" i="7" s="1"/>
  <c r="C96" i="7"/>
  <c r="D96" i="7" s="1"/>
  <c r="F96" i="7" s="1"/>
  <c r="C97" i="7"/>
  <c r="D97" i="7" s="1"/>
  <c r="F97" i="7" s="1"/>
  <c r="C98" i="7"/>
  <c r="D98" i="7" s="1"/>
  <c r="F98" i="7" s="1"/>
  <c r="C99" i="7"/>
  <c r="D99" i="7" s="1"/>
  <c r="F99" i="7" s="1"/>
  <c r="C100" i="7"/>
  <c r="D100" i="7" s="1"/>
  <c r="F100" i="7" s="1"/>
  <c r="C101" i="7"/>
  <c r="D101" i="7" s="1"/>
  <c r="F101" i="7" s="1"/>
  <c r="C102" i="7"/>
  <c r="D102" i="7" s="1"/>
  <c r="F102" i="7" s="1"/>
  <c r="C103" i="7"/>
  <c r="D103" i="7" s="1"/>
  <c r="F103" i="7" s="1"/>
  <c r="C104" i="7"/>
  <c r="D104" i="7" s="1"/>
  <c r="F104" i="7" s="1"/>
  <c r="C105" i="7"/>
  <c r="D105" i="7" s="1"/>
  <c r="C106" i="7"/>
  <c r="D106" i="7" s="1"/>
  <c r="F106" i="7" s="1"/>
  <c r="C107" i="7"/>
  <c r="D107" i="7" s="1"/>
  <c r="F107" i="7" s="1"/>
  <c r="C108" i="7"/>
  <c r="D108" i="7" s="1"/>
  <c r="F108" i="7" s="1"/>
  <c r="C109" i="7"/>
  <c r="D109" i="7" s="1"/>
  <c r="F109" i="7" s="1"/>
  <c r="C110" i="7"/>
  <c r="D110" i="7" s="1"/>
  <c r="F110" i="7" s="1"/>
  <c r="C111" i="7"/>
  <c r="D111" i="7" s="1"/>
  <c r="F111" i="7" s="1"/>
  <c r="C112" i="7"/>
  <c r="D112" i="7" s="1"/>
  <c r="F112" i="7" s="1"/>
  <c r="C113" i="7"/>
  <c r="D113" i="7" s="1"/>
  <c r="F113" i="7" s="1"/>
  <c r="C114" i="7"/>
  <c r="D114" i="7" s="1"/>
  <c r="F114" i="7" s="1"/>
  <c r="C115" i="7"/>
  <c r="D115" i="7" s="1"/>
  <c r="F115" i="7" s="1"/>
  <c r="C116" i="7"/>
  <c r="D116" i="7" s="1"/>
  <c r="F116" i="7" s="1"/>
  <c r="C117" i="7"/>
  <c r="D117" i="7" s="1"/>
  <c r="F117" i="7" s="1"/>
  <c r="C118" i="7"/>
  <c r="D118" i="7" s="1"/>
  <c r="F118" i="7" s="1"/>
  <c r="C119" i="7"/>
  <c r="D119" i="7" s="1"/>
  <c r="F119" i="7" s="1"/>
  <c r="C120" i="7"/>
  <c r="D120" i="7" s="1"/>
  <c r="F120" i="7" s="1"/>
  <c r="C121" i="7"/>
  <c r="D121" i="7" s="1"/>
  <c r="F121" i="7" s="1"/>
  <c r="C122" i="7"/>
  <c r="D122" i="7" s="1"/>
  <c r="F122" i="7" s="1"/>
  <c r="C123" i="7"/>
  <c r="D123" i="7" s="1"/>
  <c r="F123" i="7" s="1"/>
  <c r="C124" i="7"/>
  <c r="D124" i="7" s="1"/>
  <c r="F124" i="7" s="1"/>
  <c r="C125" i="7"/>
  <c r="D125" i="7" s="1"/>
  <c r="F125" i="7" s="1"/>
  <c r="C126" i="7"/>
  <c r="D126" i="7" s="1"/>
  <c r="F126" i="7" s="1"/>
  <c r="C127" i="7"/>
  <c r="D127" i="7" s="1"/>
  <c r="F127" i="7" s="1"/>
  <c r="C128" i="7"/>
  <c r="D128" i="7" s="1"/>
  <c r="F128" i="7" s="1"/>
  <c r="C129" i="7"/>
  <c r="D129" i="7" s="1"/>
  <c r="F129" i="7" s="1"/>
  <c r="C130" i="7"/>
  <c r="D130" i="7" s="1"/>
  <c r="F130" i="7" s="1"/>
  <c r="C131" i="7"/>
  <c r="D131" i="7" s="1"/>
  <c r="F131" i="7" s="1"/>
  <c r="C132" i="7"/>
  <c r="D132" i="7" s="1"/>
  <c r="F132" i="7" s="1"/>
  <c r="C133" i="7"/>
  <c r="D133" i="7" s="1"/>
  <c r="F133" i="7" s="1"/>
  <c r="C134" i="7"/>
  <c r="D134" i="7" s="1"/>
  <c r="F134" i="7" s="1"/>
  <c r="C135" i="7"/>
  <c r="D135" i="7" s="1"/>
  <c r="F135" i="7" s="1"/>
  <c r="C136" i="7"/>
  <c r="D136" i="7" s="1"/>
  <c r="F136" i="7" s="1"/>
  <c r="C137" i="7"/>
  <c r="D137" i="7" s="1"/>
  <c r="C138" i="7"/>
  <c r="D138" i="7" s="1"/>
  <c r="F138" i="7" s="1"/>
  <c r="C139" i="7"/>
  <c r="D139" i="7" s="1"/>
  <c r="F139" i="7" s="1"/>
  <c r="C140" i="7"/>
  <c r="D140" i="7" s="1"/>
  <c r="F140" i="7" s="1"/>
  <c r="C141" i="7"/>
  <c r="D141" i="7" s="1"/>
  <c r="F141" i="7" s="1"/>
  <c r="C142" i="7"/>
  <c r="D142" i="7" s="1"/>
  <c r="F142" i="7" s="1"/>
  <c r="C143" i="7"/>
  <c r="D143" i="7" s="1"/>
  <c r="F143" i="7" s="1"/>
  <c r="C144" i="7"/>
  <c r="D144" i="7" s="1"/>
  <c r="F144" i="7" s="1"/>
  <c r="C145" i="7"/>
  <c r="D145" i="7" s="1"/>
  <c r="F145" i="7" s="1"/>
  <c r="C146" i="7"/>
  <c r="D146" i="7" s="1"/>
  <c r="F146" i="7" s="1"/>
  <c r="C147" i="7"/>
  <c r="D147" i="7" s="1"/>
  <c r="F147" i="7" s="1"/>
  <c r="C148" i="7"/>
  <c r="D148" i="7" s="1"/>
  <c r="F148" i="7" s="1"/>
  <c r="C149" i="7"/>
  <c r="D149" i="7" s="1"/>
  <c r="F149" i="7" s="1"/>
  <c r="C150" i="7"/>
  <c r="D150" i="7" s="1"/>
  <c r="F150" i="7" s="1"/>
  <c r="C151" i="7"/>
  <c r="D151" i="7" s="1"/>
  <c r="F151" i="7" s="1"/>
  <c r="C152" i="7"/>
  <c r="D152" i="7" s="1"/>
  <c r="F152" i="7" s="1"/>
  <c r="C153" i="7"/>
  <c r="D153" i="7" s="1"/>
  <c r="F153" i="7" s="1"/>
  <c r="C154" i="7"/>
  <c r="D154" i="7" s="1"/>
  <c r="F154" i="7" s="1"/>
  <c r="C155" i="7"/>
  <c r="D155" i="7" s="1"/>
  <c r="F155" i="7" s="1"/>
  <c r="C156" i="7"/>
  <c r="D156" i="7" s="1"/>
  <c r="F156" i="7" s="1"/>
  <c r="C157" i="7"/>
  <c r="D157" i="7" s="1"/>
  <c r="F157" i="7" s="1"/>
  <c r="C158" i="7"/>
  <c r="D158" i="7" s="1"/>
  <c r="F158" i="7" s="1"/>
  <c r="C159" i="7"/>
  <c r="D159" i="7" s="1"/>
  <c r="F159" i="7" s="1"/>
  <c r="C160" i="7"/>
  <c r="D160" i="7" s="1"/>
  <c r="F160" i="7" s="1"/>
  <c r="C161" i="7"/>
  <c r="D161" i="7" s="1"/>
  <c r="F161" i="7" s="1"/>
  <c r="C162" i="7"/>
  <c r="D162" i="7" s="1"/>
  <c r="F162" i="7" s="1"/>
  <c r="C163" i="7"/>
  <c r="D163" i="7" s="1"/>
  <c r="F163" i="7" s="1"/>
  <c r="C164" i="7"/>
  <c r="D164" i="7" s="1"/>
  <c r="F164" i="7" s="1"/>
  <c r="C165" i="7"/>
  <c r="D165" i="7" s="1"/>
  <c r="F165" i="7" s="1"/>
  <c r="C166" i="7"/>
  <c r="D166" i="7" s="1"/>
  <c r="F166" i="7" s="1"/>
  <c r="C167" i="7"/>
  <c r="D167" i="7" s="1"/>
  <c r="F167" i="7" s="1"/>
  <c r="C168" i="7"/>
  <c r="D168" i="7" s="1"/>
  <c r="F168" i="7" s="1"/>
  <c r="C169" i="7"/>
  <c r="D169" i="7" s="1"/>
  <c r="C170" i="7"/>
  <c r="D170" i="7" s="1"/>
  <c r="F170" i="7" s="1"/>
  <c r="C171" i="7"/>
  <c r="D171" i="7" s="1"/>
  <c r="F171" i="7" s="1"/>
  <c r="C172" i="7"/>
  <c r="D172" i="7" s="1"/>
  <c r="F172" i="7" s="1"/>
  <c r="C173" i="7"/>
  <c r="D173" i="7" s="1"/>
  <c r="F173" i="7" s="1"/>
  <c r="C174" i="7"/>
  <c r="D174" i="7" s="1"/>
  <c r="F174" i="7" s="1"/>
  <c r="C175" i="7"/>
  <c r="D175" i="7" s="1"/>
  <c r="F175" i="7" s="1"/>
  <c r="C176" i="7"/>
  <c r="D176" i="7" s="1"/>
  <c r="F176" i="7" s="1"/>
  <c r="C177" i="7"/>
  <c r="D177" i="7" s="1"/>
  <c r="F177" i="7" s="1"/>
  <c r="C178" i="7"/>
  <c r="D178" i="7" s="1"/>
  <c r="F178" i="7" s="1"/>
  <c r="C179" i="7"/>
  <c r="D179" i="7" s="1"/>
  <c r="F179" i="7" s="1"/>
  <c r="C180" i="7"/>
  <c r="D180" i="7" s="1"/>
  <c r="F180" i="7" s="1"/>
  <c r="C181" i="7"/>
  <c r="D181" i="7" s="1"/>
  <c r="F181" i="7" s="1"/>
  <c r="C182" i="7"/>
  <c r="D182" i="7" s="1"/>
  <c r="F182" i="7" s="1"/>
  <c r="C183" i="7"/>
  <c r="D183" i="7" s="1"/>
  <c r="F183" i="7" s="1"/>
  <c r="C184" i="7"/>
  <c r="D184" i="7" s="1"/>
  <c r="F184" i="7" s="1"/>
  <c r="C185" i="7"/>
  <c r="D185" i="7" s="1"/>
  <c r="F185" i="7" s="1"/>
  <c r="C186" i="7"/>
  <c r="D186" i="7" s="1"/>
  <c r="F186" i="7" s="1"/>
  <c r="C187" i="7"/>
  <c r="D187" i="7" s="1"/>
  <c r="F187" i="7" s="1"/>
  <c r="C188" i="7"/>
  <c r="D188" i="7" s="1"/>
  <c r="F188" i="7" s="1"/>
  <c r="C189" i="7"/>
  <c r="D189" i="7" s="1"/>
  <c r="F189" i="7" s="1"/>
  <c r="C190" i="7"/>
  <c r="D190" i="7" s="1"/>
  <c r="F190" i="7" s="1"/>
  <c r="C191" i="7"/>
  <c r="D191" i="7" s="1"/>
  <c r="F191" i="7" s="1"/>
  <c r="C192" i="7"/>
  <c r="D192" i="7" s="1"/>
  <c r="F192" i="7" s="1"/>
  <c r="C193" i="7"/>
  <c r="D193" i="7" s="1"/>
  <c r="F193" i="7" s="1"/>
  <c r="C194" i="7"/>
  <c r="D194" i="7" s="1"/>
  <c r="F194" i="7" s="1"/>
  <c r="C195" i="7"/>
  <c r="D195" i="7" s="1"/>
  <c r="F195" i="7" s="1"/>
  <c r="C196" i="7"/>
  <c r="D196" i="7" s="1"/>
  <c r="F196" i="7" s="1"/>
  <c r="C197" i="7"/>
  <c r="D197" i="7" s="1"/>
  <c r="F197" i="7" s="1"/>
  <c r="C198" i="7"/>
  <c r="D198" i="7" s="1"/>
  <c r="F198" i="7" s="1"/>
  <c r="C199" i="7"/>
  <c r="D199" i="7" s="1"/>
  <c r="F199" i="7" s="1"/>
  <c r="C200" i="7"/>
  <c r="D200" i="7" s="1"/>
  <c r="F200" i="7" s="1"/>
  <c r="C201" i="7"/>
  <c r="D201" i="7" s="1"/>
  <c r="C202" i="7"/>
  <c r="D202" i="7" s="1"/>
  <c r="F202" i="7" s="1"/>
  <c r="C203" i="7"/>
  <c r="D203" i="7" s="1"/>
  <c r="F203" i="7" s="1"/>
  <c r="C204" i="7"/>
  <c r="D204" i="7" s="1"/>
  <c r="F204" i="7" s="1"/>
  <c r="C205" i="7"/>
  <c r="D205" i="7" s="1"/>
  <c r="F205" i="7" s="1"/>
  <c r="C206" i="7"/>
  <c r="D206" i="7" s="1"/>
  <c r="F206" i="7" s="1"/>
  <c r="C207" i="7"/>
  <c r="D207" i="7" s="1"/>
  <c r="F207" i="7" s="1"/>
  <c r="C208" i="7"/>
  <c r="D208" i="7" s="1"/>
  <c r="F208" i="7" s="1"/>
  <c r="C209" i="7"/>
  <c r="D209" i="7" s="1"/>
  <c r="F209" i="7" s="1"/>
  <c r="C210" i="7"/>
  <c r="D210" i="7" s="1"/>
  <c r="F210" i="7" s="1"/>
  <c r="C211" i="7"/>
  <c r="D211" i="7" s="1"/>
  <c r="F211" i="7" s="1"/>
  <c r="C212" i="7"/>
  <c r="D212" i="7" s="1"/>
  <c r="F212" i="7" s="1"/>
  <c r="C213" i="7"/>
  <c r="D213" i="7" s="1"/>
  <c r="F213" i="7" s="1"/>
  <c r="C214" i="7"/>
  <c r="D214" i="7" s="1"/>
  <c r="F214" i="7" s="1"/>
  <c r="C215" i="7"/>
  <c r="D215" i="7" s="1"/>
  <c r="F215" i="7" s="1"/>
  <c r="C216" i="7"/>
  <c r="D216" i="7" s="1"/>
  <c r="F216" i="7" s="1"/>
  <c r="C217" i="7"/>
  <c r="D217" i="7" s="1"/>
  <c r="F217" i="7" s="1"/>
  <c r="C218" i="7"/>
  <c r="D218" i="7" s="1"/>
  <c r="F218" i="7" s="1"/>
  <c r="C219" i="7"/>
  <c r="D219" i="7" s="1"/>
  <c r="F219" i="7" s="1"/>
  <c r="C220" i="7"/>
  <c r="D220" i="7" s="1"/>
  <c r="F220" i="7" s="1"/>
  <c r="C221" i="7"/>
  <c r="D221" i="7" s="1"/>
  <c r="F221" i="7" s="1"/>
  <c r="C222" i="7"/>
  <c r="D222" i="7" s="1"/>
  <c r="F222" i="7" s="1"/>
  <c r="C223" i="7"/>
  <c r="D223" i="7" s="1"/>
  <c r="F223" i="7" s="1"/>
  <c r="C224" i="7"/>
  <c r="D224" i="7" s="1"/>
  <c r="F224" i="7" s="1"/>
  <c r="C225" i="7"/>
  <c r="D225" i="7" s="1"/>
  <c r="F225" i="7" s="1"/>
  <c r="C226" i="7"/>
  <c r="D226" i="7" s="1"/>
  <c r="F226" i="7" s="1"/>
  <c r="C227" i="7"/>
  <c r="D227" i="7" s="1"/>
  <c r="F227" i="7" s="1"/>
  <c r="C228" i="7"/>
  <c r="D228" i="7" s="1"/>
  <c r="F228" i="7" s="1"/>
  <c r="C229" i="7"/>
  <c r="D229" i="7" s="1"/>
  <c r="F229" i="7" s="1"/>
  <c r="C230" i="7"/>
  <c r="D230" i="7" s="1"/>
  <c r="F230" i="7" s="1"/>
  <c r="C231" i="7"/>
  <c r="D231" i="7" s="1"/>
  <c r="F231" i="7" s="1"/>
  <c r="C232" i="7"/>
  <c r="D232" i="7" s="1"/>
  <c r="F232" i="7" s="1"/>
  <c r="C233" i="7"/>
  <c r="D233" i="7" s="1"/>
  <c r="C234" i="7"/>
  <c r="D234" i="7" s="1"/>
  <c r="F234" i="7" s="1"/>
  <c r="C235" i="7"/>
  <c r="D235" i="7" s="1"/>
  <c r="F235" i="7" s="1"/>
  <c r="C236" i="7"/>
  <c r="D236" i="7" s="1"/>
  <c r="F236" i="7" s="1"/>
  <c r="C237" i="7"/>
  <c r="D237" i="7" s="1"/>
  <c r="F237" i="7" s="1"/>
  <c r="C238" i="7"/>
  <c r="D238" i="7" s="1"/>
  <c r="F238" i="7" s="1"/>
  <c r="C239" i="7"/>
  <c r="D239" i="7" s="1"/>
  <c r="F239" i="7" s="1"/>
  <c r="C240" i="7"/>
  <c r="D240" i="7" s="1"/>
  <c r="F240" i="7" s="1"/>
  <c r="C241" i="7"/>
  <c r="D241" i="7" s="1"/>
  <c r="F241" i="7" s="1"/>
  <c r="C242" i="7"/>
  <c r="D242" i="7" s="1"/>
  <c r="F242" i="7" s="1"/>
  <c r="C243" i="7"/>
  <c r="D243" i="7" s="1"/>
  <c r="F243" i="7" s="1"/>
  <c r="C244" i="7"/>
  <c r="D244" i="7" s="1"/>
  <c r="F244" i="7" s="1"/>
  <c r="C245" i="7"/>
  <c r="D245" i="7" s="1"/>
  <c r="F245" i="7" s="1"/>
  <c r="C246" i="7"/>
  <c r="D246" i="7" s="1"/>
  <c r="F246" i="7" s="1"/>
  <c r="C247" i="7"/>
  <c r="D247" i="7" s="1"/>
  <c r="F247" i="7" s="1"/>
  <c r="C248" i="7"/>
  <c r="D248" i="7" s="1"/>
  <c r="F248" i="7" s="1"/>
  <c r="C249" i="7"/>
  <c r="D249" i="7" s="1"/>
  <c r="F249" i="7" s="1"/>
  <c r="C250" i="7"/>
  <c r="D250" i="7" s="1"/>
  <c r="F250" i="7" s="1"/>
  <c r="C251" i="7"/>
  <c r="D251" i="7" s="1"/>
  <c r="F251" i="7" s="1"/>
  <c r="C252" i="7"/>
  <c r="D252" i="7" s="1"/>
  <c r="F252" i="7" s="1"/>
  <c r="C253" i="7"/>
  <c r="D253" i="7" s="1"/>
  <c r="F253" i="7" s="1"/>
  <c r="C254" i="7"/>
  <c r="D254" i="7" s="1"/>
  <c r="F254" i="7" s="1"/>
  <c r="C255" i="7"/>
  <c r="D255" i="7" s="1"/>
  <c r="F255" i="7" s="1"/>
  <c r="C256" i="7"/>
  <c r="D256" i="7" s="1"/>
  <c r="F256" i="7" s="1"/>
  <c r="C257" i="7"/>
  <c r="D257" i="7" s="1"/>
  <c r="F257" i="7" s="1"/>
  <c r="C258" i="7"/>
  <c r="D258" i="7" s="1"/>
  <c r="F258" i="7" s="1"/>
  <c r="C259" i="7"/>
  <c r="D259" i="7" s="1"/>
  <c r="F259" i="7" s="1"/>
  <c r="C260" i="7"/>
  <c r="D260" i="7" s="1"/>
  <c r="F260" i="7" s="1"/>
  <c r="C261" i="7"/>
  <c r="D261" i="7" s="1"/>
  <c r="F261" i="7" s="1"/>
  <c r="C262" i="7"/>
  <c r="D262" i="7" s="1"/>
  <c r="F262" i="7" s="1"/>
  <c r="C263" i="7"/>
  <c r="D263" i="7" s="1"/>
  <c r="F263" i="7" s="1"/>
  <c r="C264" i="7"/>
  <c r="D264" i="7" s="1"/>
  <c r="F264" i="7" s="1"/>
  <c r="C265" i="7"/>
  <c r="D265" i="7" s="1"/>
  <c r="C266" i="7"/>
  <c r="D266" i="7" s="1"/>
  <c r="F266" i="7" s="1"/>
  <c r="C267" i="7"/>
  <c r="D267" i="7" s="1"/>
  <c r="F267" i="7" s="1"/>
  <c r="C268" i="7"/>
  <c r="D268" i="7" s="1"/>
  <c r="F268" i="7" s="1"/>
  <c r="C269" i="7"/>
  <c r="D269" i="7" s="1"/>
  <c r="F269" i="7" s="1"/>
  <c r="C270" i="7"/>
  <c r="D270" i="7" s="1"/>
  <c r="F270" i="7" s="1"/>
  <c r="C271" i="7"/>
  <c r="D271" i="7" s="1"/>
  <c r="F271" i="7" s="1"/>
  <c r="C272" i="7"/>
  <c r="D272" i="7" s="1"/>
  <c r="F272" i="7" s="1"/>
  <c r="C273" i="7"/>
  <c r="D273" i="7" s="1"/>
  <c r="F273" i="7" s="1"/>
  <c r="C274" i="7"/>
  <c r="D274" i="7" s="1"/>
  <c r="F274" i="7" s="1"/>
  <c r="C275" i="7"/>
  <c r="D275" i="7" s="1"/>
  <c r="F275" i="7" s="1"/>
  <c r="C276" i="7"/>
  <c r="D276" i="7" s="1"/>
  <c r="F276" i="7" s="1"/>
  <c r="C277" i="7"/>
  <c r="D277" i="7" s="1"/>
  <c r="F277" i="7" s="1"/>
  <c r="C278" i="7"/>
  <c r="D278" i="7" s="1"/>
  <c r="F278" i="7" s="1"/>
  <c r="C279" i="7"/>
  <c r="D279" i="7" s="1"/>
  <c r="F279" i="7" s="1"/>
  <c r="C280" i="7"/>
  <c r="D280" i="7" s="1"/>
  <c r="F280" i="7" s="1"/>
  <c r="C281" i="7"/>
  <c r="D281" i="7" s="1"/>
  <c r="F281" i="7" s="1"/>
  <c r="C282" i="7"/>
  <c r="D282" i="7" s="1"/>
  <c r="F282" i="7" s="1"/>
  <c r="C283" i="7"/>
  <c r="D283" i="7" s="1"/>
  <c r="F283" i="7" s="1"/>
  <c r="C284" i="7"/>
  <c r="D284" i="7" s="1"/>
  <c r="F284" i="7" s="1"/>
  <c r="C285" i="7"/>
  <c r="D285" i="7" s="1"/>
  <c r="F285" i="7" s="1"/>
  <c r="C286" i="7"/>
  <c r="D286" i="7" s="1"/>
  <c r="F286" i="7" s="1"/>
  <c r="C287" i="7"/>
  <c r="D287" i="7" s="1"/>
  <c r="F287" i="7" s="1"/>
  <c r="C288" i="7"/>
  <c r="D288" i="7" s="1"/>
  <c r="F288" i="7" s="1"/>
  <c r="C289" i="7"/>
  <c r="D289" i="7" s="1"/>
  <c r="F289" i="7" s="1"/>
  <c r="C290" i="7"/>
  <c r="D290" i="7" s="1"/>
  <c r="F290" i="7" s="1"/>
  <c r="C291" i="7"/>
  <c r="D291" i="7" s="1"/>
  <c r="F291" i="7" s="1"/>
  <c r="C292" i="7"/>
  <c r="D292" i="7" s="1"/>
  <c r="F292" i="7" s="1"/>
  <c r="C293" i="7"/>
  <c r="D293" i="7" s="1"/>
  <c r="F293" i="7" s="1"/>
  <c r="C294" i="7"/>
  <c r="D294" i="7" s="1"/>
  <c r="F294" i="7" s="1"/>
  <c r="C295" i="7"/>
  <c r="D295" i="7" s="1"/>
  <c r="F295" i="7" s="1"/>
  <c r="C296" i="7"/>
  <c r="D296" i="7" s="1"/>
  <c r="F296" i="7" s="1"/>
  <c r="C297" i="7"/>
  <c r="D297" i="7" s="1"/>
  <c r="F297" i="7" s="1"/>
  <c r="C298" i="7"/>
  <c r="D298" i="7" s="1"/>
  <c r="F298" i="7" s="1"/>
  <c r="C299" i="7"/>
  <c r="D299" i="7" s="1"/>
  <c r="F299" i="7" s="1"/>
  <c r="C300" i="7"/>
  <c r="D300" i="7" s="1"/>
  <c r="F300" i="7" s="1"/>
  <c r="C301" i="7"/>
  <c r="D301" i="7" s="1"/>
  <c r="F301" i="7" s="1"/>
  <c r="C302" i="7"/>
  <c r="D302" i="7" s="1"/>
  <c r="F302" i="7" s="1"/>
  <c r="C303" i="7"/>
  <c r="D303" i="7" s="1"/>
  <c r="F303" i="7" s="1"/>
  <c r="C304" i="7"/>
  <c r="D304" i="7" s="1"/>
  <c r="F304" i="7" s="1"/>
  <c r="C305" i="7"/>
  <c r="D305" i="7" s="1"/>
  <c r="F305" i="7" s="1"/>
  <c r="C306" i="7"/>
  <c r="D306" i="7" s="1"/>
  <c r="F306" i="7" s="1"/>
  <c r="C307" i="7"/>
  <c r="D307" i="7" s="1"/>
  <c r="F307" i="7" s="1"/>
  <c r="C308" i="7"/>
  <c r="D308" i="7" s="1"/>
  <c r="F308" i="7" s="1"/>
  <c r="C309" i="7"/>
  <c r="D309" i="7" s="1"/>
  <c r="F309" i="7" s="1"/>
  <c r="C310" i="7"/>
  <c r="D310" i="7" s="1"/>
  <c r="F310" i="7" s="1"/>
  <c r="C311" i="7"/>
  <c r="D311" i="7" s="1"/>
  <c r="F311" i="7" s="1"/>
  <c r="C312" i="7"/>
  <c r="D312" i="7" s="1"/>
  <c r="F312" i="7" s="1"/>
  <c r="C313" i="7"/>
  <c r="D313" i="7" s="1"/>
  <c r="F313" i="7" s="1"/>
  <c r="C314" i="7"/>
  <c r="D314" i="7" s="1"/>
  <c r="F314" i="7" s="1"/>
  <c r="C315" i="7"/>
  <c r="D315" i="7" s="1"/>
  <c r="F315" i="7" s="1"/>
  <c r="C316" i="7"/>
  <c r="D316" i="7" s="1"/>
  <c r="F316" i="7" s="1"/>
  <c r="C317" i="7"/>
  <c r="D317" i="7" s="1"/>
  <c r="F317" i="7" s="1"/>
  <c r="C318" i="7"/>
  <c r="D318" i="7" s="1"/>
  <c r="F318" i="7" s="1"/>
  <c r="C319" i="7"/>
  <c r="D319" i="7" s="1"/>
  <c r="F319" i="7" s="1"/>
  <c r="C320" i="7"/>
  <c r="D320" i="7" s="1"/>
  <c r="F320" i="7" s="1"/>
  <c r="C321" i="7"/>
  <c r="D321" i="7" s="1"/>
  <c r="F321" i="7" s="1"/>
  <c r="C322" i="7"/>
  <c r="D322" i="7" s="1"/>
  <c r="F322" i="7" s="1"/>
  <c r="C323" i="7"/>
  <c r="D323" i="7" s="1"/>
  <c r="F323" i="7" s="1"/>
  <c r="C324" i="7"/>
  <c r="D324" i="7" s="1"/>
  <c r="F324" i="7" s="1"/>
  <c r="C325" i="7"/>
  <c r="D325" i="7" s="1"/>
  <c r="C326" i="7"/>
  <c r="D326" i="7" s="1"/>
  <c r="F326" i="7" s="1"/>
  <c r="C327" i="7"/>
  <c r="D327" i="7" s="1"/>
  <c r="F327" i="7" s="1"/>
  <c r="C328" i="7"/>
  <c r="D328" i="7" s="1"/>
  <c r="F328" i="7" s="1"/>
  <c r="C329" i="7"/>
  <c r="D329" i="7" s="1"/>
  <c r="F329" i="7" s="1"/>
  <c r="C330" i="7"/>
  <c r="D330" i="7" s="1"/>
  <c r="F330" i="7" s="1"/>
  <c r="C331" i="7"/>
  <c r="D331" i="7" s="1"/>
  <c r="F331" i="7" s="1"/>
  <c r="C332" i="7"/>
  <c r="D332" i="7" s="1"/>
  <c r="F332" i="7" s="1"/>
  <c r="C333" i="7"/>
  <c r="D333" i="7" s="1"/>
  <c r="F333" i="7" s="1"/>
  <c r="C334" i="7"/>
  <c r="D334" i="7" s="1"/>
  <c r="F334" i="7" s="1"/>
  <c r="C335" i="7"/>
  <c r="D335" i="7" s="1"/>
  <c r="F335" i="7" s="1"/>
  <c r="C336" i="7"/>
  <c r="D336" i="7" s="1"/>
  <c r="F336" i="7" s="1"/>
  <c r="C337" i="7"/>
  <c r="D337" i="7" s="1"/>
  <c r="F337" i="7" s="1"/>
  <c r="C338" i="7"/>
  <c r="D338" i="7" s="1"/>
  <c r="F338" i="7" s="1"/>
  <c r="C339" i="7"/>
  <c r="D339" i="7" s="1"/>
  <c r="F339" i="7" s="1"/>
  <c r="C340" i="7"/>
  <c r="D340" i="7" s="1"/>
  <c r="F340" i="7" s="1"/>
  <c r="C341" i="7"/>
  <c r="D341" i="7" s="1"/>
  <c r="F341" i="7" s="1"/>
  <c r="C342" i="7"/>
  <c r="D342" i="7" s="1"/>
  <c r="F342" i="7" s="1"/>
  <c r="C343" i="7"/>
  <c r="D343" i="7" s="1"/>
  <c r="F343" i="7" s="1"/>
  <c r="C344" i="7"/>
  <c r="D344" i="7" s="1"/>
  <c r="F344" i="7" s="1"/>
  <c r="C345" i="7"/>
  <c r="D345" i="7" s="1"/>
  <c r="F345" i="7" s="1"/>
  <c r="C346" i="7"/>
  <c r="D346" i="7" s="1"/>
  <c r="F346" i="7" s="1"/>
  <c r="C347" i="7"/>
  <c r="D347" i="7" s="1"/>
  <c r="F347" i="7" s="1"/>
  <c r="C348" i="7"/>
  <c r="D348" i="7" s="1"/>
  <c r="F348" i="7" s="1"/>
  <c r="C349" i="7"/>
  <c r="D349" i="7" s="1"/>
  <c r="F349" i="7" s="1"/>
  <c r="C350" i="7"/>
  <c r="D350" i="7" s="1"/>
  <c r="F350" i="7" s="1"/>
  <c r="C351" i="7"/>
  <c r="D351" i="7" s="1"/>
  <c r="F351" i="7" s="1"/>
  <c r="C352" i="7"/>
  <c r="D352" i="7" s="1"/>
  <c r="F352" i="7" s="1"/>
  <c r="C353" i="7"/>
  <c r="D353" i="7" s="1"/>
  <c r="F353" i="7" s="1"/>
  <c r="C354" i="7"/>
  <c r="D354" i="7" s="1"/>
  <c r="F354" i="7" s="1"/>
  <c r="C355" i="7"/>
  <c r="D355" i="7" s="1"/>
  <c r="F355" i="7" s="1"/>
  <c r="C356" i="7"/>
  <c r="D356" i="7" s="1"/>
  <c r="F356" i="7" s="1"/>
  <c r="C357" i="7"/>
  <c r="D357" i="7" s="1"/>
  <c r="F357" i="7" s="1"/>
  <c r="C358" i="7"/>
  <c r="D358" i="7" s="1"/>
  <c r="F358" i="7" s="1"/>
  <c r="C359" i="7"/>
  <c r="D359" i="7" s="1"/>
  <c r="F359" i="7" s="1"/>
  <c r="C360" i="7"/>
  <c r="D360" i="7" s="1"/>
  <c r="F360" i="7" s="1"/>
  <c r="C361" i="7"/>
  <c r="D361" i="7" s="1"/>
  <c r="F361" i="7" s="1"/>
  <c r="C362" i="7"/>
  <c r="D362" i="7" s="1"/>
  <c r="F362" i="7" s="1"/>
  <c r="C363" i="7"/>
  <c r="D363" i="7" s="1"/>
  <c r="F363" i="7" s="1"/>
  <c r="C364" i="7"/>
  <c r="D364" i="7" s="1"/>
  <c r="F364" i="7" s="1"/>
  <c r="C365" i="7"/>
  <c r="D365" i="7" s="1"/>
  <c r="F365" i="7" s="1"/>
  <c r="C366" i="7"/>
  <c r="D366" i="7" s="1"/>
  <c r="F366" i="7" s="1"/>
  <c r="C367" i="7"/>
  <c r="D367" i="7" s="1"/>
  <c r="F367" i="7" s="1"/>
  <c r="C368" i="7"/>
  <c r="D368" i="7" s="1"/>
  <c r="F368" i="7" s="1"/>
  <c r="C369" i="7"/>
  <c r="D369" i="7" s="1"/>
  <c r="F369" i="7" s="1"/>
  <c r="C370" i="7"/>
  <c r="D370" i="7" s="1"/>
  <c r="F370" i="7" s="1"/>
  <c r="C371" i="7"/>
  <c r="D371" i="7" s="1"/>
  <c r="F371" i="7" s="1"/>
  <c r="C372" i="7"/>
  <c r="D372" i="7" s="1"/>
  <c r="F372" i="7" s="1"/>
  <c r="C373" i="7"/>
  <c r="D373" i="7" s="1"/>
  <c r="F373" i="7" s="1"/>
  <c r="C374" i="7"/>
  <c r="D374" i="7" s="1"/>
  <c r="F374" i="7" s="1"/>
  <c r="C375" i="7"/>
  <c r="D375" i="7" s="1"/>
  <c r="F375" i="7" s="1"/>
  <c r="C376" i="7"/>
  <c r="D376" i="7" s="1"/>
  <c r="F376" i="7" s="1"/>
  <c r="C377" i="7"/>
  <c r="D377" i="7" s="1"/>
  <c r="F377" i="7" s="1"/>
  <c r="C378" i="7"/>
  <c r="D378" i="7" s="1"/>
  <c r="F378" i="7" s="1"/>
  <c r="C379" i="7"/>
  <c r="D379" i="7" s="1"/>
  <c r="F379" i="7" s="1"/>
  <c r="C380" i="7"/>
  <c r="D380" i="7" s="1"/>
  <c r="F380" i="7" s="1"/>
  <c r="C381" i="7"/>
  <c r="D381" i="7" s="1"/>
  <c r="F381" i="7" s="1"/>
  <c r="C382" i="7"/>
  <c r="D382" i="7" s="1"/>
  <c r="F382" i="7" s="1"/>
  <c r="C383" i="7"/>
  <c r="D383" i="7" s="1"/>
  <c r="F383" i="7" s="1"/>
  <c r="C384" i="7"/>
  <c r="D384" i="7" s="1"/>
  <c r="F384" i="7" s="1"/>
  <c r="C385" i="7"/>
  <c r="D385" i="7" s="1"/>
  <c r="F385" i="7" s="1"/>
  <c r="C386" i="7"/>
  <c r="D386" i="7" s="1"/>
  <c r="F386" i="7" s="1"/>
  <c r="C387" i="7"/>
  <c r="D387" i="7" s="1"/>
  <c r="F387" i="7" s="1"/>
  <c r="C388" i="7"/>
  <c r="D388" i="7" s="1"/>
  <c r="F388" i="7" s="1"/>
  <c r="C389" i="7"/>
  <c r="D389" i="7" s="1"/>
  <c r="F389" i="7" s="1"/>
  <c r="C390" i="7"/>
  <c r="D390" i="7" s="1"/>
  <c r="F390" i="7" s="1"/>
  <c r="C391" i="7"/>
  <c r="D391" i="7" s="1"/>
  <c r="F391" i="7" s="1"/>
  <c r="C392" i="7"/>
  <c r="D392" i="7" s="1"/>
  <c r="F392" i="7" s="1"/>
  <c r="C393" i="7"/>
  <c r="D393" i="7" s="1"/>
  <c r="F393" i="7" s="1"/>
  <c r="C394" i="7"/>
  <c r="D394" i="7" s="1"/>
  <c r="F394" i="7" s="1"/>
  <c r="C395" i="7"/>
  <c r="D395" i="7" s="1"/>
  <c r="F395" i="7" s="1"/>
  <c r="C396" i="7"/>
  <c r="D396" i="7" s="1"/>
  <c r="F396" i="7" s="1"/>
  <c r="C397" i="7"/>
  <c r="D397" i="7" s="1"/>
  <c r="F397" i="7" s="1"/>
  <c r="C398" i="7"/>
  <c r="D398" i="7" s="1"/>
  <c r="F398" i="7" s="1"/>
  <c r="C399" i="7"/>
  <c r="D399" i="7" s="1"/>
  <c r="F399" i="7" s="1"/>
  <c r="C400" i="7"/>
  <c r="D400" i="7" s="1"/>
  <c r="F400" i="7" s="1"/>
  <c r="C401" i="7"/>
  <c r="D401" i="7" s="1"/>
  <c r="F401" i="7" s="1"/>
  <c r="C402" i="7"/>
  <c r="D402" i="7" s="1"/>
  <c r="F402" i="7" s="1"/>
  <c r="C403" i="7"/>
  <c r="D403" i="7" s="1"/>
  <c r="F403" i="7" s="1"/>
  <c r="C404" i="7"/>
  <c r="D404" i="7" s="1"/>
  <c r="F404" i="7" s="1"/>
  <c r="C405" i="7"/>
  <c r="D405" i="7" s="1"/>
  <c r="F405" i="7" s="1"/>
  <c r="C406" i="7"/>
  <c r="D406" i="7" s="1"/>
  <c r="F406" i="7" s="1"/>
  <c r="C407" i="7"/>
  <c r="D407" i="7" s="1"/>
  <c r="F407" i="7" s="1"/>
  <c r="C408" i="7"/>
  <c r="D408" i="7" s="1"/>
  <c r="F408" i="7" s="1"/>
  <c r="C409" i="7"/>
  <c r="D409" i="7" s="1"/>
  <c r="F409" i="7" s="1"/>
  <c r="C410" i="7"/>
  <c r="D410" i="7" s="1"/>
  <c r="F410" i="7" s="1"/>
  <c r="C411" i="7"/>
  <c r="D411" i="7" s="1"/>
  <c r="F411" i="7" s="1"/>
  <c r="C412" i="7"/>
  <c r="D412" i="7" s="1"/>
  <c r="F412" i="7" s="1"/>
  <c r="C413" i="7"/>
  <c r="D413" i="7" s="1"/>
  <c r="F413" i="7" s="1"/>
  <c r="C414" i="7"/>
  <c r="D414" i="7" s="1"/>
  <c r="F414" i="7" s="1"/>
  <c r="C415" i="7"/>
  <c r="D415" i="7" s="1"/>
  <c r="F415" i="7" s="1"/>
  <c r="C416" i="7"/>
  <c r="D416" i="7" s="1"/>
  <c r="F416" i="7" s="1"/>
  <c r="C417" i="7"/>
  <c r="D417" i="7" s="1"/>
  <c r="F417" i="7" s="1"/>
  <c r="C418" i="7"/>
  <c r="D418" i="7" s="1"/>
  <c r="F418" i="7" s="1"/>
  <c r="C419" i="7"/>
  <c r="D419" i="7" s="1"/>
  <c r="F419" i="7" s="1"/>
  <c r="C420" i="7"/>
  <c r="D420" i="7" s="1"/>
  <c r="F420" i="7" s="1"/>
  <c r="C421" i="7"/>
  <c r="D421" i="7" s="1"/>
  <c r="F421" i="7" s="1"/>
  <c r="C422" i="7"/>
  <c r="D422" i="7" s="1"/>
  <c r="F422" i="7" s="1"/>
  <c r="C423" i="7"/>
  <c r="D423" i="7" s="1"/>
  <c r="F423" i="7" s="1"/>
  <c r="C424" i="7"/>
  <c r="D424" i="7" s="1"/>
  <c r="F424" i="7" s="1"/>
  <c r="C425" i="7"/>
  <c r="D425" i="7" s="1"/>
  <c r="F425" i="7" s="1"/>
  <c r="C426" i="7"/>
  <c r="D426" i="7" s="1"/>
  <c r="F426" i="7" s="1"/>
  <c r="C427" i="7"/>
  <c r="D427" i="7" s="1"/>
  <c r="F427" i="7" s="1"/>
  <c r="C428" i="7"/>
  <c r="D428" i="7" s="1"/>
  <c r="F428" i="7" s="1"/>
  <c r="C429" i="7"/>
  <c r="D429" i="7" s="1"/>
  <c r="F429" i="7" s="1"/>
  <c r="C430" i="7"/>
  <c r="D430" i="7" s="1"/>
  <c r="F430" i="7" s="1"/>
  <c r="C431" i="7"/>
  <c r="D431" i="7" s="1"/>
  <c r="F431" i="7" s="1"/>
  <c r="C432" i="7"/>
  <c r="D432" i="7" s="1"/>
  <c r="F432" i="7" s="1"/>
  <c r="C433" i="7"/>
  <c r="D433" i="7" s="1"/>
  <c r="F433" i="7" s="1"/>
  <c r="C434" i="7"/>
  <c r="D434" i="7" s="1"/>
  <c r="F434" i="7" s="1"/>
  <c r="C435" i="7"/>
  <c r="D435" i="7" s="1"/>
  <c r="F435" i="7" s="1"/>
  <c r="C436" i="7"/>
  <c r="D436" i="7" s="1"/>
  <c r="F436" i="7" s="1"/>
  <c r="C437" i="7"/>
  <c r="D437" i="7" s="1"/>
  <c r="F437" i="7" s="1"/>
  <c r="C438" i="7"/>
  <c r="D438" i="7" s="1"/>
  <c r="F438" i="7" s="1"/>
  <c r="C439" i="7"/>
  <c r="D439" i="7" s="1"/>
  <c r="F439" i="7" s="1"/>
  <c r="C440" i="7"/>
  <c r="D440" i="7" s="1"/>
  <c r="F440" i="7" s="1"/>
  <c r="C441" i="7"/>
  <c r="D441" i="7" s="1"/>
  <c r="F441" i="7" s="1"/>
  <c r="C442" i="7"/>
  <c r="D442" i="7" s="1"/>
  <c r="F442" i="7" s="1"/>
  <c r="C443" i="7"/>
  <c r="D443" i="7" s="1"/>
  <c r="F443" i="7" s="1"/>
  <c r="C444" i="7"/>
  <c r="D444" i="7" s="1"/>
  <c r="F444" i="7" s="1"/>
  <c r="C445" i="7"/>
  <c r="D445" i="7" s="1"/>
  <c r="F445" i="7" s="1"/>
  <c r="C446" i="7"/>
  <c r="D446" i="7" s="1"/>
  <c r="F446" i="7" s="1"/>
  <c r="C447" i="7"/>
  <c r="D447" i="7" s="1"/>
  <c r="F447" i="7" s="1"/>
  <c r="C448" i="7"/>
  <c r="D448" i="7" s="1"/>
  <c r="F448" i="7" s="1"/>
  <c r="C449" i="7"/>
  <c r="D449" i="7" s="1"/>
  <c r="F449" i="7" s="1"/>
  <c r="C450" i="7"/>
  <c r="D450" i="7" s="1"/>
  <c r="F450" i="7" s="1"/>
  <c r="C451" i="7"/>
  <c r="D451" i="7" s="1"/>
  <c r="F451" i="7" s="1"/>
  <c r="C452" i="7"/>
  <c r="D452" i="7" s="1"/>
  <c r="F452" i="7" s="1"/>
  <c r="C453" i="7"/>
  <c r="D453" i="7" s="1"/>
  <c r="C454" i="7"/>
  <c r="D454" i="7" s="1"/>
  <c r="F454" i="7" s="1"/>
  <c r="C455" i="7"/>
  <c r="D455" i="7" s="1"/>
  <c r="F455" i="7" s="1"/>
  <c r="C456" i="7"/>
  <c r="D456" i="7" s="1"/>
  <c r="F456" i="7" s="1"/>
  <c r="C457" i="7"/>
  <c r="D457" i="7" s="1"/>
  <c r="F457" i="7" s="1"/>
  <c r="C458" i="7"/>
  <c r="D458" i="7" s="1"/>
  <c r="F458" i="7" s="1"/>
  <c r="C459" i="7"/>
  <c r="D459" i="7" s="1"/>
  <c r="F459" i="7" s="1"/>
  <c r="C460" i="7"/>
  <c r="D460" i="7" s="1"/>
  <c r="F460" i="7" s="1"/>
  <c r="C461" i="7"/>
  <c r="D461" i="7" s="1"/>
  <c r="F461" i="7" s="1"/>
  <c r="C462" i="7"/>
  <c r="D462" i="7" s="1"/>
  <c r="F462" i="7" s="1"/>
  <c r="C463" i="7"/>
  <c r="D463" i="7" s="1"/>
  <c r="F463" i="7" s="1"/>
  <c r="C464" i="7"/>
  <c r="D464" i="7" s="1"/>
  <c r="F464" i="7" s="1"/>
  <c r="C465" i="7"/>
  <c r="D465" i="7" s="1"/>
  <c r="F465" i="7" s="1"/>
  <c r="C466" i="7"/>
  <c r="D466" i="7" s="1"/>
  <c r="F466" i="7" s="1"/>
  <c r="C467" i="7"/>
  <c r="D467" i="7" s="1"/>
  <c r="F467" i="7" s="1"/>
  <c r="C468" i="7"/>
  <c r="D468" i="7" s="1"/>
  <c r="F468" i="7" s="1"/>
  <c r="C469" i="7"/>
  <c r="D469" i="7" s="1"/>
  <c r="F469" i="7" s="1"/>
  <c r="C470" i="7"/>
  <c r="D470" i="7" s="1"/>
  <c r="F470" i="7" s="1"/>
  <c r="C471" i="7"/>
  <c r="D471" i="7" s="1"/>
  <c r="F471" i="7" s="1"/>
  <c r="C472" i="7"/>
  <c r="D472" i="7" s="1"/>
  <c r="F472" i="7" s="1"/>
  <c r="C473" i="7"/>
  <c r="D473" i="7" s="1"/>
  <c r="F473" i="7" s="1"/>
  <c r="C474" i="7"/>
  <c r="D474" i="7" s="1"/>
  <c r="F474" i="7" s="1"/>
  <c r="C475" i="7"/>
  <c r="D475" i="7" s="1"/>
  <c r="F475" i="7" s="1"/>
  <c r="C476" i="7"/>
  <c r="D476" i="7" s="1"/>
  <c r="F476" i="7" s="1"/>
  <c r="C477" i="7"/>
  <c r="D477" i="7" s="1"/>
  <c r="F477" i="7" s="1"/>
  <c r="C478" i="7"/>
  <c r="D478" i="7" s="1"/>
  <c r="F478" i="7" s="1"/>
  <c r="C479" i="7"/>
  <c r="D479" i="7" s="1"/>
  <c r="F479" i="7" s="1"/>
  <c r="C480" i="7"/>
  <c r="D480" i="7" s="1"/>
  <c r="F480" i="7" s="1"/>
  <c r="C481" i="7"/>
  <c r="D481" i="7" s="1"/>
  <c r="F481" i="7" s="1"/>
  <c r="C482" i="7"/>
  <c r="D482" i="7" s="1"/>
  <c r="F482" i="7" s="1"/>
  <c r="C483" i="7"/>
  <c r="D483" i="7" s="1"/>
  <c r="F483" i="7" s="1"/>
  <c r="C484" i="7"/>
  <c r="D484" i="7" s="1"/>
  <c r="F484" i="7" s="1"/>
  <c r="C485" i="7"/>
  <c r="D485" i="7" s="1"/>
  <c r="F485" i="7" s="1"/>
  <c r="C486" i="7"/>
  <c r="D486" i="7" s="1"/>
  <c r="F486" i="7" s="1"/>
  <c r="C487" i="7"/>
  <c r="D487" i="7" s="1"/>
  <c r="F487" i="7" s="1"/>
  <c r="C488" i="7"/>
  <c r="D488" i="7" s="1"/>
  <c r="F488" i="7" s="1"/>
  <c r="C489" i="7"/>
  <c r="D489" i="7" s="1"/>
  <c r="F489" i="7" s="1"/>
  <c r="C490" i="7"/>
  <c r="D490" i="7" s="1"/>
  <c r="F490" i="7" s="1"/>
  <c r="C491" i="7"/>
  <c r="D491" i="7" s="1"/>
  <c r="F491" i="7" s="1"/>
  <c r="C492" i="7"/>
  <c r="D492" i="7" s="1"/>
  <c r="F492" i="7" s="1"/>
  <c r="C493" i="7"/>
  <c r="D493" i="7" s="1"/>
  <c r="F493" i="7" s="1"/>
  <c r="C494" i="7"/>
  <c r="D494" i="7" s="1"/>
  <c r="F494" i="7" s="1"/>
  <c r="C495" i="7"/>
  <c r="D495" i="7" s="1"/>
  <c r="F495" i="7" s="1"/>
  <c r="C496" i="7"/>
  <c r="D496" i="7" s="1"/>
  <c r="F496" i="7" s="1"/>
  <c r="C497" i="7"/>
  <c r="D497" i="7" s="1"/>
  <c r="F497" i="7" s="1"/>
  <c r="C498" i="7"/>
  <c r="D498" i="7" s="1"/>
  <c r="F498" i="7" s="1"/>
  <c r="C499" i="7"/>
  <c r="D499" i="7" s="1"/>
  <c r="F499" i="7" s="1"/>
  <c r="C500" i="7"/>
  <c r="D500" i="7" s="1"/>
  <c r="F500" i="7" s="1"/>
  <c r="C501" i="7"/>
  <c r="D501" i="7" s="1"/>
  <c r="F501" i="7" s="1"/>
  <c r="C502" i="7"/>
  <c r="D502" i="7" s="1"/>
  <c r="F502" i="7" s="1"/>
  <c r="C503" i="7"/>
  <c r="D503" i="7" s="1"/>
  <c r="F503" i="7" s="1"/>
  <c r="C504" i="7"/>
  <c r="D504" i="7" s="1"/>
  <c r="F504" i="7" s="1"/>
  <c r="C505" i="7"/>
  <c r="D505" i="7" s="1"/>
  <c r="F505" i="7" s="1"/>
  <c r="C506" i="7"/>
  <c r="D506" i="7" s="1"/>
  <c r="F506" i="7" s="1"/>
  <c r="C507" i="7"/>
  <c r="D507" i="7" s="1"/>
  <c r="F507" i="7" s="1"/>
  <c r="C508" i="7"/>
  <c r="D508" i="7" s="1"/>
  <c r="F508" i="7" s="1"/>
  <c r="C509" i="7"/>
  <c r="D509" i="7" s="1"/>
  <c r="F509" i="7" s="1"/>
  <c r="C510" i="7"/>
  <c r="D510" i="7" s="1"/>
  <c r="F510" i="7" s="1"/>
  <c r="C511" i="7"/>
  <c r="D511" i="7" s="1"/>
  <c r="F511" i="7" s="1"/>
  <c r="C512" i="7"/>
  <c r="D512" i="7" s="1"/>
  <c r="F512" i="7" s="1"/>
  <c r="C513" i="7"/>
  <c r="D513" i="7" s="1"/>
  <c r="F513" i="7" s="1"/>
  <c r="C514" i="7"/>
  <c r="D514" i="7" s="1"/>
  <c r="F514" i="7" s="1"/>
  <c r="C515" i="7"/>
  <c r="D515" i="7" s="1"/>
  <c r="F515" i="7" s="1"/>
  <c r="C516" i="7"/>
  <c r="D516" i="7" s="1"/>
  <c r="F516" i="7" s="1"/>
  <c r="C517" i="7"/>
  <c r="D517" i="7" s="1"/>
  <c r="F517" i="7" s="1"/>
  <c r="C518" i="7"/>
  <c r="D518" i="7" s="1"/>
  <c r="F518" i="7" s="1"/>
  <c r="C519" i="7"/>
  <c r="D519" i="7" s="1"/>
  <c r="F519" i="7" s="1"/>
  <c r="C520" i="7"/>
  <c r="D520" i="7" s="1"/>
  <c r="F520" i="7" s="1"/>
  <c r="C521" i="7"/>
  <c r="D521" i="7" s="1"/>
  <c r="F521" i="7" s="1"/>
  <c r="C522" i="7"/>
  <c r="D522" i="7" s="1"/>
  <c r="F522" i="7" s="1"/>
  <c r="C523" i="7"/>
  <c r="D523" i="7" s="1"/>
  <c r="F523" i="7" s="1"/>
  <c r="C524" i="7"/>
  <c r="D524" i="7" s="1"/>
  <c r="F524" i="7" s="1"/>
  <c r="C525" i="7"/>
  <c r="D525" i="7" s="1"/>
  <c r="F525" i="7" s="1"/>
  <c r="C526" i="7"/>
  <c r="D526" i="7" s="1"/>
  <c r="F526" i="7" s="1"/>
  <c r="C527" i="7"/>
  <c r="D527" i="7" s="1"/>
  <c r="F527" i="7" s="1"/>
  <c r="C528" i="7"/>
  <c r="D528" i="7" s="1"/>
  <c r="F528" i="7" s="1"/>
  <c r="C529" i="7"/>
  <c r="D529" i="7" s="1"/>
  <c r="F529" i="7" s="1"/>
  <c r="C530" i="7"/>
  <c r="D530" i="7" s="1"/>
  <c r="F530" i="7" s="1"/>
  <c r="C531" i="7"/>
  <c r="D531" i="7" s="1"/>
  <c r="F531" i="7" s="1"/>
  <c r="C532" i="7"/>
  <c r="D532" i="7" s="1"/>
  <c r="F532" i="7" s="1"/>
  <c r="C533" i="7"/>
  <c r="D533" i="7" s="1"/>
  <c r="F533" i="7" s="1"/>
  <c r="C534" i="7"/>
  <c r="D534" i="7" s="1"/>
  <c r="F534" i="7" s="1"/>
  <c r="C535" i="7"/>
  <c r="D535" i="7" s="1"/>
  <c r="F535" i="7" s="1"/>
  <c r="C536" i="7"/>
  <c r="D536" i="7" s="1"/>
  <c r="F536" i="7" s="1"/>
  <c r="C537" i="7"/>
  <c r="D537" i="7" s="1"/>
  <c r="F537" i="7" s="1"/>
  <c r="C538" i="7"/>
  <c r="D538" i="7" s="1"/>
  <c r="F538" i="7" s="1"/>
  <c r="C539" i="7"/>
  <c r="D539" i="7" s="1"/>
  <c r="F539" i="7" s="1"/>
  <c r="C540" i="7"/>
  <c r="D540" i="7" s="1"/>
  <c r="F540" i="7" s="1"/>
  <c r="C541" i="7"/>
  <c r="D541" i="7" s="1"/>
  <c r="F541" i="7" s="1"/>
  <c r="C542" i="7"/>
  <c r="D542" i="7" s="1"/>
  <c r="F542" i="7" s="1"/>
  <c r="C543" i="7"/>
  <c r="D543" i="7" s="1"/>
  <c r="F543" i="7" s="1"/>
  <c r="C544" i="7"/>
  <c r="D544" i="7" s="1"/>
  <c r="F544" i="7" s="1"/>
  <c r="C545" i="7"/>
  <c r="D545" i="7" s="1"/>
  <c r="F545" i="7" s="1"/>
  <c r="C546" i="7"/>
  <c r="D546" i="7" s="1"/>
  <c r="F546" i="7" s="1"/>
  <c r="C547" i="7"/>
  <c r="D547" i="7" s="1"/>
  <c r="F547" i="7" s="1"/>
  <c r="C548" i="7"/>
  <c r="D548" i="7" s="1"/>
  <c r="F548" i="7" s="1"/>
  <c r="C549" i="7"/>
  <c r="D549" i="7" s="1"/>
  <c r="F549" i="7" s="1"/>
  <c r="C550" i="7"/>
  <c r="D550" i="7" s="1"/>
  <c r="F550" i="7" s="1"/>
  <c r="C551" i="7"/>
  <c r="D551" i="7" s="1"/>
  <c r="F551" i="7" s="1"/>
  <c r="C552" i="7"/>
  <c r="D552" i="7" s="1"/>
  <c r="F552" i="7" s="1"/>
  <c r="C553" i="7"/>
  <c r="D553" i="7" s="1"/>
  <c r="F553" i="7" s="1"/>
  <c r="C554" i="7"/>
  <c r="D554" i="7" s="1"/>
  <c r="F554" i="7" s="1"/>
  <c r="C555" i="7"/>
  <c r="D555" i="7" s="1"/>
  <c r="F555" i="7" s="1"/>
  <c r="C556" i="7"/>
  <c r="D556" i="7" s="1"/>
  <c r="F556" i="7" s="1"/>
  <c r="C557" i="7"/>
  <c r="D557" i="7" s="1"/>
  <c r="F557" i="7" s="1"/>
  <c r="C558" i="7"/>
  <c r="D558" i="7" s="1"/>
  <c r="F558" i="7" s="1"/>
  <c r="C559" i="7"/>
  <c r="D559" i="7" s="1"/>
  <c r="F559" i="7" s="1"/>
  <c r="C560" i="7"/>
  <c r="D560" i="7" s="1"/>
  <c r="F560" i="7" s="1"/>
  <c r="C561" i="7"/>
  <c r="D561" i="7" s="1"/>
  <c r="F561" i="7" s="1"/>
  <c r="C562" i="7"/>
  <c r="D562" i="7" s="1"/>
  <c r="F562" i="7" s="1"/>
  <c r="C563" i="7"/>
  <c r="D563" i="7" s="1"/>
  <c r="F563" i="7" s="1"/>
  <c r="C564" i="7"/>
  <c r="D564" i="7" s="1"/>
  <c r="F564" i="7" s="1"/>
  <c r="C565" i="7"/>
  <c r="D565" i="7" s="1"/>
  <c r="F565" i="7" s="1"/>
  <c r="C566" i="7"/>
  <c r="D566" i="7" s="1"/>
  <c r="F566" i="7" s="1"/>
  <c r="C567" i="7"/>
  <c r="D567" i="7" s="1"/>
  <c r="F567" i="7" s="1"/>
  <c r="C568" i="7"/>
  <c r="D568" i="7" s="1"/>
  <c r="F568" i="7" s="1"/>
  <c r="C569" i="7"/>
  <c r="D569" i="7" s="1"/>
  <c r="F569" i="7" s="1"/>
  <c r="C570" i="7"/>
  <c r="D570" i="7" s="1"/>
  <c r="F570" i="7" s="1"/>
  <c r="C571" i="7"/>
  <c r="D571" i="7" s="1"/>
  <c r="F571" i="7" s="1"/>
  <c r="C572" i="7"/>
  <c r="D572" i="7" s="1"/>
  <c r="F572" i="7" s="1"/>
  <c r="C573" i="7"/>
  <c r="D573" i="7" s="1"/>
  <c r="F573" i="7" s="1"/>
  <c r="C574" i="7"/>
  <c r="D574" i="7" s="1"/>
  <c r="F574" i="7" s="1"/>
  <c r="C575" i="7"/>
  <c r="D575" i="7" s="1"/>
  <c r="F575" i="7" s="1"/>
  <c r="C576" i="7"/>
  <c r="D576" i="7" s="1"/>
  <c r="F576" i="7" s="1"/>
  <c r="C577" i="7"/>
  <c r="D577" i="7" s="1"/>
  <c r="F577" i="7" s="1"/>
  <c r="C578" i="7"/>
  <c r="D578" i="7" s="1"/>
  <c r="F578" i="7" s="1"/>
  <c r="C579" i="7"/>
  <c r="D579" i="7" s="1"/>
  <c r="F579" i="7" s="1"/>
  <c r="C580" i="7"/>
  <c r="D580" i="7" s="1"/>
  <c r="F580" i="7" s="1"/>
  <c r="C581" i="7"/>
  <c r="D581" i="7" s="1"/>
  <c r="F581" i="7" s="1"/>
  <c r="C582" i="7"/>
  <c r="D582" i="7" s="1"/>
  <c r="F582" i="7" s="1"/>
  <c r="C583" i="7"/>
  <c r="D583" i="7" s="1"/>
  <c r="F583" i="7" s="1"/>
  <c r="C584" i="7"/>
  <c r="D584" i="7" s="1"/>
  <c r="F584" i="7" s="1"/>
  <c r="C585" i="7"/>
  <c r="D585" i="7" s="1"/>
  <c r="F585" i="7" s="1"/>
  <c r="C586" i="7"/>
  <c r="D586" i="7" s="1"/>
  <c r="F586" i="7" s="1"/>
  <c r="C587" i="7"/>
  <c r="D587" i="7" s="1"/>
  <c r="F587" i="7" s="1"/>
  <c r="C588" i="7"/>
  <c r="D588" i="7" s="1"/>
  <c r="F588" i="7" s="1"/>
  <c r="C589" i="7"/>
  <c r="D589" i="7" s="1"/>
  <c r="C590" i="7"/>
  <c r="D590" i="7" s="1"/>
  <c r="F590" i="7" s="1"/>
  <c r="C591" i="7"/>
  <c r="D591" i="7" s="1"/>
  <c r="F591" i="7" s="1"/>
  <c r="C592" i="7"/>
  <c r="D592" i="7" s="1"/>
  <c r="F592" i="7" s="1"/>
  <c r="C593" i="7"/>
  <c r="D593" i="7" s="1"/>
  <c r="F593" i="7" s="1"/>
  <c r="C594" i="7"/>
  <c r="D594" i="7" s="1"/>
  <c r="F594" i="7" s="1"/>
  <c r="C595" i="7"/>
  <c r="D595" i="7" s="1"/>
  <c r="F595" i="7" s="1"/>
  <c r="C596" i="7"/>
  <c r="D596" i="7" s="1"/>
  <c r="F596" i="7" s="1"/>
  <c r="C597" i="7"/>
  <c r="D597" i="7" s="1"/>
  <c r="F597" i="7" s="1"/>
  <c r="C598" i="7"/>
  <c r="D598" i="7" s="1"/>
  <c r="F598" i="7" s="1"/>
  <c r="C599" i="7"/>
  <c r="D599" i="7" s="1"/>
  <c r="F599" i="7" s="1"/>
  <c r="C600" i="7"/>
  <c r="D600" i="7" s="1"/>
  <c r="F600" i="7" s="1"/>
  <c r="C601" i="7"/>
  <c r="D601" i="7" s="1"/>
  <c r="F601" i="7" s="1"/>
  <c r="C602" i="7"/>
  <c r="D602" i="7" s="1"/>
  <c r="F602" i="7" s="1"/>
  <c r="C603" i="7"/>
  <c r="D603" i="7" s="1"/>
  <c r="C604" i="7"/>
  <c r="D604" i="7" s="1"/>
  <c r="C605" i="7"/>
  <c r="D605" i="7" s="1"/>
  <c r="C606" i="7"/>
  <c r="D606" i="7" s="1"/>
  <c r="F606" i="7" s="1"/>
  <c r="C607" i="7"/>
  <c r="D607" i="7" s="1"/>
  <c r="C608" i="7"/>
  <c r="D608" i="7" s="1"/>
  <c r="C609" i="7"/>
  <c r="D609" i="7" s="1"/>
  <c r="C610" i="7"/>
  <c r="D610" i="7" s="1"/>
  <c r="F610" i="7" s="1"/>
  <c r="C611" i="7"/>
  <c r="D611" i="7" s="1"/>
  <c r="C612" i="7"/>
  <c r="D612" i="7" s="1"/>
  <c r="C613" i="7"/>
  <c r="D613" i="7" s="1"/>
  <c r="C614" i="7"/>
  <c r="D614" i="7" s="1"/>
  <c r="F614" i="7" s="1"/>
  <c r="C615" i="7"/>
  <c r="D615" i="7" s="1"/>
  <c r="C616" i="7"/>
  <c r="D616" i="7" s="1"/>
  <c r="C617" i="7"/>
  <c r="D617" i="7" s="1"/>
  <c r="C618" i="7"/>
  <c r="D618" i="7" s="1"/>
  <c r="F618" i="7" s="1"/>
  <c r="C619" i="7"/>
  <c r="D619" i="7" s="1"/>
  <c r="C620" i="7"/>
  <c r="D620" i="7" s="1"/>
  <c r="C621" i="7"/>
  <c r="D621" i="7" s="1"/>
  <c r="C622" i="7"/>
  <c r="D622" i="7" s="1"/>
  <c r="F622" i="7" s="1"/>
  <c r="C623" i="7"/>
  <c r="D623" i="7" s="1"/>
  <c r="C624" i="7"/>
  <c r="D624" i="7" s="1"/>
  <c r="C625" i="7"/>
  <c r="D625" i="7" s="1"/>
  <c r="C626" i="7"/>
  <c r="D626" i="7" s="1"/>
  <c r="F626" i="7" s="1"/>
  <c r="C627" i="7"/>
  <c r="D627" i="7" s="1"/>
  <c r="C628" i="7"/>
  <c r="D628" i="7" s="1"/>
  <c r="C629" i="7"/>
  <c r="D629" i="7" s="1"/>
  <c r="C630" i="7"/>
  <c r="D630" i="7" s="1"/>
  <c r="F630" i="7" s="1"/>
  <c r="C631" i="7"/>
  <c r="D631" i="7" s="1"/>
  <c r="C632" i="7"/>
  <c r="D632" i="7" s="1"/>
  <c r="C633" i="7"/>
  <c r="D633" i="7" s="1"/>
  <c r="C634" i="7"/>
  <c r="D634" i="7" s="1"/>
  <c r="F634" i="7" s="1"/>
  <c r="C635" i="7"/>
  <c r="D635" i="7" s="1"/>
  <c r="C636" i="7"/>
  <c r="D636" i="7" s="1"/>
  <c r="C637" i="7"/>
  <c r="D637" i="7" s="1"/>
  <c r="C638" i="7"/>
  <c r="D638" i="7" s="1"/>
  <c r="F638" i="7" s="1"/>
  <c r="C639" i="7"/>
  <c r="D639" i="7" s="1"/>
  <c r="C640" i="7"/>
  <c r="D640" i="7" s="1"/>
  <c r="C641" i="7"/>
  <c r="D641" i="7" s="1"/>
  <c r="C642" i="7"/>
  <c r="D642" i="7" s="1"/>
  <c r="F642" i="7" s="1"/>
  <c r="C643" i="7"/>
  <c r="D643" i="7" s="1"/>
  <c r="C644" i="7"/>
  <c r="D644" i="7" s="1"/>
  <c r="C645" i="7"/>
  <c r="D645" i="7" s="1"/>
  <c r="C646" i="7"/>
  <c r="D646" i="7" s="1"/>
  <c r="F646" i="7" s="1"/>
  <c r="C647" i="7"/>
  <c r="D647" i="7" s="1"/>
  <c r="C648" i="7"/>
  <c r="D648" i="7" s="1"/>
  <c r="C649" i="7"/>
  <c r="D649" i="7" s="1"/>
  <c r="C650" i="7"/>
  <c r="D650" i="7" s="1"/>
  <c r="F650" i="7" s="1"/>
  <c r="C651" i="7"/>
  <c r="D651" i="7" s="1"/>
  <c r="C652" i="7"/>
  <c r="D652" i="7" s="1"/>
  <c r="C653" i="7"/>
  <c r="D653" i="7" s="1"/>
  <c r="C654" i="7"/>
  <c r="D654" i="7" s="1"/>
  <c r="F654" i="7" s="1"/>
  <c r="C655" i="7"/>
  <c r="D655" i="7" s="1"/>
  <c r="C656" i="7"/>
  <c r="D656" i="7" s="1"/>
  <c r="C657" i="7"/>
  <c r="D657" i="7" s="1"/>
  <c r="C658" i="7"/>
  <c r="D658" i="7" s="1"/>
  <c r="C659" i="7"/>
  <c r="D659" i="7" s="1"/>
  <c r="C660" i="7"/>
  <c r="D660" i="7" s="1"/>
  <c r="C661" i="7"/>
  <c r="D661" i="7" s="1"/>
  <c r="C662" i="7"/>
  <c r="D662" i="7" s="1"/>
  <c r="F662" i="7" s="1"/>
  <c r="C663" i="7"/>
  <c r="D663" i="7" s="1"/>
  <c r="C664" i="7"/>
  <c r="D664" i="7" s="1"/>
  <c r="C665" i="7"/>
  <c r="D665" i="7" s="1"/>
  <c r="C666" i="7"/>
  <c r="D666" i="7" s="1"/>
  <c r="F666" i="7" s="1"/>
  <c r="C667" i="7"/>
  <c r="D667" i="7" s="1"/>
  <c r="C668" i="7"/>
  <c r="D668" i="7" s="1"/>
  <c r="C669" i="7"/>
  <c r="D669" i="7" s="1"/>
  <c r="C670" i="7"/>
  <c r="D670" i="7" s="1"/>
  <c r="F670" i="7" s="1"/>
  <c r="C671" i="7"/>
  <c r="D671" i="7" s="1"/>
  <c r="C672" i="7"/>
  <c r="D672" i="7" s="1"/>
  <c r="C673" i="7"/>
  <c r="D673" i="7" s="1"/>
  <c r="C674" i="7"/>
  <c r="D674" i="7" s="1"/>
  <c r="F674" i="7" s="1"/>
  <c r="C675" i="7"/>
  <c r="D675" i="7" s="1"/>
  <c r="C676" i="7"/>
  <c r="D676" i="7" s="1"/>
  <c r="C677" i="7"/>
  <c r="D677" i="7" s="1"/>
  <c r="C678" i="7"/>
  <c r="D678" i="7" s="1"/>
  <c r="F678" i="7" s="1"/>
  <c r="C679" i="7"/>
  <c r="D679" i="7" s="1"/>
  <c r="C680" i="7"/>
  <c r="D680" i="7" s="1"/>
  <c r="C681" i="7"/>
  <c r="D681" i="7" s="1"/>
  <c r="C682" i="7"/>
  <c r="D682" i="7" s="1"/>
  <c r="F682" i="7" s="1"/>
  <c r="C683" i="7"/>
  <c r="D683" i="7" s="1"/>
  <c r="C684" i="7"/>
  <c r="D684" i="7" s="1"/>
  <c r="C685" i="7"/>
  <c r="D685" i="7" s="1"/>
  <c r="C686" i="7"/>
  <c r="D686" i="7" s="1"/>
  <c r="F686" i="7" s="1"/>
  <c r="C687" i="7"/>
  <c r="D687" i="7" s="1"/>
  <c r="C688" i="7"/>
  <c r="D688" i="7" s="1"/>
  <c r="C689" i="7"/>
  <c r="D689" i="7" s="1"/>
  <c r="C690" i="7"/>
  <c r="D690" i="7" s="1"/>
  <c r="F690" i="7" s="1"/>
  <c r="C691" i="7"/>
  <c r="D691" i="7" s="1"/>
  <c r="C692" i="7"/>
  <c r="D692" i="7" s="1"/>
  <c r="C693" i="7"/>
  <c r="D693" i="7" s="1"/>
  <c r="C694" i="7"/>
  <c r="D694" i="7" s="1"/>
  <c r="F694" i="7" s="1"/>
  <c r="C695" i="7"/>
  <c r="D695" i="7" s="1"/>
  <c r="C696" i="7"/>
  <c r="D696" i="7" s="1"/>
  <c r="C697" i="7"/>
  <c r="D697" i="7" s="1"/>
  <c r="C698" i="7"/>
  <c r="D698" i="7" s="1"/>
  <c r="F698" i="7" s="1"/>
  <c r="C699" i="7"/>
  <c r="D699" i="7" s="1"/>
  <c r="C700" i="7"/>
  <c r="D700" i="7" s="1"/>
  <c r="C701" i="7"/>
  <c r="D701" i="7" s="1"/>
  <c r="C702" i="7"/>
  <c r="D702" i="7" s="1"/>
  <c r="F702" i="7" s="1"/>
  <c r="C703" i="7"/>
  <c r="D703" i="7" s="1"/>
  <c r="C704" i="7"/>
  <c r="D704" i="7" s="1"/>
  <c r="C705" i="7"/>
  <c r="D705" i="7" s="1"/>
  <c r="C706" i="7"/>
  <c r="D706" i="7" s="1"/>
  <c r="F706" i="7" s="1"/>
  <c r="C707" i="7"/>
  <c r="D707" i="7" s="1"/>
  <c r="C708" i="7"/>
  <c r="D708" i="7" s="1"/>
  <c r="C709" i="7"/>
  <c r="D709" i="7" s="1"/>
  <c r="C710" i="7"/>
  <c r="D710" i="7" s="1"/>
  <c r="F710" i="7" s="1"/>
  <c r="C711" i="7"/>
  <c r="D711" i="7" s="1"/>
  <c r="C712" i="7"/>
  <c r="D712" i="7" s="1"/>
  <c r="C713" i="7"/>
  <c r="D713" i="7" s="1"/>
  <c r="C714" i="7"/>
  <c r="D714" i="7" s="1"/>
  <c r="F714" i="7" s="1"/>
  <c r="C715" i="7"/>
  <c r="D715" i="7" s="1"/>
  <c r="C716" i="7"/>
  <c r="D716" i="7" s="1"/>
  <c r="C717" i="7"/>
  <c r="D717" i="7" s="1"/>
  <c r="C718" i="7"/>
  <c r="D718" i="7" s="1"/>
  <c r="F718" i="7" s="1"/>
  <c r="C719" i="7"/>
  <c r="D719" i="7" s="1"/>
  <c r="C720" i="7"/>
  <c r="D720" i="7" s="1"/>
  <c r="C721" i="7"/>
  <c r="D721" i="7" s="1"/>
  <c r="C722" i="7"/>
  <c r="D722" i="7" s="1"/>
  <c r="F722" i="7" s="1"/>
  <c r="C723" i="7"/>
  <c r="D723" i="7" s="1"/>
  <c r="C724" i="7"/>
  <c r="D724" i="7" s="1"/>
  <c r="C725" i="7"/>
  <c r="D725" i="7" s="1"/>
  <c r="C726" i="7"/>
  <c r="D726" i="7" s="1"/>
  <c r="F726" i="7" s="1"/>
  <c r="C727" i="7"/>
  <c r="D727" i="7" s="1"/>
  <c r="C728" i="7"/>
  <c r="D728" i="7" s="1"/>
  <c r="C729" i="7"/>
  <c r="D729" i="7" s="1"/>
  <c r="C730" i="7"/>
  <c r="D730" i="7" s="1"/>
  <c r="F730" i="7" s="1"/>
  <c r="C731" i="7"/>
  <c r="D731" i="7" s="1"/>
  <c r="C732" i="7"/>
  <c r="D732" i="7" s="1"/>
  <c r="C733" i="7"/>
  <c r="D733" i="7" s="1"/>
  <c r="C734" i="7"/>
  <c r="D734" i="7" s="1"/>
  <c r="F734" i="7" s="1"/>
  <c r="C735" i="7"/>
  <c r="D735" i="7" s="1"/>
  <c r="C736" i="7"/>
  <c r="E732" i="9" s="1"/>
  <c r="C737" i="7"/>
  <c r="D737" i="7" s="1"/>
  <c r="C738" i="7"/>
  <c r="E734" i="9" s="1"/>
  <c r="C739" i="7"/>
  <c r="D739" i="7" s="1"/>
  <c r="C740" i="7"/>
  <c r="E736" i="9" s="1"/>
  <c r="C741" i="7"/>
  <c r="D741" i="7" s="1"/>
  <c r="C742" i="7"/>
  <c r="E738" i="9" s="1"/>
  <c r="C743" i="7"/>
  <c r="D743" i="7" s="1"/>
  <c r="C744" i="7"/>
  <c r="E740" i="9" s="1"/>
  <c r="C745" i="7"/>
  <c r="D745" i="7" s="1"/>
  <c r="C746" i="7"/>
  <c r="E742" i="9" s="1"/>
  <c r="C747" i="7"/>
  <c r="D747" i="7" s="1"/>
  <c r="C748" i="7"/>
  <c r="E744" i="9" s="1"/>
  <c r="C749" i="7"/>
  <c r="D749" i="7" s="1"/>
  <c r="C750" i="7"/>
  <c r="E746" i="9" s="1"/>
  <c r="C751" i="7"/>
  <c r="D751" i="7" s="1"/>
  <c r="C752" i="7"/>
  <c r="E748" i="9" s="1"/>
  <c r="C753" i="7"/>
  <c r="D753" i="7" s="1"/>
  <c r="C754" i="7"/>
  <c r="E750" i="9" s="1"/>
  <c r="C755" i="7"/>
  <c r="D755" i="7" s="1"/>
  <c r="C756" i="7"/>
  <c r="E752" i="9" s="1"/>
  <c r="C757" i="7"/>
  <c r="D757" i="7" s="1"/>
  <c r="C758" i="7"/>
  <c r="E754" i="9" s="1"/>
  <c r="C759" i="7"/>
  <c r="D759" i="7" s="1"/>
  <c r="C760" i="7"/>
  <c r="E756" i="9" s="1"/>
  <c r="C761" i="7"/>
  <c r="D761" i="7" s="1"/>
  <c r="C762" i="7"/>
  <c r="E758" i="9" s="1"/>
  <c r="C763" i="7"/>
  <c r="D763" i="7" s="1"/>
  <c r="C764" i="7"/>
  <c r="E760" i="9" s="1"/>
  <c r="C765" i="7"/>
  <c r="D765" i="7" s="1"/>
  <c r="C766" i="7"/>
  <c r="E762" i="9" s="1"/>
  <c r="C767" i="7"/>
  <c r="D767" i="7" s="1"/>
  <c r="C768" i="7"/>
  <c r="E764" i="9" s="1"/>
  <c r="C769" i="7"/>
  <c r="D769" i="7" s="1"/>
  <c r="C770" i="7"/>
  <c r="E766" i="9" s="1"/>
  <c r="C771" i="7"/>
  <c r="D771" i="7" s="1"/>
  <c r="C772" i="7"/>
  <c r="E768" i="9" s="1"/>
  <c r="C773" i="7"/>
  <c r="D773" i="7" s="1"/>
  <c r="C774" i="7"/>
  <c r="E770" i="9" s="1"/>
  <c r="C775" i="7"/>
  <c r="D775" i="7" s="1"/>
  <c r="C776" i="7"/>
  <c r="E772" i="9" s="1"/>
  <c r="C777" i="7"/>
  <c r="D777" i="7" s="1"/>
  <c r="C778" i="7"/>
  <c r="E774" i="9" s="1"/>
  <c r="C779" i="7"/>
  <c r="D779" i="7" s="1"/>
  <c r="C780" i="7"/>
  <c r="E776" i="9" s="1"/>
  <c r="C781" i="7"/>
  <c r="D781" i="7" s="1"/>
  <c r="C782" i="7"/>
  <c r="E778" i="9" s="1"/>
  <c r="C783" i="7"/>
  <c r="D783" i="7" s="1"/>
  <c r="C784" i="7"/>
  <c r="E780" i="9" s="1"/>
  <c r="C785" i="7"/>
  <c r="D785" i="7" s="1"/>
  <c r="C786" i="7"/>
  <c r="E782" i="9" s="1"/>
  <c r="C787" i="7"/>
  <c r="D787" i="7" s="1"/>
  <c r="C788" i="7"/>
  <c r="E784" i="9" s="1"/>
  <c r="C789" i="7"/>
  <c r="D789" i="7" s="1"/>
  <c r="C790" i="7"/>
  <c r="E786" i="9" s="1"/>
  <c r="C791" i="7"/>
  <c r="D791" i="7" s="1"/>
  <c r="C792" i="7"/>
  <c r="E788" i="9" s="1"/>
  <c r="C793" i="7"/>
  <c r="D793" i="7" s="1"/>
  <c r="C794" i="7"/>
  <c r="E790" i="9" s="1"/>
  <c r="C795" i="7"/>
  <c r="D795" i="7" s="1"/>
  <c r="C796" i="7"/>
  <c r="E792" i="9" s="1"/>
  <c r="C797" i="7"/>
  <c r="D797" i="7" s="1"/>
  <c r="C798" i="7"/>
  <c r="E794" i="9" s="1"/>
  <c r="C799" i="7"/>
  <c r="D799" i="7" s="1"/>
  <c r="C800" i="7"/>
  <c r="E796" i="9" s="1"/>
  <c r="C801" i="7"/>
  <c r="D801" i="7" s="1"/>
  <c r="C802" i="7"/>
  <c r="E798" i="9" s="1"/>
  <c r="C803" i="7"/>
  <c r="D803" i="7" s="1"/>
  <c r="C804" i="7"/>
  <c r="E800" i="9" s="1"/>
  <c r="C805" i="7"/>
  <c r="D805" i="7" s="1"/>
  <c r="C806" i="7"/>
  <c r="E802" i="9" s="1"/>
  <c r="C807" i="7"/>
  <c r="D807" i="7" s="1"/>
  <c r="C808" i="7"/>
  <c r="E804" i="9" s="1"/>
  <c r="C809" i="7"/>
  <c r="D809" i="7" s="1"/>
  <c r="C810" i="7"/>
  <c r="E806" i="9" s="1"/>
  <c r="C811" i="7"/>
  <c r="D811" i="7" s="1"/>
  <c r="C812" i="7"/>
  <c r="E808" i="9" s="1"/>
  <c r="C813" i="7"/>
  <c r="D813" i="7" s="1"/>
  <c r="C814" i="7"/>
  <c r="E810" i="9" s="1"/>
  <c r="C815" i="7"/>
  <c r="D815" i="7" s="1"/>
  <c r="C816" i="7"/>
  <c r="E812" i="9" s="1"/>
  <c r="C817" i="7"/>
  <c r="D817" i="7" s="1"/>
  <c r="C818" i="7"/>
  <c r="E814" i="9" s="1"/>
  <c r="C819" i="7"/>
  <c r="D819" i="7" s="1"/>
  <c r="C820" i="7"/>
  <c r="E816" i="9" s="1"/>
  <c r="C821" i="7"/>
  <c r="D821" i="7" s="1"/>
  <c r="C822" i="7"/>
  <c r="E818" i="9" s="1"/>
  <c r="C823" i="7"/>
  <c r="D823" i="7" s="1"/>
  <c r="C824" i="7"/>
  <c r="E820" i="9" s="1"/>
  <c r="C825" i="7"/>
  <c r="D825" i="7" s="1"/>
  <c r="C826" i="7"/>
  <c r="E822" i="9" s="1"/>
  <c r="C827" i="7"/>
  <c r="D827" i="7" s="1"/>
  <c r="C828" i="7"/>
  <c r="E824" i="9" s="1"/>
  <c r="C829" i="7"/>
  <c r="D829" i="7" s="1"/>
  <c r="C830" i="7"/>
  <c r="E826" i="9" s="1"/>
  <c r="C831" i="7"/>
  <c r="D831" i="7" s="1"/>
  <c r="C832" i="7"/>
  <c r="E828" i="9" s="1"/>
  <c r="C833" i="7"/>
  <c r="D833" i="7" s="1"/>
  <c r="C834" i="7"/>
  <c r="E830" i="9" s="1"/>
  <c r="C835" i="7"/>
  <c r="D835" i="7" s="1"/>
  <c r="C836" i="7"/>
  <c r="E832" i="9" s="1"/>
  <c r="C837" i="7"/>
  <c r="D837" i="7" s="1"/>
  <c r="C838" i="7"/>
  <c r="E834" i="9" s="1"/>
  <c r="C839" i="7"/>
  <c r="D839" i="7" s="1"/>
  <c r="C840" i="7"/>
  <c r="E836" i="9" s="1"/>
  <c r="C841" i="7"/>
  <c r="D841" i="7" s="1"/>
  <c r="C842" i="7"/>
  <c r="E838" i="9" s="1"/>
  <c r="C843" i="7"/>
  <c r="D843" i="7" s="1"/>
  <c r="C844" i="7"/>
  <c r="E840" i="9" s="1"/>
  <c r="C845" i="7"/>
  <c r="D845" i="7" s="1"/>
  <c r="F845" i="7" s="1"/>
  <c r="C846" i="7"/>
  <c r="E842" i="9" s="1"/>
  <c r="C847" i="7"/>
  <c r="D847" i="7" s="1"/>
  <c r="C848" i="7"/>
  <c r="E844" i="9" s="1"/>
  <c r="C849" i="7"/>
  <c r="D849" i="7" s="1"/>
  <c r="C850" i="7"/>
  <c r="E846" i="9" s="1"/>
  <c r="C851" i="7"/>
  <c r="D851" i="7" s="1"/>
  <c r="C852" i="7"/>
  <c r="E848" i="9" s="1"/>
  <c r="C853" i="7"/>
  <c r="C854" i="7"/>
  <c r="E850" i="9" s="1"/>
  <c r="C855" i="7"/>
  <c r="D855" i="7" s="1"/>
  <c r="C856" i="7"/>
  <c r="E852" i="9" s="1"/>
  <c r="C857" i="7"/>
  <c r="D857" i="7" s="1"/>
  <c r="C858" i="7"/>
  <c r="E854" i="9" s="1"/>
  <c r="C859" i="7"/>
  <c r="D859" i="7" s="1"/>
  <c r="C860" i="7"/>
  <c r="E856" i="9" s="1"/>
  <c r="C861" i="7"/>
  <c r="D861" i="7" s="1"/>
  <c r="F861" i="7" s="1"/>
  <c r="C862" i="7"/>
  <c r="E858" i="9" s="1"/>
  <c r="C863" i="7"/>
  <c r="D863" i="7" s="1"/>
  <c r="C864" i="7"/>
  <c r="E860" i="9" s="1"/>
  <c r="C865" i="7"/>
  <c r="D865" i="7" s="1"/>
  <c r="C866" i="7"/>
  <c r="E862" i="9" s="1"/>
  <c r="C867" i="7"/>
  <c r="D867" i="7" s="1"/>
  <c r="C868" i="7"/>
  <c r="E864" i="9" s="1"/>
  <c r="C869" i="7"/>
  <c r="C870" i="7"/>
  <c r="E866" i="9" s="1"/>
  <c r="C871" i="7"/>
  <c r="D871" i="7" s="1"/>
  <c r="C872" i="7"/>
  <c r="E868" i="9" s="1"/>
  <c r="C873" i="7"/>
  <c r="D873" i="7" s="1"/>
  <c r="C874" i="7"/>
  <c r="E870" i="9" s="1"/>
  <c r="C875" i="7"/>
  <c r="D875" i="7" s="1"/>
  <c r="C876" i="7"/>
  <c r="E872" i="9" s="1"/>
  <c r="C877" i="7"/>
  <c r="D877" i="7" s="1"/>
  <c r="C878" i="7"/>
  <c r="E874" i="9" s="1"/>
  <c r="C879" i="7"/>
  <c r="D879" i="7" s="1"/>
  <c r="C880" i="7"/>
  <c r="E876" i="9" s="1"/>
  <c r="C881" i="7"/>
  <c r="D881" i="7" s="1"/>
  <c r="C882" i="7"/>
  <c r="E878" i="9" s="1"/>
  <c r="C883" i="7"/>
  <c r="D883" i="7" s="1"/>
  <c r="C884" i="7"/>
  <c r="E880" i="9" s="1"/>
  <c r="C885" i="7"/>
  <c r="C886" i="7"/>
  <c r="E882" i="9" s="1"/>
  <c r="C887" i="7"/>
  <c r="D887" i="7" s="1"/>
  <c r="C888" i="7"/>
  <c r="E884" i="9" s="1"/>
  <c r="C889" i="7"/>
  <c r="D889" i="7" s="1"/>
  <c r="C890" i="7"/>
  <c r="E886" i="9" s="1"/>
  <c r="C891" i="7"/>
  <c r="D891" i="7" s="1"/>
  <c r="C892" i="7"/>
  <c r="E888" i="9" s="1"/>
  <c r="C893" i="7"/>
  <c r="D893" i="7" s="1"/>
  <c r="F893" i="7" s="1"/>
  <c r="C894" i="7"/>
  <c r="E890" i="9" s="1"/>
  <c r="C895" i="7"/>
  <c r="D895" i="7" s="1"/>
  <c r="C896" i="7"/>
  <c r="E892" i="9" s="1"/>
  <c r="C897" i="7"/>
  <c r="D897" i="7" s="1"/>
  <c r="C898" i="7"/>
  <c r="E894" i="9" s="1"/>
  <c r="C899" i="7"/>
  <c r="D899" i="7" s="1"/>
  <c r="C900" i="7"/>
  <c r="H896" i="9" s="1"/>
  <c r="C901" i="7"/>
  <c r="C902" i="7"/>
  <c r="H898" i="9" s="1"/>
  <c r="C903" i="7"/>
  <c r="C904" i="7"/>
  <c r="H900" i="9" s="1"/>
  <c r="C905" i="7"/>
  <c r="D905" i="7" s="1"/>
  <c r="C906" i="7"/>
  <c r="H902" i="9" s="1"/>
  <c r="C907" i="7"/>
  <c r="C908" i="7"/>
  <c r="H904" i="9" s="1"/>
  <c r="C909" i="7"/>
  <c r="C910" i="7"/>
  <c r="H906" i="9" s="1"/>
  <c r="C911" i="7"/>
  <c r="C912" i="7"/>
  <c r="H908" i="9" s="1"/>
  <c r="C913" i="7"/>
  <c r="D913" i="7" s="1"/>
  <c r="C914" i="7"/>
  <c r="H910" i="9" s="1"/>
  <c r="C915" i="7"/>
  <c r="C916" i="7"/>
  <c r="H912" i="9" s="1"/>
  <c r="C917" i="7"/>
  <c r="C918" i="7"/>
  <c r="H914" i="9" s="1"/>
  <c r="C919" i="7"/>
  <c r="C920" i="7"/>
  <c r="H916" i="9" s="1"/>
  <c r="C921" i="7"/>
  <c r="D921" i="7" s="1"/>
  <c r="C922" i="7"/>
  <c r="H918" i="9" s="1"/>
  <c r="C923" i="7"/>
  <c r="C924" i="7"/>
  <c r="H920" i="9" s="1"/>
  <c r="C925" i="7"/>
  <c r="C926" i="7"/>
  <c r="H922" i="9" s="1"/>
  <c r="C927" i="7"/>
  <c r="C928" i="7"/>
  <c r="H924" i="9" s="1"/>
  <c r="C929" i="7"/>
  <c r="D929" i="7" s="1"/>
  <c r="C930" i="7"/>
  <c r="H926" i="9" s="1"/>
  <c r="C931" i="7"/>
  <c r="C932" i="7"/>
  <c r="H928" i="9" s="1"/>
  <c r="C933" i="7"/>
  <c r="C934" i="7"/>
  <c r="H930" i="9" s="1"/>
  <c r="C935" i="7"/>
  <c r="C936" i="7"/>
  <c r="H932" i="9" s="1"/>
  <c r="C937" i="7"/>
  <c r="D937" i="7" s="1"/>
  <c r="C938" i="7"/>
  <c r="H934" i="9" s="1"/>
  <c r="C939" i="7"/>
  <c r="C940" i="7"/>
  <c r="H936" i="9" s="1"/>
  <c r="C941" i="7"/>
  <c r="C942" i="7"/>
  <c r="H938" i="9" s="1"/>
  <c r="C943" i="7"/>
  <c r="C944" i="7"/>
  <c r="H940" i="9" s="1"/>
  <c r="C945" i="7"/>
  <c r="D945" i="7" s="1"/>
  <c r="C946" i="7"/>
  <c r="H942" i="9" s="1"/>
  <c r="C947" i="7"/>
  <c r="C948" i="7"/>
  <c r="H944" i="9" s="1"/>
  <c r="C949" i="7"/>
  <c r="C950" i="7"/>
  <c r="H946" i="9" s="1"/>
  <c r="C951" i="7"/>
  <c r="C952" i="7"/>
  <c r="H948" i="9" s="1"/>
  <c r="C953" i="7"/>
  <c r="D953" i="7" s="1"/>
  <c r="C954" i="7"/>
  <c r="H950" i="9" s="1"/>
  <c r="C955" i="7"/>
  <c r="C956" i="7"/>
  <c r="H952" i="9" s="1"/>
  <c r="C957" i="7"/>
  <c r="C958" i="7"/>
  <c r="H954" i="9" s="1"/>
  <c r="C959" i="7"/>
  <c r="C960" i="7"/>
  <c r="H956" i="9" s="1"/>
  <c r="C961" i="7"/>
  <c r="D961" i="7" s="1"/>
  <c r="C962" i="7"/>
  <c r="H958" i="9" s="1"/>
  <c r="C963" i="7"/>
  <c r="C964" i="7"/>
  <c r="H960" i="9" s="1"/>
  <c r="C965" i="7"/>
  <c r="C966" i="7"/>
  <c r="H962" i="9" s="1"/>
  <c r="C967" i="7"/>
  <c r="C968" i="7"/>
  <c r="H964" i="9" s="1"/>
  <c r="C969" i="7"/>
  <c r="D969" i="7" s="1"/>
  <c r="C970" i="7"/>
  <c r="H966" i="9" s="1"/>
  <c r="C971" i="7"/>
  <c r="C972" i="7"/>
  <c r="H968" i="9" s="1"/>
  <c r="C973" i="7"/>
  <c r="C974" i="7"/>
  <c r="H970" i="9" s="1"/>
  <c r="C975" i="7"/>
  <c r="C976" i="7"/>
  <c r="H972" i="9" s="1"/>
  <c r="C977" i="7"/>
  <c r="D977" i="7" s="1"/>
  <c r="C978" i="7"/>
  <c r="H974" i="9" s="1"/>
  <c r="C979" i="7"/>
  <c r="C980" i="7"/>
  <c r="H976" i="9" s="1"/>
  <c r="C981" i="7"/>
  <c r="C982" i="7"/>
  <c r="H978" i="9" s="1"/>
  <c r="C983" i="7"/>
  <c r="C984" i="7"/>
  <c r="H980" i="9" s="1"/>
  <c r="C985" i="7"/>
  <c r="D985" i="7" s="1"/>
  <c r="C986" i="7"/>
  <c r="H982" i="9" s="1"/>
  <c r="C987" i="7"/>
  <c r="C988" i="7"/>
  <c r="H984" i="9" s="1"/>
  <c r="C989" i="7"/>
  <c r="C990" i="7"/>
  <c r="H986" i="9" s="1"/>
  <c r="C991" i="7"/>
  <c r="C992" i="7"/>
  <c r="H988" i="9" s="1"/>
  <c r="C993" i="7"/>
  <c r="D993" i="7" s="1"/>
  <c r="C994" i="7"/>
  <c r="H990" i="9" s="1"/>
  <c r="C995" i="7"/>
  <c r="C996" i="7"/>
  <c r="H992" i="9" s="1"/>
  <c r="C997" i="7"/>
  <c r="C998" i="7"/>
  <c r="H994" i="9" s="1"/>
  <c r="C999" i="7"/>
  <c r="C1000" i="7"/>
  <c r="H996" i="9" s="1"/>
  <c r="C1001" i="7"/>
  <c r="D1001" i="7" s="1"/>
  <c r="C1002" i="7"/>
  <c r="H998" i="9" s="1"/>
  <c r="C1003" i="7"/>
  <c r="H999" i="9" s="1"/>
  <c r="C1004" i="7"/>
  <c r="H1000" i="9" s="1"/>
  <c r="C1005" i="7"/>
  <c r="H1001" i="9" s="1"/>
  <c r="C1006" i="7"/>
  <c r="H1002" i="9" s="1"/>
  <c r="C1007" i="7"/>
  <c r="H1003" i="9" s="1"/>
  <c r="C8" i="7"/>
  <c r="F877" i="7"/>
  <c r="F658" i="7"/>
  <c r="F589" i="7"/>
  <c r="F453" i="7"/>
  <c r="F325" i="7"/>
  <c r="F265" i="7"/>
  <c r="F233" i="7"/>
  <c r="F201" i="7"/>
  <c r="F169" i="7"/>
  <c r="F137" i="7"/>
  <c r="F105" i="7"/>
  <c r="F73" i="7"/>
  <c r="A8" i="7"/>
  <c r="C9" i="6"/>
  <c r="D9" i="6" s="1"/>
  <c r="C10" i="6"/>
  <c r="D10" i="6" s="1"/>
  <c r="C11" i="6"/>
  <c r="D11" i="6" s="1"/>
  <c r="C12" i="6"/>
  <c r="D12" i="6" s="1"/>
  <c r="C13" i="6"/>
  <c r="D13" i="6" s="1"/>
  <c r="C14" i="6"/>
  <c r="D14" i="6" s="1"/>
  <c r="C15" i="6"/>
  <c r="D15" i="6" s="1"/>
  <c r="C16" i="6"/>
  <c r="D16" i="6" s="1"/>
  <c r="C17" i="6"/>
  <c r="D17" i="6" s="1"/>
  <c r="C18" i="6"/>
  <c r="D18" i="6" s="1"/>
  <c r="C19" i="6"/>
  <c r="D19" i="6" s="1"/>
  <c r="C20" i="6"/>
  <c r="D20" i="6" s="1"/>
  <c r="C21" i="6"/>
  <c r="D21" i="6" s="1"/>
  <c r="C22" i="6"/>
  <c r="D22" i="6" s="1"/>
  <c r="C23" i="6"/>
  <c r="C24" i="6"/>
  <c r="D24" i="6" s="1"/>
  <c r="C25" i="6"/>
  <c r="D25" i="6" s="1"/>
  <c r="C26" i="6"/>
  <c r="D26" i="6" s="1"/>
  <c r="C27" i="6"/>
  <c r="D27" i="6" s="1"/>
  <c r="C28" i="6"/>
  <c r="D28" i="6" s="1"/>
  <c r="C29" i="6"/>
  <c r="D29" i="6" s="1"/>
  <c r="C30" i="6"/>
  <c r="D30" i="6" s="1"/>
  <c r="C31" i="6"/>
  <c r="D31" i="6" s="1"/>
  <c r="C32" i="6"/>
  <c r="D32" i="6" s="1"/>
  <c r="C33" i="6"/>
  <c r="D33" i="6" s="1"/>
  <c r="C34" i="6"/>
  <c r="D34" i="6" s="1"/>
  <c r="C35" i="6"/>
  <c r="D35" i="6" s="1"/>
  <c r="C36" i="6"/>
  <c r="D36" i="6" s="1"/>
  <c r="C37" i="6"/>
  <c r="D37" i="6" s="1"/>
  <c r="C38" i="6"/>
  <c r="D38" i="6" s="1"/>
  <c r="C39" i="6"/>
  <c r="C40" i="6"/>
  <c r="D40" i="6" s="1"/>
  <c r="C41" i="6"/>
  <c r="D41" i="6" s="1"/>
  <c r="C42" i="6"/>
  <c r="D42" i="6" s="1"/>
  <c r="C43" i="6"/>
  <c r="D43" i="6" s="1"/>
  <c r="C44" i="6"/>
  <c r="D44" i="6" s="1"/>
  <c r="C45" i="6"/>
  <c r="D45" i="6" s="1"/>
  <c r="C46" i="6"/>
  <c r="D46" i="6" s="1"/>
  <c r="C47" i="6"/>
  <c r="D47" i="6" s="1"/>
  <c r="C48" i="6"/>
  <c r="D48" i="6" s="1"/>
  <c r="C49" i="6"/>
  <c r="D49" i="6" s="1"/>
  <c r="C50" i="6"/>
  <c r="D50" i="6" s="1"/>
  <c r="C51" i="6"/>
  <c r="D51" i="6" s="1"/>
  <c r="C52" i="6"/>
  <c r="D52" i="6" s="1"/>
  <c r="C53" i="6"/>
  <c r="D53" i="6" s="1"/>
  <c r="C54" i="6"/>
  <c r="D54" i="6" s="1"/>
  <c r="C55" i="6"/>
  <c r="C56" i="6"/>
  <c r="D56" i="6" s="1"/>
  <c r="C57" i="6"/>
  <c r="D57" i="6" s="1"/>
  <c r="C58" i="6"/>
  <c r="D58" i="6" s="1"/>
  <c r="C59" i="6"/>
  <c r="D59" i="6" s="1"/>
  <c r="C60" i="6"/>
  <c r="D60" i="6" s="1"/>
  <c r="C61" i="6"/>
  <c r="D61" i="6" s="1"/>
  <c r="C62" i="6"/>
  <c r="D62" i="6" s="1"/>
  <c r="C63" i="6"/>
  <c r="D63" i="6" s="1"/>
  <c r="C64" i="6"/>
  <c r="D64" i="6" s="1"/>
  <c r="C65" i="6"/>
  <c r="D65" i="6" s="1"/>
  <c r="C66" i="6"/>
  <c r="D66" i="6" s="1"/>
  <c r="C67" i="6"/>
  <c r="D67" i="6" s="1"/>
  <c r="C68" i="6"/>
  <c r="D68" i="6" s="1"/>
  <c r="C69" i="6"/>
  <c r="D69" i="6" s="1"/>
  <c r="C70" i="6"/>
  <c r="D70" i="6" s="1"/>
  <c r="C71" i="6"/>
  <c r="D71" i="6" s="1"/>
  <c r="C72" i="6"/>
  <c r="D72" i="6" s="1"/>
  <c r="C73" i="6"/>
  <c r="D73" i="6" s="1"/>
  <c r="C74" i="6"/>
  <c r="D74" i="6" s="1"/>
  <c r="C75" i="6"/>
  <c r="D75" i="6" s="1"/>
  <c r="C76" i="6"/>
  <c r="D76" i="6" s="1"/>
  <c r="C77" i="6"/>
  <c r="D77" i="6" s="1"/>
  <c r="C78" i="6"/>
  <c r="D78" i="6" s="1"/>
  <c r="C79" i="6"/>
  <c r="D79" i="6" s="1"/>
  <c r="C80" i="6"/>
  <c r="D80" i="6" s="1"/>
  <c r="C81" i="6"/>
  <c r="D81" i="6" s="1"/>
  <c r="C82" i="6"/>
  <c r="D82" i="6" s="1"/>
  <c r="C83" i="6"/>
  <c r="D83" i="6" s="1"/>
  <c r="C84" i="6"/>
  <c r="D84" i="6" s="1"/>
  <c r="C85" i="6"/>
  <c r="C86" i="6"/>
  <c r="D86" i="6" s="1"/>
  <c r="C87" i="6"/>
  <c r="D87" i="6" s="1"/>
  <c r="C88" i="6"/>
  <c r="D88" i="6" s="1"/>
  <c r="C89" i="6"/>
  <c r="D89" i="6" s="1"/>
  <c r="C90" i="6"/>
  <c r="D90" i="6" s="1"/>
  <c r="C91" i="6"/>
  <c r="D91" i="6" s="1"/>
  <c r="C92" i="6"/>
  <c r="D92" i="6" s="1"/>
  <c r="C93" i="6"/>
  <c r="D93" i="6" s="1"/>
  <c r="C94" i="6"/>
  <c r="D94" i="6" s="1"/>
  <c r="C95" i="6"/>
  <c r="D95" i="6" s="1"/>
  <c r="C96" i="6"/>
  <c r="D96" i="6" s="1"/>
  <c r="C97" i="6"/>
  <c r="D97" i="6" s="1"/>
  <c r="C98" i="6"/>
  <c r="D98" i="6" s="1"/>
  <c r="C99" i="6"/>
  <c r="D99" i="6" s="1"/>
  <c r="C100" i="6"/>
  <c r="D100" i="6" s="1"/>
  <c r="C101" i="6"/>
  <c r="C102" i="6"/>
  <c r="D102" i="6" s="1"/>
  <c r="C103" i="6"/>
  <c r="D103" i="6" s="1"/>
  <c r="C104" i="6"/>
  <c r="D104" i="6" s="1"/>
  <c r="C105" i="6"/>
  <c r="D105" i="6" s="1"/>
  <c r="C106" i="6"/>
  <c r="D106" i="6" s="1"/>
  <c r="C107" i="6"/>
  <c r="D107" i="6" s="1"/>
  <c r="C108" i="6"/>
  <c r="D108" i="6" s="1"/>
  <c r="C109" i="6"/>
  <c r="D109" i="6" s="1"/>
  <c r="C110" i="6"/>
  <c r="D110" i="6" s="1"/>
  <c r="C111" i="6"/>
  <c r="D111" i="6" s="1"/>
  <c r="C112" i="6"/>
  <c r="D112" i="6" s="1"/>
  <c r="C113" i="6"/>
  <c r="D113" i="6" s="1"/>
  <c r="C114" i="6"/>
  <c r="D114" i="6" s="1"/>
  <c r="C115" i="6"/>
  <c r="D115" i="6" s="1"/>
  <c r="C116" i="6"/>
  <c r="D116" i="6" s="1"/>
  <c r="C117" i="6"/>
  <c r="D117" i="6" s="1"/>
  <c r="C118" i="6"/>
  <c r="D118" i="6" s="1"/>
  <c r="C119" i="6"/>
  <c r="D119" i="6" s="1"/>
  <c r="C120" i="6"/>
  <c r="D120" i="6" s="1"/>
  <c r="C121" i="6"/>
  <c r="D121" i="6" s="1"/>
  <c r="C122" i="6"/>
  <c r="D122" i="6" s="1"/>
  <c r="C123" i="6"/>
  <c r="D123" i="6" s="1"/>
  <c r="C124" i="6"/>
  <c r="D124" i="6" s="1"/>
  <c r="C125" i="6"/>
  <c r="D125" i="6" s="1"/>
  <c r="C126" i="6"/>
  <c r="D126" i="6" s="1"/>
  <c r="C127" i="6"/>
  <c r="D127" i="6" s="1"/>
  <c r="C128" i="6"/>
  <c r="D128" i="6" s="1"/>
  <c r="C129" i="6"/>
  <c r="D129" i="6" s="1"/>
  <c r="C130" i="6"/>
  <c r="D130" i="6" s="1"/>
  <c r="C131" i="6"/>
  <c r="D131" i="6" s="1"/>
  <c r="C132" i="6"/>
  <c r="D132" i="6" s="1"/>
  <c r="C133" i="6"/>
  <c r="D133" i="6" s="1"/>
  <c r="C134" i="6"/>
  <c r="D134" i="6" s="1"/>
  <c r="C135" i="6"/>
  <c r="D135" i="6" s="1"/>
  <c r="C136" i="6"/>
  <c r="D136" i="6" s="1"/>
  <c r="C137" i="6"/>
  <c r="D137" i="6" s="1"/>
  <c r="C138" i="6"/>
  <c r="D138" i="6" s="1"/>
  <c r="C139" i="6"/>
  <c r="D139" i="6" s="1"/>
  <c r="C140" i="6"/>
  <c r="D140" i="6" s="1"/>
  <c r="C141" i="6"/>
  <c r="D141" i="6" s="1"/>
  <c r="C142" i="6"/>
  <c r="D142" i="6" s="1"/>
  <c r="C143" i="6"/>
  <c r="D143" i="6" s="1"/>
  <c r="C144" i="6"/>
  <c r="D144" i="6" s="1"/>
  <c r="C145" i="6"/>
  <c r="D145" i="6" s="1"/>
  <c r="C146" i="6"/>
  <c r="D146" i="6" s="1"/>
  <c r="C147" i="6"/>
  <c r="D147" i="6" s="1"/>
  <c r="C148" i="6"/>
  <c r="D148" i="6" s="1"/>
  <c r="C149" i="6"/>
  <c r="D149" i="6" s="1"/>
  <c r="C150" i="6"/>
  <c r="D150" i="6" s="1"/>
  <c r="C151" i="6"/>
  <c r="D151" i="6" s="1"/>
  <c r="C152" i="6"/>
  <c r="D152" i="6" s="1"/>
  <c r="C153" i="6"/>
  <c r="D153" i="6" s="1"/>
  <c r="C154" i="6"/>
  <c r="D154" i="6" s="1"/>
  <c r="C155" i="6"/>
  <c r="D155" i="6" s="1"/>
  <c r="C156" i="6"/>
  <c r="D156" i="6" s="1"/>
  <c r="C157" i="6"/>
  <c r="D157" i="6" s="1"/>
  <c r="C158" i="6"/>
  <c r="D158" i="6" s="1"/>
  <c r="C159" i="6"/>
  <c r="D159" i="6" s="1"/>
  <c r="C160" i="6"/>
  <c r="D160" i="6" s="1"/>
  <c r="C161" i="6"/>
  <c r="D161" i="6" s="1"/>
  <c r="C162" i="6"/>
  <c r="D162" i="6" s="1"/>
  <c r="C163" i="6"/>
  <c r="D163" i="6" s="1"/>
  <c r="C164" i="6"/>
  <c r="D164" i="6" s="1"/>
  <c r="C165" i="6"/>
  <c r="D165" i="6" s="1"/>
  <c r="C166" i="6"/>
  <c r="D166" i="6" s="1"/>
  <c r="C167" i="6"/>
  <c r="D167" i="6" s="1"/>
  <c r="C168" i="6"/>
  <c r="D168" i="6" s="1"/>
  <c r="C169" i="6"/>
  <c r="D169" i="6" s="1"/>
  <c r="C170" i="6"/>
  <c r="D170" i="6" s="1"/>
  <c r="C171" i="6"/>
  <c r="D171" i="6" s="1"/>
  <c r="C172" i="6"/>
  <c r="D172" i="6" s="1"/>
  <c r="C173" i="6"/>
  <c r="D173" i="6" s="1"/>
  <c r="C174" i="6"/>
  <c r="D174" i="6" s="1"/>
  <c r="C175" i="6"/>
  <c r="D175" i="6" s="1"/>
  <c r="C176" i="6"/>
  <c r="D176" i="6" s="1"/>
  <c r="C177" i="6"/>
  <c r="D177" i="6" s="1"/>
  <c r="C178" i="6"/>
  <c r="D178" i="6" s="1"/>
  <c r="C179" i="6"/>
  <c r="D179" i="6" s="1"/>
  <c r="C180" i="6"/>
  <c r="D180" i="6" s="1"/>
  <c r="C181" i="6"/>
  <c r="D181" i="6" s="1"/>
  <c r="C182" i="6"/>
  <c r="D182" i="6" s="1"/>
  <c r="C183" i="6"/>
  <c r="D183" i="6" s="1"/>
  <c r="C184" i="6"/>
  <c r="D184" i="6" s="1"/>
  <c r="C185" i="6"/>
  <c r="D185" i="6" s="1"/>
  <c r="C186" i="6"/>
  <c r="D186" i="6" s="1"/>
  <c r="C187" i="6"/>
  <c r="D187" i="6" s="1"/>
  <c r="C188" i="6"/>
  <c r="D188" i="6" s="1"/>
  <c r="C189" i="6"/>
  <c r="D189" i="6" s="1"/>
  <c r="C190" i="6"/>
  <c r="D190" i="6" s="1"/>
  <c r="C191" i="6"/>
  <c r="D191" i="6" s="1"/>
  <c r="C192" i="6"/>
  <c r="D192" i="6" s="1"/>
  <c r="C193" i="6"/>
  <c r="D193" i="6" s="1"/>
  <c r="C194" i="6"/>
  <c r="D194" i="6" s="1"/>
  <c r="C195" i="6"/>
  <c r="D195" i="6" s="1"/>
  <c r="C196" i="6"/>
  <c r="D196" i="6" s="1"/>
  <c r="C197" i="6"/>
  <c r="D197" i="6" s="1"/>
  <c r="C198" i="6"/>
  <c r="D198" i="6" s="1"/>
  <c r="C199" i="6"/>
  <c r="D199" i="6" s="1"/>
  <c r="C200" i="6"/>
  <c r="D200" i="6" s="1"/>
  <c r="C201" i="6"/>
  <c r="D201" i="6" s="1"/>
  <c r="C202" i="6"/>
  <c r="D202" i="6" s="1"/>
  <c r="C203" i="6"/>
  <c r="D203" i="6" s="1"/>
  <c r="C204" i="6"/>
  <c r="D204" i="6" s="1"/>
  <c r="C205" i="6"/>
  <c r="D205" i="6" s="1"/>
  <c r="C206" i="6"/>
  <c r="D206" i="6" s="1"/>
  <c r="C207" i="6"/>
  <c r="D207" i="6" s="1"/>
  <c r="C208" i="6"/>
  <c r="D208" i="6" s="1"/>
  <c r="C209" i="6"/>
  <c r="D209" i="6" s="1"/>
  <c r="C210" i="6"/>
  <c r="D210" i="6" s="1"/>
  <c r="C211" i="6"/>
  <c r="D211" i="6" s="1"/>
  <c r="C212" i="6"/>
  <c r="D212" i="6" s="1"/>
  <c r="C213" i="6"/>
  <c r="D213" i="6" s="1"/>
  <c r="C214" i="6"/>
  <c r="D214" i="6" s="1"/>
  <c r="C215" i="6"/>
  <c r="D215" i="6" s="1"/>
  <c r="C216" i="6"/>
  <c r="D216" i="6" s="1"/>
  <c r="C217" i="6"/>
  <c r="D217" i="6" s="1"/>
  <c r="C218" i="6"/>
  <c r="D218" i="6" s="1"/>
  <c r="C219" i="6"/>
  <c r="D219" i="6" s="1"/>
  <c r="C220" i="6"/>
  <c r="D220" i="6" s="1"/>
  <c r="C221" i="6"/>
  <c r="D221" i="6" s="1"/>
  <c r="C222" i="6"/>
  <c r="D222" i="6" s="1"/>
  <c r="C223" i="6"/>
  <c r="D223" i="6" s="1"/>
  <c r="C224" i="6"/>
  <c r="D224" i="6" s="1"/>
  <c r="C225" i="6"/>
  <c r="D225" i="6" s="1"/>
  <c r="C226" i="6"/>
  <c r="D226" i="6" s="1"/>
  <c r="C227" i="6"/>
  <c r="D227" i="6" s="1"/>
  <c r="C228" i="6"/>
  <c r="D228" i="6" s="1"/>
  <c r="C229" i="6"/>
  <c r="D229" i="6" s="1"/>
  <c r="C230" i="6"/>
  <c r="D230" i="6" s="1"/>
  <c r="C231" i="6"/>
  <c r="D231" i="6" s="1"/>
  <c r="C232" i="6"/>
  <c r="D232" i="6" s="1"/>
  <c r="C233" i="6"/>
  <c r="D233" i="6" s="1"/>
  <c r="C234" i="6"/>
  <c r="D234" i="6" s="1"/>
  <c r="C235" i="6"/>
  <c r="D235" i="6" s="1"/>
  <c r="C236" i="6"/>
  <c r="D236" i="6" s="1"/>
  <c r="C237" i="6"/>
  <c r="D237" i="6" s="1"/>
  <c r="C238" i="6"/>
  <c r="D238" i="6" s="1"/>
  <c r="C239" i="6"/>
  <c r="D239" i="6" s="1"/>
  <c r="C240" i="6"/>
  <c r="D240" i="6" s="1"/>
  <c r="C241" i="6"/>
  <c r="D241" i="6" s="1"/>
  <c r="C242" i="6"/>
  <c r="D242" i="6" s="1"/>
  <c r="C243" i="6"/>
  <c r="D243" i="6" s="1"/>
  <c r="C244" i="6"/>
  <c r="D244" i="6" s="1"/>
  <c r="C245" i="6"/>
  <c r="D245" i="6" s="1"/>
  <c r="C246" i="6"/>
  <c r="D246" i="6" s="1"/>
  <c r="C247" i="6"/>
  <c r="D247" i="6" s="1"/>
  <c r="C248" i="6"/>
  <c r="D248" i="6" s="1"/>
  <c r="C249" i="6"/>
  <c r="D249" i="6" s="1"/>
  <c r="C250" i="6"/>
  <c r="D250" i="6" s="1"/>
  <c r="C251" i="6"/>
  <c r="D251" i="6" s="1"/>
  <c r="C252" i="6"/>
  <c r="D252" i="6" s="1"/>
  <c r="C253" i="6"/>
  <c r="D253" i="6" s="1"/>
  <c r="C254" i="6"/>
  <c r="D254" i="6" s="1"/>
  <c r="C255" i="6"/>
  <c r="D255" i="6" s="1"/>
  <c r="C256" i="6"/>
  <c r="D256" i="6" s="1"/>
  <c r="C257" i="6"/>
  <c r="D257" i="6" s="1"/>
  <c r="C258" i="6"/>
  <c r="D258" i="6" s="1"/>
  <c r="C259" i="6"/>
  <c r="D259" i="6" s="1"/>
  <c r="C260" i="6"/>
  <c r="D260" i="6" s="1"/>
  <c r="C261" i="6"/>
  <c r="D261" i="6" s="1"/>
  <c r="C262" i="6"/>
  <c r="D262" i="6" s="1"/>
  <c r="C263" i="6"/>
  <c r="D263" i="6" s="1"/>
  <c r="C264" i="6"/>
  <c r="D264" i="6" s="1"/>
  <c r="C265" i="6"/>
  <c r="D265" i="6" s="1"/>
  <c r="C266" i="6"/>
  <c r="D266" i="6" s="1"/>
  <c r="C267" i="6"/>
  <c r="D267" i="6" s="1"/>
  <c r="C268" i="6"/>
  <c r="D268" i="6" s="1"/>
  <c r="C269" i="6"/>
  <c r="D269" i="6" s="1"/>
  <c r="C270" i="6"/>
  <c r="D270" i="6" s="1"/>
  <c r="C271" i="6"/>
  <c r="D271" i="6" s="1"/>
  <c r="C272" i="6"/>
  <c r="D272" i="6" s="1"/>
  <c r="C273" i="6"/>
  <c r="D273" i="6" s="1"/>
  <c r="C274" i="6"/>
  <c r="D274" i="6" s="1"/>
  <c r="C275" i="6"/>
  <c r="D275" i="6" s="1"/>
  <c r="C276" i="6"/>
  <c r="D276" i="6" s="1"/>
  <c r="C277" i="6"/>
  <c r="D277" i="6" s="1"/>
  <c r="C278" i="6"/>
  <c r="D278" i="6" s="1"/>
  <c r="C279" i="6"/>
  <c r="D279" i="6" s="1"/>
  <c r="C280" i="6"/>
  <c r="D280" i="6" s="1"/>
  <c r="C281" i="6"/>
  <c r="D281" i="6" s="1"/>
  <c r="C282" i="6"/>
  <c r="D282" i="6" s="1"/>
  <c r="C283" i="6"/>
  <c r="D283" i="6" s="1"/>
  <c r="C284" i="6"/>
  <c r="D284" i="6" s="1"/>
  <c r="C285" i="6"/>
  <c r="D285" i="6" s="1"/>
  <c r="C286" i="6"/>
  <c r="D286" i="6" s="1"/>
  <c r="C287" i="6"/>
  <c r="D287" i="6" s="1"/>
  <c r="C288" i="6"/>
  <c r="D288" i="6" s="1"/>
  <c r="C289" i="6"/>
  <c r="D289" i="6" s="1"/>
  <c r="C290" i="6"/>
  <c r="D290" i="6" s="1"/>
  <c r="C291" i="6"/>
  <c r="D291" i="6" s="1"/>
  <c r="C292" i="6"/>
  <c r="D292" i="6" s="1"/>
  <c r="C293" i="6"/>
  <c r="D293" i="6" s="1"/>
  <c r="C294" i="6"/>
  <c r="D294" i="6" s="1"/>
  <c r="C295" i="6"/>
  <c r="D295" i="6" s="1"/>
  <c r="C296" i="6"/>
  <c r="D296" i="6" s="1"/>
  <c r="C297" i="6"/>
  <c r="D297" i="6" s="1"/>
  <c r="C298" i="6"/>
  <c r="D298" i="6" s="1"/>
  <c r="C299" i="6"/>
  <c r="D299" i="6" s="1"/>
  <c r="C300" i="6"/>
  <c r="D300" i="6" s="1"/>
  <c r="C301" i="6"/>
  <c r="D301" i="6" s="1"/>
  <c r="C302" i="6"/>
  <c r="D302" i="6" s="1"/>
  <c r="C303" i="6"/>
  <c r="D303" i="6" s="1"/>
  <c r="C304" i="6"/>
  <c r="D304" i="6" s="1"/>
  <c r="C305" i="6"/>
  <c r="D305" i="6" s="1"/>
  <c r="C306" i="6"/>
  <c r="D306" i="6" s="1"/>
  <c r="C307" i="6"/>
  <c r="D307" i="6" s="1"/>
  <c r="C308" i="6"/>
  <c r="D308" i="6" s="1"/>
  <c r="C309" i="6"/>
  <c r="D309" i="6" s="1"/>
  <c r="C310" i="6"/>
  <c r="D310" i="6" s="1"/>
  <c r="C311" i="6"/>
  <c r="D311" i="6" s="1"/>
  <c r="C312" i="6"/>
  <c r="D312" i="6" s="1"/>
  <c r="C313" i="6"/>
  <c r="D313" i="6" s="1"/>
  <c r="C314" i="6"/>
  <c r="D314" i="6" s="1"/>
  <c r="C315" i="6"/>
  <c r="D315" i="6" s="1"/>
  <c r="C316" i="6"/>
  <c r="D316" i="6" s="1"/>
  <c r="C317" i="6"/>
  <c r="D317" i="6" s="1"/>
  <c r="C318" i="6"/>
  <c r="D318" i="6" s="1"/>
  <c r="C319" i="6"/>
  <c r="D319" i="6" s="1"/>
  <c r="C320" i="6"/>
  <c r="D320" i="6" s="1"/>
  <c r="C321" i="6"/>
  <c r="D321" i="6" s="1"/>
  <c r="C322" i="6"/>
  <c r="D322" i="6" s="1"/>
  <c r="C323" i="6"/>
  <c r="D323" i="6" s="1"/>
  <c r="C324" i="6"/>
  <c r="D324" i="6" s="1"/>
  <c r="C325" i="6"/>
  <c r="D325" i="6" s="1"/>
  <c r="C326" i="6"/>
  <c r="D326" i="6" s="1"/>
  <c r="C327" i="6"/>
  <c r="D327" i="6" s="1"/>
  <c r="C328" i="6"/>
  <c r="D328" i="6" s="1"/>
  <c r="C329" i="6"/>
  <c r="C330" i="6"/>
  <c r="D330" i="6" s="1"/>
  <c r="C331" i="6"/>
  <c r="D331" i="6" s="1"/>
  <c r="C332" i="6"/>
  <c r="D332" i="6" s="1"/>
  <c r="C333" i="6"/>
  <c r="C334" i="6"/>
  <c r="D334" i="6" s="1"/>
  <c r="C335" i="6"/>
  <c r="D335" i="6" s="1"/>
  <c r="C336" i="6"/>
  <c r="D336" i="6" s="1"/>
  <c r="C337" i="6"/>
  <c r="C338" i="6"/>
  <c r="D338" i="6" s="1"/>
  <c r="C339" i="6"/>
  <c r="D339" i="6" s="1"/>
  <c r="C340" i="6"/>
  <c r="D340" i="6" s="1"/>
  <c r="C341" i="6"/>
  <c r="C342" i="6"/>
  <c r="D342" i="6" s="1"/>
  <c r="C343" i="6"/>
  <c r="D343" i="6" s="1"/>
  <c r="C344" i="6"/>
  <c r="D344" i="6" s="1"/>
  <c r="C345" i="6"/>
  <c r="C346" i="6"/>
  <c r="D346" i="6" s="1"/>
  <c r="C347" i="6"/>
  <c r="D347" i="6" s="1"/>
  <c r="C348" i="6"/>
  <c r="D348" i="6" s="1"/>
  <c r="C349" i="6"/>
  <c r="D349" i="6" s="1"/>
  <c r="F349" i="6" s="1"/>
  <c r="C350" i="6"/>
  <c r="D350" i="6" s="1"/>
  <c r="C351" i="6"/>
  <c r="D351" i="6" s="1"/>
  <c r="C352" i="6"/>
  <c r="D352" i="6" s="1"/>
  <c r="C353" i="6"/>
  <c r="D353" i="6" s="1"/>
  <c r="C354" i="6"/>
  <c r="D354" i="6" s="1"/>
  <c r="C355" i="6"/>
  <c r="D355" i="6" s="1"/>
  <c r="F355" i="6" s="1"/>
  <c r="C356" i="6"/>
  <c r="D356" i="6" s="1"/>
  <c r="C357" i="6"/>
  <c r="D357" i="6" s="1"/>
  <c r="C358" i="6"/>
  <c r="D358" i="6" s="1"/>
  <c r="C359" i="6"/>
  <c r="D359" i="6" s="1"/>
  <c r="C360" i="6"/>
  <c r="D360" i="6" s="1"/>
  <c r="C361" i="6"/>
  <c r="D361" i="6" s="1"/>
  <c r="C362" i="6"/>
  <c r="D362" i="6" s="1"/>
  <c r="C363" i="6"/>
  <c r="D363" i="6" s="1"/>
  <c r="C364" i="6"/>
  <c r="D364" i="6" s="1"/>
  <c r="C365" i="6"/>
  <c r="D365" i="6" s="1"/>
  <c r="C366" i="6"/>
  <c r="D366" i="6" s="1"/>
  <c r="C367" i="6"/>
  <c r="D367" i="6" s="1"/>
  <c r="C368" i="6"/>
  <c r="D368" i="6" s="1"/>
  <c r="C369" i="6"/>
  <c r="D369" i="6" s="1"/>
  <c r="C370" i="6"/>
  <c r="D370" i="6" s="1"/>
  <c r="C371" i="6"/>
  <c r="D371" i="6" s="1"/>
  <c r="C372" i="6"/>
  <c r="D372" i="6" s="1"/>
  <c r="C373" i="6"/>
  <c r="D373" i="6" s="1"/>
  <c r="C374" i="6"/>
  <c r="D374" i="6" s="1"/>
  <c r="C375" i="6"/>
  <c r="D375" i="6" s="1"/>
  <c r="C376" i="6"/>
  <c r="D376" i="6" s="1"/>
  <c r="C377" i="6"/>
  <c r="D377" i="6" s="1"/>
  <c r="C378" i="6"/>
  <c r="D378" i="6" s="1"/>
  <c r="C379" i="6"/>
  <c r="D379" i="6" s="1"/>
  <c r="C380" i="6"/>
  <c r="D380" i="6" s="1"/>
  <c r="C381" i="6"/>
  <c r="D381" i="6" s="1"/>
  <c r="C382" i="6"/>
  <c r="D382" i="6" s="1"/>
  <c r="C383" i="6"/>
  <c r="D383" i="6" s="1"/>
  <c r="C384" i="6"/>
  <c r="D384" i="6" s="1"/>
  <c r="C385" i="6"/>
  <c r="D385" i="6" s="1"/>
  <c r="C386" i="6"/>
  <c r="D386" i="6" s="1"/>
  <c r="C387" i="6"/>
  <c r="D387" i="6" s="1"/>
  <c r="C388" i="6"/>
  <c r="D388" i="6" s="1"/>
  <c r="C389" i="6"/>
  <c r="D389" i="6" s="1"/>
  <c r="C390" i="6"/>
  <c r="D390" i="6" s="1"/>
  <c r="C391" i="6"/>
  <c r="D391" i="6" s="1"/>
  <c r="C392" i="6"/>
  <c r="D392" i="6" s="1"/>
  <c r="C393" i="6"/>
  <c r="D393" i="6" s="1"/>
  <c r="C394" i="6"/>
  <c r="D394" i="6" s="1"/>
  <c r="C395" i="6"/>
  <c r="D395" i="6" s="1"/>
  <c r="C396" i="6"/>
  <c r="D396" i="6" s="1"/>
  <c r="C397" i="6"/>
  <c r="D397" i="6" s="1"/>
  <c r="C398" i="6"/>
  <c r="D398" i="6" s="1"/>
  <c r="C399" i="6"/>
  <c r="D399" i="6" s="1"/>
  <c r="C400" i="6"/>
  <c r="D400" i="6" s="1"/>
  <c r="C401" i="6"/>
  <c r="D401" i="6" s="1"/>
  <c r="C402" i="6"/>
  <c r="D402" i="6" s="1"/>
  <c r="C403" i="6"/>
  <c r="D403" i="6" s="1"/>
  <c r="C404" i="6"/>
  <c r="D404" i="6" s="1"/>
  <c r="C405" i="6"/>
  <c r="D405" i="6" s="1"/>
  <c r="C406" i="6"/>
  <c r="D406" i="6" s="1"/>
  <c r="C407" i="6"/>
  <c r="D407" i="6" s="1"/>
  <c r="C408" i="6"/>
  <c r="D408" i="6" s="1"/>
  <c r="C409" i="6"/>
  <c r="D409" i="6" s="1"/>
  <c r="C410" i="6"/>
  <c r="D410" i="6" s="1"/>
  <c r="C411" i="6"/>
  <c r="D411" i="6" s="1"/>
  <c r="C412" i="6"/>
  <c r="D412" i="6" s="1"/>
  <c r="C413" i="6"/>
  <c r="D413" i="6" s="1"/>
  <c r="C414" i="6"/>
  <c r="D414" i="6" s="1"/>
  <c r="C415" i="6"/>
  <c r="D415" i="6" s="1"/>
  <c r="C416" i="6"/>
  <c r="D416" i="6" s="1"/>
  <c r="C417" i="6"/>
  <c r="D417" i="6" s="1"/>
  <c r="C418" i="6"/>
  <c r="D418" i="6" s="1"/>
  <c r="C419" i="6"/>
  <c r="D419" i="6" s="1"/>
  <c r="C420" i="6"/>
  <c r="D420" i="6" s="1"/>
  <c r="C421" i="6"/>
  <c r="D421" i="6" s="1"/>
  <c r="C422" i="6"/>
  <c r="D422" i="6" s="1"/>
  <c r="C423" i="6"/>
  <c r="D423" i="6" s="1"/>
  <c r="C424" i="6"/>
  <c r="D424" i="6" s="1"/>
  <c r="C425" i="6"/>
  <c r="D425" i="6" s="1"/>
  <c r="C426" i="6"/>
  <c r="D426" i="6" s="1"/>
  <c r="C427" i="6"/>
  <c r="D427" i="6" s="1"/>
  <c r="C428" i="6"/>
  <c r="D428" i="6" s="1"/>
  <c r="F428" i="6" s="1"/>
  <c r="C429" i="6"/>
  <c r="D429" i="6" s="1"/>
  <c r="C430" i="6"/>
  <c r="D430" i="6" s="1"/>
  <c r="C431" i="6"/>
  <c r="D431" i="6" s="1"/>
  <c r="C432" i="6"/>
  <c r="D432" i="6" s="1"/>
  <c r="C433" i="6"/>
  <c r="D433" i="6" s="1"/>
  <c r="C434" i="6"/>
  <c r="D434" i="6" s="1"/>
  <c r="C435" i="6"/>
  <c r="D435" i="6" s="1"/>
  <c r="C436" i="6"/>
  <c r="D436" i="6" s="1"/>
  <c r="C437" i="6"/>
  <c r="D437" i="6" s="1"/>
  <c r="C438" i="6"/>
  <c r="D438" i="6" s="1"/>
  <c r="C439" i="6"/>
  <c r="D439" i="6" s="1"/>
  <c r="C440" i="6"/>
  <c r="D440" i="6" s="1"/>
  <c r="C441" i="6"/>
  <c r="D441" i="6" s="1"/>
  <c r="C442" i="6"/>
  <c r="D442" i="6" s="1"/>
  <c r="C443" i="6"/>
  <c r="D443" i="6" s="1"/>
  <c r="C444" i="6"/>
  <c r="D444" i="6" s="1"/>
  <c r="C445" i="6"/>
  <c r="D445" i="6" s="1"/>
  <c r="C446" i="6"/>
  <c r="D446" i="6" s="1"/>
  <c r="C447" i="6"/>
  <c r="D447" i="6" s="1"/>
  <c r="C448" i="6"/>
  <c r="D448" i="6" s="1"/>
  <c r="C449" i="6"/>
  <c r="D449" i="6" s="1"/>
  <c r="C450" i="6"/>
  <c r="D450" i="6" s="1"/>
  <c r="C451" i="6"/>
  <c r="D451" i="6" s="1"/>
  <c r="C452" i="6"/>
  <c r="D452" i="6" s="1"/>
  <c r="C453" i="6"/>
  <c r="D453" i="6" s="1"/>
  <c r="C454" i="6"/>
  <c r="D454" i="6" s="1"/>
  <c r="C455" i="6"/>
  <c r="D455" i="6" s="1"/>
  <c r="C456" i="6"/>
  <c r="D456" i="6" s="1"/>
  <c r="C457" i="6"/>
  <c r="D457" i="6" s="1"/>
  <c r="C458" i="6"/>
  <c r="D458" i="6" s="1"/>
  <c r="C459" i="6"/>
  <c r="D459" i="6" s="1"/>
  <c r="C460" i="6"/>
  <c r="D460" i="6" s="1"/>
  <c r="C461" i="6"/>
  <c r="D461" i="6" s="1"/>
  <c r="C462" i="6"/>
  <c r="D462" i="6" s="1"/>
  <c r="C463" i="6"/>
  <c r="D463" i="6" s="1"/>
  <c r="C464" i="6"/>
  <c r="D464" i="6" s="1"/>
  <c r="C465" i="6"/>
  <c r="D465" i="6" s="1"/>
  <c r="C466" i="6"/>
  <c r="D466" i="6" s="1"/>
  <c r="C467" i="6"/>
  <c r="D467" i="6" s="1"/>
  <c r="C468" i="6"/>
  <c r="D468" i="6" s="1"/>
  <c r="C469" i="6"/>
  <c r="D469" i="6" s="1"/>
  <c r="C470" i="6"/>
  <c r="D470" i="6" s="1"/>
  <c r="C471" i="6"/>
  <c r="D471" i="6" s="1"/>
  <c r="C472" i="6"/>
  <c r="D472" i="6" s="1"/>
  <c r="C473" i="6"/>
  <c r="D473" i="6" s="1"/>
  <c r="C474" i="6"/>
  <c r="D474" i="6" s="1"/>
  <c r="C475" i="6"/>
  <c r="D475" i="6" s="1"/>
  <c r="C476" i="6"/>
  <c r="D476" i="6" s="1"/>
  <c r="C477" i="6"/>
  <c r="D477" i="6" s="1"/>
  <c r="C478" i="6"/>
  <c r="D478" i="6" s="1"/>
  <c r="C479" i="6"/>
  <c r="D479" i="6" s="1"/>
  <c r="C480" i="6"/>
  <c r="D480" i="6" s="1"/>
  <c r="C481" i="6"/>
  <c r="D481" i="6" s="1"/>
  <c r="C482" i="6"/>
  <c r="D482" i="6" s="1"/>
  <c r="C483" i="6"/>
  <c r="D483" i="6" s="1"/>
  <c r="C484" i="6"/>
  <c r="D484" i="6" s="1"/>
  <c r="C485" i="6"/>
  <c r="D485" i="6" s="1"/>
  <c r="C486" i="6"/>
  <c r="D486" i="6" s="1"/>
  <c r="C487" i="6"/>
  <c r="D487" i="6" s="1"/>
  <c r="C488" i="6"/>
  <c r="D488" i="6" s="1"/>
  <c r="C489" i="6"/>
  <c r="D489" i="6" s="1"/>
  <c r="C490" i="6"/>
  <c r="D490" i="6" s="1"/>
  <c r="C491" i="6"/>
  <c r="D491" i="6" s="1"/>
  <c r="C492" i="6"/>
  <c r="D492" i="6" s="1"/>
  <c r="C493" i="6"/>
  <c r="D493" i="6" s="1"/>
  <c r="C494" i="6"/>
  <c r="D494" i="6" s="1"/>
  <c r="C495" i="6"/>
  <c r="D495" i="6" s="1"/>
  <c r="C496" i="6"/>
  <c r="D496" i="6" s="1"/>
  <c r="C497" i="6"/>
  <c r="D497" i="6" s="1"/>
  <c r="C498" i="6"/>
  <c r="D498" i="6" s="1"/>
  <c r="C499" i="6"/>
  <c r="D499" i="6" s="1"/>
  <c r="C500" i="6"/>
  <c r="D500" i="6" s="1"/>
  <c r="C501" i="6"/>
  <c r="D501" i="6" s="1"/>
  <c r="C502" i="6"/>
  <c r="D502" i="6" s="1"/>
  <c r="C503" i="6"/>
  <c r="D503" i="6" s="1"/>
  <c r="C504" i="6"/>
  <c r="D504" i="6" s="1"/>
  <c r="C505" i="6"/>
  <c r="D505" i="6" s="1"/>
  <c r="C506" i="6"/>
  <c r="D506" i="6" s="1"/>
  <c r="C507" i="6"/>
  <c r="D507" i="6" s="1"/>
  <c r="C508" i="6"/>
  <c r="D508" i="6" s="1"/>
  <c r="C509" i="6"/>
  <c r="D509" i="6" s="1"/>
  <c r="C510" i="6"/>
  <c r="D510" i="6" s="1"/>
  <c r="C511" i="6"/>
  <c r="D511" i="6" s="1"/>
  <c r="C512" i="6"/>
  <c r="D512" i="6" s="1"/>
  <c r="C513" i="6"/>
  <c r="D513" i="6" s="1"/>
  <c r="C514" i="6"/>
  <c r="D514" i="6" s="1"/>
  <c r="C515" i="6"/>
  <c r="D515" i="6" s="1"/>
  <c r="C516" i="6"/>
  <c r="D516" i="6" s="1"/>
  <c r="C517" i="6"/>
  <c r="D517" i="6" s="1"/>
  <c r="C518" i="6"/>
  <c r="D518" i="6" s="1"/>
  <c r="C519" i="6"/>
  <c r="D519" i="6" s="1"/>
  <c r="C520" i="6"/>
  <c r="D520" i="6" s="1"/>
  <c r="C521" i="6"/>
  <c r="D521" i="6" s="1"/>
  <c r="C522" i="6"/>
  <c r="D522" i="6" s="1"/>
  <c r="C523" i="6"/>
  <c r="D523" i="6" s="1"/>
  <c r="C524" i="6"/>
  <c r="D524" i="6" s="1"/>
  <c r="C525" i="6"/>
  <c r="D525" i="6" s="1"/>
  <c r="C526" i="6"/>
  <c r="D526" i="6" s="1"/>
  <c r="C527" i="6"/>
  <c r="D527" i="6" s="1"/>
  <c r="C528" i="6"/>
  <c r="D528" i="6" s="1"/>
  <c r="C529" i="6"/>
  <c r="D529" i="6" s="1"/>
  <c r="C530" i="6"/>
  <c r="D530" i="6" s="1"/>
  <c r="C531" i="6"/>
  <c r="D531" i="6" s="1"/>
  <c r="C532" i="6"/>
  <c r="D532" i="6" s="1"/>
  <c r="C533" i="6"/>
  <c r="D533" i="6" s="1"/>
  <c r="C534" i="6"/>
  <c r="D534" i="6" s="1"/>
  <c r="C535" i="6"/>
  <c r="D535" i="6" s="1"/>
  <c r="C536" i="6"/>
  <c r="D536" i="6" s="1"/>
  <c r="C537" i="6"/>
  <c r="D537" i="6" s="1"/>
  <c r="C538" i="6"/>
  <c r="D538" i="6" s="1"/>
  <c r="C539" i="6"/>
  <c r="D539" i="6" s="1"/>
  <c r="C540" i="6"/>
  <c r="D540" i="6" s="1"/>
  <c r="C541" i="6"/>
  <c r="D541" i="6" s="1"/>
  <c r="F541" i="6" s="1"/>
  <c r="C542" i="6"/>
  <c r="D542" i="6" s="1"/>
  <c r="C543" i="6"/>
  <c r="D543" i="6" s="1"/>
  <c r="C544" i="6"/>
  <c r="D544" i="6" s="1"/>
  <c r="C545" i="6"/>
  <c r="D545" i="6" s="1"/>
  <c r="C546" i="6"/>
  <c r="D546" i="6" s="1"/>
  <c r="C547" i="6"/>
  <c r="D547" i="6" s="1"/>
  <c r="C548" i="6"/>
  <c r="D548" i="6" s="1"/>
  <c r="C549" i="6"/>
  <c r="D549" i="6" s="1"/>
  <c r="C550" i="6"/>
  <c r="D550" i="6" s="1"/>
  <c r="C551" i="6"/>
  <c r="D551" i="6" s="1"/>
  <c r="C552" i="6"/>
  <c r="D552" i="6" s="1"/>
  <c r="C553" i="6"/>
  <c r="D553" i="6" s="1"/>
  <c r="C554" i="6"/>
  <c r="D554" i="6" s="1"/>
  <c r="C555" i="6"/>
  <c r="D555" i="6" s="1"/>
  <c r="C556" i="6"/>
  <c r="D556" i="6" s="1"/>
  <c r="C557" i="6"/>
  <c r="D557" i="6" s="1"/>
  <c r="C558" i="6"/>
  <c r="D558" i="6" s="1"/>
  <c r="C559" i="6"/>
  <c r="D559" i="6" s="1"/>
  <c r="C560" i="6"/>
  <c r="D560" i="6" s="1"/>
  <c r="C561" i="6"/>
  <c r="D561" i="6" s="1"/>
  <c r="C562" i="6"/>
  <c r="D562" i="6" s="1"/>
  <c r="C563" i="6"/>
  <c r="D563" i="6" s="1"/>
  <c r="C564" i="6"/>
  <c r="D564" i="6" s="1"/>
  <c r="C565" i="6"/>
  <c r="D565" i="6" s="1"/>
  <c r="C566" i="6"/>
  <c r="D566" i="6" s="1"/>
  <c r="C567" i="6"/>
  <c r="D567" i="6" s="1"/>
  <c r="C568" i="6"/>
  <c r="D568" i="6" s="1"/>
  <c r="C569" i="6"/>
  <c r="D569" i="6" s="1"/>
  <c r="C570" i="6"/>
  <c r="D570" i="6" s="1"/>
  <c r="C571" i="6"/>
  <c r="D571" i="6" s="1"/>
  <c r="C572" i="6"/>
  <c r="D572" i="6" s="1"/>
  <c r="C573" i="6"/>
  <c r="D573" i="6" s="1"/>
  <c r="C574" i="6"/>
  <c r="D574" i="6" s="1"/>
  <c r="C575" i="6"/>
  <c r="D575" i="6" s="1"/>
  <c r="C576" i="6"/>
  <c r="D576" i="6" s="1"/>
  <c r="C577" i="6"/>
  <c r="D577" i="6" s="1"/>
  <c r="C578" i="6"/>
  <c r="D578" i="6" s="1"/>
  <c r="C579" i="6"/>
  <c r="D579" i="6" s="1"/>
  <c r="C580" i="6"/>
  <c r="D580" i="6" s="1"/>
  <c r="C581" i="6"/>
  <c r="D581" i="6" s="1"/>
  <c r="C582" i="6"/>
  <c r="D582" i="6" s="1"/>
  <c r="C583" i="6"/>
  <c r="D583" i="6" s="1"/>
  <c r="C584" i="6"/>
  <c r="D584" i="6" s="1"/>
  <c r="C585" i="6"/>
  <c r="D585" i="6" s="1"/>
  <c r="C586" i="6"/>
  <c r="D586" i="6" s="1"/>
  <c r="C587" i="6"/>
  <c r="D587" i="6" s="1"/>
  <c r="C588" i="6"/>
  <c r="D588" i="6" s="1"/>
  <c r="C589" i="6"/>
  <c r="D589" i="6" s="1"/>
  <c r="C590" i="6"/>
  <c r="D590" i="6" s="1"/>
  <c r="C591" i="6"/>
  <c r="D591" i="6" s="1"/>
  <c r="C592" i="6"/>
  <c r="D592" i="6" s="1"/>
  <c r="C593" i="6"/>
  <c r="D593" i="6" s="1"/>
  <c r="C594" i="6"/>
  <c r="D594" i="6" s="1"/>
  <c r="C595" i="6"/>
  <c r="D595" i="6" s="1"/>
  <c r="C596" i="6"/>
  <c r="D596" i="6" s="1"/>
  <c r="C597" i="6"/>
  <c r="D597" i="6" s="1"/>
  <c r="C598" i="6"/>
  <c r="D598" i="6" s="1"/>
  <c r="C599" i="6"/>
  <c r="D599" i="6" s="1"/>
  <c r="C600" i="6"/>
  <c r="D600" i="6" s="1"/>
  <c r="C601" i="6"/>
  <c r="D601" i="6" s="1"/>
  <c r="C602" i="6"/>
  <c r="D602" i="6" s="1"/>
  <c r="C603" i="6"/>
  <c r="D603" i="6" s="1"/>
  <c r="C604" i="6"/>
  <c r="D604" i="6" s="1"/>
  <c r="C605" i="6"/>
  <c r="D605" i="6" s="1"/>
  <c r="C606" i="6"/>
  <c r="D606" i="6" s="1"/>
  <c r="C607" i="6"/>
  <c r="D607" i="6" s="1"/>
  <c r="C608" i="6"/>
  <c r="D608" i="6" s="1"/>
  <c r="C609" i="6"/>
  <c r="D609" i="6" s="1"/>
  <c r="C610" i="6"/>
  <c r="D610" i="6" s="1"/>
  <c r="C611" i="6"/>
  <c r="D611" i="6" s="1"/>
  <c r="C612" i="6"/>
  <c r="D612" i="6" s="1"/>
  <c r="C613" i="6"/>
  <c r="D613" i="6" s="1"/>
  <c r="C614" i="6"/>
  <c r="D614" i="6" s="1"/>
  <c r="C615" i="6"/>
  <c r="D615" i="6" s="1"/>
  <c r="C616" i="6"/>
  <c r="D616" i="6" s="1"/>
  <c r="C617" i="6"/>
  <c r="D617" i="6" s="1"/>
  <c r="C618" i="6"/>
  <c r="D618" i="6" s="1"/>
  <c r="C619" i="6"/>
  <c r="D619" i="6" s="1"/>
  <c r="C620" i="6"/>
  <c r="D620" i="6" s="1"/>
  <c r="C621" i="6"/>
  <c r="D621" i="6" s="1"/>
  <c r="C622" i="6"/>
  <c r="D622" i="6" s="1"/>
  <c r="C623" i="6"/>
  <c r="D623" i="6" s="1"/>
  <c r="C624" i="6"/>
  <c r="D624" i="6" s="1"/>
  <c r="C625" i="6"/>
  <c r="D625" i="6" s="1"/>
  <c r="C626" i="6"/>
  <c r="D626" i="6" s="1"/>
  <c r="C627" i="6"/>
  <c r="D627" i="6" s="1"/>
  <c r="C628" i="6"/>
  <c r="D628" i="6" s="1"/>
  <c r="C629" i="6"/>
  <c r="D629" i="6" s="1"/>
  <c r="C630" i="6"/>
  <c r="D630" i="6" s="1"/>
  <c r="C631" i="6"/>
  <c r="D631" i="6" s="1"/>
  <c r="C632" i="6"/>
  <c r="D632" i="6" s="1"/>
  <c r="C633" i="6"/>
  <c r="D633" i="6" s="1"/>
  <c r="C634" i="6"/>
  <c r="D634" i="6" s="1"/>
  <c r="C635" i="6"/>
  <c r="D635" i="6" s="1"/>
  <c r="C636" i="6"/>
  <c r="D636" i="6" s="1"/>
  <c r="C637" i="6"/>
  <c r="D637" i="6" s="1"/>
  <c r="C638" i="6"/>
  <c r="D638" i="6" s="1"/>
  <c r="C639" i="6"/>
  <c r="D639" i="6" s="1"/>
  <c r="C640" i="6"/>
  <c r="D640" i="6" s="1"/>
  <c r="C641" i="6"/>
  <c r="D641" i="6" s="1"/>
  <c r="C642" i="6"/>
  <c r="D642" i="6" s="1"/>
  <c r="C643" i="6"/>
  <c r="D643" i="6" s="1"/>
  <c r="C644" i="6"/>
  <c r="D644" i="6" s="1"/>
  <c r="C645" i="6"/>
  <c r="D645" i="6" s="1"/>
  <c r="C646" i="6"/>
  <c r="D646" i="6" s="1"/>
  <c r="C647" i="6"/>
  <c r="D647" i="6" s="1"/>
  <c r="C648" i="6"/>
  <c r="D648" i="6" s="1"/>
  <c r="C649" i="6"/>
  <c r="D649" i="6" s="1"/>
  <c r="C650" i="6"/>
  <c r="D650" i="6" s="1"/>
  <c r="C651" i="6"/>
  <c r="D651" i="6" s="1"/>
  <c r="C652" i="6"/>
  <c r="D652" i="6" s="1"/>
  <c r="C653" i="6"/>
  <c r="D653" i="6" s="1"/>
  <c r="C654" i="6"/>
  <c r="D654" i="6" s="1"/>
  <c r="C655" i="6"/>
  <c r="D655" i="6" s="1"/>
  <c r="C656" i="6"/>
  <c r="D656" i="6" s="1"/>
  <c r="C657" i="6"/>
  <c r="D657" i="6" s="1"/>
  <c r="C658" i="6"/>
  <c r="D658" i="6" s="1"/>
  <c r="C659" i="6"/>
  <c r="D659" i="6" s="1"/>
  <c r="C660" i="6"/>
  <c r="D660" i="6" s="1"/>
  <c r="C661" i="6"/>
  <c r="D661" i="6" s="1"/>
  <c r="C662" i="6"/>
  <c r="D662" i="6" s="1"/>
  <c r="C663" i="6"/>
  <c r="D663" i="6" s="1"/>
  <c r="C664" i="6"/>
  <c r="D664" i="6" s="1"/>
  <c r="C665" i="6"/>
  <c r="D665" i="6" s="1"/>
  <c r="C666" i="6"/>
  <c r="D666" i="6" s="1"/>
  <c r="C667" i="6"/>
  <c r="D667" i="6" s="1"/>
  <c r="C668" i="6"/>
  <c r="D668" i="6" s="1"/>
  <c r="C669" i="6"/>
  <c r="D669" i="6" s="1"/>
  <c r="F669" i="6" s="1"/>
  <c r="C670" i="6"/>
  <c r="D670" i="6" s="1"/>
  <c r="C671" i="6"/>
  <c r="D671" i="6" s="1"/>
  <c r="C672" i="6"/>
  <c r="D672" i="6" s="1"/>
  <c r="C673" i="6"/>
  <c r="D673" i="6" s="1"/>
  <c r="C674" i="6"/>
  <c r="D674" i="6" s="1"/>
  <c r="C675" i="6"/>
  <c r="D675" i="6" s="1"/>
  <c r="C676" i="6"/>
  <c r="D676" i="6" s="1"/>
  <c r="C677" i="6"/>
  <c r="D677" i="6" s="1"/>
  <c r="C678" i="6"/>
  <c r="D678" i="6" s="1"/>
  <c r="C679" i="6"/>
  <c r="D679" i="6" s="1"/>
  <c r="C680" i="6"/>
  <c r="D680" i="6" s="1"/>
  <c r="C681" i="6"/>
  <c r="D681" i="6" s="1"/>
  <c r="C682" i="6"/>
  <c r="D682" i="6" s="1"/>
  <c r="C683" i="6"/>
  <c r="D683" i="6" s="1"/>
  <c r="C684" i="6"/>
  <c r="D684" i="6" s="1"/>
  <c r="C685" i="6"/>
  <c r="D685" i="6" s="1"/>
  <c r="C686" i="6"/>
  <c r="D686" i="6" s="1"/>
  <c r="C687" i="6"/>
  <c r="D687" i="6" s="1"/>
  <c r="C688" i="6"/>
  <c r="D688" i="6" s="1"/>
  <c r="C689" i="6"/>
  <c r="D689" i="6" s="1"/>
  <c r="C690" i="6"/>
  <c r="D690" i="6" s="1"/>
  <c r="C691" i="6"/>
  <c r="D691" i="6" s="1"/>
  <c r="C692" i="6"/>
  <c r="D692" i="6" s="1"/>
  <c r="C693" i="6"/>
  <c r="D693" i="6" s="1"/>
  <c r="C694" i="6"/>
  <c r="D694" i="6" s="1"/>
  <c r="C695" i="6"/>
  <c r="D695" i="6" s="1"/>
  <c r="C696" i="6"/>
  <c r="D696" i="6" s="1"/>
  <c r="C697" i="6"/>
  <c r="D697" i="6" s="1"/>
  <c r="C698" i="6"/>
  <c r="D698" i="6" s="1"/>
  <c r="C699" i="6"/>
  <c r="D699" i="6" s="1"/>
  <c r="C700" i="6"/>
  <c r="D700" i="6" s="1"/>
  <c r="C701" i="6"/>
  <c r="D701" i="6" s="1"/>
  <c r="C702" i="6"/>
  <c r="D702" i="6" s="1"/>
  <c r="C703" i="6"/>
  <c r="D703" i="6" s="1"/>
  <c r="C704" i="6"/>
  <c r="D704" i="6" s="1"/>
  <c r="C705" i="6"/>
  <c r="D705" i="6" s="1"/>
  <c r="C706" i="6"/>
  <c r="D706" i="6" s="1"/>
  <c r="C707" i="6"/>
  <c r="D707" i="6" s="1"/>
  <c r="C708" i="6"/>
  <c r="D708" i="6" s="1"/>
  <c r="C709" i="6"/>
  <c r="D709" i="6" s="1"/>
  <c r="C710" i="6"/>
  <c r="D710" i="6" s="1"/>
  <c r="C711" i="6"/>
  <c r="D711" i="6" s="1"/>
  <c r="C712" i="6"/>
  <c r="D712" i="6" s="1"/>
  <c r="C713" i="6"/>
  <c r="D713" i="6" s="1"/>
  <c r="C714" i="6"/>
  <c r="D714" i="6" s="1"/>
  <c r="C715" i="6"/>
  <c r="D715" i="6" s="1"/>
  <c r="C716" i="6"/>
  <c r="D716" i="6" s="1"/>
  <c r="C717" i="6"/>
  <c r="D717" i="6" s="1"/>
  <c r="C718" i="6"/>
  <c r="D718" i="6" s="1"/>
  <c r="C719" i="6"/>
  <c r="D719" i="6" s="1"/>
  <c r="C720" i="6"/>
  <c r="D720" i="6" s="1"/>
  <c r="C721" i="6"/>
  <c r="D721" i="6" s="1"/>
  <c r="C722" i="6"/>
  <c r="D722" i="6" s="1"/>
  <c r="C723" i="6"/>
  <c r="D723" i="6" s="1"/>
  <c r="C724" i="6"/>
  <c r="D724" i="6" s="1"/>
  <c r="C725" i="6"/>
  <c r="D725" i="6" s="1"/>
  <c r="C726" i="6"/>
  <c r="D726" i="6" s="1"/>
  <c r="C727" i="6"/>
  <c r="D727" i="6" s="1"/>
  <c r="C728" i="6"/>
  <c r="D728" i="6" s="1"/>
  <c r="C729" i="6"/>
  <c r="D729" i="6" s="1"/>
  <c r="C730" i="6"/>
  <c r="D730" i="6" s="1"/>
  <c r="C731" i="6"/>
  <c r="D731" i="6" s="1"/>
  <c r="C732" i="6"/>
  <c r="D732" i="6" s="1"/>
  <c r="C733" i="6"/>
  <c r="D733" i="6" s="1"/>
  <c r="C734" i="6"/>
  <c r="D734" i="6" s="1"/>
  <c r="C735" i="6"/>
  <c r="D735" i="6" s="1"/>
  <c r="C736" i="6"/>
  <c r="D736" i="6" s="1"/>
  <c r="C737" i="6"/>
  <c r="D737" i="6" s="1"/>
  <c r="C738" i="6"/>
  <c r="D738" i="6" s="1"/>
  <c r="C739" i="6"/>
  <c r="D739" i="6" s="1"/>
  <c r="C740" i="6"/>
  <c r="D740" i="6" s="1"/>
  <c r="C741" i="6"/>
  <c r="D741" i="6" s="1"/>
  <c r="C742" i="6"/>
  <c r="D742" i="6" s="1"/>
  <c r="C743" i="6"/>
  <c r="D743" i="6" s="1"/>
  <c r="C744" i="6"/>
  <c r="D744" i="6" s="1"/>
  <c r="C745" i="6"/>
  <c r="D745" i="6" s="1"/>
  <c r="C746" i="6"/>
  <c r="D746" i="6" s="1"/>
  <c r="C747" i="6"/>
  <c r="D747" i="6" s="1"/>
  <c r="C748" i="6"/>
  <c r="D748" i="6" s="1"/>
  <c r="C749" i="6"/>
  <c r="D749" i="6" s="1"/>
  <c r="C750" i="6"/>
  <c r="D750" i="6" s="1"/>
  <c r="C751" i="6"/>
  <c r="D751" i="6" s="1"/>
  <c r="C752" i="6"/>
  <c r="D752" i="6" s="1"/>
  <c r="C753" i="6"/>
  <c r="D753" i="6" s="1"/>
  <c r="C754" i="6"/>
  <c r="D754" i="6" s="1"/>
  <c r="C755" i="6"/>
  <c r="D755" i="6" s="1"/>
  <c r="C756" i="6"/>
  <c r="D756" i="6" s="1"/>
  <c r="C757" i="6"/>
  <c r="D757" i="6" s="1"/>
  <c r="C758" i="6"/>
  <c r="D758" i="6" s="1"/>
  <c r="C759" i="6"/>
  <c r="D759" i="6" s="1"/>
  <c r="C760" i="6"/>
  <c r="D760" i="6" s="1"/>
  <c r="C761" i="6"/>
  <c r="D761" i="6" s="1"/>
  <c r="C762" i="6"/>
  <c r="D762" i="6" s="1"/>
  <c r="C763" i="6"/>
  <c r="D763" i="6" s="1"/>
  <c r="C764" i="6"/>
  <c r="D764" i="6" s="1"/>
  <c r="C765" i="6"/>
  <c r="D765" i="6" s="1"/>
  <c r="C766" i="6"/>
  <c r="D766" i="6" s="1"/>
  <c r="C767" i="6"/>
  <c r="D767" i="6" s="1"/>
  <c r="C768" i="6"/>
  <c r="D768" i="6" s="1"/>
  <c r="C769" i="6"/>
  <c r="D769" i="6" s="1"/>
  <c r="C770" i="6"/>
  <c r="D770" i="6" s="1"/>
  <c r="C771" i="6"/>
  <c r="D771" i="6" s="1"/>
  <c r="C772" i="6"/>
  <c r="D772" i="6" s="1"/>
  <c r="C773" i="6"/>
  <c r="D773" i="6" s="1"/>
  <c r="C774" i="6"/>
  <c r="D774" i="6" s="1"/>
  <c r="C775" i="6"/>
  <c r="D775" i="6" s="1"/>
  <c r="C776" i="6"/>
  <c r="D776" i="6" s="1"/>
  <c r="C777" i="6"/>
  <c r="D777" i="6" s="1"/>
  <c r="C778" i="6"/>
  <c r="D778" i="6" s="1"/>
  <c r="C779" i="6"/>
  <c r="D779" i="6" s="1"/>
  <c r="C780" i="6"/>
  <c r="D780" i="6" s="1"/>
  <c r="C781" i="6"/>
  <c r="D781" i="6" s="1"/>
  <c r="C782" i="6"/>
  <c r="D782" i="6" s="1"/>
  <c r="C783" i="6"/>
  <c r="D783" i="6" s="1"/>
  <c r="C784" i="6"/>
  <c r="D784" i="6" s="1"/>
  <c r="C785" i="6"/>
  <c r="D785" i="6" s="1"/>
  <c r="C786" i="6"/>
  <c r="D786" i="6" s="1"/>
  <c r="C787" i="6"/>
  <c r="D787" i="6" s="1"/>
  <c r="C788" i="6"/>
  <c r="D788" i="6" s="1"/>
  <c r="C789" i="6"/>
  <c r="D789" i="6" s="1"/>
  <c r="C790" i="6"/>
  <c r="D790" i="6" s="1"/>
  <c r="C791" i="6"/>
  <c r="D791" i="6" s="1"/>
  <c r="C792" i="6"/>
  <c r="D792" i="6" s="1"/>
  <c r="C793" i="6"/>
  <c r="D793" i="6" s="1"/>
  <c r="C794" i="6"/>
  <c r="D794" i="6" s="1"/>
  <c r="C795" i="6"/>
  <c r="D795" i="6" s="1"/>
  <c r="C796" i="6"/>
  <c r="D796" i="6" s="1"/>
  <c r="C797" i="6"/>
  <c r="D797" i="6" s="1"/>
  <c r="C798" i="6"/>
  <c r="D798" i="6" s="1"/>
  <c r="C799" i="6"/>
  <c r="D799" i="6" s="1"/>
  <c r="C800" i="6"/>
  <c r="D800" i="6" s="1"/>
  <c r="C801" i="6"/>
  <c r="D801" i="6" s="1"/>
  <c r="C802" i="6"/>
  <c r="D802" i="6" s="1"/>
  <c r="C803" i="6"/>
  <c r="D803" i="6" s="1"/>
  <c r="C804" i="6"/>
  <c r="D804" i="6" s="1"/>
  <c r="C805" i="6"/>
  <c r="D805" i="6" s="1"/>
  <c r="C806" i="6"/>
  <c r="D806" i="6" s="1"/>
  <c r="C807" i="6"/>
  <c r="D807" i="6" s="1"/>
  <c r="C808" i="6"/>
  <c r="D808" i="6" s="1"/>
  <c r="C809" i="6"/>
  <c r="D809" i="6" s="1"/>
  <c r="C810" i="6"/>
  <c r="D810" i="6" s="1"/>
  <c r="C811" i="6"/>
  <c r="D811" i="6" s="1"/>
  <c r="C812" i="6"/>
  <c r="D812" i="6" s="1"/>
  <c r="C813" i="6"/>
  <c r="D813" i="6" s="1"/>
  <c r="C814" i="6"/>
  <c r="D814" i="6" s="1"/>
  <c r="C815" i="6"/>
  <c r="D815" i="6" s="1"/>
  <c r="C816" i="6"/>
  <c r="D816" i="6" s="1"/>
  <c r="C817" i="6"/>
  <c r="D817" i="6" s="1"/>
  <c r="C818" i="6"/>
  <c r="D818" i="6" s="1"/>
  <c r="C819" i="6"/>
  <c r="D819" i="6" s="1"/>
  <c r="C820" i="6"/>
  <c r="D820" i="6" s="1"/>
  <c r="C821" i="6"/>
  <c r="D821" i="6" s="1"/>
  <c r="C822" i="6"/>
  <c r="D822" i="6" s="1"/>
  <c r="C823" i="6"/>
  <c r="D823" i="6" s="1"/>
  <c r="C824" i="6"/>
  <c r="D824" i="6" s="1"/>
  <c r="C825" i="6"/>
  <c r="D825" i="6" s="1"/>
  <c r="C826" i="6"/>
  <c r="D826" i="6" s="1"/>
  <c r="C827" i="6"/>
  <c r="D827" i="6" s="1"/>
  <c r="C828" i="6"/>
  <c r="D828" i="6" s="1"/>
  <c r="C829" i="6"/>
  <c r="D829" i="6" s="1"/>
  <c r="C830" i="6"/>
  <c r="D830" i="6" s="1"/>
  <c r="C831" i="6"/>
  <c r="D831" i="6" s="1"/>
  <c r="C832" i="6"/>
  <c r="D832" i="6" s="1"/>
  <c r="C833" i="6"/>
  <c r="D833" i="6" s="1"/>
  <c r="C834" i="6"/>
  <c r="D834" i="6" s="1"/>
  <c r="C835" i="6"/>
  <c r="D835" i="6" s="1"/>
  <c r="C836" i="6"/>
  <c r="D836" i="6" s="1"/>
  <c r="C837" i="6"/>
  <c r="D837" i="6" s="1"/>
  <c r="C838" i="6"/>
  <c r="D838" i="6" s="1"/>
  <c r="C839" i="6"/>
  <c r="D839" i="6" s="1"/>
  <c r="C840" i="6"/>
  <c r="D840" i="6" s="1"/>
  <c r="C841" i="6"/>
  <c r="D841" i="6" s="1"/>
  <c r="C842" i="6"/>
  <c r="D842" i="6" s="1"/>
  <c r="C843" i="6"/>
  <c r="D843" i="6" s="1"/>
  <c r="C844" i="6"/>
  <c r="D844" i="6" s="1"/>
  <c r="C845" i="6"/>
  <c r="D845" i="6" s="1"/>
  <c r="C846" i="6"/>
  <c r="D846" i="6" s="1"/>
  <c r="C847" i="6"/>
  <c r="D847" i="6" s="1"/>
  <c r="C848" i="6"/>
  <c r="D848" i="6" s="1"/>
  <c r="C849" i="6"/>
  <c r="D849" i="6" s="1"/>
  <c r="C850" i="6"/>
  <c r="D850" i="6" s="1"/>
  <c r="C851" i="6"/>
  <c r="D851" i="6" s="1"/>
  <c r="C852" i="6"/>
  <c r="D852" i="6" s="1"/>
  <c r="C853" i="6"/>
  <c r="D853" i="6" s="1"/>
  <c r="C854" i="6"/>
  <c r="D854" i="6" s="1"/>
  <c r="C855" i="6"/>
  <c r="D855" i="6" s="1"/>
  <c r="C856" i="6"/>
  <c r="D856" i="6" s="1"/>
  <c r="C857" i="6"/>
  <c r="D857" i="6" s="1"/>
  <c r="C858" i="6"/>
  <c r="D858" i="6" s="1"/>
  <c r="C859" i="6"/>
  <c r="D859" i="6" s="1"/>
  <c r="C860" i="6"/>
  <c r="D860" i="6" s="1"/>
  <c r="C861" i="6"/>
  <c r="D861" i="6" s="1"/>
  <c r="C862" i="6"/>
  <c r="D862" i="6" s="1"/>
  <c r="C863" i="6"/>
  <c r="D863" i="6" s="1"/>
  <c r="C864" i="6"/>
  <c r="D864" i="6" s="1"/>
  <c r="C865" i="6"/>
  <c r="D865" i="6" s="1"/>
  <c r="C866" i="6"/>
  <c r="D866" i="6" s="1"/>
  <c r="C867" i="6"/>
  <c r="D867" i="6" s="1"/>
  <c r="C868" i="6"/>
  <c r="D868" i="6" s="1"/>
  <c r="C869" i="6"/>
  <c r="D869" i="6" s="1"/>
  <c r="C870" i="6"/>
  <c r="D870" i="6" s="1"/>
  <c r="C871" i="6"/>
  <c r="D871" i="6" s="1"/>
  <c r="C872" i="6"/>
  <c r="D872" i="6" s="1"/>
  <c r="C873" i="6"/>
  <c r="D873" i="6" s="1"/>
  <c r="C874" i="6"/>
  <c r="D874" i="6" s="1"/>
  <c r="C875" i="6"/>
  <c r="D875" i="6" s="1"/>
  <c r="C876" i="6"/>
  <c r="D876" i="6" s="1"/>
  <c r="C877" i="6"/>
  <c r="D877" i="6" s="1"/>
  <c r="C878" i="6"/>
  <c r="D878" i="6" s="1"/>
  <c r="C879" i="6"/>
  <c r="D879" i="6" s="1"/>
  <c r="C880" i="6"/>
  <c r="D880" i="6" s="1"/>
  <c r="C881" i="6"/>
  <c r="D881" i="6" s="1"/>
  <c r="C882" i="6"/>
  <c r="D882" i="6" s="1"/>
  <c r="C883" i="6"/>
  <c r="D883" i="6" s="1"/>
  <c r="C884" i="6"/>
  <c r="D884" i="6" s="1"/>
  <c r="C885" i="6"/>
  <c r="D885" i="6" s="1"/>
  <c r="C886" i="6"/>
  <c r="D886" i="6" s="1"/>
  <c r="C887" i="6"/>
  <c r="D887" i="6" s="1"/>
  <c r="C888" i="6"/>
  <c r="D888" i="6" s="1"/>
  <c r="C889" i="6"/>
  <c r="D889" i="6" s="1"/>
  <c r="C890" i="6"/>
  <c r="D890" i="6" s="1"/>
  <c r="C891" i="6"/>
  <c r="D891" i="6" s="1"/>
  <c r="C892" i="6"/>
  <c r="D892" i="6" s="1"/>
  <c r="C893" i="6"/>
  <c r="D893" i="6" s="1"/>
  <c r="C894" i="6"/>
  <c r="D894" i="6" s="1"/>
  <c r="C895" i="6"/>
  <c r="D895" i="6" s="1"/>
  <c r="C896" i="6"/>
  <c r="D896" i="6" s="1"/>
  <c r="C897" i="6"/>
  <c r="D897" i="6" s="1"/>
  <c r="C898" i="6"/>
  <c r="D898" i="6" s="1"/>
  <c r="C899" i="6"/>
  <c r="D899" i="6" s="1"/>
  <c r="C900" i="6"/>
  <c r="D900" i="6" s="1"/>
  <c r="C901" i="6"/>
  <c r="D901" i="6" s="1"/>
  <c r="C902" i="6"/>
  <c r="D902" i="6" s="1"/>
  <c r="C903" i="6"/>
  <c r="D903" i="6" s="1"/>
  <c r="C904" i="6"/>
  <c r="D904" i="6" s="1"/>
  <c r="C905" i="6"/>
  <c r="D905" i="6" s="1"/>
  <c r="C906" i="6"/>
  <c r="D906" i="6" s="1"/>
  <c r="C907" i="6"/>
  <c r="D907" i="6" s="1"/>
  <c r="C908" i="6"/>
  <c r="D908" i="6" s="1"/>
  <c r="C909" i="6"/>
  <c r="D909" i="6" s="1"/>
  <c r="C910" i="6"/>
  <c r="D910" i="6" s="1"/>
  <c r="C911" i="6"/>
  <c r="D911" i="6" s="1"/>
  <c r="C912" i="6"/>
  <c r="D912" i="6" s="1"/>
  <c r="C913" i="6"/>
  <c r="D913" i="6" s="1"/>
  <c r="C914" i="6"/>
  <c r="D914" i="6" s="1"/>
  <c r="C915" i="6"/>
  <c r="D915" i="6" s="1"/>
  <c r="C916" i="6"/>
  <c r="D916" i="6" s="1"/>
  <c r="C917" i="6"/>
  <c r="D917" i="6" s="1"/>
  <c r="C918" i="6"/>
  <c r="D918" i="6" s="1"/>
  <c r="C919" i="6"/>
  <c r="D919" i="6" s="1"/>
  <c r="C920" i="6"/>
  <c r="D920" i="6" s="1"/>
  <c r="C921" i="6"/>
  <c r="D921" i="6" s="1"/>
  <c r="C922" i="6"/>
  <c r="D922" i="6" s="1"/>
  <c r="C923" i="6"/>
  <c r="D923" i="6" s="1"/>
  <c r="C924" i="6"/>
  <c r="D924" i="6" s="1"/>
  <c r="C925" i="6"/>
  <c r="D925" i="6" s="1"/>
  <c r="C926" i="6"/>
  <c r="D926" i="6" s="1"/>
  <c r="C927" i="6"/>
  <c r="D927" i="6" s="1"/>
  <c r="C928" i="6"/>
  <c r="D928" i="6" s="1"/>
  <c r="C929" i="6"/>
  <c r="D929" i="6" s="1"/>
  <c r="C930" i="6"/>
  <c r="D930" i="6" s="1"/>
  <c r="C931" i="6"/>
  <c r="D931" i="6" s="1"/>
  <c r="C932" i="6"/>
  <c r="D932" i="6" s="1"/>
  <c r="C933" i="6"/>
  <c r="D933" i="6" s="1"/>
  <c r="C934" i="6"/>
  <c r="D934" i="6" s="1"/>
  <c r="C935" i="6"/>
  <c r="D935" i="6" s="1"/>
  <c r="C936" i="6"/>
  <c r="D936" i="6" s="1"/>
  <c r="C937" i="6"/>
  <c r="D937" i="6" s="1"/>
  <c r="C938" i="6"/>
  <c r="D938" i="6" s="1"/>
  <c r="C939" i="6"/>
  <c r="D939" i="6" s="1"/>
  <c r="C940" i="6"/>
  <c r="D940" i="6" s="1"/>
  <c r="C941" i="6"/>
  <c r="D941" i="6" s="1"/>
  <c r="C942" i="6"/>
  <c r="D942" i="6" s="1"/>
  <c r="C943" i="6"/>
  <c r="D943" i="6" s="1"/>
  <c r="C944" i="6"/>
  <c r="D944" i="6" s="1"/>
  <c r="C945" i="6"/>
  <c r="D945" i="6" s="1"/>
  <c r="C946" i="6"/>
  <c r="D946" i="6" s="1"/>
  <c r="C947" i="6"/>
  <c r="D947" i="6" s="1"/>
  <c r="C948" i="6"/>
  <c r="D948" i="6" s="1"/>
  <c r="C949" i="6"/>
  <c r="D949" i="6" s="1"/>
  <c r="C950" i="6"/>
  <c r="D950" i="6" s="1"/>
  <c r="C951" i="6"/>
  <c r="D951" i="6" s="1"/>
  <c r="C952" i="6"/>
  <c r="D952" i="6" s="1"/>
  <c r="C953" i="6"/>
  <c r="D953" i="6" s="1"/>
  <c r="C954" i="6"/>
  <c r="D954" i="6" s="1"/>
  <c r="C955" i="6"/>
  <c r="D955" i="6" s="1"/>
  <c r="C956" i="6"/>
  <c r="D956" i="6" s="1"/>
  <c r="C957" i="6"/>
  <c r="D957" i="6" s="1"/>
  <c r="C958" i="6"/>
  <c r="D958" i="6" s="1"/>
  <c r="C959" i="6"/>
  <c r="D959" i="6" s="1"/>
  <c r="C960" i="6"/>
  <c r="D960" i="6" s="1"/>
  <c r="C961" i="6"/>
  <c r="D961" i="6" s="1"/>
  <c r="C962" i="6"/>
  <c r="D962" i="6" s="1"/>
  <c r="C963" i="6"/>
  <c r="D963" i="6" s="1"/>
  <c r="C964" i="6"/>
  <c r="D964" i="6" s="1"/>
  <c r="C965" i="6"/>
  <c r="D965" i="6" s="1"/>
  <c r="C966" i="6"/>
  <c r="D966" i="6" s="1"/>
  <c r="C967" i="6"/>
  <c r="D967" i="6" s="1"/>
  <c r="C968" i="6"/>
  <c r="D968" i="6" s="1"/>
  <c r="C969" i="6"/>
  <c r="D969" i="6" s="1"/>
  <c r="C970" i="6"/>
  <c r="D970" i="6" s="1"/>
  <c r="C971" i="6"/>
  <c r="D971" i="6" s="1"/>
  <c r="C972" i="6"/>
  <c r="D972" i="6" s="1"/>
  <c r="C973" i="6"/>
  <c r="D973" i="6" s="1"/>
  <c r="C974" i="6"/>
  <c r="D974" i="6" s="1"/>
  <c r="C975" i="6"/>
  <c r="D975" i="6" s="1"/>
  <c r="C976" i="6"/>
  <c r="D976" i="6" s="1"/>
  <c r="C977" i="6"/>
  <c r="D977" i="6" s="1"/>
  <c r="C978" i="6"/>
  <c r="D978" i="6" s="1"/>
  <c r="C979" i="6"/>
  <c r="D979" i="6" s="1"/>
  <c r="C980" i="6"/>
  <c r="D980" i="6" s="1"/>
  <c r="C981" i="6"/>
  <c r="D981" i="6" s="1"/>
  <c r="C982" i="6"/>
  <c r="D982" i="6" s="1"/>
  <c r="C983" i="6"/>
  <c r="D983" i="6" s="1"/>
  <c r="C984" i="6"/>
  <c r="D984" i="6" s="1"/>
  <c r="C985" i="6"/>
  <c r="D985" i="6" s="1"/>
  <c r="C986" i="6"/>
  <c r="D986" i="6" s="1"/>
  <c r="C987" i="6"/>
  <c r="D987" i="6" s="1"/>
  <c r="C988" i="6"/>
  <c r="D988" i="6" s="1"/>
  <c r="C989" i="6"/>
  <c r="D989" i="6" s="1"/>
  <c r="C990" i="6"/>
  <c r="D990" i="6" s="1"/>
  <c r="C991" i="6"/>
  <c r="D991" i="6" s="1"/>
  <c r="C992" i="6"/>
  <c r="D992" i="6" s="1"/>
  <c r="C993" i="6"/>
  <c r="D993" i="6" s="1"/>
  <c r="C994" i="6"/>
  <c r="D994" i="6" s="1"/>
  <c r="C995" i="6"/>
  <c r="D995" i="6" s="1"/>
  <c r="C996" i="6"/>
  <c r="D996" i="6" s="1"/>
  <c r="C997" i="6"/>
  <c r="D997" i="6" s="1"/>
  <c r="C998" i="6"/>
  <c r="D998" i="6" s="1"/>
  <c r="C999" i="6"/>
  <c r="D999" i="6" s="1"/>
  <c r="C1000" i="6"/>
  <c r="D1000" i="6" s="1"/>
  <c r="C1001" i="6"/>
  <c r="D1001" i="6" s="1"/>
  <c r="C1002" i="6"/>
  <c r="D1002" i="6" s="1"/>
  <c r="C1003" i="6"/>
  <c r="D1003" i="6" s="1"/>
  <c r="C1004" i="6"/>
  <c r="D1004" i="6" s="1"/>
  <c r="C1005" i="6"/>
  <c r="D1005" i="6" s="1"/>
  <c r="C1006" i="6"/>
  <c r="D1006" i="6" s="1"/>
  <c r="C1007" i="6"/>
  <c r="D1007" i="6" s="1"/>
  <c r="C8" i="6"/>
  <c r="D8" i="6" s="1"/>
  <c r="A6" i="11" l="1"/>
  <c r="R305" i="9"/>
  <c r="R306" i="9"/>
  <c r="S306" i="9" s="1"/>
  <c r="X306" i="9" s="1"/>
  <c r="R307" i="9"/>
  <c r="R308" i="9"/>
  <c r="S308" i="9" s="1"/>
  <c r="X308" i="9" s="1"/>
  <c r="R309" i="9"/>
  <c r="R310" i="9"/>
  <c r="S310" i="9" s="1"/>
  <c r="X310" i="9" s="1"/>
  <c r="R311" i="9"/>
  <c r="R312" i="9"/>
  <c r="S312" i="9" s="1"/>
  <c r="X312" i="9" s="1"/>
  <c r="R313" i="9"/>
  <c r="R314" i="9"/>
  <c r="S314" i="9" s="1"/>
  <c r="X314" i="9" s="1"/>
  <c r="R315" i="9"/>
  <c r="R316" i="9"/>
  <c r="S316" i="9" s="1"/>
  <c r="X316" i="9" s="1"/>
  <c r="R317" i="9"/>
  <c r="R318" i="9"/>
  <c r="S318" i="9" s="1"/>
  <c r="X318" i="9" s="1"/>
  <c r="R319" i="9"/>
  <c r="R320" i="9"/>
  <c r="S320" i="9" s="1"/>
  <c r="X320" i="9" s="1"/>
  <c r="R321" i="9"/>
  <c r="R322" i="9"/>
  <c r="S322" i="9" s="1"/>
  <c r="X322" i="9" s="1"/>
  <c r="R323" i="9"/>
  <c r="R324" i="9"/>
  <c r="S324" i="9" s="1"/>
  <c r="X324" i="9" s="1"/>
  <c r="R325" i="9"/>
  <c r="R326" i="9"/>
  <c r="S326" i="9" s="1"/>
  <c r="X326" i="9" s="1"/>
  <c r="R327" i="9"/>
  <c r="R328" i="9"/>
  <c r="S328" i="9" s="1"/>
  <c r="X328" i="9" s="1"/>
  <c r="R329" i="9"/>
  <c r="R330" i="9"/>
  <c r="S330" i="9" s="1"/>
  <c r="X330" i="9" s="1"/>
  <c r="R331" i="9"/>
  <c r="R332" i="9"/>
  <c r="S332" i="9" s="1"/>
  <c r="X332" i="9" s="1"/>
  <c r="R333" i="9"/>
  <c r="R334" i="9"/>
  <c r="R335" i="9"/>
  <c r="R336" i="9"/>
  <c r="R337" i="9"/>
  <c r="R338" i="9"/>
  <c r="R339" i="9"/>
  <c r="R340" i="9"/>
  <c r="R341" i="9"/>
  <c r="R342" i="9"/>
  <c r="R343" i="9"/>
  <c r="R344" i="9"/>
  <c r="R345" i="9"/>
  <c r="R346" i="9"/>
  <c r="R347" i="9"/>
  <c r="R348" i="9"/>
  <c r="R349" i="9"/>
  <c r="R350" i="9"/>
  <c r="R351" i="9"/>
  <c r="R352" i="9"/>
  <c r="R353" i="9"/>
  <c r="R354" i="9"/>
  <c r="R355" i="9"/>
  <c r="R356" i="9"/>
  <c r="R357" i="9"/>
  <c r="R358" i="9"/>
  <c r="R359" i="9"/>
  <c r="R360" i="9"/>
  <c r="R361" i="9"/>
  <c r="R362" i="9"/>
  <c r="R363" i="9"/>
  <c r="R364" i="9"/>
  <c r="R365" i="9"/>
  <c r="R366" i="9"/>
  <c r="R367" i="9"/>
  <c r="R368" i="9"/>
  <c r="R369" i="9"/>
  <c r="R370" i="9"/>
  <c r="R371" i="9"/>
  <c r="R372" i="9"/>
  <c r="R373" i="9"/>
  <c r="R374" i="9"/>
  <c r="R375" i="9"/>
  <c r="R376" i="9"/>
  <c r="R377" i="9"/>
  <c r="R378" i="9"/>
  <c r="R379" i="9"/>
  <c r="R380" i="9"/>
  <c r="R381" i="9"/>
  <c r="R382" i="9"/>
  <c r="R383" i="9"/>
  <c r="R384" i="9"/>
  <c r="R385" i="9"/>
  <c r="R386" i="9"/>
  <c r="R387" i="9"/>
  <c r="R388" i="9"/>
  <c r="R389" i="9"/>
  <c r="R390" i="9"/>
  <c r="R391" i="9"/>
  <c r="R392" i="9"/>
  <c r="R393" i="9"/>
  <c r="R394" i="9"/>
  <c r="R395" i="9"/>
  <c r="R396" i="9"/>
  <c r="R397" i="9"/>
  <c r="R398" i="9"/>
  <c r="R399" i="9"/>
  <c r="R400" i="9"/>
  <c r="R401" i="9"/>
  <c r="R402" i="9"/>
  <c r="R403" i="9"/>
  <c r="R404" i="9"/>
  <c r="R405" i="9"/>
  <c r="R406" i="9"/>
  <c r="R407" i="9"/>
  <c r="R408" i="9"/>
  <c r="R409" i="9"/>
  <c r="R410" i="9"/>
  <c r="R411" i="9"/>
  <c r="R412" i="9"/>
  <c r="R413" i="9"/>
  <c r="R414" i="9"/>
  <c r="R415" i="9"/>
  <c r="R416" i="9"/>
  <c r="R417" i="9"/>
  <c r="R418" i="9"/>
  <c r="R419" i="9"/>
  <c r="R420" i="9"/>
  <c r="R421" i="9"/>
  <c r="R422" i="9"/>
  <c r="R423" i="9"/>
  <c r="R424" i="9"/>
  <c r="R425" i="9"/>
  <c r="R426" i="9"/>
  <c r="R427" i="9"/>
  <c r="R428" i="9"/>
  <c r="R429" i="9"/>
  <c r="R430" i="9"/>
  <c r="R431" i="9"/>
  <c r="R432" i="9"/>
  <c r="R433" i="9"/>
  <c r="R434" i="9"/>
  <c r="R435" i="9"/>
  <c r="R436" i="9"/>
  <c r="R437" i="9"/>
  <c r="R438" i="9"/>
  <c r="R439" i="9"/>
  <c r="R440" i="9"/>
  <c r="R441" i="9"/>
  <c r="R442" i="9"/>
  <c r="R443" i="9"/>
  <c r="R444" i="9"/>
  <c r="R445" i="9"/>
  <c r="R446" i="9"/>
  <c r="R447" i="9"/>
  <c r="R448" i="9"/>
  <c r="R449" i="9"/>
  <c r="R450" i="9"/>
  <c r="R451" i="9"/>
  <c r="R452" i="9"/>
  <c r="R453" i="9"/>
  <c r="R454" i="9"/>
  <c r="R455" i="9"/>
  <c r="R456" i="9"/>
  <c r="R457" i="9"/>
  <c r="R458" i="9"/>
  <c r="R459" i="9"/>
  <c r="R460" i="9"/>
  <c r="R461" i="9"/>
  <c r="R462" i="9"/>
  <c r="R463" i="9"/>
  <c r="R464" i="9"/>
  <c r="R465" i="9"/>
  <c r="R466" i="9"/>
  <c r="R467" i="9"/>
  <c r="R468" i="9"/>
  <c r="R469" i="9"/>
  <c r="R470" i="9"/>
  <c r="R471" i="9"/>
  <c r="R472" i="9"/>
  <c r="R473" i="9"/>
  <c r="R474" i="9"/>
  <c r="R475" i="9"/>
  <c r="R476" i="9"/>
  <c r="R477" i="9"/>
  <c r="R478" i="9"/>
  <c r="R479" i="9"/>
  <c r="R480" i="9"/>
  <c r="R481" i="9"/>
  <c r="R482" i="9"/>
  <c r="R483" i="9"/>
  <c r="R484" i="9"/>
  <c r="R485" i="9"/>
  <c r="R486" i="9"/>
  <c r="R487" i="9"/>
  <c r="R488" i="9"/>
  <c r="R489" i="9"/>
  <c r="R490" i="9"/>
  <c r="R491" i="9"/>
  <c r="R492" i="9"/>
  <c r="R493" i="9"/>
  <c r="R494" i="9"/>
  <c r="R495" i="9"/>
  <c r="R496" i="9"/>
  <c r="R497" i="9"/>
  <c r="R498" i="9"/>
  <c r="R499" i="9"/>
  <c r="R500" i="9"/>
  <c r="R501" i="9"/>
  <c r="R502" i="9"/>
  <c r="R503" i="9"/>
  <c r="R504" i="9"/>
  <c r="R505" i="9"/>
  <c r="R506" i="9"/>
  <c r="R507" i="9"/>
  <c r="R508" i="9"/>
  <c r="R509" i="9"/>
  <c r="R510" i="9"/>
  <c r="R511" i="9"/>
  <c r="R512" i="9"/>
  <c r="R513" i="9"/>
  <c r="R514" i="9"/>
  <c r="R515" i="9"/>
  <c r="R516" i="9"/>
  <c r="R517" i="9"/>
  <c r="R518" i="9"/>
  <c r="R519" i="9"/>
  <c r="R520" i="9"/>
  <c r="R521" i="9"/>
  <c r="R522" i="9"/>
  <c r="R523" i="9"/>
  <c r="R524" i="9"/>
  <c r="R525" i="9"/>
  <c r="R526" i="9"/>
  <c r="R527" i="9"/>
  <c r="R528" i="9"/>
  <c r="R529" i="9"/>
  <c r="R530" i="9"/>
  <c r="R531" i="9"/>
  <c r="R532" i="9"/>
  <c r="R533" i="9"/>
  <c r="R534" i="9"/>
  <c r="R535" i="9"/>
  <c r="R536" i="9"/>
  <c r="R537" i="9"/>
  <c r="R538" i="9"/>
  <c r="R539" i="9"/>
  <c r="R540" i="9"/>
  <c r="R541" i="9"/>
  <c r="P542" i="9"/>
  <c r="R542" i="9"/>
  <c r="T542" i="9"/>
  <c r="R543" i="9"/>
  <c r="R544" i="9"/>
  <c r="R545" i="9"/>
  <c r="R546" i="9"/>
  <c r="R547" i="9"/>
  <c r="R548" i="9"/>
  <c r="R549" i="9"/>
  <c r="R550" i="9"/>
  <c r="R551" i="9"/>
  <c r="R552" i="9"/>
  <c r="R553" i="9"/>
  <c r="R554" i="9"/>
  <c r="R555" i="9"/>
  <c r="R556" i="9"/>
  <c r="R557" i="9"/>
  <c r="R558" i="9"/>
  <c r="R559" i="9"/>
  <c r="R560" i="9"/>
  <c r="R561" i="9"/>
  <c r="R562" i="9"/>
  <c r="R563" i="9"/>
  <c r="R564" i="9"/>
  <c r="R565" i="9"/>
  <c r="R566" i="9"/>
  <c r="R567" i="9"/>
  <c r="R568" i="9"/>
  <c r="R569" i="9"/>
  <c r="R570" i="9"/>
  <c r="R571" i="9"/>
  <c r="R572" i="9"/>
  <c r="R573" i="9"/>
  <c r="R574" i="9"/>
  <c r="R575" i="9"/>
  <c r="R576" i="9"/>
  <c r="R577" i="9"/>
  <c r="R578" i="9"/>
  <c r="R579" i="9"/>
  <c r="R580" i="9"/>
  <c r="R581" i="9"/>
  <c r="R582" i="9"/>
  <c r="R583" i="9"/>
  <c r="R584" i="9"/>
  <c r="R585" i="9"/>
  <c r="R586" i="9"/>
  <c r="R587" i="9"/>
  <c r="R588" i="9"/>
  <c r="R589" i="9"/>
  <c r="R590" i="9"/>
  <c r="R591" i="9"/>
  <c r="R592" i="9"/>
  <c r="R593" i="9"/>
  <c r="R594" i="9"/>
  <c r="R595" i="9"/>
  <c r="R596" i="9"/>
  <c r="R597" i="9"/>
  <c r="R598" i="9"/>
  <c r="R599" i="9"/>
  <c r="R600" i="9"/>
  <c r="R601" i="9"/>
  <c r="R602" i="9"/>
  <c r="R603" i="9"/>
  <c r="R604" i="9"/>
  <c r="R605" i="9"/>
  <c r="R606" i="9"/>
  <c r="R607" i="9"/>
  <c r="R608" i="9"/>
  <c r="R609" i="9"/>
  <c r="R610" i="9"/>
  <c r="R611" i="9"/>
  <c r="R612" i="9"/>
  <c r="R613" i="9"/>
  <c r="R614" i="9"/>
  <c r="R615" i="9"/>
  <c r="R616" i="9"/>
  <c r="R617" i="9"/>
  <c r="R618" i="9"/>
  <c r="R619" i="9"/>
  <c r="R620" i="9"/>
  <c r="R621" i="9"/>
  <c r="R622" i="9"/>
  <c r="R623" i="9"/>
  <c r="R624" i="9"/>
  <c r="R625" i="9"/>
  <c r="R626" i="9"/>
  <c r="R627" i="9"/>
  <c r="R628" i="9"/>
  <c r="R629" i="9"/>
  <c r="R630" i="9"/>
  <c r="R631" i="9"/>
  <c r="R632" i="9"/>
  <c r="R633" i="9"/>
  <c r="R634" i="9"/>
  <c r="R635" i="9"/>
  <c r="R636" i="9"/>
  <c r="R637" i="9"/>
  <c r="R638" i="9"/>
  <c r="R639" i="9"/>
  <c r="R640" i="9"/>
  <c r="R641" i="9"/>
  <c r="R642" i="9"/>
  <c r="R643" i="9"/>
  <c r="R644" i="9"/>
  <c r="R645" i="9"/>
  <c r="R646" i="9"/>
  <c r="R647" i="9"/>
  <c r="R648" i="9"/>
  <c r="R649" i="9"/>
  <c r="R650" i="9"/>
  <c r="R651" i="9"/>
  <c r="R652" i="9"/>
  <c r="R653" i="9"/>
  <c r="R654" i="9"/>
  <c r="R655" i="9"/>
  <c r="R656" i="9"/>
  <c r="R657" i="9"/>
  <c r="R658" i="9"/>
  <c r="R659" i="9"/>
  <c r="R660" i="9"/>
  <c r="R661" i="9"/>
  <c r="R662" i="9"/>
  <c r="R663" i="9"/>
  <c r="R664" i="9"/>
  <c r="R665" i="9"/>
  <c r="R666" i="9"/>
  <c r="S666" i="9" s="1"/>
  <c r="X666" i="9" s="1"/>
  <c r="R667" i="9"/>
  <c r="R668" i="9"/>
  <c r="S668" i="9" s="1"/>
  <c r="X668" i="9" s="1"/>
  <c r="R669" i="9"/>
  <c r="R670" i="9"/>
  <c r="S670" i="9" s="1"/>
  <c r="X670" i="9" s="1"/>
  <c r="R671" i="9"/>
  <c r="R672" i="9"/>
  <c r="S672" i="9" s="1"/>
  <c r="X672" i="9" s="1"/>
  <c r="R673" i="9"/>
  <c r="R674" i="9"/>
  <c r="S674" i="9" s="1"/>
  <c r="X674" i="9" s="1"/>
  <c r="R676" i="9"/>
  <c r="R678" i="9"/>
  <c r="S678" i="9" s="1"/>
  <c r="X678" i="9" s="1"/>
  <c r="R680" i="9"/>
  <c r="R682" i="9"/>
  <c r="S682" i="9" s="1"/>
  <c r="X682" i="9" s="1"/>
  <c r="R684" i="9"/>
  <c r="R686" i="9"/>
  <c r="S686" i="9" s="1"/>
  <c r="X686" i="9" s="1"/>
  <c r="D860" i="11"/>
  <c r="F860" i="11" s="1"/>
  <c r="V856" i="9"/>
  <c r="U856" i="9"/>
  <c r="X856" i="9"/>
  <c r="W856" i="9"/>
  <c r="D862" i="11"/>
  <c r="F862" i="11" s="1"/>
  <c r="V858" i="9"/>
  <c r="U858" i="9"/>
  <c r="X858" i="9"/>
  <c r="W858" i="9"/>
  <c r="D864" i="11"/>
  <c r="F864" i="11" s="1"/>
  <c r="V860" i="9"/>
  <c r="U860" i="9"/>
  <c r="X860" i="9"/>
  <c r="W860" i="9"/>
  <c r="D866" i="11"/>
  <c r="F866" i="11" s="1"/>
  <c r="V862" i="9"/>
  <c r="U862" i="9"/>
  <c r="X862" i="9"/>
  <c r="W862" i="9"/>
  <c r="D868" i="11"/>
  <c r="F868" i="11" s="1"/>
  <c r="V864" i="9"/>
  <c r="U864" i="9"/>
  <c r="X864" i="9"/>
  <c r="W864" i="9"/>
  <c r="D870" i="11"/>
  <c r="F870" i="11" s="1"/>
  <c r="V866" i="9"/>
  <c r="U866" i="9"/>
  <c r="X866" i="9"/>
  <c r="W866" i="9"/>
  <c r="D872" i="11"/>
  <c r="F872" i="11" s="1"/>
  <c r="V868" i="9"/>
  <c r="U868" i="9"/>
  <c r="X868" i="9"/>
  <c r="W868" i="9"/>
  <c r="D874" i="11"/>
  <c r="F874" i="11" s="1"/>
  <c r="V870" i="9"/>
  <c r="U870" i="9"/>
  <c r="X870" i="9"/>
  <c r="W870" i="9"/>
  <c r="D876" i="11"/>
  <c r="F876" i="11" s="1"/>
  <c r="V872" i="9"/>
  <c r="U872" i="9"/>
  <c r="X872" i="9"/>
  <c r="W872" i="9"/>
  <c r="D878" i="11"/>
  <c r="F878" i="11" s="1"/>
  <c r="V874" i="9"/>
  <c r="U874" i="9"/>
  <c r="X874" i="9"/>
  <c r="W874" i="9"/>
  <c r="D880" i="11"/>
  <c r="F880" i="11" s="1"/>
  <c r="V876" i="9"/>
  <c r="U876" i="9"/>
  <c r="X876" i="9"/>
  <c r="W876" i="9"/>
  <c r="D882" i="11"/>
  <c r="F882" i="11" s="1"/>
  <c r="V878" i="9"/>
  <c r="U878" i="9"/>
  <c r="X878" i="9"/>
  <c r="W878" i="9"/>
  <c r="D884" i="11"/>
  <c r="F884" i="11" s="1"/>
  <c r="V880" i="9"/>
  <c r="U880" i="9"/>
  <c r="X880" i="9"/>
  <c r="W880" i="9"/>
  <c r="D886" i="11"/>
  <c r="F886" i="11" s="1"/>
  <c r="V882" i="9"/>
  <c r="U882" i="9"/>
  <c r="X882" i="9"/>
  <c r="W882" i="9"/>
  <c r="D888" i="11"/>
  <c r="F888" i="11" s="1"/>
  <c r="V884" i="9"/>
  <c r="U884" i="9"/>
  <c r="X884" i="9"/>
  <c r="W884" i="9"/>
  <c r="D890" i="11"/>
  <c r="F890" i="11" s="1"/>
  <c r="V886" i="9"/>
  <c r="U886" i="9"/>
  <c r="X886" i="9"/>
  <c r="W886" i="9"/>
  <c r="D892" i="11"/>
  <c r="F892" i="11" s="1"/>
  <c r="V888" i="9"/>
  <c r="U888" i="9"/>
  <c r="X888" i="9"/>
  <c r="W888" i="9"/>
  <c r="D894" i="11"/>
  <c r="F894" i="11" s="1"/>
  <c r="V890" i="9"/>
  <c r="U890" i="9"/>
  <c r="X890" i="9"/>
  <c r="W890" i="9"/>
  <c r="D896" i="11"/>
  <c r="F896" i="11" s="1"/>
  <c r="V892" i="9"/>
  <c r="U892" i="9"/>
  <c r="X892" i="9"/>
  <c r="W892" i="9"/>
  <c r="D898" i="11"/>
  <c r="F898" i="11" s="1"/>
  <c r="V894" i="9"/>
  <c r="U894" i="9"/>
  <c r="X894" i="9"/>
  <c r="W894" i="9"/>
  <c r="D900" i="11"/>
  <c r="F900" i="11" s="1"/>
  <c r="V896" i="9"/>
  <c r="U896" i="9"/>
  <c r="X896" i="9"/>
  <c r="W896" i="9"/>
  <c r="D902" i="11"/>
  <c r="F902" i="11" s="1"/>
  <c r="V898" i="9"/>
  <c r="U898" i="9"/>
  <c r="X898" i="9"/>
  <c r="W898" i="9"/>
  <c r="D904" i="11"/>
  <c r="F904" i="11" s="1"/>
  <c r="V900" i="9"/>
  <c r="U900" i="9"/>
  <c r="X900" i="9"/>
  <c r="W900" i="9"/>
  <c r="D906" i="11"/>
  <c r="F906" i="11" s="1"/>
  <c r="V902" i="9"/>
  <c r="U902" i="9"/>
  <c r="X902" i="9"/>
  <c r="W902" i="9"/>
  <c r="D908" i="11"/>
  <c r="F908" i="11" s="1"/>
  <c r="V904" i="9"/>
  <c r="U904" i="9"/>
  <c r="X904" i="9"/>
  <c r="W904" i="9"/>
  <c r="D910" i="11"/>
  <c r="F910" i="11" s="1"/>
  <c r="V906" i="9"/>
  <c r="U906" i="9"/>
  <c r="X906" i="9"/>
  <c r="W906" i="9"/>
  <c r="D912" i="11"/>
  <c r="F912" i="11" s="1"/>
  <c r="V908" i="9"/>
  <c r="U908" i="9"/>
  <c r="X908" i="9"/>
  <c r="W908" i="9"/>
  <c r="D914" i="11"/>
  <c r="F914" i="11" s="1"/>
  <c r="V910" i="9"/>
  <c r="U910" i="9"/>
  <c r="X910" i="9"/>
  <c r="W910" i="9"/>
  <c r="D916" i="11"/>
  <c r="F916" i="11" s="1"/>
  <c r="V912" i="9"/>
  <c r="U912" i="9"/>
  <c r="X912" i="9"/>
  <c r="W912" i="9"/>
  <c r="D918" i="11"/>
  <c r="F918" i="11" s="1"/>
  <c r="V914" i="9"/>
  <c r="U914" i="9"/>
  <c r="X914" i="9"/>
  <c r="W914" i="9"/>
  <c r="D920" i="11"/>
  <c r="F920" i="11" s="1"/>
  <c r="V916" i="9"/>
  <c r="U916" i="9"/>
  <c r="X916" i="9"/>
  <c r="W916" i="9"/>
  <c r="D922" i="11"/>
  <c r="F922" i="11" s="1"/>
  <c r="V918" i="9"/>
  <c r="U918" i="9"/>
  <c r="X918" i="9"/>
  <c r="W918" i="9"/>
  <c r="D924" i="11"/>
  <c r="F924" i="11" s="1"/>
  <c r="V920" i="9"/>
  <c r="U920" i="9"/>
  <c r="X920" i="9"/>
  <c r="W920" i="9"/>
  <c r="D925" i="11"/>
  <c r="F925" i="11" s="1"/>
  <c r="V921" i="9"/>
  <c r="U921" i="9"/>
  <c r="X921" i="9"/>
  <c r="W921" i="9"/>
  <c r="D926" i="11"/>
  <c r="F926" i="11" s="1"/>
  <c r="V922" i="9"/>
  <c r="U922" i="9"/>
  <c r="X922" i="9"/>
  <c r="W922" i="9"/>
  <c r="D927" i="11"/>
  <c r="F927" i="11" s="1"/>
  <c r="V923" i="9"/>
  <c r="U923" i="9"/>
  <c r="X923" i="9"/>
  <c r="W923" i="9"/>
  <c r="D928" i="11"/>
  <c r="F928" i="11" s="1"/>
  <c r="V924" i="9"/>
  <c r="U924" i="9"/>
  <c r="X924" i="9"/>
  <c r="W924" i="9"/>
  <c r="D929" i="11"/>
  <c r="F929" i="11" s="1"/>
  <c r="V925" i="9"/>
  <c r="U925" i="9"/>
  <c r="X925" i="9"/>
  <c r="W925" i="9"/>
  <c r="D930" i="11"/>
  <c r="F930" i="11" s="1"/>
  <c r="V926" i="9"/>
  <c r="U926" i="9"/>
  <c r="X926" i="9"/>
  <c r="W926" i="9"/>
  <c r="D931" i="11"/>
  <c r="F931" i="11" s="1"/>
  <c r="V927" i="9"/>
  <c r="U927" i="9"/>
  <c r="X927" i="9"/>
  <c r="W927" i="9"/>
  <c r="D932" i="11"/>
  <c r="F932" i="11" s="1"/>
  <c r="V928" i="9"/>
  <c r="U928" i="9"/>
  <c r="X928" i="9"/>
  <c r="W928" i="9"/>
  <c r="D933" i="11"/>
  <c r="F933" i="11" s="1"/>
  <c r="V929" i="9"/>
  <c r="U929" i="9"/>
  <c r="X929" i="9"/>
  <c r="W929" i="9"/>
  <c r="D934" i="11"/>
  <c r="F934" i="11" s="1"/>
  <c r="V930" i="9"/>
  <c r="U930" i="9"/>
  <c r="X930" i="9"/>
  <c r="W930" i="9"/>
  <c r="D935" i="11"/>
  <c r="F935" i="11" s="1"/>
  <c r="V931" i="9"/>
  <c r="U931" i="9"/>
  <c r="X931" i="9"/>
  <c r="W931" i="9"/>
  <c r="D936" i="11"/>
  <c r="F936" i="11" s="1"/>
  <c r="V932" i="9"/>
  <c r="U932" i="9"/>
  <c r="X932" i="9"/>
  <c r="W932" i="9"/>
  <c r="D937" i="11"/>
  <c r="F937" i="11" s="1"/>
  <c r="V933" i="9"/>
  <c r="U933" i="9"/>
  <c r="X933" i="9"/>
  <c r="W933" i="9"/>
  <c r="D938" i="11"/>
  <c r="F938" i="11" s="1"/>
  <c r="V934" i="9"/>
  <c r="U934" i="9"/>
  <c r="X934" i="9"/>
  <c r="W934" i="9"/>
  <c r="D939" i="11"/>
  <c r="F939" i="11" s="1"/>
  <c r="V935" i="9"/>
  <c r="U935" i="9"/>
  <c r="X935" i="9"/>
  <c r="W935" i="9"/>
  <c r="D940" i="11"/>
  <c r="F940" i="11" s="1"/>
  <c r="V936" i="9"/>
  <c r="U936" i="9"/>
  <c r="X936" i="9"/>
  <c r="W936" i="9"/>
  <c r="D941" i="11"/>
  <c r="F941" i="11" s="1"/>
  <c r="V937" i="9"/>
  <c r="U937" i="9"/>
  <c r="X937" i="9"/>
  <c r="W937" i="9"/>
  <c r="D942" i="11"/>
  <c r="F942" i="11" s="1"/>
  <c r="V938" i="9"/>
  <c r="U938" i="9"/>
  <c r="X938" i="9"/>
  <c r="W938" i="9"/>
  <c r="D943" i="11"/>
  <c r="F943" i="11" s="1"/>
  <c r="V939" i="9"/>
  <c r="U939" i="9"/>
  <c r="X939" i="9"/>
  <c r="W939" i="9"/>
  <c r="D944" i="11"/>
  <c r="F944" i="11" s="1"/>
  <c r="V940" i="9"/>
  <c r="U940" i="9"/>
  <c r="X940" i="9"/>
  <c r="W940" i="9"/>
  <c r="D945" i="11"/>
  <c r="F945" i="11" s="1"/>
  <c r="V941" i="9"/>
  <c r="U941" i="9"/>
  <c r="X941" i="9"/>
  <c r="W941" i="9"/>
  <c r="D946" i="11"/>
  <c r="F946" i="11" s="1"/>
  <c r="V942" i="9"/>
  <c r="U942" i="9"/>
  <c r="X942" i="9"/>
  <c r="W942" i="9"/>
  <c r="D947" i="11"/>
  <c r="F947" i="11" s="1"/>
  <c r="V943" i="9"/>
  <c r="U943" i="9"/>
  <c r="X943" i="9"/>
  <c r="W943" i="9"/>
  <c r="D948" i="11"/>
  <c r="F948" i="11" s="1"/>
  <c r="V944" i="9"/>
  <c r="U944" i="9"/>
  <c r="X944" i="9"/>
  <c r="W944" i="9"/>
  <c r="D949" i="11"/>
  <c r="F949" i="11" s="1"/>
  <c r="V945" i="9"/>
  <c r="U945" i="9"/>
  <c r="X945" i="9"/>
  <c r="W945" i="9"/>
  <c r="D950" i="11"/>
  <c r="F950" i="11" s="1"/>
  <c r="V946" i="9"/>
  <c r="U946" i="9"/>
  <c r="X946" i="9"/>
  <c r="W946" i="9"/>
  <c r="D951" i="11"/>
  <c r="F951" i="11" s="1"/>
  <c r="V947" i="9"/>
  <c r="U947" i="9"/>
  <c r="X947" i="9"/>
  <c r="W947" i="9"/>
  <c r="D952" i="11"/>
  <c r="F952" i="11" s="1"/>
  <c r="V948" i="9"/>
  <c r="U948" i="9"/>
  <c r="X948" i="9"/>
  <c r="W948" i="9"/>
  <c r="D953" i="11"/>
  <c r="F953" i="11" s="1"/>
  <c r="V949" i="9"/>
  <c r="U949" i="9"/>
  <c r="X949" i="9"/>
  <c r="W949" i="9"/>
  <c r="D954" i="11"/>
  <c r="F954" i="11" s="1"/>
  <c r="V950" i="9"/>
  <c r="U950" i="9"/>
  <c r="X950" i="9"/>
  <c r="W950" i="9"/>
  <c r="D955" i="11"/>
  <c r="F955" i="11" s="1"/>
  <c r="V951" i="9"/>
  <c r="U951" i="9"/>
  <c r="X951" i="9"/>
  <c r="W951" i="9"/>
  <c r="D956" i="11"/>
  <c r="F956" i="11" s="1"/>
  <c r="V952" i="9"/>
  <c r="U952" i="9"/>
  <c r="X952" i="9"/>
  <c r="W952" i="9"/>
  <c r="D957" i="11"/>
  <c r="F957" i="11" s="1"/>
  <c r="V953" i="9"/>
  <c r="U953" i="9"/>
  <c r="X953" i="9"/>
  <c r="W953" i="9"/>
  <c r="D958" i="11"/>
  <c r="F958" i="11" s="1"/>
  <c r="V954" i="9"/>
  <c r="U954" i="9"/>
  <c r="X954" i="9"/>
  <c r="W954" i="9"/>
  <c r="D959" i="11"/>
  <c r="F959" i="11" s="1"/>
  <c r="V955" i="9"/>
  <c r="U955" i="9"/>
  <c r="X955" i="9"/>
  <c r="W955" i="9"/>
  <c r="D960" i="11"/>
  <c r="F960" i="11" s="1"/>
  <c r="V956" i="9"/>
  <c r="U956" i="9"/>
  <c r="X956" i="9"/>
  <c r="W956" i="9"/>
  <c r="D961" i="11"/>
  <c r="F961" i="11" s="1"/>
  <c r="V957" i="9"/>
  <c r="U957" i="9"/>
  <c r="X957" i="9"/>
  <c r="W957" i="9"/>
  <c r="D962" i="11"/>
  <c r="F962" i="11" s="1"/>
  <c r="V958" i="9"/>
  <c r="U958" i="9"/>
  <c r="X958" i="9"/>
  <c r="W958" i="9"/>
  <c r="D963" i="11"/>
  <c r="F963" i="11" s="1"/>
  <c r="V959" i="9"/>
  <c r="U959" i="9"/>
  <c r="X959" i="9"/>
  <c r="W959" i="9"/>
  <c r="D964" i="11"/>
  <c r="F964" i="11" s="1"/>
  <c r="V960" i="9"/>
  <c r="U960" i="9"/>
  <c r="X960" i="9"/>
  <c r="W960" i="9"/>
  <c r="D965" i="11"/>
  <c r="F965" i="11" s="1"/>
  <c r="V961" i="9"/>
  <c r="U961" i="9"/>
  <c r="X961" i="9"/>
  <c r="W961" i="9"/>
  <c r="D966" i="11"/>
  <c r="F966" i="11" s="1"/>
  <c r="V962" i="9"/>
  <c r="U962" i="9"/>
  <c r="X962" i="9"/>
  <c r="W962" i="9"/>
  <c r="D967" i="11"/>
  <c r="F967" i="11" s="1"/>
  <c r="V963" i="9"/>
  <c r="U963" i="9"/>
  <c r="X963" i="9"/>
  <c r="W963" i="9"/>
  <c r="D968" i="11"/>
  <c r="F968" i="11" s="1"/>
  <c r="V964" i="9"/>
  <c r="U964" i="9"/>
  <c r="X964" i="9"/>
  <c r="W964" i="9"/>
  <c r="D969" i="11"/>
  <c r="F969" i="11" s="1"/>
  <c r="V965" i="9"/>
  <c r="U965" i="9"/>
  <c r="X965" i="9"/>
  <c r="W965" i="9"/>
  <c r="D970" i="11"/>
  <c r="F970" i="11" s="1"/>
  <c r="V966" i="9"/>
  <c r="U966" i="9"/>
  <c r="X966" i="9"/>
  <c r="W966" i="9"/>
  <c r="D971" i="11"/>
  <c r="F971" i="11" s="1"/>
  <c r="V967" i="9"/>
  <c r="U967" i="9"/>
  <c r="X967" i="9"/>
  <c r="W967" i="9"/>
  <c r="D972" i="11"/>
  <c r="F972" i="11" s="1"/>
  <c r="V968" i="9"/>
  <c r="U968" i="9"/>
  <c r="X968" i="9"/>
  <c r="W968" i="9"/>
  <c r="D973" i="11"/>
  <c r="F973" i="11" s="1"/>
  <c r="V969" i="9"/>
  <c r="U969" i="9"/>
  <c r="X969" i="9"/>
  <c r="W969" i="9"/>
  <c r="D974" i="11"/>
  <c r="F974" i="11" s="1"/>
  <c r="V970" i="9"/>
  <c r="U970" i="9"/>
  <c r="X970" i="9"/>
  <c r="W970" i="9"/>
  <c r="D975" i="11"/>
  <c r="F975" i="11" s="1"/>
  <c r="V971" i="9"/>
  <c r="U971" i="9"/>
  <c r="X971" i="9"/>
  <c r="W971" i="9"/>
  <c r="D976" i="11"/>
  <c r="F976" i="11" s="1"/>
  <c r="V972" i="9"/>
  <c r="U972" i="9"/>
  <c r="X972" i="9"/>
  <c r="W972" i="9"/>
  <c r="D977" i="11"/>
  <c r="F977" i="11" s="1"/>
  <c r="V973" i="9"/>
  <c r="U973" i="9"/>
  <c r="X973" i="9"/>
  <c r="W973" i="9"/>
  <c r="D978" i="11"/>
  <c r="F978" i="11" s="1"/>
  <c r="V974" i="9"/>
  <c r="U974" i="9"/>
  <c r="X974" i="9"/>
  <c r="W974" i="9"/>
  <c r="D979" i="11"/>
  <c r="F979" i="11" s="1"/>
  <c r="V975" i="9"/>
  <c r="U975" i="9"/>
  <c r="X975" i="9"/>
  <c r="W975" i="9"/>
  <c r="D980" i="11"/>
  <c r="F980" i="11" s="1"/>
  <c r="V976" i="9"/>
  <c r="U976" i="9"/>
  <c r="X976" i="9"/>
  <c r="W976" i="9"/>
  <c r="D981" i="11"/>
  <c r="F981" i="11" s="1"/>
  <c r="V977" i="9"/>
  <c r="U977" i="9"/>
  <c r="X977" i="9"/>
  <c r="W977" i="9"/>
  <c r="D982" i="11"/>
  <c r="F982" i="11" s="1"/>
  <c r="V978" i="9"/>
  <c r="U978" i="9"/>
  <c r="X978" i="9"/>
  <c r="W978" i="9"/>
  <c r="D983" i="11"/>
  <c r="F983" i="11" s="1"/>
  <c r="V979" i="9"/>
  <c r="U979" i="9"/>
  <c r="X979" i="9"/>
  <c r="W979" i="9"/>
  <c r="D986" i="11"/>
  <c r="F986" i="11" s="1"/>
  <c r="V982" i="9"/>
  <c r="U982" i="9"/>
  <c r="X982" i="9"/>
  <c r="W982" i="9"/>
  <c r="D987" i="11"/>
  <c r="F987" i="11" s="1"/>
  <c r="V983" i="9"/>
  <c r="U983" i="9"/>
  <c r="X983" i="9"/>
  <c r="W983" i="9"/>
  <c r="D990" i="11"/>
  <c r="F990" i="11" s="1"/>
  <c r="V986" i="9"/>
  <c r="U986" i="9"/>
  <c r="X986" i="9"/>
  <c r="W986" i="9"/>
  <c r="D991" i="11"/>
  <c r="F991" i="11" s="1"/>
  <c r="V987" i="9"/>
  <c r="U987" i="9"/>
  <c r="X987" i="9"/>
  <c r="W987" i="9"/>
  <c r="D994" i="11"/>
  <c r="F994" i="11" s="1"/>
  <c r="V990" i="9"/>
  <c r="U990" i="9"/>
  <c r="X990" i="9"/>
  <c r="W990" i="9"/>
  <c r="D995" i="11"/>
  <c r="F995" i="11" s="1"/>
  <c r="V991" i="9"/>
  <c r="U991" i="9"/>
  <c r="X991" i="9"/>
  <c r="W991" i="9"/>
  <c r="D998" i="11"/>
  <c r="F998" i="11" s="1"/>
  <c r="V994" i="9"/>
  <c r="U994" i="9"/>
  <c r="X994" i="9"/>
  <c r="W994" i="9"/>
  <c r="D999" i="11"/>
  <c r="F999" i="11" s="1"/>
  <c r="V995" i="9"/>
  <c r="U995" i="9"/>
  <c r="X995" i="9"/>
  <c r="W995" i="9"/>
  <c r="D1002" i="11"/>
  <c r="F1002" i="11" s="1"/>
  <c r="V998" i="9"/>
  <c r="U998" i="9"/>
  <c r="X998" i="9"/>
  <c r="W998" i="9"/>
  <c r="D1003" i="11"/>
  <c r="F1003" i="11" s="1"/>
  <c r="V999" i="9"/>
  <c r="U999" i="9"/>
  <c r="X999" i="9"/>
  <c r="W999" i="9"/>
  <c r="D1006" i="11"/>
  <c r="F1006" i="11" s="1"/>
  <c r="V1002" i="9"/>
  <c r="U1002" i="9"/>
  <c r="X1002" i="9"/>
  <c r="W1002" i="9"/>
  <c r="D1007" i="11"/>
  <c r="F1007" i="11" s="1"/>
  <c r="V1003" i="9"/>
  <c r="U1003" i="9"/>
  <c r="X1003" i="9"/>
  <c r="W1003" i="9"/>
  <c r="S1003" i="9"/>
  <c r="Q1003" i="9"/>
  <c r="O1003" i="9"/>
  <c r="S1002" i="9"/>
  <c r="Q1002" i="9"/>
  <c r="O1002" i="9"/>
  <c r="S1001" i="9"/>
  <c r="Q1001" i="9"/>
  <c r="S1000" i="9"/>
  <c r="Q1000" i="9"/>
  <c r="S999" i="9"/>
  <c r="Q999" i="9"/>
  <c r="O999" i="9"/>
  <c r="S998" i="9"/>
  <c r="Q998" i="9"/>
  <c r="O998" i="9"/>
  <c r="S997" i="9"/>
  <c r="Q997" i="9"/>
  <c r="S996" i="9"/>
  <c r="Q996" i="9"/>
  <c r="S995" i="9"/>
  <c r="Q995" i="9"/>
  <c r="O995" i="9"/>
  <c r="S994" i="9"/>
  <c r="Q994" i="9"/>
  <c r="O994" i="9"/>
  <c r="S993" i="9"/>
  <c r="Q993" i="9"/>
  <c r="S992" i="9"/>
  <c r="Q992" i="9"/>
  <c r="S991" i="9"/>
  <c r="Q991" i="9"/>
  <c r="O991" i="9"/>
  <c r="S990" i="9"/>
  <c r="Q990" i="9"/>
  <c r="O990" i="9"/>
  <c r="S989" i="9"/>
  <c r="Q989" i="9"/>
  <c r="S988" i="9"/>
  <c r="Q988" i="9"/>
  <c r="S987" i="9"/>
  <c r="Q987" i="9"/>
  <c r="O987" i="9"/>
  <c r="S986" i="9"/>
  <c r="Q986" i="9"/>
  <c r="O986" i="9"/>
  <c r="S985" i="9"/>
  <c r="Q985" i="9"/>
  <c r="S984" i="9"/>
  <c r="Q984" i="9"/>
  <c r="S983" i="9"/>
  <c r="Q983" i="9"/>
  <c r="O983" i="9"/>
  <c r="S982" i="9"/>
  <c r="Q982" i="9"/>
  <c r="O982" i="9"/>
  <c r="S981" i="9"/>
  <c r="Q981" i="9"/>
  <c r="S980" i="9"/>
  <c r="Q980" i="9"/>
  <c r="S979" i="9"/>
  <c r="Q979" i="9"/>
  <c r="O979" i="9"/>
  <c r="S978" i="9"/>
  <c r="Q978" i="9"/>
  <c r="O978" i="9"/>
  <c r="S977" i="9"/>
  <c r="Q977" i="9"/>
  <c r="O977" i="9"/>
  <c r="S976" i="9"/>
  <c r="Q976" i="9"/>
  <c r="O976" i="9"/>
  <c r="S975" i="9"/>
  <c r="Q975" i="9"/>
  <c r="O975" i="9"/>
  <c r="S974" i="9"/>
  <c r="Q974" i="9"/>
  <c r="O974" i="9"/>
  <c r="S973" i="9"/>
  <c r="Q973" i="9"/>
  <c r="O973" i="9"/>
  <c r="S972" i="9"/>
  <c r="Q972" i="9"/>
  <c r="O972" i="9"/>
  <c r="S971" i="9"/>
  <c r="Q971" i="9"/>
  <c r="O971" i="9"/>
  <c r="S970" i="9"/>
  <c r="Q970" i="9"/>
  <c r="O970" i="9"/>
  <c r="S969" i="9"/>
  <c r="Q969" i="9"/>
  <c r="O969" i="9"/>
  <c r="S968" i="9"/>
  <c r="Q968" i="9"/>
  <c r="O968" i="9"/>
  <c r="S967" i="9"/>
  <c r="Q967" i="9"/>
  <c r="O967" i="9"/>
  <c r="S966" i="9"/>
  <c r="Q966" i="9"/>
  <c r="O966" i="9"/>
  <c r="S965" i="9"/>
  <c r="Q965" i="9"/>
  <c r="O965" i="9"/>
  <c r="S964" i="9"/>
  <c r="Q964" i="9"/>
  <c r="O964" i="9"/>
  <c r="S963" i="9"/>
  <c r="Q963" i="9"/>
  <c r="O963" i="9"/>
  <c r="S962" i="9"/>
  <c r="Q962" i="9"/>
  <c r="O962" i="9"/>
  <c r="S961" i="9"/>
  <c r="Q961" i="9"/>
  <c r="O961" i="9"/>
  <c r="S960" i="9"/>
  <c r="Q960" i="9"/>
  <c r="O960" i="9"/>
  <c r="S959" i="9"/>
  <c r="Q959" i="9"/>
  <c r="O959" i="9"/>
  <c r="S958" i="9"/>
  <c r="Q958" i="9"/>
  <c r="O958" i="9"/>
  <c r="S957" i="9"/>
  <c r="Q957" i="9"/>
  <c r="O957" i="9"/>
  <c r="S956" i="9"/>
  <c r="Q956" i="9"/>
  <c r="O956" i="9"/>
  <c r="S955" i="9"/>
  <c r="Q955" i="9"/>
  <c r="O955" i="9"/>
  <c r="S954" i="9"/>
  <c r="Q954" i="9"/>
  <c r="O954" i="9"/>
  <c r="S953" i="9"/>
  <c r="Q953" i="9"/>
  <c r="O953" i="9"/>
  <c r="S952" i="9"/>
  <c r="Q952" i="9"/>
  <c r="O952" i="9"/>
  <c r="S951" i="9"/>
  <c r="Q951" i="9"/>
  <c r="O951" i="9"/>
  <c r="S950" i="9"/>
  <c r="Q950" i="9"/>
  <c r="O950" i="9"/>
  <c r="S949" i="9"/>
  <c r="Q949" i="9"/>
  <c r="O949" i="9"/>
  <c r="S948" i="9"/>
  <c r="Q948" i="9"/>
  <c r="O948" i="9"/>
  <c r="S947" i="9"/>
  <c r="Q947" i="9"/>
  <c r="O947" i="9"/>
  <c r="S946" i="9"/>
  <c r="Q946" i="9"/>
  <c r="O946" i="9"/>
  <c r="S945" i="9"/>
  <c r="Q945" i="9"/>
  <c r="O945" i="9"/>
  <c r="S944" i="9"/>
  <c r="Q944" i="9"/>
  <c r="O944" i="9"/>
  <c r="S943" i="9"/>
  <c r="Q943" i="9"/>
  <c r="O943" i="9"/>
  <c r="S942" i="9"/>
  <c r="Q942" i="9"/>
  <c r="O942" i="9"/>
  <c r="S941" i="9"/>
  <c r="Q941" i="9"/>
  <c r="O941" i="9"/>
  <c r="S940" i="9"/>
  <c r="Q940" i="9"/>
  <c r="O940" i="9"/>
  <c r="S939" i="9"/>
  <c r="Q939" i="9"/>
  <c r="O939" i="9"/>
  <c r="S938" i="9"/>
  <c r="Q938" i="9"/>
  <c r="O938" i="9"/>
  <c r="S937" i="9"/>
  <c r="Q937" i="9"/>
  <c r="O937" i="9"/>
  <c r="S936" i="9"/>
  <c r="Q936" i="9"/>
  <c r="O936" i="9"/>
  <c r="S935" i="9"/>
  <c r="Q935" i="9"/>
  <c r="O935" i="9"/>
  <c r="S934" i="9"/>
  <c r="Q934" i="9"/>
  <c r="O934" i="9"/>
  <c r="S933" i="9"/>
  <c r="Q933" i="9"/>
  <c r="O933" i="9"/>
  <c r="S932" i="9"/>
  <c r="Q932" i="9"/>
  <c r="O932" i="9"/>
  <c r="S931" i="9"/>
  <c r="Q931" i="9"/>
  <c r="O931" i="9"/>
  <c r="S930" i="9"/>
  <c r="Q930" i="9"/>
  <c r="O930" i="9"/>
  <c r="S929" i="9"/>
  <c r="Q929" i="9"/>
  <c r="O929" i="9"/>
  <c r="S928" i="9"/>
  <c r="Q928" i="9"/>
  <c r="O928" i="9"/>
  <c r="S927" i="9"/>
  <c r="Q927" i="9"/>
  <c r="O927" i="9"/>
  <c r="S926" i="9"/>
  <c r="Q926" i="9"/>
  <c r="O926" i="9"/>
  <c r="S925" i="9"/>
  <c r="Q925" i="9"/>
  <c r="O925" i="9"/>
  <c r="S924" i="9"/>
  <c r="Q924" i="9"/>
  <c r="O924" i="9"/>
  <c r="S923" i="9"/>
  <c r="Q923" i="9"/>
  <c r="O923" i="9"/>
  <c r="S922" i="9"/>
  <c r="Q922" i="9"/>
  <c r="O922" i="9"/>
  <c r="S921" i="9"/>
  <c r="Q921" i="9"/>
  <c r="O921" i="9"/>
  <c r="S920" i="9"/>
  <c r="Q920" i="9"/>
  <c r="O920" i="9"/>
  <c r="S919" i="9"/>
  <c r="Q919" i="9"/>
  <c r="S918" i="9"/>
  <c r="Q918" i="9"/>
  <c r="O918" i="9"/>
  <c r="S917" i="9"/>
  <c r="Q917" i="9"/>
  <c r="S916" i="9"/>
  <c r="Q916" i="9"/>
  <c r="O916" i="9"/>
  <c r="S915" i="9"/>
  <c r="Q915" i="9"/>
  <c r="S914" i="9"/>
  <c r="Q914" i="9"/>
  <c r="O914" i="9"/>
  <c r="S913" i="9"/>
  <c r="Q913" i="9"/>
  <c r="S912" i="9"/>
  <c r="Q912" i="9"/>
  <c r="O912" i="9"/>
  <c r="S911" i="9"/>
  <c r="Q911" i="9"/>
  <c r="S910" i="9"/>
  <c r="Q910" i="9"/>
  <c r="O910" i="9"/>
  <c r="S909" i="9"/>
  <c r="Q909" i="9"/>
  <c r="S908" i="9"/>
  <c r="Q908" i="9"/>
  <c r="O908" i="9"/>
  <c r="S907" i="9"/>
  <c r="Q907" i="9"/>
  <c r="S906" i="9"/>
  <c r="Q906" i="9"/>
  <c r="O906" i="9"/>
  <c r="S905" i="9"/>
  <c r="Q905" i="9"/>
  <c r="S904" i="9"/>
  <c r="Q904" i="9"/>
  <c r="O904" i="9"/>
  <c r="S903" i="9"/>
  <c r="Q903" i="9"/>
  <c r="S902" i="9"/>
  <c r="Q902" i="9"/>
  <c r="O902" i="9"/>
  <c r="S901" i="9"/>
  <c r="Q901" i="9"/>
  <c r="S900" i="9"/>
  <c r="Q900" i="9"/>
  <c r="O900" i="9"/>
  <c r="S899" i="9"/>
  <c r="Q899" i="9"/>
  <c r="S898" i="9"/>
  <c r="Q898" i="9"/>
  <c r="O898" i="9"/>
  <c r="S897" i="9"/>
  <c r="Q897" i="9"/>
  <c r="S896" i="9"/>
  <c r="Q896" i="9"/>
  <c r="O896" i="9"/>
  <c r="S895" i="9"/>
  <c r="Q895" i="9"/>
  <c r="S894" i="9"/>
  <c r="Q894" i="9"/>
  <c r="O894" i="9"/>
  <c r="S893" i="9"/>
  <c r="Q893" i="9"/>
  <c r="S892" i="9"/>
  <c r="Q892" i="9"/>
  <c r="O892" i="9"/>
  <c r="S891" i="9"/>
  <c r="Q891" i="9"/>
  <c r="S890" i="9"/>
  <c r="Q890" i="9"/>
  <c r="O890" i="9"/>
  <c r="S889" i="9"/>
  <c r="Q889" i="9"/>
  <c r="S888" i="9"/>
  <c r="Q888" i="9"/>
  <c r="O888" i="9"/>
  <c r="S887" i="9"/>
  <c r="Q887" i="9"/>
  <c r="S886" i="9"/>
  <c r="Q886" i="9"/>
  <c r="O886" i="9"/>
  <c r="S885" i="9"/>
  <c r="Q885" i="9"/>
  <c r="S884" i="9"/>
  <c r="Q884" i="9"/>
  <c r="O884" i="9"/>
  <c r="S883" i="9"/>
  <c r="Q883" i="9"/>
  <c r="S882" i="9"/>
  <c r="Q882" i="9"/>
  <c r="O882" i="9"/>
  <c r="S881" i="9"/>
  <c r="Q881" i="9"/>
  <c r="S880" i="9"/>
  <c r="Q880" i="9"/>
  <c r="O880" i="9"/>
  <c r="S879" i="9"/>
  <c r="Q879" i="9"/>
  <c r="S878" i="9"/>
  <c r="Q878" i="9"/>
  <c r="O878" i="9"/>
  <c r="S877" i="9"/>
  <c r="Q877" i="9"/>
  <c r="S876" i="9"/>
  <c r="Q876" i="9"/>
  <c r="O876" i="9"/>
  <c r="S875" i="9"/>
  <c r="Q875" i="9"/>
  <c r="S874" i="9"/>
  <c r="Q874" i="9"/>
  <c r="O874" i="9"/>
  <c r="S873" i="9"/>
  <c r="Q873" i="9"/>
  <c r="S872" i="9"/>
  <c r="Q872" i="9"/>
  <c r="O872" i="9"/>
  <c r="S871" i="9"/>
  <c r="Q871" i="9"/>
  <c r="S870" i="9"/>
  <c r="Q870" i="9"/>
  <c r="O870" i="9"/>
  <c r="S869" i="9"/>
  <c r="Q869" i="9"/>
  <c r="S868" i="9"/>
  <c r="Q868" i="9"/>
  <c r="O868" i="9"/>
  <c r="S867" i="9"/>
  <c r="Q867" i="9"/>
  <c r="S866" i="9"/>
  <c r="Q866" i="9"/>
  <c r="O866" i="9"/>
  <c r="S865" i="9"/>
  <c r="Q865" i="9"/>
  <c r="S864" i="9"/>
  <c r="Q864" i="9"/>
  <c r="O864" i="9"/>
  <c r="S863" i="9"/>
  <c r="Q863" i="9"/>
  <c r="S862" i="9"/>
  <c r="Q862" i="9"/>
  <c r="O862" i="9"/>
  <c r="S861" i="9"/>
  <c r="Q861" i="9"/>
  <c r="S860" i="9"/>
  <c r="Q860" i="9"/>
  <c r="O860" i="9"/>
  <c r="S859" i="9"/>
  <c r="Q859" i="9"/>
  <c r="S858" i="9"/>
  <c r="Q858" i="9"/>
  <c r="O858" i="9"/>
  <c r="S857" i="9"/>
  <c r="Q857" i="9"/>
  <c r="S856" i="9"/>
  <c r="Q856" i="9"/>
  <c r="O856" i="9"/>
  <c r="O854" i="9"/>
  <c r="O852" i="9"/>
  <c r="O850" i="9"/>
  <c r="O848" i="9"/>
  <c r="O846" i="9"/>
  <c r="O844" i="9"/>
  <c r="O842" i="9"/>
  <c r="O840" i="9"/>
  <c r="O838" i="9"/>
  <c r="O836" i="9"/>
  <c r="O834" i="9"/>
  <c r="O832" i="9"/>
  <c r="O830" i="9"/>
  <c r="O828" i="9"/>
  <c r="O826" i="9"/>
  <c r="O824" i="9"/>
  <c r="O822" i="9"/>
  <c r="O820" i="9"/>
  <c r="O818" i="9"/>
  <c r="O816" i="9"/>
  <c r="O814" i="9"/>
  <c r="O812" i="9"/>
  <c r="O810" i="9"/>
  <c r="O808" i="9"/>
  <c r="O806" i="9"/>
  <c r="O804" i="9"/>
  <c r="O802" i="9"/>
  <c r="O800" i="9"/>
  <c r="O798" i="9"/>
  <c r="O796" i="9"/>
  <c r="O794" i="9"/>
  <c r="O792" i="9"/>
  <c r="O790" i="9"/>
  <c r="O788" i="9"/>
  <c r="O786" i="9"/>
  <c r="O784" i="9"/>
  <c r="O782" i="9"/>
  <c r="O780" i="9"/>
  <c r="O778" i="9"/>
  <c r="O776" i="9"/>
  <c r="O774" i="9"/>
  <c r="O772" i="9"/>
  <c r="O770" i="9"/>
  <c r="O768" i="9"/>
  <c r="O766" i="9"/>
  <c r="O764" i="9"/>
  <c r="O762" i="9"/>
  <c r="O760" i="9"/>
  <c r="O758" i="9"/>
  <c r="O756" i="9"/>
  <c r="O754" i="9"/>
  <c r="O752" i="9"/>
  <c r="O750" i="9"/>
  <c r="O748" i="9"/>
  <c r="O746" i="9"/>
  <c r="O744" i="9"/>
  <c r="O742" i="9"/>
  <c r="O740" i="9"/>
  <c r="O738" i="9"/>
  <c r="O736" i="9"/>
  <c r="O734" i="9"/>
  <c r="O732" i="9"/>
  <c r="O730" i="9"/>
  <c r="O728" i="9"/>
  <c r="O726" i="9"/>
  <c r="O724" i="9"/>
  <c r="O722" i="9"/>
  <c r="O720" i="9"/>
  <c r="O718" i="9"/>
  <c r="O716" i="9"/>
  <c r="O714" i="9"/>
  <c r="O712" i="9"/>
  <c r="O710" i="9"/>
  <c r="O708" i="9"/>
  <c r="O706" i="9"/>
  <c r="O704" i="9"/>
  <c r="O702" i="9"/>
  <c r="O700" i="9"/>
  <c r="O698" i="9"/>
  <c r="O696" i="9"/>
  <c r="O694" i="9"/>
  <c r="O692" i="9"/>
  <c r="O690" i="9"/>
  <c r="O688" i="9"/>
  <c r="O686" i="9"/>
  <c r="S684" i="9"/>
  <c r="X684" i="9" s="1"/>
  <c r="O684" i="9"/>
  <c r="O682" i="9"/>
  <c r="S680" i="9"/>
  <c r="X680" i="9" s="1"/>
  <c r="O680" i="9"/>
  <c r="O678" i="9"/>
  <c r="S676" i="9"/>
  <c r="X676" i="9" s="1"/>
  <c r="O676" i="9"/>
  <c r="O674" i="9"/>
  <c r="O672" i="9"/>
  <c r="O670" i="9"/>
  <c r="O668" i="9"/>
  <c r="O666" i="9"/>
  <c r="S664" i="9"/>
  <c r="X664" i="9" s="1"/>
  <c r="O664" i="9"/>
  <c r="S662" i="9"/>
  <c r="X662" i="9" s="1"/>
  <c r="O662" i="9"/>
  <c r="S660" i="9"/>
  <c r="X660" i="9" s="1"/>
  <c r="O660" i="9"/>
  <c r="S658" i="9"/>
  <c r="X658" i="9" s="1"/>
  <c r="O658" i="9"/>
  <c r="S656" i="9"/>
  <c r="X656" i="9" s="1"/>
  <c r="O656" i="9"/>
  <c r="S654" i="9"/>
  <c r="X654" i="9" s="1"/>
  <c r="O654" i="9"/>
  <c r="S652" i="9"/>
  <c r="X652" i="9" s="1"/>
  <c r="O652" i="9"/>
  <c r="S650" i="9"/>
  <c r="X650" i="9" s="1"/>
  <c r="O650" i="9"/>
  <c r="S648" i="9"/>
  <c r="X648" i="9" s="1"/>
  <c r="O648" i="9"/>
  <c r="S646" i="9"/>
  <c r="X646" i="9" s="1"/>
  <c r="O646" i="9"/>
  <c r="S644" i="9"/>
  <c r="X644" i="9" s="1"/>
  <c r="O644" i="9"/>
  <c r="S642" i="9"/>
  <c r="X642" i="9" s="1"/>
  <c r="O642" i="9"/>
  <c r="S640" i="9"/>
  <c r="X640" i="9" s="1"/>
  <c r="O640" i="9"/>
  <c r="S638" i="9"/>
  <c r="X638" i="9" s="1"/>
  <c r="O638" i="9"/>
  <c r="S636" i="9"/>
  <c r="X636" i="9" s="1"/>
  <c r="O636" i="9"/>
  <c r="S634" i="9"/>
  <c r="X634" i="9" s="1"/>
  <c r="O634" i="9"/>
  <c r="S632" i="9"/>
  <c r="X632" i="9" s="1"/>
  <c r="O632" i="9"/>
  <c r="S630" i="9"/>
  <c r="X630" i="9" s="1"/>
  <c r="O630" i="9"/>
  <c r="S628" i="9"/>
  <c r="X628" i="9" s="1"/>
  <c r="O628" i="9"/>
  <c r="S626" i="9"/>
  <c r="X626" i="9" s="1"/>
  <c r="O626" i="9"/>
  <c r="S624" i="9"/>
  <c r="X624" i="9" s="1"/>
  <c r="O624" i="9"/>
  <c r="S622" i="9"/>
  <c r="X622" i="9" s="1"/>
  <c r="O622" i="9"/>
  <c r="S620" i="9"/>
  <c r="X620" i="9" s="1"/>
  <c r="O620" i="9"/>
  <c r="S618" i="9"/>
  <c r="X618" i="9" s="1"/>
  <c r="O618" i="9"/>
  <c r="S616" i="9"/>
  <c r="X616" i="9" s="1"/>
  <c r="O616" i="9"/>
  <c r="S614" i="9"/>
  <c r="X614" i="9" s="1"/>
  <c r="O614" i="9"/>
  <c r="S612" i="9"/>
  <c r="X612" i="9" s="1"/>
  <c r="O612" i="9"/>
  <c r="S610" i="9"/>
  <c r="X610" i="9" s="1"/>
  <c r="O610" i="9"/>
  <c r="S608" i="9"/>
  <c r="X608" i="9" s="1"/>
  <c r="O608" i="9"/>
  <c r="S606" i="9"/>
  <c r="X606" i="9" s="1"/>
  <c r="O606" i="9"/>
  <c r="S604" i="9"/>
  <c r="X604" i="9" s="1"/>
  <c r="O604" i="9"/>
  <c r="P604" i="9" s="1"/>
  <c r="U604" i="9" s="1"/>
  <c r="S602" i="9"/>
  <c r="X602" i="9" s="1"/>
  <c r="O602" i="9"/>
  <c r="S600" i="9"/>
  <c r="X600" i="9" s="1"/>
  <c r="O600" i="9"/>
  <c r="S598" i="9"/>
  <c r="X598" i="9" s="1"/>
  <c r="O598" i="9"/>
  <c r="S596" i="9"/>
  <c r="X596" i="9" s="1"/>
  <c r="O596" i="9"/>
  <c r="S594" i="9"/>
  <c r="X594" i="9" s="1"/>
  <c r="O594" i="9"/>
  <c r="S592" i="9"/>
  <c r="X592" i="9" s="1"/>
  <c r="O592" i="9"/>
  <c r="S590" i="9"/>
  <c r="X590" i="9" s="1"/>
  <c r="O590" i="9"/>
  <c r="S588" i="9"/>
  <c r="X588" i="9" s="1"/>
  <c r="O588" i="9"/>
  <c r="S586" i="9"/>
  <c r="X586" i="9" s="1"/>
  <c r="O586" i="9"/>
  <c r="S584" i="9"/>
  <c r="X584" i="9" s="1"/>
  <c r="O584" i="9"/>
  <c r="S582" i="9"/>
  <c r="X582" i="9" s="1"/>
  <c r="O582" i="9"/>
  <c r="S580" i="9"/>
  <c r="X580" i="9" s="1"/>
  <c r="O580" i="9"/>
  <c r="S578" i="9"/>
  <c r="X578" i="9" s="1"/>
  <c r="O578" i="9"/>
  <c r="S576" i="9"/>
  <c r="X576" i="9" s="1"/>
  <c r="O576" i="9"/>
  <c r="S574" i="9"/>
  <c r="X574" i="9" s="1"/>
  <c r="O574" i="9"/>
  <c r="S572" i="9"/>
  <c r="X572" i="9" s="1"/>
  <c r="O572" i="9"/>
  <c r="S570" i="9"/>
  <c r="X570" i="9" s="1"/>
  <c r="O570" i="9"/>
  <c r="S568" i="9"/>
  <c r="X568" i="9" s="1"/>
  <c r="O568" i="9"/>
  <c r="S566" i="9"/>
  <c r="X566" i="9" s="1"/>
  <c r="O566" i="9"/>
  <c r="S564" i="9"/>
  <c r="X564" i="9" s="1"/>
  <c r="O564" i="9"/>
  <c r="S562" i="9"/>
  <c r="X562" i="9" s="1"/>
  <c r="O562" i="9"/>
  <c r="S560" i="9"/>
  <c r="X560" i="9" s="1"/>
  <c r="O560" i="9"/>
  <c r="S558" i="9"/>
  <c r="X558" i="9" s="1"/>
  <c r="O558" i="9"/>
  <c r="S556" i="9"/>
  <c r="X556" i="9" s="1"/>
  <c r="O556" i="9"/>
  <c r="S554" i="9"/>
  <c r="X554" i="9" s="1"/>
  <c r="O554" i="9"/>
  <c r="S552" i="9"/>
  <c r="X552" i="9" s="1"/>
  <c r="O552" i="9"/>
  <c r="S550" i="9"/>
  <c r="X550" i="9" s="1"/>
  <c r="O550" i="9"/>
  <c r="S548" i="9"/>
  <c r="X548" i="9" s="1"/>
  <c r="O548" i="9"/>
  <c r="S546" i="9"/>
  <c r="X546" i="9" s="1"/>
  <c r="O546" i="9"/>
  <c r="S544" i="9"/>
  <c r="X544" i="9" s="1"/>
  <c r="O544" i="9"/>
  <c r="S542" i="9"/>
  <c r="X542" i="9" s="1"/>
  <c r="O542" i="9"/>
  <c r="U542" i="9" s="1"/>
  <c r="S540" i="9"/>
  <c r="X540" i="9" s="1"/>
  <c r="O540" i="9"/>
  <c r="S538" i="9"/>
  <c r="X538" i="9" s="1"/>
  <c r="O538" i="9"/>
  <c r="S536" i="9"/>
  <c r="X536" i="9" s="1"/>
  <c r="O536" i="9"/>
  <c r="S534" i="9"/>
  <c r="X534" i="9" s="1"/>
  <c r="O534" i="9"/>
  <c r="S532" i="9"/>
  <c r="X532" i="9" s="1"/>
  <c r="O532" i="9"/>
  <c r="S530" i="9"/>
  <c r="X530" i="9" s="1"/>
  <c r="O530" i="9"/>
  <c r="S528" i="9"/>
  <c r="X528" i="9" s="1"/>
  <c r="O528" i="9"/>
  <c r="S526" i="9"/>
  <c r="X526" i="9" s="1"/>
  <c r="O526" i="9"/>
  <c r="S524" i="9"/>
  <c r="X524" i="9" s="1"/>
  <c r="O524" i="9"/>
  <c r="S522" i="9"/>
  <c r="X522" i="9" s="1"/>
  <c r="O522" i="9"/>
  <c r="S520" i="9"/>
  <c r="X520" i="9" s="1"/>
  <c r="O520" i="9"/>
  <c r="S518" i="9"/>
  <c r="X518" i="9" s="1"/>
  <c r="O518" i="9"/>
  <c r="S516" i="9"/>
  <c r="X516" i="9" s="1"/>
  <c r="O516" i="9"/>
  <c r="S514" i="9"/>
  <c r="X514" i="9" s="1"/>
  <c r="O514" i="9"/>
  <c r="S512" i="9"/>
  <c r="X512" i="9" s="1"/>
  <c r="O512" i="9"/>
  <c r="S510" i="9"/>
  <c r="X510" i="9" s="1"/>
  <c r="O510" i="9"/>
  <c r="S508" i="9"/>
  <c r="X508" i="9" s="1"/>
  <c r="O508" i="9"/>
  <c r="S506" i="9"/>
  <c r="X506" i="9" s="1"/>
  <c r="O506" i="9"/>
  <c r="S504" i="9"/>
  <c r="X504" i="9" s="1"/>
  <c r="O504" i="9"/>
  <c r="S502" i="9"/>
  <c r="X502" i="9" s="1"/>
  <c r="O502" i="9"/>
  <c r="S500" i="9"/>
  <c r="X500" i="9" s="1"/>
  <c r="O500" i="9"/>
  <c r="S498" i="9"/>
  <c r="X498" i="9" s="1"/>
  <c r="O498" i="9"/>
  <c r="S496" i="9"/>
  <c r="X496" i="9" s="1"/>
  <c r="O496" i="9"/>
  <c r="S494" i="9"/>
  <c r="X494" i="9" s="1"/>
  <c r="O494" i="9"/>
  <c r="S492" i="9"/>
  <c r="X492" i="9" s="1"/>
  <c r="O492" i="9"/>
  <c r="S490" i="9"/>
  <c r="X490" i="9" s="1"/>
  <c r="O490" i="9"/>
  <c r="S488" i="9"/>
  <c r="X488" i="9" s="1"/>
  <c r="O488" i="9"/>
  <c r="S486" i="9"/>
  <c r="X486" i="9" s="1"/>
  <c r="O486" i="9"/>
  <c r="S484" i="9"/>
  <c r="X484" i="9" s="1"/>
  <c r="O484" i="9"/>
  <c r="S482" i="9"/>
  <c r="X482" i="9" s="1"/>
  <c r="O482" i="9"/>
  <c r="S480" i="9"/>
  <c r="X480" i="9" s="1"/>
  <c r="O480" i="9"/>
  <c r="S478" i="9"/>
  <c r="X478" i="9" s="1"/>
  <c r="O478" i="9"/>
  <c r="S476" i="9"/>
  <c r="X476" i="9" s="1"/>
  <c r="O476" i="9"/>
  <c r="S474" i="9"/>
  <c r="X474" i="9" s="1"/>
  <c r="O474" i="9"/>
  <c r="S472" i="9"/>
  <c r="X472" i="9" s="1"/>
  <c r="O472" i="9"/>
  <c r="S470" i="9"/>
  <c r="X470" i="9" s="1"/>
  <c r="O470" i="9"/>
  <c r="S468" i="9"/>
  <c r="X468" i="9" s="1"/>
  <c r="O468" i="9"/>
  <c r="S466" i="9"/>
  <c r="X466" i="9" s="1"/>
  <c r="O466" i="9"/>
  <c r="S464" i="9"/>
  <c r="X464" i="9" s="1"/>
  <c r="O464" i="9"/>
  <c r="S462" i="9"/>
  <c r="X462" i="9" s="1"/>
  <c r="O462" i="9"/>
  <c r="S460" i="9"/>
  <c r="X460" i="9" s="1"/>
  <c r="O460" i="9"/>
  <c r="S458" i="9"/>
  <c r="X458" i="9" s="1"/>
  <c r="O458" i="9"/>
  <c r="S456" i="9"/>
  <c r="X456" i="9" s="1"/>
  <c r="O456" i="9"/>
  <c r="P456" i="9" s="1"/>
  <c r="U456" i="9" s="1"/>
  <c r="S454" i="9"/>
  <c r="X454" i="9" s="1"/>
  <c r="O454" i="9"/>
  <c r="S452" i="9"/>
  <c r="X452" i="9" s="1"/>
  <c r="O452" i="9"/>
  <c r="S450" i="9"/>
  <c r="X450" i="9" s="1"/>
  <c r="O450" i="9"/>
  <c r="S448" i="9"/>
  <c r="X448" i="9" s="1"/>
  <c r="O448" i="9"/>
  <c r="S446" i="9"/>
  <c r="X446" i="9" s="1"/>
  <c r="O446" i="9"/>
  <c r="S444" i="9"/>
  <c r="X444" i="9" s="1"/>
  <c r="O444" i="9"/>
  <c r="S442" i="9"/>
  <c r="X442" i="9" s="1"/>
  <c r="O442" i="9"/>
  <c r="S440" i="9"/>
  <c r="X440" i="9" s="1"/>
  <c r="O440" i="9"/>
  <c r="S438" i="9"/>
  <c r="X438" i="9" s="1"/>
  <c r="O438" i="9"/>
  <c r="S436" i="9"/>
  <c r="X436" i="9" s="1"/>
  <c r="O436" i="9"/>
  <c r="S434" i="9"/>
  <c r="X434" i="9" s="1"/>
  <c r="O434" i="9"/>
  <c r="S432" i="9"/>
  <c r="X432" i="9" s="1"/>
  <c r="O432" i="9"/>
  <c r="S430" i="9"/>
  <c r="X430" i="9" s="1"/>
  <c r="O430" i="9"/>
  <c r="S428" i="9"/>
  <c r="X428" i="9" s="1"/>
  <c r="O428" i="9"/>
  <c r="S426" i="9"/>
  <c r="X426" i="9" s="1"/>
  <c r="O426" i="9"/>
  <c r="S424" i="9"/>
  <c r="X424" i="9" s="1"/>
  <c r="O424" i="9"/>
  <c r="S422" i="9"/>
  <c r="X422" i="9" s="1"/>
  <c r="O422" i="9"/>
  <c r="S420" i="9"/>
  <c r="X420" i="9" s="1"/>
  <c r="O420" i="9"/>
  <c r="S418" i="9"/>
  <c r="X418" i="9" s="1"/>
  <c r="O418" i="9"/>
  <c r="S416" i="9"/>
  <c r="X416" i="9" s="1"/>
  <c r="O416" i="9"/>
  <c r="S414" i="9"/>
  <c r="X414" i="9" s="1"/>
  <c r="O414" i="9"/>
  <c r="S412" i="9"/>
  <c r="X412" i="9" s="1"/>
  <c r="O412" i="9"/>
  <c r="S410" i="9"/>
  <c r="X410" i="9" s="1"/>
  <c r="O410" i="9"/>
  <c r="S408" i="9"/>
  <c r="X408" i="9" s="1"/>
  <c r="O408" i="9"/>
  <c r="S406" i="9"/>
  <c r="X406" i="9" s="1"/>
  <c r="O406" i="9"/>
  <c r="S404" i="9"/>
  <c r="X404" i="9" s="1"/>
  <c r="O404" i="9"/>
  <c r="S402" i="9"/>
  <c r="X402" i="9" s="1"/>
  <c r="O402" i="9"/>
  <c r="S400" i="9"/>
  <c r="X400" i="9" s="1"/>
  <c r="O400" i="9"/>
  <c r="S398" i="9"/>
  <c r="X398" i="9" s="1"/>
  <c r="O398" i="9"/>
  <c r="S396" i="9"/>
  <c r="X396" i="9" s="1"/>
  <c r="O396" i="9"/>
  <c r="S394" i="9"/>
  <c r="X394" i="9" s="1"/>
  <c r="O394" i="9"/>
  <c r="S392" i="9"/>
  <c r="X392" i="9" s="1"/>
  <c r="O392" i="9"/>
  <c r="S390" i="9"/>
  <c r="X390" i="9" s="1"/>
  <c r="O390" i="9"/>
  <c r="S388" i="9"/>
  <c r="X388" i="9" s="1"/>
  <c r="O388" i="9"/>
  <c r="S386" i="9"/>
  <c r="X386" i="9" s="1"/>
  <c r="O386" i="9"/>
  <c r="S384" i="9"/>
  <c r="X384" i="9" s="1"/>
  <c r="O384" i="9"/>
  <c r="S382" i="9"/>
  <c r="X382" i="9" s="1"/>
  <c r="O382" i="9"/>
  <c r="S380" i="9"/>
  <c r="X380" i="9" s="1"/>
  <c r="O380" i="9"/>
  <c r="S378" i="9"/>
  <c r="X378" i="9" s="1"/>
  <c r="O378" i="9"/>
  <c r="S376" i="9"/>
  <c r="X376" i="9" s="1"/>
  <c r="O376" i="9"/>
  <c r="S374" i="9"/>
  <c r="X374" i="9" s="1"/>
  <c r="O374" i="9"/>
  <c r="S372" i="9"/>
  <c r="X372" i="9" s="1"/>
  <c r="O372" i="9"/>
  <c r="S370" i="9"/>
  <c r="X370" i="9" s="1"/>
  <c r="O370" i="9"/>
  <c r="S368" i="9"/>
  <c r="X368" i="9" s="1"/>
  <c r="O368" i="9"/>
  <c r="S366" i="9"/>
  <c r="X366" i="9" s="1"/>
  <c r="O366" i="9"/>
  <c r="S364" i="9"/>
  <c r="X364" i="9" s="1"/>
  <c r="O364" i="9"/>
  <c r="S362" i="9"/>
  <c r="X362" i="9" s="1"/>
  <c r="O362" i="9"/>
  <c r="S360" i="9"/>
  <c r="X360" i="9" s="1"/>
  <c r="O360" i="9"/>
  <c r="S358" i="9"/>
  <c r="X358" i="9" s="1"/>
  <c r="O358" i="9"/>
  <c r="S356" i="9"/>
  <c r="X356" i="9" s="1"/>
  <c r="O356" i="9"/>
  <c r="S354" i="9"/>
  <c r="X354" i="9" s="1"/>
  <c r="O354" i="9"/>
  <c r="S352" i="9"/>
  <c r="X352" i="9" s="1"/>
  <c r="O352" i="9"/>
  <c r="S350" i="9"/>
  <c r="X350" i="9" s="1"/>
  <c r="O350" i="9"/>
  <c r="S348" i="9"/>
  <c r="X348" i="9" s="1"/>
  <c r="O348" i="9"/>
  <c r="S346" i="9"/>
  <c r="X346" i="9" s="1"/>
  <c r="O346" i="9"/>
  <c r="S344" i="9"/>
  <c r="X344" i="9" s="1"/>
  <c r="O344" i="9"/>
  <c r="S342" i="9"/>
  <c r="X342" i="9" s="1"/>
  <c r="O342" i="9"/>
  <c r="S340" i="9"/>
  <c r="X340" i="9" s="1"/>
  <c r="O340" i="9"/>
  <c r="S338" i="9"/>
  <c r="X338" i="9" s="1"/>
  <c r="O338" i="9"/>
  <c r="S336" i="9"/>
  <c r="X336" i="9" s="1"/>
  <c r="O336" i="9"/>
  <c r="S334" i="9"/>
  <c r="X334" i="9" s="1"/>
  <c r="O334" i="9"/>
  <c r="O332" i="9"/>
  <c r="O330" i="9"/>
  <c r="O328" i="9"/>
  <c r="O326" i="9"/>
  <c r="O324" i="9"/>
  <c r="O322" i="9"/>
  <c r="O320" i="9"/>
  <c r="O318" i="9"/>
  <c r="O316" i="9"/>
  <c r="O314" i="9"/>
  <c r="O312" i="9"/>
  <c r="O310" i="9"/>
  <c r="O308" i="9"/>
  <c r="O306" i="9"/>
  <c r="O6" i="9"/>
  <c r="P6" i="9" s="1"/>
  <c r="Q6" i="9" s="1"/>
  <c r="R6" i="9"/>
  <c r="S6" i="9" s="1"/>
  <c r="X6" i="9" s="1"/>
  <c r="O8" i="9"/>
  <c r="P8" i="9" s="1"/>
  <c r="Q8" i="9" s="1"/>
  <c r="R8" i="9"/>
  <c r="S8" i="9" s="1"/>
  <c r="X8" i="9" s="1"/>
  <c r="O10" i="9"/>
  <c r="P10" i="9" s="1"/>
  <c r="R10" i="9"/>
  <c r="S10" i="9" s="1"/>
  <c r="X10" i="9" s="1"/>
  <c r="O12" i="9"/>
  <c r="P12" i="9" s="1"/>
  <c r="Q12" i="9" s="1"/>
  <c r="R12" i="9"/>
  <c r="S12" i="9" s="1"/>
  <c r="X12" i="9" s="1"/>
  <c r="O14" i="9"/>
  <c r="R14" i="9"/>
  <c r="S14" i="9" s="1"/>
  <c r="X14" i="9" s="1"/>
  <c r="O16" i="9"/>
  <c r="P16" i="9" s="1"/>
  <c r="Q16" i="9" s="1"/>
  <c r="R16" i="9"/>
  <c r="S16" i="9" s="1"/>
  <c r="X16" i="9" s="1"/>
  <c r="O18" i="9"/>
  <c r="R18" i="9"/>
  <c r="S18" i="9" s="1"/>
  <c r="X18" i="9" s="1"/>
  <c r="O20" i="9"/>
  <c r="P20" i="9" s="1"/>
  <c r="Q20" i="9" s="1"/>
  <c r="R20" i="9"/>
  <c r="S20" i="9" s="1"/>
  <c r="X20" i="9" s="1"/>
  <c r="O22" i="9"/>
  <c r="R22" i="9"/>
  <c r="S22" i="9" s="1"/>
  <c r="X22" i="9" s="1"/>
  <c r="O24" i="9"/>
  <c r="P24" i="9" s="1"/>
  <c r="Q24" i="9" s="1"/>
  <c r="R24" i="9"/>
  <c r="S24" i="9" s="1"/>
  <c r="X24" i="9" s="1"/>
  <c r="O26" i="9"/>
  <c r="R26" i="9"/>
  <c r="S26" i="9" s="1"/>
  <c r="X26" i="9" s="1"/>
  <c r="O28" i="9"/>
  <c r="P28" i="9" s="1"/>
  <c r="Q28" i="9" s="1"/>
  <c r="R28" i="9"/>
  <c r="S28" i="9" s="1"/>
  <c r="X28" i="9" s="1"/>
  <c r="O32" i="9"/>
  <c r="R32" i="9"/>
  <c r="S32" i="9" s="1"/>
  <c r="X32" i="9" s="1"/>
  <c r="O34" i="9"/>
  <c r="T34" i="9" s="1"/>
  <c r="R34" i="9"/>
  <c r="S34" i="9" s="1"/>
  <c r="X34" i="9" s="1"/>
  <c r="O36" i="9"/>
  <c r="R36" i="9"/>
  <c r="S36" i="9" s="1"/>
  <c r="X36" i="9" s="1"/>
  <c r="O38" i="9"/>
  <c r="T38" i="9" s="1"/>
  <c r="R38" i="9"/>
  <c r="S38" i="9" s="1"/>
  <c r="X38" i="9" s="1"/>
  <c r="O40" i="9"/>
  <c r="R40" i="9"/>
  <c r="S40" i="9" s="1"/>
  <c r="X40" i="9" s="1"/>
  <c r="O42" i="9"/>
  <c r="T42" i="9" s="1"/>
  <c r="R42" i="9"/>
  <c r="S42" i="9" s="1"/>
  <c r="X42" i="9" s="1"/>
  <c r="O44" i="9"/>
  <c r="R44" i="9"/>
  <c r="S44" i="9" s="1"/>
  <c r="X44" i="9" s="1"/>
  <c r="O46" i="9"/>
  <c r="T46" i="9" s="1"/>
  <c r="R46" i="9"/>
  <c r="S46" i="9" s="1"/>
  <c r="X46" i="9" s="1"/>
  <c r="O48" i="9"/>
  <c r="P48" i="9" s="1"/>
  <c r="Q48" i="9" s="1"/>
  <c r="R48" i="9"/>
  <c r="S48" i="9" s="1"/>
  <c r="O50" i="9"/>
  <c r="P50" i="9" s="1"/>
  <c r="Q50" i="9" s="1"/>
  <c r="R50" i="9"/>
  <c r="S50" i="9" s="1"/>
  <c r="X50" i="9" s="1"/>
  <c r="O52" i="9"/>
  <c r="P52" i="9" s="1"/>
  <c r="Q52" i="9" s="1"/>
  <c r="R52" i="9"/>
  <c r="S52" i="9" s="1"/>
  <c r="O54" i="9"/>
  <c r="T54" i="9" s="1"/>
  <c r="R54" i="9"/>
  <c r="S54" i="9" s="1"/>
  <c r="X54" i="9" s="1"/>
  <c r="O56" i="9"/>
  <c r="P56" i="9" s="1"/>
  <c r="Q56" i="9" s="1"/>
  <c r="R56" i="9"/>
  <c r="S56" i="9" s="1"/>
  <c r="O58" i="9"/>
  <c r="P58" i="9" s="1"/>
  <c r="Q58" i="9" s="1"/>
  <c r="R58" i="9"/>
  <c r="S58" i="9" s="1"/>
  <c r="X58" i="9" s="1"/>
  <c r="O60" i="9"/>
  <c r="P60" i="9" s="1"/>
  <c r="Q60" i="9" s="1"/>
  <c r="R60" i="9"/>
  <c r="S60" i="9" s="1"/>
  <c r="O62" i="9"/>
  <c r="T62" i="9" s="1"/>
  <c r="R62" i="9"/>
  <c r="S62" i="9" s="1"/>
  <c r="O64" i="9"/>
  <c r="T64" i="9" s="1"/>
  <c r="R64" i="9"/>
  <c r="S64" i="9" s="1"/>
  <c r="X64" i="9" s="1"/>
  <c r="O66" i="9"/>
  <c r="T66" i="9" s="1"/>
  <c r="R66" i="9"/>
  <c r="S66" i="9" s="1"/>
  <c r="O68" i="9"/>
  <c r="T68" i="9" s="1"/>
  <c r="R68" i="9"/>
  <c r="S68" i="9" s="1"/>
  <c r="X68" i="9" s="1"/>
  <c r="O70" i="9"/>
  <c r="T70" i="9" s="1"/>
  <c r="R70" i="9"/>
  <c r="S70" i="9" s="1"/>
  <c r="O72" i="9"/>
  <c r="T72" i="9" s="1"/>
  <c r="R72" i="9"/>
  <c r="S72" i="9" s="1"/>
  <c r="X72" i="9" s="1"/>
  <c r="O74" i="9"/>
  <c r="T74" i="9" s="1"/>
  <c r="R74" i="9"/>
  <c r="S74" i="9" s="1"/>
  <c r="O76" i="9"/>
  <c r="T76" i="9" s="1"/>
  <c r="R76" i="9"/>
  <c r="S76" i="9" s="1"/>
  <c r="X76" i="9" s="1"/>
  <c r="O78" i="9"/>
  <c r="T78" i="9" s="1"/>
  <c r="R78" i="9"/>
  <c r="S78" i="9" s="1"/>
  <c r="O80" i="9"/>
  <c r="T80" i="9" s="1"/>
  <c r="R80" i="9"/>
  <c r="S80" i="9" s="1"/>
  <c r="X80" i="9" s="1"/>
  <c r="O82" i="9"/>
  <c r="T82" i="9" s="1"/>
  <c r="R82" i="9"/>
  <c r="S82" i="9" s="1"/>
  <c r="O84" i="9"/>
  <c r="T84" i="9" s="1"/>
  <c r="R84" i="9"/>
  <c r="S84" i="9" s="1"/>
  <c r="X84" i="9" s="1"/>
  <c r="O86" i="9"/>
  <c r="R86" i="9"/>
  <c r="S86" i="9" s="1"/>
  <c r="O88" i="9"/>
  <c r="P88" i="9" s="1"/>
  <c r="Q88" i="9" s="1"/>
  <c r="R88" i="9"/>
  <c r="S88" i="9" s="1"/>
  <c r="X88" i="9" s="1"/>
  <c r="O90" i="9"/>
  <c r="T90" i="9" s="1"/>
  <c r="R90" i="9"/>
  <c r="S90" i="9" s="1"/>
  <c r="O92" i="9"/>
  <c r="P92" i="9" s="1"/>
  <c r="Q92" i="9" s="1"/>
  <c r="R92" i="9"/>
  <c r="S92" i="9" s="1"/>
  <c r="X92" i="9" s="1"/>
  <c r="O94" i="9"/>
  <c r="T94" i="9" s="1"/>
  <c r="P94" i="9"/>
  <c r="Q94" i="9" s="1"/>
  <c r="R94" i="9"/>
  <c r="S94" i="9" s="1"/>
  <c r="O96" i="9"/>
  <c r="R96" i="9"/>
  <c r="S96" i="9" s="1"/>
  <c r="X96" i="9" s="1"/>
  <c r="O98" i="9"/>
  <c r="R98" i="9"/>
  <c r="S98" i="9" s="1"/>
  <c r="O100" i="9"/>
  <c r="T100" i="9" s="1"/>
  <c r="P100" i="9"/>
  <c r="Q100" i="9" s="1"/>
  <c r="R100" i="9"/>
  <c r="S100" i="9" s="1"/>
  <c r="X100" i="9" s="1"/>
  <c r="O102" i="9"/>
  <c r="P102" i="9" s="1"/>
  <c r="Q102" i="9" s="1"/>
  <c r="R102" i="9"/>
  <c r="S102" i="9" s="1"/>
  <c r="O104" i="9"/>
  <c r="T104" i="9" s="1"/>
  <c r="P104" i="9"/>
  <c r="Q104" i="9" s="1"/>
  <c r="R104" i="9"/>
  <c r="S104" i="9" s="1"/>
  <c r="X104" i="9" s="1"/>
  <c r="O106" i="9"/>
  <c r="P106" i="9" s="1"/>
  <c r="Q106" i="9" s="1"/>
  <c r="R106" i="9"/>
  <c r="S106" i="9" s="1"/>
  <c r="O108" i="9"/>
  <c r="T108" i="9" s="1"/>
  <c r="P108" i="9"/>
  <c r="Q108" i="9" s="1"/>
  <c r="R108" i="9"/>
  <c r="S108" i="9" s="1"/>
  <c r="X108" i="9" s="1"/>
  <c r="O110" i="9"/>
  <c r="P110" i="9" s="1"/>
  <c r="Q110" i="9" s="1"/>
  <c r="R110" i="9"/>
  <c r="S110" i="9" s="1"/>
  <c r="O112" i="9"/>
  <c r="T112" i="9" s="1"/>
  <c r="P112" i="9"/>
  <c r="Q112" i="9" s="1"/>
  <c r="R112" i="9"/>
  <c r="S112" i="9" s="1"/>
  <c r="X112" i="9" s="1"/>
  <c r="O114" i="9"/>
  <c r="P114" i="9" s="1"/>
  <c r="Q114" i="9" s="1"/>
  <c r="R114" i="9"/>
  <c r="S114" i="9" s="1"/>
  <c r="O116" i="9"/>
  <c r="T116" i="9" s="1"/>
  <c r="P116" i="9"/>
  <c r="Q116" i="9" s="1"/>
  <c r="R116" i="9"/>
  <c r="S116" i="9" s="1"/>
  <c r="X116" i="9" s="1"/>
  <c r="O118" i="9"/>
  <c r="P118" i="9" s="1"/>
  <c r="Q118" i="9" s="1"/>
  <c r="R118" i="9"/>
  <c r="S118" i="9" s="1"/>
  <c r="O120" i="9"/>
  <c r="T120" i="9" s="1"/>
  <c r="P120" i="9"/>
  <c r="Q120" i="9" s="1"/>
  <c r="R120" i="9"/>
  <c r="S120" i="9" s="1"/>
  <c r="X120" i="9" s="1"/>
  <c r="O122" i="9"/>
  <c r="P122" i="9" s="1"/>
  <c r="Q122" i="9" s="1"/>
  <c r="R122" i="9"/>
  <c r="S122" i="9" s="1"/>
  <c r="O124" i="9"/>
  <c r="T124" i="9" s="1"/>
  <c r="P124" i="9"/>
  <c r="Q124" i="9" s="1"/>
  <c r="R124" i="9"/>
  <c r="S124" i="9" s="1"/>
  <c r="X124" i="9" s="1"/>
  <c r="O126" i="9"/>
  <c r="T126" i="9" s="1"/>
  <c r="R126" i="9"/>
  <c r="S126" i="9" s="1"/>
  <c r="X126" i="9" s="1"/>
  <c r="O128" i="9"/>
  <c r="R128" i="9"/>
  <c r="S128" i="9" s="1"/>
  <c r="X128" i="9" s="1"/>
  <c r="O130" i="9"/>
  <c r="P130" i="9"/>
  <c r="Q130" i="9" s="1"/>
  <c r="T130" i="9"/>
  <c r="R130" i="9"/>
  <c r="S130" i="9" s="1"/>
  <c r="X130" i="9" s="1"/>
  <c r="O132" i="9"/>
  <c r="T132" i="9" s="1"/>
  <c r="P132" i="9"/>
  <c r="Q132" i="9" s="1"/>
  <c r="R132" i="9"/>
  <c r="S132" i="9" s="1"/>
  <c r="X132" i="9" s="1"/>
  <c r="O134" i="9"/>
  <c r="T134" i="9" s="1"/>
  <c r="R134" i="9"/>
  <c r="S134" i="9" s="1"/>
  <c r="X134" i="9" s="1"/>
  <c r="O136" i="9"/>
  <c r="R136" i="9"/>
  <c r="S136" i="9" s="1"/>
  <c r="X136" i="9" s="1"/>
  <c r="O138" i="9"/>
  <c r="P138" i="9"/>
  <c r="Q138" i="9" s="1"/>
  <c r="T138" i="9"/>
  <c r="R138" i="9"/>
  <c r="S138" i="9" s="1"/>
  <c r="X138" i="9" s="1"/>
  <c r="O140" i="9"/>
  <c r="T140" i="9" s="1"/>
  <c r="P140" i="9"/>
  <c r="Q140" i="9" s="1"/>
  <c r="R140" i="9"/>
  <c r="S140" i="9" s="1"/>
  <c r="X140" i="9" s="1"/>
  <c r="O142" i="9"/>
  <c r="T142" i="9" s="1"/>
  <c r="R142" i="9"/>
  <c r="S142" i="9" s="1"/>
  <c r="X142" i="9" s="1"/>
  <c r="O144" i="9"/>
  <c r="R144" i="9"/>
  <c r="S144" i="9" s="1"/>
  <c r="X144" i="9" s="1"/>
  <c r="O146" i="9"/>
  <c r="P146" i="9"/>
  <c r="Q146" i="9" s="1"/>
  <c r="T146" i="9"/>
  <c r="R146" i="9"/>
  <c r="S146" i="9" s="1"/>
  <c r="X146" i="9" s="1"/>
  <c r="O148" i="9"/>
  <c r="T148" i="9" s="1"/>
  <c r="P148" i="9"/>
  <c r="Q148" i="9" s="1"/>
  <c r="R148" i="9"/>
  <c r="S148" i="9" s="1"/>
  <c r="X148" i="9" s="1"/>
  <c r="O150" i="9"/>
  <c r="T150" i="9" s="1"/>
  <c r="R150" i="9"/>
  <c r="S150" i="9" s="1"/>
  <c r="X150" i="9" s="1"/>
  <c r="O152" i="9"/>
  <c r="R152" i="9"/>
  <c r="S152" i="9" s="1"/>
  <c r="X152" i="9" s="1"/>
  <c r="O154" i="9"/>
  <c r="P154" i="9"/>
  <c r="Q154" i="9" s="1"/>
  <c r="T154" i="9"/>
  <c r="R154" i="9"/>
  <c r="S154" i="9" s="1"/>
  <c r="X154" i="9" s="1"/>
  <c r="O156" i="9"/>
  <c r="T156" i="9" s="1"/>
  <c r="P156" i="9"/>
  <c r="Q156" i="9" s="1"/>
  <c r="R156" i="9"/>
  <c r="S156" i="9" s="1"/>
  <c r="X156" i="9" s="1"/>
  <c r="O158" i="9"/>
  <c r="T158" i="9" s="1"/>
  <c r="R158" i="9"/>
  <c r="S158" i="9" s="1"/>
  <c r="X158" i="9" s="1"/>
  <c r="O160" i="9"/>
  <c r="R160" i="9"/>
  <c r="S160" i="9" s="1"/>
  <c r="X160" i="9" s="1"/>
  <c r="O162" i="9"/>
  <c r="P162" i="9"/>
  <c r="Q162" i="9" s="1"/>
  <c r="T162" i="9"/>
  <c r="R162" i="9"/>
  <c r="S162" i="9" s="1"/>
  <c r="X162" i="9" s="1"/>
  <c r="O164" i="9"/>
  <c r="T164" i="9" s="1"/>
  <c r="P164" i="9"/>
  <c r="Q164" i="9" s="1"/>
  <c r="R164" i="9"/>
  <c r="S164" i="9" s="1"/>
  <c r="X164" i="9" s="1"/>
  <c r="O166" i="9"/>
  <c r="T166" i="9" s="1"/>
  <c r="R166" i="9"/>
  <c r="S166" i="9" s="1"/>
  <c r="X166" i="9" s="1"/>
  <c r="O168" i="9"/>
  <c r="R168" i="9"/>
  <c r="S168" i="9" s="1"/>
  <c r="X168" i="9" s="1"/>
  <c r="O170" i="9"/>
  <c r="P170" i="9"/>
  <c r="Q170" i="9" s="1"/>
  <c r="T170" i="9"/>
  <c r="R170" i="9"/>
  <c r="S170" i="9" s="1"/>
  <c r="X170" i="9" s="1"/>
  <c r="O172" i="9"/>
  <c r="T172" i="9" s="1"/>
  <c r="P172" i="9"/>
  <c r="Q172" i="9" s="1"/>
  <c r="R172" i="9"/>
  <c r="S172" i="9" s="1"/>
  <c r="X172" i="9" s="1"/>
  <c r="O174" i="9"/>
  <c r="T174" i="9" s="1"/>
  <c r="R174" i="9"/>
  <c r="S174" i="9" s="1"/>
  <c r="X174" i="9" s="1"/>
  <c r="O176" i="9"/>
  <c r="R176" i="9"/>
  <c r="S176" i="9" s="1"/>
  <c r="X176" i="9" s="1"/>
  <c r="O178" i="9"/>
  <c r="P178" i="9"/>
  <c r="Q178" i="9" s="1"/>
  <c r="T178" i="9"/>
  <c r="R178" i="9"/>
  <c r="S178" i="9" s="1"/>
  <c r="X178" i="9" s="1"/>
  <c r="O180" i="9"/>
  <c r="T180" i="9" s="1"/>
  <c r="P180" i="9"/>
  <c r="Q180" i="9" s="1"/>
  <c r="R180" i="9"/>
  <c r="S180" i="9" s="1"/>
  <c r="X180" i="9" s="1"/>
  <c r="O182" i="9"/>
  <c r="T182" i="9" s="1"/>
  <c r="R182" i="9"/>
  <c r="S182" i="9" s="1"/>
  <c r="X182" i="9" s="1"/>
  <c r="O184" i="9"/>
  <c r="U184" i="9" s="1"/>
  <c r="Q184" i="9"/>
  <c r="W184" i="9"/>
  <c r="P184" i="9"/>
  <c r="T184" i="9"/>
  <c r="R184" i="9"/>
  <c r="S184" i="9" s="1"/>
  <c r="X184" i="9" s="1"/>
  <c r="O186" i="9"/>
  <c r="P186" i="9" s="1"/>
  <c r="Q186" i="9" s="1"/>
  <c r="R186" i="9"/>
  <c r="S186" i="9" s="1"/>
  <c r="X186" i="9" s="1"/>
  <c r="O187" i="9"/>
  <c r="R187" i="9"/>
  <c r="S187" i="9" s="1"/>
  <c r="X187" i="9" s="1"/>
  <c r="T187" i="9"/>
  <c r="O188" i="9"/>
  <c r="Q188" i="9"/>
  <c r="P188" i="9"/>
  <c r="T188" i="9"/>
  <c r="R188" i="9"/>
  <c r="S188" i="9" s="1"/>
  <c r="O189" i="9"/>
  <c r="T189" i="9" s="1"/>
  <c r="R189" i="9"/>
  <c r="S189" i="9" s="1"/>
  <c r="X189" i="9" s="1"/>
  <c r="P189" i="9"/>
  <c r="U189" i="9" s="1"/>
  <c r="V188" i="9" s="1"/>
  <c r="O190" i="9"/>
  <c r="T190" i="9" s="1"/>
  <c r="R190" i="9"/>
  <c r="S190" i="9" s="1"/>
  <c r="X190" i="9" s="1"/>
  <c r="O191" i="9"/>
  <c r="R191" i="9"/>
  <c r="S191" i="9" s="1"/>
  <c r="X191" i="9" s="1"/>
  <c r="P191" i="9"/>
  <c r="U191" i="9" s="1"/>
  <c r="V190" i="9" s="1"/>
  <c r="T191" i="9"/>
  <c r="O192" i="9"/>
  <c r="R192" i="9"/>
  <c r="S192" i="9" s="1"/>
  <c r="O193" i="9"/>
  <c r="R193" i="9"/>
  <c r="S193" i="9" s="1"/>
  <c r="X193" i="9" s="1"/>
  <c r="T193" i="9"/>
  <c r="O194" i="9"/>
  <c r="P194" i="9" s="1"/>
  <c r="Q194" i="9" s="1"/>
  <c r="T194" i="9"/>
  <c r="R194" i="9"/>
  <c r="S194" i="9" s="1"/>
  <c r="X194" i="9" s="1"/>
  <c r="O195" i="9"/>
  <c r="R195" i="9"/>
  <c r="S195" i="9" s="1"/>
  <c r="X195" i="9" s="1"/>
  <c r="T195" i="9"/>
  <c r="O196" i="9"/>
  <c r="Q196" i="9"/>
  <c r="P196" i="9"/>
  <c r="T196" i="9"/>
  <c r="R196" i="9"/>
  <c r="S196" i="9" s="1"/>
  <c r="O197" i="9"/>
  <c r="T197" i="9" s="1"/>
  <c r="R197" i="9"/>
  <c r="S197" i="9" s="1"/>
  <c r="X197" i="9" s="1"/>
  <c r="P197" i="9"/>
  <c r="U197" i="9" s="1"/>
  <c r="V196" i="9" s="1"/>
  <c r="O198" i="9"/>
  <c r="R198" i="9"/>
  <c r="S198" i="9" s="1"/>
  <c r="X198" i="9" s="1"/>
  <c r="O199" i="9"/>
  <c r="T199" i="9" s="1"/>
  <c r="R199" i="9"/>
  <c r="S199" i="9" s="1"/>
  <c r="X199" i="9" s="1"/>
  <c r="P199" i="9"/>
  <c r="U199" i="9" s="1"/>
  <c r="V198" i="9" s="1"/>
  <c r="O200" i="9"/>
  <c r="P200" i="9" s="1"/>
  <c r="Q200" i="9" s="1"/>
  <c r="R200" i="9"/>
  <c r="S200" i="9" s="1"/>
  <c r="O201" i="9"/>
  <c r="R201" i="9"/>
  <c r="S201" i="9" s="1"/>
  <c r="X201" i="9" s="1"/>
  <c r="T201" i="9"/>
  <c r="O202" i="9"/>
  <c r="P202" i="9" s="1"/>
  <c r="Q202" i="9" s="1"/>
  <c r="T202" i="9"/>
  <c r="R202" i="9"/>
  <c r="S202" i="9" s="1"/>
  <c r="X202" i="9" s="1"/>
  <c r="O203" i="9"/>
  <c r="R203" i="9"/>
  <c r="S203" i="9" s="1"/>
  <c r="X203" i="9" s="1"/>
  <c r="T203" i="9"/>
  <c r="O204" i="9"/>
  <c r="Q204" i="9"/>
  <c r="P204" i="9"/>
  <c r="T204" i="9"/>
  <c r="R204" i="9"/>
  <c r="S204" i="9" s="1"/>
  <c r="O205" i="9"/>
  <c r="T205" i="9" s="1"/>
  <c r="R205" i="9"/>
  <c r="S205" i="9" s="1"/>
  <c r="X205" i="9" s="1"/>
  <c r="P205" i="9"/>
  <c r="U205" i="9" s="1"/>
  <c r="V204" i="9" s="1"/>
  <c r="O206" i="9"/>
  <c r="T206" i="9" s="1"/>
  <c r="R206" i="9"/>
  <c r="S206" i="9" s="1"/>
  <c r="X206" i="9" s="1"/>
  <c r="O207" i="9"/>
  <c r="R207" i="9"/>
  <c r="S207" i="9" s="1"/>
  <c r="X207" i="9" s="1"/>
  <c r="P207" i="9"/>
  <c r="U207" i="9" s="1"/>
  <c r="V206" i="9" s="1"/>
  <c r="T207" i="9"/>
  <c r="O208" i="9"/>
  <c r="R208" i="9"/>
  <c r="S208" i="9" s="1"/>
  <c r="O209" i="9"/>
  <c r="R209" i="9"/>
  <c r="S209" i="9" s="1"/>
  <c r="X209" i="9" s="1"/>
  <c r="T209" i="9"/>
  <c r="O210" i="9"/>
  <c r="P210" i="9" s="1"/>
  <c r="Q210" i="9" s="1"/>
  <c r="R210" i="9"/>
  <c r="S210" i="9" s="1"/>
  <c r="X210" i="9" s="1"/>
  <c r="O211" i="9"/>
  <c r="R211" i="9"/>
  <c r="S211" i="9" s="1"/>
  <c r="X211" i="9" s="1"/>
  <c r="T211" i="9"/>
  <c r="O212" i="9"/>
  <c r="Q212" i="9"/>
  <c r="P212" i="9"/>
  <c r="T212" i="9"/>
  <c r="R212" i="9"/>
  <c r="S212" i="9" s="1"/>
  <c r="O213" i="9"/>
  <c r="T213" i="9" s="1"/>
  <c r="R213" i="9"/>
  <c r="S213" i="9" s="1"/>
  <c r="X213" i="9" s="1"/>
  <c r="P213" i="9"/>
  <c r="U213" i="9" s="1"/>
  <c r="V212" i="9" s="1"/>
  <c r="O214" i="9"/>
  <c r="R214" i="9"/>
  <c r="S214" i="9" s="1"/>
  <c r="X214" i="9" s="1"/>
  <c r="O215" i="9"/>
  <c r="T215" i="9" s="1"/>
  <c r="R215" i="9"/>
  <c r="S215" i="9" s="1"/>
  <c r="X215" i="9" s="1"/>
  <c r="P215" i="9"/>
  <c r="U215" i="9" s="1"/>
  <c r="V214" i="9" s="1"/>
  <c r="O216" i="9"/>
  <c r="P216" i="9" s="1"/>
  <c r="Q216" i="9" s="1"/>
  <c r="R216" i="9"/>
  <c r="S216" i="9" s="1"/>
  <c r="O217" i="9"/>
  <c r="R217" i="9"/>
  <c r="S217" i="9" s="1"/>
  <c r="X217" i="9" s="1"/>
  <c r="T217" i="9"/>
  <c r="O218" i="9"/>
  <c r="P218" i="9" s="1"/>
  <c r="Q218" i="9" s="1"/>
  <c r="R218" i="9"/>
  <c r="S218" i="9" s="1"/>
  <c r="X218" i="9" s="1"/>
  <c r="O219" i="9"/>
  <c r="R219" i="9"/>
  <c r="S219" i="9" s="1"/>
  <c r="X219" i="9" s="1"/>
  <c r="T219" i="9"/>
  <c r="O220" i="9"/>
  <c r="P220" i="9"/>
  <c r="Q220" i="9" s="1"/>
  <c r="R220" i="9"/>
  <c r="S220" i="9" s="1"/>
  <c r="O221" i="9"/>
  <c r="R221" i="9"/>
  <c r="S221" i="9" s="1"/>
  <c r="X221" i="9" s="1"/>
  <c r="T221" i="9"/>
  <c r="O222" i="9"/>
  <c r="P222" i="9"/>
  <c r="Q222" i="9" s="1"/>
  <c r="T222" i="9"/>
  <c r="R222" i="9"/>
  <c r="S222" i="9" s="1"/>
  <c r="X222" i="9" s="1"/>
  <c r="O223" i="9"/>
  <c r="R223" i="9"/>
  <c r="S223" i="9" s="1"/>
  <c r="X223" i="9" s="1"/>
  <c r="T223" i="9"/>
  <c r="O224" i="9"/>
  <c r="R224" i="9"/>
  <c r="S224" i="9" s="1"/>
  <c r="X224" i="9" s="1"/>
  <c r="O225" i="9"/>
  <c r="P225" i="9" s="1"/>
  <c r="U225" i="9" s="1"/>
  <c r="V224" i="9" s="1"/>
  <c r="R225" i="9"/>
  <c r="S225" i="9" s="1"/>
  <c r="X225" i="9" s="1"/>
  <c r="T225" i="9"/>
  <c r="O226" i="9"/>
  <c r="P226" i="9"/>
  <c r="Q226" i="9" s="1"/>
  <c r="R226" i="9"/>
  <c r="S226" i="9" s="1"/>
  <c r="T226" i="9"/>
  <c r="O227" i="9"/>
  <c r="P227" i="9" s="1"/>
  <c r="U227" i="9" s="1"/>
  <c r="V226" i="9" s="1"/>
  <c r="R227" i="9"/>
  <c r="S227" i="9" s="1"/>
  <c r="X227" i="9" s="1"/>
  <c r="O228" i="9"/>
  <c r="R228" i="9"/>
  <c r="S228" i="9" s="1"/>
  <c r="X228" i="9" s="1"/>
  <c r="O229" i="9"/>
  <c r="P229" i="9" s="1"/>
  <c r="U229" i="9" s="1"/>
  <c r="V228" i="9" s="1"/>
  <c r="R229" i="9"/>
  <c r="S229" i="9" s="1"/>
  <c r="X229" i="9" s="1"/>
  <c r="O230" i="9"/>
  <c r="P230" i="9"/>
  <c r="Q230" i="9" s="1"/>
  <c r="R230" i="9"/>
  <c r="S230" i="9" s="1"/>
  <c r="T230" i="9"/>
  <c r="O231" i="9"/>
  <c r="P231" i="9"/>
  <c r="U231" i="9" s="1"/>
  <c r="V230" i="9" s="1"/>
  <c r="R231" i="9"/>
  <c r="S231" i="9" s="1"/>
  <c r="X231" i="9" s="1"/>
  <c r="T231" i="9"/>
  <c r="O232" i="9"/>
  <c r="S232" i="9"/>
  <c r="X232" i="9" s="1"/>
  <c r="T232" i="9"/>
  <c r="R233" i="9"/>
  <c r="P234" i="9"/>
  <c r="U234" i="9" s="1"/>
  <c r="V233" i="9" s="1"/>
  <c r="R234" i="9"/>
  <c r="S234" i="9" s="1"/>
  <c r="X234" i="9" s="1"/>
  <c r="T234" i="9"/>
  <c r="R235" i="9"/>
  <c r="P236" i="9"/>
  <c r="U236" i="9" s="1"/>
  <c r="V235" i="9" s="1"/>
  <c r="R236" i="9"/>
  <c r="S236" i="9" s="1"/>
  <c r="X236" i="9" s="1"/>
  <c r="T236" i="9"/>
  <c r="R237" i="9"/>
  <c r="P238" i="9"/>
  <c r="U238" i="9" s="1"/>
  <c r="V237" i="9" s="1"/>
  <c r="R238" i="9"/>
  <c r="S238" i="9" s="1"/>
  <c r="X238" i="9" s="1"/>
  <c r="T238" i="9"/>
  <c r="R239" i="9"/>
  <c r="P240" i="9"/>
  <c r="U240" i="9" s="1"/>
  <c r="V239" i="9" s="1"/>
  <c r="R240" i="9"/>
  <c r="S240" i="9" s="1"/>
  <c r="X240" i="9" s="1"/>
  <c r="T240" i="9"/>
  <c r="R241" i="9"/>
  <c r="P242" i="9"/>
  <c r="U242" i="9" s="1"/>
  <c r="V241" i="9" s="1"/>
  <c r="R242" i="9"/>
  <c r="S242" i="9" s="1"/>
  <c r="X242" i="9" s="1"/>
  <c r="T242" i="9"/>
  <c r="R243" i="9"/>
  <c r="P244" i="9"/>
  <c r="U244" i="9" s="1"/>
  <c r="V243" i="9" s="1"/>
  <c r="R244" i="9"/>
  <c r="S244" i="9" s="1"/>
  <c r="X244" i="9" s="1"/>
  <c r="T244" i="9"/>
  <c r="R245" i="9"/>
  <c r="P246" i="9"/>
  <c r="U246" i="9" s="1"/>
  <c r="V245" i="9" s="1"/>
  <c r="R246" i="9"/>
  <c r="S246" i="9" s="1"/>
  <c r="X246" i="9" s="1"/>
  <c r="T246" i="9"/>
  <c r="R247" i="9"/>
  <c r="P248" i="9"/>
  <c r="U248" i="9" s="1"/>
  <c r="V247" i="9" s="1"/>
  <c r="R248" i="9"/>
  <c r="S248" i="9" s="1"/>
  <c r="X248" i="9" s="1"/>
  <c r="T248" i="9"/>
  <c r="R249" i="9"/>
  <c r="P250" i="9"/>
  <c r="U250" i="9" s="1"/>
  <c r="V249" i="9" s="1"/>
  <c r="R250" i="9"/>
  <c r="S250" i="9" s="1"/>
  <c r="X250" i="9" s="1"/>
  <c r="T250" i="9"/>
  <c r="R251" i="9"/>
  <c r="P252" i="9"/>
  <c r="U252" i="9" s="1"/>
  <c r="V251" i="9" s="1"/>
  <c r="R252" i="9"/>
  <c r="S252" i="9" s="1"/>
  <c r="X252" i="9" s="1"/>
  <c r="T252" i="9"/>
  <c r="R253" i="9"/>
  <c r="P254" i="9"/>
  <c r="U254" i="9" s="1"/>
  <c r="V253" i="9" s="1"/>
  <c r="R254" i="9"/>
  <c r="S254" i="9" s="1"/>
  <c r="X254" i="9" s="1"/>
  <c r="T254" i="9"/>
  <c r="R255" i="9"/>
  <c r="P256" i="9"/>
  <c r="U256" i="9" s="1"/>
  <c r="V255" i="9" s="1"/>
  <c r="R256" i="9"/>
  <c r="S256" i="9" s="1"/>
  <c r="X256" i="9" s="1"/>
  <c r="T256" i="9"/>
  <c r="R257" i="9"/>
  <c r="P258" i="9"/>
  <c r="U258" i="9" s="1"/>
  <c r="V257" i="9" s="1"/>
  <c r="R258" i="9"/>
  <c r="S258" i="9" s="1"/>
  <c r="X258" i="9" s="1"/>
  <c r="T258" i="9"/>
  <c r="R259" i="9"/>
  <c r="P260" i="9"/>
  <c r="U260" i="9" s="1"/>
  <c r="V259" i="9" s="1"/>
  <c r="R260" i="9"/>
  <c r="S260" i="9" s="1"/>
  <c r="X260" i="9" s="1"/>
  <c r="T260" i="9"/>
  <c r="R261" i="9"/>
  <c r="P262" i="9"/>
  <c r="U262" i="9" s="1"/>
  <c r="V261" i="9" s="1"/>
  <c r="R262" i="9"/>
  <c r="S262" i="9" s="1"/>
  <c r="X262" i="9" s="1"/>
  <c r="T262" i="9"/>
  <c r="R263" i="9"/>
  <c r="P264" i="9"/>
  <c r="U264" i="9" s="1"/>
  <c r="V263" i="9" s="1"/>
  <c r="R264" i="9"/>
  <c r="S264" i="9" s="1"/>
  <c r="X264" i="9" s="1"/>
  <c r="T264" i="9"/>
  <c r="R265" i="9"/>
  <c r="P266" i="9"/>
  <c r="U266" i="9" s="1"/>
  <c r="V265" i="9" s="1"/>
  <c r="R266" i="9"/>
  <c r="S266" i="9" s="1"/>
  <c r="X266" i="9" s="1"/>
  <c r="T266" i="9"/>
  <c r="R267" i="9"/>
  <c r="P268" i="9"/>
  <c r="U268" i="9" s="1"/>
  <c r="V267" i="9" s="1"/>
  <c r="R268" i="9"/>
  <c r="S268" i="9" s="1"/>
  <c r="X268" i="9" s="1"/>
  <c r="T268" i="9"/>
  <c r="R269" i="9"/>
  <c r="P270" i="9"/>
  <c r="U270" i="9" s="1"/>
  <c r="V269" i="9" s="1"/>
  <c r="R270" i="9"/>
  <c r="S270" i="9" s="1"/>
  <c r="X270" i="9" s="1"/>
  <c r="T270" i="9"/>
  <c r="R271" i="9"/>
  <c r="P272" i="9"/>
  <c r="U272" i="9" s="1"/>
  <c r="V271" i="9" s="1"/>
  <c r="R272" i="9"/>
  <c r="S272" i="9" s="1"/>
  <c r="X272" i="9" s="1"/>
  <c r="T272" i="9"/>
  <c r="R273" i="9"/>
  <c r="P274" i="9"/>
  <c r="U274" i="9" s="1"/>
  <c r="V273" i="9" s="1"/>
  <c r="R274" i="9"/>
  <c r="S274" i="9" s="1"/>
  <c r="X274" i="9" s="1"/>
  <c r="T274" i="9"/>
  <c r="R275" i="9"/>
  <c r="P276" i="9"/>
  <c r="U276" i="9" s="1"/>
  <c r="V275" i="9" s="1"/>
  <c r="R276" i="9"/>
  <c r="S276" i="9" s="1"/>
  <c r="X276" i="9" s="1"/>
  <c r="T276" i="9"/>
  <c r="R277" i="9"/>
  <c r="P278" i="9"/>
  <c r="U278" i="9" s="1"/>
  <c r="V277" i="9" s="1"/>
  <c r="R278" i="9"/>
  <c r="S278" i="9" s="1"/>
  <c r="X278" i="9" s="1"/>
  <c r="T278" i="9"/>
  <c r="R279" i="9"/>
  <c r="P280" i="9"/>
  <c r="U280" i="9" s="1"/>
  <c r="V279" i="9" s="1"/>
  <c r="R280" i="9"/>
  <c r="S280" i="9" s="1"/>
  <c r="X280" i="9" s="1"/>
  <c r="T280" i="9"/>
  <c r="R281" i="9"/>
  <c r="P282" i="9"/>
  <c r="U282" i="9" s="1"/>
  <c r="V281" i="9" s="1"/>
  <c r="R282" i="9"/>
  <c r="S282" i="9" s="1"/>
  <c r="X282" i="9" s="1"/>
  <c r="T282" i="9"/>
  <c r="R283" i="9"/>
  <c r="P284" i="9"/>
  <c r="U284" i="9" s="1"/>
  <c r="V283" i="9" s="1"/>
  <c r="R284" i="9"/>
  <c r="S284" i="9" s="1"/>
  <c r="X284" i="9" s="1"/>
  <c r="T284" i="9"/>
  <c r="R285" i="9"/>
  <c r="P286" i="9"/>
  <c r="U286" i="9" s="1"/>
  <c r="V285" i="9" s="1"/>
  <c r="R286" i="9"/>
  <c r="S286" i="9" s="1"/>
  <c r="X286" i="9" s="1"/>
  <c r="T286" i="9"/>
  <c r="R287" i="9"/>
  <c r="P288" i="9"/>
  <c r="U288" i="9" s="1"/>
  <c r="V287" i="9" s="1"/>
  <c r="R288" i="9"/>
  <c r="S288" i="9" s="1"/>
  <c r="X288" i="9" s="1"/>
  <c r="T288" i="9"/>
  <c r="R289" i="9"/>
  <c r="P290" i="9"/>
  <c r="U290" i="9" s="1"/>
  <c r="V289" i="9" s="1"/>
  <c r="R290" i="9"/>
  <c r="S290" i="9" s="1"/>
  <c r="X290" i="9" s="1"/>
  <c r="T290" i="9"/>
  <c r="R291" i="9"/>
  <c r="P292" i="9"/>
  <c r="U292" i="9" s="1"/>
  <c r="V291" i="9" s="1"/>
  <c r="R292" i="9"/>
  <c r="S292" i="9" s="1"/>
  <c r="X292" i="9" s="1"/>
  <c r="T292" i="9"/>
  <c r="R293" i="9"/>
  <c r="P294" i="9"/>
  <c r="U294" i="9" s="1"/>
  <c r="V293" i="9" s="1"/>
  <c r="R294" i="9"/>
  <c r="S294" i="9" s="1"/>
  <c r="X294" i="9" s="1"/>
  <c r="T294" i="9"/>
  <c r="R295" i="9"/>
  <c r="P296" i="9"/>
  <c r="U296" i="9" s="1"/>
  <c r="V295" i="9" s="1"/>
  <c r="R296" i="9"/>
  <c r="S296" i="9" s="1"/>
  <c r="X296" i="9" s="1"/>
  <c r="T296" i="9"/>
  <c r="R297" i="9"/>
  <c r="P298" i="9"/>
  <c r="U298" i="9" s="1"/>
  <c r="V297" i="9" s="1"/>
  <c r="R298" i="9"/>
  <c r="S298" i="9" s="1"/>
  <c r="X298" i="9" s="1"/>
  <c r="T298" i="9"/>
  <c r="R299" i="9"/>
  <c r="P300" i="9"/>
  <c r="U300" i="9" s="1"/>
  <c r="V299" i="9" s="1"/>
  <c r="R300" i="9"/>
  <c r="S300" i="9" s="1"/>
  <c r="X300" i="9" s="1"/>
  <c r="T300" i="9"/>
  <c r="R301" i="9"/>
  <c r="P302" i="9"/>
  <c r="U302" i="9" s="1"/>
  <c r="V301" i="9" s="1"/>
  <c r="R302" i="9"/>
  <c r="S302" i="9" s="1"/>
  <c r="X302" i="9" s="1"/>
  <c r="T302" i="9"/>
  <c r="R303" i="9"/>
  <c r="P304" i="9"/>
  <c r="U304" i="9" s="1"/>
  <c r="V303" i="9" s="1"/>
  <c r="R304" i="9"/>
  <c r="S304" i="9" s="1"/>
  <c r="X304" i="9" s="1"/>
  <c r="T304" i="9"/>
  <c r="O5" i="9"/>
  <c r="R5" i="9"/>
  <c r="S5" i="9" s="1"/>
  <c r="X5" i="9" s="1"/>
  <c r="O7" i="9"/>
  <c r="T7" i="9" s="1"/>
  <c r="R7" i="9"/>
  <c r="S7" i="9" s="1"/>
  <c r="X7" i="9" s="1"/>
  <c r="O9" i="9"/>
  <c r="P9" i="9" s="1"/>
  <c r="Q9" i="9" s="1"/>
  <c r="R9" i="9"/>
  <c r="S9" i="9" s="1"/>
  <c r="X9" i="9" s="1"/>
  <c r="O11" i="9"/>
  <c r="P11" i="9" s="1"/>
  <c r="Q11" i="9" s="1"/>
  <c r="R11" i="9"/>
  <c r="S11" i="9" s="1"/>
  <c r="X11" i="9" s="1"/>
  <c r="O15" i="9"/>
  <c r="P15" i="9" s="1"/>
  <c r="Q15" i="9" s="1"/>
  <c r="R15" i="9"/>
  <c r="S15" i="9" s="1"/>
  <c r="X15" i="9" s="1"/>
  <c r="O17" i="9"/>
  <c r="P17" i="9" s="1"/>
  <c r="Q17" i="9" s="1"/>
  <c r="R17" i="9"/>
  <c r="S17" i="9" s="1"/>
  <c r="X17" i="9" s="1"/>
  <c r="O19" i="9"/>
  <c r="P19" i="9" s="1"/>
  <c r="Q19" i="9" s="1"/>
  <c r="R19" i="9"/>
  <c r="S19" i="9" s="1"/>
  <c r="X19" i="9" s="1"/>
  <c r="O21" i="9"/>
  <c r="P21" i="9" s="1"/>
  <c r="Q21" i="9" s="1"/>
  <c r="R21" i="9"/>
  <c r="S21" i="9" s="1"/>
  <c r="X21" i="9" s="1"/>
  <c r="O23" i="9"/>
  <c r="P23" i="9" s="1"/>
  <c r="Q23" i="9" s="1"/>
  <c r="R23" i="9"/>
  <c r="S23" i="9" s="1"/>
  <c r="X23" i="9" s="1"/>
  <c r="O25" i="9"/>
  <c r="P25" i="9" s="1"/>
  <c r="Q25" i="9" s="1"/>
  <c r="R25" i="9"/>
  <c r="S25" i="9" s="1"/>
  <c r="X25" i="9" s="1"/>
  <c r="O27" i="9"/>
  <c r="P27" i="9" s="1"/>
  <c r="Q27" i="9" s="1"/>
  <c r="R27" i="9"/>
  <c r="S27" i="9" s="1"/>
  <c r="X27" i="9" s="1"/>
  <c r="O29" i="9"/>
  <c r="P29" i="9" s="1"/>
  <c r="Q29" i="9" s="1"/>
  <c r="R29" i="9"/>
  <c r="S29" i="9" s="1"/>
  <c r="X29" i="9" s="1"/>
  <c r="O31" i="9"/>
  <c r="R31" i="9"/>
  <c r="S31" i="9" s="1"/>
  <c r="X31" i="9" s="1"/>
  <c r="O33" i="9"/>
  <c r="P33" i="9" s="1"/>
  <c r="Q33" i="9" s="1"/>
  <c r="R33" i="9"/>
  <c r="S33" i="9" s="1"/>
  <c r="X33" i="9" s="1"/>
  <c r="O35" i="9"/>
  <c r="R35" i="9"/>
  <c r="S35" i="9" s="1"/>
  <c r="X35" i="9" s="1"/>
  <c r="O37" i="9"/>
  <c r="P37" i="9" s="1"/>
  <c r="Q37" i="9" s="1"/>
  <c r="R37" i="9"/>
  <c r="S37" i="9" s="1"/>
  <c r="X37" i="9" s="1"/>
  <c r="O39" i="9"/>
  <c r="R39" i="9"/>
  <c r="S39" i="9" s="1"/>
  <c r="X39" i="9" s="1"/>
  <c r="O41" i="9"/>
  <c r="P41" i="9" s="1"/>
  <c r="Q41" i="9" s="1"/>
  <c r="R41" i="9"/>
  <c r="S41" i="9" s="1"/>
  <c r="X41" i="9" s="1"/>
  <c r="O43" i="9"/>
  <c r="P43" i="9" s="1"/>
  <c r="R43" i="9"/>
  <c r="S43" i="9" s="1"/>
  <c r="X43" i="9" s="1"/>
  <c r="O45" i="9"/>
  <c r="P45" i="9" s="1"/>
  <c r="R45" i="9"/>
  <c r="S45" i="9" s="1"/>
  <c r="X45" i="9" s="1"/>
  <c r="O47" i="9"/>
  <c r="P47" i="9" s="1"/>
  <c r="R47" i="9"/>
  <c r="S47" i="9" s="1"/>
  <c r="X47" i="9" s="1"/>
  <c r="R49" i="9"/>
  <c r="S49" i="9" s="1"/>
  <c r="X49" i="9" s="1"/>
  <c r="O49" i="9"/>
  <c r="P49" i="9" s="1"/>
  <c r="Q49" i="9" s="1"/>
  <c r="R51" i="9"/>
  <c r="S51" i="9" s="1"/>
  <c r="X51" i="9" s="1"/>
  <c r="O51" i="9"/>
  <c r="P51" i="9" s="1"/>
  <c r="Q51" i="9" s="1"/>
  <c r="R53" i="9"/>
  <c r="O53" i="9"/>
  <c r="P53" i="9" s="1"/>
  <c r="Q53" i="9" s="1"/>
  <c r="S53" i="9"/>
  <c r="X53" i="9" s="1"/>
  <c r="R55" i="9"/>
  <c r="S55" i="9" s="1"/>
  <c r="X55" i="9" s="1"/>
  <c r="O55" i="9"/>
  <c r="P55" i="9" s="1"/>
  <c r="Q55" i="9" s="1"/>
  <c r="R57" i="9"/>
  <c r="O57" i="9"/>
  <c r="P57" i="9" s="1"/>
  <c r="Q57" i="9" s="1"/>
  <c r="S57" i="9"/>
  <c r="X57" i="9" s="1"/>
  <c r="R59" i="9"/>
  <c r="S59" i="9" s="1"/>
  <c r="X59" i="9" s="1"/>
  <c r="O59" i="9"/>
  <c r="P59" i="9" s="1"/>
  <c r="Q59" i="9" s="1"/>
  <c r="R61" i="9"/>
  <c r="O61" i="9"/>
  <c r="P61" i="9" s="1"/>
  <c r="Q61" i="9" s="1"/>
  <c r="S61" i="9"/>
  <c r="X61" i="9" s="1"/>
  <c r="O63" i="9"/>
  <c r="P63" i="9" s="1"/>
  <c r="Q63" i="9" s="1"/>
  <c r="R63" i="9"/>
  <c r="S63" i="9" s="1"/>
  <c r="X63" i="9" s="1"/>
  <c r="O65" i="9"/>
  <c r="R65" i="9"/>
  <c r="S65" i="9" s="1"/>
  <c r="X65" i="9" s="1"/>
  <c r="T65" i="9"/>
  <c r="O67" i="9"/>
  <c r="P67" i="9" s="1"/>
  <c r="Q67" i="9" s="1"/>
  <c r="R67" i="9"/>
  <c r="S67" i="9" s="1"/>
  <c r="X67" i="9" s="1"/>
  <c r="O69" i="9"/>
  <c r="T69" i="9" s="1"/>
  <c r="R69" i="9"/>
  <c r="S69" i="9" s="1"/>
  <c r="X69" i="9" s="1"/>
  <c r="P69" i="9"/>
  <c r="U69" i="9" s="1"/>
  <c r="O71" i="9"/>
  <c r="P71" i="9" s="1"/>
  <c r="Q71" i="9" s="1"/>
  <c r="R71" i="9"/>
  <c r="S71" i="9" s="1"/>
  <c r="X71" i="9" s="1"/>
  <c r="O73" i="9"/>
  <c r="T73" i="9" s="1"/>
  <c r="R73" i="9"/>
  <c r="S73" i="9" s="1"/>
  <c r="X73" i="9" s="1"/>
  <c r="O75" i="9"/>
  <c r="P75" i="9" s="1"/>
  <c r="Q75" i="9" s="1"/>
  <c r="R75" i="9"/>
  <c r="S75" i="9" s="1"/>
  <c r="X75" i="9" s="1"/>
  <c r="O77" i="9"/>
  <c r="P77" i="9" s="1"/>
  <c r="Q77" i="9" s="1"/>
  <c r="R77" i="9"/>
  <c r="S77" i="9" s="1"/>
  <c r="X77" i="9" s="1"/>
  <c r="O79" i="9"/>
  <c r="R79" i="9"/>
  <c r="S79" i="9" s="1"/>
  <c r="X79" i="9" s="1"/>
  <c r="T79" i="9"/>
  <c r="O81" i="9"/>
  <c r="P81" i="9" s="1"/>
  <c r="Q81" i="9" s="1"/>
  <c r="R81" i="9"/>
  <c r="S81" i="9" s="1"/>
  <c r="X81" i="9" s="1"/>
  <c r="O83" i="9"/>
  <c r="T83" i="9" s="1"/>
  <c r="R83" i="9"/>
  <c r="S83" i="9" s="1"/>
  <c r="X83" i="9" s="1"/>
  <c r="P83" i="9"/>
  <c r="U83" i="9" s="1"/>
  <c r="O85" i="9"/>
  <c r="P85" i="9" s="1"/>
  <c r="Q85" i="9" s="1"/>
  <c r="R85" i="9"/>
  <c r="S85" i="9" s="1"/>
  <c r="X85" i="9" s="1"/>
  <c r="O87" i="9"/>
  <c r="P87" i="9" s="1"/>
  <c r="Q87" i="9" s="1"/>
  <c r="R87" i="9"/>
  <c r="S87" i="9" s="1"/>
  <c r="X87" i="9" s="1"/>
  <c r="O89" i="9"/>
  <c r="R89" i="9"/>
  <c r="S89" i="9" s="1"/>
  <c r="X89" i="9" s="1"/>
  <c r="T89" i="9"/>
  <c r="O91" i="9"/>
  <c r="P91" i="9" s="1"/>
  <c r="Q91" i="9" s="1"/>
  <c r="R91" i="9"/>
  <c r="S91" i="9" s="1"/>
  <c r="X91" i="9" s="1"/>
  <c r="O93" i="9"/>
  <c r="R93" i="9"/>
  <c r="S93" i="9" s="1"/>
  <c r="X93" i="9" s="1"/>
  <c r="O95" i="9"/>
  <c r="R95" i="9"/>
  <c r="S95" i="9" s="1"/>
  <c r="X95" i="9" s="1"/>
  <c r="P95" i="9"/>
  <c r="U95" i="9" s="1"/>
  <c r="V94" i="9" s="1"/>
  <c r="T95" i="9"/>
  <c r="O97" i="9"/>
  <c r="R97" i="9"/>
  <c r="S97" i="9" s="1"/>
  <c r="X97" i="9" s="1"/>
  <c r="T97" i="9"/>
  <c r="O99" i="9"/>
  <c r="P99" i="9" s="1"/>
  <c r="Q99" i="9" s="1"/>
  <c r="R99" i="9"/>
  <c r="S99" i="9" s="1"/>
  <c r="X99" i="9" s="1"/>
  <c r="O101" i="9"/>
  <c r="P101" i="9" s="1"/>
  <c r="Q101" i="9" s="1"/>
  <c r="W101" i="9" s="1"/>
  <c r="R101" i="9"/>
  <c r="S101" i="9" s="1"/>
  <c r="X101" i="9" s="1"/>
  <c r="O103" i="9"/>
  <c r="R103" i="9"/>
  <c r="S103" i="9" s="1"/>
  <c r="X103" i="9" s="1"/>
  <c r="T103" i="9"/>
  <c r="O105" i="9"/>
  <c r="R105" i="9"/>
  <c r="S105" i="9" s="1"/>
  <c r="X105" i="9" s="1"/>
  <c r="O107" i="9"/>
  <c r="R107" i="9"/>
  <c r="S107" i="9" s="1"/>
  <c r="X107" i="9" s="1"/>
  <c r="P107" i="9"/>
  <c r="U107" i="9" s="1"/>
  <c r="V106" i="9" s="1"/>
  <c r="T107" i="9"/>
  <c r="O109" i="9"/>
  <c r="S109" i="9"/>
  <c r="X109" i="9" s="1"/>
  <c r="R109" i="9"/>
  <c r="P109" i="9"/>
  <c r="Q109" i="9" s="1"/>
  <c r="W109" i="9" s="1"/>
  <c r="O111" i="9"/>
  <c r="R111" i="9"/>
  <c r="S111" i="9" s="1"/>
  <c r="X111" i="9" s="1"/>
  <c r="T111" i="9"/>
  <c r="O113" i="9"/>
  <c r="R113" i="9"/>
  <c r="S113" i="9" s="1"/>
  <c r="X113" i="9" s="1"/>
  <c r="O115" i="9"/>
  <c r="T115" i="9" s="1"/>
  <c r="R115" i="9"/>
  <c r="S115" i="9" s="1"/>
  <c r="X115" i="9" s="1"/>
  <c r="P115" i="9"/>
  <c r="U115" i="9" s="1"/>
  <c r="V114" i="9" s="1"/>
  <c r="O117" i="9"/>
  <c r="P117" i="9" s="1"/>
  <c r="Q117" i="9" s="1"/>
  <c r="R117" i="9"/>
  <c r="S117" i="9" s="1"/>
  <c r="X117" i="9" s="1"/>
  <c r="O119" i="9"/>
  <c r="R119" i="9"/>
  <c r="S119" i="9" s="1"/>
  <c r="X119" i="9" s="1"/>
  <c r="T119" i="9"/>
  <c r="O121" i="9"/>
  <c r="R121" i="9"/>
  <c r="S121" i="9" s="1"/>
  <c r="X121" i="9" s="1"/>
  <c r="O123" i="9"/>
  <c r="R123" i="9"/>
  <c r="S123" i="9" s="1"/>
  <c r="X123" i="9" s="1"/>
  <c r="P123" i="9"/>
  <c r="U123" i="9" s="1"/>
  <c r="V122" i="9" s="1"/>
  <c r="T123" i="9"/>
  <c r="O125" i="9"/>
  <c r="S125" i="9"/>
  <c r="X125" i="9" s="1"/>
  <c r="R125" i="9"/>
  <c r="P125" i="9"/>
  <c r="Q125" i="9" s="1"/>
  <c r="W125" i="9" s="1"/>
  <c r="O127" i="9"/>
  <c r="R127" i="9"/>
  <c r="S127" i="9" s="1"/>
  <c r="X127" i="9" s="1"/>
  <c r="T127" i="9"/>
  <c r="O129" i="9"/>
  <c r="R129" i="9"/>
  <c r="S129" i="9" s="1"/>
  <c r="X129" i="9" s="1"/>
  <c r="O131" i="9"/>
  <c r="T131" i="9" s="1"/>
  <c r="R131" i="9"/>
  <c r="S131" i="9" s="1"/>
  <c r="X131" i="9" s="1"/>
  <c r="P131" i="9"/>
  <c r="U131" i="9" s="1"/>
  <c r="V130" i="9" s="1"/>
  <c r="O133" i="9"/>
  <c r="P133" i="9" s="1"/>
  <c r="Q133" i="9" s="1"/>
  <c r="W133" i="9" s="1"/>
  <c r="R133" i="9"/>
  <c r="S133" i="9" s="1"/>
  <c r="X133" i="9" s="1"/>
  <c r="O135" i="9"/>
  <c r="R135" i="9"/>
  <c r="S135" i="9" s="1"/>
  <c r="X135" i="9" s="1"/>
  <c r="T135" i="9"/>
  <c r="O137" i="9"/>
  <c r="R137" i="9"/>
  <c r="S137" i="9" s="1"/>
  <c r="X137" i="9" s="1"/>
  <c r="O139" i="9"/>
  <c r="R139" i="9"/>
  <c r="S139" i="9" s="1"/>
  <c r="X139" i="9" s="1"/>
  <c r="P139" i="9"/>
  <c r="U139" i="9" s="1"/>
  <c r="V138" i="9" s="1"/>
  <c r="T139" i="9"/>
  <c r="O141" i="9"/>
  <c r="S141" i="9"/>
  <c r="X141" i="9" s="1"/>
  <c r="R141" i="9"/>
  <c r="P141" i="9"/>
  <c r="Q141" i="9" s="1"/>
  <c r="W141" i="9" s="1"/>
  <c r="O143" i="9"/>
  <c r="R143" i="9"/>
  <c r="S143" i="9" s="1"/>
  <c r="X143" i="9" s="1"/>
  <c r="T143" i="9"/>
  <c r="O145" i="9"/>
  <c r="R145" i="9"/>
  <c r="S145" i="9" s="1"/>
  <c r="X145" i="9" s="1"/>
  <c r="O147" i="9"/>
  <c r="T147" i="9" s="1"/>
  <c r="R147" i="9"/>
  <c r="S147" i="9" s="1"/>
  <c r="X147" i="9" s="1"/>
  <c r="P147" i="9"/>
  <c r="U147" i="9" s="1"/>
  <c r="V146" i="9" s="1"/>
  <c r="O149" i="9"/>
  <c r="P149" i="9" s="1"/>
  <c r="Q149" i="9" s="1"/>
  <c r="R149" i="9"/>
  <c r="S149" i="9" s="1"/>
  <c r="X149" i="9" s="1"/>
  <c r="O151" i="9"/>
  <c r="R151" i="9"/>
  <c r="S151" i="9" s="1"/>
  <c r="X151" i="9" s="1"/>
  <c r="T151" i="9"/>
  <c r="O153" i="9"/>
  <c r="R153" i="9"/>
  <c r="S153" i="9" s="1"/>
  <c r="X153" i="9" s="1"/>
  <c r="O155" i="9"/>
  <c r="R155" i="9"/>
  <c r="S155" i="9" s="1"/>
  <c r="X155" i="9" s="1"/>
  <c r="P155" i="9"/>
  <c r="U155" i="9" s="1"/>
  <c r="V154" i="9" s="1"/>
  <c r="T155" i="9"/>
  <c r="O157" i="9"/>
  <c r="S157" i="9"/>
  <c r="X157" i="9" s="1"/>
  <c r="R157" i="9"/>
  <c r="P157" i="9"/>
  <c r="Q157" i="9" s="1"/>
  <c r="W157" i="9" s="1"/>
  <c r="O159" i="9"/>
  <c r="R159" i="9"/>
  <c r="S159" i="9" s="1"/>
  <c r="X159" i="9" s="1"/>
  <c r="T159" i="9"/>
  <c r="O161" i="9"/>
  <c r="R161" i="9"/>
  <c r="S161" i="9" s="1"/>
  <c r="X161" i="9" s="1"/>
  <c r="O163" i="9"/>
  <c r="T163" i="9" s="1"/>
  <c r="R163" i="9"/>
  <c r="S163" i="9" s="1"/>
  <c r="X163" i="9" s="1"/>
  <c r="P163" i="9"/>
  <c r="U163" i="9" s="1"/>
  <c r="V162" i="9" s="1"/>
  <c r="O165" i="9"/>
  <c r="P165" i="9" s="1"/>
  <c r="Q165" i="9" s="1"/>
  <c r="W165" i="9" s="1"/>
  <c r="R165" i="9"/>
  <c r="S165" i="9" s="1"/>
  <c r="X165" i="9" s="1"/>
  <c r="O167" i="9"/>
  <c r="R167" i="9"/>
  <c r="S167" i="9" s="1"/>
  <c r="X167" i="9" s="1"/>
  <c r="T167" i="9"/>
  <c r="O169" i="9"/>
  <c r="R169" i="9"/>
  <c r="S169" i="9" s="1"/>
  <c r="X169" i="9" s="1"/>
  <c r="O171" i="9"/>
  <c r="R171" i="9"/>
  <c r="S171" i="9" s="1"/>
  <c r="X171" i="9" s="1"/>
  <c r="P171" i="9"/>
  <c r="U171" i="9" s="1"/>
  <c r="V170" i="9" s="1"/>
  <c r="T171" i="9"/>
  <c r="O173" i="9"/>
  <c r="S173" i="9"/>
  <c r="X173" i="9" s="1"/>
  <c r="R173" i="9"/>
  <c r="P173" i="9"/>
  <c r="Q173" i="9" s="1"/>
  <c r="W173" i="9" s="1"/>
  <c r="O175" i="9"/>
  <c r="R175" i="9"/>
  <c r="S175" i="9" s="1"/>
  <c r="X175" i="9" s="1"/>
  <c r="T175" i="9"/>
  <c r="O177" i="9"/>
  <c r="R177" i="9"/>
  <c r="S177" i="9" s="1"/>
  <c r="X177" i="9" s="1"/>
  <c r="O179" i="9"/>
  <c r="T179" i="9" s="1"/>
  <c r="R179" i="9"/>
  <c r="S179" i="9" s="1"/>
  <c r="X179" i="9" s="1"/>
  <c r="P179" i="9"/>
  <c r="U179" i="9" s="1"/>
  <c r="V178" i="9" s="1"/>
  <c r="O181" i="9"/>
  <c r="P181" i="9" s="1"/>
  <c r="Q181" i="9" s="1"/>
  <c r="R181" i="9"/>
  <c r="S181" i="9" s="1"/>
  <c r="X181" i="9" s="1"/>
  <c r="O183" i="9"/>
  <c r="R183" i="9"/>
  <c r="S183" i="9" s="1"/>
  <c r="X183" i="9" s="1"/>
  <c r="T183" i="9"/>
  <c r="O185" i="9"/>
  <c r="R185" i="9"/>
  <c r="S185" i="9" s="1"/>
  <c r="X185" i="9" s="1"/>
  <c r="R675" i="9"/>
  <c r="R677" i="9"/>
  <c r="R679" i="9"/>
  <c r="R681" i="9"/>
  <c r="R683" i="9"/>
  <c r="R685" i="9"/>
  <c r="X851" i="9"/>
  <c r="X855" i="9"/>
  <c r="D861" i="11"/>
  <c r="F861" i="11" s="1"/>
  <c r="V857" i="9"/>
  <c r="U857" i="9"/>
  <c r="X857" i="9"/>
  <c r="W857" i="9"/>
  <c r="D863" i="11"/>
  <c r="F863" i="11" s="1"/>
  <c r="V859" i="9"/>
  <c r="U859" i="9"/>
  <c r="X859" i="9"/>
  <c r="W859" i="9"/>
  <c r="D865" i="11"/>
  <c r="F865" i="11" s="1"/>
  <c r="V861" i="9"/>
  <c r="U861" i="9"/>
  <c r="X861" i="9"/>
  <c r="W861" i="9"/>
  <c r="D867" i="11"/>
  <c r="F867" i="11" s="1"/>
  <c r="V863" i="9"/>
  <c r="U863" i="9"/>
  <c r="X863" i="9"/>
  <c r="W863" i="9"/>
  <c r="D869" i="11"/>
  <c r="F869" i="11" s="1"/>
  <c r="V865" i="9"/>
  <c r="U865" i="9"/>
  <c r="X865" i="9"/>
  <c r="W865" i="9"/>
  <c r="D871" i="11"/>
  <c r="F871" i="11" s="1"/>
  <c r="V867" i="9"/>
  <c r="U867" i="9"/>
  <c r="X867" i="9"/>
  <c r="W867" i="9"/>
  <c r="D873" i="11"/>
  <c r="F873" i="11" s="1"/>
  <c r="V869" i="9"/>
  <c r="U869" i="9"/>
  <c r="X869" i="9"/>
  <c r="W869" i="9"/>
  <c r="D875" i="11"/>
  <c r="F875" i="11" s="1"/>
  <c r="V871" i="9"/>
  <c r="U871" i="9"/>
  <c r="X871" i="9"/>
  <c r="W871" i="9"/>
  <c r="D877" i="11"/>
  <c r="F877" i="11" s="1"/>
  <c r="V873" i="9"/>
  <c r="U873" i="9"/>
  <c r="X873" i="9"/>
  <c r="W873" i="9"/>
  <c r="D879" i="11"/>
  <c r="F879" i="11" s="1"/>
  <c r="V875" i="9"/>
  <c r="U875" i="9"/>
  <c r="X875" i="9"/>
  <c r="W875" i="9"/>
  <c r="D881" i="11"/>
  <c r="F881" i="11" s="1"/>
  <c r="V877" i="9"/>
  <c r="U877" i="9"/>
  <c r="X877" i="9"/>
  <c r="W877" i="9"/>
  <c r="D883" i="11"/>
  <c r="F883" i="11" s="1"/>
  <c r="V879" i="9"/>
  <c r="U879" i="9"/>
  <c r="X879" i="9"/>
  <c r="W879" i="9"/>
  <c r="D885" i="11"/>
  <c r="F885" i="11" s="1"/>
  <c r="V881" i="9"/>
  <c r="U881" i="9"/>
  <c r="X881" i="9"/>
  <c r="W881" i="9"/>
  <c r="D887" i="11"/>
  <c r="F887" i="11" s="1"/>
  <c r="V883" i="9"/>
  <c r="U883" i="9"/>
  <c r="X883" i="9"/>
  <c r="W883" i="9"/>
  <c r="D889" i="11"/>
  <c r="F889" i="11" s="1"/>
  <c r="V885" i="9"/>
  <c r="U885" i="9"/>
  <c r="X885" i="9"/>
  <c r="W885" i="9"/>
  <c r="D891" i="11"/>
  <c r="F891" i="11" s="1"/>
  <c r="V887" i="9"/>
  <c r="U887" i="9"/>
  <c r="X887" i="9"/>
  <c r="W887" i="9"/>
  <c r="D893" i="11"/>
  <c r="F893" i="11" s="1"/>
  <c r="V889" i="9"/>
  <c r="U889" i="9"/>
  <c r="X889" i="9"/>
  <c r="W889" i="9"/>
  <c r="D895" i="11"/>
  <c r="F895" i="11" s="1"/>
  <c r="V891" i="9"/>
  <c r="U891" i="9"/>
  <c r="X891" i="9"/>
  <c r="W891" i="9"/>
  <c r="D897" i="11"/>
  <c r="F897" i="11" s="1"/>
  <c r="V893" i="9"/>
  <c r="U893" i="9"/>
  <c r="X893" i="9"/>
  <c r="W893" i="9"/>
  <c r="D899" i="11"/>
  <c r="F899" i="11" s="1"/>
  <c r="V895" i="9"/>
  <c r="U895" i="9"/>
  <c r="X895" i="9"/>
  <c r="W895" i="9"/>
  <c r="D901" i="11"/>
  <c r="F901" i="11" s="1"/>
  <c r="V897" i="9"/>
  <c r="U897" i="9"/>
  <c r="X897" i="9"/>
  <c r="W897" i="9"/>
  <c r="D903" i="11"/>
  <c r="F903" i="11" s="1"/>
  <c r="V899" i="9"/>
  <c r="U899" i="9"/>
  <c r="X899" i="9"/>
  <c r="W899" i="9"/>
  <c r="D905" i="11"/>
  <c r="F905" i="11" s="1"/>
  <c r="V901" i="9"/>
  <c r="U901" i="9"/>
  <c r="X901" i="9"/>
  <c r="W901" i="9"/>
  <c r="D907" i="11"/>
  <c r="F907" i="11" s="1"/>
  <c r="V903" i="9"/>
  <c r="U903" i="9"/>
  <c r="X903" i="9"/>
  <c r="W903" i="9"/>
  <c r="D909" i="11"/>
  <c r="F909" i="11" s="1"/>
  <c r="V905" i="9"/>
  <c r="U905" i="9"/>
  <c r="X905" i="9"/>
  <c r="W905" i="9"/>
  <c r="D911" i="11"/>
  <c r="F911" i="11" s="1"/>
  <c r="V907" i="9"/>
  <c r="U907" i="9"/>
  <c r="X907" i="9"/>
  <c r="W907" i="9"/>
  <c r="D913" i="11"/>
  <c r="F913" i="11" s="1"/>
  <c r="V909" i="9"/>
  <c r="U909" i="9"/>
  <c r="X909" i="9"/>
  <c r="W909" i="9"/>
  <c r="D915" i="11"/>
  <c r="F915" i="11" s="1"/>
  <c r="V911" i="9"/>
  <c r="U911" i="9"/>
  <c r="X911" i="9"/>
  <c r="W911" i="9"/>
  <c r="D917" i="11"/>
  <c r="F917" i="11" s="1"/>
  <c r="V913" i="9"/>
  <c r="U913" i="9"/>
  <c r="X913" i="9"/>
  <c r="W913" i="9"/>
  <c r="D919" i="11"/>
  <c r="F919" i="11" s="1"/>
  <c r="V915" i="9"/>
  <c r="U915" i="9"/>
  <c r="X915" i="9"/>
  <c r="W915" i="9"/>
  <c r="D921" i="11"/>
  <c r="F921" i="11" s="1"/>
  <c r="V917" i="9"/>
  <c r="U917" i="9"/>
  <c r="X917" i="9"/>
  <c r="W917" i="9"/>
  <c r="D923" i="11"/>
  <c r="F923" i="11" s="1"/>
  <c r="V919" i="9"/>
  <c r="U919" i="9"/>
  <c r="X919" i="9"/>
  <c r="W919" i="9"/>
  <c r="D984" i="11"/>
  <c r="F984" i="11" s="1"/>
  <c r="V980" i="9"/>
  <c r="U980" i="9"/>
  <c r="X980" i="9"/>
  <c r="W980" i="9"/>
  <c r="D985" i="11"/>
  <c r="F985" i="11" s="1"/>
  <c r="V981" i="9"/>
  <c r="U981" i="9"/>
  <c r="X981" i="9"/>
  <c r="W981" i="9"/>
  <c r="D988" i="11"/>
  <c r="F988" i="11" s="1"/>
  <c r="V984" i="9"/>
  <c r="U984" i="9"/>
  <c r="X984" i="9"/>
  <c r="W984" i="9"/>
  <c r="D989" i="11"/>
  <c r="F989" i="11" s="1"/>
  <c r="V985" i="9"/>
  <c r="U985" i="9"/>
  <c r="X985" i="9"/>
  <c r="W985" i="9"/>
  <c r="D992" i="11"/>
  <c r="F992" i="11" s="1"/>
  <c r="V988" i="9"/>
  <c r="U988" i="9"/>
  <c r="X988" i="9"/>
  <c r="W988" i="9"/>
  <c r="D993" i="11"/>
  <c r="F993" i="11" s="1"/>
  <c r="V989" i="9"/>
  <c r="U989" i="9"/>
  <c r="X989" i="9"/>
  <c r="W989" i="9"/>
  <c r="D996" i="11"/>
  <c r="F996" i="11" s="1"/>
  <c r="V992" i="9"/>
  <c r="U992" i="9"/>
  <c r="X992" i="9"/>
  <c r="W992" i="9"/>
  <c r="D997" i="11"/>
  <c r="F997" i="11" s="1"/>
  <c r="V993" i="9"/>
  <c r="U993" i="9"/>
  <c r="X993" i="9"/>
  <c r="W993" i="9"/>
  <c r="D1000" i="11"/>
  <c r="F1000" i="11" s="1"/>
  <c r="V996" i="9"/>
  <c r="U996" i="9"/>
  <c r="X996" i="9"/>
  <c r="W996" i="9"/>
  <c r="D1001" i="11"/>
  <c r="F1001" i="11" s="1"/>
  <c r="V997" i="9"/>
  <c r="U997" i="9"/>
  <c r="X997" i="9"/>
  <c r="W997" i="9"/>
  <c r="D1004" i="11"/>
  <c r="F1004" i="11" s="1"/>
  <c r="V1000" i="9"/>
  <c r="U1000" i="9"/>
  <c r="X1000" i="9"/>
  <c r="W1000" i="9"/>
  <c r="D1005" i="11"/>
  <c r="F1005" i="11" s="1"/>
  <c r="V1001" i="9"/>
  <c r="U1001" i="9"/>
  <c r="X1001" i="9"/>
  <c r="W1001" i="9"/>
  <c r="T1003" i="9"/>
  <c r="R1003" i="9"/>
  <c r="P1003" i="9"/>
  <c r="T1002" i="9"/>
  <c r="R1002" i="9"/>
  <c r="P1002" i="9"/>
  <c r="T1001" i="9"/>
  <c r="R1001" i="9"/>
  <c r="P1001" i="9"/>
  <c r="T1000" i="9"/>
  <c r="R1000" i="9"/>
  <c r="P1000" i="9"/>
  <c r="T999" i="9"/>
  <c r="R999" i="9"/>
  <c r="P999" i="9"/>
  <c r="T998" i="9"/>
  <c r="R998" i="9"/>
  <c r="P998" i="9"/>
  <c r="T997" i="9"/>
  <c r="R997" i="9"/>
  <c r="P997" i="9"/>
  <c r="T996" i="9"/>
  <c r="R996" i="9"/>
  <c r="P996" i="9"/>
  <c r="T995" i="9"/>
  <c r="R995" i="9"/>
  <c r="P995" i="9"/>
  <c r="T994" i="9"/>
  <c r="R994" i="9"/>
  <c r="P994" i="9"/>
  <c r="T993" i="9"/>
  <c r="R993" i="9"/>
  <c r="P993" i="9"/>
  <c r="T992" i="9"/>
  <c r="R992" i="9"/>
  <c r="P992" i="9"/>
  <c r="T991" i="9"/>
  <c r="R991" i="9"/>
  <c r="P991" i="9"/>
  <c r="T990" i="9"/>
  <c r="R990" i="9"/>
  <c r="P990" i="9"/>
  <c r="T989" i="9"/>
  <c r="R989" i="9"/>
  <c r="P989" i="9"/>
  <c r="T988" i="9"/>
  <c r="R988" i="9"/>
  <c r="P988" i="9"/>
  <c r="T987" i="9"/>
  <c r="R987" i="9"/>
  <c r="P987" i="9"/>
  <c r="T986" i="9"/>
  <c r="R986" i="9"/>
  <c r="P986" i="9"/>
  <c r="T985" i="9"/>
  <c r="R985" i="9"/>
  <c r="P985" i="9"/>
  <c r="T984" i="9"/>
  <c r="R984" i="9"/>
  <c r="P984" i="9"/>
  <c r="T983" i="9"/>
  <c r="R983" i="9"/>
  <c r="P983" i="9"/>
  <c r="T982" i="9"/>
  <c r="R982" i="9"/>
  <c r="P982" i="9"/>
  <c r="T981" i="9"/>
  <c r="R981" i="9"/>
  <c r="P981" i="9"/>
  <c r="T980" i="9"/>
  <c r="R980" i="9"/>
  <c r="P980" i="9"/>
  <c r="T979" i="9"/>
  <c r="R979" i="9"/>
  <c r="P979" i="9"/>
  <c r="T978" i="9"/>
  <c r="R978" i="9"/>
  <c r="P978" i="9"/>
  <c r="T977" i="9"/>
  <c r="R977" i="9"/>
  <c r="P977" i="9"/>
  <c r="T976" i="9"/>
  <c r="R976" i="9"/>
  <c r="P976" i="9"/>
  <c r="T975" i="9"/>
  <c r="R975" i="9"/>
  <c r="P975" i="9"/>
  <c r="T974" i="9"/>
  <c r="R974" i="9"/>
  <c r="P974" i="9"/>
  <c r="T973" i="9"/>
  <c r="R973" i="9"/>
  <c r="P973" i="9"/>
  <c r="T972" i="9"/>
  <c r="R972" i="9"/>
  <c r="P972" i="9"/>
  <c r="T971" i="9"/>
  <c r="R971" i="9"/>
  <c r="P971" i="9"/>
  <c r="T970" i="9"/>
  <c r="R970" i="9"/>
  <c r="P970" i="9"/>
  <c r="T969" i="9"/>
  <c r="R969" i="9"/>
  <c r="P969" i="9"/>
  <c r="T968" i="9"/>
  <c r="R968" i="9"/>
  <c r="P968" i="9"/>
  <c r="T967" i="9"/>
  <c r="R967" i="9"/>
  <c r="P967" i="9"/>
  <c r="T966" i="9"/>
  <c r="R966" i="9"/>
  <c r="P966" i="9"/>
  <c r="T965" i="9"/>
  <c r="R965" i="9"/>
  <c r="P965" i="9"/>
  <c r="T964" i="9"/>
  <c r="R964" i="9"/>
  <c r="P964" i="9"/>
  <c r="T963" i="9"/>
  <c r="R963" i="9"/>
  <c r="P963" i="9"/>
  <c r="T962" i="9"/>
  <c r="R962" i="9"/>
  <c r="P962" i="9"/>
  <c r="T961" i="9"/>
  <c r="R961" i="9"/>
  <c r="P961" i="9"/>
  <c r="T960" i="9"/>
  <c r="R960" i="9"/>
  <c r="P960" i="9"/>
  <c r="T959" i="9"/>
  <c r="R959" i="9"/>
  <c r="P959" i="9"/>
  <c r="T958" i="9"/>
  <c r="R958" i="9"/>
  <c r="P958" i="9"/>
  <c r="T957" i="9"/>
  <c r="R957" i="9"/>
  <c r="P957" i="9"/>
  <c r="T956" i="9"/>
  <c r="R956" i="9"/>
  <c r="P956" i="9"/>
  <c r="T955" i="9"/>
  <c r="R955" i="9"/>
  <c r="P955" i="9"/>
  <c r="T954" i="9"/>
  <c r="R954" i="9"/>
  <c r="P954" i="9"/>
  <c r="T953" i="9"/>
  <c r="R953" i="9"/>
  <c r="P953" i="9"/>
  <c r="T952" i="9"/>
  <c r="R952" i="9"/>
  <c r="P952" i="9"/>
  <c r="T951" i="9"/>
  <c r="R951" i="9"/>
  <c r="P951" i="9"/>
  <c r="T950" i="9"/>
  <c r="R950" i="9"/>
  <c r="P950" i="9"/>
  <c r="T949" i="9"/>
  <c r="R949" i="9"/>
  <c r="P949" i="9"/>
  <c r="T948" i="9"/>
  <c r="R948" i="9"/>
  <c r="P948" i="9"/>
  <c r="T947" i="9"/>
  <c r="R947" i="9"/>
  <c r="P947" i="9"/>
  <c r="T946" i="9"/>
  <c r="R946" i="9"/>
  <c r="P946" i="9"/>
  <c r="T945" i="9"/>
  <c r="R945" i="9"/>
  <c r="P945" i="9"/>
  <c r="T944" i="9"/>
  <c r="R944" i="9"/>
  <c r="P944" i="9"/>
  <c r="T943" i="9"/>
  <c r="R943" i="9"/>
  <c r="P943" i="9"/>
  <c r="T942" i="9"/>
  <c r="R942" i="9"/>
  <c r="P942" i="9"/>
  <c r="T941" i="9"/>
  <c r="R941" i="9"/>
  <c r="P941" i="9"/>
  <c r="T940" i="9"/>
  <c r="R940" i="9"/>
  <c r="P940" i="9"/>
  <c r="T939" i="9"/>
  <c r="R939" i="9"/>
  <c r="P939" i="9"/>
  <c r="T938" i="9"/>
  <c r="R938" i="9"/>
  <c r="P938" i="9"/>
  <c r="T937" i="9"/>
  <c r="R937" i="9"/>
  <c r="P937" i="9"/>
  <c r="T936" i="9"/>
  <c r="R936" i="9"/>
  <c r="P936" i="9"/>
  <c r="T935" i="9"/>
  <c r="R935" i="9"/>
  <c r="P935" i="9"/>
  <c r="T934" i="9"/>
  <c r="R934" i="9"/>
  <c r="P934" i="9"/>
  <c r="T933" i="9"/>
  <c r="R933" i="9"/>
  <c r="P933" i="9"/>
  <c r="T932" i="9"/>
  <c r="R932" i="9"/>
  <c r="P932" i="9"/>
  <c r="T931" i="9"/>
  <c r="R931" i="9"/>
  <c r="P931" i="9"/>
  <c r="T930" i="9"/>
  <c r="R930" i="9"/>
  <c r="P930" i="9"/>
  <c r="T929" i="9"/>
  <c r="R929" i="9"/>
  <c r="P929" i="9"/>
  <c r="T928" i="9"/>
  <c r="R928" i="9"/>
  <c r="P928" i="9"/>
  <c r="T927" i="9"/>
  <c r="R927" i="9"/>
  <c r="P927" i="9"/>
  <c r="T926" i="9"/>
  <c r="R926" i="9"/>
  <c r="P926" i="9"/>
  <c r="T925" i="9"/>
  <c r="R925" i="9"/>
  <c r="P925" i="9"/>
  <c r="T924" i="9"/>
  <c r="R924" i="9"/>
  <c r="P924" i="9"/>
  <c r="T923" i="9"/>
  <c r="R923" i="9"/>
  <c r="P923" i="9"/>
  <c r="T922" i="9"/>
  <c r="R922" i="9"/>
  <c r="P922" i="9"/>
  <c r="T921" i="9"/>
  <c r="R921" i="9"/>
  <c r="P921" i="9"/>
  <c r="T920" i="9"/>
  <c r="R920" i="9"/>
  <c r="P920" i="9"/>
  <c r="T919" i="9"/>
  <c r="R919" i="9"/>
  <c r="P919" i="9"/>
  <c r="T918" i="9"/>
  <c r="R918" i="9"/>
  <c r="P918" i="9"/>
  <c r="T917" i="9"/>
  <c r="R917" i="9"/>
  <c r="P917" i="9"/>
  <c r="T916" i="9"/>
  <c r="R916" i="9"/>
  <c r="P916" i="9"/>
  <c r="T915" i="9"/>
  <c r="R915" i="9"/>
  <c r="P915" i="9"/>
  <c r="T914" i="9"/>
  <c r="R914" i="9"/>
  <c r="P914" i="9"/>
  <c r="T913" i="9"/>
  <c r="R913" i="9"/>
  <c r="P913" i="9"/>
  <c r="T912" i="9"/>
  <c r="R912" i="9"/>
  <c r="P912" i="9"/>
  <c r="T911" i="9"/>
  <c r="R911" i="9"/>
  <c r="P911" i="9"/>
  <c r="T910" i="9"/>
  <c r="R910" i="9"/>
  <c r="P910" i="9"/>
  <c r="T909" i="9"/>
  <c r="R909" i="9"/>
  <c r="P909" i="9"/>
  <c r="T908" i="9"/>
  <c r="R908" i="9"/>
  <c r="P908" i="9"/>
  <c r="T907" i="9"/>
  <c r="R907" i="9"/>
  <c r="P907" i="9"/>
  <c r="T906" i="9"/>
  <c r="R906" i="9"/>
  <c r="P906" i="9"/>
  <c r="T905" i="9"/>
  <c r="R905" i="9"/>
  <c r="P905" i="9"/>
  <c r="T904" i="9"/>
  <c r="R904" i="9"/>
  <c r="P904" i="9"/>
  <c r="T903" i="9"/>
  <c r="R903" i="9"/>
  <c r="P903" i="9"/>
  <c r="T902" i="9"/>
  <c r="R902" i="9"/>
  <c r="P902" i="9"/>
  <c r="T901" i="9"/>
  <c r="R901" i="9"/>
  <c r="P901" i="9"/>
  <c r="T900" i="9"/>
  <c r="R900" i="9"/>
  <c r="P900" i="9"/>
  <c r="T899" i="9"/>
  <c r="R899" i="9"/>
  <c r="P899" i="9"/>
  <c r="T898" i="9"/>
  <c r="R898" i="9"/>
  <c r="P898" i="9"/>
  <c r="T897" i="9"/>
  <c r="R897" i="9"/>
  <c r="P897" i="9"/>
  <c r="T896" i="9"/>
  <c r="R896" i="9"/>
  <c r="P896" i="9"/>
  <c r="T895" i="9"/>
  <c r="R895" i="9"/>
  <c r="P895" i="9"/>
  <c r="T894" i="9"/>
  <c r="R894" i="9"/>
  <c r="P894" i="9"/>
  <c r="T893" i="9"/>
  <c r="R893" i="9"/>
  <c r="P893" i="9"/>
  <c r="T892" i="9"/>
  <c r="R892" i="9"/>
  <c r="P892" i="9"/>
  <c r="T891" i="9"/>
  <c r="R891" i="9"/>
  <c r="P891" i="9"/>
  <c r="T890" i="9"/>
  <c r="R890" i="9"/>
  <c r="P890" i="9"/>
  <c r="T889" i="9"/>
  <c r="R889" i="9"/>
  <c r="P889" i="9"/>
  <c r="T888" i="9"/>
  <c r="R888" i="9"/>
  <c r="P888" i="9"/>
  <c r="T887" i="9"/>
  <c r="R887" i="9"/>
  <c r="P887" i="9"/>
  <c r="T886" i="9"/>
  <c r="R886" i="9"/>
  <c r="P886" i="9"/>
  <c r="T885" i="9"/>
  <c r="R885" i="9"/>
  <c r="P885" i="9"/>
  <c r="T884" i="9"/>
  <c r="R884" i="9"/>
  <c r="P884" i="9"/>
  <c r="T883" i="9"/>
  <c r="R883" i="9"/>
  <c r="P883" i="9"/>
  <c r="T882" i="9"/>
  <c r="R882" i="9"/>
  <c r="P882" i="9"/>
  <c r="T881" i="9"/>
  <c r="R881" i="9"/>
  <c r="P881" i="9"/>
  <c r="T880" i="9"/>
  <c r="R880" i="9"/>
  <c r="P880" i="9"/>
  <c r="T879" i="9"/>
  <c r="R879" i="9"/>
  <c r="P879" i="9"/>
  <c r="T878" i="9"/>
  <c r="R878" i="9"/>
  <c r="P878" i="9"/>
  <c r="T877" i="9"/>
  <c r="R877" i="9"/>
  <c r="P877" i="9"/>
  <c r="T876" i="9"/>
  <c r="R876" i="9"/>
  <c r="P876" i="9"/>
  <c r="T875" i="9"/>
  <c r="R875" i="9"/>
  <c r="P875" i="9"/>
  <c r="T874" i="9"/>
  <c r="R874" i="9"/>
  <c r="P874" i="9"/>
  <c r="T873" i="9"/>
  <c r="R873" i="9"/>
  <c r="P873" i="9"/>
  <c r="T872" i="9"/>
  <c r="R872" i="9"/>
  <c r="P872" i="9"/>
  <c r="T871" i="9"/>
  <c r="R871" i="9"/>
  <c r="P871" i="9"/>
  <c r="T870" i="9"/>
  <c r="R870" i="9"/>
  <c r="P870" i="9"/>
  <c r="T869" i="9"/>
  <c r="R869" i="9"/>
  <c r="P869" i="9"/>
  <c r="T868" i="9"/>
  <c r="R868" i="9"/>
  <c r="P868" i="9"/>
  <c r="T867" i="9"/>
  <c r="R867" i="9"/>
  <c r="P867" i="9"/>
  <c r="T866" i="9"/>
  <c r="R866" i="9"/>
  <c r="P866" i="9"/>
  <c r="T865" i="9"/>
  <c r="R865" i="9"/>
  <c r="P865" i="9"/>
  <c r="T864" i="9"/>
  <c r="R864" i="9"/>
  <c r="P864" i="9"/>
  <c r="T863" i="9"/>
  <c r="R863" i="9"/>
  <c r="P863" i="9"/>
  <c r="T862" i="9"/>
  <c r="R862" i="9"/>
  <c r="P862" i="9"/>
  <c r="T861" i="9"/>
  <c r="R861" i="9"/>
  <c r="P861" i="9"/>
  <c r="T860" i="9"/>
  <c r="R860" i="9"/>
  <c r="P860" i="9"/>
  <c r="T859" i="9"/>
  <c r="R859" i="9"/>
  <c r="P859" i="9"/>
  <c r="T858" i="9"/>
  <c r="R858" i="9"/>
  <c r="P858" i="9"/>
  <c r="T857" i="9"/>
  <c r="R857" i="9"/>
  <c r="P857" i="9"/>
  <c r="T856" i="9"/>
  <c r="R856" i="9"/>
  <c r="P856" i="9"/>
  <c r="T855" i="9"/>
  <c r="R855" i="9"/>
  <c r="S855" i="9" s="1"/>
  <c r="P855" i="9"/>
  <c r="U855" i="9" s="1"/>
  <c r="T854" i="9"/>
  <c r="R854" i="9"/>
  <c r="S854" i="9" s="1"/>
  <c r="X854" i="9" s="1"/>
  <c r="P854" i="9"/>
  <c r="Q854" i="9" s="1"/>
  <c r="T853" i="9"/>
  <c r="R853" i="9"/>
  <c r="S853" i="9" s="1"/>
  <c r="X853" i="9" s="1"/>
  <c r="P853" i="9"/>
  <c r="Q853" i="9" s="1"/>
  <c r="W853" i="9" s="1"/>
  <c r="T852" i="9"/>
  <c r="R852" i="9"/>
  <c r="S852" i="9" s="1"/>
  <c r="X852" i="9" s="1"/>
  <c r="P852" i="9"/>
  <c r="Q852" i="9" s="1"/>
  <c r="T851" i="9"/>
  <c r="R851" i="9"/>
  <c r="S851" i="9" s="1"/>
  <c r="P851" i="9"/>
  <c r="Q851" i="9" s="1"/>
  <c r="W851" i="9" s="1"/>
  <c r="T850" i="9"/>
  <c r="R850" i="9"/>
  <c r="S850" i="9" s="1"/>
  <c r="X850" i="9" s="1"/>
  <c r="P850" i="9"/>
  <c r="Q850" i="9" s="1"/>
  <c r="T849" i="9"/>
  <c r="R849" i="9"/>
  <c r="S849" i="9" s="1"/>
  <c r="X849" i="9" s="1"/>
  <c r="P849" i="9"/>
  <c r="Q849" i="9" s="1"/>
  <c r="W849" i="9" s="1"/>
  <c r="T848" i="9"/>
  <c r="R848" i="9"/>
  <c r="S848" i="9" s="1"/>
  <c r="X848" i="9" s="1"/>
  <c r="P848" i="9"/>
  <c r="Q848" i="9" s="1"/>
  <c r="T847" i="9"/>
  <c r="R847" i="9"/>
  <c r="S847" i="9" s="1"/>
  <c r="X847" i="9" s="1"/>
  <c r="P847" i="9"/>
  <c r="Q847" i="9" s="1"/>
  <c r="W847" i="9" s="1"/>
  <c r="T846" i="9"/>
  <c r="R846" i="9"/>
  <c r="S846" i="9" s="1"/>
  <c r="X846" i="9" s="1"/>
  <c r="P846" i="9"/>
  <c r="Q846" i="9" s="1"/>
  <c r="T845" i="9"/>
  <c r="R845" i="9"/>
  <c r="S845" i="9" s="1"/>
  <c r="X845" i="9" s="1"/>
  <c r="P845" i="9"/>
  <c r="Q845" i="9" s="1"/>
  <c r="W845" i="9" s="1"/>
  <c r="T844" i="9"/>
  <c r="R844" i="9"/>
  <c r="S844" i="9" s="1"/>
  <c r="X844" i="9" s="1"/>
  <c r="P844" i="9"/>
  <c r="Q844" i="9" s="1"/>
  <c r="T843" i="9"/>
  <c r="R843" i="9"/>
  <c r="S843" i="9" s="1"/>
  <c r="X843" i="9" s="1"/>
  <c r="P843" i="9"/>
  <c r="Q843" i="9" s="1"/>
  <c r="W843" i="9" s="1"/>
  <c r="T842" i="9"/>
  <c r="R842" i="9"/>
  <c r="S842" i="9" s="1"/>
  <c r="X842" i="9" s="1"/>
  <c r="P842" i="9"/>
  <c r="Q842" i="9" s="1"/>
  <c r="T841" i="9"/>
  <c r="R841" i="9"/>
  <c r="S841" i="9" s="1"/>
  <c r="X841" i="9" s="1"/>
  <c r="P841" i="9"/>
  <c r="Q841" i="9" s="1"/>
  <c r="W841" i="9" s="1"/>
  <c r="T840" i="9"/>
  <c r="R840" i="9"/>
  <c r="S840" i="9" s="1"/>
  <c r="X840" i="9" s="1"/>
  <c r="P840" i="9"/>
  <c r="Q840" i="9" s="1"/>
  <c r="T839" i="9"/>
  <c r="R839" i="9"/>
  <c r="S839" i="9" s="1"/>
  <c r="X839" i="9" s="1"/>
  <c r="P839" i="9"/>
  <c r="Q839" i="9" s="1"/>
  <c r="W839" i="9" s="1"/>
  <c r="T838" i="9"/>
  <c r="R838" i="9"/>
  <c r="S838" i="9" s="1"/>
  <c r="X838" i="9" s="1"/>
  <c r="P838" i="9"/>
  <c r="Q838" i="9" s="1"/>
  <c r="T837" i="9"/>
  <c r="R837" i="9"/>
  <c r="S837" i="9" s="1"/>
  <c r="X837" i="9" s="1"/>
  <c r="P837" i="9"/>
  <c r="Q837" i="9" s="1"/>
  <c r="W837" i="9" s="1"/>
  <c r="T836" i="9"/>
  <c r="R836" i="9"/>
  <c r="S836" i="9" s="1"/>
  <c r="X836" i="9" s="1"/>
  <c r="P836" i="9"/>
  <c r="Q836" i="9" s="1"/>
  <c r="T835" i="9"/>
  <c r="R835" i="9"/>
  <c r="S835" i="9" s="1"/>
  <c r="X835" i="9" s="1"/>
  <c r="P835" i="9"/>
  <c r="Q835" i="9" s="1"/>
  <c r="W835" i="9" s="1"/>
  <c r="T834" i="9"/>
  <c r="R834" i="9"/>
  <c r="S834" i="9" s="1"/>
  <c r="X834" i="9" s="1"/>
  <c r="P834" i="9"/>
  <c r="Q834" i="9" s="1"/>
  <c r="T833" i="9"/>
  <c r="R833" i="9"/>
  <c r="S833" i="9" s="1"/>
  <c r="X833" i="9" s="1"/>
  <c r="P833" i="9"/>
  <c r="Q833" i="9" s="1"/>
  <c r="W833" i="9" s="1"/>
  <c r="T832" i="9"/>
  <c r="R832" i="9"/>
  <c r="S832" i="9" s="1"/>
  <c r="X832" i="9" s="1"/>
  <c r="P832" i="9"/>
  <c r="Q832" i="9" s="1"/>
  <c r="T831" i="9"/>
  <c r="R831" i="9"/>
  <c r="S831" i="9" s="1"/>
  <c r="X831" i="9" s="1"/>
  <c r="P831" i="9"/>
  <c r="Q831" i="9" s="1"/>
  <c r="W831" i="9" s="1"/>
  <c r="T830" i="9"/>
  <c r="R830" i="9"/>
  <c r="S830" i="9" s="1"/>
  <c r="X830" i="9" s="1"/>
  <c r="P830" i="9"/>
  <c r="Q830" i="9" s="1"/>
  <c r="T829" i="9"/>
  <c r="R829" i="9"/>
  <c r="S829" i="9" s="1"/>
  <c r="X829" i="9" s="1"/>
  <c r="P829" i="9"/>
  <c r="Q829" i="9" s="1"/>
  <c r="W829" i="9" s="1"/>
  <c r="T828" i="9"/>
  <c r="R828" i="9"/>
  <c r="S828" i="9" s="1"/>
  <c r="X828" i="9" s="1"/>
  <c r="P828" i="9"/>
  <c r="Q828" i="9" s="1"/>
  <c r="T827" i="9"/>
  <c r="R827" i="9"/>
  <c r="S827" i="9" s="1"/>
  <c r="X827" i="9" s="1"/>
  <c r="P827" i="9"/>
  <c r="Q827" i="9" s="1"/>
  <c r="W827" i="9" s="1"/>
  <c r="T826" i="9"/>
  <c r="R826" i="9"/>
  <c r="S826" i="9" s="1"/>
  <c r="X826" i="9" s="1"/>
  <c r="P826" i="9"/>
  <c r="Q826" i="9" s="1"/>
  <c r="T825" i="9"/>
  <c r="R825" i="9"/>
  <c r="S825" i="9" s="1"/>
  <c r="X825" i="9" s="1"/>
  <c r="P825" i="9"/>
  <c r="Q825" i="9" s="1"/>
  <c r="W825" i="9" s="1"/>
  <c r="T824" i="9"/>
  <c r="R824" i="9"/>
  <c r="S824" i="9" s="1"/>
  <c r="X824" i="9" s="1"/>
  <c r="P824" i="9"/>
  <c r="Q824" i="9" s="1"/>
  <c r="T823" i="9"/>
  <c r="R823" i="9"/>
  <c r="S823" i="9" s="1"/>
  <c r="X823" i="9" s="1"/>
  <c r="P823" i="9"/>
  <c r="Q823" i="9" s="1"/>
  <c r="W823" i="9" s="1"/>
  <c r="T822" i="9"/>
  <c r="R822" i="9"/>
  <c r="S822" i="9" s="1"/>
  <c r="X822" i="9" s="1"/>
  <c r="P822" i="9"/>
  <c r="Q822" i="9" s="1"/>
  <c r="T821" i="9"/>
  <c r="R821" i="9"/>
  <c r="S821" i="9" s="1"/>
  <c r="X821" i="9" s="1"/>
  <c r="P821" i="9"/>
  <c r="Q821" i="9" s="1"/>
  <c r="W821" i="9" s="1"/>
  <c r="T820" i="9"/>
  <c r="R820" i="9"/>
  <c r="S820" i="9" s="1"/>
  <c r="X820" i="9" s="1"/>
  <c r="P820" i="9"/>
  <c r="Q820" i="9" s="1"/>
  <c r="T819" i="9"/>
  <c r="R819" i="9"/>
  <c r="S819" i="9" s="1"/>
  <c r="X819" i="9" s="1"/>
  <c r="P819" i="9"/>
  <c r="Q819" i="9" s="1"/>
  <c r="W819" i="9" s="1"/>
  <c r="T818" i="9"/>
  <c r="R818" i="9"/>
  <c r="S818" i="9" s="1"/>
  <c r="X818" i="9" s="1"/>
  <c r="P818" i="9"/>
  <c r="Q818" i="9" s="1"/>
  <c r="T817" i="9"/>
  <c r="R817" i="9"/>
  <c r="S817" i="9" s="1"/>
  <c r="X817" i="9" s="1"/>
  <c r="P817" i="9"/>
  <c r="Q817" i="9" s="1"/>
  <c r="W817" i="9" s="1"/>
  <c r="T816" i="9"/>
  <c r="R816" i="9"/>
  <c r="S816" i="9" s="1"/>
  <c r="X816" i="9" s="1"/>
  <c r="P816" i="9"/>
  <c r="Q816" i="9" s="1"/>
  <c r="T815" i="9"/>
  <c r="R815" i="9"/>
  <c r="S815" i="9" s="1"/>
  <c r="X815" i="9" s="1"/>
  <c r="P815" i="9"/>
  <c r="Q815" i="9" s="1"/>
  <c r="W815" i="9" s="1"/>
  <c r="T814" i="9"/>
  <c r="R814" i="9"/>
  <c r="S814" i="9" s="1"/>
  <c r="X814" i="9" s="1"/>
  <c r="P814" i="9"/>
  <c r="Q814" i="9" s="1"/>
  <c r="T813" i="9"/>
  <c r="R813" i="9"/>
  <c r="S813" i="9" s="1"/>
  <c r="X813" i="9" s="1"/>
  <c r="P813" i="9"/>
  <c r="Q813" i="9" s="1"/>
  <c r="W813" i="9" s="1"/>
  <c r="T812" i="9"/>
  <c r="R812" i="9"/>
  <c r="S812" i="9" s="1"/>
  <c r="X812" i="9" s="1"/>
  <c r="P812" i="9"/>
  <c r="Q812" i="9" s="1"/>
  <c r="T811" i="9"/>
  <c r="R811" i="9"/>
  <c r="S811" i="9" s="1"/>
  <c r="X811" i="9" s="1"/>
  <c r="P811" i="9"/>
  <c r="Q811" i="9" s="1"/>
  <c r="W811" i="9" s="1"/>
  <c r="T810" i="9"/>
  <c r="R810" i="9"/>
  <c r="S810" i="9" s="1"/>
  <c r="X810" i="9" s="1"/>
  <c r="P810" i="9"/>
  <c r="Q810" i="9" s="1"/>
  <c r="T809" i="9"/>
  <c r="R809" i="9"/>
  <c r="S809" i="9" s="1"/>
  <c r="X809" i="9" s="1"/>
  <c r="P809" i="9"/>
  <c r="Q809" i="9" s="1"/>
  <c r="W809" i="9" s="1"/>
  <c r="T808" i="9"/>
  <c r="R808" i="9"/>
  <c r="S808" i="9" s="1"/>
  <c r="X808" i="9" s="1"/>
  <c r="P808" i="9"/>
  <c r="Q808" i="9" s="1"/>
  <c r="T807" i="9"/>
  <c r="R807" i="9"/>
  <c r="S807" i="9" s="1"/>
  <c r="X807" i="9" s="1"/>
  <c r="P807" i="9"/>
  <c r="Q807" i="9" s="1"/>
  <c r="W807" i="9" s="1"/>
  <c r="T806" i="9"/>
  <c r="R806" i="9"/>
  <c r="S806" i="9" s="1"/>
  <c r="X806" i="9" s="1"/>
  <c r="P806" i="9"/>
  <c r="Q806" i="9" s="1"/>
  <c r="T805" i="9"/>
  <c r="R805" i="9"/>
  <c r="S805" i="9" s="1"/>
  <c r="X805" i="9" s="1"/>
  <c r="P805" i="9"/>
  <c r="Q805" i="9" s="1"/>
  <c r="W805" i="9" s="1"/>
  <c r="T804" i="9"/>
  <c r="R804" i="9"/>
  <c r="S804" i="9" s="1"/>
  <c r="X804" i="9" s="1"/>
  <c r="P804" i="9"/>
  <c r="Q804" i="9" s="1"/>
  <c r="T803" i="9"/>
  <c r="R803" i="9"/>
  <c r="S803" i="9" s="1"/>
  <c r="X803" i="9" s="1"/>
  <c r="P803" i="9"/>
  <c r="Q803" i="9" s="1"/>
  <c r="W803" i="9" s="1"/>
  <c r="T802" i="9"/>
  <c r="R802" i="9"/>
  <c r="S802" i="9" s="1"/>
  <c r="X802" i="9" s="1"/>
  <c r="P802" i="9"/>
  <c r="Q802" i="9" s="1"/>
  <c r="T801" i="9"/>
  <c r="R801" i="9"/>
  <c r="S801" i="9" s="1"/>
  <c r="X801" i="9" s="1"/>
  <c r="P801" i="9"/>
  <c r="Q801" i="9" s="1"/>
  <c r="W801" i="9" s="1"/>
  <c r="T800" i="9"/>
  <c r="R800" i="9"/>
  <c r="S800" i="9" s="1"/>
  <c r="X800" i="9" s="1"/>
  <c r="P800" i="9"/>
  <c r="Q800" i="9" s="1"/>
  <c r="T799" i="9"/>
  <c r="R799" i="9"/>
  <c r="S799" i="9" s="1"/>
  <c r="X799" i="9" s="1"/>
  <c r="P799" i="9"/>
  <c r="Q799" i="9" s="1"/>
  <c r="W799" i="9" s="1"/>
  <c r="T798" i="9"/>
  <c r="R798" i="9"/>
  <c r="S798" i="9" s="1"/>
  <c r="X798" i="9" s="1"/>
  <c r="P798" i="9"/>
  <c r="Q798" i="9" s="1"/>
  <c r="T797" i="9"/>
  <c r="R797" i="9"/>
  <c r="S797" i="9" s="1"/>
  <c r="X797" i="9" s="1"/>
  <c r="P797" i="9"/>
  <c r="Q797" i="9" s="1"/>
  <c r="W797" i="9" s="1"/>
  <c r="T796" i="9"/>
  <c r="R796" i="9"/>
  <c r="S796" i="9" s="1"/>
  <c r="X796" i="9" s="1"/>
  <c r="P796" i="9"/>
  <c r="Q796" i="9" s="1"/>
  <c r="T795" i="9"/>
  <c r="R795" i="9"/>
  <c r="S795" i="9" s="1"/>
  <c r="X795" i="9" s="1"/>
  <c r="P795" i="9"/>
  <c r="Q795" i="9" s="1"/>
  <c r="W795" i="9" s="1"/>
  <c r="T794" i="9"/>
  <c r="R794" i="9"/>
  <c r="S794" i="9" s="1"/>
  <c r="X794" i="9" s="1"/>
  <c r="P794" i="9"/>
  <c r="Q794" i="9" s="1"/>
  <c r="T793" i="9"/>
  <c r="R793" i="9"/>
  <c r="S793" i="9" s="1"/>
  <c r="X793" i="9" s="1"/>
  <c r="P793" i="9"/>
  <c r="Q793" i="9" s="1"/>
  <c r="W793" i="9" s="1"/>
  <c r="T792" i="9"/>
  <c r="R792" i="9"/>
  <c r="S792" i="9" s="1"/>
  <c r="X792" i="9" s="1"/>
  <c r="P792" i="9"/>
  <c r="Q792" i="9" s="1"/>
  <c r="T791" i="9"/>
  <c r="R791" i="9"/>
  <c r="S791" i="9" s="1"/>
  <c r="X791" i="9" s="1"/>
  <c r="P791" i="9"/>
  <c r="Q791" i="9" s="1"/>
  <c r="W791" i="9" s="1"/>
  <c r="T790" i="9"/>
  <c r="R790" i="9"/>
  <c r="S790" i="9" s="1"/>
  <c r="X790" i="9" s="1"/>
  <c r="P790" i="9"/>
  <c r="Q790" i="9" s="1"/>
  <c r="T789" i="9"/>
  <c r="R789" i="9"/>
  <c r="S789" i="9" s="1"/>
  <c r="X789" i="9" s="1"/>
  <c r="P789" i="9"/>
  <c r="Q789" i="9" s="1"/>
  <c r="W789" i="9" s="1"/>
  <c r="T788" i="9"/>
  <c r="R788" i="9"/>
  <c r="S788" i="9" s="1"/>
  <c r="X788" i="9" s="1"/>
  <c r="P788" i="9"/>
  <c r="Q788" i="9" s="1"/>
  <c r="T787" i="9"/>
  <c r="R787" i="9"/>
  <c r="S787" i="9" s="1"/>
  <c r="X787" i="9" s="1"/>
  <c r="P787" i="9"/>
  <c r="Q787" i="9" s="1"/>
  <c r="W787" i="9" s="1"/>
  <c r="T786" i="9"/>
  <c r="R786" i="9"/>
  <c r="S786" i="9" s="1"/>
  <c r="X786" i="9" s="1"/>
  <c r="P786" i="9"/>
  <c r="Q786" i="9" s="1"/>
  <c r="T785" i="9"/>
  <c r="R785" i="9"/>
  <c r="S785" i="9" s="1"/>
  <c r="X785" i="9" s="1"/>
  <c r="P785" i="9"/>
  <c r="Q785" i="9" s="1"/>
  <c r="W785" i="9" s="1"/>
  <c r="T784" i="9"/>
  <c r="R784" i="9"/>
  <c r="S784" i="9" s="1"/>
  <c r="X784" i="9" s="1"/>
  <c r="P784" i="9"/>
  <c r="Q784" i="9" s="1"/>
  <c r="T783" i="9"/>
  <c r="R783" i="9"/>
  <c r="S783" i="9" s="1"/>
  <c r="X783" i="9" s="1"/>
  <c r="P783" i="9"/>
  <c r="Q783" i="9" s="1"/>
  <c r="W783" i="9" s="1"/>
  <c r="T782" i="9"/>
  <c r="R782" i="9"/>
  <c r="S782" i="9" s="1"/>
  <c r="X782" i="9" s="1"/>
  <c r="P782" i="9"/>
  <c r="Q782" i="9" s="1"/>
  <c r="T781" i="9"/>
  <c r="R781" i="9"/>
  <c r="S781" i="9" s="1"/>
  <c r="X781" i="9" s="1"/>
  <c r="P781" i="9"/>
  <c r="Q781" i="9" s="1"/>
  <c r="W781" i="9" s="1"/>
  <c r="T780" i="9"/>
  <c r="R780" i="9"/>
  <c r="S780" i="9" s="1"/>
  <c r="X780" i="9" s="1"/>
  <c r="P780" i="9"/>
  <c r="Q780" i="9" s="1"/>
  <c r="T779" i="9"/>
  <c r="R779" i="9"/>
  <c r="S779" i="9" s="1"/>
  <c r="X779" i="9" s="1"/>
  <c r="P779" i="9"/>
  <c r="Q779" i="9" s="1"/>
  <c r="W779" i="9" s="1"/>
  <c r="T778" i="9"/>
  <c r="R778" i="9"/>
  <c r="S778" i="9" s="1"/>
  <c r="X778" i="9" s="1"/>
  <c r="P778" i="9"/>
  <c r="Q778" i="9" s="1"/>
  <c r="T777" i="9"/>
  <c r="R777" i="9"/>
  <c r="S777" i="9" s="1"/>
  <c r="X777" i="9" s="1"/>
  <c r="P777" i="9"/>
  <c r="Q777" i="9" s="1"/>
  <c r="W777" i="9" s="1"/>
  <c r="T776" i="9"/>
  <c r="R776" i="9"/>
  <c r="S776" i="9" s="1"/>
  <c r="X776" i="9" s="1"/>
  <c r="P776" i="9"/>
  <c r="Q776" i="9" s="1"/>
  <c r="T775" i="9"/>
  <c r="R775" i="9"/>
  <c r="S775" i="9" s="1"/>
  <c r="X775" i="9" s="1"/>
  <c r="P775" i="9"/>
  <c r="Q775" i="9" s="1"/>
  <c r="W775" i="9" s="1"/>
  <c r="T774" i="9"/>
  <c r="R774" i="9"/>
  <c r="S774" i="9" s="1"/>
  <c r="X774" i="9" s="1"/>
  <c r="P774" i="9"/>
  <c r="Q774" i="9" s="1"/>
  <c r="T773" i="9"/>
  <c r="R773" i="9"/>
  <c r="S773" i="9" s="1"/>
  <c r="X773" i="9" s="1"/>
  <c r="P773" i="9"/>
  <c r="Q773" i="9" s="1"/>
  <c r="W773" i="9" s="1"/>
  <c r="T772" i="9"/>
  <c r="R772" i="9"/>
  <c r="S772" i="9" s="1"/>
  <c r="X772" i="9" s="1"/>
  <c r="P772" i="9"/>
  <c r="Q772" i="9" s="1"/>
  <c r="T771" i="9"/>
  <c r="R771" i="9"/>
  <c r="S771" i="9" s="1"/>
  <c r="X771" i="9" s="1"/>
  <c r="P771" i="9"/>
  <c r="Q771" i="9" s="1"/>
  <c r="W771" i="9" s="1"/>
  <c r="T770" i="9"/>
  <c r="R770" i="9"/>
  <c r="S770" i="9" s="1"/>
  <c r="X770" i="9" s="1"/>
  <c r="P770" i="9"/>
  <c r="Q770" i="9" s="1"/>
  <c r="T769" i="9"/>
  <c r="R769" i="9"/>
  <c r="S769" i="9" s="1"/>
  <c r="X769" i="9" s="1"/>
  <c r="P769" i="9"/>
  <c r="Q769" i="9" s="1"/>
  <c r="W769" i="9" s="1"/>
  <c r="T768" i="9"/>
  <c r="R768" i="9"/>
  <c r="S768" i="9" s="1"/>
  <c r="X768" i="9" s="1"/>
  <c r="P768" i="9"/>
  <c r="Q768" i="9" s="1"/>
  <c r="T767" i="9"/>
  <c r="R767" i="9"/>
  <c r="S767" i="9" s="1"/>
  <c r="X767" i="9" s="1"/>
  <c r="P767" i="9"/>
  <c r="Q767" i="9" s="1"/>
  <c r="W767" i="9" s="1"/>
  <c r="T766" i="9"/>
  <c r="R766" i="9"/>
  <c r="S766" i="9" s="1"/>
  <c r="X766" i="9" s="1"/>
  <c r="P766" i="9"/>
  <c r="Q766" i="9" s="1"/>
  <c r="T765" i="9"/>
  <c r="R765" i="9"/>
  <c r="S765" i="9" s="1"/>
  <c r="X765" i="9" s="1"/>
  <c r="P765" i="9"/>
  <c r="Q765" i="9" s="1"/>
  <c r="W765" i="9" s="1"/>
  <c r="T764" i="9"/>
  <c r="R764" i="9"/>
  <c r="S764" i="9" s="1"/>
  <c r="X764" i="9" s="1"/>
  <c r="P764" i="9"/>
  <c r="Q764" i="9" s="1"/>
  <c r="T763" i="9"/>
  <c r="R763" i="9"/>
  <c r="S763" i="9" s="1"/>
  <c r="X763" i="9" s="1"/>
  <c r="P763" i="9"/>
  <c r="Q763" i="9" s="1"/>
  <c r="W763" i="9" s="1"/>
  <c r="T762" i="9"/>
  <c r="R762" i="9"/>
  <c r="S762" i="9" s="1"/>
  <c r="X762" i="9" s="1"/>
  <c r="P762" i="9"/>
  <c r="Q762" i="9" s="1"/>
  <c r="T761" i="9"/>
  <c r="R761" i="9"/>
  <c r="S761" i="9" s="1"/>
  <c r="X761" i="9" s="1"/>
  <c r="P761" i="9"/>
  <c r="Q761" i="9" s="1"/>
  <c r="W761" i="9" s="1"/>
  <c r="T760" i="9"/>
  <c r="R760" i="9"/>
  <c r="S760" i="9" s="1"/>
  <c r="X760" i="9" s="1"/>
  <c r="P760" i="9"/>
  <c r="Q760" i="9" s="1"/>
  <c r="T759" i="9"/>
  <c r="R759" i="9"/>
  <c r="S759" i="9" s="1"/>
  <c r="X759" i="9" s="1"/>
  <c r="P759" i="9"/>
  <c r="Q759" i="9" s="1"/>
  <c r="W759" i="9" s="1"/>
  <c r="T758" i="9"/>
  <c r="R758" i="9"/>
  <c r="S758" i="9" s="1"/>
  <c r="X758" i="9" s="1"/>
  <c r="P758" i="9"/>
  <c r="Q758" i="9" s="1"/>
  <c r="T757" i="9"/>
  <c r="R757" i="9"/>
  <c r="S757" i="9" s="1"/>
  <c r="X757" i="9" s="1"/>
  <c r="P757" i="9"/>
  <c r="Q757" i="9" s="1"/>
  <c r="W757" i="9" s="1"/>
  <c r="T756" i="9"/>
  <c r="R756" i="9"/>
  <c r="S756" i="9" s="1"/>
  <c r="X756" i="9" s="1"/>
  <c r="P756" i="9"/>
  <c r="Q756" i="9" s="1"/>
  <c r="T755" i="9"/>
  <c r="R755" i="9"/>
  <c r="S755" i="9" s="1"/>
  <c r="X755" i="9" s="1"/>
  <c r="P755" i="9"/>
  <c r="Q755" i="9" s="1"/>
  <c r="W755" i="9" s="1"/>
  <c r="T754" i="9"/>
  <c r="R754" i="9"/>
  <c r="S754" i="9" s="1"/>
  <c r="X754" i="9" s="1"/>
  <c r="P754" i="9"/>
  <c r="Q754" i="9" s="1"/>
  <c r="T753" i="9"/>
  <c r="R753" i="9"/>
  <c r="S753" i="9" s="1"/>
  <c r="X753" i="9" s="1"/>
  <c r="P753" i="9"/>
  <c r="Q753" i="9" s="1"/>
  <c r="W753" i="9" s="1"/>
  <c r="T752" i="9"/>
  <c r="R752" i="9"/>
  <c r="S752" i="9" s="1"/>
  <c r="X752" i="9" s="1"/>
  <c r="P752" i="9"/>
  <c r="Q752" i="9" s="1"/>
  <c r="T751" i="9"/>
  <c r="R751" i="9"/>
  <c r="S751" i="9" s="1"/>
  <c r="X751" i="9" s="1"/>
  <c r="P751" i="9"/>
  <c r="Q751" i="9" s="1"/>
  <c r="W751" i="9" s="1"/>
  <c r="T750" i="9"/>
  <c r="R750" i="9"/>
  <c r="S750" i="9" s="1"/>
  <c r="X750" i="9" s="1"/>
  <c r="P750" i="9"/>
  <c r="Q750" i="9" s="1"/>
  <c r="T749" i="9"/>
  <c r="R749" i="9"/>
  <c r="S749" i="9" s="1"/>
  <c r="X749" i="9" s="1"/>
  <c r="P749" i="9"/>
  <c r="Q749" i="9" s="1"/>
  <c r="W749" i="9" s="1"/>
  <c r="T748" i="9"/>
  <c r="R748" i="9"/>
  <c r="S748" i="9" s="1"/>
  <c r="X748" i="9" s="1"/>
  <c r="P748" i="9"/>
  <c r="Q748" i="9" s="1"/>
  <c r="T747" i="9"/>
  <c r="R747" i="9"/>
  <c r="S747" i="9" s="1"/>
  <c r="X747" i="9" s="1"/>
  <c r="P747" i="9"/>
  <c r="Q747" i="9" s="1"/>
  <c r="T746" i="9"/>
  <c r="R746" i="9"/>
  <c r="S746" i="9" s="1"/>
  <c r="X746" i="9" s="1"/>
  <c r="P746" i="9"/>
  <c r="Q746" i="9" s="1"/>
  <c r="T745" i="9"/>
  <c r="R745" i="9"/>
  <c r="S745" i="9" s="1"/>
  <c r="X745" i="9" s="1"/>
  <c r="P745" i="9"/>
  <c r="Q745" i="9" s="1"/>
  <c r="T744" i="9"/>
  <c r="R744" i="9"/>
  <c r="S744" i="9" s="1"/>
  <c r="X744" i="9" s="1"/>
  <c r="P744" i="9"/>
  <c r="Q744" i="9" s="1"/>
  <c r="T743" i="9"/>
  <c r="R743" i="9"/>
  <c r="S743" i="9" s="1"/>
  <c r="X743" i="9" s="1"/>
  <c r="P743" i="9"/>
  <c r="Q743" i="9" s="1"/>
  <c r="T742" i="9"/>
  <c r="R742" i="9"/>
  <c r="S742" i="9" s="1"/>
  <c r="X742" i="9" s="1"/>
  <c r="P742" i="9"/>
  <c r="Q742" i="9" s="1"/>
  <c r="T741" i="9"/>
  <c r="R741" i="9"/>
  <c r="S741" i="9" s="1"/>
  <c r="X741" i="9" s="1"/>
  <c r="P741" i="9"/>
  <c r="Q741" i="9" s="1"/>
  <c r="T740" i="9"/>
  <c r="R740" i="9"/>
  <c r="S740" i="9" s="1"/>
  <c r="X740" i="9" s="1"/>
  <c r="P740" i="9"/>
  <c r="Q740" i="9" s="1"/>
  <c r="T739" i="9"/>
  <c r="R739" i="9"/>
  <c r="S739" i="9" s="1"/>
  <c r="X739" i="9" s="1"/>
  <c r="P739" i="9"/>
  <c r="Q739" i="9" s="1"/>
  <c r="T738" i="9"/>
  <c r="R738" i="9"/>
  <c r="S738" i="9" s="1"/>
  <c r="X738" i="9" s="1"/>
  <c r="P738" i="9"/>
  <c r="Q738" i="9" s="1"/>
  <c r="T737" i="9"/>
  <c r="R737" i="9"/>
  <c r="S737" i="9" s="1"/>
  <c r="X737" i="9" s="1"/>
  <c r="P737" i="9"/>
  <c r="Q737" i="9" s="1"/>
  <c r="T736" i="9"/>
  <c r="R736" i="9"/>
  <c r="S736" i="9" s="1"/>
  <c r="X736" i="9" s="1"/>
  <c r="P736" i="9"/>
  <c r="Q736" i="9" s="1"/>
  <c r="T735" i="9"/>
  <c r="R735" i="9"/>
  <c r="S735" i="9" s="1"/>
  <c r="X735" i="9" s="1"/>
  <c r="P735" i="9"/>
  <c r="Q735" i="9" s="1"/>
  <c r="T734" i="9"/>
  <c r="R734" i="9"/>
  <c r="S734" i="9" s="1"/>
  <c r="X734" i="9" s="1"/>
  <c r="P734" i="9"/>
  <c r="Q734" i="9" s="1"/>
  <c r="T733" i="9"/>
  <c r="R733" i="9"/>
  <c r="S733" i="9" s="1"/>
  <c r="X733" i="9" s="1"/>
  <c r="P733" i="9"/>
  <c r="Q733" i="9" s="1"/>
  <c r="T732" i="9"/>
  <c r="R732" i="9"/>
  <c r="S732" i="9" s="1"/>
  <c r="X732" i="9" s="1"/>
  <c r="P732" i="9"/>
  <c r="Q732" i="9" s="1"/>
  <c r="T731" i="9"/>
  <c r="R731" i="9"/>
  <c r="S731" i="9" s="1"/>
  <c r="X731" i="9" s="1"/>
  <c r="P731" i="9"/>
  <c r="Q731" i="9" s="1"/>
  <c r="T730" i="9"/>
  <c r="R730" i="9"/>
  <c r="S730" i="9" s="1"/>
  <c r="X730" i="9" s="1"/>
  <c r="P730" i="9"/>
  <c r="Q730" i="9" s="1"/>
  <c r="T729" i="9"/>
  <c r="R729" i="9"/>
  <c r="S729" i="9" s="1"/>
  <c r="X729" i="9" s="1"/>
  <c r="P729" i="9"/>
  <c r="Q729" i="9" s="1"/>
  <c r="T728" i="9"/>
  <c r="R728" i="9"/>
  <c r="S728" i="9" s="1"/>
  <c r="X728" i="9" s="1"/>
  <c r="P728" i="9"/>
  <c r="Q728" i="9" s="1"/>
  <c r="T727" i="9"/>
  <c r="R727" i="9"/>
  <c r="S727" i="9" s="1"/>
  <c r="X727" i="9" s="1"/>
  <c r="P727" i="9"/>
  <c r="Q727" i="9" s="1"/>
  <c r="T726" i="9"/>
  <c r="R726" i="9"/>
  <c r="S726" i="9" s="1"/>
  <c r="X726" i="9" s="1"/>
  <c r="P726" i="9"/>
  <c r="Q726" i="9" s="1"/>
  <c r="T725" i="9"/>
  <c r="R725" i="9"/>
  <c r="S725" i="9" s="1"/>
  <c r="X725" i="9" s="1"/>
  <c r="P725" i="9"/>
  <c r="Q725" i="9" s="1"/>
  <c r="T724" i="9"/>
  <c r="R724" i="9"/>
  <c r="S724" i="9" s="1"/>
  <c r="X724" i="9" s="1"/>
  <c r="P724" i="9"/>
  <c r="Q724" i="9" s="1"/>
  <c r="T723" i="9"/>
  <c r="R723" i="9"/>
  <c r="S723" i="9" s="1"/>
  <c r="X723" i="9" s="1"/>
  <c r="P723" i="9"/>
  <c r="Q723" i="9" s="1"/>
  <c r="T722" i="9"/>
  <c r="R722" i="9"/>
  <c r="S722" i="9" s="1"/>
  <c r="X722" i="9" s="1"/>
  <c r="P722" i="9"/>
  <c r="Q722" i="9" s="1"/>
  <c r="T721" i="9"/>
  <c r="R721" i="9"/>
  <c r="S721" i="9" s="1"/>
  <c r="X721" i="9" s="1"/>
  <c r="P721" i="9"/>
  <c r="Q721" i="9" s="1"/>
  <c r="T720" i="9"/>
  <c r="R720" i="9"/>
  <c r="S720" i="9" s="1"/>
  <c r="X720" i="9" s="1"/>
  <c r="P720" i="9"/>
  <c r="Q720" i="9" s="1"/>
  <c r="T719" i="9"/>
  <c r="R719" i="9"/>
  <c r="S719" i="9" s="1"/>
  <c r="X719" i="9" s="1"/>
  <c r="P719" i="9"/>
  <c r="Q719" i="9" s="1"/>
  <c r="W719" i="9" s="1"/>
  <c r="T718" i="9"/>
  <c r="R718" i="9"/>
  <c r="S718" i="9" s="1"/>
  <c r="X718" i="9" s="1"/>
  <c r="P718" i="9"/>
  <c r="Q718" i="9" s="1"/>
  <c r="T717" i="9"/>
  <c r="R717" i="9"/>
  <c r="S717" i="9" s="1"/>
  <c r="X717" i="9" s="1"/>
  <c r="P717" i="9"/>
  <c r="Q717" i="9" s="1"/>
  <c r="T716" i="9"/>
  <c r="R716" i="9"/>
  <c r="S716" i="9" s="1"/>
  <c r="X716" i="9" s="1"/>
  <c r="P716" i="9"/>
  <c r="Q716" i="9" s="1"/>
  <c r="T715" i="9"/>
  <c r="R715" i="9"/>
  <c r="S715" i="9" s="1"/>
  <c r="X715" i="9" s="1"/>
  <c r="P715" i="9"/>
  <c r="Q715" i="9" s="1"/>
  <c r="T714" i="9"/>
  <c r="R714" i="9"/>
  <c r="S714" i="9" s="1"/>
  <c r="X714" i="9" s="1"/>
  <c r="P714" i="9"/>
  <c r="Q714" i="9" s="1"/>
  <c r="T713" i="9"/>
  <c r="R713" i="9"/>
  <c r="S713" i="9" s="1"/>
  <c r="X713" i="9" s="1"/>
  <c r="P713" i="9"/>
  <c r="Q713" i="9" s="1"/>
  <c r="T712" i="9"/>
  <c r="R712" i="9"/>
  <c r="S712" i="9" s="1"/>
  <c r="X712" i="9" s="1"/>
  <c r="P712" i="9"/>
  <c r="Q712" i="9" s="1"/>
  <c r="T711" i="9"/>
  <c r="R711" i="9"/>
  <c r="S711" i="9" s="1"/>
  <c r="X711" i="9" s="1"/>
  <c r="P711" i="9"/>
  <c r="Q711" i="9" s="1"/>
  <c r="T710" i="9"/>
  <c r="R710" i="9"/>
  <c r="S710" i="9" s="1"/>
  <c r="X710" i="9" s="1"/>
  <c r="P710" i="9"/>
  <c r="Q710" i="9" s="1"/>
  <c r="T709" i="9"/>
  <c r="R709" i="9"/>
  <c r="S709" i="9" s="1"/>
  <c r="X709" i="9" s="1"/>
  <c r="P709" i="9"/>
  <c r="Q709" i="9" s="1"/>
  <c r="T708" i="9"/>
  <c r="R708" i="9"/>
  <c r="S708" i="9" s="1"/>
  <c r="X708" i="9" s="1"/>
  <c r="P708" i="9"/>
  <c r="Q708" i="9" s="1"/>
  <c r="T707" i="9"/>
  <c r="R707" i="9"/>
  <c r="S707" i="9" s="1"/>
  <c r="X707" i="9" s="1"/>
  <c r="P707" i="9"/>
  <c r="Q707" i="9" s="1"/>
  <c r="T706" i="9"/>
  <c r="R706" i="9"/>
  <c r="S706" i="9" s="1"/>
  <c r="X706" i="9" s="1"/>
  <c r="P706" i="9"/>
  <c r="Q706" i="9" s="1"/>
  <c r="T705" i="9"/>
  <c r="R705" i="9"/>
  <c r="S705" i="9" s="1"/>
  <c r="X705" i="9" s="1"/>
  <c r="P705" i="9"/>
  <c r="Q705" i="9" s="1"/>
  <c r="T704" i="9"/>
  <c r="R704" i="9"/>
  <c r="S704" i="9" s="1"/>
  <c r="X704" i="9" s="1"/>
  <c r="P704" i="9"/>
  <c r="Q704" i="9" s="1"/>
  <c r="T703" i="9"/>
  <c r="R703" i="9"/>
  <c r="S703" i="9" s="1"/>
  <c r="X703" i="9" s="1"/>
  <c r="P703" i="9"/>
  <c r="Q703" i="9" s="1"/>
  <c r="T702" i="9"/>
  <c r="R702" i="9"/>
  <c r="S702" i="9" s="1"/>
  <c r="X702" i="9" s="1"/>
  <c r="P702" i="9"/>
  <c r="Q702" i="9" s="1"/>
  <c r="T701" i="9"/>
  <c r="R701" i="9"/>
  <c r="S701" i="9" s="1"/>
  <c r="X701" i="9" s="1"/>
  <c r="P701" i="9"/>
  <c r="Q701" i="9" s="1"/>
  <c r="T700" i="9"/>
  <c r="R700" i="9"/>
  <c r="S700" i="9" s="1"/>
  <c r="X700" i="9" s="1"/>
  <c r="P700" i="9"/>
  <c r="Q700" i="9" s="1"/>
  <c r="T699" i="9"/>
  <c r="R699" i="9"/>
  <c r="S699" i="9" s="1"/>
  <c r="X699" i="9" s="1"/>
  <c r="P699" i="9"/>
  <c r="Q699" i="9" s="1"/>
  <c r="T698" i="9"/>
  <c r="R698" i="9"/>
  <c r="S698" i="9" s="1"/>
  <c r="X698" i="9" s="1"/>
  <c r="P698" i="9"/>
  <c r="Q698" i="9" s="1"/>
  <c r="T697" i="9"/>
  <c r="R697" i="9"/>
  <c r="S697" i="9" s="1"/>
  <c r="X697" i="9" s="1"/>
  <c r="P697" i="9"/>
  <c r="Q697" i="9" s="1"/>
  <c r="T696" i="9"/>
  <c r="R696" i="9"/>
  <c r="S696" i="9" s="1"/>
  <c r="X696" i="9" s="1"/>
  <c r="P696" i="9"/>
  <c r="Q696" i="9" s="1"/>
  <c r="T695" i="9"/>
  <c r="R695" i="9"/>
  <c r="S695" i="9" s="1"/>
  <c r="X695" i="9" s="1"/>
  <c r="P695" i="9"/>
  <c r="Q695" i="9" s="1"/>
  <c r="T694" i="9"/>
  <c r="R694" i="9"/>
  <c r="S694" i="9" s="1"/>
  <c r="X694" i="9" s="1"/>
  <c r="P694" i="9"/>
  <c r="Q694" i="9" s="1"/>
  <c r="T693" i="9"/>
  <c r="R693" i="9"/>
  <c r="S693" i="9" s="1"/>
  <c r="X693" i="9" s="1"/>
  <c r="P693" i="9"/>
  <c r="Q693" i="9" s="1"/>
  <c r="T692" i="9"/>
  <c r="R692" i="9"/>
  <c r="S692" i="9" s="1"/>
  <c r="X692" i="9" s="1"/>
  <c r="P692" i="9"/>
  <c r="Q692" i="9" s="1"/>
  <c r="T691" i="9"/>
  <c r="R691" i="9"/>
  <c r="S691" i="9" s="1"/>
  <c r="X691" i="9" s="1"/>
  <c r="P691" i="9"/>
  <c r="Q691" i="9" s="1"/>
  <c r="T690" i="9"/>
  <c r="R690" i="9"/>
  <c r="S690" i="9" s="1"/>
  <c r="X690" i="9" s="1"/>
  <c r="P690" i="9"/>
  <c r="Q690" i="9" s="1"/>
  <c r="T689" i="9"/>
  <c r="R689" i="9"/>
  <c r="S689" i="9" s="1"/>
  <c r="X689" i="9" s="1"/>
  <c r="P689" i="9"/>
  <c r="Q689" i="9" s="1"/>
  <c r="T688" i="9"/>
  <c r="R688" i="9"/>
  <c r="S688" i="9" s="1"/>
  <c r="X688" i="9" s="1"/>
  <c r="P688" i="9"/>
  <c r="Q688" i="9" s="1"/>
  <c r="R687" i="9"/>
  <c r="S687" i="9" s="1"/>
  <c r="X687" i="9" s="1"/>
  <c r="O687" i="9"/>
  <c r="S685" i="9"/>
  <c r="X685" i="9" s="1"/>
  <c r="O685" i="9"/>
  <c r="S683" i="9"/>
  <c r="X683" i="9" s="1"/>
  <c r="O683" i="9"/>
  <c r="S681" i="9"/>
  <c r="X681" i="9" s="1"/>
  <c r="O681" i="9"/>
  <c r="S679" i="9"/>
  <c r="X679" i="9" s="1"/>
  <c r="O679" i="9"/>
  <c r="S677" i="9"/>
  <c r="X677" i="9" s="1"/>
  <c r="O677" i="9"/>
  <c r="S675" i="9"/>
  <c r="X675" i="9" s="1"/>
  <c r="O675" i="9"/>
  <c r="S673" i="9"/>
  <c r="X673" i="9" s="1"/>
  <c r="O673" i="9"/>
  <c r="S671" i="9"/>
  <c r="X671" i="9" s="1"/>
  <c r="O671" i="9"/>
  <c r="S669" i="9"/>
  <c r="X669" i="9" s="1"/>
  <c r="O669" i="9"/>
  <c r="S667" i="9"/>
  <c r="X667" i="9" s="1"/>
  <c r="O667" i="9"/>
  <c r="S665" i="9"/>
  <c r="X665" i="9" s="1"/>
  <c r="O665" i="9"/>
  <c r="S663" i="9"/>
  <c r="X663" i="9" s="1"/>
  <c r="O663" i="9"/>
  <c r="S661" i="9"/>
  <c r="X661" i="9" s="1"/>
  <c r="O661" i="9"/>
  <c r="S659" i="9"/>
  <c r="X659" i="9" s="1"/>
  <c r="O659" i="9"/>
  <c r="S657" i="9"/>
  <c r="X657" i="9" s="1"/>
  <c r="O657" i="9"/>
  <c r="S655" i="9"/>
  <c r="X655" i="9" s="1"/>
  <c r="O655" i="9"/>
  <c r="S653" i="9"/>
  <c r="X653" i="9" s="1"/>
  <c r="O653" i="9"/>
  <c r="S651" i="9"/>
  <c r="X651" i="9" s="1"/>
  <c r="O651" i="9"/>
  <c r="S649" i="9"/>
  <c r="X649" i="9" s="1"/>
  <c r="O649" i="9"/>
  <c r="S647" i="9"/>
  <c r="X647" i="9" s="1"/>
  <c r="O647" i="9"/>
  <c r="S645" i="9"/>
  <c r="X645" i="9" s="1"/>
  <c r="O645" i="9"/>
  <c r="S643" i="9"/>
  <c r="X643" i="9" s="1"/>
  <c r="O643" i="9"/>
  <c r="S641" i="9"/>
  <c r="X641" i="9" s="1"/>
  <c r="O641" i="9"/>
  <c r="S639" i="9"/>
  <c r="X639" i="9" s="1"/>
  <c r="O639" i="9"/>
  <c r="S637" i="9"/>
  <c r="X637" i="9" s="1"/>
  <c r="O637" i="9"/>
  <c r="S635" i="9"/>
  <c r="X635" i="9" s="1"/>
  <c r="O635" i="9"/>
  <c r="S633" i="9"/>
  <c r="X633" i="9" s="1"/>
  <c r="O633" i="9"/>
  <c r="S631" i="9"/>
  <c r="X631" i="9" s="1"/>
  <c r="O631" i="9"/>
  <c r="S629" i="9"/>
  <c r="X629" i="9" s="1"/>
  <c r="O629" i="9"/>
  <c r="S627" i="9"/>
  <c r="X627" i="9" s="1"/>
  <c r="O627" i="9"/>
  <c r="S625" i="9"/>
  <c r="X625" i="9" s="1"/>
  <c r="O625" i="9"/>
  <c r="S623" i="9"/>
  <c r="X623" i="9" s="1"/>
  <c r="O623" i="9"/>
  <c r="S621" i="9"/>
  <c r="X621" i="9" s="1"/>
  <c r="O621" i="9"/>
  <c r="S619" i="9"/>
  <c r="X619" i="9" s="1"/>
  <c r="O619" i="9"/>
  <c r="S617" i="9"/>
  <c r="X617" i="9" s="1"/>
  <c r="O617" i="9"/>
  <c r="S615" i="9"/>
  <c r="X615" i="9" s="1"/>
  <c r="O615" i="9"/>
  <c r="S613" i="9"/>
  <c r="X613" i="9" s="1"/>
  <c r="O613" i="9"/>
  <c r="S611" i="9"/>
  <c r="X611" i="9" s="1"/>
  <c r="O611" i="9"/>
  <c r="S609" i="9"/>
  <c r="X609" i="9" s="1"/>
  <c r="O609" i="9"/>
  <c r="S607" i="9"/>
  <c r="X607" i="9" s="1"/>
  <c r="O607" i="9"/>
  <c r="S605" i="9"/>
  <c r="X605" i="9" s="1"/>
  <c r="O605" i="9"/>
  <c r="Q604" i="9"/>
  <c r="W604" i="9" s="1"/>
  <c r="S603" i="9"/>
  <c r="X603" i="9" s="1"/>
  <c r="O603" i="9"/>
  <c r="S601" i="9"/>
  <c r="X601" i="9" s="1"/>
  <c r="O601" i="9"/>
  <c r="S599" i="9"/>
  <c r="X599" i="9" s="1"/>
  <c r="O599" i="9"/>
  <c r="S597" i="9"/>
  <c r="X597" i="9" s="1"/>
  <c r="O597" i="9"/>
  <c r="S595" i="9"/>
  <c r="X595" i="9" s="1"/>
  <c r="O595" i="9"/>
  <c r="S593" i="9"/>
  <c r="X593" i="9" s="1"/>
  <c r="O593" i="9"/>
  <c r="S591" i="9"/>
  <c r="X591" i="9" s="1"/>
  <c r="O591" i="9"/>
  <c r="S589" i="9"/>
  <c r="X589" i="9" s="1"/>
  <c r="O589" i="9"/>
  <c r="S587" i="9"/>
  <c r="X587" i="9" s="1"/>
  <c r="O587" i="9"/>
  <c r="S585" i="9"/>
  <c r="X585" i="9" s="1"/>
  <c r="O585" i="9"/>
  <c r="S583" i="9"/>
  <c r="X583" i="9" s="1"/>
  <c r="O583" i="9"/>
  <c r="S581" i="9"/>
  <c r="X581" i="9" s="1"/>
  <c r="O581" i="9"/>
  <c r="S579" i="9"/>
  <c r="X579" i="9" s="1"/>
  <c r="O579" i="9"/>
  <c r="S577" i="9"/>
  <c r="X577" i="9" s="1"/>
  <c r="O577" i="9"/>
  <c r="S575" i="9"/>
  <c r="X575" i="9" s="1"/>
  <c r="O575" i="9"/>
  <c r="S573" i="9"/>
  <c r="X573" i="9" s="1"/>
  <c r="O573" i="9"/>
  <c r="S571" i="9"/>
  <c r="X571" i="9" s="1"/>
  <c r="O571" i="9"/>
  <c r="S569" i="9"/>
  <c r="X569" i="9" s="1"/>
  <c r="O569" i="9"/>
  <c r="S567" i="9"/>
  <c r="X567" i="9" s="1"/>
  <c r="O567" i="9"/>
  <c r="S565" i="9"/>
  <c r="X565" i="9" s="1"/>
  <c r="O565" i="9"/>
  <c r="S563" i="9"/>
  <c r="X563" i="9" s="1"/>
  <c r="O563" i="9"/>
  <c r="S561" i="9"/>
  <c r="X561" i="9" s="1"/>
  <c r="O561" i="9"/>
  <c r="S559" i="9"/>
  <c r="X559" i="9" s="1"/>
  <c r="O559" i="9"/>
  <c r="S557" i="9"/>
  <c r="X557" i="9" s="1"/>
  <c r="O557" i="9"/>
  <c r="S555" i="9"/>
  <c r="X555" i="9" s="1"/>
  <c r="O555" i="9"/>
  <c r="S553" i="9"/>
  <c r="X553" i="9" s="1"/>
  <c r="O553" i="9"/>
  <c r="S551" i="9"/>
  <c r="X551" i="9" s="1"/>
  <c r="O551" i="9"/>
  <c r="S549" i="9"/>
  <c r="X549" i="9" s="1"/>
  <c r="O549" i="9"/>
  <c r="S547" i="9"/>
  <c r="X547" i="9" s="1"/>
  <c r="O547" i="9"/>
  <c r="S545" i="9"/>
  <c r="X545" i="9" s="1"/>
  <c r="O545" i="9"/>
  <c r="S543" i="9"/>
  <c r="X543" i="9" s="1"/>
  <c r="O543" i="9"/>
  <c r="Q542" i="9"/>
  <c r="W542" i="9" s="1"/>
  <c r="S541" i="9"/>
  <c r="X541" i="9" s="1"/>
  <c r="O541" i="9"/>
  <c r="S539" i="9"/>
  <c r="X539" i="9" s="1"/>
  <c r="O539" i="9"/>
  <c r="S537" i="9"/>
  <c r="X537" i="9" s="1"/>
  <c r="O537" i="9"/>
  <c r="S535" i="9"/>
  <c r="X535" i="9" s="1"/>
  <c r="O535" i="9"/>
  <c r="S533" i="9"/>
  <c r="X533" i="9" s="1"/>
  <c r="O533" i="9"/>
  <c r="S531" i="9"/>
  <c r="X531" i="9" s="1"/>
  <c r="O531" i="9"/>
  <c r="S529" i="9"/>
  <c r="X529" i="9" s="1"/>
  <c r="O529" i="9"/>
  <c r="S527" i="9"/>
  <c r="X527" i="9" s="1"/>
  <c r="O527" i="9"/>
  <c r="S525" i="9"/>
  <c r="X525" i="9" s="1"/>
  <c r="O525" i="9"/>
  <c r="S523" i="9"/>
  <c r="X523" i="9" s="1"/>
  <c r="O523" i="9"/>
  <c r="S521" i="9"/>
  <c r="X521" i="9" s="1"/>
  <c r="O521" i="9"/>
  <c r="S519" i="9"/>
  <c r="X519" i="9" s="1"/>
  <c r="O519" i="9"/>
  <c r="S517" i="9"/>
  <c r="X517" i="9" s="1"/>
  <c r="O517" i="9"/>
  <c r="S515" i="9"/>
  <c r="X515" i="9" s="1"/>
  <c r="O515" i="9"/>
  <c r="S513" i="9"/>
  <c r="X513" i="9" s="1"/>
  <c r="O513" i="9"/>
  <c r="S511" i="9"/>
  <c r="X511" i="9" s="1"/>
  <c r="O511" i="9"/>
  <c r="S509" i="9"/>
  <c r="X509" i="9" s="1"/>
  <c r="O509" i="9"/>
  <c r="S507" i="9"/>
  <c r="X507" i="9" s="1"/>
  <c r="O507" i="9"/>
  <c r="S505" i="9"/>
  <c r="X505" i="9" s="1"/>
  <c r="O505" i="9"/>
  <c r="S503" i="9"/>
  <c r="X503" i="9" s="1"/>
  <c r="O503" i="9"/>
  <c r="S501" i="9"/>
  <c r="X501" i="9" s="1"/>
  <c r="O501" i="9"/>
  <c r="S499" i="9"/>
  <c r="X499" i="9" s="1"/>
  <c r="O499" i="9"/>
  <c r="S497" i="9"/>
  <c r="X497" i="9" s="1"/>
  <c r="O497" i="9"/>
  <c r="S495" i="9"/>
  <c r="X495" i="9" s="1"/>
  <c r="O495" i="9"/>
  <c r="S493" i="9"/>
  <c r="X493" i="9" s="1"/>
  <c r="O493" i="9"/>
  <c r="S491" i="9"/>
  <c r="X491" i="9" s="1"/>
  <c r="O491" i="9"/>
  <c r="S489" i="9"/>
  <c r="X489" i="9" s="1"/>
  <c r="O489" i="9"/>
  <c r="S487" i="9"/>
  <c r="X487" i="9" s="1"/>
  <c r="O487" i="9"/>
  <c r="S485" i="9"/>
  <c r="X485" i="9" s="1"/>
  <c r="O485" i="9"/>
  <c r="S483" i="9"/>
  <c r="X483" i="9" s="1"/>
  <c r="O483" i="9"/>
  <c r="S481" i="9"/>
  <c r="X481" i="9" s="1"/>
  <c r="O481" i="9"/>
  <c r="S479" i="9"/>
  <c r="X479" i="9" s="1"/>
  <c r="O479" i="9"/>
  <c r="S477" i="9"/>
  <c r="X477" i="9" s="1"/>
  <c r="O477" i="9"/>
  <c r="S475" i="9"/>
  <c r="X475" i="9" s="1"/>
  <c r="O475" i="9"/>
  <c r="S473" i="9"/>
  <c r="X473" i="9" s="1"/>
  <c r="O473" i="9"/>
  <c r="S471" i="9"/>
  <c r="X471" i="9" s="1"/>
  <c r="O471" i="9"/>
  <c r="S469" i="9"/>
  <c r="X469" i="9" s="1"/>
  <c r="O469" i="9"/>
  <c r="S467" i="9"/>
  <c r="X467" i="9" s="1"/>
  <c r="O467" i="9"/>
  <c r="S465" i="9"/>
  <c r="X465" i="9" s="1"/>
  <c r="O465" i="9"/>
  <c r="S463" i="9"/>
  <c r="X463" i="9" s="1"/>
  <c r="O463" i="9"/>
  <c r="S461" i="9"/>
  <c r="X461" i="9" s="1"/>
  <c r="O461" i="9"/>
  <c r="S459" i="9"/>
  <c r="X459" i="9" s="1"/>
  <c r="O459" i="9"/>
  <c r="S457" i="9"/>
  <c r="X457" i="9" s="1"/>
  <c r="O457" i="9"/>
  <c r="Q456" i="9"/>
  <c r="W456" i="9" s="1"/>
  <c r="S455" i="9"/>
  <c r="X455" i="9" s="1"/>
  <c r="O455" i="9"/>
  <c r="S453" i="9"/>
  <c r="X453" i="9" s="1"/>
  <c r="O453" i="9"/>
  <c r="S451" i="9"/>
  <c r="X451" i="9" s="1"/>
  <c r="O451" i="9"/>
  <c r="S449" i="9"/>
  <c r="X449" i="9" s="1"/>
  <c r="O449" i="9"/>
  <c r="S447" i="9"/>
  <c r="X447" i="9" s="1"/>
  <c r="O447" i="9"/>
  <c r="S445" i="9"/>
  <c r="X445" i="9" s="1"/>
  <c r="O445" i="9"/>
  <c r="S443" i="9"/>
  <c r="X443" i="9" s="1"/>
  <c r="O443" i="9"/>
  <c r="S441" i="9"/>
  <c r="X441" i="9" s="1"/>
  <c r="O441" i="9"/>
  <c r="S439" i="9"/>
  <c r="X439" i="9" s="1"/>
  <c r="O439" i="9"/>
  <c r="S437" i="9"/>
  <c r="X437" i="9" s="1"/>
  <c r="O437" i="9"/>
  <c r="S435" i="9"/>
  <c r="X435" i="9" s="1"/>
  <c r="O435" i="9"/>
  <c r="S433" i="9"/>
  <c r="X433" i="9" s="1"/>
  <c r="O433" i="9"/>
  <c r="S431" i="9"/>
  <c r="X431" i="9" s="1"/>
  <c r="O431" i="9"/>
  <c r="S429" i="9"/>
  <c r="X429" i="9" s="1"/>
  <c r="O429" i="9"/>
  <c r="S427" i="9"/>
  <c r="X427" i="9" s="1"/>
  <c r="O427" i="9"/>
  <c r="S425" i="9"/>
  <c r="X425" i="9" s="1"/>
  <c r="O425" i="9"/>
  <c r="S423" i="9"/>
  <c r="X423" i="9" s="1"/>
  <c r="O423" i="9"/>
  <c r="S421" i="9"/>
  <c r="X421" i="9" s="1"/>
  <c r="O421" i="9"/>
  <c r="S419" i="9"/>
  <c r="X419" i="9" s="1"/>
  <c r="O419" i="9"/>
  <c r="S417" i="9"/>
  <c r="X417" i="9" s="1"/>
  <c r="O417" i="9"/>
  <c r="S415" i="9"/>
  <c r="X415" i="9" s="1"/>
  <c r="O415" i="9"/>
  <c r="S413" i="9"/>
  <c r="X413" i="9" s="1"/>
  <c r="O413" i="9"/>
  <c r="S411" i="9"/>
  <c r="X411" i="9" s="1"/>
  <c r="O411" i="9"/>
  <c r="S409" i="9"/>
  <c r="X409" i="9" s="1"/>
  <c r="O409" i="9"/>
  <c r="S407" i="9"/>
  <c r="X407" i="9" s="1"/>
  <c r="O407" i="9"/>
  <c r="S405" i="9"/>
  <c r="X405" i="9" s="1"/>
  <c r="O405" i="9"/>
  <c r="S403" i="9"/>
  <c r="X403" i="9" s="1"/>
  <c r="O403" i="9"/>
  <c r="S401" i="9"/>
  <c r="X401" i="9" s="1"/>
  <c r="O401" i="9"/>
  <c r="S399" i="9"/>
  <c r="X399" i="9" s="1"/>
  <c r="O399" i="9"/>
  <c r="S397" i="9"/>
  <c r="X397" i="9" s="1"/>
  <c r="O397" i="9"/>
  <c r="S395" i="9"/>
  <c r="X395" i="9" s="1"/>
  <c r="O395" i="9"/>
  <c r="S393" i="9"/>
  <c r="X393" i="9" s="1"/>
  <c r="O393" i="9"/>
  <c r="S391" i="9"/>
  <c r="X391" i="9" s="1"/>
  <c r="O391" i="9"/>
  <c r="S389" i="9"/>
  <c r="X389" i="9" s="1"/>
  <c r="O389" i="9"/>
  <c r="S387" i="9"/>
  <c r="X387" i="9" s="1"/>
  <c r="O387" i="9"/>
  <c r="S385" i="9"/>
  <c r="X385" i="9" s="1"/>
  <c r="O385" i="9"/>
  <c r="S383" i="9"/>
  <c r="X383" i="9" s="1"/>
  <c r="O383" i="9"/>
  <c r="S381" i="9"/>
  <c r="X381" i="9" s="1"/>
  <c r="O381" i="9"/>
  <c r="S379" i="9"/>
  <c r="X379" i="9" s="1"/>
  <c r="O379" i="9"/>
  <c r="S377" i="9"/>
  <c r="X377" i="9" s="1"/>
  <c r="O377" i="9"/>
  <c r="S375" i="9"/>
  <c r="X375" i="9" s="1"/>
  <c r="O375" i="9"/>
  <c r="S373" i="9"/>
  <c r="X373" i="9" s="1"/>
  <c r="O373" i="9"/>
  <c r="S371" i="9"/>
  <c r="X371" i="9" s="1"/>
  <c r="O371" i="9"/>
  <c r="S369" i="9"/>
  <c r="X369" i="9" s="1"/>
  <c r="O369" i="9"/>
  <c r="S367" i="9"/>
  <c r="X367" i="9" s="1"/>
  <c r="O367" i="9"/>
  <c r="S365" i="9"/>
  <c r="X365" i="9" s="1"/>
  <c r="O365" i="9"/>
  <c r="S363" i="9"/>
  <c r="X363" i="9" s="1"/>
  <c r="O363" i="9"/>
  <c r="S361" i="9"/>
  <c r="X361" i="9" s="1"/>
  <c r="O361" i="9"/>
  <c r="S359" i="9"/>
  <c r="X359" i="9" s="1"/>
  <c r="O359" i="9"/>
  <c r="S357" i="9"/>
  <c r="X357" i="9" s="1"/>
  <c r="O357" i="9"/>
  <c r="S355" i="9"/>
  <c r="X355" i="9" s="1"/>
  <c r="O355" i="9"/>
  <c r="S353" i="9"/>
  <c r="X353" i="9" s="1"/>
  <c r="O353" i="9"/>
  <c r="S351" i="9"/>
  <c r="X351" i="9" s="1"/>
  <c r="O351" i="9"/>
  <c r="S349" i="9"/>
  <c r="X349" i="9" s="1"/>
  <c r="O349" i="9"/>
  <c r="S347" i="9"/>
  <c r="X347" i="9" s="1"/>
  <c r="O347" i="9"/>
  <c r="S345" i="9"/>
  <c r="X345" i="9" s="1"/>
  <c r="O345" i="9"/>
  <c r="S343" i="9"/>
  <c r="X343" i="9" s="1"/>
  <c r="O343" i="9"/>
  <c r="S341" i="9"/>
  <c r="X341" i="9" s="1"/>
  <c r="O341" i="9"/>
  <c r="S339" i="9"/>
  <c r="X339" i="9" s="1"/>
  <c r="O339" i="9"/>
  <c r="S337" i="9"/>
  <c r="X337" i="9" s="1"/>
  <c r="O337" i="9"/>
  <c r="S335" i="9"/>
  <c r="X335" i="9" s="1"/>
  <c r="O335" i="9"/>
  <c r="S333" i="9"/>
  <c r="X333" i="9" s="1"/>
  <c r="O333" i="9"/>
  <c r="S331" i="9"/>
  <c r="X331" i="9" s="1"/>
  <c r="O331" i="9"/>
  <c r="S329" i="9"/>
  <c r="X329" i="9" s="1"/>
  <c r="O329" i="9"/>
  <c r="S327" i="9"/>
  <c r="X327" i="9" s="1"/>
  <c r="O327" i="9"/>
  <c r="S325" i="9"/>
  <c r="X325" i="9" s="1"/>
  <c r="O325" i="9"/>
  <c r="S323" i="9"/>
  <c r="X323" i="9" s="1"/>
  <c r="O323" i="9"/>
  <c r="S321" i="9"/>
  <c r="X321" i="9" s="1"/>
  <c r="O321" i="9"/>
  <c r="S319" i="9"/>
  <c r="X319" i="9" s="1"/>
  <c r="O319" i="9"/>
  <c r="S317" i="9"/>
  <c r="X317" i="9" s="1"/>
  <c r="O317" i="9"/>
  <c r="S315" i="9"/>
  <c r="X315" i="9" s="1"/>
  <c r="O315" i="9"/>
  <c r="S313" i="9"/>
  <c r="X313" i="9" s="1"/>
  <c r="O313" i="9"/>
  <c r="S311" i="9"/>
  <c r="X311" i="9" s="1"/>
  <c r="O311" i="9"/>
  <c r="S309" i="9"/>
  <c r="X309" i="9" s="1"/>
  <c r="O309" i="9"/>
  <c r="S307" i="9"/>
  <c r="X307" i="9" s="1"/>
  <c r="O307" i="9"/>
  <c r="S305" i="9"/>
  <c r="X305" i="9" s="1"/>
  <c r="O305" i="9"/>
  <c r="Q304" i="9"/>
  <c r="W304" i="9" s="1"/>
  <c r="S303" i="9"/>
  <c r="X303" i="9" s="1"/>
  <c r="O303" i="9"/>
  <c r="P303" i="9" s="1"/>
  <c r="Q303" i="9" s="1"/>
  <c r="Q302" i="9"/>
  <c r="W302" i="9" s="1"/>
  <c r="S301" i="9"/>
  <c r="X301" i="9" s="1"/>
  <c r="O301" i="9"/>
  <c r="P301" i="9" s="1"/>
  <c r="Q301" i="9" s="1"/>
  <c r="Q300" i="9"/>
  <c r="W300" i="9" s="1"/>
  <c r="S299" i="9"/>
  <c r="X299" i="9" s="1"/>
  <c r="O299" i="9"/>
  <c r="P299" i="9" s="1"/>
  <c r="Q299" i="9" s="1"/>
  <c r="Q298" i="9"/>
  <c r="W298" i="9" s="1"/>
  <c r="S297" i="9"/>
  <c r="X297" i="9" s="1"/>
  <c r="O297" i="9"/>
  <c r="P297" i="9" s="1"/>
  <c r="Q297" i="9" s="1"/>
  <c r="Q296" i="9"/>
  <c r="W296" i="9" s="1"/>
  <c r="S295" i="9"/>
  <c r="X295" i="9" s="1"/>
  <c r="O295" i="9"/>
  <c r="P295" i="9" s="1"/>
  <c r="Q295" i="9" s="1"/>
  <c r="Q294" i="9"/>
  <c r="W294" i="9" s="1"/>
  <c r="S293" i="9"/>
  <c r="X293" i="9" s="1"/>
  <c r="O293" i="9"/>
  <c r="P293" i="9" s="1"/>
  <c r="Q293" i="9" s="1"/>
  <c r="Q292" i="9"/>
  <c r="W292" i="9" s="1"/>
  <c r="S291" i="9"/>
  <c r="X291" i="9" s="1"/>
  <c r="O291" i="9"/>
  <c r="P291" i="9" s="1"/>
  <c r="Q291" i="9" s="1"/>
  <c r="Q290" i="9"/>
  <c r="W290" i="9" s="1"/>
  <c r="S289" i="9"/>
  <c r="X289" i="9" s="1"/>
  <c r="O289" i="9"/>
  <c r="P289" i="9" s="1"/>
  <c r="Q289" i="9" s="1"/>
  <c r="Q288" i="9"/>
  <c r="W288" i="9" s="1"/>
  <c r="S287" i="9"/>
  <c r="X287" i="9" s="1"/>
  <c r="O287" i="9"/>
  <c r="P287" i="9" s="1"/>
  <c r="Q287" i="9" s="1"/>
  <c r="Q286" i="9"/>
  <c r="W286" i="9" s="1"/>
  <c r="S285" i="9"/>
  <c r="X285" i="9" s="1"/>
  <c r="O285" i="9"/>
  <c r="P285" i="9" s="1"/>
  <c r="Q285" i="9" s="1"/>
  <c r="Q284" i="9"/>
  <c r="W284" i="9" s="1"/>
  <c r="S283" i="9"/>
  <c r="X283" i="9" s="1"/>
  <c r="O283" i="9"/>
  <c r="P283" i="9" s="1"/>
  <c r="Q283" i="9" s="1"/>
  <c r="Q282" i="9"/>
  <c r="W282" i="9" s="1"/>
  <c r="S281" i="9"/>
  <c r="X281" i="9" s="1"/>
  <c r="O281" i="9"/>
  <c r="P281" i="9" s="1"/>
  <c r="Q281" i="9" s="1"/>
  <c r="Q280" i="9"/>
  <c r="W280" i="9" s="1"/>
  <c r="S279" i="9"/>
  <c r="X279" i="9" s="1"/>
  <c r="O279" i="9"/>
  <c r="P279" i="9" s="1"/>
  <c r="Q279" i="9" s="1"/>
  <c r="Q278" i="9"/>
  <c r="W278" i="9" s="1"/>
  <c r="S277" i="9"/>
  <c r="X277" i="9" s="1"/>
  <c r="O277" i="9"/>
  <c r="P277" i="9" s="1"/>
  <c r="Q277" i="9" s="1"/>
  <c r="Q276" i="9"/>
  <c r="W276" i="9" s="1"/>
  <c r="S275" i="9"/>
  <c r="X275" i="9" s="1"/>
  <c r="O275" i="9"/>
  <c r="P275" i="9" s="1"/>
  <c r="Q275" i="9" s="1"/>
  <c r="Q274" i="9"/>
  <c r="W274" i="9" s="1"/>
  <c r="S273" i="9"/>
  <c r="X273" i="9" s="1"/>
  <c r="O273" i="9"/>
  <c r="P273" i="9" s="1"/>
  <c r="Q273" i="9" s="1"/>
  <c r="Q272" i="9"/>
  <c r="W272" i="9" s="1"/>
  <c r="S271" i="9"/>
  <c r="X271" i="9" s="1"/>
  <c r="O271" i="9"/>
  <c r="P271" i="9" s="1"/>
  <c r="Q271" i="9" s="1"/>
  <c r="Q270" i="9"/>
  <c r="W270" i="9" s="1"/>
  <c r="S269" i="9"/>
  <c r="X269" i="9" s="1"/>
  <c r="O269" i="9"/>
  <c r="Q268" i="9"/>
  <c r="W268" i="9" s="1"/>
  <c r="S267" i="9"/>
  <c r="X267" i="9" s="1"/>
  <c r="O267" i="9"/>
  <c r="Q266" i="9"/>
  <c r="W266" i="9" s="1"/>
  <c r="S265" i="9"/>
  <c r="X265" i="9" s="1"/>
  <c r="O265" i="9"/>
  <c r="Q264" i="9"/>
  <c r="W264" i="9" s="1"/>
  <c r="S263" i="9"/>
  <c r="X263" i="9" s="1"/>
  <c r="O263" i="9"/>
  <c r="Q262" i="9"/>
  <c r="W262" i="9" s="1"/>
  <c r="S261" i="9"/>
  <c r="X261" i="9" s="1"/>
  <c r="O261" i="9"/>
  <c r="Q260" i="9"/>
  <c r="W260" i="9" s="1"/>
  <c r="S259" i="9"/>
  <c r="X259" i="9" s="1"/>
  <c r="O259" i="9"/>
  <c r="Q258" i="9"/>
  <c r="W258" i="9" s="1"/>
  <c r="S257" i="9"/>
  <c r="X257" i="9" s="1"/>
  <c r="O257" i="9"/>
  <c r="Q256" i="9"/>
  <c r="W256" i="9" s="1"/>
  <c r="S255" i="9"/>
  <c r="X255" i="9" s="1"/>
  <c r="O255" i="9"/>
  <c r="Q254" i="9"/>
  <c r="W254" i="9" s="1"/>
  <c r="S253" i="9"/>
  <c r="X253" i="9" s="1"/>
  <c r="O253" i="9"/>
  <c r="P253" i="9" s="1"/>
  <c r="Q253" i="9" s="1"/>
  <c r="W253" i="9" s="1"/>
  <c r="Q252" i="9"/>
  <c r="W252" i="9" s="1"/>
  <c r="S251" i="9"/>
  <c r="X251" i="9" s="1"/>
  <c r="O251" i="9"/>
  <c r="Q250" i="9"/>
  <c r="W250" i="9" s="1"/>
  <c r="S249" i="9"/>
  <c r="X249" i="9" s="1"/>
  <c r="O249" i="9"/>
  <c r="Q248" i="9"/>
  <c r="W248" i="9" s="1"/>
  <c r="S247" i="9"/>
  <c r="X247" i="9" s="1"/>
  <c r="O247" i="9"/>
  <c r="Q246" i="9"/>
  <c r="W246" i="9" s="1"/>
  <c r="S245" i="9"/>
  <c r="X245" i="9" s="1"/>
  <c r="O245" i="9"/>
  <c r="Q244" i="9"/>
  <c r="W244" i="9" s="1"/>
  <c r="S243" i="9"/>
  <c r="X243" i="9" s="1"/>
  <c r="O243" i="9"/>
  <c r="Q242" i="9"/>
  <c r="W242" i="9" s="1"/>
  <c r="S241" i="9"/>
  <c r="X241" i="9" s="1"/>
  <c r="O241" i="9"/>
  <c r="Q240" i="9"/>
  <c r="W240" i="9" s="1"/>
  <c r="S239" i="9"/>
  <c r="X239" i="9" s="1"/>
  <c r="O239" i="9"/>
  <c r="Q238" i="9"/>
  <c r="W238" i="9" s="1"/>
  <c r="S237" i="9"/>
  <c r="X237" i="9" s="1"/>
  <c r="O237" i="9"/>
  <c r="Q236" i="9"/>
  <c r="W236" i="9" s="1"/>
  <c r="S235" i="9"/>
  <c r="X235" i="9" s="1"/>
  <c r="O235" i="9"/>
  <c r="Q234" i="9"/>
  <c r="W234" i="9" s="1"/>
  <c r="S233" i="9"/>
  <c r="X233" i="9" s="1"/>
  <c r="O233" i="9"/>
  <c r="R30" i="9"/>
  <c r="S30" i="9" s="1"/>
  <c r="X30" i="9" s="1"/>
  <c r="T30" i="9"/>
  <c r="P30" i="9"/>
  <c r="Q30" i="9" s="1"/>
  <c r="W30" i="9" s="1"/>
  <c r="R13" i="9"/>
  <c r="S13" i="9" s="1"/>
  <c r="X13" i="9" s="1"/>
  <c r="O13" i="9"/>
  <c r="T13" i="9" s="1"/>
  <c r="O4" i="9"/>
  <c r="U4" i="9" s="1"/>
  <c r="R4" i="9"/>
  <c r="S4" i="9" s="1"/>
  <c r="X4" i="9" s="1"/>
  <c r="A6" i="7"/>
  <c r="A9" i="11"/>
  <c r="H995" i="9"/>
  <c r="D999" i="7"/>
  <c r="H993" i="9"/>
  <c r="D997" i="7"/>
  <c r="H991" i="9"/>
  <c r="D995" i="7"/>
  <c r="H987" i="9"/>
  <c r="D991" i="7"/>
  <c r="H985" i="9"/>
  <c r="D989" i="7"/>
  <c r="F989" i="7" s="1"/>
  <c r="H983" i="9"/>
  <c r="D987" i="7"/>
  <c r="H979" i="9"/>
  <c r="D983" i="7"/>
  <c r="H977" i="9"/>
  <c r="D981" i="7"/>
  <c r="F981" i="7" s="1"/>
  <c r="H975" i="9"/>
  <c r="D979" i="7"/>
  <c r="H971" i="9"/>
  <c r="D975" i="7"/>
  <c r="H969" i="9"/>
  <c r="D973" i="7"/>
  <c r="F973" i="7" s="1"/>
  <c r="H967" i="9"/>
  <c r="D971" i="7"/>
  <c r="H963" i="9"/>
  <c r="D967" i="7"/>
  <c r="H961" i="9"/>
  <c r="D965" i="7"/>
  <c r="F965" i="7" s="1"/>
  <c r="H959" i="9"/>
  <c r="D963" i="7"/>
  <c r="H955" i="9"/>
  <c r="D959" i="7"/>
  <c r="H953" i="9"/>
  <c r="D957" i="7"/>
  <c r="F957" i="7" s="1"/>
  <c r="H951" i="9"/>
  <c r="D955" i="7"/>
  <c r="H947" i="9"/>
  <c r="D951" i="7"/>
  <c r="H945" i="9"/>
  <c r="D949" i="7"/>
  <c r="F949" i="7" s="1"/>
  <c r="H943" i="9"/>
  <c r="D947" i="7"/>
  <c r="H939" i="9"/>
  <c r="D943" i="7"/>
  <c r="H937" i="9"/>
  <c r="D941" i="7"/>
  <c r="F941" i="7" s="1"/>
  <c r="H935" i="9"/>
  <c r="D939" i="7"/>
  <c r="H931" i="9"/>
  <c r="D935" i="7"/>
  <c r="H929" i="9"/>
  <c r="D933" i="7"/>
  <c r="H927" i="9"/>
  <c r="D931" i="7"/>
  <c r="H923" i="9"/>
  <c r="D927" i="7"/>
  <c r="H921" i="9"/>
  <c r="D925" i="7"/>
  <c r="F925" i="7" s="1"/>
  <c r="H919" i="9"/>
  <c r="D923" i="7"/>
  <c r="H915" i="9"/>
  <c r="D919" i="7"/>
  <c r="H913" i="9"/>
  <c r="D917" i="7"/>
  <c r="F917" i="7" s="1"/>
  <c r="H911" i="9"/>
  <c r="D915" i="7"/>
  <c r="H907" i="9"/>
  <c r="D911" i="7"/>
  <c r="H905" i="9"/>
  <c r="D909" i="7"/>
  <c r="F909" i="7" s="1"/>
  <c r="H903" i="9"/>
  <c r="D907" i="7"/>
  <c r="H899" i="9"/>
  <c r="D903" i="7"/>
  <c r="H897" i="9"/>
  <c r="D901" i="7"/>
  <c r="F901" i="7" s="1"/>
  <c r="D885" i="7"/>
  <c r="F885" i="7" s="1"/>
  <c r="D869" i="7"/>
  <c r="F869" i="7" s="1"/>
  <c r="D853" i="7"/>
  <c r="F853" i="7" s="1"/>
  <c r="D1007" i="7"/>
  <c r="D1005" i="7"/>
  <c r="F1005" i="7" s="1"/>
  <c r="D1003" i="7"/>
  <c r="F1003" i="7" s="1"/>
  <c r="D998" i="7"/>
  <c r="D994" i="7"/>
  <c r="F994" i="7" s="1"/>
  <c r="D990" i="7"/>
  <c r="D986" i="7"/>
  <c r="F986" i="7" s="1"/>
  <c r="D982" i="7"/>
  <c r="D978" i="7"/>
  <c r="F978" i="7" s="1"/>
  <c r="D974" i="7"/>
  <c r="D970" i="7"/>
  <c r="F970" i="7" s="1"/>
  <c r="D966" i="7"/>
  <c r="D962" i="7"/>
  <c r="F962" i="7" s="1"/>
  <c r="D958" i="7"/>
  <c r="D954" i="7"/>
  <c r="F954" i="7" s="1"/>
  <c r="D950" i="7"/>
  <c r="D946" i="7"/>
  <c r="F946" i="7" s="1"/>
  <c r="D942" i="7"/>
  <c r="D938" i="7"/>
  <c r="F938" i="7" s="1"/>
  <c r="D934" i="7"/>
  <c r="D930" i="7"/>
  <c r="F930" i="7" s="1"/>
  <c r="D926" i="7"/>
  <c r="D922" i="7"/>
  <c r="F922" i="7" s="1"/>
  <c r="D918" i="7"/>
  <c r="D914" i="7"/>
  <c r="F914" i="7" s="1"/>
  <c r="D910" i="7"/>
  <c r="D906" i="7"/>
  <c r="F906" i="7" s="1"/>
  <c r="D902" i="7"/>
  <c r="D898" i="7"/>
  <c r="F898" i="7" s="1"/>
  <c r="D894" i="7"/>
  <c r="D890" i="7"/>
  <c r="F890" i="7" s="1"/>
  <c r="D886" i="7"/>
  <c r="D882" i="7"/>
  <c r="F882" i="7" s="1"/>
  <c r="D878" i="7"/>
  <c r="D874" i="7"/>
  <c r="F874" i="7" s="1"/>
  <c r="D870" i="7"/>
  <c r="D866" i="7"/>
  <c r="F866" i="7" s="1"/>
  <c r="D862" i="7"/>
  <c r="D858" i="7"/>
  <c r="F858" i="7" s="1"/>
  <c r="D854" i="7"/>
  <c r="D850" i="7"/>
  <c r="F850" i="7" s="1"/>
  <c r="D846" i="7"/>
  <c r="D842" i="7"/>
  <c r="F842" i="7" s="1"/>
  <c r="D838" i="7"/>
  <c r="F838" i="7" s="1"/>
  <c r="D834" i="7"/>
  <c r="F834" i="7" s="1"/>
  <c r="D830" i="7"/>
  <c r="F830" i="7" s="1"/>
  <c r="D826" i="7"/>
  <c r="F826" i="7" s="1"/>
  <c r="D822" i="7"/>
  <c r="F822" i="7" s="1"/>
  <c r="D818" i="7"/>
  <c r="F818" i="7" s="1"/>
  <c r="D814" i="7"/>
  <c r="F814" i="7" s="1"/>
  <c r="D810" i="7"/>
  <c r="F810" i="7" s="1"/>
  <c r="D806" i="7"/>
  <c r="F806" i="7" s="1"/>
  <c r="D802" i="7"/>
  <c r="F802" i="7" s="1"/>
  <c r="D798" i="7"/>
  <c r="F798" i="7" s="1"/>
  <c r="D794" i="7"/>
  <c r="F794" i="7" s="1"/>
  <c r="D790" i="7"/>
  <c r="F790" i="7" s="1"/>
  <c r="D786" i="7"/>
  <c r="F786" i="7" s="1"/>
  <c r="D782" i="7"/>
  <c r="F782" i="7" s="1"/>
  <c r="D778" i="7"/>
  <c r="F778" i="7" s="1"/>
  <c r="D774" i="7"/>
  <c r="F774" i="7" s="1"/>
  <c r="D770" i="7"/>
  <c r="F770" i="7" s="1"/>
  <c r="D766" i="7"/>
  <c r="F766" i="7" s="1"/>
  <c r="D762" i="7"/>
  <c r="F762" i="7" s="1"/>
  <c r="D758" i="7"/>
  <c r="F758" i="7" s="1"/>
  <c r="D754" i="7"/>
  <c r="F754" i="7" s="1"/>
  <c r="D750" i="7"/>
  <c r="F750" i="7" s="1"/>
  <c r="D746" i="7"/>
  <c r="F746" i="7" s="1"/>
  <c r="D742" i="7"/>
  <c r="F742" i="7" s="1"/>
  <c r="D738" i="7"/>
  <c r="F738" i="7" s="1"/>
  <c r="D1006" i="7"/>
  <c r="D1004" i="7"/>
  <c r="D1002" i="7"/>
  <c r="D1000" i="7"/>
  <c r="D996" i="7"/>
  <c r="D992" i="7"/>
  <c r="F992" i="7" s="1"/>
  <c r="D988" i="7"/>
  <c r="D984" i="7"/>
  <c r="D980" i="7"/>
  <c r="D976" i="7"/>
  <c r="F976" i="7" s="1"/>
  <c r="D972" i="7"/>
  <c r="D968" i="7"/>
  <c r="D964" i="7"/>
  <c r="D960" i="7"/>
  <c r="F960" i="7" s="1"/>
  <c r="D956" i="7"/>
  <c r="D952" i="7"/>
  <c r="D948" i="7"/>
  <c r="D944" i="7"/>
  <c r="F944" i="7" s="1"/>
  <c r="D940" i="7"/>
  <c r="D936" i="7"/>
  <c r="D932" i="7"/>
  <c r="D928" i="7"/>
  <c r="F928" i="7" s="1"/>
  <c r="D924" i="7"/>
  <c r="D920" i="7"/>
  <c r="D916" i="7"/>
  <c r="D912" i="7"/>
  <c r="F912" i="7" s="1"/>
  <c r="D908" i="7"/>
  <c r="D904" i="7"/>
  <c r="D900" i="7"/>
  <c r="D896" i="7"/>
  <c r="F896" i="7" s="1"/>
  <c r="D892" i="7"/>
  <c r="D888" i="7"/>
  <c r="D884" i="7"/>
  <c r="D880" i="7"/>
  <c r="F880" i="7" s="1"/>
  <c r="D876" i="7"/>
  <c r="D872" i="7"/>
  <c r="D868" i="7"/>
  <c r="D864" i="7"/>
  <c r="F864" i="7" s="1"/>
  <c r="D860" i="7"/>
  <c r="D856" i="7"/>
  <c r="D852" i="7"/>
  <c r="D848" i="7"/>
  <c r="F848" i="7" s="1"/>
  <c r="D844" i="7"/>
  <c r="D840" i="7"/>
  <c r="F840" i="7" s="1"/>
  <c r="D836" i="7"/>
  <c r="D832" i="7"/>
  <c r="D828" i="7"/>
  <c r="D824" i="7"/>
  <c r="D820" i="7"/>
  <c r="D816" i="7"/>
  <c r="D812" i="7"/>
  <c r="D808" i="7"/>
  <c r="D804" i="7"/>
  <c r="D800" i="7"/>
  <c r="D796" i="7"/>
  <c r="D792" i="7"/>
  <c r="F792" i="7" s="1"/>
  <c r="D788" i="7"/>
  <c r="F788" i="7" s="1"/>
  <c r="D784" i="7"/>
  <c r="F784" i="7" s="1"/>
  <c r="D780" i="7"/>
  <c r="D776" i="7"/>
  <c r="F776" i="7" s="1"/>
  <c r="D772" i="7"/>
  <c r="F772" i="7" s="1"/>
  <c r="D768" i="7"/>
  <c r="F768" i="7" s="1"/>
  <c r="D764" i="7"/>
  <c r="D760" i="7"/>
  <c r="F760" i="7" s="1"/>
  <c r="D756" i="7"/>
  <c r="F756" i="7" s="1"/>
  <c r="D752" i="7"/>
  <c r="F752" i="7" s="1"/>
  <c r="D748" i="7"/>
  <c r="D744" i="7"/>
  <c r="F744" i="7" s="1"/>
  <c r="D740" i="7"/>
  <c r="F740" i="7" s="1"/>
  <c r="D736" i="7"/>
  <c r="F736" i="7" s="1"/>
  <c r="F933" i="7"/>
  <c r="F997" i="7"/>
  <c r="F1001" i="7"/>
  <c r="H997" i="9"/>
  <c r="F993" i="7"/>
  <c r="H989" i="9"/>
  <c r="F985" i="7"/>
  <c r="H981" i="9"/>
  <c r="F977" i="7"/>
  <c r="H973" i="9"/>
  <c r="F969" i="7"/>
  <c r="H965" i="9"/>
  <c r="F961" i="7"/>
  <c r="H957" i="9"/>
  <c r="F953" i="7"/>
  <c r="H949" i="9"/>
  <c r="F945" i="7"/>
  <c r="H941" i="9"/>
  <c r="F937" i="7"/>
  <c r="H933" i="9"/>
  <c r="F929" i="7"/>
  <c r="H925" i="9"/>
  <c r="F921" i="7"/>
  <c r="H917" i="9"/>
  <c r="F913" i="7"/>
  <c r="H909" i="9"/>
  <c r="F905" i="7"/>
  <c r="H901" i="9"/>
  <c r="H895" i="9"/>
  <c r="B895" i="9"/>
  <c r="D895" i="9"/>
  <c r="F895" i="9"/>
  <c r="J895" i="9"/>
  <c r="F897" i="7"/>
  <c r="H893" i="9"/>
  <c r="B893" i="9"/>
  <c r="D893" i="9"/>
  <c r="F893" i="9"/>
  <c r="J893" i="9"/>
  <c r="H891" i="9"/>
  <c r="B891" i="9"/>
  <c r="D891" i="9"/>
  <c r="F891" i="9"/>
  <c r="J891" i="9"/>
  <c r="H889" i="9"/>
  <c r="B889" i="9"/>
  <c r="D889" i="9"/>
  <c r="F889" i="9"/>
  <c r="J889" i="9"/>
  <c r="H887" i="9"/>
  <c r="B887" i="9"/>
  <c r="D887" i="9"/>
  <c r="F887" i="9"/>
  <c r="J887" i="9"/>
  <c r="F889" i="7"/>
  <c r="H885" i="9"/>
  <c r="B885" i="9"/>
  <c r="D885" i="9"/>
  <c r="F885" i="9"/>
  <c r="J885" i="9"/>
  <c r="H883" i="9"/>
  <c r="B883" i="9"/>
  <c r="D883" i="9"/>
  <c r="F883" i="9"/>
  <c r="J883" i="9"/>
  <c r="H881" i="9"/>
  <c r="B881" i="9"/>
  <c r="D881" i="9"/>
  <c r="F881" i="9"/>
  <c r="J881" i="9"/>
  <c r="H879" i="9"/>
  <c r="B879" i="9"/>
  <c r="D879" i="9"/>
  <c r="F879" i="9"/>
  <c r="J879" i="9"/>
  <c r="F881" i="7"/>
  <c r="H877" i="9"/>
  <c r="B877" i="9"/>
  <c r="D877" i="9"/>
  <c r="F877" i="9"/>
  <c r="J877" i="9"/>
  <c r="H875" i="9"/>
  <c r="B875" i="9"/>
  <c r="D875" i="9"/>
  <c r="F875" i="9"/>
  <c r="J875" i="9"/>
  <c r="H873" i="9"/>
  <c r="B873" i="9"/>
  <c r="D873" i="9"/>
  <c r="F873" i="9"/>
  <c r="J873" i="9"/>
  <c r="H871" i="9"/>
  <c r="B871" i="9"/>
  <c r="D871" i="9"/>
  <c r="F871" i="9"/>
  <c r="J871" i="9"/>
  <c r="F873" i="7"/>
  <c r="H869" i="9"/>
  <c r="B869" i="9"/>
  <c r="D869" i="9"/>
  <c r="F869" i="9"/>
  <c r="J869" i="9"/>
  <c r="H867" i="9"/>
  <c r="B867" i="9"/>
  <c r="D867" i="9"/>
  <c r="F867" i="9"/>
  <c r="J867" i="9"/>
  <c r="H865" i="9"/>
  <c r="B865" i="9"/>
  <c r="D865" i="9"/>
  <c r="F865" i="9"/>
  <c r="J865" i="9"/>
  <c r="H863" i="9"/>
  <c r="B863" i="9"/>
  <c r="D863" i="9"/>
  <c r="F863" i="9"/>
  <c r="J863" i="9"/>
  <c r="F865" i="7"/>
  <c r="H861" i="9"/>
  <c r="B861" i="9"/>
  <c r="D861" i="9"/>
  <c r="F861" i="9"/>
  <c r="J861" i="9"/>
  <c r="H859" i="9"/>
  <c r="B859" i="9"/>
  <c r="D859" i="9"/>
  <c r="F859" i="9"/>
  <c r="J859" i="9"/>
  <c r="H857" i="9"/>
  <c r="B857" i="9"/>
  <c r="D857" i="9"/>
  <c r="F857" i="9"/>
  <c r="J857" i="9"/>
  <c r="H855" i="9"/>
  <c r="B855" i="9"/>
  <c r="D855" i="9"/>
  <c r="F855" i="9"/>
  <c r="J855" i="9"/>
  <c r="F857" i="7"/>
  <c r="H853" i="9"/>
  <c r="B853" i="9"/>
  <c r="D853" i="9"/>
  <c r="F853" i="9"/>
  <c r="J853" i="9"/>
  <c r="H851" i="9"/>
  <c r="B851" i="9"/>
  <c r="D851" i="9"/>
  <c r="F851" i="9"/>
  <c r="J851" i="9"/>
  <c r="H849" i="9"/>
  <c r="B849" i="9"/>
  <c r="D849" i="9"/>
  <c r="F849" i="9"/>
  <c r="J849" i="9"/>
  <c r="H847" i="9"/>
  <c r="B847" i="9"/>
  <c r="D847" i="9"/>
  <c r="F847" i="9"/>
  <c r="J847" i="9"/>
  <c r="F849" i="7"/>
  <c r="H845" i="9"/>
  <c r="B845" i="9"/>
  <c r="D845" i="9"/>
  <c r="F845" i="9"/>
  <c r="J845" i="9"/>
  <c r="H843" i="9"/>
  <c r="B843" i="9"/>
  <c r="D843" i="9"/>
  <c r="F843" i="9"/>
  <c r="J843" i="9"/>
  <c r="H841" i="9"/>
  <c r="B841" i="9"/>
  <c r="D841" i="9"/>
  <c r="F841" i="9"/>
  <c r="J841" i="9"/>
  <c r="H839" i="9"/>
  <c r="B839" i="9"/>
  <c r="D839" i="9"/>
  <c r="F839" i="9"/>
  <c r="J839" i="9"/>
  <c r="F841" i="7"/>
  <c r="H837" i="9"/>
  <c r="B837" i="9"/>
  <c r="D837" i="9"/>
  <c r="F837" i="9"/>
  <c r="J837" i="9"/>
  <c r="H835" i="9"/>
  <c r="B835" i="9"/>
  <c r="D835" i="9"/>
  <c r="F835" i="9"/>
  <c r="J835" i="9"/>
  <c r="H833" i="9"/>
  <c r="B833" i="9"/>
  <c r="D833" i="9"/>
  <c r="F833" i="9"/>
  <c r="J833" i="9"/>
  <c r="H831" i="9"/>
  <c r="B831" i="9"/>
  <c r="D831" i="9"/>
  <c r="F831" i="9"/>
  <c r="J831" i="9"/>
  <c r="H829" i="9"/>
  <c r="B829" i="9"/>
  <c r="D829" i="9"/>
  <c r="F829" i="9"/>
  <c r="J829" i="9"/>
  <c r="H827" i="9"/>
  <c r="B827" i="9"/>
  <c r="D827" i="9"/>
  <c r="F827" i="9"/>
  <c r="J827" i="9"/>
  <c r="H825" i="9"/>
  <c r="B825" i="9"/>
  <c r="D825" i="9"/>
  <c r="F825" i="9"/>
  <c r="J825" i="9"/>
  <c r="H823" i="9"/>
  <c r="B823" i="9"/>
  <c r="D823" i="9"/>
  <c r="F823" i="9"/>
  <c r="J823" i="9"/>
  <c r="H821" i="9"/>
  <c r="B821" i="9"/>
  <c r="D821" i="9"/>
  <c r="F821" i="9"/>
  <c r="J821" i="9"/>
  <c r="H819" i="9"/>
  <c r="B819" i="9"/>
  <c r="D819" i="9"/>
  <c r="F819" i="9"/>
  <c r="J819" i="9"/>
  <c r="H817" i="9"/>
  <c r="B817" i="9"/>
  <c r="D817" i="9"/>
  <c r="F817" i="9"/>
  <c r="J817" i="9"/>
  <c r="H815" i="9"/>
  <c r="B815" i="9"/>
  <c r="D815" i="9"/>
  <c r="F815" i="9"/>
  <c r="J815" i="9"/>
  <c r="H813" i="9"/>
  <c r="B813" i="9"/>
  <c r="D813" i="9"/>
  <c r="F813" i="9"/>
  <c r="J813" i="9"/>
  <c r="H811" i="9"/>
  <c r="B811" i="9"/>
  <c r="D811" i="9"/>
  <c r="F811" i="9"/>
  <c r="J811" i="9"/>
  <c r="H809" i="9"/>
  <c r="B809" i="9"/>
  <c r="D809" i="9"/>
  <c r="F809" i="9"/>
  <c r="J809" i="9"/>
  <c r="H807" i="9"/>
  <c r="B807" i="9"/>
  <c r="D807" i="9"/>
  <c r="F807" i="9"/>
  <c r="J807" i="9"/>
  <c r="H805" i="9"/>
  <c r="B805" i="9"/>
  <c r="D805" i="9"/>
  <c r="F805" i="9"/>
  <c r="J805" i="9"/>
  <c r="H803" i="9"/>
  <c r="B803" i="9"/>
  <c r="D803" i="9"/>
  <c r="F803" i="9"/>
  <c r="J803" i="9"/>
  <c r="H801" i="9"/>
  <c r="B801" i="9"/>
  <c r="D801" i="9"/>
  <c r="F801" i="9"/>
  <c r="J801" i="9"/>
  <c r="H799" i="9"/>
  <c r="B799" i="9"/>
  <c r="D799" i="9"/>
  <c r="F799" i="9"/>
  <c r="J799" i="9"/>
  <c r="H797" i="9"/>
  <c r="B797" i="9"/>
  <c r="D797" i="9"/>
  <c r="F797" i="9"/>
  <c r="J797" i="9"/>
  <c r="H795" i="9"/>
  <c r="B795" i="9"/>
  <c r="D795" i="9"/>
  <c r="F795" i="9"/>
  <c r="J795" i="9"/>
  <c r="H793" i="9"/>
  <c r="B793" i="9"/>
  <c r="D793" i="9"/>
  <c r="F793" i="9"/>
  <c r="J793" i="9"/>
  <c r="H791" i="9"/>
  <c r="B791" i="9"/>
  <c r="D791" i="9"/>
  <c r="F791" i="9"/>
  <c r="J791" i="9"/>
  <c r="H789" i="9"/>
  <c r="B789" i="9"/>
  <c r="D789" i="9"/>
  <c r="F789" i="9"/>
  <c r="J789" i="9"/>
  <c r="H787" i="9"/>
  <c r="B787" i="9"/>
  <c r="D787" i="9"/>
  <c r="F787" i="9"/>
  <c r="J787" i="9"/>
  <c r="H785" i="9"/>
  <c r="B785" i="9"/>
  <c r="D785" i="9"/>
  <c r="F785" i="9"/>
  <c r="J785" i="9"/>
  <c r="H783" i="9"/>
  <c r="B783" i="9"/>
  <c r="D783" i="9"/>
  <c r="F783" i="9"/>
  <c r="J783" i="9"/>
  <c r="H781" i="9"/>
  <c r="B781" i="9"/>
  <c r="D781" i="9"/>
  <c r="F781" i="9"/>
  <c r="J781" i="9"/>
  <c r="H779" i="9"/>
  <c r="B779" i="9"/>
  <c r="D779" i="9"/>
  <c r="F779" i="9"/>
  <c r="J779" i="9"/>
  <c r="H777" i="9"/>
  <c r="B777" i="9"/>
  <c r="D777" i="9"/>
  <c r="F777" i="9"/>
  <c r="J777" i="9"/>
  <c r="H775" i="9"/>
  <c r="B775" i="9"/>
  <c r="D775" i="9"/>
  <c r="F775" i="9"/>
  <c r="J775" i="9"/>
  <c r="H773" i="9"/>
  <c r="B773" i="9"/>
  <c r="D773" i="9"/>
  <c r="F773" i="9"/>
  <c r="J773" i="9"/>
  <c r="H771" i="9"/>
  <c r="B771" i="9"/>
  <c r="D771" i="9"/>
  <c r="F771" i="9"/>
  <c r="J771" i="9"/>
  <c r="H769" i="9"/>
  <c r="B769" i="9"/>
  <c r="D769" i="9"/>
  <c r="F769" i="9"/>
  <c r="J769" i="9"/>
  <c r="H767" i="9"/>
  <c r="B767" i="9"/>
  <c r="D767" i="9"/>
  <c r="F767" i="9"/>
  <c r="J767" i="9"/>
  <c r="H765" i="9"/>
  <c r="B765" i="9"/>
  <c r="D765" i="9"/>
  <c r="F765" i="9"/>
  <c r="J765" i="9"/>
  <c r="H763" i="9"/>
  <c r="B763" i="9"/>
  <c r="D763" i="9"/>
  <c r="F763" i="9"/>
  <c r="J763" i="9"/>
  <c r="H761" i="9"/>
  <c r="B761" i="9"/>
  <c r="D761" i="9"/>
  <c r="F761" i="9"/>
  <c r="J761" i="9"/>
  <c r="H759" i="9"/>
  <c r="B759" i="9"/>
  <c r="D759" i="9"/>
  <c r="F759" i="9"/>
  <c r="J759" i="9"/>
  <c r="H757" i="9"/>
  <c r="B757" i="9"/>
  <c r="D757" i="9"/>
  <c r="F757" i="9"/>
  <c r="J757" i="9"/>
  <c r="H755" i="9"/>
  <c r="B755" i="9"/>
  <c r="D755" i="9"/>
  <c r="F755" i="9"/>
  <c r="J755" i="9"/>
  <c r="H753" i="9"/>
  <c r="B753" i="9"/>
  <c r="D753" i="9"/>
  <c r="F753" i="9"/>
  <c r="J753" i="9"/>
  <c r="H751" i="9"/>
  <c r="B751" i="9"/>
  <c r="D751" i="9"/>
  <c r="F751" i="9"/>
  <c r="J751" i="9"/>
  <c r="H749" i="9"/>
  <c r="B749" i="9"/>
  <c r="D749" i="9"/>
  <c r="F749" i="9"/>
  <c r="J749" i="9"/>
  <c r="H747" i="9"/>
  <c r="B747" i="9"/>
  <c r="D747" i="9"/>
  <c r="F747" i="9"/>
  <c r="J747" i="9"/>
  <c r="H745" i="9"/>
  <c r="B745" i="9"/>
  <c r="D745" i="9"/>
  <c r="F745" i="9"/>
  <c r="J745" i="9"/>
  <c r="H743" i="9"/>
  <c r="B743" i="9"/>
  <c r="D743" i="9"/>
  <c r="F743" i="9"/>
  <c r="J743" i="9"/>
  <c r="H741" i="9"/>
  <c r="B741" i="9"/>
  <c r="D741" i="9"/>
  <c r="F741" i="9"/>
  <c r="J741" i="9"/>
  <c r="H739" i="9"/>
  <c r="B739" i="9"/>
  <c r="D739" i="9"/>
  <c r="F739" i="9"/>
  <c r="J739" i="9"/>
  <c r="H737" i="9"/>
  <c r="B737" i="9"/>
  <c r="D737" i="9"/>
  <c r="F737" i="9"/>
  <c r="J737" i="9"/>
  <c r="H735" i="9"/>
  <c r="B735" i="9"/>
  <c r="D735" i="9"/>
  <c r="F735" i="9"/>
  <c r="J735" i="9"/>
  <c r="H733" i="9"/>
  <c r="B733" i="9"/>
  <c r="D733" i="9"/>
  <c r="F733" i="9"/>
  <c r="J733" i="9"/>
  <c r="H731" i="9"/>
  <c r="B731" i="9"/>
  <c r="D731" i="9"/>
  <c r="F731" i="9"/>
  <c r="J731" i="9"/>
  <c r="C731" i="9"/>
  <c r="E731" i="9"/>
  <c r="G731" i="9"/>
  <c r="H729" i="9"/>
  <c r="B729" i="9"/>
  <c r="D729" i="9"/>
  <c r="F729" i="9"/>
  <c r="J729" i="9"/>
  <c r="C729" i="9"/>
  <c r="E729" i="9"/>
  <c r="G729" i="9"/>
  <c r="K729" i="9"/>
  <c r="H727" i="9"/>
  <c r="B727" i="9"/>
  <c r="D727" i="9"/>
  <c r="F727" i="9"/>
  <c r="J727" i="9"/>
  <c r="C727" i="9"/>
  <c r="E727" i="9"/>
  <c r="G727" i="9"/>
  <c r="K727" i="9"/>
  <c r="H725" i="9"/>
  <c r="B725" i="9"/>
  <c r="D725" i="9"/>
  <c r="F725" i="9"/>
  <c r="J725" i="9"/>
  <c r="C725" i="9"/>
  <c r="E725" i="9"/>
  <c r="G725" i="9"/>
  <c r="K725" i="9"/>
  <c r="H723" i="9"/>
  <c r="B723" i="9"/>
  <c r="D723" i="9"/>
  <c r="F723" i="9"/>
  <c r="J723" i="9"/>
  <c r="C723" i="9"/>
  <c r="E723" i="9"/>
  <c r="G723" i="9"/>
  <c r="K723" i="9"/>
  <c r="H721" i="9"/>
  <c r="B721" i="9"/>
  <c r="D721" i="9"/>
  <c r="F721" i="9"/>
  <c r="J721" i="9"/>
  <c r="C721" i="9"/>
  <c r="E721" i="9"/>
  <c r="G721" i="9"/>
  <c r="K721" i="9"/>
  <c r="H719" i="9"/>
  <c r="B719" i="9"/>
  <c r="D719" i="9"/>
  <c r="F719" i="9"/>
  <c r="J719" i="9"/>
  <c r="C719" i="9"/>
  <c r="E719" i="9"/>
  <c r="G719" i="9"/>
  <c r="K719" i="9"/>
  <c r="H717" i="9"/>
  <c r="B717" i="9"/>
  <c r="D717" i="9"/>
  <c r="F717" i="9"/>
  <c r="J717" i="9"/>
  <c r="C717" i="9"/>
  <c r="E717" i="9"/>
  <c r="G717" i="9"/>
  <c r="K717" i="9"/>
  <c r="H715" i="9"/>
  <c r="B715" i="9"/>
  <c r="D715" i="9"/>
  <c r="F715" i="9"/>
  <c r="J715" i="9"/>
  <c r="C715" i="9"/>
  <c r="E715" i="9"/>
  <c r="G715" i="9"/>
  <c r="K715" i="9"/>
  <c r="H713" i="9"/>
  <c r="B713" i="9"/>
  <c r="D713" i="9"/>
  <c r="F713" i="9"/>
  <c r="J713" i="9"/>
  <c r="C713" i="9"/>
  <c r="E713" i="9"/>
  <c r="G713" i="9"/>
  <c r="K713" i="9"/>
  <c r="H711" i="9"/>
  <c r="B711" i="9"/>
  <c r="D711" i="9"/>
  <c r="F711" i="9"/>
  <c r="J711" i="9"/>
  <c r="C711" i="9"/>
  <c r="E711" i="9"/>
  <c r="G711" i="9"/>
  <c r="K711" i="9"/>
  <c r="H709" i="9"/>
  <c r="B709" i="9"/>
  <c r="D709" i="9"/>
  <c r="F709" i="9"/>
  <c r="J709" i="9"/>
  <c r="C709" i="9"/>
  <c r="E709" i="9"/>
  <c r="G709" i="9"/>
  <c r="K709" i="9"/>
  <c r="H707" i="9"/>
  <c r="B707" i="9"/>
  <c r="D707" i="9"/>
  <c r="F707" i="9"/>
  <c r="J707" i="9"/>
  <c r="C707" i="9"/>
  <c r="E707" i="9"/>
  <c r="G707" i="9"/>
  <c r="K707" i="9"/>
  <c r="H705" i="9"/>
  <c r="B705" i="9"/>
  <c r="D705" i="9"/>
  <c r="F705" i="9"/>
  <c r="J705" i="9"/>
  <c r="C705" i="9"/>
  <c r="E705" i="9"/>
  <c r="G705" i="9"/>
  <c r="K705" i="9"/>
  <c r="H703" i="9"/>
  <c r="B703" i="9"/>
  <c r="D703" i="9"/>
  <c r="F703" i="9"/>
  <c r="J703" i="9"/>
  <c r="C703" i="9"/>
  <c r="E703" i="9"/>
  <c r="G703" i="9"/>
  <c r="K703" i="9"/>
  <c r="H701" i="9"/>
  <c r="B701" i="9"/>
  <c r="D701" i="9"/>
  <c r="F701" i="9"/>
  <c r="J701" i="9"/>
  <c r="C701" i="9"/>
  <c r="E701" i="9"/>
  <c r="G701" i="9"/>
  <c r="K701" i="9"/>
  <c r="H699" i="9"/>
  <c r="B699" i="9"/>
  <c r="D699" i="9"/>
  <c r="F699" i="9"/>
  <c r="J699" i="9"/>
  <c r="C699" i="9"/>
  <c r="E699" i="9"/>
  <c r="G699" i="9"/>
  <c r="K699" i="9"/>
  <c r="H697" i="9"/>
  <c r="B697" i="9"/>
  <c r="D697" i="9"/>
  <c r="F697" i="9"/>
  <c r="J697" i="9"/>
  <c r="C697" i="9"/>
  <c r="E697" i="9"/>
  <c r="G697" i="9"/>
  <c r="K697" i="9"/>
  <c r="H695" i="9"/>
  <c r="B695" i="9"/>
  <c r="D695" i="9"/>
  <c r="F695" i="9"/>
  <c r="J695" i="9"/>
  <c r="C695" i="9"/>
  <c r="E695" i="9"/>
  <c r="G695" i="9"/>
  <c r="K695" i="9"/>
  <c r="H693" i="9"/>
  <c r="B693" i="9"/>
  <c r="D693" i="9"/>
  <c r="F693" i="9"/>
  <c r="J693" i="9"/>
  <c r="C693" i="9"/>
  <c r="E693" i="9"/>
  <c r="G693" i="9"/>
  <c r="K693" i="9"/>
  <c r="H691" i="9"/>
  <c r="B691" i="9"/>
  <c r="D691" i="9"/>
  <c r="F691" i="9"/>
  <c r="J691" i="9"/>
  <c r="C691" i="9"/>
  <c r="E691" i="9"/>
  <c r="G691" i="9"/>
  <c r="K691" i="9"/>
  <c r="H689" i="9"/>
  <c r="B689" i="9"/>
  <c r="D689" i="9"/>
  <c r="F689" i="9"/>
  <c r="J689" i="9"/>
  <c r="C689" i="9"/>
  <c r="E689" i="9"/>
  <c r="G689" i="9"/>
  <c r="K689" i="9"/>
  <c r="H687" i="9"/>
  <c r="B687" i="9"/>
  <c r="D687" i="9"/>
  <c r="F687" i="9"/>
  <c r="J687" i="9"/>
  <c r="C687" i="9"/>
  <c r="E687" i="9"/>
  <c r="G687" i="9"/>
  <c r="K687" i="9"/>
  <c r="H685" i="9"/>
  <c r="B685" i="9"/>
  <c r="D685" i="9"/>
  <c r="F685" i="9"/>
  <c r="J685" i="9"/>
  <c r="C685" i="9"/>
  <c r="E685" i="9"/>
  <c r="G685" i="9"/>
  <c r="K685" i="9"/>
  <c r="H683" i="9"/>
  <c r="B683" i="9"/>
  <c r="D683" i="9"/>
  <c r="F683" i="9"/>
  <c r="J683" i="9"/>
  <c r="C683" i="9"/>
  <c r="E683" i="9"/>
  <c r="G683" i="9"/>
  <c r="K683" i="9"/>
  <c r="H681" i="9"/>
  <c r="B681" i="9"/>
  <c r="D681" i="9"/>
  <c r="F681" i="9"/>
  <c r="J681" i="9"/>
  <c r="C681" i="9"/>
  <c r="E681" i="9"/>
  <c r="G681" i="9"/>
  <c r="K681" i="9"/>
  <c r="H679" i="9"/>
  <c r="B679" i="9"/>
  <c r="D679" i="9"/>
  <c r="F679" i="9"/>
  <c r="J679" i="9"/>
  <c r="C679" i="9"/>
  <c r="E679" i="9"/>
  <c r="G679" i="9"/>
  <c r="K679" i="9"/>
  <c r="H677" i="9"/>
  <c r="B677" i="9"/>
  <c r="D677" i="9"/>
  <c r="F677" i="9"/>
  <c r="J677" i="9"/>
  <c r="C677" i="9"/>
  <c r="E677" i="9"/>
  <c r="G677" i="9"/>
  <c r="K677" i="9"/>
  <c r="H675" i="9"/>
  <c r="B675" i="9"/>
  <c r="D675" i="9"/>
  <c r="F675" i="9"/>
  <c r="J675" i="9"/>
  <c r="C675" i="9"/>
  <c r="E675" i="9"/>
  <c r="G675" i="9"/>
  <c r="K675" i="9"/>
  <c r="H673" i="9"/>
  <c r="B673" i="9"/>
  <c r="D673" i="9"/>
  <c r="F673" i="9"/>
  <c r="J673" i="9"/>
  <c r="C673" i="9"/>
  <c r="E673" i="9"/>
  <c r="G673" i="9"/>
  <c r="K673" i="9"/>
  <c r="H671" i="9"/>
  <c r="B671" i="9"/>
  <c r="D671" i="9"/>
  <c r="F671" i="9"/>
  <c r="J671" i="9"/>
  <c r="C671" i="9"/>
  <c r="E671" i="9"/>
  <c r="G671" i="9"/>
  <c r="K671" i="9"/>
  <c r="H669" i="9"/>
  <c r="B669" i="9"/>
  <c r="D669" i="9"/>
  <c r="F669" i="9"/>
  <c r="J669" i="9"/>
  <c r="C669" i="9"/>
  <c r="E669" i="9"/>
  <c r="G669" i="9"/>
  <c r="K669" i="9"/>
  <c r="H667" i="9"/>
  <c r="B667" i="9"/>
  <c r="D667" i="9"/>
  <c r="F667" i="9"/>
  <c r="J667" i="9"/>
  <c r="C667" i="9"/>
  <c r="E667" i="9"/>
  <c r="G667" i="9"/>
  <c r="K667" i="9"/>
  <c r="H665" i="9"/>
  <c r="B665" i="9"/>
  <c r="D665" i="9"/>
  <c r="F665" i="9"/>
  <c r="J665" i="9"/>
  <c r="C665" i="9"/>
  <c r="E665" i="9"/>
  <c r="G665" i="9"/>
  <c r="K665" i="9"/>
  <c r="H663" i="9"/>
  <c r="B663" i="9"/>
  <c r="D663" i="9"/>
  <c r="F663" i="9"/>
  <c r="J663" i="9"/>
  <c r="C663" i="9"/>
  <c r="E663" i="9"/>
  <c r="G663" i="9"/>
  <c r="K663" i="9"/>
  <c r="H661" i="9"/>
  <c r="B661" i="9"/>
  <c r="D661" i="9"/>
  <c r="F661" i="9"/>
  <c r="J661" i="9"/>
  <c r="C661" i="9"/>
  <c r="E661" i="9"/>
  <c r="G661" i="9"/>
  <c r="K661" i="9"/>
  <c r="H659" i="9"/>
  <c r="B659" i="9"/>
  <c r="D659" i="9"/>
  <c r="F659" i="9"/>
  <c r="J659" i="9"/>
  <c r="C659" i="9"/>
  <c r="E659" i="9"/>
  <c r="G659" i="9"/>
  <c r="K659" i="9"/>
  <c r="H657" i="9"/>
  <c r="B657" i="9"/>
  <c r="D657" i="9"/>
  <c r="F657" i="9"/>
  <c r="J657" i="9"/>
  <c r="C657" i="9"/>
  <c r="E657" i="9"/>
  <c r="G657" i="9"/>
  <c r="K657" i="9"/>
  <c r="H655" i="9"/>
  <c r="B655" i="9"/>
  <c r="D655" i="9"/>
  <c r="F655" i="9"/>
  <c r="J655" i="9"/>
  <c r="C655" i="9"/>
  <c r="E655" i="9"/>
  <c r="G655" i="9"/>
  <c r="K655" i="9"/>
  <c r="H653" i="9"/>
  <c r="B653" i="9"/>
  <c r="D653" i="9"/>
  <c r="F653" i="9"/>
  <c r="J653" i="9"/>
  <c r="C653" i="9"/>
  <c r="E653" i="9"/>
  <c r="G653" i="9"/>
  <c r="K653" i="9"/>
  <c r="H651" i="9"/>
  <c r="B651" i="9"/>
  <c r="D651" i="9"/>
  <c r="F651" i="9"/>
  <c r="J651" i="9"/>
  <c r="C651" i="9"/>
  <c r="E651" i="9"/>
  <c r="G651" i="9"/>
  <c r="K651" i="9"/>
  <c r="H649" i="9"/>
  <c r="B649" i="9"/>
  <c r="D649" i="9"/>
  <c r="F649" i="9"/>
  <c r="J649" i="9"/>
  <c r="C649" i="9"/>
  <c r="E649" i="9"/>
  <c r="G649" i="9"/>
  <c r="K649" i="9"/>
  <c r="H647" i="9"/>
  <c r="B647" i="9"/>
  <c r="D647" i="9"/>
  <c r="F647" i="9"/>
  <c r="J647" i="9"/>
  <c r="C647" i="9"/>
  <c r="E647" i="9"/>
  <c r="G647" i="9"/>
  <c r="K647" i="9"/>
  <c r="H645" i="9"/>
  <c r="B645" i="9"/>
  <c r="D645" i="9"/>
  <c r="F645" i="9"/>
  <c r="J645" i="9"/>
  <c r="C645" i="9"/>
  <c r="E645" i="9"/>
  <c r="G645" i="9"/>
  <c r="K645" i="9"/>
  <c r="H643" i="9"/>
  <c r="B643" i="9"/>
  <c r="D643" i="9"/>
  <c r="F643" i="9"/>
  <c r="J643" i="9"/>
  <c r="C643" i="9"/>
  <c r="E643" i="9"/>
  <c r="G643" i="9"/>
  <c r="K643" i="9"/>
  <c r="H641" i="9"/>
  <c r="B641" i="9"/>
  <c r="D641" i="9"/>
  <c r="F641" i="9"/>
  <c r="J641" i="9"/>
  <c r="C641" i="9"/>
  <c r="E641" i="9"/>
  <c r="G641" i="9"/>
  <c r="K641" i="9"/>
  <c r="H639" i="9"/>
  <c r="B639" i="9"/>
  <c r="D639" i="9"/>
  <c r="F639" i="9"/>
  <c r="J639" i="9"/>
  <c r="C639" i="9"/>
  <c r="E639" i="9"/>
  <c r="G639" i="9"/>
  <c r="K639" i="9"/>
  <c r="H637" i="9"/>
  <c r="B637" i="9"/>
  <c r="D637" i="9"/>
  <c r="F637" i="9"/>
  <c r="J637" i="9"/>
  <c r="C637" i="9"/>
  <c r="E637" i="9"/>
  <c r="G637" i="9"/>
  <c r="K637" i="9"/>
  <c r="H635" i="9"/>
  <c r="B635" i="9"/>
  <c r="D635" i="9"/>
  <c r="F635" i="9"/>
  <c r="J635" i="9"/>
  <c r="C635" i="9"/>
  <c r="E635" i="9"/>
  <c r="G635" i="9"/>
  <c r="K635" i="9"/>
  <c r="H633" i="9"/>
  <c r="B633" i="9"/>
  <c r="D633" i="9"/>
  <c r="F633" i="9"/>
  <c r="J633" i="9"/>
  <c r="C633" i="9"/>
  <c r="E633" i="9"/>
  <c r="G633" i="9"/>
  <c r="K633" i="9"/>
  <c r="H631" i="9"/>
  <c r="B631" i="9"/>
  <c r="D631" i="9"/>
  <c r="F631" i="9"/>
  <c r="J631" i="9"/>
  <c r="C631" i="9"/>
  <c r="E631" i="9"/>
  <c r="G631" i="9"/>
  <c r="K631" i="9"/>
  <c r="H629" i="9"/>
  <c r="B629" i="9"/>
  <c r="D629" i="9"/>
  <c r="F629" i="9"/>
  <c r="J629" i="9"/>
  <c r="C629" i="9"/>
  <c r="E629" i="9"/>
  <c r="G629" i="9"/>
  <c r="K629" i="9"/>
  <c r="H627" i="9"/>
  <c r="B627" i="9"/>
  <c r="D627" i="9"/>
  <c r="F627" i="9"/>
  <c r="J627" i="9"/>
  <c r="C627" i="9"/>
  <c r="E627" i="9"/>
  <c r="G627" i="9"/>
  <c r="K627" i="9"/>
  <c r="H625" i="9"/>
  <c r="B625" i="9"/>
  <c r="D625" i="9"/>
  <c r="F625" i="9"/>
  <c r="J625" i="9"/>
  <c r="C625" i="9"/>
  <c r="E625" i="9"/>
  <c r="G625" i="9"/>
  <c r="K625" i="9"/>
  <c r="H623" i="9"/>
  <c r="B623" i="9"/>
  <c r="D623" i="9"/>
  <c r="F623" i="9"/>
  <c r="J623" i="9"/>
  <c r="C623" i="9"/>
  <c r="E623" i="9"/>
  <c r="G623" i="9"/>
  <c r="K623" i="9"/>
  <c r="H621" i="9"/>
  <c r="B621" i="9"/>
  <c r="D621" i="9"/>
  <c r="F621" i="9"/>
  <c r="J621" i="9"/>
  <c r="C621" i="9"/>
  <c r="E621" i="9"/>
  <c r="G621" i="9"/>
  <c r="K621" i="9"/>
  <c r="H619" i="9"/>
  <c r="B619" i="9"/>
  <c r="D619" i="9"/>
  <c r="F619" i="9"/>
  <c r="J619" i="9"/>
  <c r="C619" i="9"/>
  <c r="E619" i="9"/>
  <c r="G619" i="9"/>
  <c r="K619" i="9"/>
  <c r="H617" i="9"/>
  <c r="B617" i="9"/>
  <c r="D617" i="9"/>
  <c r="F617" i="9"/>
  <c r="J617" i="9"/>
  <c r="C617" i="9"/>
  <c r="E617" i="9"/>
  <c r="G617" i="9"/>
  <c r="K617" i="9"/>
  <c r="H615" i="9"/>
  <c r="B615" i="9"/>
  <c r="D615" i="9"/>
  <c r="F615" i="9"/>
  <c r="J615" i="9"/>
  <c r="C615" i="9"/>
  <c r="E615" i="9"/>
  <c r="G615" i="9"/>
  <c r="K615" i="9"/>
  <c r="H613" i="9"/>
  <c r="B613" i="9"/>
  <c r="D613" i="9"/>
  <c r="F613" i="9"/>
  <c r="J613" i="9"/>
  <c r="C613" i="9"/>
  <c r="E613" i="9"/>
  <c r="G613" i="9"/>
  <c r="K613" i="9"/>
  <c r="H611" i="9"/>
  <c r="B611" i="9"/>
  <c r="D611" i="9"/>
  <c r="F611" i="9"/>
  <c r="J611" i="9"/>
  <c r="C611" i="9"/>
  <c r="E611" i="9"/>
  <c r="G611" i="9"/>
  <c r="K611" i="9"/>
  <c r="H609" i="9"/>
  <c r="B609" i="9"/>
  <c r="D609" i="9"/>
  <c r="F609" i="9"/>
  <c r="J609" i="9"/>
  <c r="C609" i="9"/>
  <c r="E609" i="9"/>
  <c r="G609" i="9"/>
  <c r="K609" i="9"/>
  <c r="H607" i="9"/>
  <c r="B607" i="9"/>
  <c r="D607" i="9"/>
  <c r="F607" i="9"/>
  <c r="J607" i="9"/>
  <c r="C607" i="9"/>
  <c r="E607" i="9"/>
  <c r="G607" i="9"/>
  <c r="K607" i="9"/>
  <c r="H605" i="9"/>
  <c r="B605" i="9"/>
  <c r="D605" i="9"/>
  <c r="F605" i="9"/>
  <c r="J605" i="9"/>
  <c r="C605" i="9"/>
  <c r="E605" i="9"/>
  <c r="G605" i="9"/>
  <c r="K605" i="9"/>
  <c r="H603" i="9"/>
  <c r="B603" i="9"/>
  <c r="D603" i="9"/>
  <c r="F603" i="9"/>
  <c r="J603" i="9"/>
  <c r="C603" i="9"/>
  <c r="E603" i="9"/>
  <c r="G603" i="9"/>
  <c r="K603" i="9"/>
  <c r="H601" i="9"/>
  <c r="B601" i="9"/>
  <c r="D601" i="9"/>
  <c r="F601" i="9"/>
  <c r="J601" i="9"/>
  <c r="C601" i="9"/>
  <c r="E601" i="9"/>
  <c r="G601" i="9"/>
  <c r="K601" i="9"/>
  <c r="H599" i="9"/>
  <c r="B599" i="9"/>
  <c r="D599" i="9"/>
  <c r="F599" i="9"/>
  <c r="J599" i="9"/>
  <c r="C599" i="9"/>
  <c r="E599" i="9"/>
  <c r="G599" i="9"/>
  <c r="K599" i="9"/>
  <c r="H597" i="9"/>
  <c r="B597" i="9"/>
  <c r="D597" i="9"/>
  <c r="F597" i="9"/>
  <c r="J597" i="9"/>
  <c r="C597" i="9"/>
  <c r="E597" i="9"/>
  <c r="G597" i="9"/>
  <c r="K597" i="9"/>
  <c r="H595" i="9"/>
  <c r="B595" i="9"/>
  <c r="D595" i="9"/>
  <c r="F595" i="9"/>
  <c r="J595" i="9"/>
  <c r="C595" i="9"/>
  <c r="E595" i="9"/>
  <c r="G595" i="9"/>
  <c r="K595" i="9"/>
  <c r="H593" i="9"/>
  <c r="B593" i="9"/>
  <c r="D593" i="9"/>
  <c r="F593" i="9"/>
  <c r="J593" i="9"/>
  <c r="C593" i="9"/>
  <c r="E593" i="9"/>
  <c r="G593" i="9"/>
  <c r="K593" i="9"/>
  <c r="H591" i="9"/>
  <c r="B591" i="9"/>
  <c r="D591" i="9"/>
  <c r="F591" i="9"/>
  <c r="J591" i="9"/>
  <c r="C591" i="9"/>
  <c r="E591" i="9"/>
  <c r="G591" i="9"/>
  <c r="K591" i="9"/>
  <c r="H589" i="9"/>
  <c r="B589" i="9"/>
  <c r="D589" i="9"/>
  <c r="F589" i="9"/>
  <c r="J589" i="9"/>
  <c r="C589" i="9"/>
  <c r="E589" i="9"/>
  <c r="G589" i="9"/>
  <c r="K589" i="9"/>
  <c r="H587" i="9"/>
  <c r="B587" i="9"/>
  <c r="D587" i="9"/>
  <c r="F587" i="9"/>
  <c r="J587" i="9"/>
  <c r="C587" i="9"/>
  <c r="E587" i="9"/>
  <c r="G587" i="9"/>
  <c r="K587" i="9"/>
  <c r="H585" i="9"/>
  <c r="B585" i="9"/>
  <c r="D585" i="9"/>
  <c r="F585" i="9"/>
  <c r="J585" i="9"/>
  <c r="C585" i="9"/>
  <c r="E585" i="9"/>
  <c r="G585" i="9"/>
  <c r="K585" i="9"/>
  <c r="H583" i="9"/>
  <c r="B583" i="9"/>
  <c r="D583" i="9"/>
  <c r="F583" i="9"/>
  <c r="J583" i="9"/>
  <c r="C583" i="9"/>
  <c r="E583" i="9"/>
  <c r="G583" i="9"/>
  <c r="K583" i="9"/>
  <c r="H581" i="9"/>
  <c r="B581" i="9"/>
  <c r="D581" i="9"/>
  <c r="F581" i="9"/>
  <c r="J581" i="9"/>
  <c r="C581" i="9"/>
  <c r="E581" i="9"/>
  <c r="G581" i="9"/>
  <c r="K581" i="9"/>
  <c r="H579" i="9"/>
  <c r="B579" i="9"/>
  <c r="D579" i="9"/>
  <c r="F579" i="9"/>
  <c r="J579" i="9"/>
  <c r="C579" i="9"/>
  <c r="E579" i="9"/>
  <c r="G579" i="9"/>
  <c r="K579" i="9"/>
  <c r="H577" i="9"/>
  <c r="B577" i="9"/>
  <c r="D577" i="9"/>
  <c r="F577" i="9"/>
  <c r="J577" i="9"/>
  <c r="C577" i="9"/>
  <c r="E577" i="9"/>
  <c r="G577" i="9"/>
  <c r="K577" i="9"/>
  <c r="H575" i="9"/>
  <c r="B575" i="9"/>
  <c r="D575" i="9"/>
  <c r="F575" i="9"/>
  <c r="J575" i="9"/>
  <c r="C575" i="9"/>
  <c r="E575" i="9"/>
  <c r="G575" i="9"/>
  <c r="K575" i="9"/>
  <c r="H573" i="9"/>
  <c r="B573" i="9"/>
  <c r="D573" i="9"/>
  <c r="F573" i="9"/>
  <c r="J573" i="9"/>
  <c r="C573" i="9"/>
  <c r="E573" i="9"/>
  <c r="G573" i="9"/>
  <c r="K573" i="9"/>
  <c r="H571" i="9"/>
  <c r="B571" i="9"/>
  <c r="D571" i="9"/>
  <c r="F571" i="9"/>
  <c r="J571" i="9"/>
  <c r="C571" i="9"/>
  <c r="E571" i="9"/>
  <c r="G571" i="9"/>
  <c r="K571" i="9"/>
  <c r="H569" i="9"/>
  <c r="B569" i="9"/>
  <c r="D569" i="9"/>
  <c r="F569" i="9"/>
  <c r="J569" i="9"/>
  <c r="C569" i="9"/>
  <c r="E569" i="9"/>
  <c r="G569" i="9"/>
  <c r="K569" i="9"/>
  <c r="H567" i="9"/>
  <c r="B567" i="9"/>
  <c r="D567" i="9"/>
  <c r="F567" i="9"/>
  <c r="J567" i="9"/>
  <c r="C567" i="9"/>
  <c r="E567" i="9"/>
  <c r="G567" i="9"/>
  <c r="K567" i="9"/>
  <c r="H565" i="9"/>
  <c r="B565" i="9"/>
  <c r="D565" i="9"/>
  <c r="F565" i="9"/>
  <c r="J565" i="9"/>
  <c r="C565" i="9"/>
  <c r="E565" i="9"/>
  <c r="G565" i="9"/>
  <c r="K565" i="9"/>
  <c r="H563" i="9"/>
  <c r="B563" i="9"/>
  <c r="D563" i="9"/>
  <c r="F563" i="9"/>
  <c r="J563" i="9"/>
  <c r="C563" i="9"/>
  <c r="E563" i="9"/>
  <c r="G563" i="9"/>
  <c r="K563" i="9"/>
  <c r="H561" i="9"/>
  <c r="B561" i="9"/>
  <c r="D561" i="9"/>
  <c r="F561" i="9"/>
  <c r="J561" i="9"/>
  <c r="C561" i="9"/>
  <c r="E561" i="9"/>
  <c r="G561" i="9"/>
  <c r="K561" i="9"/>
  <c r="H559" i="9"/>
  <c r="B559" i="9"/>
  <c r="D559" i="9"/>
  <c r="F559" i="9"/>
  <c r="J559" i="9"/>
  <c r="C559" i="9"/>
  <c r="E559" i="9"/>
  <c r="G559" i="9"/>
  <c r="K559" i="9"/>
  <c r="H557" i="9"/>
  <c r="B557" i="9"/>
  <c r="D557" i="9"/>
  <c r="F557" i="9"/>
  <c r="J557" i="9"/>
  <c r="C557" i="9"/>
  <c r="E557" i="9"/>
  <c r="G557" i="9"/>
  <c r="K557" i="9"/>
  <c r="H555" i="9"/>
  <c r="B555" i="9"/>
  <c r="D555" i="9"/>
  <c r="F555" i="9"/>
  <c r="J555" i="9"/>
  <c r="C555" i="9"/>
  <c r="E555" i="9"/>
  <c r="G555" i="9"/>
  <c r="K555" i="9"/>
  <c r="H553" i="9"/>
  <c r="C553" i="9"/>
  <c r="E553" i="9"/>
  <c r="G553" i="9"/>
  <c r="K553" i="9"/>
  <c r="B553" i="9"/>
  <c r="D553" i="9"/>
  <c r="F553" i="9"/>
  <c r="J553" i="9"/>
  <c r="H551" i="9"/>
  <c r="C551" i="9"/>
  <c r="E551" i="9"/>
  <c r="G551" i="9"/>
  <c r="K551" i="9"/>
  <c r="B551" i="9"/>
  <c r="D551" i="9"/>
  <c r="F551" i="9"/>
  <c r="J551" i="9"/>
  <c r="H549" i="9"/>
  <c r="C549" i="9"/>
  <c r="E549" i="9"/>
  <c r="G549" i="9"/>
  <c r="K549" i="9"/>
  <c r="B549" i="9"/>
  <c r="D549" i="9"/>
  <c r="F549" i="9"/>
  <c r="J549" i="9"/>
  <c r="H547" i="9"/>
  <c r="C547" i="9"/>
  <c r="E547" i="9"/>
  <c r="G547" i="9"/>
  <c r="K547" i="9"/>
  <c r="B547" i="9"/>
  <c r="D547" i="9"/>
  <c r="F547" i="9"/>
  <c r="J547" i="9"/>
  <c r="H545" i="9"/>
  <c r="C545" i="9"/>
  <c r="E545" i="9"/>
  <c r="G545" i="9"/>
  <c r="K545" i="9"/>
  <c r="B545" i="9"/>
  <c r="D545" i="9"/>
  <c r="F545" i="9"/>
  <c r="J545" i="9"/>
  <c r="H543" i="9"/>
  <c r="C543" i="9"/>
  <c r="E543" i="9"/>
  <c r="G543" i="9"/>
  <c r="K543" i="9"/>
  <c r="B543" i="9"/>
  <c r="D543" i="9"/>
  <c r="F543" i="9"/>
  <c r="J543" i="9"/>
  <c r="H541" i="9"/>
  <c r="C541" i="9"/>
  <c r="E541" i="9"/>
  <c r="G541" i="9"/>
  <c r="K541" i="9"/>
  <c r="B541" i="9"/>
  <c r="D541" i="9"/>
  <c r="F541" i="9"/>
  <c r="J541" i="9"/>
  <c r="H539" i="9"/>
  <c r="C539" i="9"/>
  <c r="E539" i="9"/>
  <c r="G539" i="9"/>
  <c r="K539" i="9"/>
  <c r="B539" i="9"/>
  <c r="D539" i="9"/>
  <c r="F539" i="9"/>
  <c r="J539" i="9"/>
  <c r="H537" i="9"/>
  <c r="C537" i="9"/>
  <c r="E537" i="9"/>
  <c r="G537" i="9"/>
  <c r="K537" i="9"/>
  <c r="B537" i="9"/>
  <c r="D537" i="9"/>
  <c r="F537" i="9"/>
  <c r="J537" i="9"/>
  <c r="H535" i="9"/>
  <c r="C535" i="9"/>
  <c r="E535" i="9"/>
  <c r="G535" i="9"/>
  <c r="K535" i="9"/>
  <c r="B535" i="9"/>
  <c r="D535" i="9"/>
  <c r="F535" i="9"/>
  <c r="J535" i="9"/>
  <c r="H533" i="9"/>
  <c r="C533" i="9"/>
  <c r="E533" i="9"/>
  <c r="G533" i="9"/>
  <c r="K533" i="9"/>
  <c r="B533" i="9"/>
  <c r="D533" i="9"/>
  <c r="F533" i="9"/>
  <c r="J533" i="9"/>
  <c r="H531" i="9"/>
  <c r="C531" i="9"/>
  <c r="E531" i="9"/>
  <c r="G531" i="9"/>
  <c r="K531" i="9"/>
  <c r="B531" i="9"/>
  <c r="D531" i="9"/>
  <c r="F531" i="9"/>
  <c r="J531" i="9"/>
  <c r="H529" i="9"/>
  <c r="C529" i="9"/>
  <c r="E529" i="9"/>
  <c r="G529" i="9"/>
  <c r="K529" i="9"/>
  <c r="B529" i="9"/>
  <c r="D529" i="9"/>
  <c r="F529" i="9"/>
  <c r="J529" i="9"/>
  <c r="H527" i="9"/>
  <c r="C527" i="9"/>
  <c r="E527" i="9"/>
  <c r="G527" i="9"/>
  <c r="K527" i="9"/>
  <c r="B527" i="9"/>
  <c r="D527" i="9"/>
  <c r="F527" i="9"/>
  <c r="J527" i="9"/>
  <c r="H525" i="9"/>
  <c r="C525" i="9"/>
  <c r="E525" i="9"/>
  <c r="G525" i="9"/>
  <c r="K525" i="9"/>
  <c r="B525" i="9"/>
  <c r="D525" i="9"/>
  <c r="F525" i="9"/>
  <c r="J525" i="9"/>
  <c r="H523" i="9"/>
  <c r="C523" i="9"/>
  <c r="E523" i="9"/>
  <c r="G523" i="9"/>
  <c r="K523" i="9"/>
  <c r="B523" i="9"/>
  <c r="D523" i="9"/>
  <c r="F523" i="9"/>
  <c r="J523" i="9"/>
  <c r="H521" i="9"/>
  <c r="C521" i="9"/>
  <c r="E521" i="9"/>
  <c r="G521" i="9"/>
  <c r="K521" i="9"/>
  <c r="B521" i="9"/>
  <c r="D521" i="9"/>
  <c r="F521" i="9"/>
  <c r="J521" i="9"/>
  <c r="H519" i="9"/>
  <c r="C519" i="9"/>
  <c r="E519" i="9"/>
  <c r="G519" i="9"/>
  <c r="K519" i="9"/>
  <c r="B519" i="9"/>
  <c r="D519" i="9"/>
  <c r="F519" i="9"/>
  <c r="J519" i="9"/>
  <c r="H517" i="9"/>
  <c r="C517" i="9"/>
  <c r="E517" i="9"/>
  <c r="G517" i="9"/>
  <c r="K517" i="9"/>
  <c r="B517" i="9"/>
  <c r="D517" i="9"/>
  <c r="F517" i="9"/>
  <c r="J517" i="9"/>
  <c r="H515" i="9"/>
  <c r="C515" i="9"/>
  <c r="E515" i="9"/>
  <c r="G515" i="9"/>
  <c r="K515" i="9"/>
  <c r="B515" i="9"/>
  <c r="D515" i="9"/>
  <c r="F515" i="9"/>
  <c r="J515" i="9"/>
  <c r="H513" i="9"/>
  <c r="C513" i="9"/>
  <c r="E513" i="9"/>
  <c r="G513" i="9"/>
  <c r="K513" i="9"/>
  <c r="B513" i="9"/>
  <c r="D513" i="9"/>
  <c r="F513" i="9"/>
  <c r="J513" i="9"/>
  <c r="H511" i="9"/>
  <c r="C511" i="9"/>
  <c r="E511" i="9"/>
  <c r="G511" i="9"/>
  <c r="K511" i="9"/>
  <c r="B511" i="9"/>
  <c r="D511" i="9"/>
  <c r="F511" i="9"/>
  <c r="J511" i="9"/>
  <c r="H509" i="9"/>
  <c r="C509" i="9"/>
  <c r="E509" i="9"/>
  <c r="G509" i="9"/>
  <c r="K509" i="9"/>
  <c r="B509" i="9"/>
  <c r="D509" i="9"/>
  <c r="F509" i="9"/>
  <c r="J509" i="9"/>
  <c r="H507" i="9"/>
  <c r="C507" i="9"/>
  <c r="E507" i="9"/>
  <c r="G507" i="9"/>
  <c r="K507" i="9"/>
  <c r="B507" i="9"/>
  <c r="D507" i="9"/>
  <c r="F507" i="9"/>
  <c r="J507" i="9"/>
  <c r="H505" i="9"/>
  <c r="C505" i="9"/>
  <c r="E505" i="9"/>
  <c r="G505" i="9"/>
  <c r="K505" i="9"/>
  <c r="B505" i="9"/>
  <c r="D505" i="9"/>
  <c r="F505" i="9"/>
  <c r="J505" i="9"/>
  <c r="H503" i="9"/>
  <c r="C503" i="9"/>
  <c r="E503" i="9"/>
  <c r="G503" i="9"/>
  <c r="K503" i="9"/>
  <c r="B503" i="9"/>
  <c r="D503" i="9"/>
  <c r="F503" i="9"/>
  <c r="J503" i="9"/>
  <c r="H501" i="9"/>
  <c r="C501" i="9"/>
  <c r="E501" i="9"/>
  <c r="G501" i="9"/>
  <c r="K501" i="9"/>
  <c r="B501" i="9"/>
  <c r="D501" i="9"/>
  <c r="F501" i="9"/>
  <c r="J501" i="9"/>
  <c r="H499" i="9"/>
  <c r="C499" i="9"/>
  <c r="E499" i="9"/>
  <c r="G499" i="9"/>
  <c r="K499" i="9"/>
  <c r="B499" i="9"/>
  <c r="D499" i="9"/>
  <c r="F499" i="9"/>
  <c r="J499" i="9"/>
  <c r="H497" i="9"/>
  <c r="C497" i="9"/>
  <c r="E497" i="9"/>
  <c r="G497" i="9"/>
  <c r="K497" i="9"/>
  <c r="B497" i="9"/>
  <c r="D497" i="9"/>
  <c r="F497" i="9"/>
  <c r="J497" i="9"/>
  <c r="H495" i="9"/>
  <c r="C495" i="9"/>
  <c r="E495" i="9"/>
  <c r="G495" i="9"/>
  <c r="K495" i="9"/>
  <c r="B495" i="9"/>
  <c r="D495" i="9"/>
  <c r="F495" i="9"/>
  <c r="J495" i="9"/>
  <c r="H493" i="9"/>
  <c r="C493" i="9"/>
  <c r="E493" i="9"/>
  <c r="G493" i="9"/>
  <c r="K493" i="9"/>
  <c r="B493" i="9"/>
  <c r="D493" i="9"/>
  <c r="F493" i="9"/>
  <c r="J493" i="9"/>
  <c r="H491" i="9"/>
  <c r="C491" i="9"/>
  <c r="E491" i="9"/>
  <c r="G491" i="9"/>
  <c r="K491" i="9"/>
  <c r="B491" i="9"/>
  <c r="D491" i="9"/>
  <c r="F491" i="9"/>
  <c r="J491" i="9"/>
  <c r="H489" i="9"/>
  <c r="C489" i="9"/>
  <c r="E489" i="9"/>
  <c r="G489" i="9"/>
  <c r="K489" i="9"/>
  <c r="B489" i="9"/>
  <c r="D489" i="9"/>
  <c r="F489" i="9"/>
  <c r="J489" i="9"/>
  <c r="H487" i="9"/>
  <c r="C487" i="9"/>
  <c r="E487" i="9"/>
  <c r="G487" i="9"/>
  <c r="K487" i="9"/>
  <c r="B487" i="9"/>
  <c r="D487" i="9"/>
  <c r="F487" i="9"/>
  <c r="J487" i="9"/>
  <c r="H485" i="9"/>
  <c r="C485" i="9"/>
  <c r="E485" i="9"/>
  <c r="G485" i="9"/>
  <c r="K485" i="9"/>
  <c r="B485" i="9"/>
  <c r="D485" i="9"/>
  <c r="F485" i="9"/>
  <c r="J485" i="9"/>
  <c r="H483" i="9"/>
  <c r="C483" i="9"/>
  <c r="E483" i="9"/>
  <c r="G483" i="9"/>
  <c r="K483" i="9"/>
  <c r="B483" i="9"/>
  <c r="D483" i="9"/>
  <c r="F483" i="9"/>
  <c r="J483" i="9"/>
  <c r="H481" i="9"/>
  <c r="C481" i="9"/>
  <c r="E481" i="9"/>
  <c r="G481" i="9"/>
  <c r="K481" i="9"/>
  <c r="B481" i="9"/>
  <c r="D481" i="9"/>
  <c r="F481" i="9"/>
  <c r="J481" i="9"/>
  <c r="H479" i="9"/>
  <c r="C479" i="9"/>
  <c r="E479" i="9"/>
  <c r="G479" i="9"/>
  <c r="K479" i="9"/>
  <c r="B479" i="9"/>
  <c r="D479" i="9"/>
  <c r="F479" i="9"/>
  <c r="J479" i="9"/>
  <c r="H477" i="9"/>
  <c r="C477" i="9"/>
  <c r="E477" i="9"/>
  <c r="G477" i="9"/>
  <c r="K477" i="9"/>
  <c r="B477" i="9"/>
  <c r="D477" i="9"/>
  <c r="F477" i="9"/>
  <c r="J477" i="9"/>
  <c r="H475" i="9"/>
  <c r="C475" i="9"/>
  <c r="E475" i="9"/>
  <c r="G475" i="9"/>
  <c r="K475" i="9"/>
  <c r="B475" i="9"/>
  <c r="D475" i="9"/>
  <c r="F475" i="9"/>
  <c r="J475" i="9"/>
  <c r="H473" i="9"/>
  <c r="C473" i="9"/>
  <c r="E473" i="9"/>
  <c r="G473" i="9"/>
  <c r="K473" i="9"/>
  <c r="B473" i="9"/>
  <c r="D473" i="9"/>
  <c r="F473" i="9"/>
  <c r="J473" i="9"/>
  <c r="H471" i="9"/>
  <c r="C471" i="9"/>
  <c r="E471" i="9"/>
  <c r="G471" i="9"/>
  <c r="K471" i="9"/>
  <c r="B471" i="9"/>
  <c r="D471" i="9"/>
  <c r="F471" i="9"/>
  <c r="J471" i="9"/>
  <c r="H469" i="9"/>
  <c r="C469" i="9"/>
  <c r="E469" i="9"/>
  <c r="G469" i="9"/>
  <c r="K469" i="9"/>
  <c r="B469" i="9"/>
  <c r="D469" i="9"/>
  <c r="F469" i="9"/>
  <c r="J469" i="9"/>
  <c r="H467" i="9"/>
  <c r="C467" i="9"/>
  <c r="E467" i="9"/>
  <c r="G467" i="9"/>
  <c r="K467" i="9"/>
  <c r="B467" i="9"/>
  <c r="D467" i="9"/>
  <c r="F467" i="9"/>
  <c r="J467" i="9"/>
  <c r="H465" i="9"/>
  <c r="C465" i="9"/>
  <c r="E465" i="9"/>
  <c r="G465" i="9"/>
  <c r="K465" i="9"/>
  <c r="B465" i="9"/>
  <c r="D465" i="9"/>
  <c r="F465" i="9"/>
  <c r="J465" i="9"/>
  <c r="H463" i="9"/>
  <c r="C463" i="9"/>
  <c r="E463" i="9"/>
  <c r="G463" i="9"/>
  <c r="K463" i="9"/>
  <c r="B463" i="9"/>
  <c r="D463" i="9"/>
  <c r="F463" i="9"/>
  <c r="J463" i="9"/>
  <c r="H461" i="9"/>
  <c r="C461" i="9"/>
  <c r="E461" i="9"/>
  <c r="G461" i="9"/>
  <c r="K461" i="9"/>
  <c r="B461" i="9"/>
  <c r="D461" i="9"/>
  <c r="F461" i="9"/>
  <c r="J461" i="9"/>
  <c r="H459" i="9"/>
  <c r="C459" i="9"/>
  <c r="E459" i="9"/>
  <c r="G459" i="9"/>
  <c r="K459" i="9"/>
  <c r="B459" i="9"/>
  <c r="D459" i="9"/>
  <c r="F459" i="9"/>
  <c r="J459" i="9"/>
  <c r="H457" i="9"/>
  <c r="C457" i="9"/>
  <c r="E457" i="9"/>
  <c r="G457" i="9"/>
  <c r="K457" i="9"/>
  <c r="B457" i="9"/>
  <c r="D457" i="9"/>
  <c r="F457" i="9"/>
  <c r="J457" i="9"/>
  <c r="H455" i="9"/>
  <c r="C455" i="9"/>
  <c r="E455" i="9"/>
  <c r="G455" i="9"/>
  <c r="K455" i="9"/>
  <c r="B455" i="9"/>
  <c r="D455" i="9"/>
  <c r="F455" i="9"/>
  <c r="J455" i="9"/>
  <c r="H453" i="9"/>
  <c r="C453" i="9"/>
  <c r="E453" i="9"/>
  <c r="G453" i="9"/>
  <c r="K453" i="9"/>
  <c r="B453" i="9"/>
  <c r="D453" i="9"/>
  <c r="F453" i="9"/>
  <c r="J453" i="9"/>
  <c r="H451" i="9"/>
  <c r="C451" i="9"/>
  <c r="E451" i="9"/>
  <c r="G451" i="9"/>
  <c r="K451" i="9"/>
  <c r="B451" i="9"/>
  <c r="D451" i="9"/>
  <c r="F451" i="9"/>
  <c r="J451" i="9"/>
  <c r="H449" i="9"/>
  <c r="C449" i="9"/>
  <c r="E449" i="9"/>
  <c r="G449" i="9"/>
  <c r="K449" i="9"/>
  <c r="B449" i="9"/>
  <c r="D449" i="9"/>
  <c r="F449" i="9"/>
  <c r="J449" i="9"/>
  <c r="H447" i="9"/>
  <c r="C447" i="9"/>
  <c r="E447" i="9"/>
  <c r="G447" i="9"/>
  <c r="K447" i="9"/>
  <c r="B447" i="9"/>
  <c r="D447" i="9"/>
  <c r="F447" i="9"/>
  <c r="J447" i="9"/>
  <c r="H445" i="9"/>
  <c r="C445" i="9"/>
  <c r="E445" i="9"/>
  <c r="G445" i="9"/>
  <c r="K445" i="9"/>
  <c r="B445" i="9"/>
  <c r="D445" i="9"/>
  <c r="F445" i="9"/>
  <c r="J445" i="9"/>
  <c r="H443" i="9"/>
  <c r="C443" i="9"/>
  <c r="E443" i="9"/>
  <c r="G443" i="9"/>
  <c r="K443" i="9"/>
  <c r="B443" i="9"/>
  <c r="D443" i="9"/>
  <c r="F443" i="9"/>
  <c r="J443" i="9"/>
  <c r="H441" i="9"/>
  <c r="C441" i="9"/>
  <c r="E441" i="9"/>
  <c r="G441" i="9"/>
  <c r="K441" i="9"/>
  <c r="B441" i="9"/>
  <c r="D441" i="9"/>
  <c r="F441" i="9"/>
  <c r="J441" i="9"/>
  <c r="H439" i="9"/>
  <c r="C439" i="9"/>
  <c r="E439" i="9"/>
  <c r="G439" i="9"/>
  <c r="K439" i="9"/>
  <c r="B439" i="9"/>
  <c r="D439" i="9"/>
  <c r="F439" i="9"/>
  <c r="J439" i="9"/>
  <c r="H437" i="9"/>
  <c r="C437" i="9"/>
  <c r="E437" i="9"/>
  <c r="G437" i="9"/>
  <c r="K437" i="9"/>
  <c r="B437" i="9"/>
  <c r="D437" i="9"/>
  <c r="F437" i="9"/>
  <c r="J437" i="9"/>
  <c r="H435" i="9"/>
  <c r="C435" i="9"/>
  <c r="E435" i="9"/>
  <c r="G435" i="9"/>
  <c r="K435" i="9"/>
  <c r="B435" i="9"/>
  <c r="D435" i="9"/>
  <c r="F435" i="9"/>
  <c r="J435" i="9"/>
  <c r="H433" i="9"/>
  <c r="C433" i="9"/>
  <c r="E433" i="9"/>
  <c r="G433" i="9"/>
  <c r="K433" i="9"/>
  <c r="B433" i="9"/>
  <c r="D433" i="9"/>
  <c r="F433" i="9"/>
  <c r="J433" i="9"/>
  <c r="H431" i="9"/>
  <c r="C431" i="9"/>
  <c r="E431" i="9"/>
  <c r="G431" i="9"/>
  <c r="K431" i="9"/>
  <c r="B431" i="9"/>
  <c r="D431" i="9"/>
  <c r="F431" i="9"/>
  <c r="J431" i="9"/>
  <c r="H429" i="9"/>
  <c r="C429" i="9"/>
  <c r="E429" i="9"/>
  <c r="G429" i="9"/>
  <c r="K429" i="9"/>
  <c r="B429" i="9"/>
  <c r="D429" i="9"/>
  <c r="F429" i="9"/>
  <c r="J429" i="9"/>
  <c r="H427" i="9"/>
  <c r="C427" i="9"/>
  <c r="E427" i="9"/>
  <c r="G427" i="9"/>
  <c r="K427" i="9"/>
  <c r="B427" i="9"/>
  <c r="D427" i="9"/>
  <c r="F427" i="9"/>
  <c r="J427" i="9"/>
  <c r="H425" i="9"/>
  <c r="C425" i="9"/>
  <c r="E425" i="9"/>
  <c r="G425" i="9"/>
  <c r="K425" i="9"/>
  <c r="B425" i="9"/>
  <c r="D425" i="9"/>
  <c r="F425" i="9"/>
  <c r="J425" i="9"/>
  <c r="H423" i="9"/>
  <c r="C423" i="9"/>
  <c r="E423" i="9"/>
  <c r="G423" i="9"/>
  <c r="K423" i="9"/>
  <c r="B423" i="9"/>
  <c r="D423" i="9"/>
  <c r="F423" i="9"/>
  <c r="J423" i="9"/>
  <c r="H421" i="9"/>
  <c r="C421" i="9"/>
  <c r="E421" i="9"/>
  <c r="G421" i="9"/>
  <c r="K421" i="9"/>
  <c r="B421" i="9"/>
  <c r="D421" i="9"/>
  <c r="F421" i="9"/>
  <c r="J421" i="9"/>
  <c r="H419" i="9"/>
  <c r="C419" i="9"/>
  <c r="E419" i="9"/>
  <c r="G419" i="9"/>
  <c r="K419" i="9"/>
  <c r="B419" i="9"/>
  <c r="D419" i="9"/>
  <c r="F419" i="9"/>
  <c r="J419" i="9"/>
  <c r="H417" i="9"/>
  <c r="C417" i="9"/>
  <c r="E417" i="9"/>
  <c r="G417" i="9"/>
  <c r="K417" i="9"/>
  <c r="B417" i="9"/>
  <c r="D417" i="9"/>
  <c r="F417" i="9"/>
  <c r="J417" i="9"/>
  <c r="H415" i="9"/>
  <c r="C415" i="9"/>
  <c r="E415" i="9"/>
  <c r="G415" i="9"/>
  <c r="K415" i="9"/>
  <c r="B415" i="9"/>
  <c r="D415" i="9"/>
  <c r="F415" i="9"/>
  <c r="J415" i="9"/>
  <c r="H413" i="9"/>
  <c r="C413" i="9"/>
  <c r="E413" i="9"/>
  <c r="G413" i="9"/>
  <c r="K413" i="9"/>
  <c r="B413" i="9"/>
  <c r="D413" i="9"/>
  <c r="F413" i="9"/>
  <c r="J413" i="9"/>
  <c r="H411" i="9"/>
  <c r="C411" i="9"/>
  <c r="E411" i="9"/>
  <c r="G411" i="9"/>
  <c r="K411" i="9"/>
  <c r="B411" i="9"/>
  <c r="D411" i="9"/>
  <c r="F411" i="9"/>
  <c r="J411" i="9"/>
  <c r="H409" i="9"/>
  <c r="C409" i="9"/>
  <c r="E409" i="9"/>
  <c r="G409" i="9"/>
  <c r="K409" i="9"/>
  <c r="B409" i="9"/>
  <c r="D409" i="9"/>
  <c r="F409" i="9"/>
  <c r="J409" i="9"/>
  <c r="H407" i="9"/>
  <c r="C407" i="9"/>
  <c r="E407" i="9"/>
  <c r="G407" i="9"/>
  <c r="K407" i="9"/>
  <c r="B407" i="9"/>
  <c r="D407" i="9"/>
  <c r="F407" i="9"/>
  <c r="J407" i="9"/>
  <c r="H405" i="9"/>
  <c r="C405" i="9"/>
  <c r="E405" i="9"/>
  <c r="G405" i="9"/>
  <c r="K405" i="9"/>
  <c r="B405" i="9"/>
  <c r="D405" i="9"/>
  <c r="F405" i="9"/>
  <c r="J405" i="9"/>
  <c r="H403" i="9"/>
  <c r="C403" i="9"/>
  <c r="E403" i="9"/>
  <c r="G403" i="9"/>
  <c r="K403" i="9"/>
  <c r="B403" i="9"/>
  <c r="D403" i="9"/>
  <c r="F403" i="9"/>
  <c r="J403" i="9"/>
  <c r="H401" i="9"/>
  <c r="C401" i="9"/>
  <c r="E401" i="9"/>
  <c r="G401" i="9"/>
  <c r="K401" i="9"/>
  <c r="B401" i="9"/>
  <c r="D401" i="9"/>
  <c r="F401" i="9"/>
  <c r="J401" i="9"/>
  <c r="H399" i="9"/>
  <c r="C399" i="9"/>
  <c r="E399" i="9"/>
  <c r="G399" i="9"/>
  <c r="K399" i="9"/>
  <c r="B399" i="9"/>
  <c r="D399" i="9"/>
  <c r="F399" i="9"/>
  <c r="J399" i="9"/>
  <c r="H397" i="9"/>
  <c r="C397" i="9"/>
  <c r="E397" i="9"/>
  <c r="G397" i="9"/>
  <c r="K397" i="9"/>
  <c r="D397" i="9"/>
  <c r="J397" i="9"/>
  <c r="B397" i="9"/>
  <c r="F397" i="9"/>
  <c r="H395" i="9"/>
  <c r="C395" i="9"/>
  <c r="E395" i="9"/>
  <c r="G395" i="9"/>
  <c r="K395" i="9"/>
  <c r="D395" i="9"/>
  <c r="J395" i="9"/>
  <c r="B395" i="9"/>
  <c r="F395" i="9"/>
  <c r="H393" i="9"/>
  <c r="C393" i="9"/>
  <c r="E393" i="9"/>
  <c r="G393" i="9"/>
  <c r="K393" i="9"/>
  <c r="D393" i="9"/>
  <c r="J393" i="9"/>
  <c r="B393" i="9"/>
  <c r="F393" i="9"/>
  <c r="H391" i="9"/>
  <c r="C391" i="9"/>
  <c r="E391" i="9"/>
  <c r="G391" i="9"/>
  <c r="K391" i="9"/>
  <c r="D391" i="9"/>
  <c r="J391" i="9"/>
  <c r="B391" i="9"/>
  <c r="F391" i="9"/>
  <c r="H389" i="9"/>
  <c r="C389" i="9"/>
  <c r="E389" i="9"/>
  <c r="G389" i="9"/>
  <c r="K389" i="9"/>
  <c r="D389" i="9"/>
  <c r="J389" i="9"/>
  <c r="B389" i="9"/>
  <c r="F389" i="9"/>
  <c r="H387" i="9"/>
  <c r="C387" i="9"/>
  <c r="E387" i="9"/>
  <c r="G387" i="9"/>
  <c r="K387" i="9"/>
  <c r="D387" i="9"/>
  <c r="J387" i="9"/>
  <c r="B387" i="9"/>
  <c r="F387" i="9"/>
  <c r="H385" i="9"/>
  <c r="C385" i="9"/>
  <c r="E385" i="9"/>
  <c r="G385" i="9"/>
  <c r="K385" i="9"/>
  <c r="D385" i="9"/>
  <c r="J385" i="9"/>
  <c r="B385" i="9"/>
  <c r="F385" i="9"/>
  <c r="H383" i="9"/>
  <c r="C383" i="9"/>
  <c r="E383" i="9"/>
  <c r="G383" i="9"/>
  <c r="K383" i="9"/>
  <c r="D383" i="9"/>
  <c r="J383" i="9"/>
  <c r="B383" i="9"/>
  <c r="F383" i="9"/>
  <c r="H381" i="9"/>
  <c r="C381" i="9"/>
  <c r="E381" i="9"/>
  <c r="G381" i="9"/>
  <c r="K381" i="9"/>
  <c r="D381" i="9"/>
  <c r="J381" i="9"/>
  <c r="B381" i="9"/>
  <c r="F381" i="9"/>
  <c r="H379" i="9"/>
  <c r="C379" i="9"/>
  <c r="E379" i="9"/>
  <c r="G379" i="9"/>
  <c r="K379" i="9"/>
  <c r="D379" i="9"/>
  <c r="J379" i="9"/>
  <c r="B379" i="9"/>
  <c r="F379" i="9"/>
  <c r="H377" i="9"/>
  <c r="C377" i="9"/>
  <c r="E377" i="9"/>
  <c r="G377" i="9"/>
  <c r="K377" i="9"/>
  <c r="D377" i="9"/>
  <c r="J377" i="9"/>
  <c r="B377" i="9"/>
  <c r="F377" i="9"/>
  <c r="H375" i="9"/>
  <c r="C375" i="9"/>
  <c r="E375" i="9"/>
  <c r="G375" i="9"/>
  <c r="K375" i="9"/>
  <c r="D375" i="9"/>
  <c r="J375" i="9"/>
  <c r="B375" i="9"/>
  <c r="F375" i="9"/>
  <c r="H373" i="9"/>
  <c r="C373" i="9"/>
  <c r="E373" i="9"/>
  <c r="G373" i="9"/>
  <c r="K373" i="9"/>
  <c r="D373" i="9"/>
  <c r="J373" i="9"/>
  <c r="B373" i="9"/>
  <c r="F373" i="9"/>
  <c r="H371" i="9"/>
  <c r="C371" i="9"/>
  <c r="E371" i="9"/>
  <c r="G371" i="9"/>
  <c r="K371" i="9"/>
  <c r="B371" i="9"/>
  <c r="D371" i="9"/>
  <c r="J371" i="9"/>
  <c r="F371" i="9"/>
  <c r="H369" i="9"/>
  <c r="C369" i="9"/>
  <c r="E369" i="9"/>
  <c r="G369" i="9"/>
  <c r="K369" i="9"/>
  <c r="B369" i="9"/>
  <c r="F369" i="9"/>
  <c r="D369" i="9"/>
  <c r="J369" i="9"/>
  <c r="H367" i="9"/>
  <c r="C367" i="9"/>
  <c r="E367" i="9"/>
  <c r="G367" i="9"/>
  <c r="K367" i="9"/>
  <c r="D367" i="9"/>
  <c r="B367" i="9"/>
  <c r="F367" i="9"/>
  <c r="J367" i="9"/>
  <c r="H365" i="9"/>
  <c r="C365" i="9"/>
  <c r="E365" i="9"/>
  <c r="G365" i="9"/>
  <c r="K365" i="9"/>
  <c r="D365" i="9"/>
  <c r="J365" i="9"/>
  <c r="B365" i="9"/>
  <c r="F365" i="9"/>
  <c r="H363" i="9"/>
  <c r="C363" i="9"/>
  <c r="E363" i="9"/>
  <c r="G363" i="9"/>
  <c r="K363" i="9"/>
  <c r="D363" i="9"/>
  <c r="J363" i="9"/>
  <c r="B363" i="9"/>
  <c r="F363" i="9"/>
  <c r="H361" i="9"/>
  <c r="C361" i="9"/>
  <c r="E361" i="9"/>
  <c r="G361" i="9"/>
  <c r="K361" i="9"/>
  <c r="D361" i="9"/>
  <c r="J361" i="9"/>
  <c r="B361" i="9"/>
  <c r="F361" i="9"/>
  <c r="H359" i="9"/>
  <c r="C359" i="9"/>
  <c r="E359" i="9"/>
  <c r="G359" i="9"/>
  <c r="K359" i="9"/>
  <c r="D359" i="9"/>
  <c r="J359" i="9"/>
  <c r="B359" i="9"/>
  <c r="F359" i="9"/>
  <c r="H357" i="9"/>
  <c r="C357" i="9"/>
  <c r="E357" i="9"/>
  <c r="G357" i="9"/>
  <c r="K357" i="9"/>
  <c r="D357" i="9"/>
  <c r="J357" i="9"/>
  <c r="B357" i="9"/>
  <c r="F357" i="9"/>
  <c r="H355" i="9"/>
  <c r="C355" i="9"/>
  <c r="E355" i="9"/>
  <c r="G355" i="9"/>
  <c r="K355" i="9"/>
  <c r="D355" i="9"/>
  <c r="J355" i="9"/>
  <c r="B355" i="9"/>
  <c r="F355" i="9"/>
  <c r="H353" i="9"/>
  <c r="C353" i="9"/>
  <c r="E353" i="9"/>
  <c r="G353" i="9"/>
  <c r="K353" i="9"/>
  <c r="D353" i="9"/>
  <c r="J353" i="9"/>
  <c r="B353" i="9"/>
  <c r="F353" i="9"/>
  <c r="H351" i="9"/>
  <c r="C351" i="9"/>
  <c r="E351" i="9"/>
  <c r="G351" i="9"/>
  <c r="K351" i="9"/>
  <c r="D351" i="9"/>
  <c r="J351" i="9"/>
  <c r="B351" i="9"/>
  <c r="F351" i="9"/>
  <c r="H349" i="9"/>
  <c r="C349" i="9"/>
  <c r="E349" i="9"/>
  <c r="G349" i="9"/>
  <c r="K349" i="9"/>
  <c r="D349" i="9"/>
  <c r="J349" i="9"/>
  <c r="B349" i="9"/>
  <c r="F349" i="9"/>
  <c r="H347" i="9"/>
  <c r="C347" i="9"/>
  <c r="E347" i="9"/>
  <c r="G347" i="9"/>
  <c r="K347" i="9"/>
  <c r="D347" i="9"/>
  <c r="J347" i="9"/>
  <c r="B347" i="9"/>
  <c r="F347" i="9"/>
  <c r="H345" i="9"/>
  <c r="C345" i="9"/>
  <c r="E345" i="9"/>
  <c r="G345" i="9"/>
  <c r="K345" i="9"/>
  <c r="D345" i="9"/>
  <c r="J345" i="9"/>
  <c r="B345" i="9"/>
  <c r="F345" i="9"/>
  <c r="H343" i="9"/>
  <c r="C343" i="9"/>
  <c r="E343" i="9"/>
  <c r="G343" i="9"/>
  <c r="K343" i="9"/>
  <c r="D343" i="9"/>
  <c r="J343" i="9"/>
  <c r="B343" i="9"/>
  <c r="F343" i="9"/>
  <c r="H341" i="9"/>
  <c r="C341" i="9"/>
  <c r="E341" i="9"/>
  <c r="G341" i="9"/>
  <c r="K341" i="9"/>
  <c r="D341" i="9"/>
  <c r="J341" i="9"/>
  <c r="B341" i="9"/>
  <c r="F341" i="9"/>
  <c r="H339" i="9"/>
  <c r="C339" i="9"/>
  <c r="E339" i="9"/>
  <c r="G339" i="9"/>
  <c r="K339" i="9"/>
  <c r="D339" i="9"/>
  <c r="J339" i="9"/>
  <c r="B339" i="9"/>
  <c r="F339" i="9"/>
  <c r="H337" i="9"/>
  <c r="C337" i="9"/>
  <c r="E337" i="9"/>
  <c r="G337" i="9"/>
  <c r="K337" i="9"/>
  <c r="D337" i="9"/>
  <c r="J337" i="9"/>
  <c r="B337" i="9"/>
  <c r="F337" i="9"/>
  <c r="H335" i="9"/>
  <c r="C335" i="9"/>
  <c r="E335" i="9"/>
  <c r="G335" i="9"/>
  <c r="K335" i="9"/>
  <c r="D335" i="9"/>
  <c r="J335" i="9"/>
  <c r="B335" i="9"/>
  <c r="F335" i="9"/>
  <c r="H333" i="9"/>
  <c r="C333" i="9"/>
  <c r="E333" i="9"/>
  <c r="G333" i="9"/>
  <c r="K333" i="9"/>
  <c r="D333" i="9"/>
  <c r="J333" i="9"/>
  <c r="B333" i="9"/>
  <c r="F333" i="9"/>
  <c r="H331" i="9"/>
  <c r="C331" i="9"/>
  <c r="E331" i="9"/>
  <c r="G331" i="9"/>
  <c r="K331" i="9"/>
  <c r="D331" i="9"/>
  <c r="J331" i="9"/>
  <c r="B331" i="9"/>
  <c r="F331" i="9"/>
  <c r="H329" i="9"/>
  <c r="C329" i="9"/>
  <c r="E329" i="9"/>
  <c r="G329" i="9"/>
  <c r="K329" i="9"/>
  <c r="D329" i="9"/>
  <c r="J329" i="9"/>
  <c r="B329" i="9"/>
  <c r="F329" i="9"/>
  <c r="H327" i="9"/>
  <c r="C327" i="9"/>
  <c r="E327" i="9"/>
  <c r="G327" i="9"/>
  <c r="K327" i="9"/>
  <c r="D327" i="9"/>
  <c r="J327" i="9"/>
  <c r="B327" i="9"/>
  <c r="F327" i="9"/>
  <c r="H325" i="9"/>
  <c r="C325" i="9"/>
  <c r="E325" i="9"/>
  <c r="G325" i="9"/>
  <c r="K325" i="9"/>
  <c r="D325" i="9"/>
  <c r="J325" i="9"/>
  <c r="B325" i="9"/>
  <c r="F325" i="9"/>
  <c r="H323" i="9"/>
  <c r="C323" i="9"/>
  <c r="E323" i="9"/>
  <c r="G323" i="9"/>
  <c r="K323" i="9"/>
  <c r="D323" i="9"/>
  <c r="J323" i="9"/>
  <c r="B323" i="9"/>
  <c r="F323" i="9"/>
  <c r="H321" i="9"/>
  <c r="C321" i="9"/>
  <c r="E321" i="9"/>
  <c r="G321" i="9"/>
  <c r="K321" i="9"/>
  <c r="D321" i="9"/>
  <c r="J321" i="9"/>
  <c r="B321" i="9"/>
  <c r="F321" i="9"/>
  <c r="H319" i="9"/>
  <c r="C319" i="9"/>
  <c r="E319" i="9"/>
  <c r="G319" i="9"/>
  <c r="K319" i="9"/>
  <c r="D319" i="9"/>
  <c r="J319" i="9"/>
  <c r="B319" i="9"/>
  <c r="F319" i="9"/>
  <c r="H317" i="9"/>
  <c r="C317" i="9"/>
  <c r="E317" i="9"/>
  <c r="G317" i="9"/>
  <c r="K317" i="9"/>
  <c r="D317" i="9"/>
  <c r="J317" i="9"/>
  <c r="B317" i="9"/>
  <c r="F317" i="9"/>
  <c r="H315" i="9"/>
  <c r="C315" i="9"/>
  <c r="E315" i="9"/>
  <c r="G315" i="9"/>
  <c r="K315" i="9"/>
  <c r="D315" i="9"/>
  <c r="J315" i="9"/>
  <c r="B315" i="9"/>
  <c r="F315" i="9"/>
  <c r="H313" i="9"/>
  <c r="C313" i="9"/>
  <c r="E313" i="9"/>
  <c r="G313" i="9"/>
  <c r="K313" i="9"/>
  <c r="D313" i="9"/>
  <c r="J313" i="9"/>
  <c r="B313" i="9"/>
  <c r="F313" i="9"/>
  <c r="H311" i="9"/>
  <c r="C311" i="9"/>
  <c r="E311" i="9"/>
  <c r="G311" i="9"/>
  <c r="K311" i="9"/>
  <c r="D311" i="9"/>
  <c r="J311" i="9"/>
  <c r="B311" i="9"/>
  <c r="F311" i="9"/>
  <c r="H309" i="9"/>
  <c r="C309" i="9"/>
  <c r="E309" i="9"/>
  <c r="G309" i="9"/>
  <c r="K309" i="9"/>
  <c r="D309" i="9"/>
  <c r="J309" i="9"/>
  <c r="B309" i="9"/>
  <c r="F309" i="9"/>
  <c r="H307" i="9"/>
  <c r="C307" i="9"/>
  <c r="E307" i="9"/>
  <c r="G307" i="9"/>
  <c r="K307" i="9"/>
  <c r="D307" i="9"/>
  <c r="J307" i="9"/>
  <c r="B307" i="9"/>
  <c r="F307" i="9"/>
  <c r="H305" i="9"/>
  <c r="C305" i="9"/>
  <c r="E305" i="9"/>
  <c r="G305" i="9"/>
  <c r="K305" i="9"/>
  <c r="D305" i="9"/>
  <c r="J305" i="9"/>
  <c r="B305" i="9"/>
  <c r="F305" i="9"/>
  <c r="H303" i="9"/>
  <c r="C303" i="9"/>
  <c r="E303" i="9"/>
  <c r="G303" i="9"/>
  <c r="K303" i="9"/>
  <c r="D303" i="9"/>
  <c r="J303" i="9"/>
  <c r="B303" i="9"/>
  <c r="F303" i="9"/>
  <c r="H301" i="9"/>
  <c r="C301" i="9"/>
  <c r="E301" i="9"/>
  <c r="G301" i="9"/>
  <c r="K301" i="9"/>
  <c r="D301" i="9"/>
  <c r="J301" i="9"/>
  <c r="B301" i="9"/>
  <c r="F301" i="9"/>
  <c r="H299" i="9"/>
  <c r="C299" i="9"/>
  <c r="E299" i="9"/>
  <c r="G299" i="9"/>
  <c r="K299" i="9"/>
  <c r="D299" i="9"/>
  <c r="J299" i="9"/>
  <c r="B299" i="9"/>
  <c r="F299" i="9"/>
  <c r="H297" i="9"/>
  <c r="C297" i="9"/>
  <c r="E297" i="9"/>
  <c r="G297" i="9"/>
  <c r="K297" i="9"/>
  <c r="D297" i="9"/>
  <c r="J297" i="9"/>
  <c r="B297" i="9"/>
  <c r="F297" i="9"/>
  <c r="H295" i="9"/>
  <c r="C295" i="9"/>
  <c r="E295" i="9"/>
  <c r="G295" i="9"/>
  <c r="K295" i="9"/>
  <c r="D295" i="9"/>
  <c r="J295" i="9"/>
  <c r="B295" i="9"/>
  <c r="F295" i="9"/>
  <c r="H293" i="9"/>
  <c r="C293" i="9"/>
  <c r="E293" i="9"/>
  <c r="G293" i="9"/>
  <c r="K293" i="9"/>
  <c r="D293" i="9"/>
  <c r="J293" i="9"/>
  <c r="B293" i="9"/>
  <c r="F293" i="9"/>
  <c r="H291" i="9"/>
  <c r="C291" i="9"/>
  <c r="E291" i="9"/>
  <c r="G291" i="9"/>
  <c r="K291" i="9"/>
  <c r="D291" i="9"/>
  <c r="J291" i="9"/>
  <c r="B291" i="9"/>
  <c r="F291" i="9"/>
  <c r="H289" i="9"/>
  <c r="C289" i="9"/>
  <c r="E289" i="9"/>
  <c r="G289" i="9"/>
  <c r="K289" i="9"/>
  <c r="D289" i="9"/>
  <c r="J289" i="9"/>
  <c r="B289" i="9"/>
  <c r="F289" i="9"/>
  <c r="H287" i="9"/>
  <c r="C287" i="9"/>
  <c r="E287" i="9"/>
  <c r="G287" i="9"/>
  <c r="K287" i="9"/>
  <c r="D287" i="9"/>
  <c r="J287" i="9"/>
  <c r="B287" i="9"/>
  <c r="F287" i="9"/>
  <c r="H285" i="9"/>
  <c r="C285" i="9"/>
  <c r="E285" i="9"/>
  <c r="G285" i="9"/>
  <c r="K285" i="9"/>
  <c r="D285" i="9"/>
  <c r="J285" i="9"/>
  <c r="B285" i="9"/>
  <c r="F285" i="9"/>
  <c r="H283" i="9"/>
  <c r="C283" i="9"/>
  <c r="E283" i="9"/>
  <c r="G283" i="9"/>
  <c r="K283" i="9"/>
  <c r="D283" i="9"/>
  <c r="J283" i="9"/>
  <c r="B283" i="9"/>
  <c r="F283" i="9"/>
  <c r="H281" i="9"/>
  <c r="C281" i="9"/>
  <c r="E281" i="9"/>
  <c r="G281" i="9"/>
  <c r="K281" i="9"/>
  <c r="D281" i="9"/>
  <c r="J281" i="9"/>
  <c r="B281" i="9"/>
  <c r="F281" i="9"/>
  <c r="H279" i="9"/>
  <c r="C279" i="9"/>
  <c r="E279" i="9"/>
  <c r="G279" i="9"/>
  <c r="K279" i="9"/>
  <c r="D279" i="9"/>
  <c r="J279" i="9"/>
  <c r="B279" i="9"/>
  <c r="F279" i="9"/>
  <c r="H277" i="9"/>
  <c r="C277" i="9"/>
  <c r="E277" i="9"/>
  <c r="G277" i="9"/>
  <c r="K277" i="9"/>
  <c r="D277" i="9"/>
  <c r="J277" i="9"/>
  <c r="B277" i="9"/>
  <c r="F277" i="9"/>
  <c r="H275" i="9"/>
  <c r="C275" i="9"/>
  <c r="E275" i="9"/>
  <c r="G275" i="9"/>
  <c r="K275" i="9"/>
  <c r="D275" i="9"/>
  <c r="J275" i="9"/>
  <c r="B275" i="9"/>
  <c r="F275" i="9"/>
  <c r="H273" i="9"/>
  <c r="C273" i="9"/>
  <c r="E273" i="9"/>
  <c r="G273" i="9"/>
  <c r="K273" i="9"/>
  <c r="D273" i="9"/>
  <c r="J273" i="9"/>
  <c r="B273" i="9"/>
  <c r="F273" i="9"/>
  <c r="H271" i="9"/>
  <c r="C271" i="9"/>
  <c r="E271" i="9"/>
  <c r="G271" i="9"/>
  <c r="K271" i="9"/>
  <c r="D271" i="9"/>
  <c r="J271" i="9"/>
  <c r="B271" i="9"/>
  <c r="F271" i="9"/>
  <c r="H269" i="9"/>
  <c r="C269" i="9"/>
  <c r="E269" i="9"/>
  <c r="G269" i="9"/>
  <c r="K269" i="9"/>
  <c r="D269" i="9"/>
  <c r="J269" i="9"/>
  <c r="B269" i="9"/>
  <c r="F269" i="9"/>
  <c r="H267" i="9"/>
  <c r="C267" i="9"/>
  <c r="E267" i="9"/>
  <c r="G267" i="9"/>
  <c r="K267" i="9"/>
  <c r="D267" i="9"/>
  <c r="J267" i="9"/>
  <c r="B267" i="9"/>
  <c r="F267" i="9"/>
  <c r="H265" i="9"/>
  <c r="C265" i="9"/>
  <c r="E265" i="9"/>
  <c r="G265" i="9"/>
  <c r="K265" i="9"/>
  <c r="D265" i="9"/>
  <c r="J265" i="9"/>
  <c r="B265" i="9"/>
  <c r="F265" i="9"/>
  <c r="H263" i="9"/>
  <c r="C263" i="9"/>
  <c r="E263" i="9"/>
  <c r="G263" i="9"/>
  <c r="K263" i="9"/>
  <c r="D263" i="9"/>
  <c r="J263" i="9"/>
  <c r="B263" i="9"/>
  <c r="F263" i="9"/>
  <c r="H261" i="9"/>
  <c r="C261" i="9"/>
  <c r="E261" i="9"/>
  <c r="G261" i="9"/>
  <c r="K261" i="9"/>
  <c r="D261" i="9"/>
  <c r="J261" i="9"/>
  <c r="B261" i="9"/>
  <c r="F261" i="9"/>
  <c r="H259" i="9"/>
  <c r="C259" i="9"/>
  <c r="E259" i="9"/>
  <c r="G259" i="9"/>
  <c r="K259" i="9"/>
  <c r="D259" i="9"/>
  <c r="J259" i="9"/>
  <c r="B259" i="9"/>
  <c r="F259" i="9"/>
  <c r="H257" i="9"/>
  <c r="C257" i="9"/>
  <c r="E257" i="9"/>
  <c r="G257" i="9"/>
  <c r="K257" i="9"/>
  <c r="D257" i="9"/>
  <c r="J257" i="9"/>
  <c r="B257" i="9"/>
  <c r="F257" i="9"/>
  <c r="H255" i="9"/>
  <c r="C255" i="9"/>
  <c r="E255" i="9"/>
  <c r="G255" i="9"/>
  <c r="K255" i="9"/>
  <c r="D255" i="9"/>
  <c r="J255" i="9"/>
  <c r="B255" i="9"/>
  <c r="F255" i="9"/>
  <c r="H253" i="9"/>
  <c r="C253" i="9"/>
  <c r="E253" i="9"/>
  <c r="G253" i="9"/>
  <c r="K253" i="9"/>
  <c r="D253" i="9"/>
  <c r="J253" i="9"/>
  <c r="B253" i="9"/>
  <c r="F253" i="9"/>
  <c r="H251" i="9"/>
  <c r="C251" i="9"/>
  <c r="E251" i="9"/>
  <c r="G251" i="9"/>
  <c r="K251" i="9"/>
  <c r="D251" i="9"/>
  <c r="J251" i="9"/>
  <c r="B251" i="9"/>
  <c r="F251" i="9"/>
  <c r="H249" i="9"/>
  <c r="C249" i="9"/>
  <c r="E249" i="9"/>
  <c r="G249" i="9"/>
  <c r="K249" i="9"/>
  <c r="D249" i="9"/>
  <c r="J249" i="9"/>
  <c r="B249" i="9"/>
  <c r="F249" i="9"/>
  <c r="H247" i="9"/>
  <c r="C247" i="9"/>
  <c r="E247" i="9"/>
  <c r="G247" i="9"/>
  <c r="K247" i="9"/>
  <c r="D247" i="9"/>
  <c r="J247" i="9"/>
  <c r="B247" i="9"/>
  <c r="F247" i="9"/>
  <c r="H245" i="9"/>
  <c r="C245" i="9"/>
  <c r="E245" i="9"/>
  <c r="G245" i="9"/>
  <c r="K245" i="9"/>
  <c r="D245" i="9"/>
  <c r="J245" i="9"/>
  <c r="B245" i="9"/>
  <c r="F245" i="9"/>
  <c r="H243" i="9"/>
  <c r="C243" i="9"/>
  <c r="E243" i="9"/>
  <c r="G243" i="9"/>
  <c r="K243" i="9"/>
  <c r="D243" i="9"/>
  <c r="J243" i="9"/>
  <c r="B243" i="9"/>
  <c r="F243" i="9"/>
  <c r="H241" i="9"/>
  <c r="C241" i="9"/>
  <c r="E241" i="9"/>
  <c r="G241" i="9"/>
  <c r="K241" i="9"/>
  <c r="D241" i="9"/>
  <c r="J241" i="9"/>
  <c r="B241" i="9"/>
  <c r="F241" i="9"/>
  <c r="H239" i="9"/>
  <c r="C239" i="9"/>
  <c r="E239" i="9"/>
  <c r="G239" i="9"/>
  <c r="K239" i="9"/>
  <c r="D239" i="9"/>
  <c r="J239" i="9"/>
  <c r="B239" i="9"/>
  <c r="F239" i="9"/>
  <c r="H237" i="9"/>
  <c r="C237" i="9"/>
  <c r="E237" i="9"/>
  <c r="G237" i="9"/>
  <c r="K237" i="9"/>
  <c r="D237" i="9"/>
  <c r="J237" i="9"/>
  <c r="B237" i="9"/>
  <c r="F237" i="9"/>
  <c r="H235" i="9"/>
  <c r="C235" i="9"/>
  <c r="E235" i="9"/>
  <c r="G235" i="9"/>
  <c r="K235" i="9"/>
  <c r="D235" i="9"/>
  <c r="J235" i="9"/>
  <c r="B235" i="9"/>
  <c r="F235" i="9"/>
  <c r="H233" i="9"/>
  <c r="C233" i="9"/>
  <c r="E233" i="9"/>
  <c r="G233" i="9"/>
  <c r="K233" i="9"/>
  <c r="D233" i="9"/>
  <c r="J233" i="9"/>
  <c r="B233" i="9"/>
  <c r="F233" i="9"/>
  <c r="H231" i="9"/>
  <c r="C231" i="9"/>
  <c r="E231" i="9"/>
  <c r="G231" i="9"/>
  <c r="K231" i="9"/>
  <c r="D231" i="9"/>
  <c r="J231" i="9"/>
  <c r="B231" i="9"/>
  <c r="F231" i="9"/>
  <c r="H229" i="9"/>
  <c r="C229" i="9"/>
  <c r="E229" i="9"/>
  <c r="G229" i="9"/>
  <c r="K229" i="9"/>
  <c r="D229" i="9"/>
  <c r="J229" i="9"/>
  <c r="B229" i="9"/>
  <c r="F229" i="9"/>
  <c r="H227" i="9"/>
  <c r="C227" i="9"/>
  <c r="E227" i="9"/>
  <c r="G227" i="9"/>
  <c r="K227" i="9"/>
  <c r="D227" i="9"/>
  <c r="J227" i="9"/>
  <c r="B227" i="9"/>
  <c r="F227" i="9"/>
  <c r="H225" i="9"/>
  <c r="C225" i="9"/>
  <c r="E225" i="9"/>
  <c r="G225" i="9"/>
  <c r="K225" i="9"/>
  <c r="D225" i="9"/>
  <c r="J225" i="9"/>
  <c r="B225" i="9"/>
  <c r="F225" i="9"/>
  <c r="H223" i="9"/>
  <c r="C223" i="9"/>
  <c r="E223" i="9"/>
  <c r="G223" i="9"/>
  <c r="K223" i="9"/>
  <c r="D223" i="9"/>
  <c r="J223" i="9"/>
  <c r="B223" i="9"/>
  <c r="F223" i="9"/>
  <c r="H221" i="9"/>
  <c r="C221" i="9"/>
  <c r="E221" i="9"/>
  <c r="G221" i="9"/>
  <c r="K221" i="9"/>
  <c r="D221" i="9"/>
  <c r="J221" i="9"/>
  <c r="B221" i="9"/>
  <c r="F221" i="9"/>
  <c r="H219" i="9"/>
  <c r="C219" i="9"/>
  <c r="E219" i="9"/>
  <c r="G219" i="9"/>
  <c r="K219" i="9"/>
  <c r="D219" i="9"/>
  <c r="J219" i="9"/>
  <c r="B219" i="9"/>
  <c r="F219" i="9"/>
  <c r="H217" i="9"/>
  <c r="C217" i="9"/>
  <c r="E217" i="9"/>
  <c r="G217" i="9"/>
  <c r="K217" i="9"/>
  <c r="D217" i="9"/>
  <c r="J217" i="9"/>
  <c r="B217" i="9"/>
  <c r="F217" i="9"/>
  <c r="H215" i="9"/>
  <c r="C215" i="9"/>
  <c r="E215" i="9"/>
  <c r="G215" i="9"/>
  <c r="K215" i="9"/>
  <c r="D215" i="9"/>
  <c r="J215" i="9"/>
  <c r="B215" i="9"/>
  <c r="F215" i="9"/>
  <c r="H213" i="9"/>
  <c r="C213" i="9"/>
  <c r="E213" i="9"/>
  <c r="G213" i="9"/>
  <c r="K213" i="9"/>
  <c r="D213" i="9"/>
  <c r="J213" i="9"/>
  <c r="B213" i="9"/>
  <c r="F213" i="9"/>
  <c r="H211" i="9"/>
  <c r="C211" i="9"/>
  <c r="E211" i="9"/>
  <c r="G211" i="9"/>
  <c r="K211" i="9"/>
  <c r="D211" i="9"/>
  <c r="J211" i="9"/>
  <c r="B211" i="9"/>
  <c r="F211" i="9"/>
  <c r="H209" i="9"/>
  <c r="C209" i="9"/>
  <c r="E209" i="9"/>
  <c r="G209" i="9"/>
  <c r="K209" i="9"/>
  <c r="D209" i="9"/>
  <c r="J209" i="9"/>
  <c r="B209" i="9"/>
  <c r="F209" i="9"/>
  <c r="H207" i="9"/>
  <c r="C207" i="9"/>
  <c r="E207" i="9"/>
  <c r="G207" i="9"/>
  <c r="K207" i="9"/>
  <c r="D207" i="9"/>
  <c r="J207" i="9"/>
  <c r="B207" i="9"/>
  <c r="F207" i="9"/>
  <c r="H205" i="9"/>
  <c r="C205" i="9"/>
  <c r="E205" i="9"/>
  <c r="G205" i="9"/>
  <c r="K205" i="9"/>
  <c r="D205" i="9"/>
  <c r="J205" i="9"/>
  <c r="B205" i="9"/>
  <c r="F205" i="9"/>
  <c r="H203" i="9"/>
  <c r="C203" i="9"/>
  <c r="E203" i="9"/>
  <c r="G203" i="9"/>
  <c r="K203" i="9"/>
  <c r="D203" i="9"/>
  <c r="J203" i="9"/>
  <c r="B203" i="9"/>
  <c r="F203" i="9"/>
  <c r="H201" i="9"/>
  <c r="C201" i="9"/>
  <c r="E201" i="9"/>
  <c r="G201" i="9"/>
  <c r="K201" i="9"/>
  <c r="D201" i="9"/>
  <c r="J201" i="9"/>
  <c r="B201" i="9"/>
  <c r="F201" i="9"/>
  <c r="H199" i="9"/>
  <c r="C199" i="9"/>
  <c r="E199" i="9"/>
  <c r="G199" i="9"/>
  <c r="K199" i="9"/>
  <c r="D199" i="9"/>
  <c r="J199" i="9"/>
  <c r="B199" i="9"/>
  <c r="F199" i="9"/>
  <c r="H197" i="9"/>
  <c r="C197" i="9"/>
  <c r="E197" i="9"/>
  <c r="G197" i="9"/>
  <c r="K197" i="9"/>
  <c r="D197" i="9"/>
  <c r="J197" i="9"/>
  <c r="B197" i="9"/>
  <c r="F197" i="9"/>
  <c r="H195" i="9"/>
  <c r="C195" i="9"/>
  <c r="E195" i="9"/>
  <c r="G195" i="9"/>
  <c r="K195" i="9"/>
  <c r="D195" i="9"/>
  <c r="J195" i="9"/>
  <c r="B195" i="9"/>
  <c r="F195" i="9"/>
  <c r="H193" i="9"/>
  <c r="C193" i="9"/>
  <c r="E193" i="9"/>
  <c r="G193" i="9"/>
  <c r="K193" i="9"/>
  <c r="D193" i="9"/>
  <c r="J193" i="9"/>
  <c r="B193" i="9"/>
  <c r="F193" i="9"/>
  <c r="H191" i="9"/>
  <c r="C191" i="9"/>
  <c r="E191" i="9"/>
  <c r="G191" i="9"/>
  <c r="K191" i="9"/>
  <c r="B191" i="9"/>
  <c r="D191" i="9"/>
  <c r="J191" i="9"/>
  <c r="F191" i="9"/>
  <c r="H189" i="9"/>
  <c r="C189" i="9"/>
  <c r="E189" i="9"/>
  <c r="G189" i="9"/>
  <c r="K189" i="9"/>
  <c r="B189" i="9"/>
  <c r="F189" i="9"/>
  <c r="D189" i="9"/>
  <c r="J189" i="9"/>
  <c r="H187" i="9"/>
  <c r="C187" i="9"/>
  <c r="E187" i="9"/>
  <c r="G187" i="9"/>
  <c r="K187" i="9"/>
  <c r="B187" i="9"/>
  <c r="F187" i="9"/>
  <c r="D187" i="9"/>
  <c r="J187" i="9"/>
  <c r="H185" i="9"/>
  <c r="C185" i="9"/>
  <c r="E185" i="9"/>
  <c r="G185" i="9"/>
  <c r="K185" i="9"/>
  <c r="B185" i="9"/>
  <c r="F185" i="9"/>
  <c r="D185" i="9"/>
  <c r="J185" i="9"/>
  <c r="H183" i="9"/>
  <c r="C183" i="9"/>
  <c r="E183" i="9"/>
  <c r="G183" i="9"/>
  <c r="K183" i="9"/>
  <c r="B183" i="9"/>
  <c r="F183" i="9"/>
  <c r="D183" i="9"/>
  <c r="J183" i="9"/>
  <c r="H181" i="9"/>
  <c r="C181" i="9"/>
  <c r="E181" i="9"/>
  <c r="G181" i="9"/>
  <c r="K181" i="9"/>
  <c r="B181" i="9"/>
  <c r="F181" i="9"/>
  <c r="D181" i="9"/>
  <c r="J181" i="9"/>
  <c r="H179" i="9"/>
  <c r="C179" i="9"/>
  <c r="E179" i="9"/>
  <c r="G179" i="9"/>
  <c r="K179" i="9"/>
  <c r="B179" i="9"/>
  <c r="F179" i="9"/>
  <c r="D179" i="9"/>
  <c r="J179" i="9"/>
  <c r="H177" i="9"/>
  <c r="C177" i="9"/>
  <c r="E177" i="9"/>
  <c r="G177" i="9"/>
  <c r="K177" i="9"/>
  <c r="B177" i="9"/>
  <c r="F177" i="9"/>
  <c r="D177" i="9"/>
  <c r="J177" i="9"/>
  <c r="H175" i="9"/>
  <c r="C175" i="9"/>
  <c r="E175" i="9"/>
  <c r="G175" i="9"/>
  <c r="K175" i="9"/>
  <c r="B175" i="9"/>
  <c r="F175" i="9"/>
  <c r="D175" i="9"/>
  <c r="J175" i="9"/>
  <c r="H173" i="9"/>
  <c r="C173" i="9"/>
  <c r="E173" i="9"/>
  <c r="G173" i="9"/>
  <c r="K173" i="9"/>
  <c r="B173" i="9"/>
  <c r="F173" i="9"/>
  <c r="D173" i="9"/>
  <c r="J173" i="9"/>
  <c r="H171" i="9"/>
  <c r="C171" i="9"/>
  <c r="E171" i="9"/>
  <c r="G171" i="9"/>
  <c r="K171" i="9"/>
  <c r="B171" i="9"/>
  <c r="F171" i="9"/>
  <c r="D171" i="9"/>
  <c r="J171" i="9"/>
  <c r="H169" i="9"/>
  <c r="C169" i="9"/>
  <c r="E169" i="9"/>
  <c r="G169" i="9"/>
  <c r="K169" i="9"/>
  <c r="B169" i="9"/>
  <c r="F169" i="9"/>
  <c r="D169" i="9"/>
  <c r="J169" i="9"/>
  <c r="H167" i="9"/>
  <c r="C167" i="9"/>
  <c r="E167" i="9"/>
  <c r="G167" i="9"/>
  <c r="K167" i="9"/>
  <c r="B167" i="9"/>
  <c r="F167" i="9"/>
  <c r="D167" i="9"/>
  <c r="J167" i="9"/>
  <c r="H165" i="9"/>
  <c r="C165" i="9"/>
  <c r="E165" i="9"/>
  <c r="G165" i="9"/>
  <c r="K165" i="9"/>
  <c r="B165" i="9"/>
  <c r="F165" i="9"/>
  <c r="D165" i="9"/>
  <c r="J165" i="9"/>
  <c r="H163" i="9"/>
  <c r="C163" i="9"/>
  <c r="E163" i="9"/>
  <c r="G163" i="9"/>
  <c r="K163" i="9"/>
  <c r="B163" i="9"/>
  <c r="F163" i="9"/>
  <c r="D163" i="9"/>
  <c r="J163" i="9"/>
  <c r="H161" i="9"/>
  <c r="C161" i="9"/>
  <c r="E161" i="9"/>
  <c r="G161" i="9"/>
  <c r="K161" i="9"/>
  <c r="B161" i="9"/>
  <c r="F161" i="9"/>
  <c r="D161" i="9"/>
  <c r="J161" i="9"/>
  <c r="H159" i="9"/>
  <c r="C159" i="9"/>
  <c r="E159" i="9"/>
  <c r="G159" i="9"/>
  <c r="K159" i="9"/>
  <c r="B159" i="9"/>
  <c r="F159" i="9"/>
  <c r="D159" i="9"/>
  <c r="J159" i="9"/>
  <c r="H157" i="9"/>
  <c r="C157" i="9"/>
  <c r="E157" i="9"/>
  <c r="G157" i="9"/>
  <c r="K157" i="9"/>
  <c r="B157" i="9"/>
  <c r="F157" i="9"/>
  <c r="D157" i="9"/>
  <c r="J157" i="9"/>
  <c r="H155" i="9"/>
  <c r="C155" i="9"/>
  <c r="E155" i="9"/>
  <c r="G155" i="9"/>
  <c r="K155" i="9"/>
  <c r="B155" i="9"/>
  <c r="F155" i="9"/>
  <c r="D155" i="9"/>
  <c r="J155" i="9"/>
  <c r="H153" i="9"/>
  <c r="C153" i="9"/>
  <c r="E153" i="9"/>
  <c r="G153" i="9"/>
  <c r="K153" i="9"/>
  <c r="B153" i="9"/>
  <c r="F153" i="9"/>
  <c r="D153" i="9"/>
  <c r="J153" i="9"/>
  <c r="H151" i="9"/>
  <c r="C151" i="9"/>
  <c r="E151" i="9"/>
  <c r="G151" i="9"/>
  <c r="K151" i="9"/>
  <c r="B151" i="9"/>
  <c r="F151" i="9"/>
  <c r="D151" i="9"/>
  <c r="J151" i="9"/>
  <c r="H149" i="9"/>
  <c r="C149" i="9"/>
  <c r="E149" i="9"/>
  <c r="G149" i="9"/>
  <c r="K149" i="9"/>
  <c r="B149" i="9"/>
  <c r="F149" i="9"/>
  <c r="D149" i="9"/>
  <c r="J149" i="9"/>
  <c r="H147" i="9"/>
  <c r="C147" i="9"/>
  <c r="E147" i="9"/>
  <c r="G147" i="9"/>
  <c r="K147" i="9"/>
  <c r="B147" i="9"/>
  <c r="F147" i="9"/>
  <c r="D147" i="9"/>
  <c r="J147" i="9"/>
  <c r="H145" i="9"/>
  <c r="C145" i="9"/>
  <c r="E145" i="9"/>
  <c r="G145" i="9"/>
  <c r="K145" i="9"/>
  <c r="B145" i="9"/>
  <c r="F145" i="9"/>
  <c r="D145" i="9"/>
  <c r="J145" i="9"/>
  <c r="H143" i="9"/>
  <c r="C143" i="9"/>
  <c r="B143" i="9"/>
  <c r="E143" i="9"/>
  <c r="G143" i="9"/>
  <c r="K143" i="9"/>
  <c r="F143" i="9"/>
  <c r="D143" i="9"/>
  <c r="J143" i="9"/>
  <c r="C141" i="9"/>
  <c r="E141" i="9"/>
  <c r="G141" i="9"/>
  <c r="K141" i="9"/>
  <c r="H141" i="9"/>
  <c r="B141" i="9"/>
  <c r="F141" i="9"/>
  <c r="J141" i="9"/>
  <c r="D141" i="9"/>
  <c r="H139" i="9"/>
  <c r="C139" i="9"/>
  <c r="E139" i="9"/>
  <c r="G139" i="9"/>
  <c r="K139" i="9"/>
  <c r="B139" i="9"/>
  <c r="F139" i="9"/>
  <c r="J139" i="9"/>
  <c r="D139" i="9"/>
  <c r="H137" i="9"/>
  <c r="C137" i="9"/>
  <c r="E137" i="9"/>
  <c r="G137" i="9"/>
  <c r="K137" i="9"/>
  <c r="B137" i="9"/>
  <c r="F137" i="9"/>
  <c r="J137" i="9"/>
  <c r="D137" i="9"/>
  <c r="H135" i="9"/>
  <c r="C135" i="9"/>
  <c r="E135" i="9"/>
  <c r="G135" i="9"/>
  <c r="K135" i="9"/>
  <c r="B135" i="9"/>
  <c r="F135" i="9"/>
  <c r="J135" i="9"/>
  <c r="D135" i="9"/>
  <c r="H133" i="9"/>
  <c r="C133" i="9"/>
  <c r="E133" i="9"/>
  <c r="G133" i="9"/>
  <c r="K133" i="9"/>
  <c r="B133" i="9"/>
  <c r="F133" i="9"/>
  <c r="J133" i="9"/>
  <c r="D133" i="9"/>
  <c r="H131" i="9"/>
  <c r="C131" i="9"/>
  <c r="E131" i="9"/>
  <c r="G131" i="9"/>
  <c r="K131" i="9"/>
  <c r="B131" i="9"/>
  <c r="F131" i="9"/>
  <c r="J131" i="9"/>
  <c r="D131" i="9"/>
  <c r="H129" i="9"/>
  <c r="C129" i="9"/>
  <c r="E129" i="9"/>
  <c r="G129" i="9"/>
  <c r="K129" i="9"/>
  <c r="B129" i="9"/>
  <c r="F129" i="9"/>
  <c r="J129" i="9"/>
  <c r="D129" i="9"/>
  <c r="H127" i="9"/>
  <c r="C127" i="9"/>
  <c r="E127" i="9"/>
  <c r="G127" i="9"/>
  <c r="K127" i="9"/>
  <c r="B127" i="9"/>
  <c r="F127" i="9"/>
  <c r="J127" i="9"/>
  <c r="D127" i="9"/>
  <c r="C125" i="9"/>
  <c r="E125" i="9"/>
  <c r="G125" i="9"/>
  <c r="K125" i="9"/>
  <c r="H125" i="9"/>
  <c r="B125" i="9"/>
  <c r="F125" i="9"/>
  <c r="J125" i="9"/>
  <c r="D125" i="9"/>
  <c r="H123" i="9"/>
  <c r="C123" i="9"/>
  <c r="E123" i="9"/>
  <c r="G123" i="9"/>
  <c r="K123" i="9"/>
  <c r="B123" i="9"/>
  <c r="F123" i="9"/>
  <c r="J123" i="9"/>
  <c r="D123" i="9"/>
  <c r="H121" i="9"/>
  <c r="C121" i="9"/>
  <c r="E121" i="9"/>
  <c r="G121" i="9"/>
  <c r="K121" i="9"/>
  <c r="B121" i="9"/>
  <c r="F121" i="9"/>
  <c r="J121" i="9"/>
  <c r="D121" i="9"/>
  <c r="H119" i="9"/>
  <c r="C119" i="9"/>
  <c r="E119" i="9"/>
  <c r="G119" i="9"/>
  <c r="K119" i="9"/>
  <c r="B119" i="9"/>
  <c r="F119" i="9"/>
  <c r="J119" i="9"/>
  <c r="D119" i="9"/>
  <c r="H117" i="9"/>
  <c r="C117" i="9"/>
  <c r="E117" i="9"/>
  <c r="G117" i="9"/>
  <c r="K117" i="9"/>
  <c r="B117" i="9"/>
  <c r="F117" i="9"/>
  <c r="J117" i="9"/>
  <c r="D117" i="9"/>
  <c r="H115" i="9"/>
  <c r="C115" i="9"/>
  <c r="E115" i="9"/>
  <c r="G115" i="9"/>
  <c r="K115" i="9"/>
  <c r="B115" i="9"/>
  <c r="F115" i="9"/>
  <c r="J115" i="9"/>
  <c r="D115" i="9"/>
  <c r="H113" i="9"/>
  <c r="C113" i="9"/>
  <c r="E113" i="9"/>
  <c r="G113" i="9"/>
  <c r="K113" i="9"/>
  <c r="B113" i="9"/>
  <c r="F113" i="9"/>
  <c r="J113" i="9"/>
  <c r="D113" i="9"/>
  <c r="H111" i="9"/>
  <c r="C111" i="9"/>
  <c r="E111" i="9"/>
  <c r="G111" i="9"/>
  <c r="K111" i="9"/>
  <c r="B111" i="9"/>
  <c r="F111" i="9"/>
  <c r="J111" i="9"/>
  <c r="D111" i="9"/>
  <c r="C109" i="9"/>
  <c r="E109" i="9"/>
  <c r="G109" i="9"/>
  <c r="K109" i="9"/>
  <c r="H109" i="9"/>
  <c r="B109" i="9"/>
  <c r="F109" i="9"/>
  <c r="J109" i="9"/>
  <c r="D109" i="9"/>
  <c r="H107" i="9"/>
  <c r="C107" i="9"/>
  <c r="E107" i="9"/>
  <c r="G107" i="9"/>
  <c r="K107" i="9"/>
  <c r="B107" i="9"/>
  <c r="F107" i="9"/>
  <c r="J107" i="9"/>
  <c r="D107" i="9"/>
  <c r="H105" i="9"/>
  <c r="C105" i="9"/>
  <c r="E105" i="9"/>
  <c r="G105" i="9"/>
  <c r="K105" i="9"/>
  <c r="B105" i="9"/>
  <c r="F105" i="9"/>
  <c r="J105" i="9"/>
  <c r="D105" i="9"/>
  <c r="H103" i="9"/>
  <c r="C103" i="9"/>
  <c r="E103" i="9"/>
  <c r="G103" i="9"/>
  <c r="K103" i="9"/>
  <c r="B103" i="9"/>
  <c r="F103" i="9"/>
  <c r="J103" i="9"/>
  <c r="D103" i="9"/>
  <c r="H101" i="9"/>
  <c r="C101" i="9"/>
  <c r="E101" i="9"/>
  <c r="G101" i="9"/>
  <c r="K101" i="9"/>
  <c r="B101" i="9"/>
  <c r="F101" i="9"/>
  <c r="J101" i="9"/>
  <c r="D101" i="9"/>
  <c r="H99" i="9"/>
  <c r="C99" i="9"/>
  <c r="E99" i="9"/>
  <c r="G99" i="9"/>
  <c r="K99" i="9"/>
  <c r="B99" i="9"/>
  <c r="F99" i="9"/>
  <c r="J99" i="9"/>
  <c r="D99" i="9"/>
  <c r="H97" i="9"/>
  <c r="C97" i="9"/>
  <c r="E97" i="9"/>
  <c r="G97" i="9"/>
  <c r="K97" i="9"/>
  <c r="B97" i="9"/>
  <c r="F97" i="9"/>
  <c r="J97" i="9"/>
  <c r="D97" i="9"/>
  <c r="H95" i="9"/>
  <c r="C95" i="9"/>
  <c r="E95" i="9"/>
  <c r="G95" i="9"/>
  <c r="K95" i="9"/>
  <c r="B95" i="9"/>
  <c r="F95" i="9"/>
  <c r="J95" i="9"/>
  <c r="D95" i="9"/>
  <c r="C93" i="9"/>
  <c r="E93" i="9"/>
  <c r="G93" i="9"/>
  <c r="K93" i="9"/>
  <c r="H93" i="9"/>
  <c r="B93" i="9"/>
  <c r="F93" i="9"/>
  <c r="J93" i="9"/>
  <c r="D93" i="9"/>
  <c r="H91" i="9"/>
  <c r="C91" i="9"/>
  <c r="E91" i="9"/>
  <c r="G91" i="9"/>
  <c r="K91" i="9"/>
  <c r="B91" i="9"/>
  <c r="F91" i="9"/>
  <c r="J91" i="9"/>
  <c r="D91" i="9"/>
  <c r="H89" i="9"/>
  <c r="C89" i="9"/>
  <c r="E89" i="9"/>
  <c r="G89" i="9"/>
  <c r="K89" i="9"/>
  <c r="B89" i="9"/>
  <c r="F89" i="9"/>
  <c r="J89" i="9"/>
  <c r="D89" i="9"/>
  <c r="H87" i="9"/>
  <c r="C87" i="9"/>
  <c r="E87" i="9"/>
  <c r="G87" i="9"/>
  <c r="K87" i="9"/>
  <c r="B87" i="9"/>
  <c r="F87" i="9"/>
  <c r="J87" i="9"/>
  <c r="D87" i="9"/>
  <c r="H85" i="9"/>
  <c r="C85" i="9"/>
  <c r="E85" i="9"/>
  <c r="G85" i="9"/>
  <c r="K85" i="9"/>
  <c r="B85" i="9"/>
  <c r="F85" i="9"/>
  <c r="J85" i="9"/>
  <c r="D85" i="9"/>
  <c r="H83" i="9"/>
  <c r="C83" i="9"/>
  <c r="E83" i="9"/>
  <c r="G83" i="9"/>
  <c r="K83" i="9"/>
  <c r="B83" i="9"/>
  <c r="F83" i="9"/>
  <c r="J83" i="9"/>
  <c r="D83" i="9"/>
  <c r="H81" i="9"/>
  <c r="C81" i="9"/>
  <c r="E81" i="9"/>
  <c r="G81" i="9"/>
  <c r="K81" i="9"/>
  <c r="B81" i="9"/>
  <c r="F81" i="9"/>
  <c r="J81" i="9"/>
  <c r="D81" i="9"/>
  <c r="H79" i="9"/>
  <c r="C79" i="9"/>
  <c r="E79" i="9"/>
  <c r="G79" i="9"/>
  <c r="K79" i="9"/>
  <c r="B79" i="9"/>
  <c r="F79" i="9"/>
  <c r="J79" i="9"/>
  <c r="D79" i="9"/>
  <c r="C77" i="9"/>
  <c r="E77" i="9"/>
  <c r="G77" i="9"/>
  <c r="K77" i="9"/>
  <c r="H77" i="9"/>
  <c r="B77" i="9"/>
  <c r="F77" i="9"/>
  <c r="J77" i="9"/>
  <c r="D77" i="9"/>
  <c r="H75" i="9"/>
  <c r="C75" i="9"/>
  <c r="E75" i="9"/>
  <c r="G75" i="9"/>
  <c r="K75" i="9"/>
  <c r="B75" i="9"/>
  <c r="F75" i="9"/>
  <c r="J75" i="9"/>
  <c r="D75" i="9"/>
  <c r="H73" i="9"/>
  <c r="C73" i="9"/>
  <c r="E73" i="9"/>
  <c r="G73" i="9"/>
  <c r="K73" i="9"/>
  <c r="B73" i="9"/>
  <c r="F73" i="9"/>
  <c r="J73" i="9"/>
  <c r="D73" i="9"/>
  <c r="H71" i="9"/>
  <c r="C71" i="9"/>
  <c r="E71" i="9"/>
  <c r="G71" i="9"/>
  <c r="K71" i="9"/>
  <c r="B71" i="9"/>
  <c r="F71" i="9"/>
  <c r="J71" i="9"/>
  <c r="D71" i="9"/>
  <c r="H69" i="9"/>
  <c r="C69" i="9"/>
  <c r="E69" i="9"/>
  <c r="G69" i="9"/>
  <c r="K69" i="9"/>
  <c r="B69" i="9"/>
  <c r="F69" i="9"/>
  <c r="J69" i="9"/>
  <c r="D69" i="9"/>
  <c r="H67" i="9"/>
  <c r="C67" i="9"/>
  <c r="E67" i="9"/>
  <c r="G67" i="9"/>
  <c r="K67" i="9"/>
  <c r="B67" i="9"/>
  <c r="F67" i="9"/>
  <c r="D67" i="9"/>
  <c r="J67" i="9"/>
  <c r="H65" i="9"/>
  <c r="C65" i="9"/>
  <c r="E65" i="9"/>
  <c r="G65" i="9"/>
  <c r="K65" i="9"/>
  <c r="B65" i="9"/>
  <c r="F65" i="9"/>
  <c r="D65" i="9"/>
  <c r="J65" i="9"/>
  <c r="H63" i="9"/>
  <c r="C63" i="9"/>
  <c r="E63" i="9"/>
  <c r="G63" i="9"/>
  <c r="K63" i="9"/>
  <c r="B63" i="9"/>
  <c r="F63" i="9"/>
  <c r="D63" i="9"/>
  <c r="J63" i="9"/>
  <c r="E61" i="9"/>
  <c r="F61" i="9" s="1"/>
  <c r="K61" i="9" s="1"/>
  <c r="B61" i="9"/>
  <c r="C61" i="9" s="1"/>
  <c r="D61" i="9" s="1"/>
  <c r="E59" i="9"/>
  <c r="B59" i="9"/>
  <c r="C59" i="9" s="1"/>
  <c r="D59" i="9" s="1"/>
  <c r="F59" i="9"/>
  <c r="K59" i="9" s="1"/>
  <c r="E57" i="9"/>
  <c r="B57" i="9"/>
  <c r="C57" i="9" s="1"/>
  <c r="D57" i="9" s="1"/>
  <c r="J57" i="9" s="1"/>
  <c r="F57" i="9"/>
  <c r="K57" i="9" s="1"/>
  <c r="E55" i="9"/>
  <c r="B55" i="9"/>
  <c r="C55" i="9" s="1"/>
  <c r="D55" i="9" s="1"/>
  <c r="F55" i="9"/>
  <c r="K55" i="9" s="1"/>
  <c r="E53" i="9"/>
  <c r="B53" i="9"/>
  <c r="C53" i="9" s="1"/>
  <c r="D53" i="9" s="1"/>
  <c r="J53" i="9" s="1"/>
  <c r="F53" i="9"/>
  <c r="K53" i="9" s="1"/>
  <c r="E51" i="9"/>
  <c r="B51" i="9"/>
  <c r="C51" i="9" s="1"/>
  <c r="D51" i="9" s="1"/>
  <c r="F51" i="9"/>
  <c r="K51" i="9" s="1"/>
  <c r="E49" i="9"/>
  <c r="B49" i="9"/>
  <c r="C49" i="9" s="1"/>
  <c r="D49" i="9" s="1"/>
  <c r="J49" i="9" s="1"/>
  <c r="F49" i="9"/>
  <c r="K49" i="9" s="1"/>
  <c r="E47" i="9"/>
  <c r="B47" i="9"/>
  <c r="C47" i="9" s="1"/>
  <c r="D47" i="9" s="1"/>
  <c r="F47" i="9"/>
  <c r="K47" i="9" s="1"/>
  <c r="B45" i="9"/>
  <c r="E45" i="9"/>
  <c r="F45" i="9" s="1"/>
  <c r="K45" i="9" s="1"/>
  <c r="C45" i="9"/>
  <c r="G45" i="9"/>
  <c r="B43" i="9"/>
  <c r="D43" i="9"/>
  <c r="C43" i="9"/>
  <c r="G43" i="9"/>
  <c r="E43" i="9"/>
  <c r="F43" i="9" s="1"/>
  <c r="B41" i="9"/>
  <c r="G41" i="9" s="1"/>
  <c r="E41" i="9"/>
  <c r="F41" i="9" s="1"/>
  <c r="K41" i="9" s="1"/>
  <c r="B39" i="9"/>
  <c r="G39" i="9" s="1"/>
  <c r="E39" i="9"/>
  <c r="F39" i="9" s="1"/>
  <c r="B37" i="9"/>
  <c r="G37" i="9" s="1"/>
  <c r="E37" i="9"/>
  <c r="F37" i="9" s="1"/>
  <c r="K37" i="9" s="1"/>
  <c r="E35" i="9"/>
  <c r="B35" i="9"/>
  <c r="G35" i="9" s="1"/>
  <c r="F35" i="9"/>
  <c r="K35" i="9" s="1"/>
  <c r="E33" i="9"/>
  <c r="F33" i="9" s="1"/>
  <c r="K33" i="9" s="1"/>
  <c r="B33" i="9"/>
  <c r="E31" i="9"/>
  <c r="B31" i="9"/>
  <c r="F31" i="9"/>
  <c r="K31" i="9" s="1"/>
  <c r="E29" i="9"/>
  <c r="F29" i="9" s="1"/>
  <c r="K29" i="9" s="1"/>
  <c r="B29" i="9"/>
  <c r="G29" i="9" s="1"/>
  <c r="E27" i="9"/>
  <c r="B27" i="9"/>
  <c r="G27" i="9" s="1"/>
  <c r="F27" i="9"/>
  <c r="K27" i="9" s="1"/>
  <c r="E25" i="9"/>
  <c r="F25" i="9" s="1"/>
  <c r="K25" i="9" s="1"/>
  <c r="B25" i="9"/>
  <c r="E23" i="9"/>
  <c r="B23" i="9"/>
  <c r="F23" i="9"/>
  <c r="K23" i="9" s="1"/>
  <c r="E21" i="9"/>
  <c r="F21" i="9" s="1"/>
  <c r="K21" i="9" s="1"/>
  <c r="B21" i="9"/>
  <c r="G21" i="9" s="1"/>
  <c r="E19" i="9"/>
  <c r="B19" i="9"/>
  <c r="G19" i="9" s="1"/>
  <c r="F19" i="9"/>
  <c r="K19" i="9" s="1"/>
  <c r="E17" i="9"/>
  <c r="F17" i="9" s="1"/>
  <c r="K17" i="9" s="1"/>
  <c r="B17" i="9"/>
  <c r="E15" i="9"/>
  <c r="B15" i="9"/>
  <c r="F15" i="9"/>
  <c r="K15" i="9" s="1"/>
  <c r="E13" i="9"/>
  <c r="B13" i="9"/>
  <c r="C13" i="9" s="1"/>
  <c r="D13" i="9" s="1"/>
  <c r="F13" i="9"/>
  <c r="K13" i="9" s="1"/>
  <c r="E11" i="9"/>
  <c r="B11" i="9"/>
  <c r="C11" i="9" s="1"/>
  <c r="D11" i="9" s="1"/>
  <c r="F11" i="9"/>
  <c r="K11" i="9" s="1"/>
  <c r="E9" i="9"/>
  <c r="B9" i="9"/>
  <c r="C9" i="9" s="1"/>
  <c r="D9" i="9" s="1"/>
  <c r="F9" i="9"/>
  <c r="K9" i="9" s="1"/>
  <c r="E7" i="9"/>
  <c r="B7" i="9"/>
  <c r="C7" i="9" s="1"/>
  <c r="D7" i="9" s="1"/>
  <c r="F7" i="9"/>
  <c r="K7" i="9" s="1"/>
  <c r="K1003" i="9"/>
  <c r="G1003" i="9"/>
  <c r="E1003" i="9"/>
  <c r="C1003" i="9"/>
  <c r="K1002" i="9"/>
  <c r="G1002" i="9"/>
  <c r="E1002" i="9"/>
  <c r="C1002" i="9"/>
  <c r="K1001" i="9"/>
  <c r="G1001" i="9"/>
  <c r="E1001" i="9"/>
  <c r="C1001" i="9"/>
  <c r="K1000" i="9"/>
  <c r="G1000" i="9"/>
  <c r="E1000" i="9"/>
  <c r="C1000" i="9"/>
  <c r="K999" i="9"/>
  <c r="G999" i="9"/>
  <c r="E999" i="9"/>
  <c r="C999" i="9"/>
  <c r="K998" i="9"/>
  <c r="G998" i="9"/>
  <c r="E998" i="9"/>
  <c r="C998" i="9"/>
  <c r="K997" i="9"/>
  <c r="G997" i="9"/>
  <c r="E997" i="9"/>
  <c r="C997" i="9"/>
  <c r="K996" i="9"/>
  <c r="G996" i="9"/>
  <c r="E996" i="9"/>
  <c r="C996" i="9"/>
  <c r="K995" i="9"/>
  <c r="G995" i="9"/>
  <c r="E995" i="9"/>
  <c r="C995" i="9"/>
  <c r="K994" i="9"/>
  <c r="G994" i="9"/>
  <c r="E994" i="9"/>
  <c r="C994" i="9"/>
  <c r="K993" i="9"/>
  <c r="G993" i="9"/>
  <c r="E993" i="9"/>
  <c r="C993" i="9"/>
  <c r="K992" i="9"/>
  <c r="G992" i="9"/>
  <c r="E992" i="9"/>
  <c r="C992" i="9"/>
  <c r="K991" i="9"/>
  <c r="G991" i="9"/>
  <c r="E991" i="9"/>
  <c r="C991" i="9"/>
  <c r="K990" i="9"/>
  <c r="G990" i="9"/>
  <c r="E990" i="9"/>
  <c r="C990" i="9"/>
  <c r="K989" i="9"/>
  <c r="G989" i="9"/>
  <c r="E989" i="9"/>
  <c r="C989" i="9"/>
  <c r="K988" i="9"/>
  <c r="G988" i="9"/>
  <c r="E988" i="9"/>
  <c r="C988" i="9"/>
  <c r="K987" i="9"/>
  <c r="G987" i="9"/>
  <c r="E987" i="9"/>
  <c r="C987" i="9"/>
  <c r="K986" i="9"/>
  <c r="G986" i="9"/>
  <c r="E986" i="9"/>
  <c r="C986" i="9"/>
  <c r="K985" i="9"/>
  <c r="G985" i="9"/>
  <c r="E985" i="9"/>
  <c r="C985" i="9"/>
  <c r="K984" i="9"/>
  <c r="G984" i="9"/>
  <c r="E984" i="9"/>
  <c r="C984" i="9"/>
  <c r="K983" i="9"/>
  <c r="G983" i="9"/>
  <c r="E983" i="9"/>
  <c r="C983" i="9"/>
  <c r="K982" i="9"/>
  <c r="G982" i="9"/>
  <c r="E982" i="9"/>
  <c r="C982" i="9"/>
  <c r="K981" i="9"/>
  <c r="G981" i="9"/>
  <c r="E981" i="9"/>
  <c r="C981" i="9"/>
  <c r="K980" i="9"/>
  <c r="G980" i="9"/>
  <c r="E980" i="9"/>
  <c r="C980" i="9"/>
  <c r="K979" i="9"/>
  <c r="G979" i="9"/>
  <c r="E979" i="9"/>
  <c r="C979" i="9"/>
  <c r="K978" i="9"/>
  <c r="G978" i="9"/>
  <c r="E978" i="9"/>
  <c r="C978" i="9"/>
  <c r="K977" i="9"/>
  <c r="G977" i="9"/>
  <c r="E977" i="9"/>
  <c r="C977" i="9"/>
  <c r="K976" i="9"/>
  <c r="G976" i="9"/>
  <c r="E976" i="9"/>
  <c r="C976" i="9"/>
  <c r="K975" i="9"/>
  <c r="G975" i="9"/>
  <c r="E975" i="9"/>
  <c r="C975" i="9"/>
  <c r="K974" i="9"/>
  <c r="G974" i="9"/>
  <c r="E974" i="9"/>
  <c r="C974" i="9"/>
  <c r="K973" i="9"/>
  <c r="G973" i="9"/>
  <c r="E973" i="9"/>
  <c r="C973" i="9"/>
  <c r="K972" i="9"/>
  <c r="G972" i="9"/>
  <c r="E972" i="9"/>
  <c r="C972" i="9"/>
  <c r="K971" i="9"/>
  <c r="G971" i="9"/>
  <c r="E971" i="9"/>
  <c r="C971" i="9"/>
  <c r="K970" i="9"/>
  <c r="G970" i="9"/>
  <c r="E970" i="9"/>
  <c r="C970" i="9"/>
  <c r="K969" i="9"/>
  <c r="G969" i="9"/>
  <c r="E969" i="9"/>
  <c r="C969" i="9"/>
  <c r="K968" i="9"/>
  <c r="G968" i="9"/>
  <c r="E968" i="9"/>
  <c r="C968" i="9"/>
  <c r="K967" i="9"/>
  <c r="G967" i="9"/>
  <c r="E967" i="9"/>
  <c r="C967" i="9"/>
  <c r="K966" i="9"/>
  <c r="G966" i="9"/>
  <c r="E966" i="9"/>
  <c r="C966" i="9"/>
  <c r="K965" i="9"/>
  <c r="G965" i="9"/>
  <c r="E965" i="9"/>
  <c r="C965" i="9"/>
  <c r="K964" i="9"/>
  <c r="G964" i="9"/>
  <c r="E964" i="9"/>
  <c r="C964" i="9"/>
  <c r="K963" i="9"/>
  <c r="G963" i="9"/>
  <c r="E963" i="9"/>
  <c r="C963" i="9"/>
  <c r="K962" i="9"/>
  <c r="G962" i="9"/>
  <c r="E962" i="9"/>
  <c r="C962" i="9"/>
  <c r="K961" i="9"/>
  <c r="G961" i="9"/>
  <c r="E961" i="9"/>
  <c r="C961" i="9"/>
  <c r="K960" i="9"/>
  <c r="G960" i="9"/>
  <c r="E960" i="9"/>
  <c r="C960" i="9"/>
  <c r="K959" i="9"/>
  <c r="G959" i="9"/>
  <c r="E959" i="9"/>
  <c r="C959" i="9"/>
  <c r="K958" i="9"/>
  <c r="G958" i="9"/>
  <c r="E958" i="9"/>
  <c r="C958" i="9"/>
  <c r="K957" i="9"/>
  <c r="G957" i="9"/>
  <c r="E957" i="9"/>
  <c r="C957" i="9"/>
  <c r="K956" i="9"/>
  <c r="G956" i="9"/>
  <c r="E956" i="9"/>
  <c r="C956" i="9"/>
  <c r="K955" i="9"/>
  <c r="G955" i="9"/>
  <c r="E955" i="9"/>
  <c r="C955" i="9"/>
  <c r="K954" i="9"/>
  <c r="G954" i="9"/>
  <c r="E954" i="9"/>
  <c r="C954" i="9"/>
  <c r="K953" i="9"/>
  <c r="G953" i="9"/>
  <c r="E953" i="9"/>
  <c r="C953" i="9"/>
  <c r="K952" i="9"/>
  <c r="G952" i="9"/>
  <c r="E952" i="9"/>
  <c r="C952" i="9"/>
  <c r="K951" i="9"/>
  <c r="G951" i="9"/>
  <c r="E951" i="9"/>
  <c r="C951" i="9"/>
  <c r="K950" i="9"/>
  <c r="G950" i="9"/>
  <c r="E950" i="9"/>
  <c r="C950" i="9"/>
  <c r="K949" i="9"/>
  <c r="G949" i="9"/>
  <c r="E949" i="9"/>
  <c r="C949" i="9"/>
  <c r="K948" i="9"/>
  <c r="G948" i="9"/>
  <c r="E948" i="9"/>
  <c r="C948" i="9"/>
  <c r="K947" i="9"/>
  <c r="G947" i="9"/>
  <c r="E947" i="9"/>
  <c r="C947" i="9"/>
  <c r="K946" i="9"/>
  <c r="G946" i="9"/>
  <c r="E946" i="9"/>
  <c r="C946" i="9"/>
  <c r="K945" i="9"/>
  <c r="G945" i="9"/>
  <c r="E945" i="9"/>
  <c r="C945" i="9"/>
  <c r="K944" i="9"/>
  <c r="G944" i="9"/>
  <c r="E944" i="9"/>
  <c r="C944" i="9"/>
  <c r="K943" i="9"/>
  <c r="G943" i="9"/>
  <c r="E943" i="9"/>
  <c r="C943" i="9"/>
  <c r="K942" i="9"/>
  <c r="G942" i="9"/>
  <c r="E942" i="9"/>
  <c r="C942" i="9"/>
  <c r="K941" i="9"/>
  <c r="G941" i="9"/>
  <c r="E941" i="9"/>
  <c r="C941" i="9"/>
  <c r="K940" i="9"/>
  <c r="G940" i="9"/>
  <c r="E940" i="9"/>
  <c r="C940" i="9"/>
  <c r="K939" i="9"/>
  <c r="G939" i="9"/>
  <c r="E939" i="9"/>
  <c r="C939" i="9"/>
  <c r="K938" i="9"/>
  <c r="G938" i="9"/>
  <c r="E938" i="9"/>
  <c r="C938" i="9"/>
  <c r="K937" i="9"/>
  <c r="G937" i="9"/>
  <c r="E937" i="9"/>
  <c r="C937" i="9"/>
  <c r="K936" i="9"/>
  <c r="G936" i="9"/>
  <c r="E936" i="9"/>
  <c r="C936" i="9"/>
  <c r="K935" i="9"/>
  <c r="G935" i="9"/>
  <c r="E935" i="9"/>
  <c r="C935" i="9"/>
  <c r="K934" i="9"/>
  <c r="G934" i="9"/>
  <c r="E934" i="9"/>
  <c r="C934" i="9"/>
  <c r="K933" i="9"/>
  <c r="G933" i="9"/>
  <c r="E933" i="9"/>
  <c r="C933" i="9"/>
  <c r="K932" i="9"/>
  <c r="G932" i="9"/>
  <c r="E932" i="9"/>
  <c r="C932" i="9"/>
  <c r="K931" i="9"/>
  <c r="G931" i="9"/>
  <c r="E931" i="9"/>
  <c r="C931" i="9"/>
  <c r="K930" i="9"/>
  <c r="G930" i="9"/>
  <c r="E930" i="9"/>
  <c r="C930" i="9"/>
  <c r="K929" i="9"/>
  <c r="G929" i="9"/>
  <c r="E929" i="9"/>
  <c r="C929" i="9"/>
  <c r="K928" i="9"/>
  <c r="G928" i="9"/>
  <c r="E928" i="9"/>
  <c r="C928" i="9"/>
  <c r="K927" i="9"/>
  <c r="G927" i="9"/>
  <c r="E927" i="9"/>
  <c r="C927" i="9"/>
  <c r="K926" i="9"/>
  <c r="G926" i="9"/>
  <c r="E926" i="9"/>
  <c r="C926" i="9"/>
  <c r="K925" i="9"/>
  <c r="G925" i="9"/>
  <c r="E925" i="9"/>
  <c r="C925" i="9"/>
  <c r="K924" i="9"/>
  <c r="G924" i="9"/>
  <c r="E924" i="9"/>
  <c r="C924" i="9"/>
  <c r="K923" i="9"/>
  <c r="G923" i="9"/>
  <c r="E923" i="9"/>
  <c r="C923" i="9"/>
  <c r="K922" i="9"/>
  <c r="G922" i="9"/>
  <c r="E922" i="9"/>
  <c r="C922" i="9"/>
  <c r="K921" i="9"/>
  <c r="G921" i="9"/>
  <c r="E921" i="9"/>
  <c r="C921" i="9"/>
  <c r="K920" i="9"/>
  <c r="G920" i="9"/>
  <c r="E920" i="9"/>
  <c r="C920" i="9"/>
  <c r="K919" i="9"/>
  <c r="G919" i="9"/>
  <c r="E919" i="9"/>
  <c r="C919" i="9"/>
  <c r="K918" i="9"/>
  <c r="G918" i="9"/>
  <c r="E918" i="9"/>
  <c r="C918" i="9"/>
  <c r="K917" i="9"/>
  <c r="G917" i="9"/>
  <c r="E917" i="9"/>
  <c r="C917" i="9"/>
  <c r="K916" i="9"/>
  <c r="G916" i="9"/>
  <c r="E916" i="9"/>
  <c r="C916" i="9"/>
  <c r="K915" i="9"/>
  <c r="G915" i="9"/>
  <c r="E915" i="9"/>
  <c r="C915" i="9"/>
  <c r="K914" i="9"/>
  <c r="G914" i="9"/>
  <c r="E914" i="9"/>
  <c r="C914" i="9"/>
  <c r="K913" i="9"/>
  <c r="G913" i="9"/>
  <c r="E913" i="9"/>
  <c r="C913" i="9"/>
  <c r="K912" i="9"/>
  <c r="G912" i="9"/>
  <c r="E912" i="9"/>
  <c r="C912" i="9"/>
  <c r="K911" i="9"/>
  <c r="G911" i="9"/>
  <c r="E911" i="9"/>
  <c r="C911" i="9"/>
  <c r="K910" i="9"/>
  <c r="G910" i="9"/>
  <c r="E910" i="9"/>
  <c r="C910" i="9"/>
  <c r="K909" i="9"/>
  <c r="G909" i="9"/>
  <c r="E909" i="9"/>
  <c r="C909" i="9"/>
  <c r="K908" i="9"/>
  <c r="G908" i="9"/>
  <c r="E908" i="9"/>
  <c r="C908" i="9"/>
  <c r="K907" i="9"/>
  <c r="G907" i="9"/>
  <c r="E907" i="9"/>
  <c r="C907" i="9"/>
  <c r="K906" i="9"/>
  <c r="G906" i="9"/>
  <c r="E906" i="9"/>
  <c r="C906" i="9"/>
  <c r="K905" i="9"/>
  <c r="G905" i="9"/>
  <c r="E905" i="9"/>
  <c r="C905" i="9"/>
  <c r="K904" i="9"/>
  <c r="G904" i="9"/>
  <c r="E904" i="9"/>
  <c r="C904" i="9"/>
  <c r="K903" i="9"/>
  <c r="G903" i="9"/>
  <c r="E903" i="9"/>
  <c r="C903" i="9"/>
  <c r="K902" i="9"/>
  <c r="G902" i="9"/>
  <c r="E902" i="9"/>
  <c r="C902" i="9"/>
  <c r="K901" i="9"/>
  <c r="G901" i="9"/>
  <c r="E901" i="9"/>
  <c r="C901" i="9"/>
  <c r="K900" i="9"/>
  <c r="G900" i="9"/>
  <c r="E900" i="9"/>
  <c r="C900" i="9"/>
  <c r="K899" i="9"/>
  <c r="G899" i="9"/>
  <c r="E899" i="9"/>
  <c r="C899" i="9"/>
  <c r="K898" i="9"/>
  <c r="G898" i="9"/>
  <c r="E898" i="9"/>
  <c r="C898" i="9"/>
  <c r="K897" i="9"/>
  <c r="G897" i="9"/>
  <c r="E897" i="9"/>
  <c r="C897" i="9"/>
  <c r="K896" i="9"/>
  <c r="G896" i="9"/>
  <c r="E896" i="9"/>
  <c r="C896" i="9"/>
  <c r="K895" i="9"/>
  <c r="E895" i="9"/>
  <c r="K894" i="9"/>
  <c r="K893" i="9"/>
  <c r="E893" i="9"/>
  <c r="K892" i="9"/>
  <c r="K891" i="9"/>
  <c r="E891" i="9"/>
  <c r="K890" i="9"/>
  <c r="K889" i="9"/>
  <c r="E889" i="9"/>
  <c r="K888" i="9"/>
  <c r="K887" i="9"/>
  <c r="E887" i="9"/>
  <c r="K886" i="9"/>
  <c r="K885" i="9"/>
  <c r="E885" i="9"/>
  <c r="K884" i="9"/>
  <c r="K883" i="9"/>
  <c r="E883" i="9"/>
  <c r="K882" i="9"/>
  <c r="K881" i="9"/>
  <c r="E881" i="9"/>
  <c r="K880" i="9"/>
  <c r="K879" i="9"/>
  <c r="E879" i="9"/>
  <c r="K878" i="9"/>
  <c r="K877" i="9"/>
  <c r="E877" i="9"/>
  <c r="K876" i="9"/>
  <c r="K875" i="9"/>
  <c r="E875" i="9"/>
  <c r="K874" i="9"/>
  <c r="K873" i="9"/>
  <c r="E873" i="9"/>
  <c r="K872" i="9"/>
  <c r="K871" i="9"/>
  <c r="E871" i="9"/>
  <c r="K870" i="9"/>
  <c r="K869" i="9"/>
  <c r="E869" i="9"/>
  <c r="K868" i="9"/>
  <c r="K867" i="9"/>
  <c r="E867" i="9"/>
  <c r="K866" i="9"/>
  <c r="K865" i="9"/>
  <c r="E865" i="9"/>
  <c r="K864" i="9"/>
  <c r="K863" i="9"/>
  <c r="E863" i="9"/>
  <c r="K862" i="9"/>
  <c r="K861" i="9"/>
  <c r="E861" i="9"/>
  <c r="K860" i="9"/>
  <c r="K859" i="9"/>
  <c r="E859" i="9"/>
  <c r="K858" i="9"/>
  <c r="K857" i="9"/>
  <c r="E857" i="9"/>
  <c r="K856" i="9"/>
  <c r="K855" i="9"/>
  <c r="E855" i="9"/>
  <c r="K854" i="9"/>
  <c r="K853" i="9"/>
  <c r="E853" i="9"/>
  <c r="K852" i="9"/>
  <c r="K851" i="9"/>
  <c r="E851" i="9"/>
  <c r="K850" i="9"/>
  <c r="K849" i="9"/>
  <c r="E849" i="9"/>
  <c r="K848" i="9"/>
  <c r="K847" i="9"/>
  <c r="E847" i="9"/>
  <c r="K846" i="9"/>
  <c r="K845" i="9"/>
  <c r="E845" i="9"/>
  <c r="K844" i="9"/>
  <c r="K843" i="9"/>
  <c r="E843" i="9"/>
  <c r="K842" i="9"/>
  <c r="K841" i="9"/>
  <c r="E841" i="9"/>
  <c r="K840" i="9"/>
  <c r="K839" i="9"/>
  <c r="E839" i="9"/>
  <c r="K838" i="9"/>
  <c r="K837" i="9"/>
  <c r="E837" i="9"/>
  <c r="K836" i="9"/>
  <c r="K835" i="9"/>
  <c r="E835" i="9"/>
  <c r="K834" i="9"/>
  <c r="K833" i="9"/>
  <c r="E833" i="9"/>
  <c r="K832" i="9"/>
  <c r="K831" i="9"/>
  <c r="E831" i="9"/>
  <c r="K830" i="9"/>
  <c r="K829" i="9"/>
  <c r="E829" i="9"/>
  <c r="K828" i="9"/>
  <c r="K827" i="9"/>
  <c r="E827" i="9"/>
  <c r="K826" i="9"/>
  <c r="K825" i="9"/>
  <c r="E825" i="9"/>
  <c r="K824" i="9"/>
  <c r="K823" i="9"/>
  <c r="E823" i="9"/>
  <c r="K822" i="9"/>
  <c r="K821" i="9"/>
  <c r="E821" i="9"/>
  <c r="K820" i="9"/>
  <c r="K819" i="9"/>
  <c r="E819" i="9"/>
  <c r="K818" i="9"/>
  <c r="K817" i="9"/>
  <c r="E817" i="9"/>
  <c r="K816" i="9"/>
  <c r="K815" i="9"/>
  <c r="E815" i="9"/>
  <c r="K814" i="9"/>
  <c r="K813" i="9"/>
  <c r="E813" i="9"/>
  <c r="K812" i="9"/>
  <c r="K811" i="9"/>
  <c r="E811" i="9"/>
  <c r="K810" i="9"/>
  <c r="K809" i="9"/>
  <c r="E809" i="9"/>
  <c r="K808" i="9"/>
  <c r="K807" i="9"/>
  <c r="E807" i="9"/>
  <c r="K806" i="9"/>
  <c r="K805" i="9"/>
  <c r="E805" i="9"/>
  <c r="K804" i="9"/>
  <c r="K803" i="9"/>
  <c r="E803" i="9"/>
  <c r="K802" i="9"/>
  <c r="K801" i="9"/>
  <c r="E801" i="9"/>
  <c r="K800" i="9"/>
  <c r="K799" i="9"/>
  <c r="E799" i="9"/>
  <c r="K798" i="9"/>
  <c r="K797" i="9"/>
  <c r="E797" i="9"/>
  <c r="K796" i="9"/>
  <c r="K795" i="9"/>
  <c r="E795" i="9"/>
  <c r="K794" i="9"/>
  <c r="K793" i="9"/>
  <c r="E793" i="9"/>
  <c r="K792" i="9"/>
  <c r="K791" i="9"/>
  <c r="E791" i="9"/>
  <c r="K790" i="9"/>
  <c r="K789" i="9"/>
  <c r="E789" i="9"/>
  <c r="K788" i="9"/>
  <c r="K787" i="9"/>
  <c r="E787" i="9"/>
  <c r="K786" i="9"/>
  <c r="K785" i="9"/>
  <c r="E785" i="9"/>
  <c r="K784" i="9"/>
  <c r="K783" i="9"/>
  <c r="E783" i="9"/>
  <c r="K782" i="9"/>
  <c r="K781" i="9"/>
  <c r="E781" i="9"/>
  <c r="K780" i="9"/>
  <c r="K779" i="9"/>
  <c r="E779" i="9"/>
  <c r="K778" i="9"/>
  <c r="K777" i="9"/>
  <c r="E777" i="9"/>
  <c r="K776" i="9"/>
  <c r="K775" i="9"/>
  <c r="E775" i="9"/>
  <c r="K774" i="9"/>
  <c r="K773" i="9"/>
  <c r="E773" i="9"/>
  <c r="K772" i="9"/>
  <c r="K771" i="9"/>
  <c r="E771" i="9"/>
  <c r="K770" i="9"/>
  <c r="K769" i="9"/>
  <c r="E769" i="9"/>
  <c r="K768" i="9"/>
  <c r="K767" i="9"/>
  <c r="E767" i="9"/>
  <c r="K766" i="9"/>
  <c r="K765" i="9"/>
  <c r="E765" i="9"/>
  <c r="K764" i="9"/>
  <c r="K763" i="9"/>
  <c r="E763" i="9"/>
  <c r="K762" i="9"/>
  <c r="K761" i="9"/>
  <c r="E761" i="9"/>
  <c r="K760" i="9"/>
  <c r="K759" i="9"/>
  <c r="E759" i="9"/>
  <c r="K758" i="9"/>
  <c r="K757" i="9"/>
  <c r="E757" i="9"/>
  <c r="K756" i="9"/>
  <c r="K755" i="9"/>
  <c r="E755" i="9"/>
  <c r="K754" i="9"/>
  <c r="K753" i="9"/>
  <c r="E753" i="9"/>
  <c r="K752" i="9"/>
  <c r="K751" i="9"/>
  <c r="E751" i="9"/>
  <c r="K750" i="9"/>
  <c r="K749" i="9"/>
  <c r="E749" i="9"/>
  <c r="K748" i="9"/>
  <c r="K747" i="9"/>
  <c r="E747" i="9"/>
  <c r="K746" i="9"/>
  <c r="K745" i="9"/>
  <c r="E745" i="9"/>
  <c r="K744" i="9"/>
  <c r="K743" i="9"/>
  <c r="E743" i="9"/>
  <c r="K742" i="9"/>
  <c r="K741" i="9"/>
  <c r="E741" i="9"/>
  <c r="K740" i="9"/>
  <c r="K739" i="9"/>
  <c r="E739" i="9"/>
  <c r="K738" i="9"/>
  <c r="K737" i="9"/>
  <c r="E737" i="9"/>
  <c r="K736" i="9"/>
  <c r="K735" i="9"/>
  <c r="E735" i="9"/>
  <c r="K734" i="9"/>
  <c r="K733" i="9"/>
  <c r="E733" i="9"/>
  <c r="K732" i="9"/>
  <c r="K731" i="9"/>
  <c r="H894" i="9"/>
  <c r="B894" i="9"/>
  <c r="D894" i="9"/>
  <c r="F894" i="9"/>
  <c r="J894" i="9"/>
  <c r="H892" i="9"/>
  <c r="B892" i="9"/>
  <c r="D892" i="9"/>
  <c r="F892" i="9"/>
  <c r="J892" i="9"/>
  <c r="H890" i="9"/>
  <c r="B890" i="9"/>
  <c r="D890" i="9"/>
  <c r="F890" i="9"/>
  <c r="J890" i="9"/>
  <c r="H888" i="9"/>
  <c r="B888" i="9"/>
  <c r="D888" i="9"/>
  <c r="F888" i="9"/>
  <c r="J888" i="9"/>
  <c r="H886" i="9"/>
  <c r="B886" i="9"/>
  <c r="D886" i="9"/>
  <c r="F886" i="9"/>
  <c r="J886" i="9"/>
  <c r="H884" i="9"/>
  <c r="B884" i="9"/>
  <c r="D884" i="9"/>
  <c r="F884" i="9"/>
  <c r="J884" i="9"/>
  <c r="H882" i="9"/>
  <c r="B882" i="9"/>
  <c r="D882" i="9"/>
  <c r="F882" i="9"/>
  <c r="J882" i="9"/>
  <c r="H880" i="9"/>
  <c r="B880" i="9"/>
  <c r="D880" i="9"/>
  <c r="F880" i="9"/>
  <c r="J880" i="9"/>
  <c r="H878" i="9"/>
  <c r="B878" i="9"/>
  <c r="D878" i="9"/>
  <c r="F878" i="9"/>
  <c r="J878" i="9"/>
  <c r="H876" i="9"/>
  <c r="B876" i="9"/>
  <c r="D876" i="9"/>
  <c r="F876" i="9"/>
  <c r="J876" i="9"/>
  <c r="H874" i="9"/>
  <c r="B874" i="9"/>
  <c r="D874" i="9"/>
  <c r="F874" i="9"/>
  <c r="J874" i="9"/>
  <c r="H872" i="9"/>
  <c r="B872" i="9"/>
  <c r="D872" i="9"/>
  <c r="F872" i="9"/>
  <c r="J872" i="9"/>
  <c r="H870" i="9"/>
  <c r="B870" i="9"/>
  <c r="D870" i="9"/>
  <c r="F870" i="9"/>
  <c r="J870" i="9"/>
  <c r="H868" i="9"/>
  <c r="B868" i="9"/>
  <c r="D868" i="9"/>
  <c r="F868" i="9"/>
  <c r="J868" i="9"/>
  <c r="H866" i="9"/>
  <c r="B866" i="9"/>
  <c r="D866" i="9"/>
  <c r="F866" i="9"/>
  <c r="J866" i="9"/>
  <c r="H864" i="9"/>
  <c r="B864" i="9"/>
  <c r="D864" i="9"/>
  <c r="F864" i="9"/>
  <c r="J864" i="9"/>
  <c r="H862" i="9"/>
  <c r="B862" i="9"/>
  <c r="D862" i="9"/>
  <c r="F862" i="9"/>
  <c r="J862" i="9"/>
  <c r="H860" i="9"/>
  <c r="B860" i="9"/>
  <c r="D860" i="9"/>
  <c r="F860" i="9"/>
  <c r="J860" i="9"/>
  <c r="H858" i="9"/>
  <c r="B858" i="9"/>
  <c r="D858" i="9"/>
  <c r="F858" i="9"/>
  <c r="J858" i="9"/>
  <c r="H856" i="9"/>
  <c r="B856" i="9"/>
  <c r="D856" i="9"/>
  <c r="F856" i="9"/>
  <c r="J856" i="9"/>
  <c r="H854" i="9"/>
  <c r="B854" i="9"/>
  <c r="D854" i="9"/>
  <c r="F854" i="9"/>
  <c r="J854" i="9"/>
  <c r="H852" i="9"/>
  <c r="B852" i="9"/>
  <c r="D852" i="9"/>
  <c r="F852" i="9"/>
  <c r="J852" i="9"/>
  <c r="H850" i="9"/>
  <c r="B850" i="9"/>
  <c r="D850" i="9"/>
  <c r="F850" i="9"/>
  <c r="J850" i="9"/>
  <c r="H848" i="9"/>
  <c r="B848" i="9"/>
  <c r="D848" i="9"/>
  <c r="F848" i="9"/>
  <c r="J848" i="9"/>
  <c r="H846" i="9"/>
  <c r="B846" i="9"/>
  <c r="D846" i="9"/>
  <c r="F846" i="9"/>
  <c r="J846" i="9"/>
  <c r="H844" i="9"/>
  <c r="B844" i="9"/>
  <c r="D844" i="9"/>
  <c r="F844" i="9"/>
  <c r="J844" i="9"/>
  <c r="H842" i="9"/>
  <c r="B842" i="9"/>
  <c r="D842" i="9"/>
  <c r="F842" i="9"/>
  <c r="J842" i="9"/>
  <c r="H840" i="9"/>
  <c r="B840" i="9"/>
  <c r="D840" i="9"/>
  <c r="F840" i="9"/>
  <c r="J840" i="9"/>
  <c r="H838" i="9"/>
  <c r="B838" i="9"/>
  <c r="D838" i="9"/>
  <c r="F838" i="9"/>
  <c r="J838" i="9"/>
  <c r="H836" i="9"/>
  <c r="B836" i="9"/>
  <c r="D836" i="9"/>
  <c r="F836" i="9"/>
  <c r="J836" i="9"/>
  <c r="H834" i="9"/>
  <c r="B834" i="9"/>
  <c r="D834" i="9"/>
  <c r="F834" i="9"/>
  <c r="J834" i="9"/>
  <c r="F836" i="7"/>
  <c r="H832" i="9"/>
  <c r="B832" i="9"/>
  <c r="D832" i="9"/>
  <c r="F832" i="9"/>
  <c r="J832" i="9"/>
  <c r="H830" i="9"/>
  <c r="B830" i="9"/>
  <c r="D830" i="9"/>
  <c r="F830" i="9"/>
  <c r="J830" i="9"/>
  <c r="F832" i="7"/>
  <c r="H828" i="9"/>
  <c r="B828" i="9"/>
  <c r="D828" i="9"/>
  <c r="F828" i="9"/>
  <c r="J828" i="9"/>
  <c r="H826" i="9"/>
  <c r="B826" i="9"/>
  <c r="D826" i="9"/>
  <c r="F826" i="9"/>
  <c r="J826" i="9"/>
  <c r="F828" i="7"/>
  <c r="H824" i="9"/>
  <c r="B824" i="9"/>
  <c r="D824" i="9"/>
  <c r="F824" i="9"/>
  <c r="J824" i="9"/>
  <c r="H822" i="9"/>
  <c r="B822" i="9"/>
  <c r="D822" i="9"/>
  <c r="F822" i="9"/>
  <c r="J822" i="9"/>
  <c r="F824" i="7"/>
  <c r="H820" i="9"/>
  <c r="B820" i="9"/>
  <c r="D820" i="9"/>
  <c r="F820" i="9"/>
  <c r="J820" i="9"/>
  <c r="H818" i="9"/>
  <c r="B818" i="9"/>
  <c r="D818" i="9"/>
  <c r="F818" i="9"/>
  <c r="J818" i="9"/>
  <c r="F820" i="7"/>
  <c r="H816" i="9"/>
  <c r="B816" i="9"/>
  <c r="D816" i="9"/>
  <c r="F816" i="9"/>
  <c r="J816" i="9"/>
  <c r="H814" i="9"/>
  <c r="B814" i="9"/>
  <c r="D814" i="9"/>
  <c r="F814" i="9"/>
  <c r="J814" i="9"/>
  <c r="F816" i="7"/>
  <c r="H812" i="9"/>
  <c r="B812" i="9"/>
  <c r="D812" i="9"/>
  <c r="F812" i="9"/>
  <c r="J812" i="9"/>
  <c r="H810" i="9"/>
  <c r="B810" i="9"/>
  <c r="D810" i="9"/>
  <c r="F810" i="9"/>
  <c r="J810" i="9"/>
  <c r="F812" i="7"/>
  <c r="H808" i="9"/>
  <c r="B808" i="9"/>
  <c r="D808" i="9"/>
  <c r="F808" i="9"/>
  <c r="J808" i="9"/>
  <c r="H806" i="9"/>
  <c r="B806" i="9"/>
  <c r="D806" i="9"/>
  <c r="F806" i="9"/>
  <c r="J806" i="9"/>
  <c r="F808" i="7"/>
  <c r="H804" i="9"/>
  <c r="B804" i="9"/>
  <c r="D804" i="9"/>
  <c r="F804" i="9"/>
  <c r="J804" i="9"/>
  <c r="H802" i="9"/>
  <c r="B802" i="9"/>
  <c r="D802" i="9"/>
  <c r="F802" i="9"/>
  <c r="J802" i="9"/>
  <c r="F804" i="7"/>
  <c r="H800" i="9"/>
  <c r="B800" i="9"/>
  <c r="D800" i="9"/>
  <c r="F800" i="9"/>
  <c r="J800" i="9"/>
  <c r="H798" i="9"/>
  <c r="B798" i="9"/>
  <c r="D798" i="9"/>
  <c r="F798" i="9"/>
  <c r="J798" i="9"/>
  <c r="F800" i="7"/>
  <c r="H796" i="9"/>
  <c r="B796" i="9"/>
  <c r="D796" i="9"/>
  <c r="F796" i="9"/>
  <c r="J796" i="9"/>
  <c r="H794" i="9"/>
  <c r="B794" i="9"/>
  <c r="D794" i="9"/>
  <c r="F794" i="9"/>
  <c r="J794" i="9"/>
  <c r="F796" i="7"/>
  <c r="H792" i="9"/>
  <c r="B792" i="9"/>
  <c r="D792" i="9"/>
  <c r="F792" i="9"/>
  <c r="J792" i="9"/>
  <c r="H790" i="9"/>
  <c r="B790" i="9"/>
  <c r="D790" i="9"/>
  <c r="F790" i="9"/>
  <c r="J790" i="9"/>
  <c r="H788" i="9"/>
  <c r="B788" i="9"/>
  <c r="D788" i="9"/>
  <c r="F788" i="9"/>
  <c r="J788" i="9"/>
  <c r="H786" i="9"/>
  <c r="B786" i="9"/>
  <c r="D786" i="9"/>
  <c r="F786" i="9"/>
  <c r="J786" i="9"/>
  <c r="H784" i="9"/>
  <c r="B784" i="9"/>
  <c r="D784" i="9"/>
  <c r="F784" i="9"/>
  <c r="J784" i="9"/>
  <c r="H782" i="9"/>
  <c r="B782" i="9"/>
  <c r="D782" i="9"/>
  <c r="F782" i="9"/>
  <c r="J782" i="9"/>
  <c r="H780" i="9"/>
  <c r="B780" i="9"/>
  <c r="D780" i="9"/>
  <c r="F780" i="9"/>
  <c r="J780" i="9"/>
  <c r="H778" i="9"/>
  <c r="B778" i="9"/>
  <c r="D778" i="9"/>
  <c r="F778" i="9"/>
  <c r="J778" i="9"/>
  <c r="F780" i="7"/>
  <c r="H776" i="9"/>
  <c r="B776" i="9"/>
  <c r="D776" i="9"/>
  <c r="F776" i="9"/>
  <c r="J776" i="9"/>
  <c r="H774" i="9"/>
  <c r="B774" i="9"/>
  <c r="D774" i="9"/>
  <c r="F774" i="9"/>
  <c r="J774" i="9"/>
  <c r="H772" i="9"/>
  <c r="B772" i="9"/>
  <c r="D772" i="9"/>
  <c r="F772" i="9"/>
  <c r="J772" i="9"/>
  <c r="H770" i="9"/>
  <c r="B770" i="9"/>
  <c r="D770" i="9"/>
  <c r="F770" i="9"/>
  <c r="J770" i="9"/>
  <c r="H768" i="9"/>
  <c r="B768" i="9"/>
  <c r="D768" i="9"/>
  <c r="F768" i="9"/>
  <c r="J768" i="9"/>
  <c r="H766" i="9"/>
  <c r="B766" i="9"/>
  <c r="D766" i="9"/>
  <c r="F766" i="9"/>
  <c r="J766" i="9"/>
  <c r="H764" i="9"/>
  <c r="B764" i="9"/>
  <c r="D764" i="9"/>
  <c r="F764" i="9"/>
  <c r="J764" i="9"/>
  <c r="H762" i="9"/>
  <c r="B762" i="9"/>
  <c r="D762" i="9"/>
  <c r="F762" i="9"/>
  <c r="J762" i="9"/>
  <c r="F764" i="7"/>
  <c r="H760" i="9"/>
  <c r="B760" i="9"/>
  <c r="D760" i="9"/>
  <c r="F760" i="9"/>
  <c r="J760" i="9"/>
  <c r="H758" i="9"/>
  <c r="B758" i="9"/>
  <c r="D758" i="9"/>
  <c r="F758" i="9"/>
  <c r="J758" i="9"/>
  <c r="H756" i="9"/>
  <c r="B756" i="9"/>
  <c r="D756" i="9"/>
  <c r="F756" i="9"/>
  <c r="J756" i="9"/>
  <c r="H754" i="9"/>
  <c r="B754" i="9"/>
  <c r="D754" i="9"/>
  <c r="F754" i="9"/>
  <c r="J754" i="9"/>
  <c r="H752" i="9"/>
  <c r="B752" i="9"/>
  <c r="D752" i="9"/>
  <c r="F752" i="9"/>
  <c r="J752" i="9"/>
  <c r="H750" i="9"/>
  <c r="B750" i="9"/>
  <c r="D750" i="9"/>
  <c r="F750" i="9"/>
  <c r="J750" i="9"/>
  <c r="H748" i="9"/>
  <c r="B748" i="9"/>
  <c r="D748" i="9"/>
  <c r="F748" i="9"/>
  <c r="J748" i="9"/>
  <c r="H746" i="9"/>
  <c r="B746" i="9"/>
  <c r="D746" i="9"/>
  <c r="F746" i="9"/>
  <c r="J746" i="9"/>
  <c r="F748" i="7"/>
  <c r="H744" i="9"/>
  <c r="B744" i="9"/>
  <c r="D744" i="9"/>
  <c r="F744" i="9"/>
  <c r="J744" i="9"/>
  <c r="H742" i="9"/>
  <c r="B742" i="9"/>
  <c r="D742" i="9"/>
  <c r="F742" i="9"/>
  <c r="J742" i="9"/>
  <c r="H740" i="9"/>
  <c r="B740" i="9"/>
  <c r="D740" i="9"/>
  <c r="F740" i="9"/>
  <c r="J740" i="9"/>
  <c r="H738" i="9"/>
  <c r="B738" i="9"/>
  <c r="D738" i="9"/>
  <c r="F738" i="9"/>
  <c r="J738" i="9"/>
  <c r="H736" i="9"/>
  <c r="B736" i="9"/>
  <c r="D736" i="9"/>
  <c r="F736" i="9"/>
  <c r="J736" i="9"/>
  <c r="H734" i="9"/>
  <c r="B734" i="9"/>
  <c r="D734" i="9"/>
  <c r="F734" i="9"/>
  <c r="J734" i="9"/>
  <c r="H732" i="9"/>
  <c r="B732" i="9"/>
  <c r="D732" i="9"/>
  <c r="F732" i="9"/>
  <c r="J732" i="9"/>
  <c r="H730" i="9"/>
  <c r="B730" i="9"/>
  <c r="D730" i="9"/>
  <c r="F730" i="9"/>
  <c r="J730" i="9"/>
  <c r="C730" i="9"/>
  <c r="E730" i="9"/>
  <c r="G730" i="9"/>
  <c r="K730" i="9"/>
  <c r="F732" i="7"/>
  <c r="H728" i="9"/>
  <c r="B728" i="9"/>
  <c r="D728" i="9"/>
  <c r="F728" i="9"/>
  <c r="J728" i="9"/>
  <c r="C728" i="9"/>
  <c r="E728" i="9"/>
  <c r="G728" i="9"/>
  <c r="K728" i="9"/>
  <c r="H726" i="9"/>
  <c r="B726" i="9"/>
  <c r="D726" i="9"/>
  <c r="F726" i="9"/>
  <c r="J726" i="9"/>
  <c r="C726" i="9"/>
  <c r="E726" i="9"/>
  <c r="G726" i="9"/>
  <c r="K726" i="9"/>
  <c r="F728" i="7"/>
  <c r="H724" i="9"/>
  <c r="B724" i="9"/>
  <c r="D724" i="9"/>
  <c r="F724" i="9"/>
  <c r="J724" i="9"/>
  <c r="C724" i="9"/>
  <c r="E724" i="9"/>
  <c r="G724" i="9"/>
  <c r="K724" i="9"/>
  <c r="H722" i="9"/>
  <c r="B722" i="9"/>
  <c r="D722" i="9"/>
  <c r="F722" i="9"/>
  <c r="J722" i="9"/>
  <c r="C722" i="9"/>
  <c r="E722" i="9"/>
  <c r="G722" i="9"/>
  <c r="K722" i="9"/>
  <c r="F724" i="7"/>
  <c r="H720" i="9"/>
  <c r="B720" i="9"/>
  <c r="D720" i="9"/>
  <c r="F720" i="9"/>
  <c r="J720" i="9"/>
  <c r="C720" i="9"/>
  <c r="E720" i="9"/>
  <c r="G720" i="9"/>
  <c r="K720" i="9"/>
  <c r="H718" i="9"/>
  <c r="B718" i="9"/>
  <c r="D718" i="9"/>
  <c r="F718" i="9"/>
  <c r="J718" i="9"/>
  <c r="C718" i="9"/>
  <c r="E718" i="9"/>
  <c r="G718" i="9"/>
  <c r="K718" i="9"/>
  <c r="F720" i="7"/>
  <c r="H716" i="9"/>
  <c r="B716" i="9"/>
  <c r="D716" i="9"/>
  <c r="F716" i="9"/>
  <c r="J716" i="9"/>
  <c r="C716" i="9"/>
  <c r="E716" i="9"/>
  <c r="G716" i="9"/>
  <c r="K716" i="9"/>
  <c r="H714" i="9"/>
  <c r="B714" i="9"/>
  <c r="D714" i="9"/>
  <c r="F714" i="9"/>
  <c r="J714" i="9"/>
  <c r="C714" i="9"/>
  <c r="E714" i="9"/>
  <c r="G714" i="9"/>
  <c r="K714" i="9"/>
  <c r="F716" i="7"/>
  <c r="H712" i="9"/>
  <c r="B712" i="9"/>
  <c r="D712" i="9"/>
  <c r="F712" i="9"/>
  <c r="J712" i="9"/>
  <c r="C712" i="9"/>
  <c r="E712" i="9"/>
  <c r="G712" i="9"/>
  <c r="K712" i="9"/>
  <c r="H710" i="9"/>
  <c r="B710" i="9"/>
  <c r="D710" i="9"/>
  <c r="F710" i="9"/>
  <c r="J710" i="9"/>
  <c r="C710" i="9"/>
  <c r="E710" i="9"/>
  <c r="G710" i="9"/>
  <c r="K710" i="9"/>
  <c r="F712" i="7"/>
  <c r="H708" i="9"/>
  <c r="B708" i="9"/>
  <c r="D708" i="9"/>
  <c r="F708" i="9"/>
  <c r="J708" i="9"/>
  <c r="C708" i="9"/>
  <c r="E708" i="9"/>
  <c r="G708" i="9"/>
  <c r="K708" i="9"/>
  <c r="H706" i="9"/>
  <c r="B706" i="9"/>
  <c r="D706" i="9"/>
  <c r="F706" i="9"/>
  <c r="J706" i="9"/>
  <c r="C706" i="9"/>
  <c r="E706" i="9"/>
  <c r="G706" i="9"/>
  <c r="K706" i="9"/>
  <c r="F708" i="7"/>
  <c r="H704" i="9"/>
  <c r="B704" i="9"/>
  <c r="D704" i="9"/>
  <c r="F704" i="9"/>
  <c r="J704" i="9"/>
  <c r="C704" i="9"/>
  <c r="E704" i="9"/>
  <c r="G704" i="9"/>
  <c r="K704" i="9"/>
  <c r="H702" i="9"/>
  <c r="B702" i="9"/>
  <c r="D702" i="9"/>
  <c r="F702" i="9"/>
  <c r="J702" i="9"/>
  <c r="C702" i="9"/>
  <c r="E702" i="9"/>
  <c r="G702" i="9"/>
  <c r="K702" i="9"/>
  <c r="F704" i="7"/>
  <c r="H700" i="9"/>
  <c r="B700" i="9"/>
  <c r="D700" i="9"/>
  <c r="F700" i="9"/>
  <c r="J700" i="9"/>
  <c r="C700" i="9"/>
  <c r="E700" i="9"/>
  <c r="G700" i="9"/>
  <c r="K700" i="9"/>
  <c r="H698" i="9"/>
  <c r="B698" i="9"/>
  <c r="D698" i="9"/>
  <c r="F698" i="9"/>
  <c r="J698" i="9"/>
  <c r="C698" i="9"/>
  <c r="E698" i="9"/>
  <c r="G698" i="9"/>
  <c r="K698" i="9"/>
  <c r="F700" i="7"/>
  <c r="H696" i="9"/>
  <c r="B696" i="9"/>
  <c r="D696" i="9"/>
  <c r="F696" i="9"/>
  <c r="J696" i="9"/>
  <c r="C696" i="9"/>
  <c r="E696" i="9"/>
  <c r="G696" i="9"/>
  <c r="K696" i="9"/>
  <c r="H694" i="9"/>
  <c r="B694" i="9"/>
  <c r="D694" i="9"/>
  <c r="F694" i="9"/>
  <c r="J694" i="9"/>
  <c r="C694" i="9"/>
  <c r="E694" i="9"/>
  <c r="G694" i="9"/>
  <c r="K694" i="9"/>
  <c r="F696" i="7"/>
  <c r="H692" i="9"/>
  <c r="B692" i="9"/>
  <c r="D692" i="9"/>
  <c r="F692" i="9"/>
  <c r="J692" i="9"/>
  <c r="C692" i="9"/>
  <c r="E692" i="9"/>
  <c r="G692" i="9"/>
  <c r="K692" i="9"/>
  <c r="H690" i="9"/>
  <c r="B690" i="9"/>
  <c r="D690" i="9"/>
  <c r="F690" i="9"/>
  <c r="J690" i="9"/>
  <c r="C690" i="9"/>
  <c r="E690" i="9"/>
  <c r="G690" i="9"/>
  <c r="K690" i="9"/>
  <c r="F692" i="7"/>
  <c r="H688" i="9"/>
  <c r="B688" i="9"/>
  <c r="D688" i="9"/>
  <c r="F688" i="9"/>
  <c r="J688" i="9"/>
  <c r="C688" i="9"/>
  <c r="E688" i="9"/>
  <c r="G688" i="9"/>
  <c r="K688" i="9"/>
  <c r="H686" i="9"/>
  <c r="B686" i="9"/>
  <c r="D686" i="9"/>
  <c r="F686" i="9"/>
  <c r="J686" i="9"/>
  <c r="C686" i="9"/>
  <c r="E686" i="9"/>
  <c r="G686" i="9"/>
  <c r="K686" i="9"/>
  <c r="F688" i="7"/>
  <c r="H684" i="9"/>
  <c r="B684" i="9"/>
  <c r="D684" i="9"/>
  <c r="F684" i="9"/>
  <c r="J684" i="9"/>
  <c r="C684" i="9"/>
  <c r="E684" i="9"/>
  <c r="G684" i="9"/>
  <c r="K684" i="9"/>
  <c r="H682" i="9"/>
  <c r="B682" i="9"/>
  <c r="D682" i="9"/>
  <c r="F682" i="9"/>
  <c r="J682" i="9"/>
  <c r="C682" i="9"/>
  <c r="E682" i="9"/>
  <c r="G682" i="9"/>
  <c r="K682" i="9"/>
  <c r="F684" i="7"/>
  <c r="H680" i="9"/>
  <c r="B680" i="9"/>
  <c r="D680" i="9"/>
  <c r="F680" i="9"/>
  <c r="J680" i="9"/>
  <c r="C680" i="9"/>
  <c r="E680" i="9"/>
  <c r="G680" i="9"/>
  <c r="K680" i="9"/>
  <c r="H678" i="9"/>
  <c r="B678" i="9"/>
  <c r="D678" i="9"/>
  <c r="F678" i="9"/>
  <c r="J678" i="9"/>
  <c r="C678" i="9"/>
  <c r="E678" i="9"/>
  <c r="G678" i="9"/>
  <c r="K678" i="9"/>
  <c r="F680" i="7"/>
  <c r="H676" i="9"/>
  <c r="B676" i="9"/>
  <c r="D676" i="9"/>
  <c r="F676" i="9"/>
  <c r="J676" i="9"/>
  <c r="C676" i="9"/>
  <c r="E676" i="9"/>
  <c r="G676" i="9"/>
  <c r="K676" i="9"/>
  <c r="H674" i="9"/>
  <c r="B674" i="9"/>
  <c r="D674" i="9"/>
  <c r="F674" i="9"/>
  <c r="J674" i="9"/>
  <c r="C674" i="9"/>
  <c r="E674" i="9"/>
  <c r="G674" i="9"/>
  <c r="K674" i="9"/>
  <c r="F676" i="7"/>
  <c r="H672" i="9"/>
  <c r="B672" i="9"/>
  <c r="D672" i="9"/>
  <c r="F672" i="9"/>
  <c r="J672" i="9"/>
  <c r="C672" i="9"/>
  <c r="E672" i="9"/>
  <c r="G672" i="9"/>
  <c r="K672" i="9"/>
  <c r="H670" i="9"/>
  <c r="B670" i="9"/>
  <c r="D670" i="9"/>
  <c r="F670" i="9"/>
  <c r="J670" i="9"/>
  <c r="C670" i="9"/>
  <c r="E670" i="9"/>
  <c r="G670" i="9"/>
  <c r="K670" i="9"/>
  <c r="F672" i="7"/>
  <c r="H668" i="9"/>
  <c r="B668" i="9"/>
  <c r="D668" i="9"/>
  <c r="F668" i="9"/>
  <c r="J668" i="9"/>
  <c r="C668" i="9"/>
  <c r="E668" i="9"/>
  <c r="G668" i="9"/>
  <c r="K668" i="9"/>
  <c r="H666" i="9"/>
  <c r="B666" i="9"/>
  <c r="D666" i="9"/>
  <c r="F666" i="9"/>
  <c r="J666" i="9"/>
  <c r="C666" i="9"/>
  <c r="E666" i="9"/>
  <c r="G666" i="9"/>
  <c r="K666" i="9"/>
  <c r="F668" i="7"/>
  <c r="H664" i="9"/>
  <c r="B664" i="9"/>
  <c r="D664" i="9"/>
  <c r="F664" i="9"/>
  <c r="J664" i="9"/>
  <c r="C664" i="9"/>
  <c r="E664" i="9"/>
  <c r="G664" i="9"/>
  <c r="K664" i="9"/>
  <c r="H662" i="9"/>
  <c r="B662" i="9"/>
  <c r="D662" i="9"/>
  <c r="F662" i="9"/>
  <c r="J662" i="9"/>
  <c r="C662" i="9"/>
  <c r="E662" i="9"/>
  <c r="G662" i="9"/>
  <c r="K662" i="9"/>
  <c r="H660" i="9"/>
  <c r="B660" i="9"/>
  <c r="D660" i="9"/>
  <c r="F660" i="9"/>
  <c r="J660" i="9"/>
  <c r="C660" i="9"/>
  <c r="E660" i="9"/>
  <c r="G660" i="9"/>
  <c r="K660" i="9"/>
  <c r="H658" i="9"/>
  <c r="B658" i="9"/>
  <c r="D658" i="9"/>
  <c r="F658" i="9"/>
  <c r="J658" i="9"/>
  <c r="C658" i="9"/>
  <c r="E658" i="9"/>
  <c r="G658" i="9"/>
  <c r="K658" i="9"/>
  <c r="H656" i="9"/>
  <c r="B656" i="9"/>
  <c r="D656" i="9"/>
  <c r="F656" i="9"/>
  <c r="J656" i="9"/>
  <c r="C656" i="9"/>
  <c r="E656" i="9"/>
  <c r="G656" i="9"/>
  <c r="K656" i="9"/>
  <c r="H654" i="9"/>
  <c r="B654" i="9"/>
  <c r="D654" i="9"/>
  <c r="F654" i="9"/>
  <c r="J654" i="9"/>
  <c r="C654" i="9"/>
  <c r="E654" i="9"/>
  <c r="G654" i="9"/>
  <c r="K654" i="9"/>
  <c r="H652" i="9"/>
  <c r="B652" i="9"/>
  <c r="D652" i="9"/>
  <c r="F652" i="9"/>
  <c r="J652" i="9"/>
  <c r="C652" i="9"/>
  <c r="E652" i="9"/>
  <c r="G652" i="9"/>
  <c r="K652" i="9"/>
  <c r="H650" i="9"/>
  <c r="B650" i="9"/>
  <c r="D650" i="9"/>
  <c r="F650" i="9"/>
  <c r="J650" i="9"/>
  <c r="C650" i="9"/>
  <c r="E650" i="9"/>
  <c r="G650" i="9"/>
  <c r="K650" i="9"/>
  <c r="H648" i="9"/>
  <c r="B648" i="9"/>
  <c r="D648" i="9"/>
  <c r="F648" i="9"/>
  <c r="J648" i="9"/>
  <c r="C648" i="9"/>
  <c r="E648" i="9"/>
  <c r="G648" i="9"/>
  <c r="K648" i="9"/>
  <c r="H646" i="9"/>
  <c r="B646" i="9"/>
  <c r="D646" i="9"/>
  <c r="F646" i="9"/>
  <c r="J646" i="9"/>
  <c r="C646" i="9"/>
  <c r="E646" i="9"/>
  <c r="G646" i="9"/>
  <c r="K646" i="9"/>
  <c r="H644" i="9"/>
  <c r="B644" i="9"/>
  <c r="D644" i="9"/>
  <c r="F644" i="9"/>
  <c r="J644" i="9"/>
  <c r="C644" i="9"/>
  <c r="E644" i="9"/>
  <c r="G644" i="9"/>
  <c r="K644" i="9"/>
  <c r="H642" i="9"/>
  <c r="B642" i="9"/>
  <c r="D642" i="9"/>
  <c r="F642" i="9"/>
  <c r="J642" i="9"/>
  <c r="C642" i="9"/>
  <c r="E642" i="9"/>
  <c r="G642" i="9"/>
  <c r="K642" i="9"/>
  <c r="H640" i="9"/>
  <c r="B640" i="9"/>
  <c r="D640" i="9"/>
  <c r="F640" i="9"/>
  <c r="J640" i="9"/>
  <c r="C640" i="9"/>
  <c r="E640" i="9"/>
  <c r="G640" i="9"/>
  <c r="K640" i="9"/>
  <c r="H638" i="9"/>
  <c r="B638" i="9"/>
  <c r="D638" i="9"/>
  <c r="F638" i="9"/>
  <c r="J638" i="9"/>
  <c r="C638" i="9"/>
  <c r="E638" i="9"/>
  <c r="G638" i="9"/>
  <c r="K638" i="9"/>
  <c r="H636" i="9"/>
  <c r="B636" i="9"/>
  <c r="D636" i="9"/>
  <c r="F636" i="9"/>
  <c r="J636" i="9"/>
  <c r="C636" i="9"/>
  <c r="E636" i="9"/>
  <c r="G636" i="9"/>
  <c r="K636" i="9"/>
  <c r="H634" i="9"/>
  <c r="B634" i="9"/>
  <c r="D634" i="9"/>
  <c r="F634" i="9"/>
  <c r="J634" i="9"/>
  <c r="C634" i="9"/>
  <c r="E634" i="9"/>
  <c r="G634" i="9"/>
  <c r="K634" i="9"/>
  <c r="H632" i="9"/>
  <c r="B632" i="9"/>
  <c r="D632" i="9"/>
  <c r="F632" i="9"/>
  <c r="J632" i="9"/>
  <c r="C632" i="9"/>
  <c r="E632" i="9"/>
  <c r="G632" i="9"/>
  <c r="K632" i="9"/>
  <c r="H630" i="9"/>
  <c r="B630" i="9"/>
  <c r="D630" i="9"/>
  <c r="F630" i="9"/>
  <c r="J630" i="9"/>
  <c r="C630" i="9"/>
  <c r="E630" i="9"/>
  <c r="G630" i="9"/>
  <c r="K630" i="9"/>
  <c r="H628" i="9"/>
  <c r="B628" i="9"/>
  <c r="D628" i="9"/>
  <c r="F628" i="9"/>
  <c r="J628" i="9"/>
  <c r="C628" i="9"/>
  <c r="E628" i="9"/>
  <c r="G628" i="9"/>
  <c r="K628" i="9"/>
  <c r="H626" i="9"/>
  <c r="B626" i="9"/>
  <c r="D626" i="9"/>
  <c r="F626" i="9"/>
  <c r="J626" i="9"/>
  <c r="C626" i="9"/>
  <c r="E626" i="9"/>
  <c r="G626" i="9"/>
  <c r="K626" i="9"/>
  <c r="H624" i="9"/>
  <c r="B624" i="9"/>
  <c r="D624" i="9"/>
  <c r="F624" i="9"/>
  <c r="J624" i="9"/>
  <c r="C624" i="9"/>
  <c r="E624" i="9"/>
  <c r="G624" i="9"/>
  <c r="K624" i="9"/>
  <c r="H622" i="9"/>
  <c r="B622" i="9"/>
  <c r="D622" i="9"/>
  <c r="F622" i="9"/>
  <c r="J622" i="9"/>
  <c r="C622" i="9"/>
  <c r="E622" i="9"/>
  <c r="G622" i="9"/>
  <c r="K622" i="9"/>
  <c r="H620" i="9"/>
  <c r="B620" i="9"/>
  <c r="D620" i="9"/>
  <c r="F620" i="9"/>
  <c r="J620" i="9"/>
  <c r="C620" i="9"/>
  <c r="E620" i="9"/>
  <c r="G620" i="9"/>
  <c r="K620" i="9"/>
  <c r="H618" i="9"/>
  <c r="B618" i="9"/>
  <c r="D618" i="9"/>
  <c r="F618" i="9"/>
  <c r="J618" i="9"/>
  <c r="C618" i="9"/>
  <c r="E618" i="9"/>
  <c r="G618" i="9"/>
  <c r="K618" i="9"/>
  <c r="H616" i="9"/>
  <c r="B616" i="9"/>
  <c r="D616" i="9"/>
  <c r="F616" i="9"/>
  <c r="J616" i="9"/>
  <c r="C616" i="9"/>
  <c r="E616" i="9"/>
  <c r="G616" i="9"/>
  <c r="K616" i="9"/>
  <c r="H614" i="9"/>
  <c r="B614" i="9"/>
  <c r="D614" i="9"/>
  <c r="F614" i="9"/>
  <c r="J614" i="9"/>
  <c r="C614" i="9"/>
  <c r="E614" i="9"/>
  <c r="G614" i="9"/>
  <c r="K614" i="9"/>
  <c r="H612" i="9"/>
  <c r="B612" i="9"/>
  <c r="D612" i="9"/>
  <c r="F612" i="9"/>
  <c r="J612" i="9"/>
  <c r="C612" i="9"/>
  <c r="E612" i="9"/>
  <c r="G612" i="9"/>
  <c r="K612" i="9"/>
  <c r="H610" i="9"/>
  <c r="B610" i="9"/>
  <c r="D610" i="9"/>
  <c r="F610" i="9"/>
  <c r="J610" i="9"/>
  <c r="C610" i="9"/>
  <c r="E610" i="9"/>
  <c r="G610" i="9"/>
  <c r="K610" i="9"/>
  <c r="H608" i="9"/>
  <c r="B608" i="9"/>
  <c r="D608" i="9"/>
  <c r="F608" i="9"/>
  <c r="J608" i="9"/>
  <c r="C608" i="9"/>
  <c r="E608" i="9"/>
  <c r="G608" i="9"/>
  <c r="K608" i="9"/>
  <c r="H606" i="9"/>
  <c r="B606" i="9"/>
  <c r="D606" i="9"/>
  <c r="F606" i="9"/>
  <c r="J606" i="9"/>
  <c r="C606" i="9"/>
  <c r="E606" i="9"/>
  <c r="G606" i="9"/>
  <c r="K606" i="9"/>
  <c r="H604" i="9"/>
  <c r="B604" i="9"/>
  <c r="D604" i="9"/>
  <c r="F604" i="9"/>
  <c r="J604" i="9"/>
  <c r="C604" i="9"/>
  <c r="E604" i="9"/>
  <c r="G604" i="9"/>
  <c r="K604" i="9"/>
  <c r="H602" i="9"/>
  <c r="B602" i="9"/>
  <c r="D602" i="9"/>
  <c r="F602" i="9"/>
  <c r="J602" i="9"/>
  <c r="C602" i="9"/>
  <c r="E602" i="9"/>
  <c r="G602" i="9"/>
  <c r="K602" i="9"/>
  <c r="H600" i="9"/>
  <c r="B600" i="9"/>
  <c r="D600" i="9"/>
  <c r="F600" i="9"/>
  <c r="J600" i="9"/>
  <c r="C600" i="9"/>
  <c r="E600" i="9"/>
  <c r="G600" i="9"/>
  <c r="K600" i="9"/>
  <c r="H598" i="9"/>
  <c r="B598" i="9"/>
  <c r="D598" i="9"/>
  <c r="F598" i="9"/>
  <c r="J598" i="9"/>
  <c r="C598" i="9"/>
  <c r="E598" i="9"/>
  <c r="G598" i="9"/>
  <c r="K598" i="9"/>
  <c r="H596" i="9"/>
  <c r="B596" i="9"/>
  <c r="D596" i="9"/>
  <c r="F596" i="9"/>
  <c r="J596" i="9"/>
  <c r="C596" i="9"/>
  <c r="E596" i="9"/>
  <c r="G596" i="9"/>
  <c r="K596" i="9"/>
  <c r="H594" i="9"/>
  <c r="B594" i="9"/>
  <c r="D594" i="9"/>
  <c r="F594" i="9"/>
  <c r="J594" i="9"/>
  <c r="C594" i="9"/>
  <c r="E594" i="9"/>
  <c r="G594" i="9"/>
  <c r="K594" i="9"/>
  <c r="H592" i="9"/>
  <c r="B592" i="9"/>
  <c r="D592" i="9"/>
  <c r="F592" i="9"/>
  <c r="J592" i="9"/>
  <c r="C592" i="9"/>
  <c r="E592" i="9"/>
  <c r="G592" i="9"/>
  <c r="K592" i="9"/>
  <c r="H590" i="9"/>
  <c r="B590" i="9"/>
  <c r="D590" i="9"/>
  <c r="F590" i="9"/>
  <c r="J590" i="9"/>
  <c r="C590" i="9"/>
  <c r="E590" i="9"/>
  <c r="G590" i="9"/>
  <c r="K590" i="9"/>
  <c r="H588" i="9"/>
  <c r="B588" i="9"/>
  <c r="D588" i="9"/>
  <c r="F588" i="9"/>
  <c r="J588" i="9"/>
  <c r="C588" i="9"/>
  <c r="E588" i="9"/>
  <c r="G588" i="9"/>
  <c r="K588" i="9"/>
  <c r="H586" i="9"/>
  <c r="B586" i="9"/>
  <c r="D586" i="9"/>
  <c r="F586" i="9"/>
  <c r="J586" i="9"/>
  <c r="C586" i="9"/>
  <c r="E586" i="9"/>
  <c r="G586" i="9"/>
  <c r="K586" i="9"/>
  <c r="H584" i="9"/>
  <c r="B584" i="9"/>
  <c r="D584" i="9"/>
  <c r="F584" i="9"/>
  <c r="J584" i="9"/>
  <c r="C584" i="9"/>
  <c r="E584" i="9"/>
  <c r="G584" i="9"/>
  <c r="K584" i="9"/>
  <c r="H582" i="9"/>
  <c r="B582" i="9"/>
  <c r="D582" i="9"/>
  <c r="F582" i="9"/>
  <c r="J582" i="9"/>
  <c r="C582" i="9"/>
  <c r="E582" i="9"/>
  <c r="G582" i="9"/>
  <c r="K582" i="9"/>
  <c r="H580" i="9"/>
  <c r="B580" i="9"/>
  <c r="D580" i="9"/>
  <c r="F580" i="9"/>
  <c r="J580" i="9"/>
  <c r="C580" i="9"/>
  <c r="E580" i="9"/>
  <c r="G580" i="9"/>
  <c r="K580" i="9"/>
  <c r="H578" i="9"/>
  <c r="B578" i="9"/>
  <c r="D578" i="9"/>
  <c r="F578" i="9"/>
  <c r="J578" i="9"/>
  <c r="C578" i="9"/>
  <c r="E578" i="9"/>
  <c r="G578" i="9"/>
  <c r="K578" i="9"/>
  <c r="H576" i="9"/>
  <c r="B576" i="9"/>
  <c r="D576" i="9"/>
  <c r="F576" i="9"/>
  <c r="J576" i="9"/>
  <c r="C576" i="9"/>
  <c r="E576" i="9"/>
  <c r="G576" i="9"/>
  <c r="K576" i="9"/>
  <c r="H574" i="9"/>
  <c r="B574" i="9"/>
  <c r="D574" i="9"/>
  <c r="F574" i="9"/>
  <c r="J574" i="9"/>
  <c r="C574" i="9"/>
  <c r="E574" i="9"/>
  <c r="G574" i="9"/>
  <c r="K574" i="9"/>
  <c r="H572" i="9"/>
  <c r="B572" i="9"/>
  <c r="D572" i="9"/>
  <c r="F572" i="9"/>
  <c r="J572" i="9"/>
  <c r="C572" i="9"/>
  <c r="E572" i="9"/>
  <c r="G572" i="9"/>
  <c r="K572" i="9"/>
  <c r="H570" i="9"/>
  <c r="B570" i="9"/>
  <c r="D570" i="9"/>
  <c r="F570" i="9"/>
  <c r="J570" i="9"/>
  <c r="C570" i="9"/>
  <c r="E570" i="9"/>
  <c r="G570" i="9"/>
  <c r="K570" i="9"/>
  <c r="H568" i="9"/>
  <c r="B568" i="9"/>
  <c r="D568" i="9"/>
  <c r="F568" i="9"/>
  <c r="J568" i="9"/>
  <c r="C568" i="9"/>
  <c r="E568" i="9"/>
  <c r="G568" i="9"/>
  <c r="K568" i="9"/>
  <c r="H566" i="9"/>
  <c r="B566" i="9"/>
  <c r="D566" i="9"/>
  <c r="F566" i="9"/>
  <c r="J566" i="9"/>
  <c r="C566" i="9"/>
  <c r="E566" i="9"/>
  <c r="G566" i="9"/>
  <c r="K566" i="9"/>
  <c r="H564" i="9"/>
  <c r="B564" i="9"/>
  <c r="D564" i="9"/>
  <c r="F564" i="9"/>
  <c r="J564" i="9"/>
  <c r="C564" i="9"/>
  <c r="E564" i="9"/>
  <c r="G564" i="9"/>
  <c r="K564" i="9"/>
  <c r="H562" i="9"/>
  <c r="B562" i="9"/>
  <c r="D562" i="9"/>
  <c r="F562" i="9"/>
  <c r="J562" i="9"/>
  <c r="C562" i="9"/>
  <c r="E562" i="9"/>
  <c r="G562" i="9"/>
  <c r="K562" i="9"/>
  <c r="H560" i="9"/>
  <c r="B560" i="9"/>
  <c r="D560" i="9"/>
  <c r="F560" i="9"/>
  <c r="J560" i="9"/>
  <c r="C560" i="9"/>
  <c r="E560" i="9"/>
  <c r="G560" i="9"/>
  <c r="K560" i="9"/>
  <c r="H558" i="9"/>
  <c r="B558" i="9"/>
  <c r="D558" i="9"/>
  <c r="F558" i="9"/>
  <c r="J558" i="9"/>
  <c r="C558" i="9"/>
  <c r="E558" i="9"/>
  <c r="G558" i="9"/>
  <c r="K558" i="9"/>
  <c r="H556" i="9"/>
  <c r="B556" i="9"/>
  <c r="D556" i="9"/>
  <c r="F556" i="9"/>
  <c r="J556" i="9"/>
  <c r="C556" i="9"/>
  <c r="E556" i="9"/>
  <c r="G556" i="9"/>
  <c r="K556" i="9"/>
  <c r="H554" i="9"/>
  <c r="C554" i="9"/>
  <c r="E554" i="9"/>
  <c r="G554" i="9"/>
  <c r="B554" i="9"/>
  <c r="D554" i="9"/>
  <c r="J554" i="9"/>
  <c r="F554" i="9"/>
  <c r="K554" i="9"/>
  <c r="H552" i="9"/>
  <c r="C552" i="9"/>
  <c r="E552" i="9"/>
  <c r="G552" i="9"/>
  <c r="K552" i="9"/>
  <c r="B552" i="9"/>
  <c r="D552" i="9"/>
  <c r="F552" i="9"/>
  <c r="J552" i="9"/>
  <c r="H550" i="9"/>
  <c r="C550" i="9"/>
  <c r="E550" i="9"/>
  <c r="G550" i="9"/>
  <c r="K550" i="9"/>
  <c r="B550" i="9"/>
  <c r="D550" i="9"/>
  <c r="F550" i="9"/>
  <c r="J550" i="9"/>
  <c r="H548" i="9"/>
  <c r="C548" i="9"/>
  <c r="E548" i="9"/>
  <c r="G548" i="9"/>
  <c r="K548" i="9"/>
  <c r="B548" i="9"/>
  <c r="D548" i="9"/>
  <c r="F548" i="9"/>
  <c r="J548" i="9"/>
  <c r="H546" i="9"/>
  <c r="C546" i="9"/>
  <c r="E546" i="9"/>
  <c r="G546" i="9"/>
  <c r="K546" i="9"/>
  <c r="B546" i="9"/>
  <c r="D546" i="9"/>
  <c r="F546" i="9"/>
  <c r="J546" i="9"/>
  <c r="H544" i="9"/>
  <c r="C544" i="9"/>
  <c r="E544" i="9"/>
  <c r="G544" i="9"/>
  <c r="K544" i="9"/>
  <c r="B544" i="9"/>
  <c r="D544" i="9"/>
  <c r="F544" i="9"/>
  <c r="J544" i="9"/>
  <c r="H542" i="9"/>
  <c r="C542" i="9"/>
  <c r="E542" i="9"/>
  <c r="G542" i="9"/>
  <c r="K542" i="9"/>
  <c r="B542" i="9"/>
  <c r="D542" i="9"/>
  <c r="F542" i="9"/>
  <c r="J542" i="9"/>
  <c r="H540" i="9"/>
  <c r="C540" i="9"/>
  <c r="E540" i="9"/>
  <c r="G540" i="9"/>
  <c r="K540" i="9"/>
  <c r="B540" i="9"/>
  <c r="D540" i="9"/>
  <c r="F540" i="9"/>
  <c r="J540" i="9"/>
  <c r="H538" i="9"/>
  <c r="C538" i="9"/>
  <c r="E538" i="9"/>
  <c r="G538" i="9"/>
  <c r="K538" i="9"/>
  <c r="B538" i="9"/>
  <c r="D538" i="9"/>
  <c r="F538" i="9"/>
  <c r="J538" i="9"/>
  <c r="H536" i="9"/>
  <c r="C536" i="9"/>
  <c r="E536" i="9"/>
  <c r="G536" i="9"/>
  <c r="K536" i="9"/>
  <c r="B536" i="9"/>
  <c r="D536" i="9"/>
  <c r="F536" i="9"/>
  <c r="J536" i="9"/>
  <c r="H534" i="9"/>
  <c r="C534" i="9"/>
  <c r="E534" i="9"/>
  <c r="G534" i="9"/>
  <c r="K534" i="9"/>
  <c r="B534" i="9"/>
  <c r="D534" i="9"/>
  <c r="F534" i="9"/>
  <c r="J534" i="9"/>
  <c r="H532" i="9"/>
  <c r="C532" i="9"/>
  <c r="E532" i="9"/>
  <c r="G532" i="9"/>
  <c r="K532" i="9"/>
  <c r="B532" i="9"/>
  <c r="D532" i="9"/>
  <c r="F532" i="9"/>
  <c r="J532" i="9"/>
  <c r="H530" i="9"/>
  <c r="C530" i="9"/>
  <c r="E530" i="9"/>
  <c r="G530" i="9"/>
  <c r="K530" i="9"/>
  <c r="B530" i="9"/>
  <c r="D530" i="9"/>
  <c r="F530" i="9"/>
  <c r="J530" i="9"/>
  <c r="H528" i="9"/>
  <c r="C528" i="9"/>
  <c r="E528" i="9"/>
  <c r="G528" i="9"/>
  <c r="K528" i="9"/>
  <c r="B528" i="9"/>
  <c r="D528" i="9"/>
  <c r="F528" i="9"/>
  <c r="J528" i="9"/>
  <c r="H526" i="9"/>
  <c r="C526" i="9"/>
  <c r="E526" i="9"/>
  <c r="G526" i="9"/>
  <c r="K526" i="9"/>
  <c r="B526" i="9"/>
  <c r="D526" i="9"/>
  <c r="F526" i="9"/>
  <c r="J526" i="9"/>
  <c r="H524" i="9"/>
  <c r="C524" i="9"/>
  <c r="E524" i="9"/>
  <c r="G524" i="9"/>
  <c r="K524" i="9"/>
  <c r="B524" i="9"/>
  <c r="D524" i="9"/>
  <c r="F524" i="9"/>
  <c r="J524" i="9"/>
  <c r="H522" i="9"/>
  <c r="C522" i="9"/>
  <c r="E522" i="9"/>
  <c r="G522" i="9"/>
  <c r="K522" i="9"/>
  <c r="B522" i="9"/>
  <c r="D522" i="9"/>
  <c r="F522" i="9"/>
  <c r="J522" i="9"/>
  <c r="H520" i="9"/>
  <c r="C520" i="9"/>
  <c r="E520" i="9"/>
  <c r="G520" i="9"/>
  <c r="K520" i="9"/>
  <c r="B520" i="9"/>
  <c r="D520" i="9"/>
  <c r="F520" i="9"/>
  <c r="J520" i="9"/>
  <c r="H518" i="9"/>
  <c r="C518" i="9"/>
  <c r="E518" i="9"/>
  <c r="G518" i="9"/>
  <c r="K518" i="9"/>
  <c r="B518" i="9"/>
  <c r="D518" i="9"/>
  <c r="F518" i="9"/>
  <c r="J518" i="9"/>
  <c r="H516" i="9"/>
  <c r="C516" i="9"/>
  <c r="E516" i="9"/>
  <c r="G516" i="9"/>
  <c r="K516" i="9"/>
  <c r="B516" i="9"/>
  <c r="D516" i="9"/>
  <c r="F516" i="9"/>
  <c r="J516" i="9"/>
  <c r="H514" i="9"/>
  <c r="C514" i="9"/>
  <c r="E514" i="9"/>
  <c r="G514" i="9"/>
  <c r="K514" i="9"/>
  <c r="B514" i="9"/>
  <c r="D514" i="9"/>
  <c r="F514" i="9"/>
  <c r="J514" i="9"/>
  <c r="H512" i="9"/>
  <c r="C512" i="9"/>
  <c r="E512" i="9"/>
  <c r="G512" i="9"/>
  <c r="K512" i="9"/>
  <c r="B512" i="9"/>
  <c r="D512" i="9"/>
  <c r="F512" i="9"/>
  <c r="J512" i="9"/>
  <c r="H510" i="9"/>
  <c r="C510" i="9"/>
  <c r="E510" i="9"/>
  <c r="G510" i="9"/>
  <c r="K510" i="9"/>
  <c r="B510" i="9"/>
  <c r="D510" i="9"/>
  <c r="F510" i="9"/>
  <c r="J510" i="9"/>
  <c r="H508" i="9"/>
  <c r="C508" i="9"/>
  <c r="E508" i="9"/>
  <c r="G508" i="9"/>
  <c r="K508" i="9"/>
  <c r="B508" i="9"/>
  <c r="D508" i="9"/>
  <c r="F508" i="9"/>
  <c r="J508" i="9"/>
  <c r="H506" i="9"/>
  <c r="C506" i="9"/>
  <c r="E506" i="9"/>
  <c r="G506" i="9"/>
  <c r="K506" i="9"/>
  <c r="B506" i="9"/>
  <c r="D506" i="9"/>
  <c r="F506" i="9"/>
  <c r="J506" i="9"/>
  <c r="H504" i="9"/>
  <c r="C504" i="9"/>
  <c r="E504" i="9"/>
  <c r="G504" i="9"/>
  <c r="K504" i="9"/>
  <c r="B504" i="9"/>
  <c r="D504" i="9"/>
  <c r="F504" i="9"/>
  <c r="J504" i="9"/>
  <c r="H502" i="9"/>
  <c r="C502" i="9"/>
  <c r="E502" i="9"/>
  <c r="G502" i="9"/>
  <c r="K502" i="9"/>
  <c r="B502" i="9"/>
  <c r="D502" i="9"/>
  <c r="F502" i="9"/>
  <c r="J502" i="9"/>
  <c r="H500" i="9"/>
  <c r="C500" i="9"/>
  <c r="E500" i="9"/>
  <c r="G500" i="9"/>
  <c r="K500" i="9"/>
  <c r="B500" i="9"/>
  <c r="D500" i="9"/>
  <c r="F500" i="9"/>
  <c r="J500" i="9"/>
  <c r="H498" i="9"/>
  <c r="C498" i="9"/>
  <c r="E498" i="9"/>
  <c r="G498" i="9"/>
  <c r="K498" i="9"/>
  <c r="B498" i="9"/>
  <c r="D498" i="9"/>
  <c r="F498" i="9"/>
  <c r="J498" i="9"/>
  <c r="H496" i="9"/>
  <c r="C496" i="9"/>
  <c r="E496" i="9"/>
  <c r="G496" i="9"/>
  <c r="K496" i="9"/>
  <c r="B496" i="9"/>
  <c r="D496" i="9"/>
  <c r="F496" i="9"/>
  <c r="J496" i="9"/>
  <c r="H494" i="9"/>
  <c r="C494" i="9"/>
  <c r="E494" i="9"/>
  <c r="G494" i="9"/>
  <c r="K494" i="9"/>
  <c r="B494" i="9"/>
  <c r="D494" i="9"/>
  <c r="F494" i="9"/>
  <c r="J494" i="9"/>
  <c r="H492" i="9"/>
  <c r="C492" i="9"/>
  <c r="E492" i="9"/>
  <c r="G492" i="9"/>
  <c r="K492" i="9"/>
  <c r="B492" i="9"/>
  <c r="D492" i="9"/>
  <c r="F492" i="9"/>
  <c r="J492" i="9"/>
  <c r="H490" i="9"/>
  <c r="C490" i="9"/>
  <c r="E490" i="9"/>
  <c r="G490" i="9"/>
  <c r="K490" i="9"/>
  <c r="B490" i="9"/>
  <c r="D490" i="9"/>
  <c r="F490" i="9"/>
  <c r="J490" i="9"/>
  <c r="H488" i="9"/>
  <c r="C488" i="9"/>
  <c r="E488" i="9"/>
  <c r="G488" i="9"/>
  <c r="K488" i="9"/>
  <c r="B488" i="9"/>
  <c r="D488" i="9"/>
  <c r="F488" i="9"/>
  <c r="J488" i="9"/>
  <c r="H486" i="9"/>
  <c r="C486" i="9"/>
  <c r="E486" i="9"/>
  <c r="G486" i="9"/>
  <c r="K486" i="9"/>
  <c r="B486" i="9"/>
  <c r="D486" i="9"/>
  <c r="F486" i="9"/>
  <c r="J486" i="9"/>
  <c r="H484" i="9"/>
  <c r="C484" i="9"/>
  <c r="E484" i="9"/>
  <c r="G484" i="9"/>
  <c r="K484" i="9"/>
  <c r="B484" i="9"/>
  <c r="D484" i="9"/>
  <c r="F484" i="9"/>
  <c r="J484" i="9"/>
  <c r="H482" i="9"/>
  <c r="C482" i="9"/>
  <c r="E482" i="9"/>
  <c r="G482" i="9"/>
  <c r="K482" i="9"/>
  <c r="B482" i="9"/>
  <c r="D482" i="9"/>
  <c r="F482" i="9"/>
  <c r="J482" i="9"/>
  <c r="H480" i="9"/>
  <c r="C480" i="9"/>
  <c r="E480" i="9"/>
  <c r="G480" i="9"/>
  <c r="K480" i="9"/>
  <c r="B480" i="9"/>
  <c r="D480" i="9"/>
  <c r="F480" i="9"/>
  <c r="J480" i="9"/>
  <c r="H478" i="9"/>
  <c r="C478" i="9"/>
  <c r="E478" i="9"/>
  <c r="G478" i="9"/>
  <c r="K478" i="9"/>
  <c r="B478" i="9"/>
  <c r="D478" i="9"/>
  <c r="F478" i="9"/>
  <c r="J478" i="9"/>
  <c r="H476" i="9"/>
  <c r="C476" i="9"/>
  <c r="E476" i="9"/>
  <c r="G476" i="9"/>
  <c r="K476" i="9"/>
  <c r="B476" i="9"/>
  <c r="D476" i="9"/>
  <c r="F476" i="9"/>
  <c r="J476" i="9"/>
  <c r="H474" i="9"/>
  <c r="C474" i="9"/>
  <c r="E474" i="9"/>
  <c r="G474" i="9"/>
  <c r="K474" i="9"/>
  <c r="B474" i="9"/>
  <c r="D474" i="9"/>
  <c r="F474" i="9"/>
  <c r="J474" i="9"/>
  <c r="H472" i="9"/>
  <c r="C472" i="9"/>
  <c r="E472" i="9"/>
  <c r="G472" i="9"/>
  <c r="K472" i="9"/>
  <c r="B472" i="9"/>
  <c r="D472" i="9"/>
  <c r="F472" i="9"/>
  <c r="J472" i="9"/>
  <c r="H470" i="9"/>
  <c r="C470" i="9"/>
  <c r="E470" i="9"/>
  <c r="G470" i="9"/>
  <c r="K470" i="9"/>
  <c r="B470" i="9"/>
  <c r="D470" i="9"/>
  <c r="F470" i="9"/>
  <c r="J470" i="9"/>
  <c r="H468" i="9"/>
  <c r="C468" i="9"/>
  <c r="E468" i="9"/>
  <c r="G468" i="9"/>
  <c r="K468" i="9"/>
  <c r="B468" i="9"/>
  <c r="D468" i="9"/>
  <c r="F468" i="9"/>
  <c r="J468" i="9"/>
  <c r="H466" i="9"/>
  <c r="C466" i="9"/>
  <c r="E466" i="9"/>
  <c r="G466" i="9"/>
  <c r="K466" i="9"/>
  <c r="B466" i="9"/>
  <c r="D466" i="9"/>
  <c r="F466" i="9"/>
  <c r="J466" i="9"/>
  <c r="H464" i="9"/>
  <c r="C464" i="9"/>
  <c r="E464" i="9"/>
  <c r="G464" i="9"/>
  <c r="K464" i="9"/>
  <c r="B464" i="9"/>
  <c r="D464" i="9"/>
  <c r="F464" i="9"/>
  <c r="J464" i="9"/>
  <c r="H462" i="9"/>
  <c r="C462" i="9"/>
  <c r="E462" i="9"/>
  <c r="G462" i="9"/>
  <c r="K462" i="9"/>
  <c r="B462" i="9"/>
  <c r="D462" i="9"/>
  <c r="F462" i="9"/>
  <c r="J462" i="9"/>
  <c r="H460" i="9"/>
  <c r="C460" i="9"/>
  <c r="E460" i="9"/>
  <c r="G460" i="9"/>
  <c r="K460" i="9"/>
  <c r="B460" i="9"/>
  <c r="D460" i="9"/>
  <c r="F460" i="9"/>
  <c r="J460" i="9"/>
  <c r="H458" i="9"/>
  <c r="C458" i="9"/>
  <c r="E458" i="9"/>
  <c r="G458" i="9"/>
  <c r="K458" i="9"/>
  <c r="B458" i="9"/>
  <c r="D458" i="9"/>
  <c r="F458" i="9"/>
  <c r="J458" i="9"/>
  <c r="H456" i="9"/>
  <c r="C456" i="9"/>
  <c r="E456" i="9"/>
  <c r="G456" i="9"/>
  <c r="K456" i="9"/>
  <c r="B456" i="9"/>
  <c r="D456" i="9"/>
  <c r="F456" i="9"/>
  <c r="J456" i="9"/>
  <c r="H454" i="9"/>
  <c r="C454" i="9"/>
  <c r="E454" i="9"/>
  <c r="G454" i="9"/>
  <c r="K454" i="9"/>
  <c r="B454" i="9"/>
  <c r="D454" i="9"/>
  <c r="F454" i="9"/>
  <c r="J454" i="9"/>
  <c r="H452" i="9"/>
  <c r="C452" i="9"/>
  <c r="E452" i="9"/>
  <c r="G452" i="9"/>
  <c r="K452" i="9"/>
  <c r="B452" i="9"/>
  <c r="D452" i="9"/>
  <c r="F452" i="9"/>
  <c r="J452" i="9"/>
  <c r="H450" i="9"/>
  <c r="C450" i="9"/>
  <c r="E450" i="9"/>
  <c r="G450" i="9"/>
  <c r="K450" i="9"/>
  <c r="B450" i="9"/>
  <c r="D450" i="9"/>
  <c r="F450" i="9"/>
  <c r="J450" i="9"/>
  <c r="H448" i="9"/>
  <c r="C448" i="9"/>
  <c r="E448" i="9"/>
  <c r="G448" i="9"/>
  <c r="K448" i="9"/>
  <c r="B448" i="9"/>
  <c r="D448" i="9"/>
  <c r="F448" i="9"/>
  <c r="J448" i="9"/>
  <c r="H446" i="9"/>
  <c r="C446" i="9"/>
  <c r="E446" i="9"/>
  <c r="G446" i="9"/>
  <c r="K446" i="9"/>
  <c r="B446" i="9"/>
  <c r="D446" i="9"/>
  <c r="F446" i="9"/>
  <c r="J446" i="9"/>
  <c r="H444" i="9"/>
  <c r="C444" i="9"/>
  <c r="E444" i="9"/>
  <c r="G444" i="9"/>
  <c r="K444" i="9"/>
  <c r="B444" i="9"/>
  <c r="D444" i="9"/>
  <c r="F444" i="9"/>
  <c r="J444" i="9"/>
  <c r="H442" i="9"/>
  <c r="C442" i="9"/>
  <c r="E442" i="9"/>
  <c r="G442" i="9"/>
  <c r="K442" i="9"/>
  <c r="B442" i="9"/>
  <c r="D442" i="9"/>
  <c r="F442" i="9"/>
  <c r="J442" i="9"/>
  <c r="H440" i="9"/>
  <c r="C440" i="9"/>
  <c r="E440" i="9"/>
  <c r="G440" i="9"/>
  <c r="K440" i="9"/>
  <c r="B440" i="9"/>
  <c r="D440" i="9"/>
  <c r="F440" i="9"/>
  <c r="J440" i="9"/>
  <c r="H438" i="9"/>
  <c r="C438" i="9"/>
  <c r="E438" i="9"/>
  <c r="G438" i="9"/>
  <c r="K438" i="9"/>
  <c r="B438" i="9"/>
  <c r="D438" i="9"/>
  <c r="F438" i="9"/>
  <c r="J438" i="9"/>
  <c r="H436" i="9"/>
  <c r="C436" i="9"/>
  <c r="E436" i="9"/>
  <c r="G436" i="9"/>
  <c r="K436" i="9"/>
  <c r="B436" i="9"/>
  <c r="D436" i="9"/>
  <c r="F436" i="9"/>
  <c r="J436" i="9"/>
  <c r="H434" i="9"/>
  <c r="C434" i="9"/>
  <c r="E434" i="9"/>
  <c r="G434" i="9"/>
  <c r="K434" i="9"/>
  <c r="B434" i="9"/>
  <c r="D434" i="9"/>
  <c r="F434" i="9"/>
  <c r="J434" i="9"/>
  <c r="H432" i="9"/>
  <c r="C432" i="9"/>
  <c r="E432" i="9"/>
  <c r="G432" i="9"/>
  <c r="K432" i="9"/>
  <c r="B432" i="9"/>
  <c r="D432" i="9"/>
  <c r="F432" i="9"/>
  <c r="J432" i="9"/>
  <c r="H430" i="9"/>
  <c r="C430" i="9"/>
  <c r="E430" i="9"/>
  <c r="G430" i="9"/>
  <c r="K430" i="9"/>
  <c r="B430" i="9"/>
  <c r="D430" i="9"/>
  <c r="F430" i="9"/>
  <c r="J430" i="9"/>
  <c r="H428" i="9"/>
  <c r="C428" i="9"/>
  <c r="E428" i="9"/>
  <c r="G428" i="9"/>
  <c r="K428" i="9"/>
  <c r="B428" i="9"/>
  <c r="D428" i="9"/>
  <c r="F428" i="9"/>
  <c r="J428" i="9"/>
  <c r="H426" i="9"/>
  <c r="C426" i="9"/>
  <c r="E426" i="9"/>
  <c r="G426" i="9"/>
  <c r="K426" i="9"/>
  <c r="B426" i="9"/>
  <c r="D426" i="9"/>
  <c r="F426" i="9"/>
  <c r="J426" i="9"/>
  <c r="H424" i="9"/>
  <c r="C424" i="9"/>
  <c r="E424" i="9"/>
  <c r="G424" i="9"/>
  <c r="K424" i="9"/>
  <c r="B424" i="9"/>
  <c r="D424" i="9"/>
  <c r="F424" i="9"/>
  <c r="J424" i="9"/>
  <c r="H422" i="9"/>
  <c r="C422" i="9"/>
  <c r="E422" i="9"/>
  <c r="G422" i="9"/>
  <c r="K422" i="9"/>
  <c r="B422" i="9"/>
  <c r="D422" i="9"/>
  <c r="F422" i="9"/>
  <c r="J422" i="9"/>
  <c r="H420" i="9"/>
  <c r="C420" i="9"/>
  <c r="E420" i="9"/>
  <c r="G420" i="9"/>
  <c r="K420" i="9"/>
  <c r="B420" i="9"/>
  <c r="D420" i="9"/>
  <c r="F420" i="9"/>
  <c r="J420" i="9"/>
  <c r="H418" i="9"/>
  <c r="C418" i="9"/>
  <c r="E418" i="9"/>
  <c r="G418" i="9"/>
  <c r="K418" i="9"/>
  <c r="B418" i="9"/>
  <c r="D418" i="9"/>
  <c r="F418" i="9"/>
  <c r="J418" i="9"/>
  <c r="H416" i="9"/>
  <c r="C416" i="9"/>
  <c r="E416" i="9"/>
  <c r="G416" i="9"/>
  <c r="K416" i="9"/>
  <c r="B416" i="9"/>
  <c r="D416" i="9"/>
  <c r="F416" i="9"/>
  <c r="J416" i="9"/>
  <c r="H414" i="9"/>
  <c r="C414" i="9"/>
  <c r="E414" i="9"/>
  <c r="G414" i="9"/>
  <c r="K414" i="9"/>
  <c r="B414" i="9"/>
  <c r="D414" i="9"/>
  <c r="F414" i="9"/>
  <c r="J414" i="9"/>
  <c r="H412" i="9"/>
  <c r="C412" i="9"/>
  <c r="E412" i="9"/>
  <c r="G412" i="9"/>
  <c r="K412" i="9"/>
  <c r="B412" i="9"/>
  <c r="D412" i="9"/>
  <c r="F412" i="9"/>
  <c r="J412" i="9"/>
  <c r="H410" i="9"/>
  <c r="C410" i="9"/>
  <c r="E410" i="9"/>
  <c r="G410" i="9"/>
  <c r="K410" i="9"/>
  <c r="B410" i="9"/>
  <c r="D410" i="9"/>
  <c r="F410" i="9"/>
  <c r="J410" i="9"/>
  <c r="H408" i="9"/>
  <c r="C408" i="9"/>
  <c r="E408" i="9"/>
  <c r="G408" i="9"/>
  <c r="K408" i="9"/>
  <c r="B408" i="9"/>
  <c r="D408" i="9"/>
  <c r="F408" i="9"/>
  <c r="J408" i="9"/>
  <c r="H406" i="9"/>
  <c r="C406" i="9"/>
  <c r="E406" i="9"/>
  <c r="G406" i="9"/>
  <c r="K406" i="9"/>
  <c r="B406" i="9"/>
  <c r="D406" i="9"/>
  <c r="F406" i="9"/>
  <c r="J406" i="9"/>
  <c r="H404" i="9"/>
  <c r="C404" i="9"/>
  <c r="E404" i="9"/>
  <c r="G404" i="9"/>
  <c r="K404" i="9"/>
  <c r="B404" i="9"/>
  <c r="D404" i="9"/>
  <c r="F404" i="9"/>
  <c r="J404" i="9"/>
  <c r="H402" i="9"/>
  <c r="C402" i="9"/>
  <c r="E402" i="9"/>
  <c r="G402" i="9"/>
  <c r="K402" i="9"/>
  <c r="B402" i="9"/>
  <c r="D402" i="9"/>
  <c r="F402" i="9"/>
  <c r="J402" i="9"/>
  <c r="H400" i="9"/>
  <c r="C400" i="9"/>
  <c r="E400" i="9"/>
  <c r="G400" i="9"/>
  <c r="K400" i="9"/>
  <c r="B400" i="9"/>
  <c r="D400" i="9"/>
  <c r="F400" i="9"/>
  <c r="J400" i="9"/>
  <c r="H398" i="9"/>
  <c r="C398" i="9"/>
  <c r="E398" i="9"/>
  <c r="G398" i="9"/>
  <c r="K398" i="9"/>
  <c r="D398" i="9"/>
  <c r="J398" i="9"/>
  <c r="B398" i="9"/>
  <c r="F398" i="9"/>
  <c r="H396" i="9"/>
  <c r="C396" i="9"/>
  <c r="E396" i="9"/>
  <c r="G396" i="9"/>
  <c r="K396" i="9"/>
  <c r="D396" i="9"/>
  <c r="J396" i="9"/>
  <c r="B396" i="9"/>
  <c r="F396" i="9"/>
  <c r="H394" i="9"/>
  <c r="C394" i="9"/>
  <c r="E394" i="9"/>
  <c r="G394" i="9"/>
  <c r="K394" i="9"/>
  <c r="D394" i="9"/>
  <c r="J394" i="9"/>
  <c r="B394" i="9"/>
  <c r="F394" i="9"/>
  <c r="H392" i="9"/>
  <c r="C392" i="9"/>
  <c r="E392" i="9"/>
  <c r="G392" i="9"/>
  <c r="K392" i="9"/>
  <c r="D392" i="9"/>
  <c r="J392" i="9"/>
  <c r="B392" i="9"/>
  <c r="F392" i="9"/>
  <c r="H390" i="9"/>
  <c r="C390" i="9"/>
  <c r="E390" i="9"/>
  <c r="G390" i="9"/>
  <c r="K390" i="9"/>
  <c r="D390" i="9"/>
  <c r="J390" i="9"/>
  <c r="B390" i="9"/>
  <c r="F390" i="9"/>
  <c r="H388" i="9"/>
  <c r="C388" i="9"/>
  <c r="E388" i="9"/>
  <c r="G388" i="9"/>
  <c r="K388" i="9"/>
  <c r="D388" i="9"/>
  <c r="J388" i="9"/>
  <c r="B388" i="9"/>
  <c r="F388" i="9"/>
  <c r="H386" i="9"/>
  <c r="C386" i="9"/>
  <c r="E386" i="9"/>
  <c r="G386" i="9"/>
  <c r="K386" i="9"/>
  <c r="D386" i="9"/>
  <c r="J386" i="9"/>
  <c r="B386" i="9"/>
  <c r="F386" i="9"/>
  <c r="H384" i="9"/>
  <c r="C384" i="9"/>
  <c r="E384" i="9"/>
  <c r="G384" i="9"/>
  <c r="K384" i="9"/>
  <c r="D384" i="9"/>
  <c r="J384" i="9"/>
  <c r="B384" i="9"/>
  <c r="F384" i="9"/>
  <c r="H382" i="9"/>
  <c r="C382" i="9"/>
  <c r="E382" i="9"/>
  <c r="G382" i="9"/>
  <c r="K382" i="9"/>
  <c r="D382" i="9"/>
  <c r="J382" i="9"/>
  <c r="B382" i="9"/>
  <c r="F382" i="9"/>
  <c r="H380" i="9"/>
  <c r="C380" i="9"/>
  <c r="E380" i="9"/>
  <c r="G380" i="9"/>
  <c r="K380" i="9"/>
  <c r="D380" i="9"/>
  <c r="J380" i="9"/>
  <c r="B380" i="9"/>
  <c r="F380" i="9"/>
  <c r="H378" i="9"/>
  <c r="C378" i="9"/>
  <c r="E378" i="9"/>
  <c r="G378" i="9"/>
  <c r="K378" i="9"/>
  <c r="D378" i="9"/>
  <c r="J378" i="9"/>
  <c r="B378" i="9"/>
  <c r="F378" i="9"/>
  <c r="H376" i="9"/>
  <c r="C376" i="9"/>
  <c r="E376" i="9"/>
  <c r="G376" i="9"/>
  <c r="K376" i="9"/>
  <c r="D376" i="9"/>
  <c r="J376" i="9"/>
  <c r="B376" i="9"/>
  <c r="F376" i="9"/>
  <c r="H374" i="9"/>
  <c r="C374" i="9"/>
  <c r="E374" i="9"/>
  <c r="G374" i="9"/>
  <c r="K374" i="9"/>
  <c r="D374" i="9"/>
  <c r="J374" i="9"/>
  <c r="B374" i="9"/>
  <c r="F374" i="9"/>
  <c r="H372" i="9"/>
  <c r="C372" i="9"/>
  <c r="E372" i="9"/>
  <c r="G372" i="9"/>
  <c r="K372" i="9"/>
  <c r="D372" i="9"/>
  <c r="J372" i="9"/>
  <c r="B372" i="9"/>
  <c r="F372" i="9"/>
  <c r="H370" i="9"/>
  <c r="C370" i="9"/>
  <c r="E370" i="9"/>
  <c r="G370" i="9"/>
  <c r="K370" i="9"/>
  <c r="B370" i="9"/>
  <c r="F370" i="9"/>
  <c r="D370" i="9"/>
  <c r="J370" i="9"/>
  <c r="H368" i="9"/>
  <c r="C368" i="9"/>
  <c r="E368" i="9"/>
  <c r="G368" i="9"/>
  <c r="K368" i="9"/>
  <c r="B368" i="9"/>
  <c r="F368" i="9"/>
  <c r="D368" i="9"/>
  <c r="J368" i="9"/>
  <c r="H366" i="9"/>
  <c r="C366" i="9"/>
  <c r="E366" i="9"/>
  <c r="G366" i="9"/>
  <c r="K366" i="9"/>
  <c r="D366" i="9"/>
  <c r="J366" i="9"/>
  <c r="B366" i="9"/>
  <c r="F366" i="9"/>
  <c r="H364" i="9"/>
  <c r="C364" i="9"/>
  <c r="E364" i="9"/>
  <c r="G364" i="9"/>
  <c r="K364" i="9"/>
  <c r="D364" i="9"/>
  <c r="J364" i="9"/>
  <c r="B364" i="9"/>
  <c r="F364" i="9"/>
  <c r="H362" i="9"/>
  <c r="C362" i="9"/>
  <c r="E362" i="9"/>
  <c r="G362" i="9"/>
  <c r="K362" i="9"/>
  <c r="D362" i="9"/>
  <c r="J362" i="9"/>
  <c r="B362" i="9"/>
  <c r="F362" i="9"/>
  <c r="H360" i="9"/>
  <c r="C360" i="9"/>
  <c r="E360" i="9"/>
  <c r="G360" i="9"/>
  <c r="K360" i="9"/>
  <c r="D360" i="9"/>
  <c r="J360" i="9"/>
  <c r="B360" i="9"/>
  <c r="F360" i="9"/>
  <c r="H358" i="9"/>
  <c r="C358" i="9"/>
  <c r="E358" i="9"/>
  <c r="G358" i="9"/>
  <c r="K358" i="9"/>
  <c r="D358" i="9"/>
  <c r="J358" i="9"/>
  <c r="B358" i="9"/>
  <c r="F358" i="9"/>
  <c r="H356" i="9"/>
  <c r="C356" i="9"/>
  <c r="E356" i="9"/>
  <c r="G356" i="9"/>
  <c r="K356" i="9"/>
  <c r="D356" i="9"/>
  <c r="J356" i="9"/>
  <c r="B356" i="9"/>
  <c r="F356" i="9"/>
  <c r="H354" i="9"/>
  <c r="C354" i="9"/>
  <c r="E354" i="9"/>
  <c r="G354" i="9"/>
  <c r="K354" i="9"/>
  <c r="D354" i="9"/>
  <c r="J354" i="9"/>
  <c r="B354" i="9"/>
  <c r="F354" i="9"/>
  <c r="H352" i="9"/>
  <c r="C352" i="9"/>
  <c r="E352" i="9"/>
  <c r="G352" i="9"/>
  <c r="K352" i="9"/>
  <c r="D352" i="9"/>
  <c r="J352" i="9"/>
  <c r="B352" i="9"/>
  <c r="F352" i="9"/>
  <c r="H350" i="9"/>
  <c r="C350" i="9"/>
  <c r="E350" i="9"/>
  <c r="G350" i="9"/>
  <c r="K350" i="9"/>
  <c r="D350" i="9"/>
  <c r="J350" i="9"/>
  <c r="B350" i="9"/>
  <c r="F350" i="9"/>
  <c r="H348" i="9"/>
  <c r="C348" i="9"/>
  <c r="E348" i="9"/>
  <c r="G348" i="9"/>
  <c r="K348" i="9"/>
  <c r="D348" i="9"/>
  <c r="J348" i="9"/>
  <c r="B348" i="9"/>
  <c r="F348" i="9"/>
  <c r="H346" i="9"/>
  <c r="C346" i="9"/>
  <c r="E346" i="9"/>
  <c r="G346" i="9"/>
  <c r="K346" i="9"/>
  <c r="D346" i="9"/>
  <c r="J346" i="9"/>
  <c r="B346" i="9"/>
  <c r="F346" i="9"/>
  <c r="H344" i="9"/>
  <c r="C344" i="9"/>
  <c r="E344" i="9"/>
  <c r="G344" i="9"/>
  <c r="K344" i="9"/>
  <c r="D344" i="9"/>
  <c r="J344" i="9"/>
  <c r="B344" i="9"/>
  <c r="F344" i="9"/>
  <c r="H342" i="9"/>
  <c r="C342" i="9"/>
  <c r="E342" i="9"/>
  <c r="G342" i="9"/>
  <c r="K342" i="9"/>
  <c r="D342" i="9"/>
  <c r="J342" i="9"/>
  <c r="B342" i="9"/>
  <c r="F342" i="9"/>
  <c r="H340" i="9"/>
  <c r="C340" i="9"/>
  <c r="E340" i="9"/>
  <c r="G340" i="9"/>
  <c r="K340" i="9"/>
  <c r="D340" i="9"/>
  <c r="J340" i="9"/>
  <c r="B340" i="9"/>
  <c r="F340" i="9"/>
  <c r="H338" i="9"/>
  <c r="C338" i="9"/>
  <c r="E338" i="9"/>
  <c r="G338" i="9"/>
  <c r="K338" i="9"/>
  <c r="D338" i="9"/>
  <c r="J338" i="9"/>
  <c r="B338" i="9"/>
  <c r="F338" i="9"/>
  <c r="H336" i="9"/>
  <c r="C336" i="9"/>
  <c r="E336" i="9"/>
  <c r="G336" i="9"/>
  <c r="K336" i="9"/>
  <c r="D336" i="9"/>
  <c r="J336" i="9"/>
  <c r="B336" i="9"/>
  <c r="F336" i="9"/>
  <c r="H334" i="9"/>
  <c r="C334" i="9"/>
  <c r="E334" i="9"/>
  <c r="G334" i="9"/>
  <c r="K334" i="9"/>
  <c r="D334" i="9"/>
  <c r="J334" i="9"/>
  <c r="B334" i="9"/>
  <c r="F334" i="9"/>
  <c r="H332" i="9"/>
  <c r="C332" i="9"/>
  <c r="E332" i="9"/>
  <c r="G332" i="9"/>
  <c r="K332" i="9"/>
  <c r="D332" i="9"/>
  <c r="J332" i="9"/>
  <c r="B332" i="9"/>
  <c r="F332" i="9"/>
  <c r="H330" i="9"/>
  <c r="C330" i="9"/>
  <c r="E330" i="9"/>
  <c r="G330" i="9"/>
  <c r="K330" i="9"/>
  <c r="D330" i="9"/>
  <c r="J330" i="9"/>
  <c r="B330" i="9"/>
  <c r="F330" i="9"/>
  <c r="H328" i="9"/>
  <c r="C328" i="9"/>
  <c r="E328" i="9"/>
  <c r="G328" i="9"/>
  <c r="K328" i="9"/>
  <c r="D328" i="9"/>
  <c r="J328" i="9"/>
  <c r="B328" i="9"/>
  <c r="F328" i="9"/>
  <c r="H326" i="9"/>
  <c r="C326" i="9"/>
  <c r="E326" i="9"/>
  <c r="G326" i="9"/>
  <c r="K326" i="9"/>
  <c r="D326" i="9"/>
  <c r="J326" i="9"/>
  <c r="B326" i="9"/>
  <c r="F326" i="9"/>
  <c r="H324" i="9"/>
  <c r="C324" i="9"/>
  <c r="E324" i="9"/>
  <c r="G324" i="9"/>
  <c r="K324" i="9"/>
  <c r="D324" i="9"/>
  <c r="J324" i="9"/>
  <c r="B324" i="9"/>
  <c r="F324" i="9"/>
  <c r="H322" i="9"/>
  <c r="C322" i="9"/>
  <c r="E322" i="9"/>
  <c r="G322" i="9"/>
  <c r="K322" i="9"/>
  <c r="D322" i="9"/>
  <c r="J322" i="9"/>
  <c r="B322" i="9"/>
  <c r="F322" i="9"/>
  <c r="H320" i="9"/>
  <c r="C320" i="9"/>
  <c r="E320" i="9"/>
  <c r="G320" i="9"/>
  <c r="K320" i="9"/>
  <c r="D320" i="9"/>
  <c r="J320" i="9"/>
  <c r="B320" i="9"/>
  <c r="F320" i="9"/>
  <c r="H318" i="9"/>
  <c r="C318" i="9"/>
  <c r="E318" i="9"/>
  <c r="G318" i="9"/>
  <c r="K318" i="9"/>
  <c r="D318" i="9"/>
  <c r="J318" i="9"/>
  <c r="B318" i="9"/>
  <c r="F318" i="9"/>
  <c r="H316" i="9"/>
  <c r="C316" i="9"/>
  <c r="E316" i="9"/>
  <c r="G316" i="9"/>
  <c r="K316" i="9"/>
  <c r="D316" i="9"/>
  <c r="J316" i="9"/>
  <c r="B316" i="9"/>
  <c r="F316" i="9"/>
  <c r="H314" i="9"/>
  <c r="C314" i="9"/>
  <c r="E314" i="9"/>
  <c r="G314" i="9"/>
  <c r="K314" i="9"/>
  <c r="D314" i="9"/>
  <c r="J314" i="9"/>
  <c r="B314" i="9"/>
  <c r="F314" i="9"/>
  <c r="H312" i="9"/>
  <c r="C312" i="9"/>
  <c r="E312" i="9"/>
  <c r="G312" i="9"/>
  <c r="K312" i="9"/>
  <c r="D312" i="9"/>
  <c r="J312" i="9"/>
  <c r="B312" i="9"/>
  <c r="F312" i="9"/>
  <c r="H310" i="9"/>
  <c r="C310" i="9"/>
  <c r="E310" i="9"/>
  <c r="G310" i="9"/>
  <c r="K310" i="9"/>
  <c r="D310" i="9"/>
  <c r="J310" i="9"/>
  <c r="B310" i="9"/>
  <c r="F310" i="9"/>
  <c r="H308" i="9"/>
  <c r="C308" i="9"/>
  <c r="E308" i="9"/>
  <c r="G308" i="9"/>
  <c r="K308" i="9"/>
  <c r="D308" i="9"/>
  <c r="J308" i="9"/>
  <c r="B308" i="9"/>
  <c r="F308" i="9"/>
  <c r="H306" i="9"/>
  <c r="C306" i="9"/>
  <c r="E306" i="9"/>
  <c r="G306" i="9"/>
  <c r="K306" i="9"/>
  <c r="D306" i="9"/>
  <c r="J306" i="9"/>
  <c r="B306" i="9"/>
  <c r="F306" i="9"/>
  <c r="H304" i="9"/>
  <c r="C304" i="9"/>
  <c r="E304" i="9"/>
  <c r="G304" i="9"/>
  <c r="K304" i="9"/>
  <c r="D304" i="9"/>
  <c r="J304" i="9"/>
  <c r="B304" i="9"/>
  <c r="F304" i="9"/>
  <c r="H302" i="9"/>
  <c r="C302" i="9"/>
  <c r="E302" i="9"/>
  <c r="G302" i="9"/>
  <c r="K302" i="9"/>
  <c r="D302" i="9"/>
  <c r="J302" i="9"/>
  <c r="B302" i="9"/>
  <c r="F302" i="9"/>
  <c r="H300" i="9"/>
  <c r="C300" i="9"/>
  <c r="E300" i="9"/>
  <c r="G300" i="9"/>
  <c r="K300" i="9"/>
  <c r="D300" i="9"/>
  <c r="J300" i="9"/>
  <c r="B300" i="9"/>
  <c r="F300" i="9"/>
  <c r="H298" i="9"/>
  <c r="C298" i="9"/>
  <c r="E298" i="9"/>
  <c r="G298" i="9"/>
  <c r="K298" i="9"/>
  <c r="D298" i="9"/>
  <c r="J298" i="9"/>
  <c r="B298" i="9"/>
  <c r="F298" i="9"/>
  <c r="H296" i="9"/>
  <c r="C296" i="9"/>
  <c r="E296" i="9"/>
  <c r="G296" i="9"/>
  <c r="K296" i="9"/>
  <c r="D296" i="9"/>
  <c r="J296" i="9"/>
  <c r="B296" i="9"/>
  <c r="F296" i="9"/>
  <c r="H294" i="9"/>
  <c r="C294" i="9"/>
  <c r="E294" i="9"/>
  <c r="G294" i="9"/>
  <c r="K294" i="9"/>
  <c r="D294" i="9"/>
  <c r="J294" i="9"/>
  <c r="B294" i="9"/>
  <c r="F294" i="9"/>
  <c r="H292" i="9"/>
  <c r="C292" i="9"/>
  <c r="E292" i="9"/>
  <c r="G292" i="9"/>
  <c r="K292" i="9"/>
  <c r="D292" i="9"/>
  <c r="J292" i="9"/>
  <c r="B292" i="9"/>
  <c r="F292" i="9"/>
  <c r="H290" i="9"/>
  <c r="C290" i="9"/>
  <c r="E290" i="9"/>
  <c r="G290" i="9"/>
  <c r="K290" i="9"/>
  <c r="D290" i="9"/>
  <c r="J290" i="9"/>
  <c r="B290" i="9"/>
  <c r="F290" i="9"/>
  <c r="H288" i="9"/>
  <c r="C288" i="9"/>
  <c r="E288" i="9"/>
  <c r="G288" i="9"/>
  <c r="K288" i="9"/>
  <c r="D288" i="9"/>
  <c r="J288" i="9"/>
  <c r="B288" i="9"/>
  <c r="F288" i="9"/>
  <c r="H286" i="9"/>
  <c r="C286" i="9"/>
  <c r="E286" i="9"/>
  <c r="G286" i="9"/>
  <c r="K286" i="9"/>
  <c r="D286" i="9"/>
  <c r="J286" i="9"/>
  <c r="B286" i="9"/>
  <c r="F286" i="9"/>
  <c r="H284" i="9"/>
  <c r="C284" i="9"/>
  <c r="E284" i="9"/>
  <c r="G284" i="9"/>
  <c r="K284" i="9"/>
  <c r="D284" i="9"/>
  <c r="J284" i="9"/>
  <c r="B284" i="9"/>
  <c r="F284" i="9"/>
  <c r="H282" i="9"/>
  <c r="C282" i="9"/>
  <c r="E282" i="9"/>
  <c r="G282" i="9"/>
  <c r="K282" i="9"/>
  <c r="D282" i="9"/>
  <c r="J282" i="9"/>
  <c r="B282" i="9"/>
  <c r="F282" i="9"/>
  <c r="H280" i="9"/>
  <c r="C280" i="9"/>
  <c r="E280" i="9"/>
  <c r="G280" i="9"/>
  <c r="K280" i="9"/>
  <c r="D280" i="9"/>
  <c r="J280" i="9"/>
  <c r="B280" i="9"/>
  <c r="F280" i="9"/>
  <c r="H278" i="9"/>
  <c r="C278" i="9"/>
  <c r="E278" i="9"/>
  <c r="G278" i="9"/>
  <c r="K278" i="9"/>
  <c r="D278" i="9"/>
  <c r="J278" i="9"/>
  <c r="B278" i="9"/>
  <c r="F278" i="9"/>
  <c r="H276" i="9"/>
  <c r="C276" i="9"/>
  <c r="E276" i="9"/>
  <c r="G276" i="9"/>
  <c r="K276" i="9"/>
  <c r="D276" i="9"/>
  <c r="J276" i="9"/>
  <c r="B276" i="9"/>
  <c r="F276" i="9"/>
  <c r="H274" i="9"/>
  <c r="C274" i="9"/>
  <c r="E274" i="9"/>
  <c r="G274" i="9"/>
  <c r="K274" i="9"/>
  <c r="D274" i="9"/>
  <c r="J274" i="9"/>
  <c r="B274" i="9"/>
  <c r="F274" i="9"/>
  <c r="H272" i="9"/>
  <c r="C272" i="9"/>
  <c r="E272" i="9"/>
  <c r="G272" i="9"/>
  <c r="K272" i="9"/>
  <c r="D272" i="9"/>
  <c r="J272" i="9"/>
  <c r="B272" i="9"/>
  <c r="F272" i="9"/>
  <c r="H270" i="9"/>
  <c r="C270" i="9"/>
  <c r="E270" i="9"/>
  <c r="G270" i="9"/>
  <c r="K270" i="9"/>
  <c r="D270" i="9"/>
  <c r="J270" i="9"/>
  <c r="B270" i="9"/>
  <c r="F270" i="9"/>
  <c r="H268" i="9"/>
  <c r="C268" i="9"/>
  <c r="E268" i="9"/>
  <c r="G268" i="9"/>
  <c r="K268" i="9"/>
  <c r="D268" i="9"/>
  <c r="J268" i="9"/>
  <c r="B268" i="9"/>
  <c r="F268" i="9"/>
  <c r="H266" i="9"/>
  <c r="C266" i="9"/>
  <c r="E266" i="9"/>
  <c r="G266" i="9"/>
  <c r="K266" i="9"/>
  <c r="D266" i="9"/>
  <c r="J266" i="9"/>
  <c r="B266" i="9"/>
  <c r="F266" i="9"/>
  <c r="H264" i="9"/>
  <c r="C264" i="9"/>
  <c r="E264" i="9"/>
  <c r="G264" i="9"/>
  <c r="K264" i="9"/>
  <c r="D264" i="9"/>
  <c r="J264" i="9"/>
  <c r="B264" i="9"/>
  <c r="F264" i="9"/>
  <c r="H262" i="9"/>
  <c r="C262" i="9"/>
  <c r="E262" i="9"/>
  <c r="G262" i="9"/>
  <c r="K262" i="9"/>
  <c r="D262" i="9"/>
  <c r="J262" i="9"/>
  <c r="B262" i="9"/>
  <c r="F262" i="9"/>
  <c r="H260" i="9"/>
  <c r="C260" i="9"/>
  <c r="E260" i="9"/>
  <c r="G260" i="9"/>
  <c r="K260" i="9"/>
  <c r="D260" i="9"/>
  <c r="J260" i="9"/>
  <c r="B260" i="9"/>
  <c r="F260" i="9"/>
  <c r="H258" i="9"/>
  <c r="C258" i="9"/>
  <c r="E258" i="9"/>
  <c r="G258" i="9"/>
  <c r="K258" i="9"/>
  <c r="D258" i="9"/>
  <c r="J258" i="9"/>
  <c r="B258" i="9"/>
  <c r="F258" i="9"/>
  <c r="H256" i="9"/>
  <c r="C256" i="9"/>
  <c r="E256" i="9"/>
  <c r="G256" i="9"/>
  <c r="K256" i="9"/>
  <c r="D256" i="9"/>
  <c r="J256" i="9"/>
  <c r="B256" i="9"/>
  <c r="F256" i="9"/>
  <c r="H254" i="9"/>
  <c r="C254" i="9"/>
  <c r="E254" i="9"/>
  <c r="G254" i="9"/>
  <c r="K254" i="9"/>
  <c r="D254" i="9"/>
  <c r="J254" i="9"/>
  <c r="B254" i="9"/>
  <c r="F254" i="9"/>
  <c r="H252" i="9"/>
  <c r="C252" i="9"/>
  <c r="E252" i="9"/>
  <c r="G252" i="9"/>
  <c r="K252" i="9"/>
  <c r="D252" i="9"/>
  <c r="J252" i="9"/>
  <c r="B252" i="9"/>
  <c r="F252" i="9"/>
  <c r="H250" i="9"/>
  <c r="C250" i="9"/>
  <c r="E250" i="9"/>
  <c r="G250" i="9"/>
  <c r="K250" i="9"/>
  <c r="D250" i="9"/>
  <c r="J250" i="9"/>
  <c r="B250" i="9"/>
  <c r="F250" i="9"/>
  <c r="H248" i="9"/>
  <c r="C248" i="9"/>
  <c r="E248" i="9"/>
  <c r="G248" i="9"/>
  <c r="K248" i="9"/>
  <c r="D248" i="9"/>
  <c r="J248" i="9"/>
  <c r="B248" i="9"/>
  <c r="F248" i="9"/>
  <c r="H246" i="9"/>
  <c r="C246" i="9"/>
  <c r="E246" i="9"/>
  <c r="G246" i="9"/>
  <c r="K246" i="9"/>
  <c r="D246" i="9"/>
  <c r="J246" i="9"/>
  <c r="B246" i="9"/>
  <c r="F246" i="9"/>
  <c r="H244" i="9"/>
  <c r="C244" i="9"/>
  <c r="E244" i="9"/>
  <c r="G244" i="9"/>
  <c r="K244" i="9"/>
  <c r="D244" i="9"/>
  <c r="J244" i="9"/>
  <c r="B244" i="9"/>
  <c r="F244" i="9"/>
  <c r="H242" i="9"/>
  <c r="C242" i="9"/>
  <c r="E242" i="9"/>
  <c r="G242" i="9"/>
  <c r="K242" i="9"/>
  <c r="D242" i="9"/>
  <c r="J242" i="9"/>
  <c r="B242" i="9"/>
  <c r="F242" i="9"/>
  <c r="H240" i="9"/>
  <c r="C240" i="9"/>
  <c r="E240" i="9"/>
  <c r="G240" i="9"/>
  <c r="K240" i="9"/>
  <c r="D240" i="9"/>
  <c r="J240" i="9"/>
  <c r="B240" i="9"/>
  <c r="F240" i="9"/>
  <c r="H238" i="9"/>
  <c r="C238" i="9"/>
  <c r="E238" i="9"/>
  <c r="G238" i="9"/>
  <c r="K238" i="9"/>
  <c r="D238" i="9"/>
  <c r="J238" i="9"/>
  <c r="B238" i="9"/>
  <c r="F238" i="9"/>
  <c r="H236" i="9"/>
  <c r="C236" i="9"/>
  <c r="E236" i="9"/>
  <c r="G236" i="9"/>
  <c r="K236" i="9"/>
  <c r="D236" i="9"/>
  <c r="J236" i="9"/>
  <c r="B236" i="9"/>
  <c r="F236" i="9"/>
  <c r="H234" i="9"/>
  <c r="C234" i="9"/>
  <c r="E234" i="9"/>
  <c r="G234" i="9"/>
  <c r="K234" i="9"/>
  <c r="D234" i="9"/>
  <c r="J234" i="9"/>
  <c r="B234" i="9"/>
  <c r="F234" i="9"/>
  <c r="H232" i="9"/>
  <c r="C232" i="9"/>
  <c r="E232" i="9"/>
  <c r="G232" i="9"/>
  <c r="K232" i="9"/>
  <c r="D232" i="9"/>
  <c r="J232" i="9"/>
  <c r="B232" i="9"/>
  <c r="F232" i="9"/>
  <c r="H230" i="9"/>
  <c r="C230" i="9"/>
  <c r="E230" i="9"/>
  <c r="G230" i="9"/>
  <c r="K230" i="9"/>
  <c r="D230" i="9"/>
  <c r="J230" i="9"/>
  <c r="B230" i="9"/>
  <c r="F230" i="9"/>
  <c r="H228" i="9"/>
  <c r="C228" i="9"/>
  <c r="E228" i="9"/>
  <c r="G228" i="9"/>
  <c r="K228" i="9"/>
  <c r="D228" i="9"/>
  <c r="J228" i="9"/>
  <c r="B228" i="9"/>
  <c r="F228" i="9"/>
  <c r="H226" i="9"/>
  <c r="C226" i="9"/>
  <c r="E226" i="9"/>
  <c r="G226" i="9"/>
  <c r="K226" i="9"/>
  <c r="D226" i="9"/>
  <c r="J226" i="9"/>
  <c r="B226" i="9"/>
  <c r="F226" i="9"/>
  <c r="H224" i="9"/>
  <c r="C224" i="9"/>
  <c r="E224" i="9"/>
  <c r="G224" i="9"/>
  <c r="K224" i="9"/>
  <c r="D224" i="9"/>
  <c r="J224" i="9"/>
  <c r="B224" i="9"/>
  <c r="F224" i="9"/>
  <c r="H222" i="9"/>
  <c r="C222" i="9"/>
  <c r="E222" i="9"/>
  <c r="G222" i="9"/>
  <c r="K222" i="9"/>
  <c r="D222" i="9"/>
  <c r="J222" i="9"/>
  <c r="B222" i="9"/>
  <c r="F222" i="9"/>
  <c r="H220" i="9"/>
  <c r="C220" i="9"/>
  <c r="E220" i="9"/>
  <c r="G220" i="9"/>
  <c r="K220" i="9"/>
  <c r="D220" i="9"/>
  <c r="J220" i="9"/>
  <c r="B220" i="9"/>
  <c r="F220" i="9"/>
  <c r="H218" i="9"/>
  <c r="C218" i="9"/>
  <c r="E218" i="9"/>
  <c r="G218" i="9"/>
  <c r="K218" i="9"/>
  <c r="D218" i="9"/>
  <c r="J218" i="9"/>
  <c r="B218" i="9"/>
  <c r="F218" i="9"/>
  <c r="H216" i="9"/>
  <c r="C216" i="9"/>
  <c r="E216" i="9"/>
  <c r="G216" i="9"/>
  <c r="K216" i="9"/>
  <c r="D216" i="9"/>
  <c r="J216" i="9"/>
  <c r="B216" i="9"/>
  <c r="F216" i="9"/>
  <c r="H214" i="9"/>
  <c r="C214" i="9"/>
  <c r="E214" i="9"/>
  <c r="G214" i="9"/>
  <c r="K214" i="9"/>
  <c r="D214" i="9"/>
  <c r="J214" i="9"/>
  <c r="B214" i="9"/>
  <c r="F214" i="9"/>
  <c r="H212" i="9"/>
  <c r="C212" i="9"/>
  <c r="E212" i="9"/>
  <c r="G212" i="9"/>
  <c r="K212" i="9"/>
  <c r="D212" i="9"/>
  <c r="J212" i="9"/>
  <c r="B212" i="9"/>
  <c r="F212" i="9"/>
  <c r="H210" i="9"/>
  <c r="C210" i="9"/>
  <c r="E210" i="9"/>
  <c r="G210" i="9"/>
  <c r="K210" i="9"/>
  <c r="D210" i="9"/>
  <c r="J210" i="9"/>
  <c r="B210" i="9"/>
  <c r="F210" i="9"/>
  <c r="H208" i="9"/>
  <c r="C208" i="9"/>
  <c r="E208" i="9"/>
  <c r="G208" i="9"/>
  <c r="K208" i="9"/>
  <c r="D208" i="9"/>
  <c r="J208" i="9"/>
  <c r="B208" i="9"/>
  <c r="F208" i="9"/>
  <c r="H206" i="9"/>
  <c r="C206" i="9"/>
  <c r="E206" i="9"/>
  <c r="G206" i="9"/>
  <c r="K206" i="9"/>
  <c r="D206" i="9"/>
  <c r="J206" i="9"/>
  <c r="B206" i="9"/>
  <c r="F206" i="9"/>
  <c r="H204" i="9"/>
  <c r="C204" i="9"/>
  <c r="E204" i="9"/>
  <c r="G204" i="9"/>
  <c r="K204" i="9"/>
  <c r="D204" i="9"/>
  <c r="J204" i="9"/>
  <c r="B204" i="9"/>
  <c r="F204" i="9"/>
  <c r="H202" i="9"/>
  <c r="C202" i="9"/>
  <c r="E202" i="9"/>
  <c r="G202" i="9"/>
  <c r="K202" i="9"/>
  <c r="D202" i="9"/>
  <c r="B202" i="9"/>
  <c r="J202" i="9"/>
  <c r="F202" i="9"/>
  <c r="H200" i="9"/>
  <c r="C200" i="9"/>
  <c r="E200" i="9"/>
  <c r="G200" i="9"/>
  <c r="K200" i="9"/>
  <c r="D200" i="9"/>
  <c r="J200" i="9"/>
  <c r="B200" i="9"/>
  <c r="F200" i="9"/>
  <c r="H198" i="9"/>
  <c r="C198" i="9"/>
  <c r="E198" i="9"/>
  <c r="G198" i="9"/>
  <c r="K198" i="9"/>
  <c r="D198" i="9"/>
  <c r="J198" i="9"/>
  <c r="B198" i="9"/>
  <c r="F198" i="9"/>
  <c r="H196" i="9"/>
  <c r="C196" i="9"/>
  <c r="E196" i="9"/>
  <c r="G196" i="9"/>
  <c r="K196" i="9"/>
  <c r="D196" i="9"/>
  <c r="J196" i="9"/>
  <c r="B196" i="9"/>
  <c r="F196" i="9"/>
  <c r="H194" i="9"/>
  <c r="C194" i="9"/>
  <c r="E194" i="9"/>
  <c r="G194" i="9"/>
  <c r="K194" i="9"/>
  <c r="D194" i="9"/>
  <c r="J194" i="9"/>
  <c r="B194" i="9"/>
  <c r="F194" i="9"/>
  <c r="H192" i="9"/>
  <c r="C192" i="9"/>
  <c r="E192" i="9"/>
  <c r="G192" i="9"/>
  <c r="K192" i="9"/>
  <c r="D192" i="9"/>
  <c r="J192" i="9"/>
  <c r="B192" i="9"/>
  <c r="F192" i="9"/>
  <c r="H190" i="9"/>
  <c r="C190" i="9"/>
  <c r="E190" i="9"/>
  <c r="G190" i="9"/>
  <c r="K190" i="9"/>
  <c r="B190" i="9"/>
  <c r="F190" i="9"/>
  <c r="D190" i="9"/>
  <c r="J190" i="9"/>
  <c r="H188" i="9"/>
  <c r="C188" i="9"/>
  <c r="E188" i="9"/>
  <c r="G188" i="9"/>
  <c r="K188" i="9"/>
  <c r="B188" i="9"/>
  <c r="F188" i="9"/>
  <c r="D188" i="9"/>
  <c r="J188" i="9"/>
  <c r="H186" i="9"/>
  <c r="C186" i="9"/>
  <c r="E186" i="9"/>
  <c r="G186" i="9"/>
  <c r="K186" i="9"/>
  <c r="B186" i="9"/>
  <c r="F186" i="9"/>
  <c r="D186" i="9"/>
  <c r="J186" i="9"/>
  <c r="H184" i="9"/>
  <c r="C184" i="9"/>
  <c r="E184" i="9"/>
  <c r="G184" i="9"/>
  <c r="K184" i="9"/>
  <c r="B184" i="9"/>
  <c r="F184" i="9"/>
  <c r="D184" i="9"/>
  <c r="J184" i="9"/>
  <c r="H182" i="9"/>
  <c r="C182" i="9"/>
  <c r="E182" i="9"/>
  <c r="G182" i="9"/>
  <c r="K182" i="9"/>
  <c r="B182" i="9"/>
  <c r="F182" i="9"/>
  <c r="D182" i="9"/>
  <c r="J182" i="9"/>
  <c r="H180" i="9"/>
  <c r="C180" i="9"/>
  <c r="E180" i="9"/>
  <c r="G180" i="9"/>
  <c r="K180" i="9"/>
  <c r="B180" i="9"/>
  <c r="F180" i="9"/>
  <c r="D180" i="9"/>
  <c r="J180" i="9"/>
  <c r="H178" i="9"/>
  <c r="C178" i="9"/>
  <c r="E178" i="9"/>
  <c r="G178" i="9"/>
  <c r="K178" i="9"/>
  <c r="B178" i="9"/>
  <c r="F178" i="9"/>
  <c r="D178" i="9"/>
  <c r="J178" i="9"/>
  <c r="H176" i="9"/>
  <c r="C176" i="9"/>
  <c r="E176" i="9"/>
  <c r="G176" i="9"/>
  <c r="K176" i="9"/>
  <c r="B176" i="9"/>
  <c r="F176" i="9"/>
  <c r="D176" i="9"/>
  <c r="J176" i="9"/>
  <c r="H174" i="9"/>
  <c r="C174" i="9"/>
  <c r="E174" i="9"/>
  <c r="G174" i="9"/>
  <c r="K174" i="9"/>
  <c r="B174" i="9"/>
  <c r="F174" i="9"/>
  <c r="D174" i="9"/>
  <c r="J174" i="9"/>
  <c r="H172" i="9"/>
  <c r="C172" i="9"/>
  <c r="E172" i="9"/>
  <c r="G172" i="9"/>
  <c r="K172" i="9"/>
  <c r="B172" i="9"/>
  <c r="F172" i="9"/>
  <c r="D172" i="9"/>
  <c r="J172" i="9"/>
  <c r="H170" i="9"/>
  <c r="C170" i="9"/>
  <c r="E170" i="9"/>
  <c r="G170" i="9"/>
  <c r="K170" i="9"/>
  <c r="B170" i="9"/>
  <c r="F170" i="9"/>
  <c r="D170" i="9"/>
  <c r="J170" i="9"/>
  <c r="H168" i="9"/>
  <c r="C168" i="9"/>
  <c r="E168" i="9"/>
  <c r="G168" i="9"/>
  <c r="K168" i="9"/>
  <c r="B168" i="9"/>
  <c r="F168" i="9"/>
  <c r="D168" i="9"/>
  <c r="J168" i="9"/>
  <c r="H166" i="9"/>
  <c r="C166" i="9"/>
  <c r="E166" i="9"/>
  <c r="G166" i="9"/>
  <c r="K166" i="9"/>
  <c r="B166" i="9"/>
  <c r="F166" i="9"/>
  <c r="D166" i="9"/>
  <c r="J166" i="9"/>
  <c r="H164" i="9"/>
  <c r="C164" i="9"/>
  <c r="E164" i="9"/>
  <c r="G164" i="9"/>
  <c r="K164" i="9"/>
  <c r="B164" i="9"/>
  <c r="F164" i="9"/>
  <c r="D164" i="9"/>
  <c r="J164" i="9"/>
  <c r="H162" i="9"/>
  <c r="C162" i="9"/>
  <c r="E162" i="9"/>
  <c r="G162" i="9"/>
  <c r="K162" i="9"/>
  <c r="B162" i="9"/>
  <c r="F162" i="9"/>
  <c r="D162" i="9"/>
  <c r="J162" i="9"/>
  <c r="H160" i="9"/>
  <c r="C160" i="9"/>
  <c r="E160" i="9"/>
  <c r="G160" i="9"/>
  <c r="K160" i="9"/>
  <c r="B160" i="9"/>
  <c r="F160" i="9"/>
  <c r="D160" i="9"/>
  <c r="J160" i="9"/>
  <c r="H158" i="9"/>
  <c r="C158" i="9"/>
  <c r="E158" i="9"/>
  <c r="G158" i="9"/>
  <c r="K158" i="9"/>
  <c r="B158" i="9"/>
  <c r="F158" i="9"/>
  <c r="D158" i="9"/>
  <c r="J158" i="9"/>
  <c r="H156" i="9"/>
  <c r="C156" i="9"/>
  <c r="E156" i="9"/>
  <c r="G156" i="9"/>
  <c r="K156" i="9"/>
  <c r="B156" i="9"/>
  <c r="F156" i="9"/>
  <c r="D156" i="9"/>
  <c r="J156" i="9"/>
  <c r="H154" i="9"/>
  <c r="C154" i="9"/>
  <c r="E154" i="9"/>
  <c r="G154" i="9"/>
  <c r="K154" i="9"/>
  <c r="B154" i="9"/>
  <c r="F154" i="9"/>
  <c r="D154" i="9"/>
  <c r="J154" i="9"/>
  <c r="H152" i="9"/>
  <c r="C152" i="9"/>
  <c r="E152" i="9"/>
  <c r="G152" i="9"/>
  <c r="K152" i="9"/>
  <c r="B152" i="9"/>
  <c r="F152" i="9"/>
  <c r="D152" i="9"/>
  <c r="J152" i="9"/>
  <c r="H150" i="9"/>
  <c r="C150" i="9"/>
  <c r="E150" i="9"/>
  <c r="G150" i="9"/>
  <c r="K150" i="9"/>
  <c r="B150" i="9"/>
  <c r="F150" i="9"/>
  <c r="D150" i="9"/>
  <c r="J150" i="9"/>
  <c r="H148" i="9"/>
  <c r="C148" i="9"/>
  <c r="E148" i="9"/>
  <c r="G148" i="9"/>
  <c r="K148" i="9"/>
  <c r="B148" i="9"/>
  <c r="F148" i="9"/>
  <c r="D148" i="9"/>
  <c r="J148" i="9"/>
  <c r="H146" i="9"/>
  <c r="C146" i="9"/>
  <c r="E146" i="9"/>
  <c r="G146" i="9"/>
  <c r="K146" i="9"/>
  <c r="B146" i="9"/>
  <c r="F146" i="9"/>
  <c r="D146" i="9"/>
  <c r="J146" i="9"/>
  <c r="H144" i="9"/>
  <c r="C144" i="9"/>
  <c r="E144" i="9"/>
  <c r="G144" i="9"/>
  <c r="K144" i="9"/>
  <c r="B144" i="9"/>
  <c r="F144" i="9"/>
  <c r="D144" i="9"/>
  <c r="J144" i="9"/>
  <c r="H142" i="9"/>
  <c r="C142" i="9"/>
  <c r="E142" i="9"/>
  <c r="G142" i="9"/>
  <c r="K142" i="9"/>
  <c r="B142" i="9"/>
  <c r="F142" i="9"/>
  <c r="J142" i="9"/>
  <c r="D142" i="9"/>
  <c r="H140" i="9"/>
  <c r="C140" i="9"/>
  <c r="E140" i="9"/>
  <c r="G140" i="9"/>
  <c r="K140" i="9"/>
  <c r="B140" i="9"/>
  <c r="F140" i="9"/>
  <c r="J140" i="9"/>
  <c r="D140" i="9"/>
  <c r="H138" i="9"/>
  <c r="C138" i="9"/>
  <c r="E138" i="9"/>
  <c r="G138" i="9"/>
  <c r="K138" i="9"/>
  <c r="B138" i="9"/>
  <c r="F138" i="9"/>
  <c r="J138" i="9"/>
  <c r="D138" i="9"/>
  <c r="H136" i="9"/>
  <c r="C136" i="9"/>
  <c r="E136" i="9"/>
  <c r="G136" i="9"/>
  <c r="K136" i="9"/>
  <c r="B136" i="9"/>
  <c r="F136" i="9"/>
  <c r="J136" i="9"/>
  <c r="D136" i="9"/>
  <c r="H134" i="9"/>
  <c r="C134" i="9"/>
  <c r="E134" i="9"/>
  <c r="G134" i="9"/>
  <c r="K134" i="9"/>
  <c r="B134" i="9"/>
  <c r="F134" i="9"/>
  <c r="J134" i="9"/>
  <c r="D134" i="9"/>
  <c r="H132" i="9"/>
  <c r="C132" i="9"/>
  <c r="E132" i="9"/>
  <c r="G132" i="9"/>
  <c r="K132" i="9"/>
  <c r="B132" i="9"/>
  <c r="F132" i="9"/>
  <c r="J132" i="9"/>
  <c r="D132" i="9"/>
  <c r="H130" i="9"/>
  <c r="C130" i="9"/>
  <c r="E130" i="9"/>
  <c r="G130" i="9"/>
  <c r="K130" i="9"/>
  <c r="B130" i="9"/>
  <c r="F130" i="9"/>
  <c r="J130" i="9"/>
  <c r="D130" i="9"/>
  <c r="H128" i="9"/>
  <c r="C128" i="9"/>
  <c r="E128" i="9"/>
  <c r="G128" i="9"/>
  <c r="K128" i="9"/>
  <c r="B128" i="9"/>
  <c r="F128" i="9"/>
  <c r="J128" i="9"/>
  <c r="D128" i="9"/>
  <c r="H126" i="9"/>
  <c r="C126" i="9"/>
  <c r="E126" i="9"/>
  <c r="G126" i="9"/>
  <c r="K126" i="9"/>
  <c r="B126" i="9"/>
  <c r="F126" i="9"/>
  <c r="J126" i="9"/>
  <c r="D126" i="9"/>
  <c r="H124" i="9"/>
  <c r="C124" i="9"/>
  <c r="E124" i="9"/>
  <c r="G124" i="9"/>
  <c r="K124" i="9"/>
  <c r="B124" i="9"/>
  <c r="F124" i="9"/>
  <c r="J124" i="9"/>
  <c r="D124" i="9"/>
  <c r="H122" i="9"/>
  <c r="C122" i="9"/>
  <c r="E122" i="9"/>
  <c r="G122" i="9"/>
  <c r="K122" i="9"/>
  <c r="B122" i="9"/>
  <c r="F122" i="9"/>
  <c r="J122" i="9"/>
  <c r="D122" i="9"/>
  <c r="H120" i="9"/>
  <c r="C120" i="9"/>
  <c r="E120" i="9"/>
  <c r="G120" i="9"/>
  <c r="K120" i="9"/>
  <c r="B120" i="9"/>
  <c r="F120" i="9"/>
  <c r="J120" i="9"/>
  <c r="D120" i="9"/>
  <c r="H118" i="9"/>
  <c r="C118" i="9"/>
  <c r="E118" i="9"/>
  <c r="G118" i="9"/>
  <c r="K118" i="9"/>
  <c r="B118" i="9"/>
  <c r="F118" i="9"/>
  <c r="J118" i="9"/>
  <c r="D118" i="9"/>
  <c r="H116" i="9"/>
  <c r="C116" i="9"/>
  <c r="E116" i="9"/>
  <c r="G116" i="9"/>
  <c r="K116" i="9"/>
  <c r="B116" i="9"/>
  <c r="F116" i="9"/>
  <c r="J116" i="9"/>
  <c r="D116" i="9"/>
  <c r="H114" i="9"/>
  <c r="C114" i="9"/>
  <c r="E114" i="9"/>
  <c r="G114" i="9"/>
  <c r="K114" i="9"/>
  <c r="B114" i="9"/>
  <c r="F114" i="9"/>
  <c r="J114" i="9"/>
  <c r="D114" i="9"/>
  <c r="H112" i="9"/>
  <c r="C112" i="9"/>
  <c r="E112" i="9"/>
  <c r="G112" i="9"/>
  <c r="K112" i="9"/>
  <c r="B112" i="9"/>
  <c r="F112" i="9"/>
  <c r="J112" i="9"/>
  <c r="D112" i="9"/>
  <c r="H110" i="9"/>
  <c r="C110" i="9"/>
  <c r="E110" i="9"/>
  <c r="G110" i="9"/>
  <c r="K110" i="9"/>
  <c r="B110" i="9"/>
  <c r="F110" i="9"/>
  <c r="J110" i="9"/>
  <c r="D110" i="9"/>
  <c r="H108" i="9"/>
  <c r="C108" i="9"/>
  <c r="E108" i="9"/>
  <c r="G108" i="9"/>
  <c r="K108" i="9"/>
  <c r="B108" i="9"/>
  <c r="F108" i="9"/>
  <c r="J108" i="9"/>
  <c r="D108" i="9"/>
  <c r="H106" i="9"/>
  <c r="C106" i="9"/>
  <c r="E106" i="9"/>
  <c r="G106" i="9"/>
  <c r="K106" i="9"/>
  <c r="B106" i="9"/>
  <c r="F106" i="9"/>
  <c r="J106" i="9"/>
  <c r="D106" i="9"/>
  <c r="H104" i="9"/>
  <c r="C104" i="9"/>
  <c r="E104" i="9"/>
  <c r="G104" i="9"/>
  <c r="K104" i="9"/>
  <c r="B104" i="9"/>
  <c r="F104" i="9"/>
  <c r="J104" i="9"/>
  <c r="D104" i="9"/>
  <c r="H102" i="9"/>
  <c r="C102" i="9"/>
  <c r="E102" i="9"/>
  <c r="G102" i="9"/>
  <c r="K102" i="9"/>
  <c r="B102" i="9"/>
  <c r="F102" i="9"/>
  <c r="J102" i="9"/>
  <c r="D102" i="9"/>
  <c r="H100" i="9"/>
  <c r="C100" i="9"/>
  <c r="E100" i="9"/>
  <c r="G100" i="9"/>
  <c r="K100" i="9"/>
  <c r="B100" i="9"/>
  <c r="F100" i="9"/>
  <c r="J100" i="9"/>
  <c r="D100" i="9"/>
  <c r="H98" i="9"/>
  <c r="C98" i="9"/>
  <c r="E98" i="9"/>
  <c r="G98" i="9"/>
  <c r="K98" i="9"/>
  <c r="B98" i="9"/>
  <c r="F98" i="9"/>
  <c r="J98" i="9"/>
  <c r="D98" i="9"/>
  <c r="H96" i="9"/>
  <c r="C96" i="9"/>
  <c r="E96" i="9"/>
  <c r="G96" i="9"/>
  <c r="K96" i="9"/>
  <c r="B96" i="9"/>
  <c r="F96" i="9"/>
  <c r="J96" i="9"/>
  <c r="D96" i="9"/>
  <c r="H94" i="9"/>
  <c r="C94" i="9"/>
  <c r="E94" i="9"/>
  <c r="G94" i="9"/>
  <c r="K94" i="9"/>
  <c r="B94" i="9"/>
  <c r="F94" i="9"/>
  <c r="J94" i="9"/>
  <c r="D94" i="9"/>
  <c r="H92" i="9"/>
  <c r="C92" i="9"/>
  <c r="E92" i="9"/>
  <c r="G92" i="9"/>
  <c r="K92" i="9"/>
  <c r="B92" i="9"/>
  <c r="F92" i="9"/>
  <c r="J92" i="9"/>
  <c r="D92" i="9"/>
  <c r="H90" i="9"/>
  <c r="C90" i="9"/>
  <c r="E90" i="9"/>
  <c r="G90" i="9"/>
  <c r="K90" i="9"/>
  <c r="B90" i="9"/>
  <c r="F90" i="9"/>
  <c r="J90" i="9"/>
  <c r="D90" i="9"/>
  <c r="H88" i="9"/>
  <c r="C88" i="9"/>
  <c r="E88" i="9"/>
  <c r="G88" i="9"/>
  <c r="K88" i="9"/>
  <c r="B88" i="9"/>
  <c r="F88" i="9"/>
  <c r="J88" i="9"/>
  <c r="D88" i="9"/>
  <c r="H86" i="9"/>
  <c r="C86" i="9"/>
  <c r="E86" i="9"/>
  <c r="G86" i="9"/>
  <c r="K86" i="9"/>
  <c r="B86" i="9"/>
  <c r="F86" i="9"/>
  <c r="J86" i="9"/>
  <c r="D86" i="9"/>
  <c r="H84" i="9"/>
  <c r="C84" i="9"/>
  <c r="E84" i="9"/>
  <c r="G84" i="9"/>
  <c r="K84" i="9"/>
  <c r="B84" i="9"/>
  <c r="F84" i="9"/>
  <c r="J84" i="9"/>
  <c r="D84" i="9"/>
  <c r="H82" i="9"/>
  <c r="C82" i="9"/>
  <c r="E82" i="9"/>
  <c r="G82" i="9"/>
  <c r="K82" i="9"/>
  <c r="B82" i="9"/>
  <c r="F82" i="9"/>
  <c r="J82" i="9"/>
  <c r="D82" i="9"/>
  <c r="H80" i="9"/>
  <c r="C80" i="9"/>
  <c r="E80" i="9"/>
  <c r="G80" i="9"/>
  <c r="K80" i="9"/>
  <c r="B80" i="9"/>
  <c r="F80" i="9"/>
  <c r="J80" i="9"/>
  <c r="D80" i="9"/>
  <c r="H78" i="9"/>
  <c r="C78" i="9"/>
  <c r="E78" i="9"/>
  <c r="G78" i="9"/>
  <c r="K78" i="9"/>
  <c r="B78" i="9"/>
  <c r="F78" i="9"/>
  <c r="J78" i="9"/>
  <c r="D78" i="9"/>
  <c r="H76" i="9"/>
  <c r="C76" i="9"/>
  <c r="E76" i="9"/>
  <c r="G76" i="9"/>
  <c r="K76" i="9"/>
  <c r="B76" i="9"/>
  <c r="F76" i="9"/>
  <c r="J76" i="9"/>
  <c r="D76" i="9"/>
  <c r="H74" i="9"/>
  <c r="C74" i="9"/>
  <c r="E74" i="9"/>
  <c r="G74" i="9"/>
  <c r="K74" i="9"/>
  <c r="B74" i="9"/>
  <c r="F74" i="9"/>
  <c r="J74" i="9"/>
  <c r="D74" i="9"/>
  <c r="H72" i="9"/>
  <c r="C72" i="9"/>
  <c r="E72" i="9"/>
  <c r="G72" i="9"/>
  <c r="K72" i="9"/>
  <c r="B72" i="9"/>
  <c r="F72" i="9"/>
  <c r="J72" i="9"/>
  <c r="D72" i="9"/>
  <c r="H70" i="9"/>
  <c r="C70" i="9"/>
  <c r="E70" i="9"/>
  <c r="G70" i="9"/>
  <c r="K70" i="9"/>
  <c r="B70" i="9"/>
  <c r="F70" i="9"/>
  <c r="J70" i="9"/>
  <c r="D70" i="9"/>
  <c r="H68" i="9"/>
  <c r="C68" i="9"/>
  <c r="E68" i="9"/>
  <c r="G68" i="9"/>
  <c r="K68" i="9"/>
  <c r="B68" i="9"/>
  <c r="F68" i="9"/>
  <c r="D68" i="9"/>
  <c r="J68" i="9"/>
  <c r="H66" i="9"/>
  <c r="C66" i="9"/>
  <c r="E66" i="9"/>
  <c r="G66" i="9"/>
  <c r="K66" i="9"/>
  <c r="B66" i="9"/>
  <c r="F66" i="9"/>
  <c r="D66" i="9"/>
  <c r="J66" i="9"/>
  <c r="H64" i="9"/>
  <c r="C64" i="9"/>
  <c r="E64" i="9"/>
  <c r="G64" i="9"/>
  <c r="K64" i="9"/>
  <c r="B64" i="9"/>
  <c r="F64" i="9"/>
  <c r="D64" i="9"/>
  <c r="J64" i="9"/>
  <c r="E62" i="9"/>
  <c r="B62" i="9"/>
  <c r="C62" i="9" s="1"/>
  <c r="D62" i="9" s="1"/>
  <c r="J62" i="9" s="1"/>
  <c r="F62" i="9"/>
  <c r="K62" i="9" s="1"/>
  <c r="E60" i="9"/>
  <c r="B60" i="9"/>
  <c r="C60" i="9" s="1"/>
  <c r="D60" i="9" s="1"/>
  <c r="F60" i="9"/>
  <c r="K60" i="9" s="1"/>
  <c r="E58" i="9"/>
  <c r="F58" i="9" s="1"/>
  <c r="B58" i="9"/>
  <c r="C58" i="9" s="1"/>
  <c r="D58" i="9" s="1"/>
  <c r="E56" i="9"/>
  <c r="F56" i="9" s="1"/>
  <c r="K56" i="9" s="1"/>
  <c r="B56" i="9"/>
  <c r="C56" i="9" s="1"/>
  <c r="D56" i="9" s="1"/>
  <c r="E54" i="9"/>
  <c r="F54" i="9" s="1"/>
  <c r="B54" i="9"/>
  <c r="C54" i="9" s="1"/>
  <c r="D54" i="9" s="1"/>
  <c r="E52" i="9"/>
  <c r="B52" i="9"/>
  <c r="C52" i="9" s="1"/>
  <c r="D52" i="9" s="1"/>
  <c r="F52" i="9"/>
  <c r="K52" i="9" s="1"/>
  <c r="E50" i="9"/>
  <c r="F50" i="9" s="1"/>
  <c r="B50" i="9"/>
  <c r="C50" i="9" s="1"/>
  <c r="D50" i="9" s="1"/>
  <c r="E48" i="9"/>
  <c r="F48" i="9" s="1"/>
  <c r="K48" i="9" s="1"/>
  <c r="B48" i="9"/>
  <c r="C48" i="9" s="1"/>
  <c r="D48" i="9" s="1"/>
  <c r="E46" i="9"/>
  <c r="F46" i="9" s="1"/>
  <c r="B46" i="9"/>
  <c r="C46" i="9" s="1"/>
  <c r="D46" i="9" s="1"/>
  <c r="B44" i="9"/>
  <c r="C44" i="9" s="1"/>
  <c r="D44" i="9" s="1"/>
  <c r="E44" i="9"/>
  <c r="F44" i="9" s="1"/>
  <c r="K44" i="9" s="1"/>
  <c r="B42" i="9"/>
  <c r="G42" i="9" s="1"/>
  <c r="E42" i="9"/>
  <c r="F42" i="9" s="1"/>
  <c r="K42" i="9" s="1"/>
  <c r="B40" i="9"/>
  <c r="G40" i="9" s="1"/>
  <c r="C40" i="9"/>
  <c r="D40" i="9" s="1"/>
  <c r="E40" i="9"/>
  <c r="F40" i="9" s="1"/>
  <c r="K40" i="9" s="1"/>
  <c r="B38" i="9"/>
  <c r="G38" i="9" s="1"/>
  <c r="E38" i="9"/>
  <c r="F38" i="9" s="1"/>
  <c r="K38" i="9" s="1"/>
  <c r="B36" i="9"/>
  <c r="C36" i="9" s="1"/>
  <c r="D36" i="9" s="1"/>
  <c r="J36" i="9" s="1"/>
  <c r="E36" i="9"/>
  <c r="F36" i="9" s="1"/>
  <c r="K36" i="9" s="1"/>
  <c r="B34" i="9"/>
  <c r="C34" i="9" s="1"/>
  <c r="E34" i="9"/>
  <c r="F34" i="9" s="1"/>
  <c r="K34" i="9" s="1"/>
  <c r="B32" i="9"/>
  <c r="C32" i="9" s="1"/>
  <c r="E32" i="9"/>
  <c r="F32" i="9" s="1"/>
  <c r="K32" i="9" s="1"/>
  <c r="B30" i="9"/>
  <c r="C30" i="9" s="1"/>
  <c r="E30" i="9"/>
  <c r="F30" i="9" s="1"/>
  <c r="K30" i="9" s="1"/>
  <c r="B28" i="9"/>
  <c r="C28" i="9" s="1"/>
  <c r="E28" i="9"/>
  <c r="F28" i="9" s="1"/>
  <c r="K28" i="9" s="1"/>
  <c r="B26" i="9"/>
  <c r="C26" i="9" s="1"/>
  <c r="E26" i="9"/>
  <c r="F26" i="9" s="1"/>
  <c r="K26" i="9" s="1"/>
  <c r="B24" i="9"/>
  <c r="G24" i="9" s="1"/>
  <c r="E24" i="9"/>
  <c r="F24" i="9" s="1"/>
  <c r="K24" i="9" s="1"/>
  <c r="B22" i="9"/>
  <c r="G22" i="9" s="1"/>
  <c r="E22" i="9"/>
  <c r="F22" i="9" s="1"/>
  <c r="K22" i="9" s="1"/>
  <c r="B20" i="9"/>
  <c r="C20" i="9" s="1"/>
  <c r="E20" i="9"/>
  <c r="F20" i="9" s="1"/>
  <c r="K20" i="9" s="1"/>
  <c r="B18" i="9"/>
  <c r="C18" i="9" s="1"/>
  <c r="E18" i="9"/>
  <c r="F18" i="9" s="1"/>
  <c r="K18" i="9" s="1"/>
  <c r="B16" i="9"/>
  <c r="C16" i="9" s="1"/>
  <c r="E16" i="9"/>
  <c r="F16" i="9" s="1"/>
  <c r="K16" i="9" s="1"/>
  <c r="E14" i="9"/>
  <c r="B14" i="9"/>
  <c r="C14" i="9" s="1"/>
  <c r="D14" i="9" s="1"/>
  <c r="F14" i="9"/>
  <c r="K14" i="9" s="1"/>
  <c r="E12" i="9"/>
  <c r="B12" i="9"/>
  <c r="C12" i="9" s="1"/>
  <c r="D12" i="9" s="1"/>
  <c r="F12" i="9"/>
  <c r="K12" i="9" s="1"/>
  <c r="E10" i="9"/>
  <c r="B10" i="9"/>
  <c r="C10" i="9" s="1"/>
  <c r="D10" i="9" s="1"/>
  <c r="F10" i="9"/>
  <c r="K10" i="9" s="1"/>
  <c r="E8" i="9"/>
  <c r="B8" i="9"/>
  <c r="C8" i="9" s="1"/>
  <c r="D8" i="9" s="1"/>
  <c r="F8" i="9"/>
  <c r="K8" i="9" s="1"/>
  <c r="E6" i="9"/>
  <c r="F6" i="9" s="1"/>
  <c r="K6" i="9" s="1"/>
  <c r="B6" i="9"/>
  <c r="C6" i="9" s="1"/>
  <c r="D6" i="9" s="1"/>
  <c r="J1003" i="9"/>
  <c r="F1003" i="9"/>
  <c r="D1003" i="9"/>
  <c r="B1003" i="9"/>
  <c r="J1002" i="9"/>
  <c r="F1002" i="9"/>
  <c r="D1002" i="9"/>
  <c r="B1002" i="9"/>
  <c r="J1001" i="9"/>
  <c r="F1001" i="9"/>
  <c r="D1001" i="9"/>
  <c r="B1001" i="9"/>
  <c r="J1000" i="9"/>
  <c r="F1000" i="9"/>
  <c r="D1000" i="9"/>
  <c r="B1000" i="9"/>
  <c r="J999" i="9"/>
  <c r="F999" i="9"/>
  <c r="D999" i="9"/>
  <c r="B999" i="9"/>
  <c r="J998" i="9"/>
  <c r="F998" i="9"/>
  <c r="D998" i="9"/>
  <c r="B998" i="9"/>
  <c r="J997" i="9"/>
  <c r="F997" i="9"/>
  <c r="D997" i="9"/>
  <c r="B997" i="9"/>
  <c r="J996" i="9"/>
  <c r="F996" i="9"/>
  <c r="D996" i="9"/>
  <c r="B996" i="9"/>
  <c r="J995" i="9"/>
  <c r="F995" i="9"/>
  <c r="D995" i="9"/>
  <c r="B995" i="9"/>
  <c r="J994" i="9"/>
  <c r="F994" i="9"/>
  <c r="D994" i="9"/>
  <c r="B994" i="9"/>
  <c r="J993" i="9"/>
  <c r="F993" i="9"/>
  <c r="D993" i="9"/>
  <c r="B993" i="9"/>
  <c r="J992" i="9"/>
  <c r="F992" i="9"/>
  <c r="D992" i="9"/>
  <c r="B992" i="9"/>
  <c r="J991" i="9"/>
  <c r="F991" i="9"/>
  <c r="D991" i="9"/>
  <c r="B991" i="9"/>
  <c r="J990" i="9"/>
  <c r="F990" i="9"/>
  <c r="D990" i="9"/>
  <c r="B990" i="9"/>
  <c r="J989" i="9"/>
  <c r="F989" i="9"/>
  <c r="D989" i="9"/>
  <c r="B989" i="9"/>
  <c r="J988" i="9"/>
  <c r="F988" i="9"/>
  <c r="D988" i="9"/>
  <c r="B988" i="9"/>
  <c r="J987" i="9"/>
  <c r="F987" i="9"/>
  <c r="D987" i="9"/>
  <c r="B987" i="9"/>
  <c r="J986" i="9"/>
  <c r="F986" i="9"/>
  <c r="D986" i="9"/>
  <c r="B986" i="9"/>
  <c r="J985" i="9"/>
  <c r="F985" i="9"/>
  <c r="D985" i="9"/>
  <c r="B985" i="9"/>
  <c r="J984" i="9"/>
  <c r="F984" i="9"/>
  <c r="D984" i="9"/>
  <c r="B984" i="9"/>
  <c r="J983" i="9"/>
  <c r="F983" i="9"/>
  <c r="D983" i="9"/>
  <c r="B983" i="9"/>
  <c r="J982" i="9"/>
  <c r="F982" i="9"/>
  <c r="D982" i="9"/>
  <c r="B982" i="9"/>
  <c r="J981" i="9"/>
  <c r="F981" i="9"/>
  <c r="D981" i="9"/>
  <c r="B981" i="9"/>
  <c r="J980" i="9"/>
  <c r="F980" i="9"/>
  <c r="D980" i="9"/>
  <c r="B980" i="9"/>
  <c r="J979" i="9"/>
  <c r="F979" i="9"/>
  <c r="D979" i="9"/>
  <c r="B979" i="9"/>
  <c r="J978" i="9"/>
  <c r="F978" i="9"/>
  <c r="D978" i="9"/>
  <c r="B978" i="9"/>
  <c r="J977" i="9"/>
  <c r="F977" i="9"/>
  <c r="D977" i="9"/>
  <c r="B977" i="9"/>
  <c r="J976" i="9"/>
  <c r="F976" i="9"/>
  <c r="D976" i="9"/>
  <c r="B976" i="9"/>
  <c r="J975" i="9"/>
  <c r="F975" i="9"/>
  <c r="D975" i="9"/>
  <c r="B975" i="9"/>
  <c r="J974" i="9"/>
  <c r="F974" i="9"/>
  <c r="D974" i="9"/>
  <c r="B974" i="9"/>
  <c r="J973" i="9"/>
  <c r="F973" i="9"/>
  <c r="D973" i="9"/>
  <c r="B973" i="9"/>
  <c r="J972" i="9"/>
  <c r="F972" i="9"/>
  <c r="D972" i="9"/>
  <c r="B972" i="9"/>
  <c r="J971" i="9"/>
  <c r="F971" i="9"/>
  <c r="D971" i="9"/>
  <c r="B971" i="9"/>
  <c r="J970" i="9"/>
  <c r="F970" i="9"/>
  <c r="D970" i="9"/>
  <c r="B970" i="9"/>
  <c r="J969" i="9"/>
  <c r="F969" i="9"/>
  <c r="D969" i="9"/>
  <c r="B969" i="9"/>
  <c r="J968" i="9"/>
  <c r="F968" i="9"/>
  <c r="D968" i="9"/>
  <c r="B968" i="9"/>
  <c r="J967" i="9"/>
  <c r="F967" i="9"/>
  <c r="D967" i="9"/>
  <c r="B967" i="9"/>
  <c r="J966" i="9"/>
  <c r="F966" i="9"/>
  <c r="D966" i="9"/>
  <c r="B966" i="9"/>
  <c r="J965" i="9"/>
  <c r="F965" i="9"/>
  <c r="D965" i="9"/>
  <c r="B965" i="9"/>
  <c r="J964" i="9"/>
  <c r="F964" i="9"/>
  <c r="D964" i="9"/>
  <c r="B964" i="9"/>
  <c r="J963" i="9"/>
  <c r="F963" i="9"/>
  <c r="D963" i="9"/>
  <c r="B963" i="9"/>
  <c r="J962" i="9"/>
  <c r="F962" i="9"/>
  <c r="D962" i="9"/>
  <c r="B962" i="9"/>
  <c r="J961" i="9"/>
  <c r="F961" i="9"/>
  <c r="D961" i="9"/>
  <c r="B961" i="9"/>
  <c r="J960" i="9"/>
  <c r="F960" i="9"/>
  <c r="D960" i="9"/>
  <c r="B960" i="9"/>
  <c r="J959" i="9"/>
  <c r="F959" i="9"/>
  <c r="D959" i="9"/>
  <c r="B959" i="9"/>
  <c r="J958" i="9"/>
  <c r="F958" i="9"/>
  <c r="D958" i="9"/>
  <c r="B958" i="9"/>
  <c r="J957" i="9"/>
  <c r="F957" i="9"/>
  <c r="D957" i="9"/>
  <c r="B957" i="9"/>
  <c r="J956" i="9"/>
  <c r="F956" i="9"/>
  <c r="D956" i="9"/>
  <c r="B956" i="9"/>
  <c r="J955" i="9"/>
  <c r="F955" i="9"/>
  <c r="D955" i="9"/>
  <c r="B955" i="9"/>
  <c r="J954" i="9"/>
  <c r="F954" i="9"/>
  <c r="D954" i="9"/>
  <c r="B954" i="9"/>
  <c r="J953" i="9"/>
  <c r="F953" i="9"/>
  <c r="D953" i="9"/>
  <c r="B953" i="9"/>
  <c r="J952" i="9"/>
  <c r="F952" i="9"/>
  <c r="D952" i="9"/>
  <c r="B952" i="9"/>
  <c r="J951" i="9"/>
  <c r="F951" i="9"/>
  <c r="D951" i="9"/>
  <c r="B951" i="9"/>
  <c r="J950" i="9"/>
  <c r="F950" i="9"/>
  <c r="D950" i="9"/>
  <c r="B950" i="9"/>
  <c r="J949" i="9"/>
  <c r="F949" i="9"/>
  <c r="D949" i="9"/>
  <c r="B949" i="9"/>
  <c r="J948" i="9"/>
  <c r="F948" i="9"/>
  <c r="D948" i="9"/>
  <c r="B948" i="9"/>
  <c r="J947" i="9"/>
  <c r="F947" i="9"/>
  <c r="D947" i="9"/>
  <c r="B947" i="9"/>
  <c r="J946" i="9"/>
  <c r="F946" i="9"/>
  <c r="D946" i="9"/>
  <c r="B946" i="9"/>
  <c r="J945" i="9"/>
  <c r="F945" i="9"/>
  <c r="D945" i="9"/>
  <c r="B945" i="9"/>
  <c r="J944" i="9"/>
  <c r="F944" i="9"/>
  <c r="D944" i="9"/>
  <c r="B944" i="9"/>
  <c r="J943" i="9"/>
  <c r="F943" i="9"/>
  <c r="D943" i="9"/>
  <c r="B943" i="9"/>
  <c r="J942" i="9"/>
  <c r="F942" i="9"/>
  <c r="D942" i="9"/>
  <c r="B942" i="9"/>
  <c r="J941" i="9"/>
  <c r="F941" i="9"/>
  <c r="D941" i="9"/>
  <c r="B941" i="9"/>
  <c r="J940" i="9"/>
  <c r="F940" i="9"/>
  <c r="D940" i="9"/>
  <c r="B940" i="9"/>
  <c r="J939" i="9"/>
  <c r="F939" i="9"/>
  <c r="D939" i="9"/>
  <c r="B939" i="9"/>
  <c r="J938" i="9"/>
  <c r="F938" i="9"/>
  <c r="D938" i="9"/>
  <c r="B938" i="9"/>
  <c r="J937" i="9"/>
  <c r="F937" i="9"/>
  <c r="D937" i="9"/>
  <c r="B937" i="9"/>
  <c r="J936" i="9"/>
  <c r="F936" i="9"/>
  <c r="D936" i="9"/>
  <c r="B936" i="9"/>
  <c r="J935" i="9"/>
  <c r="F935" i="9"/>
  <c r="D935" i="9"/>
  <c r="B935" i="9"/>
  <c r="J934" i="9"/>
  <c r="F934" i="9"/>
  <c r="D934" i="9"/>
  <c r="B934" i="9"/>
  <c r="J933" i="9"/>
  <c r="F933" i="9"/>
  <c r="D933" i="9"/>
  <c r="B933" i="9"/>
  <c r="J932" i="9"/>
  <c r="F932" i="9"/>
  <c r="D932" i="9"/>
  <c r="B932" i="9"/>
  <c r="J931" i="9"/>
  <c r="F931" i="9"/>
  <c r="D931" i="9"/>
  <c r="B931" i="9"/>
  <c r="J930" i="9"/>
  <c r="F930" i="9"/>
  <c r="D930" i="9"/>
  <c r="B930" i="9"/>
  <c r="J929" i="9"/>
  <c r="F929" i="9"/>
  <c r="D929" i="9"/>
  <c r="B929" i="9"/>
  <c r="J928" i="9"/>
  <c r="F928" i="9"/>
  <c r="D928" i="9"/>
  <c r="B928" i="9"/>
  <c r="J927" i="9"/>
  <c r="F927" i="9"/>
  <c r="D927" i="9"/>
  <c r="B927" i="9"/>
  <c r="J926" i="9"/>
  <c r="F926" i="9"/>
  <c r="D926" i="9"/>
  <c r="B926" i="9"/>
  <c r="J925" i="9"/>
  <c r="F925" i="9"/>
  <c r="D925" i="9"/>
  <c r="B925" i="9"/>
  <c r="J924" i="9"/>
  <c r="F924" i="9"/>
  <c r="D924" i="9"/>
  <c r="B924" i="9"/>
  <c r="J923" i="9"/>
  <c r="F923" i="9"/>
  <c r="D923" i="9"/>
  <c r="B923" i="9"/>
  <c r="J922" i="9"/>
  <c r="F922" i="9"/>
  <c r="D922" i="9"/>
  <c r="B922" i="9"/>
  <c r="J921" i="9"/>
  <c r="F921" i="9"/>
  <c r="D921" i="9"/>
  <c r="B921" i="9"/>
  <c r="J920" i="9"/>
  <c r="F920" i="9"/>
  <c r="D920" i="9"/>
  <c r="B920" i="9"/>
  <c r="J919" i="9"/>
  <c r="F919" i="9"/>
  <c r="D919" i="9"/>
  <c r="B919" i="9"/>
  <c r="J918" i="9"/>
  <c r="F918" i="9"/>
  <c r="D918" i="9"/>
  <c r="B918" i="9"/>
  <c r="J917" i="9"/>
  <c r="F917" i="9"/>
  <c r="D917" i="9"/>
  <c r="B917" i="9"/>
  <c r="J916" i="9"/>
  <c r="F916" i="9"/>
  <c r="D916" i="9"/>
  <c r="B916" i="9"/>
  <c r="J915" i="9"/>
  <c r="F915" i="9"/>
  <c r="D915" i="9"/>
  <c r="B915" i="9"/>
  <c r="J914" i="9"/>
  <c r="F914" i="9"/>
  <c r="D914" i="9"/>
  <c r="B914" i="9"/>
  <c r="J913" i="9"/>
  <c r="F913" i="9"/>
  <c r="D913" i="9"/>
  <c r="B913" i="9"/>
  <c r="J912" i="9"/>
  <c r="F912" i="9"/>
  <c r="D912" i="9"/>
  <c r="B912" i="9"/>
  <c r="J911" i="9"/>
  <c r="F911" i="9"/>
  <c r="D911" i="9"/>
  <c r="B911" i="9"/>
  <c r="J910" i="9"/>
  <c r="F910" i="9"/>
  <c r="D910" i="9"/>
  <c r="B910" i="9"/>
  <c r="J909" i="9"/>
  <c r="F909" i="9"/>
  <c r="D909" i="9"/>
  <c r="B909" i="9"/>
  <c r="J908" i="9"/>
  <c r="F908" i="9"/>
  <c r="D908" i="9"/>
  <c r="B908" i="9"/>
  <c r="J907" i="9"/>
  <c r="F907" i="9"/>
  <c r="D907" i="9"/>
  <c r="B907" i="9"/>
  <c r="J906" i="9"/>
  <c r="F906" i="9"/>
  <c r="D906" i="9"/>
  <c r="B906" i="9"/>
  <c r="J905" i="9"/>
  <c r="F905" i="9"/>
  <c r="D905" i="9"/>
  <c r="B905" i="9"/>
  <c r="J904" i="9"/>
  <c r="F904" i="9"/>
  <c r="D904" i="9"/>
  <c r="B904" i="9"/>
  <c r="J903" i="9"/>
  <c r="F903" i="9"/>
  <c r="D903" i="9"/>
  <c r="B903" i="9"/>
  <c r="J902" i="9"/>
  <c r="F902" i="9"/>
  <c r="D902" i="9"/>
  <c r="B902" i="9"/>
  <c r="J901" i="9"/>
  <c r="F901" i="9"/>
  <c r="D901" i="9"/>
  <c r="B901" i="9"/>
  <c r="J900" i="9"/>
  <c r="F900" i="9"/>
  <c r="D900" i="9"/>
  <c r="B900" i="9"/>
  <c r="J899" i="9"/>
  <c r="F899" i="9"/>
  <c r="D899" i="9"/>
  <c r="B899" i="9"/>
  <c r="J898" i="9"/>
  <c r="F898" i="9"/>
  <c r="D898" i="9"/>
  <c r="B898" i="9"/>
  <c r="J897" i="9"/>
  <c r="F897" i="9"/>
  <c r="D897" i="9"/>
  <c r="B897" i="9"/>
  <c r="J896" i="9"/>
  <c r="F896" i="9"/>
  <c r="D896" i="9"/>
  <c r="B896" i="9"/>
  <c r="G895" i="9"/>
  <c r="C895" i="9"/>
  <c r="G894" i="9"/>
  <c r="C894" i="9"/>
  <c r="G893" i="9"/>
  <c r="C893" i="9"/>
  <c r="G892" i="9"/>
  <c r="C892" i="9"/>
  <c r="G891" i="9"/>
  <c r="C891" i="9"/>
  <c r="G890" i="9"/>
  <c r="C890" i="9"/>
  <c r="G889" i="9"/>
  <c r="C889" i="9"/>
  <c r="G888" i="9"/>
  <c r="C888" i="9"/>
  <c r="G887" i="9"/>
  <c r="C887" i="9"/>
  <c r="G886" i="9"/>
  <c r="C886" i="9"/>
  <c r="G885" i="9"/>
  <c r="C885" i="9"/>
  <c r="G884" i="9"/>
  <c r="C884" i="9"/>
  <c r="G883" i="9"/>
  <c r="C883" i="9"/>
  <c r="G882" i="9"/>
  <c r="C882" i="9"/>
  <c r="G881" i="9"/>
  <c r="C881" i="9"/>
  <c r="G880" i="9"/>
  <c r="C880" i="9"/>
  <c r="G879" i="9"/>
  <c r="C879" i="9"/>
  <c r="G878" i="9"/>
  <c r="C878" i="9"/>
  <c r="G877" i="9"/>
  <c r="C877" i="9"/>
  <c r="G876" i="9"/>
  <c r="C876" i="9"/>
  <c r="G875" i="9"/>
  <c r="C875" i="9"/>
  <c r="G874" i="9"/>
  <c r="C874" i="9"/>
  <c r="G873" i="9"/>
  <c r="C873" i="9"/>
  <c r="G872" i="9"/>
  <c r="C872" i="9"/>
  <c r="G871" i="9"/>
  <c r="C871" i="9"/>
  <c r="G870" i="9"/>
  <c r="C870" i="9"/>
  <c r="G869" i="9"/>
  <c r="C869" i="9"/>
  <c r="G868" i="9"/>
  <c r="C868" i="9"/>
  <c r="G867" i="9"/>
  <c r="C867" i="9"/>
  <c r="G866" i="9"/>
  <c r="C866" i="9"/>
  <c r="G865" i="9"/>
  <c r="C865" i="9"/>
  <c r="G864" i="9"/>
  <c r="C864" i="9"/>
  <c r="G863" i="9"/>
  <c r="C863" i="9"/>
  <c r="G862" i="9"/>
  <c r="C862" i="9"/>
  <c r="G861" i="9"/>
  <c r="C861" i="9"/>
  <c r="G860" i="9"/>
  <c r="C860" i="9"/>
  <c r="G859" i="9"/>
  <c r="C859" i="9"/>
  <c r="G858" i="9"/>
  <c r="C858" i="9"/>
  <c r="G857" i="9"/>
  <c r="C857" i="9"/>
  <c r="G856" i="9"/>
  <c r="C856" i="9"/>
  <c r="G855" i="9"/>
  <c r="C855" i="9"/>
  <c r="G854" i="9"/>
  <c r="C854" i="9"/>
  <c r="G853" i="9"/>
  <c r="C853" i="9"/>
  <c r="G852" i="9"/>
  <c r="C852" i="9"/>
  <c r="G851" i="9"/>
  <c r="C851" i="9"/>
  <c r="G850" i="9"/>
  <c r="C850" i="9"/>
  <c r="G849" i="9"/>
  <c r="C849" i="9"/>
  <c r="G848" i="9"/>
  <c r="C848" i="9"/>
  <c r="G847" i="9"/>
  <c r="C847" i="9"/>
  <c r="G846" i="9"/>
  <c r="C846" i="9"/>
  <c r="G845" i="9"/>
  <c r="C845" i="9"/>
  <c r="G844" i="9"/>
  <c r="C844" i="9"/>
  <c r="G843" i="9"/>
  <c r="C843" i="9"/>
  <c r="G842" i="9"/>
  <c r="C842" i="9"/>
  <c r="G841" i="9"/>
  <c r="C841" i="9"/>
  <c r="G840" i="9"/>
  <c r="C840" i="9"/>
  <c r="G839" i="9"/>
  <c r="C839" i="9"/>
  <c r="G838" i="9"/>
  <c r="C838" i="9"/>
  <c r="G837" i="9"/>
  <c r="C837" i="9"/>
  <c r="G836" i="9"/>
  <c r="C836" i="9"/>
  <c r="G835" i="9"/>
  <c r="C835" i="9"/>
  <c r="G834" i="9"/>
  <c r="C834" i="9"/>
  <c r="G833" i="9"/>
  <c r="C833" i="9"/>
  <c r="G832" i="9"/>
  <c r="C832" i="9"/>
  <c r="G831" i="9"/>
  <c r="C831" i="9"/>
  <c r="G830" i="9"/>
  <c r="C830" i="9"/>
  <c r="G829" i="9"/>
  <c r="C829" i="9"/>
  <c r="G828" i="9"/>
  <c r="C828" i="9"/>
  <c r="G827" i="9"/>
  <c r="C827" i="9"/>
  <c r="G826" i="9"/>
  <c r="C826" i="9"/>
  <c r="G825" i="9"/>
  <c r="C825" i="9"/>
  <c r="G824" i="9"/>
  <c r="C824" i="9"/>
  <c r="G823" i="9"/>
  <c r="C823" i="9"/>
  <c r="G822" i="9"/>
  <c r="C822" i="9"/>
  <c r="G821" i="9"/>
  <c r="C821" i="9"/>
  <c r="G820" i="9"/>
  <c r="C820" i="9"/>
  <c r="G819" i="9"/>
  <c r="C819" i="9"/>
  <c r="G818" i="9"/>
  <c r="C818" i="9"/>
  <c r="G817" i="9"/>
  <c r="C817" i="9"/>
  <c r="G816" i="9"/>
  <c r="C816" i="9"/>
  <c r="G815" i="9"/>
  <c r="C815" i="9"/>
  <c r="G814" i="9"/>
  <c r="C814" i="9"/>
  <c r="G813" i="9"/>
  <c r="C813" i="9"/>
  <c r="G812" i="9"/>
  <c r="C812" i="9"/>
  <c r="G811" i="9"/>
  <c r="C811" i="9"/>
  <c r="G810" i="9"/>
  <c r="C810" i="9"/>
  <c r="G809" i="9"/>
  <c r="C809" i="9"/>
  <c r="G808" i="9"/>
  <c r="C808" i="9"/>
  <c r="G807" i="9"/>
  <c r="C807" i="9"/>
  <c r="G806" i="9"/>
  <c r="C806" i="9"/>
  <c r="G805" i="9"/>
  <c r="C805" i="9"/>
  <c r="G804" i="9"/>
  <c r="C804" i="9"/>
  <c r="G803" i="9"/>
  <c r="C803" i="9"/>
  <c r="G802" i="9"/>
  <c r="C802" i="9"/>
  <c r="G801" i="9"/>
  <c r="C801" i="9"/>
  <c r="G800" i="9"/>
  <c r="C800" i="9"/>
  <c r="G799" i="9"/>
  <c r="C799" i="9"/>
  <c r="G798" i="9"/>
  <c r="C798" i="9"/>
  <c r="G797" i="9"/>
  <c r="C797" i="9"/>
  <c r="G796" i="9"/>
  <c r="C796" i="9"/>
  <c r="G795" i="9"/>
  <c r="C795" i="9"/>
  <c r="G794" i="9"/>
  <c r="C794" i="9"/>
  <c r="G793" i="9"/>
  <c r="C793" i="9"/>
  <c r="G792" i="9"/>
  <c r="C792" i="9"/>
  <c r="G791" i="9"/>
  <c r="C791" i="9"/>
  <c r="G790" i="9"/>
  <c r="C790" i="9"/>
  <c r="G789" i="9"/>
  <c r="C789" i="9"/>
  <c r="G788" i="9"/>
  <c r="C788" i="9"/>
  <c r="G787" i="9"/>
  <c r="C787" i="9"/>
  <c r="G786" i="9"/>
  <c r="C786" i="9"/>
  <c r="G785" i="9"/>
  <c r="C785" i="9"/>
  <c r="G784" i="9"/>
  <c r="C784" i="9"/>
  <c r="G783" i="9"/>
  <c r="C783" i="9"/>
  <c r="G782" i="9"/>
  <c r="C782" i="9"/>
  <c r="G781" i="9"/>
  <c r="C781" i="9"/>
  <c r="G780" i="9"/>
  <c r="C780" i="9"/>
  <c r="G779" i="9"/>
  <c r="C779" i="9"/>
  <c r="G778" i="9"/>
  <c r="C778" i="9"/>
  <c r="G777" i="9"/>
  <c r="C777" i="9"/>
  <c r="G776" i="9"/>
  <c r="C776" i="9"/>
  <c r="G775" i="9"/>
  <c r="C775" i="9"/>
  <c r="G774" i="9"/>
  <c r="C774" i="9"/>
  <c r="G773" i="9"/>
  <c r="C773" i="9"/>
  <c r="G772" i="9"/>
  <c r="C772" i="9"/>
  <c r="G771" i="9"/>
  <c r="C771" i="9"/>
  <c r="G770" i="9"/>
  <c r="C770" i="9"/>
  <c r="G769" i="9"/>
  <c r="C769" i="9"/>
  <c r="G768" i="9"/>
  <c r="C768" i="9"/>
  <c r="G767" i="9"/>
  <c r="C767" i="9"/>
  <c r="G766" i="9"/>
  <c r="C766" i="9"/>
  <c r="G765" i="9"/>
  <c r="C765" i="9"/>
  <c r="G764" i="9"/>
  <c r="C764" i="9"/>
  <c r="G763" i="9"/>
  <c r="C763" i="9"/>
  <c r="G762" i="9"/>
  <c r="C762" i="9"/>
  <c r="G761" i="9"/>
  <c r="C761" i="9"/>
  <c r="G760" i="9"/>
  <c r="C760" i="9"/>
  <c r="G759" i="9"/>
  <c r="C759" i="9"/>
  <c r="G758" i="9"/>
  <c r="C758" i="9"/>
  <c r="G757" i="9"/>
  <c r="C757" i="9"/>
  <c r="G756" i="9"/>
  <c r="C756" i="9"/>
  <c r="G755" i="9"/>
  <c r="C755" i="9"/>
  <c r="G754" i="9"/>
  <c r="C754" i="9"/>
  <c r="G753" i="9"/>
  <c r="C753" i="9"/>
  <c r="G752" i="9"/>
  <c r="C752" i="9"/>
  <c r="G751" i="9"/>
  <c r="C751" i="9"/>
  <c r="G750" i="9"/>
  <c r="C750" i="9"/>
  <c r="G749" i="9"/>
  <c r="C749" i="9"/>
  <c r="G748" i="9"/>
  <c r="C748" i="9"/>
  <c r="G747" i="9"/>
  <c r="C747" i="9"/>
  <c r="G746" i="9"/>
  <c r="C746" i="9"/>
  <c r="G745" i="9"/>
  <c r="C745" i="9"/>
  <c r="G744" i="9"/>
  <c r="C744" i="9"/>
  <c r="G743" i="9"/>
  <c r="C743" i="9"/>
  <c r="G742" i="9"/>
  <c r="C742" i="9"/>
  <c r="G741" i="9"/>
  <c r="C741" i="9"/>
  <c r="G740" i="9"/>
  <c r="C740" i="9"/>
  <c r="G739" i="9"/>
  <c r="C739" i="9"/>
  <c r="G738" i="9"/>
  <c r="C738" i="9"/>
  <c r="G737" i="9"/>
  <c r="C737" i="9"/>
  <c r="G736" i="9"/>
  <c r="C736" i="9"/>
  <c r="G735" i="9"/>
  <c r="C735" i="9"/>
  <c r="G734" i="9"/>
  <c r="C734" i="9"/>
  <c r="G733" i="9"/>
  <c r="C733" i="9"/>
  <c r="G732" i="9"/>
  <c r="C732" i="9"/>
  <c r="D45" i="9"/>
  <c r="C35" i="9"/>
  <c r="C33" i="9"/>
  <c r="G33" i="9"/>
  <c r="C31" i="9"/>
  <c r="G31" i="9"/>
  <c r="C27" i="9"/>
  <c r="C25" i="9"/>
  <c r="G25" i="9"/>
  <c r="C23" i="9"/>
  <c r="G23" i="9"/>
  <c r="C19" i="9"/>
  <c r="C17" i="9"/>
  <c r="G17" i="9"/>
  <c r="G34" i="9"/>
  <c r="G30" i="9"/>
  <c r="C22" i="9"/>
  <c r="G16" i="9"/>
  <c r="C15" i="9"/>
  <c r="G15" i="9"/>
  <c r="B5" i="9"/>
  <c r="C5" i="9" s="1"/>
  <c r="E5" i="9"/>
  <c r="F5" i="9" s="1"/>
  <c r="K5" i="9" s="1"/>
  <c r="F604" i="7"/>
  <c r="F608" i="7"/>
  <c r="F612" i="7"/>
  <c r="F616" i="7"/>
  <c r="F620" i="7"/>
  <c r="F624" i="7"/>
  <c r="F628" i="7"/>
  <c r="F632" i="7"/>
  <c r="F636" i="7"/>
  <c r="F640" i="7"/>
  <c r="F644" i="7"/>
  <c r="F648" i="7"/>
  <c r="F652" i="7"/>
  <c r="F656" i="7"/>
  <c r="F660" i="7"/>
  <c r="F664" i="7"/>
  <c r="F1006" i="7"/>
  <c r="F1004" i="7"/>
  <c r="F1002" i="7"/>
  <c r="F1000" i="7"/>
  <c r="F998" i="7"/>
  <c r="F996" i="7"/>
  <c r="F990" i="7"/>
  <c r="F988" i="7"/>
  <c r="F984" i="7"/>
  <c r="F982" i="7"/>
  <c r="F980" i="7"/>
  <c r="F974" i="7"/>
  <c r="F972" i="7"/>
  <c r="F968" i="7"/>
  <c r="F966" i="7"/>
  <c r="F964" i="7"/>
  <c r="F958" i="7"/>
  <c r="F956" i="7"/>
  <c r="F952" i="7"/>
  <c r="F950" i="7"/>
  <c r="F948" i="7"/>
  <c r="F942" i="7"/>
  <c r="F940" i="7"/>
  <c r="F936" i="7"/>
  <c r="F934" i="7"/>
  <c r="F932" i="7"/>
  <c r="F926" i="7"/>
  <c r="F924" i="7"/>
  <c r="F920" i="7"/>
  <c r="F918" i="7"/>
  <c r="F916" i="7"/>
  <c r="F910" i="7"/>
  <c r="F908" i="7"/>
  <c r="F904" i="7"/>
  <c r="F902" i="7"/>
  <c r="F900" i="7"/>
  <c r="F894" i="7"/>
  <c r="F892" i="7"/>
  <c r="F888" i="7"/>
  <c r="F886" i="7"/>
  <c r="F884" i="7"/>
  <c r="F878" i="7"/>
  <c r="F876" i="7"/>
  <c r="F872" i="7"/>
  <c r="F870" i="7"/>
  <c r="F868" i="7"/>
  <c r="F862" i="7"/>
  <c r="F860" i="7"/>
  <c r="F856" i="7"/>
  <c r="F854" i="7"/>
  <c r="F852" i="7"/>
  <c r="F846" i="7"/>
  <c r="E4" i="9"/>
  <c r="F4" i="9" s="1"/>
  <c r="K4" i="9" s="1"/>
  <c r="B4" i="9"/>
  <c r="G4" i="9" s="1"/>
  <c r="F603" i="7"/>
  <c r="F605" i="7"/>
  <c r="F607" i="7"/>
  <c r="F609" i="7"/>
  <c r="F611" i="7"/>
  <c r="F613" i="7"/>
  <c r="F615" i="7"/>
  <c r="F617" i="7"/>
  <c r="F619" i="7"/>
  <c r="F621" i="7"/>
  <c r="F623" i="7"/>
  <c r="F625" i="7"/>
  <c r="F627" i="7"/>
  <c r="F629" i="7"/>
  <c r="F631" i="7"/>
  <c r="F633" i="7"/>
  <c r="F635" i="7"/>
  <c r="F637" i="7"/>
  <c r="F639" i="7"/>
  <c r="F641" i="7"/>
  <c r="F643" i="7"/>
  <c r="F645" i="7"/>
  <c r="F647" i="7"/>
  <c r="F649" i="7"/>
  <c r="F651" i="7"/>
  <c r="F653" i="7"/>
  <c r="F655" i="7"/>
  <c r="F657" i="7"/>
  <c r="F659" i="7"/>
  <c r="F661" i="7"/>
  <c r="F663" i="7"/>
  <c r="F665" i="7"/>
  <c r="F667" i="7"/>
  <c r="F669" i="7"/>
  <c r="F671" i="7"/>
  <c r="F673" i="7"/>
  <c r="F675" i="7"/>
  <c r="F677" i="7"/>
  <c r="F679" i="7"/>
  <c r="F681" i="7"/>
  <c r="F683" i="7"/>
  <c r="F685" i="7"/>
  <c r="F687" i="7"/>
  <c r="F689" i="7"/>
  <c r="F691" i="7"/>
  <c r="F693" i="7"/>
  <c r="F695" i="7"/>
  <c r="F697" i="7"/>
  <c r="F699" i="7"/>
  <c r="F701" i="7"/>
  <c r="F703" i="7"/>
  <c r="F705" i="7"/>
  <c r="F707" i="7"/>
  <c r="F709" i="7"/>
  <c r="F711" i="7"/>
  <c r="F713" i="7"/>
  <c r="F715" i="7"/>
  <c r="F717" i="7"/>
  <c r="F719" i="7"/>
  <c r="F721" i="7"/>
  <c r="F723" i="7"/>
  <c r="F725" i="7"/>
  <c r="F727" i="7"/>
  <c r="F729" i="7"/>
  <c r="F731" i="7"/>
  <c r="F733" i="7"/>
  <c r="F735" i="7"/>
  <c r="F737" i="7"/>
  <c r="F739" i="7"/>
  <c r="F741" i="7"/>
  <c r="F743" i="7"/>
  <c r="F745" i="7"/>
  <c r="F747" i="7"/>
  <c r="F749" i="7"/>
  <c r="F751" i="7"/>
  <c r="F753" i="7"/>
  <c r="F755" i="7"/>
  <c r="F757" i="7"/>
  <c r="F759" i="7"/>
  <c r="F761" i="7"/>
  <c r="F763" i="7"/>
  <c r="F765" i="7"/>
  <c r="F767" i="7"/>
  <c r="F769" i="7"/>
  <c r="F771" i="7"/>
  <c r="F773" i="7"/>
  <c r="F775" i="7"/>
  <c r="F777" i="7"/>
  <c r="F779" i="7"/>
  <c r="F781" i="7"/>
  <c r="F783" i="7"/>
  <c r="F785" i="7"/>
  <c r="F787" i="7"/>
  <c r="F789" i="7"/>
  <c r="F791" i="7"/>
  <c r="F793" i="7"/>
  <c r="F795" i="7"/>
  <c r="F797" i="7"/>
  <c r="F799" i="7"/>
  <c r="F801" i="7"/>
  <c r="F803" i="7"/>
  <c r="F805" i="7"/>
  <c r="F807" i="7"/>
  <c r="F809" i="7"/>
  <c r="F811" i="7"/>
  <c r="F813" i="7"/>
  <c r="F815" i="7"/>
  <c r="F817" i="7"/>
  <c r="F819" i="7"/>
  <c r="F821" i="7"/>
  <c r="F823" i="7"/>
  <c r="F825" i="7"/>
  <c r="F827" i="7"/>
  <c r="F829" i="7"/>
  <c r="F831" i="7"/>
  <c r="F833" i="7"/>
  <c r="F835" i="7"/>
  <c r="F837" i="7"/>
  <c r="F839" i="7"/>
  <c r="F843" i="7"/>
  <c r="F847" i="7"/>
  <c r="F851" i="7"/>
  <c r="F855" i="7"/>
  <c r="F859" i="7"/>
  <c r="F863" i="7"/>
  <c r="F867" i="7"/>
  <c r="F871" i="7"/>
  <c r="F875" i="7"/>
  <c r="F879" i="7"/>
  <c r="F883" i="7"/>
  <c r="F887" i="7"/>
  <c r="F891" i="7"/>
  <c r="F895" i="7"/>
  <c r="F899" i="7"/>
  <c r="F903" i="7"/>
  <c r="F907" i="7"/>
  <c r="F911" i="7"/>
  <c r="F915" i="7"/>
  <c r="F919" i="7"/>
  <c r="F923" i="7"/>
  <c r="F927" i="7"/>
  <c r="F931" i="7"/>
  <c r="F935" i="7"/>
  <c r="F939" i="7"/>
  <c r="F943" i="7"/>
  <c r="F947" i="7"/>
  <c r="F951" i="7"/>
  <c r="F955" i="7"/>
  <c r="F959" i="7"/>
  <c r="F963" i="7"/>
  <c r="F967" i="7"/>
  <c r="F971" i="7"/>
  <c r="F975" i="7"/>
  <c r="F979" i="7"/>
  <c r="F983" i="7"/>
  <c r="F987" i="7"/>
  <c r="F991" i="7"/>
  <c r="F995" i="7"/>
  <c r="F999" i="7"/>
  <c r="F1007" i="7"/>
  <c r="D8" i="7"/>
  <c r="F8" i="7" s="1"/>
  <c r="F844" i="7"/>
  <c r="A9" i="7"/>
  <c r="A6" i="6"/>
  <c r="D345" i="6"/>
  <c r="F345" i="6" s="1"/>
  <c r="D341" i="6"/>
  <c r="F341" i="6" s="1"/>
  <c r="D337" i="6"/>
  <c r="F337" i="6" s="1"/>
  <c r="D333" i="6"/>
  <c r="F333" i="6" s="1"/>
  <c r="D329" i="6"/>
  <c r="F329" i="6" s="1"/>
  <c r="D101" i="6"/>
  <c r="F101" i="6" s="1"/>
  <c r="D85" i="6"/>
  <c r="F85" i="6" s="1"/>
  <c r="D55" i="6"/>
  <c r="F55" i="6" s="1"/>
  <c r="D39" i="6"/>
  <c r="F39" i="6" s="1"/>
  <c r="D23" i="6"/>
  <c r="F23" i="6" s="1"/>
  <c r="F868" i="6"/>
  <c r="F396" i="6"/>
  <c r="F364" i="6"/>
  <c r="F1007" i="6"/>
  <c r="F97" i="6"/>
  <c r="F93" i="6"/>
  <c r="F89" i="6"/>
  <c r="F81" i="6"/>
  <c r="F77" i="6"/>
  <c r="F73" i="6"/>
  <c r="F51" i="6"/>
  <c r="F47" i="6"/>
  <c r="F43" i="6"/>
  <c r="F35" i="6"/>
  <c r="F31" i="6"/>
  <c r="F27" i="6"/>
  <c r="F19" i="6"/>
  <c r="F15" i="6"/>
  <c r="F804" i="6"/>
  <c r="F740" i="6"/>
  <c r="F705" i="6"/>
  <c r="F637" i="6"/>
  <c r="F605" i="6"/>
  <c r="F573" i="6"/>
  <c r="F479" i="6"/>
  <c r="F444" i="6"/>
  <c r="F436" i="6"/>
  <c r="F420" i="6"/>
  <c r="F412" i="6"/>
  <c r="F404" i="6"/>
  <c r="F388" i="6"/>
  <c r="F380" i="6"/>
  <c r="F372" i="6"/>
  <c r="F361" i="6"/>
  <c r="F359" i="6"/>
  <c r="F357" i="6"/>
  <c r="F353" i="6"/>
  <c r="F350" i="6"/>
  <c r="F348" i="6"/>
  <c r="F346" i="6"/>
  <c r="F344" i="6"/>
  <c r="F342" i="6"/>
  <c r="F340" i="6"/>
  <c r="F338" i="6"/>
  <c r="F336" i="6"/>
  <c r="F334" i="6"/>
  <c r="F332" i="6"/>
  <c r="F330" i="6"/>
  <c r="F328" i="6"/>
  <c r="F325" i="6"/>
  <c r="F239" i="6"/>
  <c r="F11" i="6"/>
  <c r="F331" i="6"/>
  <c r="F335" i="6"/>
  <c r="F339" i="6"/>
  <c r="F343" i="6"/>
  <c r="F347" i="6"/>
  <c r="F351" i="6"/>
  <c r="F921" i="6"/>
  <c r="F836" i="6"/>
  <c r="F772" i="6"/>
  <c r="F721" i="6"/>
  <c r="F689" i="6"/>
  <c r="F653" i="6"/>
  <c r="F621" i="6"/>
  <c r="F589" i="6"/>
  <c r="F557" i="6"/>
  <c r="F511" i="6"/>
  <c r="F452" i="6"/>
  <c r="F440" i="6"/>
  <c r="F432" i="6"/>
  <c r="F424" i="6"/>
  <c r="F416" i="6"/>
  <c r="F408" i="6"/>
  <c r="F400" i="6"/>
  <c r="F392" i="6"/>
  <c r="F384" i="6"/>
  <c r="F376" i="6"/>
  <c r="F368" i="6"/>
  <c r="F362" i="6"/>
  <c r="F360" i="6"/>
  <c r="F358" i="6"/>
  <c r="F356" i="6"/>
  <c r="F354" i="6"/>
  <c r="F352" i="6"/>
  <c r="F919" i="6"/>
  <c r="F917" i="6"/>
  <c r="F915" i="6"/>
  <c r="F913" i="6"/>
  <c r="F911" i="6"/>
  <c r="F909" i="6"/>
  <c r="F907" i="6"/>
  <c r="F905" i="6"/>
  <c r="F903" i="6"/>
  <c r="F901" i="6"/>
  <c r="F899" i="6"/>
  <c r="F897" i="6"/>
  <c r="F895" i="6"/>
  <c r="F893" i="6"/>
  <c r="F891" i="6"/>
  <c r="F889" i="6"/>
  <c r="F887" i="6"/>
  <c r="F885" i="6"/>
  <c r="F883" i="6"/>
  <c r="F881" i="6"/>
  <c r="F873" i="6"/>
  <c r="F869" i="6"/>
  <c r="F865" i="6"/>
  <c r="F857" i="6"/>
  <c r="F853" i="6"/>
  <c r="F849" i="6"/>
  <c r="F841" i="6"/>
  <c r="F837" i="6"/>
  <c r="F833" i="6"/>
  <c r="F825" i="6"/>
  <c r="F821" i="6"/>
  <c r="F817" i="6"/>
  <c r="F809" i="6"/>
  <c r="F805" i="6"/>
  <c r="F801" i="6"/>
  <c r="F793" i="6"/>
  <c r="F789" i="6"/>
  <c r="F785" i="6"/>
  <c r="F777" i="6"/>
  <c r="F773" i="6"/>
  <c r="F769" i="6"/>
  <c r="F761" i="6"/>
  <c r="F757" i="6"/>
  <c r="F753" i="6"/>
  <c r="F745" i="6"/>
  <c r="F741" i="6"/>
  <c r="F737" i="6"/>
  <c r="F730" i="6"/>
  <c r="F728" i="6"/>
  <c r="F726" i="6"/>
  <c r="F722" i="6"/>
  <c r="F720" i="6"/>
  <c r="F718" i="6"/>
  <c r="F714" i="6"/>
  <c r="F712" i="6"/>
  <c r="F710" i="6"/>
  <c r="F706" i="6"/>
  <c r="F704" i="6"/>
  <c r="F702" i="6"/>
  <c r="F698" i="6"/>
  <c r="F696" i="6"/>
  <c r="F694" i="6"/>
  <c r="F690" i="6"/>
  <c r="F688" i="6"/>
  <c r="F686" i="6"/>
  <c r="F682" i="6"/>
  <c r="F680" i="6"/>
  <c r="F678" i="6"/>
  <c r="F676" i="6"/>
  <c r="F674" i="6"/>
  <c r="F670" i="6"/>
  <c r="F668" i="6"/>
  <c r="F666" i="6"/>
  <c r="F662" i="6"/>
  <c r="F660" i="6"/>
  <c r="F658" i="6"/>
  <c r="F654" i="6"/>
  <c r="F652" i="6"/>
  <c r="F650" i="6"/>
  <c r="F646" i="6"/>
  <c r="F644" i="6"/>
  <c r="F642" i="6"/>
  <c r="F638" i="6"/>
  <c r="F636" i="6"/>
  <c r="F634" i="6"/>
  <c r="F630" i="6"/>
  <c r="F628" i="6"/>
  <c r="F626" i="6"/>
  <c r="F622" i="6"/>
  <c r="F620" i="6"/>
  <c r="F618" i="6"/>
  <c r="F614" i="6"/>
  <c r="F612" i="6"/>
  <c r="F610" i="6"/>
  <c r="F606" i="6"/>
  <c r="F604" i="6"/>
  <c r="F602" i="6"/>
  <c r="F598" i="6"/>
  <c r="F596" i="6"/>
  <c r="F594" i="6"/>
  <c r="F590" i="6"/>
  <c r="F588" i="6"/>
  <c r="F586" i="6"/>
  <c r="F582" i="6"/>
  <c r="F580" i="6"/>
  <c r="F578" i="6"/>
  <c r="F574" i="6"/>
  <c r="F572" i="6"/>
  <c r="F570" i="6"/>
  <c r="F566" i="6"/>
  <c r="F564" i="6"/>
  <c r="F562" i="6"/>
  <c r="F558" i="6"/>
  <c r="F556" i="6"/>
  <c r="F554" i="6"/>
  <c r="F550" i="6"/>
  <c r="F548" i="6"/>
  <c r="F546" i="6"/>
  <c r="F542" i="6"/>
  <c r="F540" i="6"/>
  <c r="F539" i="6"/>
  <c r="F537" i="6"/>
  <c r="F535" i="6"/>
  <c r="F533" i="6"/>
  <c r="F531" i="6"/>
  <c r="F529" i="6"/>
  <c r="F527" i="6"/>
  <c r="F525" i="6"/>
  <c r="F523" i="6"/>
  <c r="F521" i="6"/>
  <c r="F519" i="6"/>
  <c r="F517" i="6"/>
  <c r="F515" i="6"/>
  <c r="F513" i="6"/>
  <c r="F509" i="6"/>
  <c r="F507" i="6"/>
  <c r="F505" i="6"/>
  <c r="F503" i="6"/>
  <c r="F501" i="6"/>
  <c r="F499" i="6"/>
  <c r="F497" i="6"/>
  <c r="F495" i="6"/>
  <c r="F493" i="6"/>
  <c r="F491" i="6"/>
  <c r="F489" i="6"/>
  <c r="F487" i="6"/>
  <c r="F485" i="6"/>
  <c r="F483" i="6"/>
  <c r="F481" i="6"/>
  <c r="F477" i="6"/>
  <c r="F475" i="6"/>
  <c r="F473" i="6"/>
  <c r="F471" i="6"/>
  <c r="F469" i="6"/>
  <c r="F467" i="6"/>
  <c r="F465" i="6"/>
  <c r="F463" i="6"/>
  <c r="F461" i="6"/>
  <c r="F459" i="6"/>
  <c r="F457" i="6"/>
  <c r="F455" i="6"/>
  <c r="F453" i="6"/>
  <c r="F449" i="6"/>
  <c r="F445" i="6"/>
  <c r="F443" i="6"/>
  <c r="F441" i="6"/>
  <c r="F439" i="6"/>
  <c r="F437" i="6"/>
  <c r="F435" i="6"/>
  <c r="F433" i="6"/>
  <c r="F431" i="6"/>
  <c r="F429" i="6"/>
  <c r="F427" i="6"/>
  <c r="F425" i="6"/>
  <c r="F423" i="6"/>
  <c r="F421" i="6"/>
  <c r="F419" i="6"/>
  <c r="F417" i="6"/>
  <c r="F415" i="6"/>
  <c r="F413" i="6"/>
  <c r="F411" i="6"/>
  <c r="F409" i="6"/>
  <c r="F407" i="6"/>
  <c r="F405" i="6"/>
  <c r="F403" i="6"/>
  <c r="F401" i="6"/>
  <c r="F399" i="6"/>
  <c r="F397" i="6"/>
  <c r="F395" i="6"/>
  <c r="F393" i="6"/>
  <c r="F391" i="6"/>
  <c r="F389" i="6"/>
  <c r="F387" i="6"/>
  <c r="F385" i="6"/>
  <c r="F383" i="6"/>
  <c r="F381" i="6"/>
  <c r="F379" i="6"/>
  <c r="F377" i="6"/>
  <c r="F375" i="6"/>
  <c r="F373" i="6"/>
  <c r="F371" i="6"/>
  <c r="F369" i="6"/>
  <c r="F367" i="6"/>
  <c r="F365" i="6"/>
  <c r="F363" i="6"/>
  <c r="F327" i="6"/>
  <c r="F241" i="6"/>
  <c r="F103" i="6"/>
  <c r="F99" i="6"/>
  <c r="F95" i="6"/>
  <c r="F91" i="6"/>
  <c r="F87" i="6"/>
  <c r="F83" i="6"/>
  <c r="F79" i="6"/>
  <c r="F75" i="6"/>
  <c r="F71" i="6"/>
  <c r="F53" i="6"/>
  <c r="F49" i="6"/>
  <c r="F45" i="6"/>
  <c r="F41" i="6"/>
  <c r="F37" i="6"/>
  <c r="F33" i="6"/>
  <c r="F29" i="6"/>
  <c r="F25" i="6"/>
  <c r="F21" i="6"/>
  <c r="F17" i="6"/>
  <c r="F13" i="6"/>
  <c r="F9" i="6"/>
  <c r="F10" i="6"/>
  <c r="F877" i="6"/>
  <c r="F876" i="6"/>
  <c r="F845" i="6"/>
  <c r="F844" i="6"/>
  <c r="F813" i="6"/>
  <c r="F812" i="6"/>
  <c r="F797" i="6"/>
  <c r="F796" i="6"/>
  <c r="F765" i="6"/>
  <c r="F764" i="6"/>
  <c r="F732" i="6"/>
  <c r="F733" i="6"/>
  <c r="F716" i="6"/>
  <c r="F717" i="6"/>
  <c r="F366" i="6"/>
  <c r="F370" i="6"/>
  <c r="F374" i="6"/>
  <c r="F378" i="6"/>
  <c r="F382" i="6"/>
  <c r="F386" i="6"/>
  <c r="F390" i="6"/>
  <c r="F394" i="6"/>
  <c r="F398" i="6"/>
  <c r="F402" i="6"/>
  <c r="F406" i="6"/>
  <c r="F410" i="6"/>
  <c r="F414" i="6"/>
  <c r="F418" i="6"/>
  <c r="F422" i="6"/>
  <c r="F426" i="6"/>
  <c r="F430" i="6"/>
  <c r="F434" i="6"/>
  <c r="F438" i="6"/>
  <c r="F442" i="6"/>
  <c r="F448" i="6"/>
  <c r="F549" i="6"/>
  <c r="F565" i="6"/>
  <c r="F581" i="6"/>
  <c r="F597" i="6"/>
  <c r="F613" i="6"/>
  <c r="F629" i="6"/>
  <c r="F645" i="6"/>
  <c r="F661" i="6"/>
  <c r="F681" i="6"/>
  <c r="F697" i="6"/>
  <c r="F713" i="6"/>
  <c r="F729" i="6"/>
  <c r="F756" i="6"/>
  <c r="F788" i="6"/>
  <c r="F820" i="6"/>
  <c r="F852" i="6"/>
  <c r="F861" i="6"/>
  <c r="F860" i="6"/>
  <c r="F829" i="6"/>
  <c r="F828" i="6"/>
  <c r="F781" i="6"/>
  <c r="F780" i="6"/>
  <c r="F749" i="6"/>
  <c r="F748" i="6"/>
  <c r="F724" i="6"/>
  <c r="F725" i="6"/>
  <c r="F708" i="6"/>
  <c r="F709" i="6"/>
  <c r="F700" i="6"/>
  <c r="F701" i="6"/>
  <c r="F692" i="6"/>
  <c r="F693" i="6"/>
  <c r="F684" i="6"/>
  <c r="F685" i="6"/>
  <c r="F672" i="6"/>
  <c r="F673" i="6"/>
  <c r="F664" i="6"/>
  <c r="F665" i="6"/>
  <c r="F656" i="6"/>
  <c r="F657" i="6"/>
  <c r="F648" i="6"/>
  <c r="F649" i="6"/>
  <c r="F640" i="6"/>
  <c r="F641" i="6"/>
  <c r="F632" i="6"/>
  <c r="F633" i="6"/>
  <c r="F624" i="6"/>
  <c r="F625" i="6"/>
  <c r="F616" i="6"/>
  <c r="F617" i="6"/>
  <c r="F608" i="6"/>
  <c r="F609" i="6"/>
  <c r="F600" i="6"/>
  <c r="F601" i="6"/>
  <c r="F592" i="6"/>
  <c r="F593" i="6"/>
  <c r="F584" i="6"/>
  <c r="F585" i="6"/>
  <c r="F576" i="6"/>
  <c r="F577" i="6"/>
  <c r="F568" i="6"/>
  <c r="F569" i="6"/>
  <c r="F560" i="6"/>
  <c r="F561" i="6"/>
  <c r="F552" i="6"/>
  <c r="F553" i="6"/>
  <c r="F544" i="6"/>
  <c r="F545" i="6"/>
  <c r="F451" i="6"/>
  <c r="F450" i="6"/>
  <c r="F447" i="6"/>
  <c r="F446" i="6"/>
  <c r="F677" i="6"/>
  <c r="F879" i="6"/>
  <c r="F878" i="6"/>
  <c r="F875" i="6"/>
  <c r="F874" i="6"/>
  <c r="F871" i="6"/>
  <c r="F870" i="6"/>
  <c r="F867" i="6"/>
  <c r="F866" i="6"/>
  <c r="F863" i="6"/>
  <c r="F862" i="6"/>
  <c r="F859" i="6"/>
  <c r="F858" i="6"/>
  <c r="F855" i="6"/>
  <c r="F854" i="6"/>
  <c r="F851" i="6"/>
  <c r="F850" i="6"/>
  <c r="F847" i="6"/>
  <c r="F846" i="6"/>
  <c r="F843" i="6"/>
  <c r="F842" i="6"/>
  <c r="F839" i="6"/>
  <c r="F838" i="6"/>
  <c r="F835" i="6"/>
  <c r="F834" i="6"/>
  <c r="F831" i="6"/>
  <c r="F830" i="6"/>
  <c r="F827" i="6"/>
  <c r="F826" i="6"/>
  <c r="F823" i="6"/>
  <c r="F822" i="6"/>
  <c r="F819" i="6"/>
  <c r="F818" i="6"/>
  <c r="F815" i="6"/>
  <c r="F814" i="6"/>
  <c r="F811" i="6"/>
  <c r="F810" i="6"/>
  <c r="F807" i="6"/>
  <c r="F806" i="6"/>
  <c r="F803" i="6"/>
  <c r="F802" i="6"/>
  <c r="F799" i="6"/>
  <c r="F798" i="6"/>
  <c r="F795" i="6"/>
  <c r="F794" i="6"/>
  <c r="F791" i="6"/>
  <c r="F790" i="6"/>
  <c r="F787" i="6"/>
  <c r="F786" i="6"/>
  <c r="F783" i="6"/>
  <c r="F782" i="6"/>
  <c r="F779" i="6"/>
  <c r="F778" i="6"/>
  <c r="F775" i="6"/>
  <c r="F774" i="6"/>
  <c r="F771" i="6"/>
  <c r="F770" i="6"/>
  <c r="F767" i="6"/>
  <c r="F766" i="6"/>
  <c r="F763" i="6"/>
  <c r="F762" i="6"/>
  <c r="F759" i="6"/>
  <c r="F758" i="6"/>
  <c r="F755" i="6"/>
  <c r="F754" i="6"/>
  <c r="F751" i="6"/>
  <c r="F750" i="6"/>
  <c r="F747" i="6"/>
  <c r="F746" i="6"/>
  <c r="F743" i="6"/>
  <c r="F742" i="6"/>
  <c r="F739" i="6"/>
  <c r="F738" i="6"/>
  <c r="F735" i="6"/>
  <c r="F734" i="6"/>
  <c r="F543" i="6"/>
  <c r="F547" i="6"/>
  <c r="F551" i="6"/>
  <c r="F555" i="6"/>
  <c r="F559" i="6"/>
  <c r="F563" i="6"/>
  <c r="F567" i="6"/>
  <c r="F571" i="6"/>
  <c r="F575" i="6"/>
  <c r="F579" i="6"/>
  <c r="F583" i="6"/>
  <c r="F587" i="6"/>
  <c r="F591" i="6"/>
  <c r="F595" i="6"/>
  <c r="F599" i="6"/>
  <c r="F603" i="6"/>
  <c r="F607" i="6"/>
  <c r="F611" i="6"/>
  <c r="F615" i="6"/>
  <c r="F619" i="6"/>
  <c r="F623" i="6"/>
  <c r="F627" i="6"/>
  <c r="F631" i="6"/>
  <c r="F635" i="6"/>
  <c r="F639" i="6"/>
  <c r="F643" i="6"/>
  <c r="F647" i="6"/>
  <c r="F651" i="6"/>
  <c r="F655" i="6"/>
  <c r="F659" i="6"/>
  <c r="F663" i="6"/>
  <c r="F667" i="6"/>
  <c r="F671" i="6"/>
  <c r="F675" i="6"/>
  <c r="F679" i="6"/>
  <c r="F683" i="6"/>
  <c r="F687" i="6"/>
  <c r="F691" i="6"/>
  <c r="F695" i="6"/>
  <c r="F699" i="6"/>
  <c r="F703" i="6"/>
  <c r="F707" i="6"/>
  <c r="F711" i="6"/>
  <c r="F715" i="6"/>
  <c r="F719" i="6"/>
  <c r="F723" i="6"/>
  <c r="F727" i="6"/>
  <c r="F731" i="6"/>
  <c r="F736" i="6"/>
  <c r="F744" i="6"/>
  <c r="F752" i="6"/>
  <c r="F760" i="6"/>
  <c r="F768" i="6"/>
  <c r="F776" i="6"/>
  <c r="F784" i="6"/>
  <c r="F792" i="6"/>
  <c r="F800" i="6"/>
  <c r="F808" i="6"/>
  <c r="F816" i="6"/>
  <c r="F824" i="6"/>
  <c r="F832" i="6"/>
  <c r="F840" i="6"/>
  <c r="F848" i="6"/>
  <c r="F856" i="6"/>
  <c r="F864" i="6"/>
  <c r="F872" i="6"/>
  <c r="F880" i="6"/>
  <c r="F882" i="6"/>
  <c r="F884" i="6"/>
  <c r="F886" i="6"/>
  <c r="F888" i="6"/>
  <c r="F890" i="6"/>
  <c r="F892" i="6"/>
  <c r="F894" i="6"/>
  <c r="F896" i="6"/>
  <c r="F898" i="6"/>
  <c r="F900" i="6"/>
  <c r="F902" i="6"/>
  <c r="F904" i="6"/>
  <c r="F906" i="6"/>
  <c r="F908" i="6"/>
  <c r="F910" i="6"/>
  <c r="F912" i="6"/>
  <c r="F914" i="6"/>
  <c r="F916" i="6"/>
  <c r="F918" i="6"/>
  <c r="F920" i="6"/>
  <c r="F922" i="6"/>
  <c r="F924" i="6"/>
  <c r="F926" i="6"/>
  <c r="F928" i="6"/>
  <c r="F930" i="6"/>
  <c r="F932" i="6"/>
  <c r="F934" i="6"/>
  <c r="F936" i="6"/>
  <c r="F938" i="6"/>
  <c r="F940" i="6"/>
  <c r="F942" i="6"/>
  <c r="F944" i="6"/>
  <c r="F946" i="6"/>
  <c r="F948" i="6"/>
  <c r="F950" i="6"/>
  <c r="F952" i="6"/>
  <c r="F954" i="6"/>
  <c r="F956" i="6"/>
  <c r="F958" i="6"/>
  <c r="F960" i="6"/>
  <c r="F962" i="6"/>
  <c r="F964" i="6"/>
  <c r="F966" i="6"/>
  <c r="F968" i="6"/>
  <c r="F970" i="6"/>
  <c r="F972" i="6"/>
  <c r="F974" i="6"/>
  <c r="F976" i="6"/>
  <c r="F978" i="6"/>
  <c r="F980" i="6"/>
  <c r="F982" i="6"/>
  <c r="F984" i="6"/>
  <c r="F986" i="6"/>
  <c r="F988" i="6"/>
  <c r="F990" i="6"/>
  <c r="F992" i="6"/>
  <c r="F994" i="6"/>
  <c r="F996" i="6"/>
  <c r="F998" i="6"/>
  <c r="F1000" i="6"/>
  <c r="F1002" i="6"/>
  <c r="F1004" i="6"/>
  <c r="F1006" i="6"/>
  <c r="F923" i="6"/>
  <c r="F925" i="6"/>
  <c r="F927" i="6"/>
  <c r="F929" i="6"/>
  <c r="F931" i="6"/>
  <c r="F933" i="6"/>
  <c r="F935" i="6"/>
  <c r="F937" i="6"/>
  <c r="F939" i="6"/>
  <c r="F941" i="6"/>
  <c r="F943" i="6"/>
  <c r="F945" i="6"/>
  <c r="F947" i="6"/>
  <c r="F949" i="6"/>
  <c r="F951" i="6"/>
  <c r="F953" i="6"/>
  <c r="F955" i="6"/>
  <c r="F957" i="6"/>
  <c r="F959" i="6"/>
  <c r="F961" i="6"/>
  <c r="F963" i="6"/>
  <c r="F965" i="6"/>
  <c r="F967" i="6"/>
  <c r="F969" i="6"/>
  <c r="F971" i="6"/>
  <c r="F973" i="6"/>
  <c r="F975" i="6"/>
  <c r="F977" i="6"/>
  <c r="F979" i="6"/>
  <c r="F981" i="6"/>
  <c r="F983" i="6"/>
  <c r="F985" i="6"/>
  <c r="F987" i="6"/>
  <c r="F989" i="6"/>
  <c r="F991" i="6"/>
  <c r="F993" i="6"/>
  <c r="F995" i="6"/>
  <c r="F997" i="6"/>
  <c r="F999" i="6"/>
  <c r="F1001" i="6"/>
  <c r="F1003" i="6"/>
  <c r="F1005" i="6"/>
  <c r="F238" i="6"/>
  <c r="F240" i="6"/>
  <c r="F242" i="6"/>
  <c r="F105" i="6"/>
  <c r="F107" i="6"/>
  <c r="F109" i="6"/>
  <c r="F111" i="6"/>
  <c r="F113" i="6"/>
  <c r="F115" i="6"/>
  <c r="F117" i="6"/>
  <c r="F119" i="6"/>
  <c r="F121" i="6"/>
  <c r="F123" i="6"/>
  <c r="F125" i="6"/>
  <c r="F127" i="6"/>
  <c r="F129" i="6"/>
  <c r="F131" i="6"/>
  <c r="F133" i="6"/>
  <c r="F135" i="6"/>
  <c r="F137" i="6"/>
  <c r="F139" i="6"/>
  <c r="F141" i="6"/>
  <c r="F143" i="6"/>
  <c r="F145" i="6"/>
  <c r="F205" i="6"/>
  <c r="F207" i="6"/>
  <c r="F209" i="6"/>
  <c r="F211" i="6"/>
  <c r="F213" i="6"/>
  <c r="F215" i="6"/>
  <c r="F217" i="6"/>
  <c r="F219" i="6"/>
  <c r="F221" i="6"/>
  <c r="F223" i="6"/>
  <c r="F225" i="6"/>
  <c r="F227" i="6"/>
  <c r="F229" i="6"/>
  <c r="F231" i="6"/>
  <c r="F233" i="6"/>
  <c r="F235" i="6"/>
  <c r="F237" i="6"/>
  <c r="F244" i="6"/>
  <c r="F246" i="6"/>
  <c r="F248" i="6"/>
  <c r="F250" i="6"/>
  <c r="F252" i="6"/>
  <c r="F254" i="6"/>
  <c r="F256" i="6"/>
  <c r="F258" i="6"/>
  <c r="F260" i="6"/>
  <c r="F262" i="6"/>
  <c r="F264" i="6"/>
  <c r="F266" i="6"/>
  <c r="F268" i="6"/>
  <c r="F270" i="6"/>
  <c r="F272" i="6"/>
  <c r="F274" i="6"/>
  <c r="F276" i="6"/>
  <c r="F278" i="6"/>
  <c r="F280" i="6"/>
  <c r="F282" i="6"/>
  <c r="F284" i="6"/>
  <c r="F286" i="6"/>
  <c r="F288" i="6"/>
  <c r="F290" i="6"/>
  <c r="F292" i="6"/>
  <c r="F294" i="6"/>
  <c r="F296" i="6"/>
  <c r="F298" i="6"/>
  <c r="F300" i="6"/>
  <c r="F302" i="6"/>
  <c r="F304" i="6"/>
  <c r="F306" i="6"/>
  <c r="F308" i="6"/>
  <c r="F310" i="6"/>
  <c r="F312" i="6"/>
  <c r="F314" i="6"/>
  <c r="F316" i="6"/>
  <c r="F318" i="6"/>
  <c r="F320" i="6"/>
  <c r="F322" i="6"/>
  <c r="F324" i="6"/>
  <c r="F326" i="6"/>
  <c r="F56" i="6"/>
  <c r="F58" i="6"/>
  <c r="F60" i="6"/>
  <c r="F62" i="6"/>
  <c r="F64" i="6"/>
  <c r="F66" i="6"/>
  <c r="F68" i="6"/>
  <c r="F12" i="6"/>
  <c r="F14" i="6"/>
  <c r="F16" i="6"/>
  <c r="F18" i="6"/>
  <c r="F20" i="6"/>
  <c r="F22" i="6"/>
  <c r="F24" i="6"/>
  <c r="F26" i="6"/>
  <c r="F28" i="6"/>
  <c r="F30" i="6"/>
  <c r="F32" i="6"/>
  <c r="F34" i="6"/>
  <c r="F36" i="6"/>
  <c r="F38" i="6"/>
  <c r="F40" i="6"/>
  <c r="F42" i="6"/>
  <c r="F44" i="6"/>
  <c r="F46" i="6"/>
  <c r="F48" i="6"/>
  <c r="F50" i="6"/>
  <c r="F52" i="6"/>
  <c r="F54" i="6"/>
  <c r="F70" i="6"/>
  <c r="F72" i="6"/>
  <c r="F74" i="6"/>
  <c r="F76" i="6"/>
  <c r="F78" i="6"/>
  <c r="F80" i="6"/>
  <c r="F82" i="6"/>
  <c r="F84" i="6"/>
  <c r="F86" i="6"/>
  <c r="F88" i="6"/>
  <c r="F90" i="6"/>
  <c r="F92" i="6"/>
  <c r="F94" i="6"/>
  <c r="F96" i="6"/>
  <c r="F98" i="6"/>
  <c r="F100" i="6"/>
  <c r="F102" i="6"/>
  <c r="F104" i="6"/>
  <c r="F106" i="6"/>
  <c r="F108" i="6"/>
  <c r="F110" i="6"/>
  <c r="F112" i="6"/>
  <c r="F114" i="6"/>
  <c r="F116" i="6"/>
  <c r="F118" i="6"/>
  <c r="F120" i="6"/>
  <c r="F122" i="6"/>
  <c r="F124" i="6"/>
  <c r="F126" i="6"/>
  <c r="F128" i="6"/>
  <c r="F130" i="6"/>
  <c r="F132" i="6"/>
  <c r="F134" i="6"/>
  <c r="F136" i="6"/>
  <c r="F138" i="6"/>
  <c r="F140" i="6"/>
  <c r="F142" i="6"/>
  <c r="F144" i="6"/>
  <c r="F146" i="6"/>
  <c r="F57" i="6"/>
  <c r="F59" i="6"/>
  <c r="F61" i="6"/>
  <c r="F63" i="6"/>
  <c r="F65" i="6"/>
  <c r="F67" i="6"/>
  <c r="F69" i="6"/>
  <c r="F148" i="6"/>
  <c r="F150" i="6"/>
  <c r="F152" i="6"/>
  <c r="F154" i="6"/>
  <c r="F156" i="6"/>
  <c r="F158" i="6"/>
  <c r="F160" i="6"/>
  <c r="F162" i="6"/>
  <c r="F164" i="6"/>
  <c r="F166" i="6"/>
  <c r="F168" i="6"/>
  <c r="F170" i="6"/>
  <c r="F172" i="6"/>
  <c r="F174" i="6"/>
  <c r="F176" i="6"/>
  <c r="F178" i="6"/>
  <c r="F180" i="6"/>
  <c r="F182" i="6"/>
  <c r="F184" i="6"/>
  <c r="F186" i="6"/>
  <c r="F188" i="6"/>
  <c r="F190" i="6"/>
  <c r="F192" i="6"/>
  <c r="F194" i="6"/>
  <c r="F196" i="6"/>
  <c r="F198" i="6"/>
  <c r="F200" i="6"/>
  <c r="F202" i="6"/>
  <c r="F204" i="6"/>
  <c r="F206" i="6"/>
  <c r="F208" i="6"/>
  <c r="F210" i="6"/>
  <c r="F212" i="6"/>
  <c r="F214" i="6"/>
  <c r="F216" i="6"/>
  <c r="F218" i="6"/>
  <c r="F220" i="6"/>
  <c r="F222" i="6"/>
  <c r="F224" i="6"/>
  <c r="F226" i="6"/>
  <c r="F228" i="6"/>
  <c r="F230" i="6"/>
  <c r="F232" i="6"/>
  <c r="F234" i="6"/>
  <c r="F236" i="6"/>
  <c r="F243" i="6"/>
  <c r="F245" i="6"/>
  <c r="F247" i="6"/>
  <c r="F249" i="6"/>
  <c r="F251" i="6"/>
  <c r="F253" i="6"/>
  <c r="F255" i="6"/>
  <c r="F257" i="6"/>
  <c r="F259" i="6"/>
  <c r="F261" i="6"/>
  <c r="F263" i="6"/>
  <c r="F265" i="6"/>
  <c r="F267" i="6"/>
  <c r="F269" i="6"/>
  <c r="F271" i="6"/>
  <c r="F273" i="6"/>
  <c r="F275" i="6"/>
  <c r="F277" i="6"/>
  <c r="F279" i="6"/>
  <c r="F281" i="6"/>
  <c r="F283" i="6"/>
  <c r="F285" i="6"/>
  <c r="F287" i="6"/>
  <c r="F289" i="6"/>
  <c r="F291" i="6"/>
  <c r="F293" i="6"/>
  <c r="F295" i="6"/>
  <c r="F297" i="6"/>
  <c r="F299" i="6"/>
  <c r="F301" i="6"/>
  <c r="F303" i="6"/>
  <c r="F305" i="6"/>
  <c r="F307" i="6"/>
  <c r="F309" i="6"/>
  <c r="F311" i="6"/>
  <c r="F313" i="6"/>
  <c r="F315" i="6"/>
  <c r="F317" i="6"/>
  <c r="F319" i="6"/>
  <c r="F321" i="6"/>
  <c r="F323" i="6"/>
  <c r="F454" i="6"/>
  <c r="F456" i="6"/>
  <c r="F458" i="6"/>
  <c r="F460" i="6"/>
  <c r="F462" i="6"/>
  <c r="F464" i="6"/>
  <c r="F466" i="6"/>
  <c r="F468" i="6"/>
  <c r="F470" i="6"/>
  <c r="F472" i="6"/>
  <c r="F474" i="6"/>
  <c r="F476" i="6"/>
  <c r="F478" i="6"/>
  <c r="F480" i="6"/>
  <c r="F482" i="6"/>
  <c r="F484" i="6"/>
  <c r="F486" i="6"/>
  <c r="F488" i="6"/>
  <c r="F490" i="6"/>
  <c r="F492" i="6"/>
  <c r="F494" i="6"/>
  <c r="F496" i="6"/>
  <c r="F498" i="6"/>
  <c r="F500" i="6"/>
  <c r="F502" i="6"/>
  <c r="F504" i="6"/>
  <c r="F506" i="6"/>
  <c r="F508" i="6"/>
  <c r="F510" i="6"/>
  <c r="F512" i="6"/>
  <c r="F514" i="6"/>
  <c r="F516" i="6"/>
  <c r="F518" i="6"/>
  <c r="F520" i="6"/>
  <c r="F522" i="6"/>
  <c r="F524" i="6"/>
  <c r="F526" i="6"/>
  <c r="F528" i="6"/>
  <c r="F530" i="6"/>
  <c r="F532" i="6"/>
  <c r="F534" i="6"/>
  <c r="F536" i="6"/>
  <c r="F538" i="6"/>
  <c r="F147" i="6"/>
  <c r="F149" i="6"/>
  <c r="F151" i="6"/>
  <c r="F153" i="6"/>
  <c r="F155" i="6"/>
  <c r="F157" i="6"/>
  <c r="F159" i="6"/>
  <c r="F161" i="6"/>
  <c r="F163" i="6"/>
  <c r="F165" i="6"/>
  <c r="F167" i="6"/>
  <c r="F169" i="6"/>
  <c r="F171" i="6"/>
  <c r="F173" i="6"/>
  <c r="F175" i="6"/>
  <c r="F177" i="6"/>
  <c r="F179" i="6"/>
  <c r="F181" i="6"/>
  <c r="F183" i="6"/>
  <c r="F185" i="6"/>
  <c r="F187" i="6"/>
  <c r="F189" i="6"/>
  <c r="F191" i="6"/>
  <c r="F193" i="6"/>
  <c r="F195" i="6"/>
  <c r="F197" i="6"/>
  <c r="F199" i="6"/>
  <c r="F201" i="6"/>
  <c r="F203" i="6"/>
  <c r="A8" i="2"/>
  <c r="W181" i="9" l="1"/>
  <c r="W149" i="9"/>
  <c r="W117" i="9"/>
  <c r="P665" i="9"/>
  <c r="Q665" i="9" s="1"/>
  <c r="W665" i="9" s="1"/>
  <c r="T665" i="9"/>
  <c r="U665" i="9"/>
  <c r="W271" i="9"/>
  <c r="W275" i="9"/>
  <c r="W279" i="9"/>
  <c r="W283" i="9"/>
  <c r="W287" i="9"/>
  <c r="W291" i="9"/>
  <c r="W295" i="9"/>
  <c r="W299" i="9"/>
  <c r="W303" i="9"/>
  <c r="P417" i="9"/>
  <c r="Q417" i="9" s="1"/>
  <c r="W417" i="9" s="1"/>
  <c r="T417" i="9"/>
  <c r="W689" i="9"/>
  <c r="W691" i="9"/>
  <c r="W693" i="9"/>
  <c r="W695" i="9"/>
  <c r="W697" i="9"/>
  <c r="W699" i="9"/>
  <c r="W701" i="9"/>
  <c r="W703" i="9"/>
  <c r="W705" i="9"/>
  <c r="W707" i="9"/>
  <c r="W709" i="9"/>
  <c r="W711" i="9"/>
  <c r="W713" i="9"/>
  <c r="W715" i="9"/>
  <c r="W717" i="9"/>
  <c r="W721" i="9"/>
  <c r="W723" i="9"/>
  <c r="W725" i="9"/>
  <c r="W727" i="9"/>
  <c r="W729" i="9"/>
  <c r="W731" i="9"/>
  <c r="W733" i="9"/>
  <c r="W735" i="9"/>
  <c r="W737" i="9"/>
  <c r="W739" i="9"/>
  <c r="W741" i="9"/>
  <c r="W743" i="9"/>
  <c r="W745" i="9"/>
  <c r="W747" i="9"/>
  <c r="V855" i="9"/>
  <c r="D859" i="11" s="1"/>
  <c r="F859" i="11" s="1"/>
  <c r="U253" i="9"/>
  <c r="T98" i="9"/>
  <c r="P98" i="9"/>
  <c r="Q98" i="9" s="1"/>
  <c r="Q855" i="9"/>
  <c r="W855" i="9" s="1"/>
  <c r="U719" i="9"/>
  <c r="T253" i="9"/>
  <c r="D257" i="11" s="1"/>
  <c r="F257" i="11" s="1"/>
  <c r="P224" i="9"/>
  <c r="Q224" i="9" s="1"/>
  <c r="W224" i="9" s="1"/>
  <c r="T224" i="9"/>
  <c r="T218" i="9"/>
  <c r="T210" i="9"/>
  <c r="T186" i="9"/>
  <c r="P332" i="9"/>
  <c r="Q332" i="9" s="1"/>
  <c r="W332" i="9" s="1"/>
  <c r="T332" i="9"/>
  <c r="U332" i="9"/>
  <c r="T604" i="9"/>
  <c r="T456" i="9"/>
  <c r="W99" i="9"/>
  <c r="Q179" i="9"/>
  <c r="Q171" i="9"/>
  <c r="Q163" i="9"/>
  <c r="Q155" i="9"/>
  <c r="Q147" i="9"/>
  <c r="Q139" i="9"/>
  <c r="Q131" i="9"/>
  <c r="Q123" i="9"/>
  <c r="Q115" i="9"/>
  <c r="Q107" i="9"/>
  <c r="U230" i="9"/>
  <c r="V229" i="9" s="1"/>
  <c r="U220" i="9"/>
  <c r="V219" i="9" s="1"/>
  <c r="P217" i="9"/>
  <c r="Q217" i="9" s="1"/>
  <c r="W217" i="9" s="1"/>
  <c r="P214" i="9"/>
  <c r="Q214" i="9" s="1"/>
  <c r="Q213" i="9"/>
  <c r="P211" i="9"/>
  <c r="Q211" i="9" s="1"/>
  <c r="W211" i="9" s="1"/>
  <c r="T208" i="9"/>
  <c r="Q207" i="9"/>
  <c r="P201" i="9"/>
  <c r="Q201" i="9" s="1"/>
  <c r="W201" i="9" s="1"/>
  <c r="P198" i="9"/>
  <c r="Q198" i="9" s="1"/>
  <c r="Q197" i="9"/>
  <c r="P195" i="9"/>
  <c r="Q195" i="9" s="1"/>
  <c r="W195" i="9" s="1"/>
  <c r="T192" i="9"/>
  <c r="Q191" i="9"/>
  <c r="T176" i="9"/>
  <c r="P176" i="9"/>
  <c r="Q176" i="9" s="1"/>
  <c r="W176" i="9" s="1"/>
  <c r="T168" i="9"/>
  <c r="P168" i="9"/>
  <c r="Q168" i="9" s="1"/>
  <c r="W168" i="9" s="1"/>
  <c r="T160" i="9"/>
  <c r="P160" i="9"/>
  <c r="Q160" i="9" s="1"/>
  <c r="W160" i="9" s="1"/>
  <c r="T152" i="9"/>
  <c r="P152" i="9"/>
  <c r="Q152" i="9" s="1"/>
  <c r="W152" i="9" s="1"/>
  <c r="T144" i="9"/>
  <c r="P144" i="9"/>
  <c r="Q144" i="9" s="1"/>
  <c r="W144" i="9" s="1"/>
  <c r="T136" i="9"/>
  <c r="P136" i="9"/>
  <c r="Q136" i="9" s="1"/>
  <c r="W136" i="9" s="1"/>
  <c r="T128" i="9"/>
  <c r="P128" i="9"/>
  <c r="Q128" i="9" s="1"/>
  <c r="W128" i="9" s="1"/>
  <c r="T86" i="9"/>
  <c r="P86" i="9"/>
  <c r="Q86" i="9" s="1"/>
  <c r="W273" i="9"/>
  <c r="W277" i="9"/>
  <c r="W281" i="9"/>
  <c r="W285" i="9"/>
  <c r="W289" i="9"/>
  <c r="W293" i="9"/>
  <c r="W297" i="9"/>
  <c r="W301" i="9"/>
  <c r="P185" i="9"/>
  <c r="Q185" i="9" s="1"/>
  <c r="W185" i="9" s="1"/>
  <c r="P183" i="9"/>
  <c r="Q183" i="9" s="1"/>
  <c r="W183" i="9" s="1"/>
  <c r="U181" i="9"/>
  <c r="V180" i="9" s="1"/>
  <c r="P177" i="9"/>
  <c r="Q177" i="9" s="1"/>
  <c r="W177" i="9" s="1"/>
  <c r="P175" i="9"/>
  <c r="Q175" i="9" s="1"/>
  <c r="W175" i="9" s="1"/>
  <c r="U173" i="9"/>
  <c r="V172" i="9" s="1"/>
  <c r="P169" i="9"/>
  <c r="Q169" i="9" s="1"/>
  <c r="W169" i="9" s="1"/>
  <c r="P167" i="9"/>
  <c r="Q167" i="9" s="1"/>
  <c r="W167" i="9" s="1"/>
  <c r="U165" i="9"/>
  <c r="V164" i="9" s="1"/>
  <c r="P161" i="9"/>
  <c r="Q161" i="9" s="1"/>
  <c r="W161" i="9" s="1"/>
  <c r="P159" i="9"/>
  <c r="Q159" i="9" s="1"/>
  <c r="W159" i="9" s="1"/>
  <c r="U157" i="9"/>
  <c r="V156" i="9" s="1"/>
  <c r="P153" i="9"/>
  <c r="Q153" i="9" s="1"/>
  <c r="W153" i="9" s="1"/>
  <c r="P151" i="9"/>
  <c r="Q151" i="9" s="1"/>
  <c r="W151" i="9" s="1"/>
  <c r="U149" i="9"/>
  <c r="V148" i="9" s="1"/>
  <c r="P145" i="9"/>
  <c r="Q145" i="9" s="1"/>
  <c r="W145" i="9" s="1"/>
  <c r="P143" i="9"/>
  <c r="Q143" i="9" s="1"/>
  <c r="W143" i="9" s="1"/>
  <c r="U141" i="9"/>
  <c r="V140" i="9" s="1"/>
  <c r="P137" i="9"/>
  <c r="Q137" i="9" s="1"/>
  <c r="W137" i="9" s="1"/>
  <c r="P135" i="9"/>
  <c r="Q135" i="9" s="1"/>
  <c r="W135" i="9" s="1"/>
  <c r="U133" i="9"/>
  <c r="V132" i="9" s="1"/>
  <c r="P129" i="9"/>
  <c r="Q129" i="9" s="1"/>
  <c r="W129" i="9" s="1"/>
  <c r="P127" i="9"/>
  <c r="Q127" i="9" s="1"/>
  <c r="W127" i="9" s="1"/>
  <c r="U125" i="9"/>
  <c r="V124" i="9" s="1"/>
  <c r="P121" i="9"/>
  <c r="Q121" i="9" s="1"/>
  <c r="W121" i="9" s="1"/>
  <c r="P119" i="9"/>
  <c r="Q119" i="9" s="1"/>
  <c r="W119" i="9" s="1"/>
  <c r="U117" i="9"/>
  <c r="V116" i="9" s="1"/>
  <c r="P113" i="9"/>
  <c r="Q113" i="9" s="1"/>
  <c r="W113" i="9" s="1"/>
  <c r="P111" i="9"/>
  <c r="Q111" i="9" s="1"/>
  <c r="W111" i="9" s="1"/>
  <c r="U109" i="9"/>
  <c r="V108" i="9" s="1"/>
  <c r="P105" i="9"/>
  <c r="Q105" i="9" s="1"/>
  <c r="W105" i="9" s="1"/>
  <c r="P103" i="9"/>
  <c r="Q103" i="9" s="1"/>
  <c r="W103" i="9" s="1"/>
  <c r="U101" i="9"/>
  <c r="V100" i="9" s="1"/>
  <c r="T229" i="9"/>
  <c r="T227" i="9"/>
  <c r="U226" i="9"/>
  <c r="V225" i="9" s="1"/>
  <c r="U224" i="9"/>
  <c r="V223" i="9" s="1"/>
  <c r="P223" i="9"/>
  <c r="Q223" i="9" s="1"/>
  <c r="U222" i="9"/>
  <c r="V221" i="9" s="1"/>
  <c r="P221" i="9"/>
  <c r="Q221" i="9" s="1"/>
  <c r="T220" i="9"/>
  <c r="P219" i="9"/>
  <c r="Q219" i="9" s="1"/>
  <c r="W219" i="9" s="1"/>
  <c r="U216" i="9"/>
  <c r="V215" i="9" s="1"/>
  <c r="T216" i="9"/>
  <c r="Q215" i="9"/>
  <c r="T214" i="9"/>
  <c r="P209" i="9"/>
  <c r="Q209" i="9" s="1"/>
  <c r="W209" i="9" s="1"/>
  <c r="P208" i="9"/>
  <c r="Q208" i="9" s="1"/>
  <c r="P206" i="9"/>
  <c r="Q206" i="9" s="1"/>
  <c r="Q205" i="9"/>
  <c r="P203" i="9"/>
  <c r="Q203" i="9" s="1"/>
  <c r="W203" i="9" s="1"/>
  <c r="U200" i="9"/>
  <c r="V199" i="9" s="1"/>
  <c r="T200" i="9"/>
  <c r="Q199" i="9"/>
  <c r="T198" i="9"/>
  <c r="P193" i="9"/>
  <c r="Q193" i="9" s="1"/>
  <c r="W193" i="9" s="1"/>
  <c r="P192" i="9"/>
  <c r="Q192" i="9" s="1"/>
  <c r="P190" i="9"/>
  <c r="Q190" i="9" s="1"/>
  <c r="Q189" i="9"/>
  <c r="P187" i="9"/>
  <c r="Q187" i="9" s="1"/>
  <c r="W187" i="9" s="1"/>
  <c r="P182" i="9"/>
  <c r="Q182" i="9" s="1"/>
  <c r="P174" i="9"/>
  <c r="Q174" i="9" s="1"/>
  <c r="P166" i="9"/>
  <c r="Q166" i="9" s="1"/>
  <c r="P158" i="9"/>
  <c r="Q158" i="9" s="1"/>
  <c r="P150" i="9"/>
  <c r="Q150" i="9" s="1"/>
  <c r="P142" i="9"/>
  <c r="Q142" i="9" s="1"/>
  <c r="P134" i="9"/>
  <c r="Q134" i="9" s="1"/>
  <c r="P126" i="9"/>
  <c r="Q126" i="9" s="1"/>
  <c r="U122" i="9"/>
  <c r="V121" i="9" s="1"/>
  <c r="T122" i="9"/>
  <c r="U118" i="9"/>
  <c r="V117" i="9" s="1"/>
  <c r="T118" i="9"/>
  <c r="U114" i="9"/>
  <c r="V113" i="9" s="1"/>
  <c r="T114" i="9"/>
  <c r="U110" i="9"/>
  <c r="V109" i="9" s="1"/>
  <c r="T110" i="9"/>
  <c r="U106" i="9"/>
  <c r="V105" i="9" s="1"/>
  <c r="T106" i="9"/>
  <c r="U102" i="9"/>
  <c r="V101" i="9" s="1"/>
  <c r="T102" i="9"/>
  <c r="U218" i="9"/>
  <c r="V217" i="9" s="1"/>
  <c r="U212" i="9"/>
  <c r="V211" i="9" s="1"/>
  <c r="U210" i="9"/>
  <c r="V209" i="9" s="1"/>
  <c r="U204" i="9"/>
  <c r="V203" i="9" s="1"/>
  <c r="U202" i="9"/>
  <c r="V201" i="9" s="1"/>
  <c r="U196" i="9"/>
  <c r="V195" i="9" s="1"/>
  <c r="U194" i="9"/>
  <c r="V193" i="9" s="1"/>
  <c r="U188" i="9"/>
  <c r="V187" i="9" s="1"/>
  <c r="U186" i="9"/>
  <c r="V185" i="9" s="1"/>
  <c r="U178" i="9"/>
  <c r="V177" i="9" s="1"/>
  <c r="U170" i="9"/>
  <c r="V169" i="9" s="1"/>
  <c r="U162" i="9"/>
  <c r="V161" i="9" s="1"/>
  <c r="U154" i="9"/>
  <c r="V153" i="9" s="1"/>
  <c r="U146" i="9"/>
  <c r="V145" i="9" s="1"/>
  <c r="U138" i="9"/>
  <c r="V137" i="9" s="1"/>
  <c r="U130" i="9"/>
  <c r="V129" i="9" s="1"/>
  <c r="W179" i="9"/>
  <c r="W171" i="9"/>
  <c r="W163" i="9"/>
  <c r="W155" i="9"/>
  <c r="W147" i="9"/>
  <c r="W139" i="9"/>
  <c r="W131" i="9"/>
  <c r="W123" i="9"/>
  <c r="W115" i="9"/>
  <c r="W107" i="9"/>
  <c r="P233" i="9"/>
  <c r="Q233" i="9" s="1"/>
  <c r="W233" i="9" s="1"/>
  <c r="T233" i="9"/>
  <c r="P237" i="9"/>
  <c r="Q237" i="9" s="1"/>
  <c r="W237" i="9" s="1"/>
  <c r="T237" i="9"/>
  <c r="P241" i="9"/>
  <c r="Q241" i="9" s="1"/>
  <c r="W241" i="9" s="1"/>
  <c r="T241" i="9"/>
  <c r="P245" i="9"/>
  <c r="Q245" i="9" s="1"/>
  <c r="W245" i="9" s="1"/>
  <c r="T245" i="9"/>
  <c r="P249" i="9"/>
  <c r="Q249" i="9" s="1"/>
  <c r="W249" i="9" s="1"/>
  <c r="T249" i="9"/>
  <c r="P257" i="9"/>
  <c r="Q257" i="9" s="1"/>
  <c r="W257" i="9" s="1"/>
  <c r="T257" i="9"/>
  <c r="P261" i="9"/>
  <c r="Q261" i="9" s="1"/>
  <c r="W261" i="9" s="1"/>
  <c r="T261" i="9"/>
  <c r="P305" i="9"/>
  <c r="Q305" i="9" s="1"/>
  <c r="W305" i="9" s="1"/>
  <c r="T305" i="9"/>
  <c r="U305" i="9"/>
  <c r="V304" i="9" s="1"/>
  <c r="D308" i="11" s="1"/>
  <c r="F308" i="11" s="1"/>
  <c r="P309" i="9"/>
  <c r="Q309" i="9" s="1"/>
  <c r="W309" i="9" s="1"/>
  <c r="T309" i="9"/>
  <c r="U309" i="9"/>
  <c r="V308" i="9" s="1"/>
  <c r="P313" i="9"/>
  <c r="Q313" i="9" s="1"/>
  <c r="W313" i="9" s="1"/>
  <c r="T313" i="9"/>
  <c r="U313" i="9"/>
  <c r="V312" i="9" s="1"/>
  <c r="P317" i="9"/>
  <c r="Q317" i="9" s="1"/>
  <c r="W317" i="9" s="1"/>
  <c r="T317" i="9"/>
  <c r="U317" i="9"/>
  <c r="V316" i="9" s="1"/>
  <c r="U321" i="9"/>
  <c r="V320" i="9" s="1"/>
  <c r="P321" i="9"/>
  <c r="Q321" i="9" s="1"/>
  <c r="W321" i="9" s="1"/>
  <c r="T321" i="9"/>
  <c r="P325" i="9"/>
  <c r="Q325" i="9" s="1"/>
  <c r="W325" i="9" s="1"/>
  <c r="T325" i="9"/>
  <c r="P329" i="9"/>
  <c r="Q329" i="9" s="1"/>
  <c r="W329" i="9" s="1"/>
  <c r="T329" i="9"/>
  <c r="P333" i="9"/>
  <c r="Q333" i="9" s="1"/>
  <c r="W333" i="9" s="1"/>
  <c r="T333" i="9"/>
  <c r="P337" i="9"/>
  <c r="Q337" i="9" s="1"/>
  <c r="W337" i="9" s="1"/>
  <c r="T337" i="9"/>
  <c r="P341" i="9"/>
  <c r="Q341" i="9" s="1"/>
  <c r="W341" i="9" s="1"/>
  <c r="T341" i="9"/>
  <c r="P345" i="9"/>
  <c r="Q345" i="9" s="1"/>
  <c r="W345" i="9" s="1"/>
  <c r="T345" i="9"/>
  <c r="P349" i="9"/>
  <c r="Q349" i="9" s="1"/>
  <c r="W349" i="9" s="1"/>
  <c r="T349" i="9"/>
  <c r="U349" i="9"/>
  <c r="V348" i="9" s="1"/>
  <c r="P353" i="9"/>
  <c r="Q353" i="9" s="1"/>
  <c r="W353" i="9" s="1"/>
  <c r="T353" i="9"/>
  <c r="U353" i="9"/>
  <c r="V352" i="9" s="1"/>
  <c r="P357" i="9"/>
  <c r="Q357" i="9" s="1"/>
  <c r="W357" i="9" s="1"/>
  <c r="T357" i="9"/>
  <c r="U357" i="9"/>
  <c r="V356" i="9" s="1"/>
  <c r="P361" i="9"/>
  <c r="Q361" i="9" s="1"/>
  <c r="W361" i="9" s="1"/>
  <c r="T361" i="9"/>
  <c r="U361" i="9"/>
  <c r="V360" i="9" s="1"/>
  <c r="P365" i="9"/>
  <c r="Q365" i="9" s="1"/>
  <c r="W365" i="9" s="1"/>
  <c r="T365" i="9"/>
  <c r="U365" i="9"/>
  <c r="V364" i="9" s="1"/>
  <c r="P369" i="9"/>
  <c r="Q369" i="9" s="1"/>
  <c r="W369" i="9" s="1"/>
  <c r="T369" i="9"/>
  <c r="U369" i="9"/>
  <c r="V368" i="9" s="1"/>
  <c r="P373" i="9"/>
  <c r="Q373" i="9" s="1"/>
  <c r="W373" i="9" s="1"/>
  <c r="T373" i="9"/>
  <c r="U373" i="9"/>
  <c r="V372" i="9" s="1"/>
  <c r="P377" i="9"/>
  <c r="Q377" i="9" s="1"/>
  <c r="W377" i="9" s="1"/>
  <c r="T377" i="9"/>
  <c r="U377" i="9"/>
  <c r="V376" i="9" s="1"/>
  <c r="P381" i="9"/>
  <c r="Q381" i="9" s="1"/>
  <c r="W381" i="9" s="1"/>
  <c r="T381" i="9"/>
  <c r="U381" i="9"/>
  <c r="V380" i="9" s="1"/>
  <c r="P385" i="9"/>
  <c r="Q385" i="9" s="1"/>
  <c r="W385" i="9" s="1"/>
  <c r="T385" i="9"/>
  <c r="P389" i="9"/>
  <c r="Q389" i="9" s="1"/>
  <c r="W389" i="9" s="1"/>
  <c r="T389" i="9"/>
  <c r="P393" i="9"/>
  <c r="Q393" i="9" s="1"/>
  <c r="W393" i="9" s="1"/>
  <c r="T393" i="9"/>
  <c r="P397" i="9"/>
  <c r="Q397" i="9" s="1"/>
  <c r="W397" i="9" s="1"/>
  <c r="T397" i="9"/>
  <c r="U401" i="9"/>
  <c r="V400" i="9" s="1"/>
  <c r="P401" i="9"/>
  <c r="Q401" i="9" s="1"/>
  <c r="W401" i="9" s="1"/>
  <c r="T401" i="9"/>
  <c r="P405" i="9"/>
  <c r="Q405" i="9" s="1"/>
  <c r="W405" i="9" s="1"/>
  <c r="T405" i="9"/>
  <c r="P409" i="9"/>
  <c r="T409" i="9"/>
  <c r="P413" i="9"/>
  <c r="Q413" i="9" s="1"/>
  <c r="W413" i="9" s="1"/>
  <c r="T413" i="9"/>
  <c r="P421" i="9"/>
  <c r="Q421" i="9" s="1"/>
  <c r="W421" i="9" s="1"/>
  <c r="T421" i="9"/>
  <c r="P425" i="9"/>
  <c r="Q425" i="9" s="1"/>
  <c r="W425" i="9" s="1"/>
  <c r="T425" i="9"/>
  <c r="P429" i="9"/>
  <c r="T429" i="9"/>
  <c r="P433" i="9"/>
  <c r="Q433" i="9" s="1"/>
  <c r="W433" i="9" s="1"/>
  <c r="T433" i="9"/>
  <c r="U437" i="9"/>
  <c r="V436" i="9" s="1"/>
  <c r="P437" i="9"/>
  <c r="Q437" i="9" s="1"/>
  <c r="W437" i="9" s="1"/>
  <c r="T437" i="9"/>
  <c r="P441" i="9"/>
  <c r="Q441" i="9" s="1"/>
  <c r="W441" i="9" s="1"/>
  <c r="T441" i="9"/>
  <c r="P445" i="9"/>
  <c r="T445" i="9"/>
  <c r="P449" i="9"/>
  <c r="Q449" i="9" s="1"/>
  <c r="W449" i="9" s="1"/>
  <c r="T449" i="9"/>
  <c r="P453" i="9"/>
  <c r="Q453" i="9" s="1"/>
  <c r="W453" i="9" s="1"/>
  <c r="T453" i="9"/>
  <c r="P457" i="9"/>
  <c r="Q457" i="9" s="1"/>
  <c r="W457" i="9" s="1"/>
  <c r="T457" i="9"/>
  <c r="P461" i="9"/>
  <c r="T461" i="9"/>
  <c r="P465" i="9"/>
  <c r="Q465" i="9" s="1"/>
  <c r="W465" i="9" s="1"/>
  <c r="T465" i="9"/>
  <c r="U469" i="9"/>
  <c r="V468" i="9" s="1"/>
  <c r="P469" i="9"/>
  <c r="Q469" i="9" s="1"/>
  <c r="W469" i="9" s="1"/>
  <c r="T469" i="9"/>
  <c r="P473" i="9"/>
  <c r="Q473" i="9" s="1"/>
  <c r="W473" i="9" s="1"/>
  <c r="T473" i="9"/>
  <c r="P477" i="9"/>
  <c r="T477" i="9"/>
  <c r="P481" i="9"/>
  <c r="Q481" i="9" s="1"/>
  <c r="W481" i="9" s="1"/>
  <c r="T481" i="9"/>
  <c r="P485" i="9"/>
  <c r="Q485" i="9" s="1"/>
  <c r="W485" i="9" s="1"/>
  <c r="T485" i="9"/>
  <c r="P489" i="9"/>
  <c r="Q489" i="9" s="1"/>
  <c r="W489" i="9" s="1"/>
  <c r="T489" i="9"/>
  <c r="P493" i="9"/>
  <c r="T493" i="9"/>
  <c r="P497" i="9"/>
  <c r="Q497" i="9" s="1"/>
  <c r="W497" i="9" s="1"/>
  <c r="T497" i="9"/>
  <c r="P501" i="9"/>
  <c r="Q501" i="9" s="1"/>
  <c r="W501" i="9" s="1"/>
  <c r="T501" i="9"/>
  <c r="U501" i="9"/>
  <c r="V500" i="9" s="1"/>
  <c r="P505" i="9"/>
  <c r="Q505" i="9" s="1"/>
  <c r="W505" i="9" s="1"/>
  <c r="T505" i="9"/>
  <c r="U505" i="9"/>
  <c r="V504" i="9" s="1"/>
  <c r="P509" i="9"/>
  <c r="Q509" i="9" s="1"/>
  <c r="W509" i="9" s="1"/>
  <c r="T509" i="9"/>
  <c r="U509" i="9"/>
  <c r="V508" i="9" s="1"/>
  <c r="P513" i="9"/>
  <c r="Q513" i="9" s="1"/>
  <c r="W513" i="9" s="1"/>
  <c r="T513" i="9"/>
  <c r="U513" i="9"/>
  <c r="V512" i="9" s="1"/>
  <c r="P517" i="9"/>
  <c r="Q517" i="9" s="1"/>
  <c r="W517" i="9" s="1"/>
  <c r="T517" i="9"/>
  <c r="U517" i="9"/>
  <c r="V516" i="9" s="1"/>
  <c r="P521" i="9"/>
  <c r="Q521" i="9" s="1"/>
  <c r="W521" i="9" s="1"/>
  <c r="T521" i="9"/>
  <c r="U521" i="9"/>
  <c r="V520" i="9" s="1"/>
  <c r="P525" i="9"/>
  <c r="Q525" i="9" s="1"/>
  <c r="W525" i="9" s="1"/>
  <c r="T525" i="9"/>
  <c r="U525" i="9"/>
  <c r="V524" i="9" s="1"/>
  <c r="P529" i="9"/>
  <c r="Q529" i="9" s="1"/>
  <c r="W529" i="9" s="1"/>
  <c r="T529" i="9"/>
  <c r="U529" i="9"/>
  <c r="V528" i="9" s="1"/>
  <c r="P533" i="9"/>
  <c r="Q533" i="9" s="1"/>
  <c r="W533" i="9" s="1"/>
  <c r="T533" i="9"/>
  <c r="U533" i="9"/>
  <c r="V532" i="9" s="1"/>
  <c r="P537" i="9"/>
  <c r="Q537" i="9" s="1"/>
  <c r="W537" i="9" s="1"/>
  <c r="T537" i="9"/>
  <c r="U537" i="9"/>
  <c r="V536" i="9" s="1"/>
  <c r="V541" i="9"/>
  <c r="P541" i="9"/>
  <c r="Q541" i="9" s="1"/>
  <c r="W541" i="9" s="1"/>
  <c r="T541" i="9"/>
  <c r="D545" i="11" s="1"/>
  <c r="F545" i="11" s="1"/>
  <c r="U541" i="9"/>
  <c r="V540" i="9" s="1"/>
  <c r="P545" i="9"/>
  <c r="Q545" i="9" s="1"/>
  <c r="W545" i="9" s="1"/>
  <c r="T545" i="9"/>
  <c r="U545" i="9"/>
  <c r="V544" i="9" s="1"/>
  <c r="P549" i="9"/>
  <c r="Q549" i="9" s="1"/>
  <c r="W549" i="9" s="1"/>
  <c r="T549" i="9"/>
  <c r="U549" i="9"/>
  <c r="V548" i="9" s="1"/>
  <c r="P553" i="9"/>
  <c r="Q553" i="9" s="1"/>
  <c r="W553" i="9" s="1"/>
  <c r="T553" i="9"/>
  <c r="U553" i="9"/>
  <c r="V552" i="9" s="1"/>
  <c r="P557" i="9"/>
  <c r="Q557" i="9" s="1"/>
  <c r="W557" i="9" s="1"/>
  <c r="T557" i="9"/>
  <c r="U557" i="9"/>
  <c r="V556" i="9" s="1"/>
  <c r="P561" i="9"/>
  <c r="Q561" i="9" s="1"/>
  <c r="W561" i="9" s="1"/>
  <c r="T561" i="9"/>
  <c r="U561" i="9"/>
  <c r="V560" i="9" s="1"/>
  <c r="P565" i="9"/>
  <c r="Q565" i="9" s="1"/>
  <c r="W565" i="9" s="1"/>
  <c r="T565" i="9"/>
  <c r="U565" i="9"/>
  <c r="V564" i="9" s="1"/>
  <c r="P569" i="9"/>
  <c r="Q569" i="9" s="1"/>
  <c r="W569" i="9" s="1"/>
  <c r="T569" i="9"/>
  <c r="U569" i="9"/>
  <c r="V568" i="9" s="1"/>
  <c r="P573" i="9"/>
  <c r="Q573" i="9" s="1"/>
  <c r="W573" i="9" s="1"/>
  <c r="T573" i="9"/>
  <c r="U573" i="9"/>
  <c r="V572" i="9" s="1"/>
  <c r="P577" i="9"/>
  <c r="Q577" i="9" s="1"/>
  <c r="W577" i="9" s="1"/>
  <c r="T577" i="9"/>
  <c r="U577" i="9"/>
  <c r="V576" i="9" s="1"/>
  <c r="P581" i="9"/>
  <c r="Q581" i="9" s="1"/>
  <c r="W581" i="9" s="1"/>
  <c r="T581" i="9"/>
  <c r="U581" i="9"/>
  <c r="V580" i="9" s="1"/>
  <c r="P585" i="9"/>
  <c r="Q585" i="9" s="1"/>
  <c r="W585" i="9" s="1"/>
  <c r="T585" i="9"/>
  <c r="U585" i="9"/>
  <c r="V584" i="9" s="1"/>
  <c r="P589" i="9"/>
  <c r="Q589" i="9" s="1"/>
  <c r="W589" i="9" s="1"/>
  <c r="T589" i="9"/>
  <c r="U589" i="9"/>
  <c r="V588" i="9" s="1"/>
  <c r="U593" i="9"/>
  <c r="V592" i="9" s="1"/>
  <c r="P593" i="9"/>
  <c r="Q593" i="9" s="1"/>
  <c r="W593" i="9" s="1"/>
  <c r="T593" i="9"/>
  <c r="P597" i="9"/>
  <c r="Q597" i="9" s="1"/>
  <c r="W597" i="9" s="1"/>
  <c r="T597" i="9"/>
  <c r="P601" i="9"/>
  <c r="T601" i="9"/>
  <c r="P605" i="9"/>
  <c r="Q605" i="9" s="1"/>
  <c r="W605" i="9" s="1"/>
  <c r="T605" i="9"/>
  <c r="P609" i="9"/>
  <c r="Q609" i="9" s="1"/>
  <c r="W609" i="9" s="1"/>
  <c r="T609" i="9"/>
  <c r="P613" i="9"/>
  <c r="Q613" i="9" s="1"/>
  <c r="W613" i="9" s="1"/>
  <c r="T613" i="9"/>
  <c r="P617" i="9"/>
  <c r="T617" i="9"/>
  <c r="P621" i="9"/>
  <c r="Q621" i="9" s="1"/>
  <c r="W621" i="9" s="1"/>
  <c r="T621" i="9"/>
  <c r="U625" i="9"/>
  <c r="V624" i="9" s="1"/>
  <c r="P625" i="9"/>
  <c r="Q625" i="9" s="1"/>
  <c r="W625" i="9" s="1"/>
  <c r="T625" i="9"/>
  <c r="P629" i="9"/>
  <c r="Q629" i="9" s="1"/>
  <c r="W629" i="9" s="1"/>
  <c r="T629" i="9"/>
  <c r="P633" i="9"/>
  <c r="T633" i="9"/>
  <c r="P637" i="9"/>
  <c r="Q637" i="9" s="1"/>
  <c r="W637" i="9" s="1"/>
  <c r="T637" i="9"/>
  <c r="P641" i="9"/>
  <c r="Q641" i="9" s="1"/>
  <c r="W641" i="9" s="1"/>
  <c r="T641" i="9"/>
  <c r="P645" i="9"/>
  <c r="Q645" i="9" s="1"/>
  <c r="W645" i="9" s="1"/>
  <c r="T645" i="9"/>
  <c r="P649" i="9"/>
  <c r="T649" i="9"/>
  <c r="P653" i="9"/>
  <c r="Q653" i="9" s="1"/>
  <c r="W653" i="9" s="1"/>
  <c r="T653" i="9"/>
  <c r="U657" i="9"/>
  <c r="V656" i="9" s="1"/>
  <c r="P657" i="9"/>
  <c r="Q657" i="9" s="1"/>
  <c r="W657" i="9" s="1"/>
  <c r="T657" i="9"/>
  <c r="P661" i="9"/>
  <c r="Q661" i="9" s="1"/>
  <c r="W661" i="9" s="1"/>
  <c r="T661" i="9"/>
  <c r="P669" i="9"/>
  <c r="T669" i="9"/>
  <c r="P673" i="9"/>
  <c r="Q673" i="9" s="1"/>
  <c r="W673" i="9" s="1"/>
  <c r="T673" i="9"/>
  <c r="W688" i="9"/>
  <c r="W690" i="9"/>
  <c r="W692" i="9"/>
  <c r="W694" i="9"/>
  <c r="W696" i="9"/>
  <c r="W698" i="9"/>
  <c r="W700" i="9"/>
  <c r="W702" i="9"/>
  <c r="W704" i="9"/>
  <c r="W706" i="9"/>
  <c r="W708" i="9"/>
  <c r="W710" i="9"/>
  <c r="W712" i="9"/>
  <c r="W714" i="9"/>
  <c r="W716" i="9"/>
  <c r="W718" i="9"/>
  <c r="W720" i="9"/>
  <c r="W722" i="9"/>
  <c r="W724" i="9"/>
  <c r="W726" i="9"/>
  <c r="W728" i="9"/>
  <c r="W730" i="9"/>
  <c r="W732" i="9"/>
  <c r="W734" i="9"/>
  <c r="W736" i="9"/>
  <c r="W738" i="9"/>
  <c r="W740" i="9"/>
  <c r="W742" i="9"/>
  <c r="W744" i="9"/>
  <c r="W746" i="9"/>
  <c r="W748" i="9"/>
  <c r="W750" i="9"/>
  <c r="W752" i="9"/>
  <c r="W754" i="9"/>
  <c r="W756" i="9"/>
  <c r="W758" i="9"/>
  <c r="W760" i="9"/>
  <c r="W762" i="9"/>
  <c r="W764" i="9"/>
  <c r="W766" i="9"/>
  <c r="W768" i="9"/>
  <c r="W770" i="9"/>
  <c r="W772" i="9"/>
  <c r="W774" i="9"/>
  <c r="W776" i="9"/>
  <c r="W778" i="9"/>
  <c r="W780" i="9"/>
  <c r="W782" i="9"/>
  <c r="W784" i="9"/>
  <c r="W786" i="9"/>
  <c r="W788" i="9"/>
  <c r="W790" i="9"/>
  <c r="W792" i="9"/>
  <c r="W794" i="9"/>
  <c r="W796" i="9"/>
  <c r="W798" i="9"/>
  <c r="W800" i="9"/>
  <c r="W802" i="9"/>
  <c r="W804" i="9"/>
  <c r="W806" i="9"/>
  <c r="W808" i="9"/>
  <c r="W810" i="9"/>
  <c r="W812" i="9"/>
  <c r="W814" i="9"/>
  <c r="W816" i="9"/>
  <c r="W818" i="9"/>
  <c r="W820" i="9"/>
  <c r="W822" i="9"/>
  <c r="W824" i="9"/>
  <c r="W826" i="9"/>
  <c r="W828" i="9"/>
  <c r="W830" i="9"/>
  <c r="W832" i="9"/>
  <c r="W834" i="9"/>
  <c r="W836" i="9"/>
  <c r="W838" i="9"/>
  <c r="W840" i="9"/>
  <c r="W842" i="9"/>
  <c r="W844" i="9"/>
  <c r="W846" i="9"/>
  <c r="W848" i="9"/>
  <c r="W850" i="9"/>
  <c r="W852" i="9"/>
  <c r="W854" i="9"/>
  <c r="U851" i="9"/>
  <c r="V850" i="9" s="1"/>
  <c r="U847" i="9"/>
  <c r="V846" i="9" s="1"/>
  <c r="U843" i="9"/>
  <c r="V842" i="9" s="1"/>
  <c r="U839" i="9"/>
  <c r="V838" i="9" s="1"/>
  <c r="U835" i="9"/>
  <c r="V834" i="9" s="1"/>
  <c r="U831" i="9"/>
  <c r="V830" i="9" s="1"/>
  <c r="U827" i="9"/>
  <c r="V826" i="9" s="1"/>
  <c r="U823" i="9"/>
  <c r="V822" i="9" s="1"/>
  <c r="U819" i="9"/>
  <c r="V818" i="9" s="1"/>
  <c r="U815" i="9"/>
  <c r="V814" i="9" s="1"/>
  <c r="U811" i="9"/>
  <c r="V810" i="9" s="1"/>
  <c r="U807" i="9"/>
  <c r="V806" i="9" s="1"/>
  <c r="U803" i="9"/>
  <c r="V802" i="9" s="1"/>
  <c r="U799" i="9"/>
  <c r="V798" i="9" s="1"/>
  <c r="U795" i="9"/>
  <c r="V794" i="9" s="1"/>
  <c r="U791" i="9"/>
  <c r="V790" i="9" s="1"/>
  <c r="U787" i="9"/>
  <c r="V786" i="9" s="1"/>
  <c r="U783" i="9"/>
  <c r="V782" i="9" s="1"/>
  <c r="U779" i="9"/>
  <c r="V778" i="9" s="1"/>
  <c r="U775" i="9"/>
  <c r="V774" i="9" s="1"/>
  <c r="U771" i="9"/>
  <c r="V770" i="9" s="1"/>
  <c r="U767" i="9"/>
  <c r="V766" i="9" s="1"/>
  <c r="U763" i="9"/>
  <c r="V762" i="9" s="1"/>
  <c r="U759" i="9"/>
  <c r="V758" i="9" s="1"/>
  <c r="U755" i="9"/>
  <c r="V754" i="9" s="1"/>
  <c r="U751" i="9"/>
  <c r="V750" i="9" s="1"/>
  <c r="U747" i="9"/>
  <c r="V746" i="9" s="1"/>
  <c r="U743" i="9"/>
  <c r="V742" i="9" s="1"/>
  <c r="U739" i="9"/>
  <c r="V738" i="9" s="1"/>
  <c r="U735" i="9"/>
  <c r="V734" i="9" s="1"/>
  <c r="U731" i="9"/>
  <c r="V730" i="9" s="1"/>
  <c r="U727" i="9"/>
  <c r="V726" i="9" s="1"/>
  <c r="U723" i="9"/>
  <c r="V722" i="9" s="1"/>
  <c r="U715" i="9"/>
  <c r="V714" i="9" s="1"/>
  <c r="U711" i="9"/>
  <c r="V710" i="9" s="1"/>
  <c r="U707" i="9"/>
  <c r="V706" i="9" s="1"/>
  <c r="U703" i="9"/>
  <c r="V702" i="9" s="1"/>
  <c r="U699" i="9"/>
  <c r="V698" i="9" s="1"/>
  <c r="U695" i="9"/>
  <c r="V694" i="9" s="1"/>
  <c r="U691" i="9"/>
  <c r="V690" i="9" s="1"/>
  <c r="P687" i="9"/>
  <c r="Q687" i="9" s="1"/>
  <c r="W687" i="9" s="1"/>
  <c r="T685" i="9"/>
  <c r="P685" i="9"/>
  <c r="Q685" i="9" s="1"/>
  <c r="W685" i="9" s="1"/>
  <c r="T683" i="9"/>
  <c r="P683" i="9"/>
  <c r="Q683" i="9" s="1"/>
  <c r="W683" i="9" s="1"/>
  <c r="T681" i="9"/>
  <c r="P681" i="9"/>
  <c r="Q681" i="9" s="1"/>
  <c r="W681" i="9" s="1"/>
  <c r="T679" i="9"/>
  <c r="P679" i="9"/>
  <c r="Q679" i="9" s="1"/>
  <c r="W679" i="9" s="1"/>
  <c r="T677" i="9"/>
  <c r="P677" i="9"/>
  <c r="Q677" i="9" s="1"/>
  <c r="W677" i="9" s="1"/>
  <c r="T675" i="9"/>
  <c r="P675" i="9"/>
  <c r="Q675" i="9" s="1"/>
  <c r="W675" i="9" s="1"/>
  <c r="T185" i="9"/>
  <c r="T181" i="9"/>
  <c r="T177" i="9"/>
  <c r="T173" i="9"/>
  <c r="T169" i="9"/>
  <c r="T165" i="9"/>
  <c r="T161" i="9"/>
  <c r="T157" i="9"/>
  <c r="T153" i="9"/>
  <c r="T149" i="9"/>
  <c r="T145" i="9"/>
  <c r="T141" i="9"/>
  <c r="T137" i="9"/>
  <c r="T133" i="9"/>
  <c r="T129" i="9"/>
  <c r="T125" i="9"/>
  <c r="T121" i="9"/>
  <c r="T117" i="9"/>
  <c r="D121" i="11" s="1"/>
  <c r="F121" i="11" s="1"/>
  <c r="T113" i="9"/>
  <c r="T109" i="9"/>
  <c r="D113" i="11" s="1"/>
  <c r="F113" i="11" s="1"/>
  <c r="T105" i="9"/>
  <c r="T101" i="9"/>
  <c r="D105" i="11" s="1"/>
  <c r="F105" i="11" s="1"/>
  <c r="U99" i="9"/>
  <c r="V98" i="9" s="1"/>
  <c r="P97" i="9"/>
  <c r="Q97" i="9" s="1"/>
  <c r="W97" i="9" s="1"/>
  <c r="U303" i="9"/>
  <c r="V302" i="9" s="1"/>
  <c r="D306" i="11" s="1"/>
  <c r="F306" i="11" s="1"/>
  <c r="U301" i="9"/>
  <c r="V300" i="9" s="1"/>
  <c r="D304" i="11" s="1"/>
  <c r="F304" i="11" s="1"/>
  <c r="U299" i="9"/>
  <c r="V298" i="9" s="1"/>
  <c r="D302" i="11" s="1"/>
  <c r="F302" i="11" s="1"/>
  <c r="U297" i="9"/>
  <c r="V296" i="9" s="1"/>
  <c r="D300" i="11" s="1"/>
  <c r="F300" i="11" s="1"/>
  <c r="U295" i="9"/>
  <c r="V294" i="9" s="1"/>
  <c r="D298" i="11" s="1"/>
  <c r="F298" i="11" s="1"/>
  <c r="U293" i="9"/>
  <c r="V292" i="9" s="1"/>
  <c r="D296" i="11" s="1"/>
  <c r="F296" i="11" s="1"/>
  <c r="U291" i="9"/>
  <c r="V290" i="9" s="1"/>
  <c r="D294" i="11" s="1"/>
  <c r="F294" i="11" s="1"/>
  <c r="U289" i="9"/>
  <c r="V288" i="9" s="1"/>
  <c r="D292" i="11" s="1"/>
  <c r="F292" i="11" s="1"/>
  <c r="U287" i="9"/>
  <c r="V286" i="9" s="1"/>
  <c r="D290" i="11" s="1"/>
  <c r="F290" i="11" s="1"/>
  <c r="U285" i="9"/>
  <c r="V284" i="9" s="1"/>
  <c r="D288" i="11" s="1"/>
  <c r="F288" i="11" s="1"/>
  <c r="U283" i="9"/>
  <c r="V282" i="9" s="1"/>
  <c r="D286" i="11" s="1"/>
  <c r="F286" i="11" s="1"/>
  <c r="U281" i="9"/>
  <c r="V280" i="9" s="1"/>
  <c r="D284" i="11" s="1"/>
  <c r="F284" i="11" s="1"/>
  <c r="U279" i="9"/>
  <c r="V278" i="9" s="1"/>
  <c r="D282" i="11" s="1"/>
  <c r="F282" i="11" s="1"/>
  <c r="U277" i="9"/>
  <c r="V276" i="9" s="1"/>
  <c r="D280" i="11" s="1"/>
  <c r="F280" i="11" s="1"/>
  <c r="U275" i="9"/>
  <c r="V274" i="9" s="1"/>
  <c r="D278" i="11" s="1"/>
  <c r="F278" i="11" s="1"/>
  <c r="U273" i="9"/>
  <c r="V272" i="9" s="1"/>
  <c r="D276" i="11" s="1"/>
  <c r="F276" i="11" s="1"/>
  <c r="U271" i="9"/>
  <c r="V270" i="9" s="1"/>
  <c r="X230" i="9"/>
  <c r="W230" i="9"/>
  <c r="W223" i="9"/>
  <c r="W221" i="9"/>
  <c r="W218" i="9"/>
  <c r="X216" i="9"/>
  <c r="W216" i="9"/>
  <c r="W215" i="9"/>
  <c r="D219" i="11" s="1"/>
  <c r="F219" i="11" s="1"/>
  <c r="W213" i="9"/>
  <c r="W210" i="9"/>
  <c r="X208" i="9"/>
  <c r="W208" i="9"/>
  <c r="W207" i="9"/>
  <c r="W205" i="9"/>
  <c r="W202" i="9"/>
  <c r="X200" i="9"/>
  <c r="W200" i="9"/>
  <c r="W199" i="9"/>
  <c r="W197" i="9"/>
  <c r="W194" i="9"/>
  <c r="X192" i="9"/>
  <c r="W192" i="9"/>
  <c r="W191" i="9"/>
  <c r="W189" i="9"/>
  <c r="W186" i="9"/>
  <c r="W180" i="9"/>
  <c r="W178" i="9"/>
  <c r="D182" i="11" s="1"/>
  <c r="F182" i="11" s="1"/>
  <c r="W172" i="9"/>
  <c r="W170" i="9"/>
  <c r="W164" i="9"/>
  <c r="W162" i="9"/>
  <c r="D166" i="11" s="1"/>
  <c r="F166" i="11" s="1"/>
  <c r="W156" i="9"/>
  <c r="W154" i="9"/>
  <c r="W148" i="9"/>
  <c r="W146" i="9"/>
  <c r="D150" i="11" s="1"/>
  <c r="F150" i="11" s="1"/>
  <c r="W140" i="9"/>
  <c r="W138" i="9"/>
  <c r="W132" i="9"/>
  <c r="W130" i="9"/>
  <c r="D134" i="11" s="1"/>
  <c r="F134" i="11" s="1"/>
  <c r="W124" i="9"/>
  <c r="X122" i="9"/>
  <c r="W122" i="9"/>
  <c r="W120" i="9"/>
  <c r="X118" i="9"/>
  <c r="W118" i="9"/>
  <c r="W116" i="9"/>
  <c r="X114" i="9"/>
  <c r="W114" i="9"/>
  <c r="W112" i="9"/>
  <c r="X110" i="9"/>
  <c r="W110" i="9"/>
  <c r="W108" i="9"/>
  <c r="X106" i="9"/>
  <c r="W106" i="9"/>
  <c r="W104" i="9"/>
  <c r="X102" i="9"/>
  <c r="W102" i="9"/>
  <c r="W100" i="9"/>
  <c r="U235" i="9"/>
  <c r="V234" i="9" s="1"/>
  <c r="D238" i="11" s="1"/>
  <c r="F238" i="11" s="1"/>
  <c r="P235" i="9"/>
  <c r="Q235" i="9" s="1"/>
  <c r="W235" i="9" s="1"/>
  <c r="T235" i="9"/>
  <c r="D239" i="11" s="1"/>
  <c r="F239" i="11" s="1"/>
  <c r="P239" i="9"/>
  <c r="Q239" i="9" s="1"/>
  <c r="W239" i="9" s="1"/>
  <c r="T239" i="9"/>
  <c r="P243" i="9"/>
  <c r="T243" i="9"/>
  <c r="P247" i="9"/>
  <c r="Q247" i="9" s="1"/>
  <c r="W247" i="9" s="1"/>
  <c r="T247" i="9"/>
  <c r="P251" i="9"/>
  <c r="Q251" i="9" s="1"/>
  <c r="W251" i="9" s="1"/>
  <c r="T251" i="9"/>
  <c r="P255" i="9"/>
  <c r="Q255" i="9" s="1"/>
  <c r="W255" i="9" s="1"/>
  <c r="T255" i="9"/>
  <c r="P259" i="9"/>
  <c r="T259" i="9"/>
  <c r="P263" i="9"/>
  <c r="Q263" i="9" s="1"/>
  <c r="W263" i="9" s="1"/>
  <c r="T263" i="9"/>
  <c r="P307" i="9"/>
  <c r="Q307" i="9" s="1"/>
  <c r="W307" i="9" s="1"/>
  <c r="T307" i="9"/>
  <c r="U307" i="9"/>
  <c r="V306" i="9" s="1"/>
  <c r="P311" i="9"/>
  <c r="Q311" i="9" s="1"/>
  <c r="W311" i="9" s="1"/>
  <c r="T311" i="9"/>
  <c r="U311" i="9"/>
  <c r="V310" i="9" s="1"/>
  <c r="P315" i="9"/>
  <c r="Q315" i="9" s="1"/>
  <c r="W315" i="9" s="1"/>
  <c r="T315" i="9"/>
  <c r="U315" i="9"/>
  <c r="V314" i="9" s="1"/>
  <c r="P319" i="9"/>
  <c r="Q319" i="9" s="1"/>
  <c r="W319" i="9" s="1"/>
  <c r="T319" i="9"/>
  <c r="U319" i="9"/>
  <c r="V318" i="9" s="1"/>
  <c r="P323" i="9"/>
  <c r="Q323" i="9" s="1"/>
  <c r="W323" i="9" s="1"/>
  <c r="T323" i="9"/>
  <c r="U327" i="9"/>
  <c r="V326" i="9" s="1"/>
  <c r="P327" i="9"/>
  <c r="Q327" i="9" s="1"/>
  <c r="W327" i="9" s="1"/>
  <c r="T327" i="9"/>
  <c r="P331" i="9"/>
  <c r="T331" i="9"/>
  <c r="P335" i="9"/>
  <c r="Q335" i="9" s="1"/>
  <c r="W335" i="9" s="1"/>
  <c r="T335" i="9"/>
  <c r="P339" i="9"/>
  <c r="Q339" i="9" s="1"/>
  <c r="W339" i="9" s="1"/>
  <c r="T339" i="9"/>
  <c r="P343" i="9"/>
  <c r="Q343" i="9" s="1"/>
  <c r="W343" i="9" s="1"/>
  <c r="T343" i="9"/>
  <c r="P347" i="9"/>
  <c r="Q347" i="9" s="1"/>
  <c r="W347" i="9" s="1"/>
  <c r="T347" i="9"/>
  <c r="U347" i="9"/>
  <c r="V346" i="9" s="1"/>
  <c r="P351" i="9"/>
  <c r="Q351" i="9" s="1"/>
  <c r="W351" i="9" s="1"/>
  <c r="T351" i="9"/>
  <c r="U351" i="9"/>
  <c r="V350" i="9" s="1"/>
  <c r="P355" i="9"/>
  <c r="Q355" i="9" s="1"/>
  <c r="W355" i="9" s="1"/>
  <c r="T355" i="9"/>
  <c r="U355" i="9"/>
  <c r="V354" i="9" s="1"/>
  <c r="P359" i="9"/>
  <c r="Q359" i="9" s="1"/>
  <c r="W359" i="9" s="1"/>
  <c r="T359" i="9"/>
  <c r="U359" i="9"/>
  <c r="V358" i="9" s="1"/>
  <c r="P363" i="9"/>
  <c r="Q363" i="9" s="1"/>
  <c r="W363" i="9" s="1"/>
  <c r="T363" i="9"/>
  <c r="U363" i="9"/>
  <c r="V362" i="9" s="1"/>
  <c r="P367" i="9"/>
  <c r="Q367" i="9" s="1"/>
  <c r="W367" i="9" s="1"/>
  <c r="T367" i="9"/>
  <c r="U367" i="9"/>
  <c r="V366" i="9" s="1"/>
  <c r="P371" i="9"/>
  <c r="Q371" i="9" s="1"/>
  <c r="W371" i="9" s="1"/>
  <c r="T371" i="9"/>
  <c r="U371" i="9"/>
  <c r="V370" i="9" s="1"/>
  <c r="P375" i="9"/>
  <c r="Q375" i="9" s="1"/>
  <c r="W375" i="9" s="1"/>
  <c r="T375" i="9"/>
  <c r="U375" i="9"/>
  <c r="V374" i="9" s="1"/>
  <c r="P379" i="9"/>
  <c r="Q379" i="9" s="1"/>
  <c r="W379" i="9" s="1"/>
  <c r="T379" i="9"/>
  <c r="U379" i="9"/>
  <c r="V378" i="9" s="1"/>
  <c r="P383" i="9"/>
  <c r="Q383" i="9" s="1"/>
  <c r="W383" i="9" s="1"/>
  <c r="T383" i="9"/>
  <c r="U383" i="9"/>
  <c r="V382" i="9" s="1"/>
  <c r="P387" i="9"/>
  <c r="T387" i="9"/>
  <c r="P391" i="9"/>
  <c r="Q391" i="9" s="1"/>
  <c r="W391" i="9" s="1"/>
  <c r="T391" i="9"/>
  <c r="U395" i="9"/>
  <c r="V394" i="9" s="1"/>
  <c r="P395" i="9"/>
  <c r="Q395" i="9" s="1"/>
  <c r="W395" i="9" s="1"/>
  <c r="T395" i="9"/>
  <c r="P399" i="9"/>
  <c r="Q399" i="9" s="1"/>
  <c r="W399" i="9" s="1"/>
  <c r="T399" i="9"/>
  <c r="P403" i="9"/>
  <c r="T403" i="9"/>
  <c r="P407" i="9"/>
  <c r="Q407" i="9" s="1"/>
  <c r="W407" i="9" s="1"/>
  <c r="T407" i="9"/>
  <c r="P411" i="9"/>
  <c r="Q411" i="9" s="1"/>
  <c r="W411" i="9" s="1"/>
  <c r="T411" i="9"/>
  <c r="P415" i="9"/>
  <c r="Q415" i="9" s="1"/>
  <c r="W415" i="9" s="1"/>
  <c r="T415" i="9"/>
  <c r="P419" i="9"/>
  <c r="Q419" i="9" s="1"/>
  <c r="W419" i="9" s="1"/>
  <c r="T419" i="9"/>
  <c r="U419" i="9"/>
  <c r="V418" i="9" s="1"/>
  <c r="P423" i="9"/>
  <c r="Q423" i="9" s="1"/>
  <c r="W423" i="9" s="1"/>
  <c r="T423" i="9"/>
  <c r="U423" i="9"/>
  <c r="V422" i="9" s="1"/>
  <c r="P427" i="9"/>
  <c r="T427" i="9"/>
  <c r="P431" i="9"/>
  <c r="Q431" i="9" s="1"/>
  <c r="W431" i="9" s="1"/>
  <c r="T431" i="9"/>
  <c r="U435" i="9"/>
  <c r="V434" i="9" s="1"/>
  <c r="P435" i="9"/>
  <c r="Q435" i="9" s="1"/>
  <c r="W435" i="9" s="1"/>
  <c r="T435" i="9"/>
  <c r="P439" i="9"/>
  <c r="Q439" i="9" s="1"/>
  <c r="W439" i="9" s="1"/>
  <c r="T439" i="9"/>
  <c r="P443" i="9"/>
  <c r="T443" i="9"/>
  <c r="P447" i="9"/>
  <c r="Q447" i="9" s="1"/>
  <c r="W447" i="9" s="1"/>
  <c r="T447" i="9"/>
  <c r="P451" i="9"/>
  <c r="Q451" i="9" s="1"/>
  <c r="W451" i="9" s="1"/>
  <c r="T451" i="9"/>
  <c r="P455" i="9"/>
  <c r="T455" i="9"/>
  <c r="P459" i="9"/>
  <c r="Q459" i="9" s="1"/>
  <c r="W459" i="9" s="1"/>
  <c r="T459" i="9"/>
  <c r="U463" i="9"/>
  <c r="V462" i="9" s="1"/>
  <c r="P463" i="9"/>
  <c r="Q463" i="9" s="1"/>
  <c r="W463" i="9" s="1"/>
  <c r="T463" i="9"/>
  <c r="P467" i="9"/>
  <c r="Q467" i="9" s="1"/>
  <c r="W467" i="9" s="1"/>
  <c r="T467" i="9"/>
  <c r="P471" i="9"/>
  <c r="T471" i="9"/>
  <c r="P475" i="9"/>
  <c r="Q475" i="9" s="1"/>
  <c r="W475" i="9" s="1"/>
  <c r="T475" i="9"/>
  <c r="P479" i="9"/>
  <c r="Q479" i="9" s="1"/>
  <c r="W479" i="9" s="1"/>
  <c r="T479" i="9"/>
  <c r="P483" i="9"/>
  <c r="Q483" i="9" s="1"/>
  <c r="W483" i="9" s="1"/>
  <c r="T483" i="9"/>
  <c r="P487" i="9"/>
  <c r="T487" i="9"/>
  <c r="P491" i="9"/>
  <c r="Q491" i="9" s="1"/>
  <c r="W491" i="9" s="1"/>
  <c r="T491" i="9"/>
  <c r="U495" i="9"/>
  <c r="V494" i="9" s="1"/>
  <c r="P495" i="9"/>
  <c r="Q495" i="9" s="1"/>
  <c r="W495" i="9" s="1"/>
  <c r="T495" i="9"/>
  <c r="P499" i="9"/>
  <c r="Q499" i="9" s="1"/>
  <c r="W499" i="9" s="1"/>
  <c r="T499" i="9"/>
  <c r="P503" i="9"/>
  <c r="Q503" i="9" s="1"/>
  <c r="W503" i="9" s="1"/>
  <c r="T503" i="9"/>
  <c r="U503" i="9"/>
  <c r="V502" i="9" s="1"/>
  <c r="P507" i="9"/>
  <c r="Q507" i="9" s="1"/>
  <c r="W507" i="9" s="1"/>
  <c r="T507" i="9"/>
  <c r="U507" i="9"/>
  <c r="V506" i="9" s="1"/>
  <c r="P511" i="9"/>
  <c r="Q511" i="9" s="1"/>
  <c r="W511" i="9" s="1"/>
  <c r="T511" i="9"/>
  <c r="U511" i="9"/>
  <c r="V510" i="9" s="1"/>
  <c r="P515" i="9"/>
  <c r="Q515" i="9" s="1"/>
  <c r="W515" i="9" s="1"/>
  <c r="T515" i="9"/>
  <c r="U515" i="9"/>
  <c r="V514" i="9" s="1"/>
  <c r="P519" i="9"/>
  <c r="Q519" i="9" s="1"/>
  <c r="W519" i="9" s="1"/>
  <c r="T519" i="9"/>
  <c r="U519" i="9"/>
  <c r="V518" i="9" s="1"/>
  <c r="P523" i="9"/>
  <c r="Q523" i="9" s="1"/>
  <c r="W523" i="9" s="1"/>
  <c r="T523" i="9"/>
  <c r="U523" i="9"/>
  <c r="V522" i="9" s="1"/>
  <c r="P527" i="9"/>
  <c r="Q527" i="9" s="1"/>
  <c r="W527" i="9" s="1"/>
  <c r="T527" i="9"/>
  <c r="U527" i="9"/>
  <c r="V526" i="9" s="1"/>
  <c r="P531" i="9"/>
  <c r="Q531" i="9" s="1"/>
  <c r="W531" i="9" s="1"/>
  <c r="T531" i="9"/>
  <c r="U531" i="9"/>
  <c r="V530" i="9" s="1"/>
  <c r="P535" i="9"/>
  <c r="Q535" i="9" s="1"/>
  <c r="W535" i="9" s="1"/>
  <c r="T535" i="9"/>
  <c r="U535" i="9"/>
  <c r="V534" i="9" s="1"/>
  <c r="P539" i="9"/>
  <c r="Q539" i="9" s="1"/>
  <c r="W539" i="9" s="1"/>
  <c r="T539" i="9"/>
  <c r="U539" i="9"/>
  <c r="V538" i="9" s="1"/>
  <c r="P543" i="9"/>
  <c r="Q543" i="9" s="1"/>
  <c r="W543" i="9" s="1"/>
  <c r="T543" i="9"/>
  <c r="U543" i="9"/>
  <c r="V542" i="9" s="1"/>
  <c r="D546" i="11" s="1"/>
  <c r="F546" i="11" s="1"/>
  <c r="P547" i="9"/>
  <c r="Q547" i="9" s="1"/>
  <c r="W547" i="9" s="1"/>
  <c r="T547" i="9"/>
  <c r="U547" i="9"/>
  <c r="V546" i="9" s="1"/>
  <c r="P551" i="9"/>
  <c r="Q551" i="9" s="1"/>
  <c r="W551" i="9" s="1"/>
  <c r="T551" i="9"/>
  <c r="U551" i="9"/>
  <c r="V550" i="9" s="1"/>
  <c r="P555" i="9"/>
  <c r="Q555" i="9" s="1"/>
  <c r="W555" i="9" s="1"/>
  <c r="T555" i="9"/>
  <c r="U555" i="9"/>
  <c r="V554" i="9" s="1"/>
  <c r="P559" i="9"/>
  <c r="Q559" i="9" s="1"/>
  <c r="W559" i="9" s="1"/>
  <c r="T559" i="9"/>
  <c r="U559" i="9"/>
  <c r="V558" i="9" s="1"/>
  <c r="P563" i="9"/>
  <c r="Q563" i="9" s="1"/>
  <c r="W563" i="9" s="1"/>
  <c r="T563" i="9"/>
  <c r="U563" i="9"/>
  <c r="V562" i="9" s="1"/>
  <c r="P567" i="9"/>
  <c r="Q567" i="9" s="1"/>
  <c r="W567" i="9" s="1"/>
  <c r="T567" i="9"/>
  <c r="U567" i="9"/>
  <c r="V566" i="9" s="1"/>
  <c r="P571" i="9"/>
  <c r="Q571" i="9" s="1"/>
  <c r="W571" i="9" s="1"/>
  <c r="T571" i="9"/>
  <c r="U571" i="9"/>
  <c r="V570" i="9" s="1"/>
  <c r="P575" i="9"/>
  <c r="Q575" i="9" s="1"/>
  <c r="W575" i="9" s="1"/>
  <c r="T575" i="9"/>
  <c r="U575" i="9"/>
  <c r="V574" i="9" s="1"/>
  <c r="P579" i="9"/>
  <c r="Q579" i="9" s="1"/>
  <c r="W579" i="9" s="1"/>
  <c r="T579" i="9"/>
  <c r="U579" i="9"/>
  <c r="V578" i="9" s="1"/>
  <c r="P583" i="9"/>
  <c r="Q583" i="9" s="1"/>
  <c r="W583" i="9" s="1"/>
  <c r="T583" i="9"/>
  <c r="U583" i="9"/>
  <c r="V582" i="9" s="1"/>
  <c r="P587" i="9"/>
  <c r="Q587" i="9" s="1"/>
  <c r="W587" i="9" s="1"/>
  <c r="T587" i="9"/>
  <c r="U587" i="9"/>
  <c r="V586" i="9" s="1"/>
  <c r="P591" i="9"/>
  <c r="T591" i="9"/>
  <c r="P595" i="9"/>
  <c r="Q595" i="9" s="1"/>
  <c r="W595" i="9" s="1"/>
  <c r="T595" i="9"/>
  <c r="P599" i="9"/>
  <c r="Q599" i="9" s="1"/>
  <c r="W599" i="9" s="1"/>
  <c r="T599" i="9"/>
  <c r="P603" i="9"/>
  <c r="T603" i="9"/>
  <c r="P607" i="9"/>
  <c r="Q607" i="9" s="1"/>
  <c r="W607" i="9" s="1"/>
  <c r="T607" i="9"/>
  <c r="U611" i="9"/>
  <c r="V610" i="9" s="1"/>
  <c r="P611" i="9"/>
  <c r="Q611" i="9" s="1"/>
  <c r="W611" i="9" s="1"/>
  <c r="T611" i="9"/>
  <c r="P615" i="9"/>
  <c r="Q615" i="9" s="1"/>
  <c r="W615" i="9" s="1"/>
  <c r="T615" i="9"/>
  <c r="P619" i="9"/>
  <c r="T619" i="9"/>
  <c r="P623" i="9"/>
  <c r="Q623" i="9" s="1"/>
  <c r="W623" i="9" s="1"/>
  <c r="T623" i="9"/>
  <c r="P627" i="9"/>
  <c r="Q627" i="9" s="1"/>
  <c r="W627" i="9" s="1"/>
  <c r="T627" i="9"/>
  <c r="P631" i="9"/>
  <c r="Q631" i="9" s="1"/>
  <c r="W631" i="9" s="1"/>
  <c r="T631" i="9"/>
  <c r="P635" i="9"/>
  <c r="T635" i="9"/>
  <c r="P639" i="9"/>
  <c r="Q639" i="9" s="1"/>
  <c r="W639" i="9" s="1"/>
  <c r="T639" i="9"/>
  <c r="U643" i="9"/>
  <c r="V642" i="9" s="1"/>
  <c r="P643" i="9"/>
  <c r="Q643" i="9" s="1"/>
  <c r="W643" i="9" s="1"/>
  <c r="T643" i="9"/>
  <c r="P647" i="9"/>
  <c r="Q647" i="9" s="1"/>
  <c r="W647" i="9" s="1"/>
  <c r="T647" i="9"/>
  <c r="P651" i="9"/>
  <c r="T651" i="9"/>
  <c r="P655" i="9"/>
  <c r="Q655" i="9" s="1"/>
  <c r="W655" i="9" s="1"/>
  <c r="T655" i="9"/>
  <c r="P659" i="9"/>
  <c r="Q659" i="9" s="1"/>
  <c r="W659" i="9" s="1"/>
  <c r="T659" i="9"/>
  <c r="P663" i="9"/>
  <c r="Q663" i="9" s="1"/>
  <c r="W663" i="9" s="1"/>
  <c r="T663" i="9"/>
  <c r="P667" i="9"/>
  <c r="T667" i="9"/>
  <c r="P671" i="9"/>
  <c r="Q671" i="9" s="1"/>
  <c r="W671" i="9" s="1"/>
  <c r="T671" i="9"/>
  <c r="T687" i="9"/>
  <c r="U853" i="9"/>
  <c r="V852" i="9" s="1"/>
  <c r="U849" i="9"/>
  <c r="V848" i="9" s="1"/>
  <c r="U845" i="9"/>
  <c r="V844" i="9" s="1"/>
  <c r="U841" i="9"/>
  <c r="V840" i="9" s="1"/>
  <c r="U837" i="9"/>
  <c r="V836" i="9" s="1"/>
  <c r="U833" i="9"/>
  <c r="V832" i="9" s="1"/>
  <c r="U829" i="9"/>
  <c r="V828" i="9" s="1"/>
  <c r="U825" i="9"/>
  <c r="V824" i="9" s="1"/>
  <c r="U821" i="9"/>
  <c r="V820" i="9" s="1"/>
  <c r="U817" i="9"/>
  <c r="V816" i="9" s="1"/>
  <c r="U813" i="9"/>
  <c r="V812" i="9" s="1"/>
  <c r="U809" i="9"/>
  <c r="V808" i="9" s="1"/>
  <c r="U805" i="9"/>
  <c r="V804" i="9" s="1"/>
  <c r="U801" i="9"/>
  <c r="V800" i="9" s="1"/>
  <c r="U797" i="9"/>
  <c r="V796" i="9" s="1"/>
  <c r="U793" i="9"/>
  <c r="V792" i="9" s="1"/>
  <c r="U789" i="9"/>
  <c r="V788" i="9" s="1"/>
  <c r="U785" i="9"/>
  <c r="V784" i="9" s="1"/>
  <c r="U781" i="9"/>
  <c r="V780" i="9" s="1"/>
  <c r="U777" i="9"/>
  <c r="V776" i="9" s="1"/>
  <c r="U773" i="9"/>
  <c r="V772" i="9" s="1"/>
  <c r="U769" i="9"/>
  <c r="V768" i="9" s="1"/>
  <c r="U765" i="9"/>
  <c r="V764" i="9" s="1"/>
  <c r="U761" i="9"/>
  <c r="V760" i="9" s="1"/>
  <c r="U757" i="9"/>
  <c r="V756" i="9" s="1"/>
  <c r="U753" i="9"/>
  <c r="V752" i="9" s="1"/>
  <c r="U749" i="9"/>
  <c r="V748" i="9" s="1"/>
  <c r="U745" i="9"/>
  <c r="V744" i="9" s="1"/>
  <c r="U741" i="9"/>
  <c r="V740" i="9" s="1"/>
  <c r="U737" i="9"/>
  <c r="V736" i="9" s="1"/>
  <c r="U733" i="9"/>
  <c r="V732" i="9" s="1"/>
  <c r="U729" i="9"/>
  <c r="V728" i="9" s="1"/>
  <c r="U725" i="9"/>
  <c r="V724" i="9" s="1"/>
  <c r="U721" i="9"/>
  <c r="V720" i="9" s="1"/>
  <c r="U717" i="9"/>
  <c r="V716" i="9" s="1"/>
  <c r="U713" i="9"/>
  <c r="V712" i="9" s="1"/>
  <c r="U709" i="9"/>
  <c r="V708" i="9" s="1"/>
  <c r="U705" i="9"/>
  <c r="V704" i="9" s="1"/>
  <c r="U701" i="9"/>
  <c r="V700" i="9" s="1"/>
  <c r="U697" i="9"/>
  <c r="V696" i="9" s="1"/>
  <c r="U693" i="9"/>
  <c r="V692" i="9" s="1"/>
  <c r="U689" i="9"/>
  <c r="V688" i="9" s="1"/>
  <c r="T303" i="9"/>
  <c r="D307" i="11" s="1"/>
  <c r="F307" i="11" s="1"/>
  <c r="T301" i="9"/>
  <c r="D305" i="11" s="1"/>
  <c r="F305" i="11" s="1"/>
  <c r="T299" i="9"/>
  <c r="D303" i="11" s="1"/>
  <c r="F303" i="11" s="1"/>
  <c r="T297" i="9"/>
  <c r="D301" i="11" s="1"/>
  <c r="F301" i="11" s="1"/>
  <c r="T295" i="9"/>
  <c r="D299" i="11" s="1"/>
  <c r="F299" i="11" s="1"/>
  <c r="T293" i="9"/>
  <c r="D297" i="11" s="1"/>
  <c r="F297" i="11" s="1"/>
  <c r="T291" i="9"/>
  <c r="D295" i="11" s="1"/>
  <c r="F295" i="11" s="1"/>
  <c r="T289" i="9"/>
  <c r="D293" i="11" s="1"/>
  <c r="F293" i="11" s="1"/>
  <c r="T287" i="9"/>
  <c r="D291" i="11" s="1"/>
  <c r="F291" i="11" s="1"/>
  <c r="T285" i="9"/>
  <c r="D289" i="11" s="1"/>
  <c r="F289" i="11" s="1"/>
  <c r="T283" i="9"/>
  <c r="D287" i="11" s="1"/>
  <c r="F287" i="11" s="1"/>
  <c r="T281" i="9"/>
  <c r="D285" i="11" s="1"/>
  <c r="F285" i="11" s="1"/>
  <c r="T279" i="9"/>
  <c r="D283" i="11" s="1"/>
  <c r="F283" i="11" s="1"/>
  <c r="T277" i="9"/>
  <c r="D281" i="11" s="1"/>
  <c r="F281" i="11" s="1"/>
  <c r="T275" i="9"/>
  <c r="D279" i="11" s="1"/>
  <c r="F279" i="11" s="1"/>
  <c r="T273" i="9"/>
  <c r="D277" i="11" s="1"/>
  <c r="F277" i="11" s="1"/>
  <c r="T271" i="9"/>
  <c r="D275" i="11" s="1"/>
  <c r="F275" i="11" s="1"/>
  <c r="D274" i="11"/>
  <c r="F274" i="11" s="1"/>
  <c r="T269" i="9"/>
  <c r="P269" i="9"/>
  <c r="Q269" i="9" s="1"/>
  <c r="W269" i="9" s="1"/>
  <c r="T267" i="9"/>
  <c r="P267" i="9"/>
  <c r="Q267" i="9" s="1"/>
  <c r="W267" i="9" s="1"/>
  <c r="T265" i="9"/>
  <c r="P265" i="9"/>
  <c r="Q265" i="9" s="1"/>
  <c r="W265" i="9" s="1"/>
  <c r="X226" i="9"/>
  <c r="W226" i="9"/>
  <c r="D228" i="11"/>
  <c r="F228" i="11" s="1"/>
  <c r="W222" i="9"/>
  <c r="X220" i="9"/>
  <c r="W220" i="9"/>
  <c r="W214" i="9"/>
  <c r="X212" i="9"/>
  <c r="W212" i="9"/>
  <c r="W206" i="9"/>
  <c r="X204" i="9"/>
  <c r="W204" i="9"/>
  <c r="D203" i="11"/>
  <c r="F203" i="11" s="1"/>
  <c r="W198" i="9"/>
  <c r="X196" i="9"/>
  <c r="W196" i="9"/>
  <c r="W190" i="9"/>
  <c r="X188" i="9"/>
  <c r="W188" i="9"/>
  <c r="W182" i="9"/>
  <c r="W174" i="9"/>
  <c r="D174" i="11"/>
  <c r="F174" i="11" s="1"/>
  <c r="W166" i="9"/>
  <c r="W158" i="9"/>
  <c r="D158" i="11"/>
  <c r="F158" i="11" s="1"/>
  <c r="W150" i="9"/>
  <c r="W142" i="9"/>
  <c r="D142" i="11"/>
  <c r="F142" i="11" s="1"/>
  <c r="W134" i="9"/>
  <c r="W126" i="9"/>
  <c r="D126" i="11"/>
  <c r="F126" i="11" s="1"/>
  <c r="D118" i="11"/>
  <c r="F118" i="11" s="1"/>
  <c r="D110" i="11"/>
  <c r="F110" i="11" s="1"/>
  <c r="V252" i="9"/>
  <c r="D256" i="11" s="1"/>
  <c r="F256" i="11" s="1"/>
  <c r="Q231" i="9"/>
  <c r="W231" i="9" s="1"/>
  <c r="Q229" i="9"/>
  <c r="W229" i="9" s="1"/>
  <c r="D233" i="11" s="1"/>
  <c r="F233" i="11" s="1"/>
  <c r="Q227" i="9"/>
  <c r="W227" i="9" s="1"/>
  <c r="Q225" i="9"/>
  <c r="W225" i="9" s="1"/>
  <c r="D229" i="11" s="1"/>
  <c r="F229" i="11" s="1"/>
  <c r="U180" i="9"/>
  <c r="V179" i="9" s="1"/>
  <c r="U176" i="9"/>
  <c r="V175" i="9" s="1"/>
  <c r="U172" i="9"/>
  <c r="V171" i="9" s="1"/>
  <c r="D175" i="11" s="1"/>
  <c r="F175" i="11" s="1"/>
  <c r="U168" i="9"/>
  <c r="V167" i="9" s="1"/>
  <c r="U164" i="9"/>
  <c r="V163" i="9" s="1"/>
  <c r="U160" i="9"/>
  <c r="V159" i="9" s="1"/>
  <c r="U156" i="9"/>
  <c r="V155" i="9" s="1"/>
  <c r="D159" i="11" s="1"/>
  <c r="F159" i="11" s="1"/>
  <c r="U152" i="9"/>
  <c r="V151" i="9" s="1"/>
  <c r="U148" i="9"/>
  <c r="V147" i="9" s="1"/>
  <c r="U144" i="9"/>
  <c r="V143" i="9" s="1"/>
  <c r="U140" i="9"/>
  <c r="V139" i="9" s="1"/>
  <c r="D143" i="11" s="1"/>
  <c r="F143" i="11" s="1"/>
  <c r="U136" i="9"/>
  <c r="V135" i="9" s="1"/>
  <c r="U132" i="9"/>
  <c r="V131" i="9" s="1"/>
  <c r="U128" i="9"/>
  <c r="V127" i="9" s="1"/>
  <c r="U124" i="9"/>
  <c r="V123" i="9" s="1"/>
  <c r="D127" i="11" s="1"/>
  <c r="F127" i="11" s="1"/>
  <c r="U120" i="9"/>
  <c r="V119" i="9" s="1"/>
  <c r="U116" i="9"/>
  <c r="V115" i="9" s="1"/>
  <c r="U112" i="9"/>
  <c r="V111" i="9" s="1"/>
  <c r="U108" i="9"/>
  <c r="V107" i="9" s="1"/>
  <c r="D111" i="11" s="1"/>
  <c r="F111" i="11" s="1"/>
  <c r="U104" i="9"/>
  <c r="V103" i="9" s="1"/>
  <c r="U100" i="9"/>
  <c r="D104" i="11" s="1"/>
  <c r="F104" i="11" s="1"/>
  <c r="P308" i="9"/>
  <c r="Q308" i="9" s="1"/>
  <c r="W308" i="9" s="1"/>
  <c r="T308" i="9"/>
  <c r="U308" i="9"/>
  <c r="V307" i="9" s="1"/>
  <c r="P312" i="9"/>
  <c r="Q312" i="9" s="1"/>
  <c r="W312" i="9" s="1"/>
  <c r="T312" i="9"/>
  <c r="U312" i="9"/>
  <c r="V311" i="9" s="1"/>
  <c r="P316" i="9"/>
  <c r="Q316" i="9" s="1"/>
  <c r="W316" i="9" s="1"/>
  <c r="T316" i="9"/>
  <c r="U316" i="9"/>
  <c r="V315" i="9" s="1"/>
  <c r="P320" i="9"/>
  <c r="Q320" i="9" s="1"/>
  <c r="W320" i="9" s="1"/>
  <c r="T320" i="9"/>
  <c r="U320" i="9"/>
  <c r="V319" i="9" s="1"/>
  <c r="P324" i="9"/>
  <c r="Q324" i="9" s="1"/>
  <c r="W324" i="9" s="1"/>
  <c r="T324" i="9"/>
  <c r="P328" i="9"/>
  <c r="Q328" i="9" s="1"/>
  <c r="W328" i="9" s="1"/>
  <c r="T328" i="9"/>
  <c r="P336" i="9"/>
  <c r="T336" i="9"/>
  <c r="P340" i="9"/>
  <c r="Q340" i="9" s="1"/>
  <c r="W340" i="9" s="1"/>
  <c r="T340" i="9"/>
  <c r="U344" i="9"/>
  <c r="V343" i="9" s="1"/>
  <c r="P344" i="9"/>
  <c r="Q344" i="9" s="1"/>
  <c r="W344" i="9" s="1"/>
  <c r="T344" i="9"/>
  <c r="P348" i="9"/>
  <c r="Q348" i="9" s="1"/>
  <c r="W348" i="9" s="1"/>
  <c r="T348" i="9"/>
  <c r="D352" i="11" s="1"/>
  <c r="F352" i="11" s="1"/>
  <c r="U348" i="9"/>
  <c r="V347" i="9" s="1"/>
  <c r="P352" i="9"/>
  <c r="Q352" i="9" s="1"/>
  <c r="W352" i="9" s="1"/>
  <c r="T352" i="9"/>
  <c r="U352" i="9"/>
  <c r="V351" i="9" s="1"/>
  <c r="P356" i="9"/>
  <c r="Q356" i="9" s="1"/>
  <c r="W356" i="9" s="1"/>
  <c r="T356" i="9"/>
  <c r="D360" i="11" s="1"/>
  <c r="F360" i="11" s="1"/>
  <c r="U356" i="9"/>
  <c r="V355" i="9" s="1"/>
  <c r="P360" i="9"/>
  <c r="Q360" i="9" s="1"/>
  <c r="W360" i="9" s="1"/>
  <c r="T360" i="9"/>
  <c r="U360" i="9"/>
  <c r="V359" i="9" s="1"/>
  <c r="P364" i="9"/>
  <c r="Q364" i="9" s="1"/>
  <c r="W364" i="9" s="1"/>
  <c r="T364" i="9"/>
  <c r="D368" i="11" s="1"/>
  <c r="F368" i="11" s="1"/>
  <c r="U364" i="9"/>
  <c r="V363" i="9" s="1"/>
  <c r="P368" i="9"/>
  <c r="Q368" i="9" s="1"/>
  <c r="W368" i="9" s="1"/>
  <c r="T368" i="9"/>
  <c r="U368" i="9"/>
  <c r="V367" i="9" s="1"/>
  <c r="P372" i="9"/>
  <c r="Q372" i="9" s="1"/>
  <c r="W372" i="9" s="1"/>
  <c r="T372" i="9"/>
  <c r="D376" i="11" s="1"/>
  <c r="F376" i="11" s="1"/>
  <c r="U372" i="9"/>
  <c r="V371" i="9" s="1"/>
  <c r="P376" i="9"/>
  <c r="Q376" i="9" s="1"/>
  <c r="W376" i="9" s="1"/>
  <c r="T376" i="9"/>
  <c r="U376" i="9"/>
  <c r="V375" i="9" s="1"/>
  <c r="P380" i="9"/>
  <c r="Q380" i="9" s="1"/>
  <c r="W380" i="9" s="1"/>
  <c r="T380" i="9"/>
  <c r="D384" i="11" s="1"/>
  <c r="F384" i="11" s="1"/>
  <c r="U380" i="9"/>
  <c r="V379" i="9" s="1"/>
  <c r="U384" i="9"/>
  <c r="V383" i="9" s="1"/>
  <c r="P384" i="9"/>
  <c r="Q384" i="9" s="1"/>
  <c r="W384" i="9" s="1"/>
  <c r="T384" i="9"/>
  <c r="P388" i="9"/>
  <c r="Q388" i="9" s="1"/>
  <c r="W388" i="9" s="1"/>
  <c r="T388" i="9"/>
  <c r="P392" i="9"/>
  <c r="T392" i="9"/>
  <c r="P396" i="9"/>
  <c r="Q396" i="9" s="1"/>
  <c r="W396" i="9" s="1"/>
  <c r="T396" i="9"/>
  <c r="P400" i="9"/>
  <c r="Q400" i="9" s="1"/>
  <c r="W400" i="9" s="1"/>
  <c r="T400" i="9"/>
  <c r="P404" i="9"/>
  <c r="Q404" i="9" s="1"/>
  <c r="W404" i="9" s="1"/>
  <c r="T404" i="9"/>
  <c r="P408" i="9"/>
  <c r="T408" i="9"/>
  <c r="P412" i="9"/>
  <c r="Q412" i="9" s="1"/>
  <c r="W412" i="9" s="1"/>
  <c r="T412" i="9"/>
  <c r="P416" i="9"/>
  <c r="Q416" i="9" s="1"/>
  <c r="W416" i="9" s="1"/>
  <c r="T416" i="9"/>
  <c r="P420" i="9"/>
  <c r="Q420" i="9" s="1"/>
  <c r="W420" i="9" s="1"/>
  <c r="T420" i="9"/>
  <c r="U420" i="9"/>
  <c r="V419" i="9" s="1"/>
  <c r="P424" i="9"/>
  <c r="Q424" i="9" s="1"/>
  <c r="W424" i="9" s="1"/>
  <c r="T424" i="9"/>
  <c r="U424" i="9"/>
  <c r="V423" i="9" s="1"/>
  <c r="U428" i="9"/>
  <c r="V427" i="9" s="1"/>
  <c r="P428" i="9"/>
  <c r="Q428" i="9" s="1"/>
  <c r="W428" i="9" s="1"/>
  <c r="T428" i="9"/>
  <c r="P432" i="9"/>
  <c r="Q432" i="9" s="1"/>
  <c r="W432" i="9" s="1"/>
  <c r="T432" i="9"/>
  <c r="P436" i="9"/>
  <c r="T436" i="9"/>
  <c r="P440" i="9"/>
  <c r="Q440" i="9" s="1"/>
  <c r="W440" i="9" s="1"/>
  <c r="T440" i="9"/>
  <c r="P444" i="9"/>
  <c r="Q444" i="9" s="1"/>
  <c r="W444" i="9" s="1"/>
  <c r="T444" i="9"/>
  <c r="P448" i="9"/>
  <c r="Q448" i="9" s="1"/>
  <c r="W448" i="9" s="1"/>
  <c r="T448" i="9"/>
  <c r="P452" i="9"/>
  <c r="T452" i="9"/>
  <c r="P460" i="9"/>
  <c r="Q460" i="9" s="1"/>
  <c r="W460" i="9" s="1"/>
  <c r="T460" i="9"/>
  <c r="U464" i="9"/>
  <c r="V463" i="9" s="1"/>
  <c r="P464" i="9"/>
  <c r="Q464" i="9" s="1"/>
  <c r="W464" i="9" s="1"/>
  <c r="T464" i="9"/>
  <c r="P468" i="9"/>
  <c r="Q468" i="9" s="1"/>
  <c r="W468" i="9" s="1"/>
  <c r="T468" i="9"/>
  <c r="P472" i="9"/>
  <c r="T472" i="9"/>
  <c r="P476" i="9"/>
  <c r="Q476" i="9" s="1"/>
  <c r="W476" i="9" s="1"/>
  <c r="T476" i="9"/>
  <c r="P480" i="9"/>
  <c r="Q480" i="9" s="1"/>
  <c r="W480" i="9" s="1"/>
  <c r="T480" i="9"/>
  <c r="P484" i="9"/>
  <c r="Q484" i="9" s="1"/>
  <c r="W484" i="9" s="1"/>
  <c r="T484" i="9"/>
  <c r="P488" i="9"/>
  <c r="T488" i="9"/>
  <c r="P492" i="9"/>
  <c r="Q492" i="9" s="1"/>
  <c r="W492" i="9" s="1"/>
  <c r="T492" i="9"/>
  <c r="U496" i="9"/>
  <c r="V495" i="9" s="1"/>
  <c r="P496" i="9"/>
  <c r="Q496" i="9" s="1"/>
  <c r="W496" i="9" s="1"/>
  <c r="T496" i="9"/>
  <c r="P500" i="9"/>
  <c r="Q500" i="9" s="1"/>
  <c r="W500" i="9" s="1"/>
  <c r="T500" i="9"/>
  <c r="P504" i="9"/>
  <c r="Q504" i="9" s="1"/>
  <c r="W504" i="9" s="1"/>
  <c r="T504" i="9"/>
  <c r="U504" i="9"/>
  <c r="V503" i="9" s="1"/>
  <c r="P508" i="9"/>
  <c r="Q508" i="9" s="1"/>
  <c r="W508" i="9" s="1"/>
  <c r="T508" i="9"/>
  <c r="U508" i="9"/>
  <c r="V507" i="9" s="1"/>
  <c r="P512" i="9"/>
  <c r="Q512" i="9" s="1"/>
  <c r="W512" i="9" s="1"/>
  <c r="T512" i="9"/>
  <c r="U512" i="9"/>
  <c r="V511" i="9" s="1"/>
  <c r="P516" i="9"/>
  <c r="Q516" i="9" s="1"/>
  <c r="W516" i="9" s="1"/>
  <c r="T516" i="9"/>
  <c r="U516" i="9"/>
  <c r="V515" i="9" s="1"/>
  <c r="P520" i="9"/>
  <c r="Q520" i="9" s="1"/>
  <c r="W520" i="9" s="1"/>
  <c r="T520" i="9"/>
  <c r="U520" i="9"/>
  <c r="V519" i="9" s="1"/>
  <c r="P524" i="9"/>
  <c r="Q524" i="9" s="1"/>
  <c r="W524" i="9" s="1"/>
  <c r="T524" i="9"/>
  <c r="U524" i="9"/>
  <c r="V523" i="9" s="1"/>
  <c r="P528" i="9"/>
  <c r="Q528" i="9" s="1"/>
  <c r="W528" i="9" s="1"/>
  <c r="T528" i="9"/>
  <c r="U528" i="9"/>
  <c r="V527" i="9" s="1"/>
  <c r="P532" i="9"/>
  <c r="Q532" i="9" s="1"/>
  <c r="W532" i="9" s="1"/>
  <c r="T532" i="9"/>
  <c r="U532" i="9"/>
  <c r="V531" i="9" s="1"/>
  <c r="P536" i="9"/>
  <c r="Q536" i="9" s="1"/>
  <c r="W536" i="9" s="1"/>
  <c r="T536" i="9"/>
  <c r="U536" i="9"/>
  <c r="V535" i="9" s="1"/>
  <c r="P540" i="9"/>
  <c r="Q540" i="9" s="1"/>
  <c r="W540" i="9" s="1"/>
  <c r="T540" i="9"/>
  <c r="U540" i="9"/>
  <c r="V539" i="9" s="1"/>
  <c r="P544" i="9"/>
  <c r="Q544" i="9" s="1"/>
  <c r="W544" i="9" s="1"/>
  <c r="T544" i="9"/>
  <c r="U544" i="9"/>
  <c r="V543" i="9" s="1"/>
  <c r="P548" i="9"/>
  <c r="Q548" i="9" s="1"/>
  <c r="W548" i="9" s="1"/>
  <c r="T548" i="9"/>
  <c r="U548" i="9"/>
  <c r="V547" i="9" s="1"/>
  <c r="P552" i="9"/>
  <c r="Q552" i="9" s="1"/>
  <c r="W552" i="9" s="1"/>
  <c r="T552" i="9"/>
  <c r="U552" i="9"/>
  <c r="V551" i="9" s="1"/>
  <c r="P556" i="9"/>
  <c r="Q556" i="9" s="1"/>
  <c r="W556" i="9" s="1"/>
  <c r="T556" i="9"/>
  <c r="U556" i="9"/>
  <c r="V555" i="9" s="1"/>
  <c r="P560" i="9"/>
  <c r="Q560" i="9" s="1"/>
  <c r="W560" i="9" s="1"/>
  <c r="T560" i="9"/>
  <c r="U560" i="9"/>
  <c r="V559" i="9" s="1"/>
  <c r="P564" i="9"/>
  <c r="Q564" i="9" s="1"/>
  <c r="W564" i="9" s="1"/>
  <c r="T564" i="9"/>
  <c r="U564" i="9"/>
  <c r="V563" i="9" s="1"/>
  <c r="P568" i="9"/>
  <c r="Q568" i="9" s="1"/>
  <c r="W568" i="9" s="1"/>
  <c r="T568" i="9"/>
  <c r="U568" i="9"/>
  <c r="V567" i="9" s="1"/>
  <c r="P572" i="9"/>
  <c r="Q572" i="9" s="1"/>
  <c r="W572" i="9" s="1"/>
  <c r="T572" i="9"/>
  <c r="U572" i="9"/>
  <c r="V571" i="9" s="1"/>
  <c r="P576" i="9"/>
  <c r="Q576" i="9" s="1"/>
  <c r="W576" i="9" s="1"/>
  <c r="T576" i="9"/>
  <c r="U576" i="9"/>
  <c r="V575" i="9" s="1"/>
  <c r="P580" i="9"/>
  <c r="Q580" i="9" s="1"/>
  <c r="W580" i="9" s="1"/>
  <c r="T580" i="9"/>
  <c r="U580" i="9"/>
  <c r="V579" i="9" s="1"/>
  <c r="P584" i="9"/>
  <c r="Q584" i="9" s="1"/>
  <c r="W584" i="9" s="1"/>
  <c r="T584" i="9"/>
  <c r="U584" i="9"/>
  <c r="V583" i="9" s="1"/>
  <c r="P588" i="9"/>
  <c r="Q588" i="9" s="1"/>
  <c r="W588" i="9" s="1"/>
  <c r="T588" i="9"/>
  <c r="U588" i="9"/>
  <c r="V587" i="9" s="1"/>
  <c r="P592" i="9"/>
  <c r="T592" i="9"/>
  <c r="P596" i="9"/>
  <c r="Q596" i="9" s="1"/>
  <c r="W596" i="9" s="1"/>
  <c r="T596" i="9"/>
  <c r="P600" i="9"/>
  <c r="Q600" i="9" s="1"/>
  <c r="W600" i="9" s="1"/>
  <c r="T600" i="9"/>
  <c r="P608" i="9"/>
  <c r="Q608" i="9" s="1"/>
  <c r="W608" i="9" s="1"/>
  <c r="T608" i="9"/>
  <c r="P612" i="9"/>
  <c r="T612" i="9"/>
  <c r="P616" i="9"/>
  <c r="Q616" i="9" s="1"/>
  <c r="W616" i="9" s="1"/>
  <c r="T616" i="9"/>
  <c r="U620" i="9"/>
  <c r="V619" i="9" s="1"/>
  <c r="P620" i="9"/>
  <c r="Q620" i="9" s="1"/>
  <c r="W620" i="9" s="1"/>
  <c r="T620" i="9"/>
  <c r="P624" i="9"/>
  <c r="Q624" i="9" s="1"/>
  <c r="W624" i="9" s="1"/>
  <c r="T624" i="9"/>
  <c r="P628" i="9"/>
  <c r="T628" i="9"/>
  <c r="P632" i="9"/>
  <c r="Q632" i="9" s="1"/>
  <c r="W632" i="9" s="1"/>
  <c r="T632" i="9"/>
  <c r="P636" i="9"/>
  <c r="Q636" i="9" s="1"/>
  <c r="W636" i="9" s="1"/>
  <c r="T636" i="9"/>
  <c r="P640" i="9"/>
  <c r="Q640" i="9" s="1"/>
  <c r="W640" i="9" s="1"/>
  <c r="T640" i="9"/>
  <c r="P644" i="9"/>
  <c r="T644" i="9"/>
  <c r="P648" i="9"/>
  <c r="Q648" i="9" s="1"/>
  <c r="W648" i="9" s="1"/>
  <c r="T648" i="9"/>
  <c r="U652" i="9"/>
  <c r="V651" i="9" s="1"/>
  <c r="P652" i="9"/>
  <c r="Q652" i="9" s="1"/>
  <c r="W652" i="9" s="1"/>
  <c r="T652" i="9"/>
  <c r="P656" i="9"/>
  <c r="Q656" i="9" s="1"/>
  <c r="W656" i="9" s="1"/>
  <c r="T656" i="9"/>
  <c r="P660" i="9"/>
  <c r="T660" i="9"/>
  <c r="V664" i="9"/>
  <c r="P664" i="9"/>
  <c r="Q664" i="9" s="1"/>
  <c r="W664" i="9" s="1"/>
  <c r="T664" i="9"/>
  <c r="P668" i="9"/>
  <c r="Q668" i="9" s="1"/>
  <c r="W668" i="9" s="1"/>
  <c r="T668" i="9"/>
  <c r="P672" i="9"/>
  <c r="T672" i="9"/>
  <c r="U688" i="9"/>
  <c r="V687" i="9" s="1"/>
  <c r="U692" i="9"/>
  <c r="V691" i="9" s="1"/>
  <c r="D695" i="11" s="1"/>
  <c r="F695" i="11" s="1"/>
  <c r="U696" i="9"/>
  <c r="V695" i="9" s="1"/>
  <c r="U700" i="9"/>
  <c r="V699" i="9" s="1"/>
  <c r="D703" i="11" s="1"/>
  <c r="F703" i="11" s="1"/>
  <c r="U704" i="9"/>
  <c r="V703" i="9" s="1"/>
  <c r="U708" i="9"/>
  <c r="V707" i="9" s="1"/>
  <c r="D711" i="11" s="1"/>
  <c r="F711" i="11" s="1"/>
  <c r="U712" i="9"/>
  <c r="V711" i="9" s="1"/>
  <c r="U716" i="9"/>
  <c r="V715" i="9" s="1"/>
  <c r="D719" i="11" s="1"/>
  <c r="F719" i="11" s="1"/>
  <c r="U720" i="9"/>
  <c r="U724" i="9"/>
  <c r="V723" i="9" s="1"/>
  <c r="U728" i="9"/>
  <c r="V727" i="9" s="1"/>
  <c r="U732" i="9"/>
  <c r="V731" i="9" s="1"/>
  <c r="U736" i="9"/>
  <c r="V735" i="9" s="1"/>
  <c r="U740" i="9"/>
  <c r="V739" i="9" s="1"/>
  <c r="U744" i="9"/>
  <c r="V743" i="9" s="1"/>
  <c r="U748" i="9"/>
  <c r="V747" i="9" s="1"/>
  <c r="U752" i="9"/>
  <c r="V751" i="9" s="1"/>
  <c r="U756" i="9"/>
  <c r="V755" i="9" s="1"/>
  <c r="U762" i="9"/>
  <c r="V761" i="9" s="1"/>
  <c r="U766" i="9"/>
  <c r="V765" i="9" s="1"/>
  <c r="D769" i="11" s="1"/>
  <c r="F769" i="11" s="1"/>
  <c r="U770" i="9"/>
  <c r="V769" i="9" s="1"/>
  <c r="U774" i="9"/>
  <c r="V773" i="9" s="1"/>
  <c r="D777" i="11" s="1"/>
  <c r="F777" i="11" s="1"/>
  <c r="U778" i="9"/>
  <c r="V777" i="9" s="1"/>
  <c r="U782" i="9"/>
  <c r="V781" i="9" s="1"/>
  <c r="D785" i="11" s="1"/>
  <c r="F785" i="11" s="1"/>
  <c r="U786" i="9"/>
  <c r="V785" i="9" s="1"/>
  <c r="U790" i="9"/>
  <c r="V789" i="9" s="1"/>
  <c r="D793" i="11" s="1"/>
  <c r="F793" i="11" s="1"/>
  <c r="U794" i="9"/>
  <c r="V793" i="9" s="1"/>
  <c r="U798" i="9"/>
  <c r="V797" i="9" s="1"/>
  <c r="D801" i="11" s="1"/>
  <c r="F801" i="11" s="1"/>
  <c r="U802" i="9"/>
  <c r="V801" i="9" s="1"/>
  <c r="U806" i="9"/>
  <c r="V805" i="9" s="1"/>
  <c r="D809" i="11" s="1"/>
  <c r="F809" i="11" s="1"/>
  <c r="U810" i="9"/>
  <c r="V809" i="9" s="1"/>
  <c r="U814" i="9"/>
  <c r="V813" i="9" s="1"/>
  <c r="D817" i="11" s="1"/>
  <c r="F817" i="11" s="1"/>
  <c r="U818" i="9"/>
  <c r="V817" i="9" s="1"/>
  <c r="U822" i="9"/>
  <c r="V821" i="9" s="1"/>
  <c r="D825" i="11" s="1"/>
  <c r="F825" i="11" s="1"/>
  <c r="U826" i="9"/>
  <c r="V825" i="9" s="1"/>
  <c r="U830" i="9"/>
  <c r="V829" i="9" s="1"/>
  <c r="D833" i="11" s="1"/>
  <c r="F833" i="11" s="1"/>
  <c r="U834" i="9"/>
  <c r="V833" i="9" s="1"/>
  <c r="U838" i="9"/>
  <c r="V837" i="9" s="1"/>
  <c r="D841" i="11" s="1"/>
  <c r="F841" i="11" s="1"/>
  <c r="U842" i="9"/>
  <c r="V841" i="9" s="1"/>
  <c r="U846" i="9"/>
  <c r="V845" i="9" s="1"/>
  <c r="D849" i="11" s="1"/>
  <c r="F849" i="11" s="1"/>
  <c r="U850" i="9"/>
  <c r="V849" i="9" s="1"/>
  <c r="V854" i="9"/>
  <c r="P232" i="9"/>
  <c r="Q232" i="9" s="1"/>
  <c r="W232" i="9" s="1"/>
  <c r="T228" i="9"/>
  <c r="P228" i="9"/>
  <c r="U98" i="9"/>
  <c r="V97" i="9" s="1"/>
  <c r="P306" i="9"/>
  <c r="Q306" i="9" s="1"/>
  <c r="W306" i="9" s="1"/>
  <c r="T306" i="9"/>
  <c r="U306" i="9"/>
  <c r="V305" i="9" s="1"/>
  <c r="P310" i="9"/>
  <c r="Q310" i="9" s="1"/>
  <c r="W310" i="9" s="1"/>
  <c r="T310" i="9"/>
  <c r="U310" i="9"/>
  <c r="V309" i="9" s="1"/>
  <c r="P314" i="9"/>
  <c r="Q314" i="9" s="1"/>
  <c r="W314" i="9" s="1"/>
  <c r="T314" i="9"/>
  <c r="U314" i="9"/>
  <c r="V313" i="9" s="1"/>
  <c r="P318" i="9"/>
  <c r="Q318" i="9" s="1"/>
  <c r="W318" i="9" s="1"/>
  <c r="T318" i="9"/>
  <c r="U318" i="9"/>
  <c r="V317" i="9" s="1"/>
  <c r="P322" i="9"/>
  <c r="Q322" i="9" s="1"/>
  <c r="W322" i="9" s="1"/>
  <c r="T322" i="9"/>
  <c r="P326" i="9"/>
  <c r="Q326" i="9" s="1"/>
  <c r="W326" i="9" s="1"/>
  <c r="T326" i="9"/>
  <c r="P330" i="9"/>
  <c r="Q330" i="9" s="1"/>
  <c r="W330" i="9" s="1"/>
  <c r="T330" i="9"/>
  <c r="P334" i="9"/>
  <c r="T334" i="9"/>
  <c r="P338" i="9"/>
  <c r="Q338" i="9" s="1"/>
  <c r="W338" i="9" s="1"/>
  <c r="T338" i="9"/>
  <c r="U342" i="9"/>
  <c r="V341" i="9" s="1"/>
  <c r="P342" i="9"/>
  <c r="Q342" i="9" s="1"/>
  <c r="W342" i="9" s="1"/>
  <c r="T342" i="9"/>
  <c r="P346" i="9"/>
  <c r="Q346" i="9" s="1"/>
  <c r="W346" i="9" s="1"/>
  <c r="T346" i="9"/>
  <c r="P350" i="9"/>
  <c r="Q350" i="9" s="1"/>
  <c r="W350" i="9" s="1"/>
  <c r="T350" i="9"/>
  <c r="U350" i="9"/>
  <c r="V349" i="9" s="1"/>
  <c r="P354" i="9"/>
  <c r="Q354" i="9" s="1"/>
  <c r="W354" i="9" s="1"/>
  <c r="T354" i="9"/>
  <c r="U354" i="9"/>
  <c r="V353" i="9" s="1"/>
  <c r="P358" i="9"/>
  <c r="Q358" i="9" s="1"/>
  <c r="W358" i="9" s="1"/>
  <c r="T358" i="9"/>
  <c r="U358" i="9"/>
  <c r="V357" i="9" s="1"/>
  <c r="P362" i="9"/>
  <c r="Q362" i="9" s="1"/>
  <c r="W362" i="9" s="1"/>
  <c r="T362" i="9"/>
  <c r="U362" i="9"/>
  <c r="V361" i="9" s="1"/>
  <c r="P366" i="9"/>
  <c r="Q366" i="9" s="1"/>
  <c r="W366" i="9" s="1"/>
  <c r="T366" i="9"/>
  <c r="U366" i="9"/>
  <c r="V365" i="9" s="1"/>
  <c r="P370" i="9"/>
  <c r="Q370" i="9" s="1"/>
  <c r="W370" i="9" s="1"/>
  <c r="T370" i="9"/>
  <c r="U370" i="9"/>
  <c r="V369" i="9" s="1"/>
  <c r="P374" i="9"/>
  <c r="Q374" i="9" s="1"/>
  <c r="W374" i="9" s="1"/>
  <c r="T374" i="9"/>
  <c r="U374" i="9"/>
  <c r="V373" i="9" s="1"/>
  <c r="P378" i="9"/>
  <c r="Q378" i="9" s="1"/>
  <c r="W378" i="9" s="1"/>
  <c r="T378" i="9"/>
  <c r="U378" i="9"/>
  <c r="V377" i="9" s="1"/>
  <c r="P382" i="9"/>
  <c r="Q382" i="9" s="1"/>
  <c r="W382" i="9" s="1"/>
  <c r="T382" i="9"/>
  <c r="U382" i="9"/>
  <c r="V381" i="9" s="1"/>
  <c r="P386" i="9"/>
  <c r="Q386" i="9" s="1"/>
  <c r="W386" i="9" s="1"/>
  <c r="T386" i="9"/>
  <c r="P390" i="9"/>
  <c r="Q390" i="9" s="1"/>
  <c r="W390" i="9" s="1"/>
  <c r="T390" i="9"/>
  <c r="P394" i="9"/>
  <c r="Q394" i="9" s="1"/>
  <c r="W394" i="9" s="1"/>
  <c r="T394" i="9"/>
  <c r="P398" i="9"/>
  <c r="T398" i="9"/>
  <c r="P402" i="9"/>
  <c r="Q402" i="9" s="1"/>
  <c r="W402" i="9" s="1"/>
  <c r="T402" i="9"/>
  <c r="U406" i="9"/>
  <c r="V405" i="9" s="1"/>
  <c r="P406" i="9"/>
  <c r="Q406" i="9" s="1"/>
  <c r="W406" i="9" s="1"/>
  <c r="T406" i="9"/>
  <c r="P410" i="9"/>
  <c r="Q410" i="9" s="1"/>
  <c r="W410" i="9" s="1"/>
  <c r="T410" i="9"/>
  <c r="P414" i="9"/>
  <c r="T414" i="9"/>
  <c r="P418" i="9"/>
  <c r="Q418" i="9" s="1"/>
  <c r="W418" i="9" s="1"/>
  <c r="T418" i="9"/>
  <c r="U418" i="9"/>
  <c r="V417" i="9" s="1"/>
  <c r="P422" i="9"/>
  <c r="Q422" i="9" s="1"/>
  <c r="W422" i="9" s="1"/>
  <c r="T422" i="9"/>
  <c r="U422" i="9"/>
  <c r="V421" i="9" s="1"/>
  <c r="P426" i="9"/>
  <c r="Q426" i="9" s="1"/>
  <c r="W426" i="9" s="1"/>
  <c r="T426" i="9"/>
  <c r="U430" i="9"/>
  <c r="V429" i="9" s="1"/>
  <c r="P430" i="9"/>
  <c r="Q430" i="9" s="1"/>
  <c r="W430" i="9" s="1"/>
  <c r="T430" i="9"/>
  <c r="P434" i="9"/>
  <c r="Q434" i="9" s="1"/>
  <c r="W434" i="9" s="1"/>
  <c r="T434" i="9"/>
  <c r="P438" i="9"/>
  <c r="T438" i="9"/>
  <c r="P442" i="9"/>
  <c r="Q442" i="9" s="1"/>
  <c r="W442" i="9" s="1"/>
  <c r="T442" i="9"/>
  <c r="U446" i="9"/>
  <c r="V445" i="9" s="1"/>
  <c r="P446" i="9"/>
  <c r="Q446" i="9" s="1"/>
  <c r="W446" i="9" s="1"/>
  <c r="T446" i="9"/>
  <c r="P450" i="9"/>
  <c r="Q450" i="9" s="1"/>
  <c r="W450" i="9" s="1"/>
  <c r="T450" i="9"/>
  <c r="P454" i="9"/>
  <c r="T454" i="9"/>
  <c r="P458" i="9"/>
  <c r="Q458" i="9" s="1"/>
  <c r="W458" i="9" s="1"/>
  <c r="T458" i="9"/>
  <c r="U462" i="9"/>
  <c r="V461" i="9" s="1"/>
  <c r="P462" i="9"/>
  <c r="Q462" i="9" s="1"/>
  <c r="W462" i="9" s="1"/>
  <c r="T462" i="9"/>
  <c r="D466" i="11" s="1"/>
  <c r="F466" i="11" s="1"/>
  <c r="P466" i="9"/>
  <c r="Q466" i="9" s="1"/>
  <c r="W466" i="9" s="1"/>
  <c r="T466" i="9"/>
  <c r="P470" i="9"/>
  <c r="T470" i="9"/>
  <c r="P474" i="9"/>
  <c r="Q474" i="9" s="1"/>
  <c r="W474" i="9" s="1"/>
  <c r="T474" i="9"/>
  <c r="U478" i="9"/>
  <c r="V477" i="9" s="1"/>
  <c r="P478" i="9"/>
  <c r="Q478" i="9" s="1"/>
  <c r="W478" i="9" s="1"/>
  <c r="T478" i="9"/>
  <c r="P482" i="9"/>
  <c r="Q482" i="9" s="1"/>
  <c r="W482" i="9" s="1"/>
  <c r="T482" i="9"/>
  <c r="P486" i="9"/>
  <c r="T486" i="9"/>
  <c r="P490" i="9"/>
  <c r="Q490" i="9" s="1"/>
  <c r="W490" i="9" s="1"/>
  <c r="T490" i="9"/>
  <c r="U494" i="9"/>
  <c r="V493" i="9" s="1"/>
  <c r="P494" i="9"/>
  <c r="Q494" i="9" s="1"/>
  <c r="W494" i="9" s="1"/>
  <c r="T494" i="9"/>
  <c r="D498" i="11" s="1"/>
  <c r="F498" i="11" s="1"/>
  <c r="P498" i="9"/>
  <c r="Q498" i="9" s="1"/>
  <c r="W498" i="9" s="1"/>
  <c r="T498" i="9"/>
  <c r="P502" i="9"/>
  <c r="Q502" i="9" s="1"/>
  <c r="W502" i="9" s="1"/>
  <c r="T502" i="9"/>
  <c r="U502" i="9"/>
  <c r="V501" i="9" s="1"/>
  <c r="P506" i="9"/>
  <c r="Q506" i="9" s="1"/>
  <c r="W506" i="9" s="1"/>
  <c r="T506" i="9"/>
  <c r="U506" i="9"/>
  <c r="V505" i="9" s="1"/>
  <c r="P510" i="9"/>
  <c r="Q510" i="9" s="1"/>
  <c r="W510" i="9" s="1"/>
  <c r="T510" i="9"/>
  <c r="U510" i="9"/>
  <c r="V509" i="9" s="1"/>
  <c r="P514" i="9"/>
  <c r="Q514" i="9" s="1"/>
  <c r="W514" i="9" s="1"/>
  <c r="T514" i="9"/>
  <c r="U514" i="9"/>
  <c r="V513" i="9" s="1"/>
  <c r="P518" i="9"/>
  <c r="Q518" i="9" s="1"/>
  <c r="W518" i="9" s="1"/>
  <c r="T518" i="9"/>
  <c r="U518" i="9"/>
  <c r="V517" i="9" s="1"/>
  <c r="P522" i="9"/>
  <c r="Q522" i="9" s="1"/>
  <c r="W522" i="9" s="1"/>
  <c r="T522" i="9"/>
  <c r="U522" i="9"/>
  <c r="V521" i="9" s="1"/>
  <c r="P526" i="9"/>
  <c r="Q526" i="9" s="1"/>
  <c r="W526" i="9" s="1"/>
  <c r="T526" i="9"/>
  <c r="U526" i="9"/>
  <c r="V525" i="9" s="1"/>
  <c r="P530" i="9"/>
  <c r="Q530" i="9" s="1"/>
  <c r="W530" i="9" s="1"/>
  <c r="T530" i="9"/>
  <c r="U530" i="9"/>
  <c r="V529" i="9" s="1"/>
  <c r="P534" i="9"/>
  <c r="Q534" i="9" s="1"/>
  <c r="W534" i="9" s="1"/>
  <c r="T534" i="9"/>
  <c r="U534" i="9"/>
  <c r="V533" i="9" s="1"/>
  <c r="P538" i="9"/>
  <c r="Q538" i="9" s="1"/>
  <c r="W538" i="9" s="1"/>
  <c r="T538" i="9"/>
  <c r="U538" i="9"/>
  <c r="V537" i="9" s="1"/>
  <c r="P546" i="9"/>
  <c r="Q546" i="9" s="1"/>
  <c r="W546" i="9" s="1"/>
  <c r="T546" i="9"/>
  <c r="U546" i="9"/>
  <c r="V545" i="9" s="1"/>
  <c r="P550" i="9"/>
  <c r="Q550" i="9" s="1"/>
  <c r="W550" i="9" s="1"/>
  <c r="T550" i="9"/>
  <c r="U550" i="9"/>
  <c r="V549" i="9" s="1"/>
  <c r="P554" i="9"/>
  <c r="Q554" i="9" s="1"/>
  <c r="W554" i="9" s="1"/>
  <c r="T554" i="9"/>
  <c r="U554" i="9"/>
  <c r="V553" i="9" s="1"/>
  <c r="P558" i="9"/>
  <c r="Q558" i="9" s="1"/>
  <c r="W558" i="9" s="1"/>
  <c r="T558" i="9"/>
  <c r="U558" i="9"/>
  <c r="V557" i="9" s="1"/>
  <c r="P562" i="9"/>
  <c r="Q562" i="9" s="1"/>
  <c r="W562" i="9" s="1"/>
  <c r="T562" i="9"/>
  <c r="U562" i="9"/>
  <c r="V561" i="9" s="1"/>
  <c r="P566" i="9"/>
  <c r="Q566" i="9" s="1"/>
  <c r="W566" i="9" s="1"/>
  <c r="T566" i="9"/>
  <c r="U566" i="9"/>
  <c r="V565" i="9" s="1"/>
  <c r="P570" i="9"/>
  <c r="Q570" i="9" s="1"/>
  <c r="W570" i="9" s="1"/>
  <c r="T570" i="9"/>
  <c r="U570" i="9"/>
  <c r="V569" i="9" s="1"/>
  <c r="P574" i="9"/>
  <c r="Q574" i="9" s="1"/>
  <c r="W574" i="9" s="1"/>
  <c r="T574" i="9"/>
  <c r="U574" i="9"/>
  <c r="V573" i="9" s="1"/>
  <c r="P578" i="9"/>
  <c r="Q578" i="9" s="1"/>
  <c r="W578" i="9" s="1"/>
  <c r="T578" i="9"/>
  <c r="U578" i="9"/>
  <c r="V577" i="9" s="1"/>
  <c r="P582" i="9"/>
  <c r="Q582" i="9" s="1"/>
  <c r="W582" i="9" s="1"/>
  <c r="T582" i="9"/>
  <c r="U582" i="9"/>
  <c r="V581" i="9" s="1"/>
  <c r="P586" i="9"/>
  <c r="Q586" i="9" s="1"/>
  <c r="W586" i="9" s="1"/>
  <c r="T586" i="9"/>
  <c r="U586" i="9"/>
  <c r="V585" i="9" s="1"/>
  <c r="P590" i="9"/>
  <c r="Q590" i="9" s="1"/>
  <c r="W590" i="9" s="1"/>
  <c r="T590" i="9"/>
  <c r="U590" i="9"/>
  <c r="V589" i="9" s="1"/>
  <c r="P594" i="9"/>
  <c r="T594" i="9"/>
  <c r="P598" i="9"/>
  <c r="Q598" i="9" s="1"/>
  <c r="W598" i="9" s="1"/>
  <c r="T598" i="9"/>
  <c r="P602" i="9"/>
  <c r="Q602" i="9" s="1"/>
  <c r="W602" i="9" s="1"/>
  <c r="T602" i="9"/>
  <c r="P606" i="9"/>
  <c r="Q606" i="9" s="1"/>
  <c r="W606" i="9" s="1"/>
  <c r="T606" i="9"/>
  <c r="P610" i="9"/>
  <c r="T610" i="9"/>
  <c r="P614" i="9"/>
  <c r="Q614" i="9" s="1"/>
  <c r="W614" i="9" s="1"/>
  <c r="T614" i="9"/>
  <c r="U618" i="9"/>
  <c r="V617" i="9" s="1"/>
  <c r="P618" i="9"/>
  <c r="Q618" i="9" s="1"/>
  <c r="W618" i="9" s="1"/>
  <c r="T618" i="9"/>
  <c r="P622" i="9"/>
  <c r="Q622" i="9" s="1"/>
  <c r="W622" i="9" s="1"/>
  <c r="T622" i="9"/>
  <c r="P626" i="9"/>
  <c r="T626" i="9"/>
  <c r="P630" i="9"/>
  <c r="Q630" i="9" s="1"/>
  <c r="W630" i="9" s="1"/>
  <c r="T630" i="9"/>
  <c r="P634" i="9"/>
  <c r="Q634" i="9" s="1"/>
  <c r="W634" i="9" s="1"/>
  <c r="T634" i="9"/>
  <c r="P638" i="9"/>
  <c r="Q638" i="9" s="1"/>
  <c r="W638" i="9" s="1"/>
  <c r="T638" i="9"/>
  <c r="U642" i="9"/>
  <c r="V641" i="9" s="1"/>
  <c r="P642" i="9"/>
  <c r="Q642" i="9" s="1"/>
  <c r="W642" i="9" s="1"/>
  <c r="T642" i="9"/>
  <c r="D646" i="11" s="1"/>
  <c r="F646" i="11" s="1"/>
  <c r="P646" i="9"/>
  <c r="Q646" i="9" s="1"/>
  <c r="W646" i="9" s="1"/>
  <c r="T646" i="9"/>
  <c r="P650" i="9"/>
  <c r="Q650" i="9" s="1"/>
  <c r="W650" i="9" s="1"/>
  <c r="T650" i="9"/>
  <c r="P654" i="9"/>
  <c r="Q654" i="9" s="1"/>
  <c r="W654" i="9" s="1"/>
  <c r="T654" i="9"/>
  <c r="U658" i="9"/>
  <c r="V657" i="9" s="1"/>
  <c r="P658" i="9"/>
  <c r="Q658" i="9" s="1"/>
  <c r="W658" i="9" s="1"/>
  <c r="T658" i="9"/>
  <c r="P662" i="9"/>
  <c r="Q662" i="9" s="1"/>
  <c r="W662" i="9" s="1"/>
  <c r="T662" i="9"/>
  <c r="P666" i="9"/>
  <c r="Q666" i="9" s="1"/>
  <c r="W666" i="9" s="1"/>
  <c r="T666" i="9"/>
  <c r="P670" i="9"/>
  <c r="Q670" i="9" s="1"/>
  <c r="W670" i="9" s="1"/>
  <c r="T670" i="9"/>
  <c r="U674" i="9"/>
  <c r="V673" i="9" s="1"/>
  <c r="P674" i="9"/>
  <c r="Q674" i="9" s="1"/>
  <c r="W674" i="9" s="1"/>
  <c r="T674" i="9"/>
  <c r="P676" i="9"/>
  <c r="Q676" i="9" s="1"/>
  <c r="W676" i="9" s="1"/>
  <c r="T676" i="9"/>
  <c r="P678" i="9"/>
  <c r="Q678" i="9" s="1"/>
  <c r="W678" i="9" s="1"/>
  <c r="T678" i="9"/>
  <c r="P680" i="9"/>
  <c r="Q680" i="9" s="1"/>
  <c r="W680" i="9" s="1"/>
  <c r="T680" i="9"/>
  <c r="U682" i="9"/>
  <c r="V681" i="9" s="1"/>
  <c r="P682" i="9"/>
  <c r="Q682" i="9" s="1"/>
  <c r="W682" i="9" s="1"/>
  <c r="T682" i="9"/>
  <c r="P684" i="9"/>
  <c r="Q684" i="9" s="1"/>
  <c r="W684" i="9" s="1"/>
  <c r="T684" i="9"/>
  <c r="P686" i="9"/>
  <c r="Q686" i="9" s="1"/>
  <c r="W686" i="9" s="1"/>
  <c r="T686" i="9"/>
  <c r="U690" i="9"/>
  <c r="V689" i="9" s="1"/>
  <c r="U694" i="9"/>
  <c r="V693" i="9" s="1"/>
  <c r="U698" i="9"/>
  <c r="V697" i="9" s="1"/>
  <c r="U702" i="9"/>
  <c r="V701" i="9" s="1"/>
  <c r="U706" i="9"/>
  <c r="V705" i="9" s="1"/>
  <c r="U710" i="9"/>
  <c r="V709" i="9" s="1"/>
  <c r="U714" i="9"/>
  <c r="V713" i="9" s="1"/>
  <c r="V718" i="9"/>
  <c r="U718" i="9"/>
  <c r="V717" i="9" s="1"/>
  <c r="U722" i="9"/>
  <c r="V721" i="9" s="1"/>
  <c r="U726" i="9"/>
  <c r="V725" i="9" s="1"/>
  <c r="U730" i="9"/>
  <c r="V729" i="9" s="1"/>
  <c r="U734" i="9"/>
  <c r="V733" i="9" s="1"/>
  <c r="U738" i="9"/>
  <c r="V737" i="9" s="1"/>
  <c r="U742" i="9"/>
  <c r="V741" i="9" s="1"/>
  <c r="U746" i="9"/>
  <c r="V745" i="9" s="1"/>
  <c r="U750" i="9"/>
  <c r="V749" i="9" s="1"/>
  <c r="U754" i="9"/>
  <c r="V753" i="9" s="1"/>
  <c r="U758" i="9"/>
  <c r="V757" i="9" s="1"/>
  <c r="U760" i="9"/>
  <c r="V759" i="9" s="1"/>
  <c r="U764" i="9"/>
  <c r="V763" i="9" s="1"/>
  <c r="U768" i="9"/>
  <c r="V767" i="9" s="1"/>
  <c r="U772" i="9"/>
  <c r="V771" i="9" s="1"/>
  <c r="U776" i="9"/>
  <c r="V775" i="9" s="1"/>
  <c r="U780" i="9"/>
  <c r="V779" i="9" s="1"/>
  <c r="U784" i="9"/>
  <c r="V783" i="9" s="1"/>
  <c r="U788" i="9"/>
  <c r="V787" i="9" s="1"/>
  <c r="U792" i="9"/>
  <c r="V791" i="9" s="1"/>
  <c r="U796" i="9"/>
  <c r="V795" i="9" s="1"/>
  <c r="U800" i="9"/>
  <c r="V799" i="9" s="1"/>
  <c r="U804" i="9"/>
  <c r="V803" i="9" s="1"/>
  <c r="U808" i="9"/>
  <c r="V807" i="9" s="1"/>
  <c r="U812" i="9"/>
  <c r="V811" i="9" s="1"/>
  <c r="U816" i="9"/>
  <c r="V815" i="9" s="1"/>
  <c r="U820" i="9"/>
  <c r="V819" i="9" s="1"/>
  <c r="U824" i="9"/>
  <c r="V823" i="9" s="1"/>
  <c r="U828" i="9"/>
  <c r="V827" i="9" s="1"/>
  <c r="U832" i="9"/>
  <c r="V831" i="9" s="1"/>
  <c r="U836" i="9"/>
  <c r="V835" i="9" s="1"/>
  <c r="U840" i="9"/>
  <c r="V839" i="9" s="1"/>
  <c r="U844" i="9"/>
  <c r="V843" i="9" s="1"/>
  <c r="U848" i="9"/>
  <c r="V847" i="9" s="1"/>
  <c r="U852" i="9"/>
  <c r="V851" i="9" s="1"/>
  <c r="U854" i="9"/>
  <c r="V853" i="9" s="1"/>
  <c r="D857" i="11" s="1"/>
  <c r="F857" i="11" s="1"/>
  <c r="T60" i="9"/>
  <c r="P73" i="9"/>
  <c r="U73" i="9" s="1"/>
  <c r="V72" i="9" s="1"/>
  <c r="W87" i="9"/>
  <c r="W85" i="9"/>
  <c r="W91" i="9"/>
  <c r="P90" i="9"/>
  <c r="Q90" i="9" s="1"/>
  <c r="X98" i="9"/>
  <c r="W98" i="9"/>
  <c r="V99" i="9"/>
  <c r="Q95" i="9"/>
  <c r="W95" i="9" s="1"/>
  <c r="T99" i="9"/>
  <c r="P93" i="9"/>
  <c r="Q93" i="9" s="1"/>
  <c r="W93" i="9" s="1"/>
  <c r="P96" i="9"/>
  <c r="Q96" i="9" s="1"/>
  <c r="U94" i="9"/>
  <c r="V93" i="9" s="1"/>
  <c r="P80" i="9"/>
  <c r="Q80" i="9" s="1"/>
  <c r="W80" i="9" s="1"/>
  <c r="T56" i="9"/>
  <c r="T58" i="9"/>
  <c r="T59" i="9"/>
  <c r="T61" i="9"/>
  <c r="P62" i="9"/>
  <c r="Q62" i="9" s="1"/>
  <c r="W62" i="9" s="1"/>
  <c r="W96" i="9"/>
  <c r="X94" i="9"/>
  <c r="W94" i="9"/>
  <c r="T93" i="9"/>
  <c r="U91" i="9"/>
  <c r="V90" i="9" s="1"/>
  <c r="P89" i="9"/>
  <c r="Q89" i="9" s="1"/>
  <c r="W89" i="9" s="1"/>
  <c r="U87" i="9"/>
  <c r="V86" i="9" s="1"/>
  <c r="T96" i="9"/>
  <c r="U90" i="9"/>
  <c r="P84" i="9"/>
  <c r="Q84" i="9" s="1"/>
  <c r="W84" i="9" s="1"/>
  <c r="P72" i="9"/>
  <c r="Q72" i="9" s="1"/>
  <c r="W72" i="9" s="1"/>
  <c r="U92" i="9"/>
  <c r="V91" i="9" s="1"/>
  <c r="U88" i="9"/>
  <c r="V87" i="9" s="1"/>
  <c r="W63" i="9"/>
  <c r="T51" i="9"/>
  <c r="W77" i="9"/>
  <c r="W75" i="9"/>
  <c r="W67" i="9"/>
  <c r="U59" i="9"/>
  <c r="V58" i="9" s="1"/>
  <c r="W71" i="9"/>
  <c r="P76" i="9"/>
  <c r="Q76" i="9" s="1"/>
  <c r="W76" i="9" s="1"/>
  <c r="P68" i="9"/>
  <c r="Q68" i="9" s="1"/>
  <c r="W68" i="9" s="1"/>
  <c r="T48" i="9"/>
  <c r="T53" i="9"/>
  <c r="T50" i="9"/>
  <c r="T52" i="9"/>
  <c r="W57" i="9"/>
  <c r="U51" i="9"/>
  <c r="V50" i="9" s="1"/>
  <c r="W49" i="9"/>
  <c r="W56" i="9"/>
  <c r="G18" i="9"/>
  <c r="G28" i="9"/>
  <c r="G32" i="9"/>
  <c r="P82" i="9"/>
  <c r="Q82" i="9" s="1"/>
  <c r="W82" i="9" s="1"/>
  <c r="P78" i="9"/>
  <c r="Q78" i="9" s="1"/>
  <c r="W78" i="9" s="1"/>
  <c r="P74" i="9"/>
  <c r="Q74" i="9" s="1"/>
  <c r="W74" i="9" s="1"/>
  <c r="P70" i="9"/>
  <c r="Q70" i="9" s="1"/>
  <c r="W70" i="9" s="1"/>
  <c r="P66" i="9"/>
  <c r="Q66" i="9" s="1"/>
  <c r="W66" i="9" s="1"/>
  <c r="W81" i="9"/>
  <c r="W92" i="9"/>
  <c r="X90" i="9"/>
  <c r="W90" i="9"/>
  <c r="W88" i="9"/>
  <c r="T91" i="9"/>
  <c r="T87" i="9"/>
  <c r="U85" i="9"/>
  <c r="V84" i="9" s="1"/>
  <c r="P79" i="9"/>
  <c r="Q79" i="9" s="1"/>
  <c r="W79" i="9" s="1"/>
  <c r="U77" i="9"/>
  <c r="V76" i="9" s="1"/>
  <c r="T92" i="9"/>
  <c r="T88" i="9"/>
  <c r="U86" i="9"/>
  <c r="V85" i="9" s="1"/>
  <c r="Q83" i="9"/>
  <c r="W83" i="9" s="1"/>
  <c r="U81" i="9"/>
  <c r="V80" i="9" s="1"/>
  <c r="Q73" i="9"/>
  <c r="W73" i="9" s="1"/>
  <c r="Q69" i="9"/>
  <c r="W69" i="9" s="1"/>
  <c r="U74" i="9"/>
  <c r="V73" i="9" s="1"/>
  <c r="P64" i="9"/>
  <c r="Q64" i="9" s="1"/>
  <c r="W64" i="9" s="1"/>
  <c r="W58" i="9"/>
  <c r="W6" i="9"/>
  <c r="T49" i="9"/>
  <c r="T55" i="9"/>
  <c r="T57" i="9"/>
  <c r="P65" i="9"/>
  <c r="Q65" i="9" s="1"/>
  <c r="W65" i="9" s="1"/>
  <c r="U63" i="9"/>
  <c r="V62" i="9" s="1"/>
  <c r="X82" i="9"/>
  <c r="X78" i="9"/>
  <c r="X74" i="9"/>
  <c r="X70" i="9"/>
  <c r="X66" i="9"/>
  <c r="X62" i="9"/>
  <c r="T85" i="9"/>
  <c r="T81" i="9"/>
  <c r="T77" i="9"/>
  <c r="U75" i="9"/>
  <c r="V74" i="9" s="1"/>
  <c r="T75" i="9"/>
  <c r="U71" i="9"/>
  <c r="V70" i="9" s="1"/>
  <c r="T71" i="9"/>
  <c r="U67" i="9"/>
  <c r="X86" i="9"/>
  <c r="W86" i="9"/>
  <c r="U80" i="9"/>
  <c r="V79" i="9" s="1"/>
  <c r="T8" i="9"/>
  <c r="T67" i="9"/>
  <c r="T63" i="9"/>
  <c r="U58" i="9"/>
  <c r="V57" i="9" s="1"/>
  <c r="W48" i="9"/>
  <c r="W33" i="9"/>
  <c r="T45" i="9"/>
  <c r="W50" i="9"/>
  <c r="W28" i="9"/>
  <c r="W20" i="9"/>
  <c r="T25" i="9"/>
  <c r="W23" i="9"/>
  <c r="W21" i="9"/>
  <c r="T17" i="9"/>
  <c r="W15" i="9"/>
  <c r="W11" i="9"/>
  <c r="W9" i="9"/>
  <c r="T27" i="9"/>
  <c r="T19" i="9"/>
  <c r="W12" i="9"/>
  <c r="T4" i="9"/>
  <c r="P4" i="9"/>
  <c r="Q4" i="9" s="1"/>
  <c r="W4" i="9" s="1"/>
  <c r="U30" i="9"/>
  <c r="V29" i="9" s="1"/>
  <c r="W37" i="9"/>
  <c r="W29" i="9"/>
  <c r="U23" i="9"/>
  <c r="U15" i="9"/>
  <c r="V14" i="9" s="1"/>
  <c r="U11" i="9"/>
  <c r="V10" i="9" s="1"/>
  <c r="U50" i="9"/>
  <c r="V49" i="9" s="1"/>
  <c r="T10" i="9"/>
  <c r="U8" i="9"/>
  <c r="V7" i="9" s="1"/>
  <c r="W61" i="9"/>
  <c r="U55" i="9"/>
  <c r="W53" i="9"/>
  <c r="T47" i="9"/>
  <c r="T43" i="9"/>
  <c r="W27" i="9"/>
  <c r="U27" i="9"/>
  <c r="W25" i="9"/>
  <c r="T23" i="9"/>
  <c r="T21" i="9"/>
  <c r="W19" i="9"/>
  <c r="U19" i="9"/>
  <c r="V18" i="9" s="1"/>
  <c r="W17" i="9"/>
  <c r="T15" i="9"/>
  <c r="T11" i="9"/>
  <c r="T9" i="9"/>
  <c r="W24" i="9"/>
  <c r="W16" i="9"/>
  <c r="Q45" i="9"/>
  <c r="W45" i="9" s="1"/>
  <c r="U45" i="9"/>
  <c r="Q47" i="9"/>
  <c r="W47" i="9" s="1"/>
  <c r="U47" i="9"/>
  <c r="Q43" i="9"/>
  <c r="W43" i="9" s="1"/>
  <c r="U43" i="9"/>
  <c r="V42" i="9" s="1"/>
  <c r="P13" i="9"/>
  <c r="Q13" i="9" s="1"/>
  <c r="W13" i="9" s="1"/>
  <c r="U61" i="9"/>
  <c r="V60" i="9" s="1"/>
  <c r="W59" i="9"/>
  <c r="W55" i="9"/>
  <c r="W51" i="9"/>
  <c r="W41" i="9"/>
  <c r="T39" i="9"/>
  <c r="T35" i="9"/>
  <c r="T31" i="9"/>
  <c r="T5" i="9"/>
  <c r="P5" i="9"/>
  <c r="Q5" i="9" s="1"/>
  <c r="W5" i="9" s="1"/>
  <c r="W60" i="9"/>
  <c r="X60" i="9"/>
  <c r="X56" i="9"/>
  <c r="P54" i="9"/>
  <c r="Q54" i="9" s="1"/>
  <c r="W54" i="9" s="1"/>
  <c r="P44" i="9"/>
  <c r="Q44" i="9" s="1"/>
  <c r="W44" i="9" s="1"/>
  <c r="T44" i="9"/>
  <c r="P40" i="9"/>
  <c r="Q40" i="9" s="1"/>
  <c r="W40" i="9" s="1"/>
  <c r="T40" i="9"/>
  <c r="P36" i="9"/>
  <c r="Q36" i="9" s="1"/>
  <c r="W36" i="9" s="1"/>
  <c r="T36" i="9"/>
  <c r="P32" i="9"/>
  <c r="Q32" i="9" s="1"/>
  <c r="W32" i="9" s="1"/>
  <c r="T32" i="9"/>
  <c r="T26" i="9"/>
  <c r="P26" i="9"/>
  <c r="Q26" i="9" s="1"/>
  <c r="W26" i="9" s="1"/>
  <c r="T22" i="9"/>
  <c r="P22" i="9"/>
  <c r="Q22" i="9" s="1"/>
  <c r="W22" i="9" s="1"/>
  <c r="T18" i="9"/>
  <c r="P18" i="9"/>
  <c r="Q18" i="9" s="1"/>
  <c r="W18" i="9" s="1"/>
  <c r="T14" i="9"/>
  <c r="P14" i="9"/>
  <c r="Q14" i="9" s="1"/>
  <c r="W14" i="9" s="1"/>
  <c r="Q10" i="9"/>
  <c r="W10" i="9" s="1"/>
  <c r="U10" i="9"/>
  <c r="V9" i="9" s="1"/>
  <c r="W8" i="9"/>
  <c r="U57" i="9"/>
  <c r="V56" i="9" s="1"/>
  <c r="U53" i="9"/>
  <c r="V52" i="9" s="1"/>
  <c r="U49" i="9"/>
  <c r="V48" i="9" s="1"/>
  <c r="U41" i="9"/>
  <c r="V40" i="9" s="1"/>
  <c r="T41" i="9"/>
  <c r="P39" i="9"/>
  <c r="Q39" i="9" s="1"/>
  <c r="W39" i="9" s="1"/>
  <c r="U37" i="9"/>
  <c r="V36" i="9" s="1"/>
  <c r="T37" i="9"/>
  <c r="P35" i="9"/>
  <c r="Q35" i="9" s="1"/>
  <c r="W35" i="9" s="1"/>
  <c r="U33" i="9"/>
  <c r="V32" i="9" s="1"/>
  <c r="T33" i="9"/>
  <c r="P31" i="9"/>
  <c r="Q31" i="9" s="1"/>
  <c r="W31" i="9" s="1"/>
  <c r="U29" i="9"/>
  <c r="V28" i="9" s="1"/>
  <c r="T29" i="9"/>
  <c r="U25" i="9"/>
  <c r="V24" i="9" s="1"/>
  <c r="U21" i="9"/>
  <c r="V20" i="9" s="1"/>
  <c r="U17" i="9"/>
  <c r="V16" i="9" s="1"/>
  <c r="U9" i="9"/>
  <c r="V8" i="9" s="1"/>
  <c r="W52" i="9"/>
  <c r="X52" i="9"/>
  <c r="X48" i="9"/>
  <c r="P7" i="9"/>
  <c r="Q7" i="9" s="1"/>
  <c r="W7" i="9" s="1"/>
  <c r="P46" i="9"/>
  <c r="Q46" i="9" s="1"/>
  <c r="W46" i="9" s="1"/>
  <c r="P42" i="9"/>
  <c r="Q42" i="9" s="1"/>
  <c r="W42" i="9" s="1"/>
  <c r="P38" i="9"/>
  <c r="Q38" i="9" s="1"/>
  <c r="W38" i="9" s="1"/>
  <c r="P34" i="9"/>
  <c r="Q34" i="9" s="1"/>
  <c r="W34" i="9" s="1"/>
  <c r="U28" i="9"/>
  <c r="V27" i="9" s="1"/>
  <c r="T28" i="9"/>
  <c r="U24" i="9"/>
  <c r="V23" i="9" s="1"/>
  <c r="T24" i="9"/>
  <c r="U20" i="9"/>
  <c r="V19" i="9" s="1"/>
  <c r="T20" i="9"/>
  <c r="U16" i="9"/>
  <c r="V15" i="9" s="1"/>
  <c r="T16" i="9"/>
  <c r="U12" i="9"/>
  <c r="V11" i="9" s="1"/>
  <c r="T12" i="9"/>
  <c r="U6" i="9"/>
  <c r="V5" i="9" s="1"/>
  <c r="T6" i="9"/>
  <c r="U60" i="9"/>
  <c r="V59" i="9" s="1"/>
  <c r="U56" i="9"/>
  <c r="V55" i="9" s="1"/>
  <c r="U52" i="9"/>
  <c r="V51" i="9" s="1"/>
  <c r="U48" i="9"/>
  <c r="V47" i="9" s="1"/>
  <c r="C21" i="9"/>
  <c r="C29" i="9"/>
  <c r="D29" i="9" s="1"/>
  <c r="J29" i="9" s="1"/>
  <c r="G44" i="9"/>
  <c r="C39" i="9"/>
  <c r="D39" i="9" s="1"/>
  <c r="G20" i="9"/>
  <c r="C24" i="9"/>
  <c r="D24" i="9" s="1"/>
  <c r="J24" i="9" s="1"/>
  <c r="J6" i="9"/>
  <c r="J10" i="9"/>
  <c r="J14" i="9"/>
  <c r="C38" i="9"/>
  <c r="D38" i="9" s="1"/>
  <c r="J38" i="9" s="1"/>
  <c r="C42" i="9"/>
  <c r="D42" i="9" s="1"/>
  <c r="J42" i="9" s="1"/>
  <c r="G62" i="9"/>
  <c r="A10" i="11"/>
  <c r="G26" i="9"/>
  <c r="J45" i="9"/>
  <c r="J44" i="9"/>
  <c r="J48" i="9"/>
  <c r="J56" i="9"/>
  <c r="J7" i="9"/>
  <c r="J11" i="9"/>
  <c r="C37" i="9"/>
  <c r="D37" i="9" s="1"/>
  <c r="C41" i="9"/>
  <c r="D41" i="9" s="1"/>
  <c r="J37" i="9"/>
  <c r="J41" i="9"/>
  <c r="J8" i="9"/>
  <c r="J12" i="9"/>
  <c r="G36" i="9"/>
  <c r="J52" i="9"/>
  <c r="J60" i="9"/>
  <c r="J9" i="9"/>
  <c r="J13" i="9"/>
  <c r="J47" i="9"/>
  <c r="J51" i="9"/>
  <c r="J55" i="9"/>
  <c r="J59" i="9"/>
  <c r="J61" i="9"/>
  <c r="J46" i="9"/>
  <c r="K46" i="9"/>
  <c r="J54" i="9"/>
  <c r="K54" i="9"/>
  <c r="J50" i="9"/>
  <c r="K50" i="9"/>
  <c r="J58" i="9"/>
  <c r="K58" i="9"/>
  <c r="G6" i="9"/>
  <c r="G8" i="9"/>
  <c r="G12" i="9"/>
  <c r="J40" i="9"/>
  <c r="G48" i="9"/>
  <c r="G52" i="9"/>
  <c r="G56" i="9"/>
  <c r="G60" i="9"/>
  <c r="G10" i="9"/>
  <c r="G14" i="9"/>
  <c r="J39" i="9"/>
  <c r="K39" i="9"/>
  <c r="J43" i="9"/>
  <c r="K43" i="9"/>
  <c r="G46" i="9"/>
  <c r="G50" i="9"/>
  <c r="G54" i="9"/>
  <c r="G58" i="9"/>
  <c r="G7" i="9"/>
  <c r="G11" i="9"/>
  <c r="G47" i="9"/>
  <c r="G51" i="9"/>
  <c r="G55" i="9"/>
  <c r="G59" i="9"/>
  <c r="G61" i="9"/>
  <c r="G9" i="9"/>
  <c r="G13" i="9"/>
  <c r="G49" i="9"/>
  <c r="G53" i="9"/>
  <c r="G57" i="9"/>
  <c r="D15" i="9"/>
  <c r="J15" i="9" s="1"/>
  <c r="D16" i="9"/>
  <c r="J16" i="9" s="1"/>
  <c r="D18" i="9"/>
  <c r="J18" i="9" s="1"/>
  <c r="D20" i="9"/>
  <c r="J20" i="9" s="1"/>
  <c r="D22" i="9"/>
  <c r="J22" i="9" s="1"/>
  <c r="D26" i="9"/>
  <c r="J26" i="9" s="1"/>
  <c r="D28" i="9"/>
  <c r="J28" i="9" s="1"/>
  <c r="D30" i="9"/>
  <c r="J30" i="9" s="1"/>
  <c r="D32" i="9"/>
  <c r="J32" i="9" s="1"/>
  <c r="D34" i="9"/>
  <c r="J34" i="9" s="1"/>
  <c r="D17" i="9"/>
  <c r="J17" i="9" s="1"/>
  <c r="D19" i="9"/>
  <c r="J19" i="9" s="1"/>
  <c r="D21" i="9"/>
  <c r="J21" i="9" s="1"/>
  <c r="D23" i="9"/>
  <c r="J23" i="9" s="1"/>
  <c r="D25" i="9"/>
  <c r="J25" i="9" s="1"/>
  <c r="D27" i="9"/>
  <c r="J27" i="9" s="1"/>
  <c r="D31" i="9"/>
  <c r="J31" i="9" s="1"/>
  <c r="D33" i="9"/>
  <c r="J33" i="9" s="1"/>
  <c r="D35" i="9"/>
  <c r="J35" i="9" s="1"/>
  <c r="D5" i="9"/>
  <c r="G5" i="9"/>
  <c r="H4" i="9"/>
  <c r="C4" i="9"/>
  <c r="A10" i="7"/>
  <c r="A9" i="2"/>
  <c r="A10" i="2" s="1"/>
  <c r="A11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8" i="2"/>
  <c r="V26" i="9" l="1"/>
  <c r="V22" i="9"/>
  <c r="V44" i="9"/>
  <c r="V68" i="9"/>
  <c r="V82" i="9"/>
  <c r="U96" i="9"/>
  <c r="V95" i="9" s="1"/>
  <c r="D99" i="11" s="1"/>
  <c r="F99" i="11" s="1"/>
  <c r="U602" i="9"/>
  <c r="V601" i="9" s="1"/>
  <c r="U326" i="9"/>
  <c r="V325" i="9" s="1"/>
  <c r="D724" i="11"/>
  <c r="F724" i="11" s="1"/>
  <c r="V719" i="9"/>
  <c r="D723" i="11" s="1"/>
  <c r="F723" i="11" s="1"/>
  <c r="D136" i="11"/>
  <c r="F136" i="11" s="1"/>
  <c r="D152" i="11"/>
  <c r="F152" i="11" s="1"/>
  <c r="D168" i="11"/>
  <c r="F168" i="11" s="1"/>
  <c r="D184" i="11"/>
  <c r="F184" i="11" s="1"/>
  <c r="U641" i="9"/>
  <c r="V640" i="9" s="1"/>
  <c r="U609" i="9"/>
  <c r="V608" i="9" s="1"/>
  <c r="U485" i="9"/>
  <c r="V484" i="9" s="1"/>
  <c r="U453" i="9"/>
  <c r="V452" i="9" s="1"/>
  <c r="U421" i="9"/>
  <c r="V420" i="9" s="1"/>
  <c r="U393" i="9"/>
  <c r="V392" i="9" s="1"/>
  <c r="U337" i="9"/>
  <c r="V336" i="9" s="1"/>
  <c r="U245" i="9"/>
  <c r="V244" i="9" s="1"/>
  <c r="D248" i="11" s="1"/>
  <c r="F248" i="11" s="1"/>
  <c r="U190" i="9"/>
  <c r="V189" i="9" s="1"/>
  <c r="U206" i="9"/>
  <c r="V205" i="9" s="1"/>
  <c r="D209" i="11" s="1"/>
  <c r="F209" i="11" s="1"/>
  <c r="U198" i="9"/>
  <c r="V197" i="9" s="1"/>
  <c r="D201" i="11" s="1"/>
  <c r="F201" i="11" s="1"/>
  <c r="U201" i="9"/>
  <c r="U214" i="9"/>
  <c r="V213" i="9" s="1"/>
  <c r="U217" i="9"/>
  <c r="U417" i="9"/>
  <c r="D421" i="11" s="1"/>
  <c r="F421" i="11" s="1"/>
  <c r="U390" i="9"/>
  <c r="V389" i="9" s="1"/>
  <c r="U636" i="9"/>
  <c r="V635" i="9" s="1"/>
  <c r="U600" i="9"/>
  <c r="V599" i="9" s="1"/>
  <c r="U480" i="9"/>
  <c r="V479" i="9" s="1"/>
  <c r="U444" i="9"/>
  <c r="V443" i="9" s="1"/>
  <c r="U400" i="9"/>
  <c r="V399" i="9" s="1"/>
  <c r="U324" i="9"/>
  <c r="V323" i="9" s="1"/>
  <c r="D324" i="11"/>
  <c r="F324" i="11" s="1"/>
  <c r="D316" i="11"/>
  <c r="F316" i="11" s="1"/>
  <c r="D218" i="11"/>
  <c r="F218" i="11" s="1"/>
  <c r="U659" i="9"/>
  <c r="V658" i="9" s="1"/>
  <c r="D662" i="11" s="1"/>
  <c r="F662" i="11" s="1"/>
  <c r="U627" i="9"/>
  <c r="V626" i="9" s="1"/>
  <c r="U599" i="9"/>
  <c r="V598" i="9" s="1"/>
  <c r="U479" i="9"/>
  <c r="V478" i="9" s="1"/>
  <c r="D482" i="11" s="1"/>
  <c r="F482" i="11" s="1"/>
  <c r="U451" i="9"/>
  <c r="V450" i="9" s="1"/>
  <c r="U411" i="9"/>
  <c r="V410" i="9" s="1"/>
  <c r="U339" i="9"/>
  <c r="V338" i="9" s="1"/>
  <c r="D255" i="11"/>
  <c r="F255" i="11" s="1"/>
  <c r="U251" i="9"/>
  <c r="V250" i="9" s="1"/>
  <c r="D254" i="11" s="1"/>
  <c r="F254" i="11" s="1"/>
  <c r="D193" i="11"/>
  <c r="F193" i="11" s="1"/>
  <c r="D217" i="11"/>
  <c r="F217" i="11" s="1"/>
  <c r="D234" i="11"/>
  <c r="F234" i="11" s="1"/>
  <c r="Q610" i="9"/>
  <c r="W610" i="9" s="1"/>
  <c r="U610" i="9"/>
  <c r="V609" i="9" s="1"/>
  <c r="Q486" i="9"/>
  <c r="W486" i="9" s="1"/>
  <c r="U486" i="9"/>
  <c r="V485" i="9" s="1"/>
  <c r="Q454" i="9"/>
  <c r="W454" i="9" s="1"/>
  <c r="U454" i="9"/>
  <c r="V453" i="9" s="1"/>
  <c r="Q414" i="9"/>
  <c r="W414" i="9" s="1"/>
  <c r="U414" i="9"/>
  <c r="V413" i="9" s="1"/>
  <c r="Q334" i="9"/>
  <c r="W334" i="9" s="1"/>
  <c r="U334" i="9"/>
  <c r="V333" i="9" s="1"/>
  <c r="Q660" i="9"/>
  <c r="W660" i="9" s="1"/>
  <c r="U660" i="9"/>
  <c r="V659" i="9" s="1"/>
  <c r="Q628" i="9"/>
  <c r="W628" i="9" s="1"/>
  <c r="U628" i="9"/>
  <c r="V627" i="9" s="1"/>
  <c r="Q592" i="9"/>
  <c r="W592" i="9" s="1"/>
  <c r="U592" i="9"/>
  <c r="V591" i="9" s="1"/>
  <c r="Q472" i="9"/>
  <c r="W472" i="9" s="1"/>
  <c r="U472" i="9"/>
  <c r="V471" i="9" s="1"/>
  <c r="Q436" i="9"/>
  <c r="W436" i="9" s="1"/>
  <c r="U436" i="9"/>
  <c r="V435" i="9" s="1"/>
  <c r="Q392" i="9"/>
  <c r="W392" i="9" s="1"/>
  <c r="U392" i="9"/>
  <c r="V391" i="9" s="1"/>
  <c r="Q651" i="9"/>
  <c r="W651" i="9" s="1"/>
  <c r="U651" i="9"/>
  <c r="V650" i="9" s="1"/>
  <c r="Q619" i="9"/>
  <c r="W619" i="9" s="1"/>
  <c r="U619" i="9"/>
  <c r="V618" i="9" s="1"/>
  <c r="D622" i="11" s="1"/>
  <c r="F622" i="11" s="1"/>
  <c r="Q591" i="9"/>
  <c r="W591" i="9" s="1"/>
  <c r="U591" i="9"/>
  <c r="V590" i="9" s="1"/>
  <c r="Q471" i="9"/>
  <c r="W471" i="9" s="1"/>
  <c r="U471" i="9"/>
  <c r="V470" i="9" s="1"/>
  <c r="Q443" i="9"/>
  <c r="W443" i="9" s="1"/>
  <c r="U443" i="9"/>
  <c r="V442" i="9" s="1"/>
  <c r="Q403" i="9"/>
  <c r="W403" i="9" s="1"/>
  <c r="U403" i="9"/>
  <c r="V402" i="9" s="1"/>
  <c r="Q331" i="9"/>
  <c r="W331" i="9" s="1"/>
  <c r="V331" i="9"/>
  <c r="Q243" i="9"/>
  <c r="W243" i="9" s="1"/>
  <c r="U243" i="9"/>
  <c r="V242" i="9" s="1"/>
  <c r="D246" i="11" s="1"/>
  <c r="F246" i="11" s="1"/>
  <c r="U232" i="9"/>
  <c r="V231" i="9" s="1"/>
  <c r="D235" i="11" s="1"/>
  <c r="F235" i="11" s="1"/>
  <c r="Q669" i="9"/>
  <c r="W669" i="9" s="1"/>
  <c r="U669" i="9"/>
  <c r="V668" i="9" s="1"/>
  <c r="Q633" i="9"/>
  <c r="W633" i="9" s="1"/>
  <c r="U633" i="9"/>
  <c r="V632" i="9" s="1"/>
  <c r="Q601" i="9"/>
  <c r="W601" i="9" s="1"/>
  <c r="U601" i="9"/>
  <c r="V600" i="9" s="1"/>
  <c r="D604" i="11" s="1"/>
  <c r="F604" i="11" s="1"/>
  <c r="Q477" i="9"/>
  <c r="W477" i="9" s="1"/>
  <c r="U477" i="9"/>
  <c r="V476" i="9" s="1"/>
  <c r="Q445" i="9"/>
  <c r="W445" i="9" s="1"/>
  <c r="U445" i="9"/>
  <c r="V444" i="9" s="1"/>
  <c r="D448" i="11" s="1"/>
  <c r="F448" i="11" s="1"/>
  <c r="Q409" i="9"/>
  <c r="W409" i="9" s="1"/>
  <c r="U409" i="9"/>
  <c r="V408" i="9" s="1"/>
  <c r="U84" i="9"/>
  <c r="V83" i="9" s="1"/>
  <c r="U82" i="9"/>
  <c r="V81" i="9" s="1"/>
  <c r="V89" i="9"/>
  <c r="U686" i="9"/>
  <c r="V685" i="9" s="1"/>
  <c r="U678" i="9"/>
  <c r="V677" i="9" s="1"/>
  <c r="U666" i="9"/>
  <c r="U650" i="9"/>
  <c r="V649" i="9" s="1"/>
  <c r="U634" i="9"/>
  <c r="V633" i="9" s="1"/>
  <c r="Q626" i="9"/>
  <c r="W626" i="9" s="1"/>
  <c r="U626" i="9"/>
  <c r="V625" i="9" s="1"/>
  <c r="Q594" i="9"/>
  <c r="W594" i="9" s="1"/>
  <c r="U594" i="9"/>
  <c r="V593" i="9" s="1"/>
  <c r="Q470" i="9"/>
  <c r="W470" i="9" s="1"/>
  <c r="U470" i="9"/>
  <c r="V469" i="9" s="1"/>
  <c r="Q438" i="9"/>
  <c r="W438" i="9" s="1"/>
  <c r="U438" i="9"/>
  <c r="V437" i="9" s="1"/>
  <c r="Q398" i="9"/>
  <c r="W398" i="9" s="1"/>
  <c r="U398" i="9"/>
  <c r="V397" i="9" s="1"/>
  <c r="Q228" i="9"/>
  <c r="W228" i="9" s="1"/>
  <c r="U228" i="9"/>
  <c r="V227" i="9" s="1"/>
  <c r="D231" i="11" s="1"/>
  <c r="F231" i="11" s="1"/>
  <c r="Q672" i="9"/>
  <c r="W672" i="9" s="1"/>
  <c r="U672" i="9"/>
  <c r="V671" i="9" s="1"/>
  <c r="Q644" i="9"/>
  <c r="W644" i="9" s="1"/>
  <c r="U644" i="9"/>
  <c r="V643" i="9" s="1"/>
  <c r="Q612" i="9"/>
  <c r="W612" i="9" s="1"/>
  <c r="U612" i="9"/>
  <c r="V611" i="9" s="1"/>
  <c r="Q488" i="9"/>
  <c r="W488" i="9" s="1"/>
  <c r="U488" i="9"/>
  <c r="V487" i="9" s="1"/>
  <c r="Q452" i="9"/>
  <c r="W452" i="9" s="1"/>
  <c r="U452" i="9"/>
  <c r="V451" i="9" s="1"/>
  <c r="Q408" i="9"/>
  <c r="W408" i="9" s="1"/>
  <c r="U408" i="9"/>
  <c r="V407" i="9" s="1"/>
  <c r="Q336" i="9"/>
  <c r="W336" i="9" s="1"/>
  <c r="U336" i="9"/>
  <c r="V335" i="9" s="1"/>
  <c r="Q667" i="9"/>
  <c r="W667" i="9" s="1"/>
  <c r="U667" i="9"/>
  <c r="V666" i="9" s="1"/>
  <c r="Q635" i="9"/>
  <c r="W635" i="9" s="1"/>
  <c r="U635" i="9"/>
  <c r="V634" i="9" s="1"/>
  <c r="Q603" i="9"/>
  <c r="W603" i="9" s="1"/>
  <c r="V603" i="9"/>
  <c r="Q487" i="9"/>
  <c r="W487" i="9" s="1"/>
  <c r="U487" i="9"/>
  <c r="V486" i="9" s="1"/>
  <c r="D490" i="11" s="1"/>
  <c r="F490" i="11" s="1"/>
  <c r="Q455" i="9"/>
  <c r="W455" i="9" s="1"/>
  <c r="V455" i="9"/>
  <c r="Q427" i="9"/>
  <c r="W427" i="9" s="1"/>
  <c r="U427" i="9"/>
  <c r="V426" i="9" s="1"/>
  <c r="Q387" i="9"/>
  <c r="W387" i="9" s="1"/>
  <c r="U387" i="9"/>
  <c r="V386" i="9" s="1"/>
  <c r="Q259" i="9"/>
  <c r="W259" i="9" s="1"/>
  <c r="U259" i="9"/>
  <c r="V258" i="9" s="1"/>
  <c r="D262" i="11" s="1"/>
  <c r="F262" i="11" s="1"/>
  <c r="Q649" i="9"/>
  <c r="W649" i="9" s="1"/>
  <c r="U649" i="9"/>
  <c r="V648" i="9" s="1"/>
  <c r="Q617" i="9"/>
  <c r="W617" i="9" s="1"/>
  <c r="U617" i="9"/>
  <c r="V616" i="9" s="1"/>
  <c r="D593" i="11"/>
  <c r="F593" i="11" s="1"/>
  <c r="D585" i="11"/>
  <c r="F585" i="11" s="1"/>
  <c r="D577" i="11"/>
  <c r="F577" i="11" s="1"/>
  <c r="D569" i="11"/>
  <c r="F569" i="11" s="1"/>
  <c r="D561" i="11"/>
  <c r="F561" i="11" s="1"/>
  <c r="D553" i="11"/>
  <c r="F553" i="11" s="1"/>
  <c r="D541" i="11"/>
  <c r="F541" i="11" s="1"/>
  <c r="D533" i="11"/>
  <c r="F533" i="11" s="1"/>
  <c r="D525" i="11"/>
  <c r="F525" i="11" s="1"/>
  <c r="D517" i="11"/>
  <c r="F517" i="11" s="1"/>
  <c r="D509" i="11"/>
  <c r="F509" i="11" s="1"/>
  <c r="Q493" i="9"/>
  <c r="W493" i="9" s="1"/>
  <c r="U493" i="9"/>
  <c r="V492" i="9" s="1"/>
  <c r="Q461" i="9"/>
  <c r="W461" i="9" s="1"/>
  <c r="U461" i="9"/>
  <c r="V460" i="9" s="1"/>
  <c r="Q429" i="9"/>
  <c r="W429" i="9" s="1"/>
  <c r="U429" i="9"/>
  <c r="V428" i="9" s="1"/>
  <c r="D432" i="11" s="1"/>
  <c r="F432" i="11" s="1"/>
  <c r="U385" i="9"/>
  <c r="V384" i="9" s="1"/>
  <c r="D388" i="11" s="1"/>
  <c r="F388" i="11" s="1"/>
  <c r="U345" i="9"/>
  <c r="V344" i="9" s="1"/>
  <c r="D348" i="11" s="1"/>
  <c r="F348" i="11" s="1"/>
  <c r="U329" i="9"/>
  <c r="V328" i="9" s="1"/>
  <c r="U257" i="9"/>
  <c r="V256" i="9" s="1"/>
  <c r="D260" i="11" s="1"/>
  <c r="F260" i="11" s="1"/>
  <c r="U237" i="9"/>
  <c r="V236" i="9" s="1"/>
  <c r="D240" i="11" s="1"/>
  <c r="F240" i="11" s="1"/>
  <c r="D119" i="11"/>
  <c r="F119" i="11" s="1"/>
  <c r="D135" i="11"/>
  <c r="F135" i="11" s="1"/>
  <c r="D151" i="11"/>
  <c r="F151" i="11" s="1"/>
  <c r="D167" i="11"/>
  <c r="F167" i="11" s="1"/>
  <c r="D183" i="11"/>
  <c r="F183" i="11" s="1"/>
  <c r="D761" i="11"/>
  <c r="F761" i="11" s="1"/>
  <c r="D745" i="11"/>
  <c r="F745" i="11" s="1"/>
  <c r="D729" i="11"/>
  <c r="F729" i="11" s="1"/>
  <c r="U126" i="9"/>
  <c r="V125" i="9" s="1"/>
  <c r="D129" i="11" s="1"/>
  <c r="F129" i="11" s="1"/>
  <c r="U134" i="9"/>
  <c r="U142" i="9"/>
  <c r="V141" i="9" s="1"/>
  <c r="D145" i="11" s="1"/>
  <c r="F145" i="11" s="1"/>
  <c r="U150" i="9"/>
  <c r="U158" i="9"/>
  <c r="V157" i="9" s="1"/>
  <c r="D161" i="11" s="1"/>
  <c r="F161" i="11" s="1"/>
  <c r="U166" i="9"/>
  <c r="U174" i="9"/>
  <c r="V173" i="9" s="1"/>
  <c r="D177" i="11" s="1"/>
  <c r="F177" i="11" s="1"/>
  <c r="U182" i="9"/>
  <c r="U187" i="9"/>
  <c r="U193" i="9"/>
  <c r="U203" i="9"/>
  <c r="U209" i="9"/>
  <c r="U219" i="9"/>
  <c r="U183" i="9"/>
  <c r="U185" i="9"/>
  <c r="V184" i="9" s="1"/>
  <c r="D188" i="11" s="1"/>
  <c r="F188" i="11" s="1"/>
  <c r="U119" i="9"/>
  <c r="V118" i="9" s="1"/>
  <c r="D122" i="11" s="1"/>
  <c r="F122" i="11" s="1"/>
  <c r="U151" i="9"/>
  <c r="V150" i="9" s="1"/>
  <c r="U223" i="9"/>
  <c r="V222" i="9" s="1"/>
  <c r="U127" i="9"/>
  <c r="V126" i="9" s="1"/>
  <c r="U159" i="9"/>
  <c r="V158" i="9" s="1"/>
  <c r="D162" i="11" s="1"/>
  <c r="F162" i="11" s="1"/>
  <c r="D614" i="11"/>
  <c r="F614" i="11" s="1"/>
  <c r="D594" i="11"/>
  <c r="F594" i="11" s="1"/>
  <c r="D586" i="11"/>
  <c r="F586" i="11" s="1"/>
  <c r="D578" i="11"/>
  <c r="F578" i="11" s="1"/>
  <c r="D570" i="11"/>
  <c r="F570" i="11" s="1"/>
  <c r="D562" i="11"/>
  <c r="F562" i="11" s="1"/>
  <c r="D554" i="11"/>
  <c r="F554" i="11" s="1"/>
  <c r="D542" i="11"/>
  <c r="F542" i="11" s="1"/>
  <c r="D534" i="11"/>
  <c r="F534" i="11" s="1"/>
  <c r="D526" i="11"/>
  <c r="F526" i="11" s="1"/>
  <c r="D518" i="11"/>
  <c r="F518" i="11" s="1"/>
  <c r="D510" i="11"/>
  <c r="F510" i="11" s="1"/>
  <c r="D474" i="11"/>
  <c r="F474" i="11" s="1"/>
  <c r="D422" i="11"/>
  <c r="F422" i="11" s="1"/>
  <c r="D382" i="11"/>
  <c r="F382" i="11" s="1"/>
  <c r="D374" i="11"/>
  <c r="F374" i="11" s="1"/>
  <c r="D366" i="11"/>
  <c r="F366" i="11" s="1"/>
  <c r="D358" i="11"/>
  <c r="F358" i="11" s="1"/>
  <c r="D318" i="11"/>
  <c r="F318" i="11" s="1"/>
  <c r="D310" i="11"/>
  <c r="F310" i="11" s="1"/>
  <c r="D232" i="11"/>
  <c r="F232" i="11" s="1"/>
  <c r="D596" i="11"/>
  <c r="F596" i="11" s="1"/>
  <c r="D592" i="11"/>
  <c r="F592" i="11" s="1"/>
  <c r="D584" i="11"/>
  <c r="F584" i="11" s="1"/>
  <c r="D576" i="11"/>
  <c r="F576" i="11" s="1"/>
  <c r="D568" i="11"/>
  <c r="F568" i="11" s="1"/>
  <c r="D560" i="11"/>
  <c r="F560" i="11" s="1"/>
  <c r="D552" i="11"/>
  <c r="F552" i="11" s="1"/>
  <c r="D544" i="11"/>
  <c r="F544" i="11" s="1"/>
  <c r="D536" i="11"/>
  <c r="F536" i="11" s="1"/>
  <c r="D528" i="11"/>
  <c r="F528" i="11" s="1"/>
  <c r="D520" i="11"/>
  <c r="F520" i="11" s="1"/>
  <c r="D512" i="11"/>
  <c r="F512" i="11" s="1"/>
  <c r="D440" i="11"/>
  <c r="F440" i="11" s="1"/>
  <c r="D396" i="11"/>
  <c r="F396" i="11" s="1"/>
  <c r="D130" i="11"/>
  <c r="F130" i="11" s="1"/>
  <c r="D192" i="11"/>
  <c r="F192" i="11" s="1"/>
  <c r="D200" i="11"/>
  <c r="F200" i="11" s="1"/>
  <c r="D208" i="11"/>
  <c r="F208" i="11" s="1"/>
  <c r="D216" i="11"/>
  <c r="F216" i="11" s="1"/>
  <c r="D226" i="11"/>
  <c r="F226" i="11" s="1"/>
  <c r="D230" i="11"/>
  <c r="F230" i="11" s="1"/>
  <c r="D591" i="11"/>
  <c r="F591" i="11" s="1"/>
  <c r="D583" i="11"/>
  <c r="F583" i="11" s="1"/>
  <c r="D575" i="11"/>
  <c r="F575" i="11" s="1"/>
  <c r="D567" i="11"/>
  <c r="F567" i="11" s="1"/>
  <c r="D559" i="11"/>
  <c r="F559" i="11" s="1"/>
  <c r="D551" i="11"/>
  <c r="F551" i="11" s="1"/>
  <c r="D543" i="11"/>
  <c r="F543" i="11" s="1"/>
  <c r="D535" i="11"/>
  <c r="F535" i="11" s="1"/>
  <c r="D527" i="11"/>
  <c r="F527" i="11" s="1"/>
  <c r="D519" i="11"/>
  <c r="F519" i="11" s="1"/>
  <c r="D511" i="11"/>
  <c r="F511" i="11" s="1"/>
  <c r="D427" i="11"/>
  <c r="F427" i="11" s="1"/>
  <c r="D263" i="11"/>
  <c r="F263" i="11" s="1"/>
  <c r="D247" i="11"/>
  <c r="F247" i="11" s="1"/>
  <c r="D189" i="11"/>
  <c r="F189" i="11" s="1"/>
  <c r="D753" i="11"/>
  <c r="F753" i="11" s="1"/>
  <c r="D737" i="11"/>
  <c r="F737" i="11" s="1"/>
  <c r="U192" i="9"/>
  <c r="U195" i="9"/>
  <c r="U208" i="9"/>
  <c r="U211" i="9"/>
  <c r="U105" i="9"/>
  <c r="V104" i="9" s="1"/>
  <c r="U113" i="9"/>
  <c r="V112" i="9" s="1"/>
  <c r="U121" i="9"/>
  <c r="V120" i="9" s="1"/>
  <c r="U129" i="9"/>
  <c r="V128" i="9" s="1"/>
  <c r="U137" i="9"/>
  <c r="V136" i="9" s="1"/>
  <c r="U145" i="9"/>
  <c r="V144" i="9" s="1"/>
  <c r="U153" i="9"/>
  <c r="V152" i="9" s="1"/>
  <c r="U161" i="9"/>
  <c r="V160" i="9" s="1"/>
  <c r="U169" i="9"/>
  <c r="V168" i="9" s="1"/>
  <c r="U177" i="9"/>
  <c r="V176" i="9" s="1"/>
  <c r="V183" i="9"/>
  <c r="U221" i="9"/>
  <c r="V220" i="9" s="1"/>
  <c r="D224" i="11" s="1"/>
  <c r="F224" i="11" s="1"/>
  <c r="U103" i="9"/>
  <c r="V102" i="9" s="1"/>
  <c r="D106" i="11" s="1"/>
  <c r="F106" i="11" s="1"/>
  <c r="U135" i="9"/>
  <c r="V134" i="9" s="1"/>
  <c r="U167" i="9"/>
  <c r="V166" i="9" s="1"/>
  <c r="U111" i="9"/>
  <c r="V110" i="9" s="1"/>
  <c r="D114" i="11" s="1"/>
  <c r="F114" i="11" s="1"/>
  <c r="U143" i="9"/>
  <c r="V142" i="9" s="1"/>
  <c r="D146" i="11" s="1"/>
  <c r="F146" i="11" s="1"/>
  <c r="U175" i="9"/>
  <c r="V174" i="9" s="1"/>
  <c r="D178" i="11" s="1"/>
  <c r="F178" i="11" s="1"/>
  <c r="U416" i="9"/>
  <c r="V415" i="9" s="1"/>
  <c r="D663" i="11"/>
  <c r="F663" i="11" s="1"/>
  <c r="D655" i="11"/>
  <c r="F655" i="11" s="1"/>
  <c r="D647" i="11"/>
  <c r="F647" i="11" s="1"/>
  <c r="D639" i="11"/>
  <c r="F639" i="11" s="1"/>
  <c r="D631" i="11"/>
  <c r="F631" i="11" s="1"/>
  <c r="D623" i="11"/>
  <c r="F623" i="11" s="1"/>
  <c r="D615" i="11"/>
  <c r="F615" i="11" s="1"/>
  <c r="D603" i="11"/>
  <c r="F603" i="11" s="1"/>
  <c r="D595" i="11"/>
  <c r="F595" i="11" s="1"/>
  <c r="D499" i="11"/>
  <c r="F499" i="11" s="1"/>
  <c r="D491" i="11"/>
  <c r="F491" i="11" s="1"/>
  <c r="D483" i="11"/>
  <c r="F483" i="11" s="1"/>
  <c r="D475" i="11"/>
  <c r="F475" i="11" s="1"/>
  <c r="D467" i="11"/>
  <c r="F467" i="11" s="1"/>
  <c r="D455" i="11"/>
  <c r="F455" i="11" s="1"/>
  <c r="D447" i="11"/>
  <c r="F447" i="11" s="1"/>
  <c r="D439" i="11"/>
  <c r="F439" i="11" s="1"/>
  <c r="D431" i="11"/>
  <c r="F431" i="11" s="1"/>
  <c r="D387" i="11"/>
  <c r="F387" i="11" s="1"/>
  <c r="D379" i="11"/>
  <c r="F379" i="11" s="1"/>
  <c r="D371" i="11"/>
  <c r="F371" i="11" s="1"/>
  <c r="D363" i="11"/>
  <c r="F363" i="11" s="1"/>
  <c r="D355" i="11"/>
  <c r="F355" i="11" s="1"/>
  <c r="D319" i="11"/>
  <c r="F319" i="11" s="1"/>
  <c r="D311" i="11"/>
  <c r="F311" i="11" s="1"/>
  <c r="U267" i="9"/>
  <c r="V266" i="9" s="1"/>
  <c r="D270" i="11" s="1"/>
  <c r="F270" i="11" s="1"/>
  <c r="D661" i="11"/>
  <c r="F661" i="11" s="1"/>
  <c r="D653" i="11"/>
  <c r="F653" i="11" s="1"/>
  <c r="D645" i="11"/>
  <c r="F645" i="11" s="1"/>
  <c r="D637" i="11"/>
  <c r="F637" i="11" s="1"/>
  <c r="D629" i="11"/>
  <c r="F629" i="11" s="1"/>
  <c r="D621" i="11"/>
  <c r="F621" i="11" s="1"/>
  <c r="D613" i="11"/>
  <c r="F613" i="11" s="1"/>
  <c r="D605" i="11"/>
  <c r="F605" i="11" s="1"/>
  <c r="D597" i="11"/>
  <c r="F597" i="11" s="1"/>
  <c r="D497" i="11"/>
  <c r="F497" i="11" s="1"/>
  <c r="D489" i="11"/>
  <c r="F489" i="11" s="1"/>
  <c r="D481" i="11"/>
  <c r="F481" i="11" s="1"/>
  <c r="D473" i="11"/>
  <c r="F473" i="11" s="1"/>
  <c r="D465" i="11"/>
  <c r="F465" i="11" s="1"/>
  <c r="D457" i="11"/>
  <c r="F457" i="11" s="1"/>
  <c r="D449" i="11"/>
  <c r="F449" i="11" s="1"/>
  <c r="D441" i="11"/>
  <c r="F441" i="11" s="1"/>
  <c r="D433" i="11"/>
  <c r="F433" i="11" s="1"/>
  <c r="D425" i="11"/>
  <c r="F425" i="11" s="1"/>
  <c r="D385" i="11"/>
  <c r="F385" i="11" s="1"/>
  <c r="D377" i="11"/>
  <c r="F377" i="11" s="1"/>
  <c r="D369" i="11"/>
  <c r="F369" i="11" s="1"/>
  <c r="D361" i="11"/>
  <c r="F361" i="11" s="1"/>
  <c r="D353" i="11"/>
  <c r="F353" i="11" s="1"/>
  <c r="D321" i="11"/>
  <c r="F321" i="11" s="1"/>
  <c r="D313" i="11"/>
  <c r="F313" i="11" s="1"/>
  <c r="U265" i="9"/>
  <c r="V264" i="9" s="1"/>
  <c r="D268" i="11" s="1"/>
  <c r="F268" i="11" s="1"/>
  <c r="D853" i="11"/>
  <c r="F853" i="11" s="1"/>
  <c r="D845" i="11"/>
  <c r="F845" i="11" s="1"/>
  <c r="D837" i="11"/>
  <c r="F837" i="11" s="1"/>
  <c r="D829" i="11"/>
  <c r="F829" i="11" s="1"/>
  <c r="D821" i="11"/>
  <c r="F821" i="11" s="1"/>
  <c r="D813" i="11"/>
  <c r="F813" i="11" s="1"/>
  <c r="D805" i="11"/>
  <c r="F805" i="11" s="1"/>
  <c r="D797" i="11"/>
  <c r="F797" i="11" s="1"/>
  <c r="D789" i="11"/>
  <c r="F789" i="11" s="1"/>
  <c r="D781" i="11"/>
  <c r="F781" i="11" s="1"/>
  <c r="D773" i="11"/>
  <c r="F773" i="11" s="1"/>
  <c r="D765" i="11"/>
  <c r="F765" i="11" s="1"/>
  <c r="D757" i="11"/>
  <c r="F757" i="11" s="1"/>
  <c r="D749" i="11"/>
  <c r="F749" i="11" s="1"/>
  <c r="D741" i="11"/>
  <c r="F741" i="11" s="1"/>
  <c r="D733" i="11"/>
  <c r="F733" i="11" s="1"/>
  <c r="D725" i="11"/>
  <c r="F725" i="11" s="1"/>
  <c r="D715" i="11"/>
  <c r="F715" i="11" s="1"/>
  <c r="D707" i="11"/>
  <c r="F707" i="11" s="1"/>
  <c r="D699" i="11"/>
  <c r="F699" i="11" s="1"/>
  <c r="U97" i="9"/>
  <c r="U685" i="9"/>
  <c r="V684" i="9" s="1"/>
  <c r="U681" i="9"/>
  <c r="V680" i="9" s="1"/>
  <c r="U677" i="9"/>
  <c r="V676" i="9" s="1"/>
  <c r="D85" i="11"/>
  <c r="F85" i="11" s="1"/>
  <c r="D103" i="11"/>
  <c r="F103" i="11" s="1"/>
  <c r="D102" i="11"/>
  <c r="F102" i="11" s="1"/>
  <c r="D688" i="11"/>
  <c r="F688" i="11" s="1"/>
  <c r="U684" i="9"/>
  <c r="V683" i="9" s="1"/>
  <c r="D684" i="11"/>
  <c r="F684" i="11" s="1"/>
  <c r="U680" i="9"/>
  <c r="V679" i="9" s="1"/>
  <c r="D680" i="11"/>
  <c r="F680" i="11" s="1"/>
  <c r="U676" i="9"/>
  <c r="V675" i="9" s="1"/>
  <c r="U670" i="9"/>
  <c r="V669" i="9" s="1"/>
  <c r="D673" i="11" s="1"/>
  <c r="F673" i="11" s="1"/>
  <c r="U662" i="9"/>
  <c r="V661" i="9" s="1"/>
  <c r="U654" i="9"/>
  <c r="V653" i="9" s="1"/>
  <c r="U646" i="9"/>
  <c r="V645" i="9" s="1"/>
  <c r="U638" i="9"/>
  <c r="V637" i="9" s="1"/>
  <c r="U630" i="9"/>
  <c r="V629" i="9" s="1"/>
  <c r="U622" i="9"/>
  <c r="V621" i="9" s="1"/>
  <c r="U614" i="9"/>
  <c r="V613" i="9" s="1"/>
  <c r="U606" i="9"/>
  <c r="V605" i="9" s="1"/>
  <c r="U598" i="9"/>
  <c r="V597" i="9" s="1"/>
  <c r="D590" i="11"/>
  <c r="F590" i="11" s="1"/>
  <c r="D582" i="11"/>
  <c r="F582" i="11" s="1"/>
  <c r="D574" i="11"/>
  <c r="F574" i="11" s="1"/>
  <c r="D566" i="11"/>
  <c r="F566" i="11" s="1"/>
  <c r="D558" i="11"/>
  <c r="F558" i="11" s="1"/>
  <c r="D550" i="11"/>
  <c r="F550" i="11" s="1"/>
  <c r="D538" i="11"/>
  <c r="F538" i="11" s="1"/>
  <c r="D530" i="11"/>
  <c r="F530" i="11" s="1"/>
  <c r="D522" i="11"/>
  <c r="F522" i="11" s="1"/>
  <c r="D514" i="11"/>
  <c r="F514" i="11" s="1"/>
  <c r="D506" i="11"/>
  <c r="F506" i="11" s="1"/>
  <c r="U498" i="9"/>
  <c r="V497" i="9" s="1"/>
  <c r="U490" i="9"/>
  <c r="V489" i="9" s="1"/>
  <c r="U482" i="9"/>
  <c r="V481" i="9" s="1"/>
  <c r="U474" i="9"/>
  <c r="V473" i="9" s="1"/>
  <c r="U466" i="9"/>
  <c r="V465" i="9" s="1"/>
  <c r="U458" i="9"/>
  <c r="V457" i="9" s="1"/>
  <c r="U450" i="9"/>
  <c r="V449" i="9" s="1"/>
  <c r="U442" i="9"/>
  <c r="V441" i="9" s="1"/>
  <c r="U434" i="9"/>
  <c r="V433" i="9" s="1"/>
  <c r="U426" i="9"/>
  <c r="V425" i="9" s="1"/>
  <c r="D426" i="11"/>
  <c r="F426" i="11" s="1"/>
  <c r="U410" i="9"/>
  <c r="V409" i="9" s="1"/>
  <c r="D413" i="11" s="1"/>
  <c r="F413" i="11" s="1"/>
  <c r="U402" i="9"/>
  <c r="V401" i="9" s="1"/>
  <c r="D405" i="11" s="1"/>
  <c r="F405" i="11" s="1"/>
  <c r="U394" i="9"/>
  <c r="V393" i="9" s="1"/>
  <c r="D397" i="11" s="1"/>
  <c r="F397" i="11" s="1"/>
  <c r="U386" i="9"/>
  <c r="V385" i="9" s="1"/>
  <c r="D389" i="11" s="1"/>
  <c r="F389" i="11" s="1"/>
  <c r="D386" i="11"/>
  <c r="F386" i="11" s="1"/>
  <c r="D378" i="11"/>
  <c r="F378" i="11" s="1"/>
  <c r="D370" i="11"/>
  <c r="F370" i="11" s="1"/>
  <c r="D362" i="11"/>
  <c r="F362" i="11" s="1"/>
  <c r="D354" i="11"/>
  <c r="F354" i="11" s="1"/>
  <c r="U346" i="9"/>
  <c r="V345" i="9" s="1"/>
  <c r="D349" i="11" s="1"/>
  <c r="F349" i="11" s="1"/>
  <c r="U338" i="9"/>
  <c r="V337" i="9" s="1"/>
  <c r="D341" i="11" s="1"/>
  <c r="F341" i="11" s="1"/>
  <c r="U330" i="9"/>
  <c r="V329" i="9" s="1"/>
  <c r="D333" i="11" s="1"/>
  <c r="F333" i="11" s="1"/>
  <c r="U322" i="9"/>
  <c r="V321" i="9" s="1"/>
  <c r="D325" i="11" s="1"/>
  <c r="F325" i="11" s="1"/>
  <c r="D322" i="11"/>
  <c r="F322" i="11" s="1"/>
  <c r="D314" i="11"/>
  <c r="F314" i="11" s="1"/>
  <c r="U668" i="9"/>
  <c r="V667" i="9" s="1"/>
  <c r="D671" i="11" s="1"/>
  <c r="F671" i="11" s="1"/>
  <c r="U664" i="9"/>
  <c r="V663" i="9" s="1"/>
  <c r="U656" i="9"/>
  <c r="V655" i="9" s="1"/>
  <c r="U648" i="9"/>
  <c r="V647" i="9" s="1"/>
  <c r="U640" i="9"/>
  <c r="V639" i="9" s="1"/>
  <c r="U632" i="9"/>
  <c r="V631" i="9" s="1"/>
  <c r="U624" i="9"/>
  <c r="V623" i="9" s="1"/>
  <c r="U616" i="9"/>
  <c r="V615" i="9" s="1"/>
  <c r="U608" i="9"/>
  <c r="V607" i="9" s="1"/>
  <c r="U596" i="9"/>
  <c r="V595" i="9" s="1"/>
  <c r="D588" i="11"/>
  <c r="F588" i="11" s="1"/>
  <c r="D580" i="11"/>
  <c r="F580" i="11" s="1"/>
  <c r="D572" i="11"/>
  <c r="F572" i="11" s="1"/>
  <c r="D564" i="11"/>
  <c r="F564" i="11" s="1"/>
  <c r="D556" i="11"/>
  <c r="F556" i="11" s="1"/>
  <c r="D548" i="11"/>
  <c r="F548" i="11" s="1"/>
  <c r="D540" i="11"/>
  <c r="F540" i="11" s="1"/>
  <c r="D532" i="11"/>
  <c r="F532" i="11" s="1"/>
  <c r="D524" i="11"/>
  <c r="F524" i="11" s="1"/>
  <c r="D516" i="11"/>
  <c r="F516" i="11" s="1"/>
  <c r="D508" i="11"/>
  <c r="F508" i="11" s="1"/>
  <c r="U500" i="9"/>
  <c r="V499" i="9" s="1"/>
  <c r="U492" i="9"/>
  <c r="V491" i="9" s="1"/>
  <c r="U484" i="9"/>
  <c r="V483" i="9" s="1"/>
  <c r="U476" i="9"/>
  <c r="V475" i="9" s="1"/>
  <c r="U468" i="9"/>
  <c r="V467" i="9" s="1"/>
  <c r="U460" i="9"/>
  <c r="V459" i="9" s="1"/>
  <c r="U448" i="9"/>
  <c r="V447" i="9" s="1"/>
  <c r="U440" i="9"/>
  <c r="V439" i="9" s="1"/>
  <c r="U432" i="9"/>
  <c r="V431" i="9" s="1"/>
  <c r="D424" i="11"/>
  <c r="F424" i="11" s="1"/>
  <c r="V416" i="9"/>
  <c r="D420" i="11" s="1"/>
  <c r="F420" i="11" s="1"/>
  <c r="U412" i="9"/>
  <c r="V411" i="9" s="1"/>
  <c r="D415" i="11" s="1"/>
  <c r="F415" i="11" s="1"/>
  <c r="U404" i="9"/>
  <c r="V403" i="9" s="1"/>
  <c r="D407" i="11" s="1"/>
  <c r="F407" i="11" s="1"/>
  <c r="U396" i="9"/>
  <c r="V395" i="9" s="1"/>
  <c r="D399" i="11" s="1"/>
  <c r="F399" i="11" s="1"/>
  <c r="U388" i="9"/>
  <c r="V387" i="9" s="1"/>
  <c r="D391" i="11" s="1"/>
  <c r="F391" i="11" s="1"/>
  <c r="D380" i="11"/>
  <c r="F380" i="11" s="1"/>
  <c r="D372" i="11"/>
  <c r="F372" i="11" s="1"/>
  <c r="D364" i="11"/>
  <c r="F364" i="11" s="1"/>
  <c r="D356" i="11"/>
  <c r="F356" i="11" s="1"/>
  <c r="U340" i="9"/>
  <c r="V339" i="9" s="1"/>
  <c r="D343" i="11" s="1"/>
  <c r="F343" i="11" s="1"/>
  <c r="D332" i="11"/>
  <c r="F332" i="11" s="1"/>
  <c r="U328" i="9"/>
  <c r="V327" i="9" s="1"/>
  <c r="D331" i="11" s="1"/>
  <c r="F331" i="11" s="1"/>
  <c r="D320" i="11"/>
  <c r="F320" i="11" s="1"/>
  <c r="D312" i="11"/>
  <c r="F312" i="11" s="1"/>
  <c r="D108" i="11"/>
  <c r="F108" i="11" s="1"/>
  <c r="D112" i="11"/>
  <c r="F112" i="11" s="1"/>
  <c r="D116" i="11"/>
  <c r="F116" i="11" s="1"/>
  <c r="D120" i="11"/>
  <c r="F120" i="11" s="1"/>
  <c r="D124" i="11"/>
  <c r="F124" i="11" s="1"/>
  <c r="D128" i="11"/>
  <c r="F128" i="11" s="1"/>
  <c r="D144" i="11"/>
  <c r="F144" i="11" s="1"/>
  <c r="D160" i="11"/>
  <c r="F160" i="11" s="1"/>
  <c r="D176" i="11"/>
  <c r="F176" i="11" s="1"/>
  <c r="D271" i="11"/>
  <c r="F271" i="11" s="1"/>
  <c r="D675" i="11"/>
  <c r="F675" i="11" s="1"/>
  <c r="U671" i="9"/>
  <c r="V670" i="9" s="1"/>
  <c r="D667" i="11"/>
  <c r="F667" i="11" s="1"/>
  <c r="U663" i="9"/>
  <c r="V662" i="9" s="1"/>
  <c r="D659" i="11"/>
  <c r="F659" i="11" s="1"/>
  <c r="U655" i="9"/>
  <c r="V654" i="9" s="1"/>
  <c r="D651" i="11"/>
  <c r="F651" i="11" s="1"/>
  <c r="U647" i="9"/>
  <c r="V646" i="9" s="1"/>
  <c r="D643" i="11"/>
  <c r="F643" i="11" s="1"/>
  <c r="U639" i="9"/>
  <c r="V638" i="9" s="1"/>
  <c r="D635" i="11"/>
  <c r="F635" i="11" s="1"/>
  <c r="U631" i="9"/>
  <c r="V630" i="9" s="1"/>
  <c r="D627" i="11"/>
  <c r="F627" i="11" s="1"/>
  <c r="U623" i="9"/>
  <c r="V622" i="9" s="1"/>
  <c r="D619" i="11"/>
  <c r="F619" i="11" s="1"/>
  <c r="U615" i="9"/>
  <c r="V614" i="9" s="1"/>
  <c r="D611" i="11"/>
  <c r="F611" i="11" s="1"/>
  <c r="U607" i="9"/>
  <c r="V606" i="9" s="1"/>
  <c r="U603" i="9"/>
  <c r="V602" i="9" s="1"/>
  <c r="D606" i="11" s="1"/>
  <c r="F606" i="11" s="1"/>
  <c r="U595" i="9"/>
  <c r="V594" i="9" s="1"/>
  <c r="D598" i="11" s="1"/>
  <c r="F598" i="11" s="1"/>
  <c r="D587" i="11"/>
  <c r="F587" i="11" s="1"/>
  <c r="D579" i="11"/>
  <c r="F579" i="11" s="1"/>
  <c r="D571" i="11"/>
  <c r="F571" i="11" s="1"/>
  <c r="D563" i="11"/>
  <c r="F563" i="11" s="1"/>
  <c r="D555" i="11"/>
  <c r="F555" i="11" s="1"/>
  <c r="D547" i="11"/>
  <c r="F547" i="11" s="1"/>
  <c r="D539" i="11"/>
  <c r="F539" i="11" s="1"/>
  <c r="D531" i="11"/>
  <c r="F531" i="11" s="1"/>
  <c r="D523" i="11"/>
  <c r="F523" i="11" s="1"/>
  <c r="D515" i="11"/>
  <c r="F515" i="11" s="1"/>
  <c r="D507" i="11"/>
  <c r="F507" i="11" s="1"/>
  <c r="U499" i="9"/>
  <c r="V498" i="9" s="1"/>
  <c r="U491" i="9"/>
  <c r="V490" i="9" s="1"/>
  <c r="U483" i="9"/>
  <c r="V482" i="9" s="1"/>
  <c r="U475" i="9"/>
  <c r="V474" i="9" s="1"/>
  <c r="U467" i="9"/>
  <c r="V466" i="9" s="1"/>
  <c r="U459" i="9"/>
  <c r="V458" i="9" s="1"/>
  <c r="U455" i="9"/>
  <c r="V454" i="9" s="1"/>
  <c r="D458" i="11" s="1"/>
  <c r="F458" i="11" s="1"/>
  <c r="U447" i="9"/>
  <c r="V446" i="9" s="1"/>
  <c r="D450" i="11" s="1"/>
  <c r="F450" i="11" s="1"/>
  <c r="U439" i="9"/>
  <c r="V438" i="9" s="1"/>
  <c r="D442" i="11" s="1"/>
  <c r="F442" i="11" s="1"/>
  <c r="U431" i="9"/>
  <c r="V430" i="9" s="1"/>
  <c r="D434" i="11" s="1"/>
  <c r="F434" i="11" s="1"/>
  <c r="D423" i="11"/>
  <c r="F423" i="11" s="1"/>
  <c r="D419" i="11"/>
  <c r="F419" i="11" s="1"/>
  <c r="U415" i="9"/>
  <c r="V414" i="9" s="1"/>
  <c r="D418" i="11" s="1"/>
  <c r="F418" i="11" s="1"/>
  <c r="D411" i="11"/>
  <c r="F411" i="11" s="1"/>
  <c r="U407" i="9"/>
  <c r="V406" i="9" s="1"/>
  <c r="D410" i="11" s="1"/>
  <c r="F410" i="11" s="1"/>
  <c r="D403" i="11"/>
  <c r="F403" i="11" s="1"/>
  <c r="U399" i="9"/>
  <c r="V398" i="9" s="1"/>
  <c r="D402" i="11" s="1"/>
  <c r="F402" i="11" s="1"/>
  <c r="D395" i="11"/>
  <c r="F395" i="11" s="1"/>
  <c r="U391" i="9"/>
  <c r="V390" i="9" s="1"/>
  <c r="D394" i="11" s="1"/>
  <c r="F394" i="11" s="1"/>
  <c r="D383" i="11"/>
  <c r="F383" i="11" s="1"/>
  <c r="D375" i="11"/>
  <c r="F375" i="11" s="1"/>
  <c r="D367" i="11"/>
  <c r="F367" i="11" s="1"/>
  <c r="D359" i="11"/>
  <c r="F359" i="11" s="1"/>
  <c r="D351" i="11"/>
  <c r="F351" i="11" s="1"/>
  <c r="U343" i="9"/>
  <c r="V342" i="9" s="1"/>
  <c r="D346" i="11" s="1"/>
  <c r="F346" i="11" s="1"/>
  <c r="U335" i="9"/>
  <c r="V334" i="9" s="1"/>
  <c r="D338" i="11" s="1"/>
  <c r="F338" i="11" s="1"/>
  <c r="U331" i="9"/>
  <c r="V330" i="9" s="1"/>
  <c r="D327" i="11"/>
  <c r="F327" i="11" s="1"/>
  <c r="U323" i="9"/>
  <c r="V322" i="9" s="1"/>
  <c r="D323" i="11"/>
  <c r="F323" i="11" s="1"/>
  <c r="D315" i="11"/>
  <c r="F315" i="11" s="1"/>
  <c r="D267" i="11"/>
  <c r="F267" i="11" s="1"/>
  <c r="U263" i="9"/>
  <c r="V262" i="9" s="1"/>
  <c r="D266" i="11" s="1"/>
  <c r="F266" i="11" s="1"/>
  <c r="D259" i="11"/>
  <c r="F259" i="11" s="1"/>
  <c r="U255" i="9"/>
  <c r="V254" i="9" s="1"/>
  <c r="D258" i="11" s="1"/>
  <c r="F258" i="11" s="1"/>
  <c r="U247" i="9"/>
  <c r="V246" i="9" s="1"/>
  <c r="D250" i="11" s="1"/>
  <c r="F250" i="11" s="1"/>
  <c r="U239" i="9"/>
  <c r="V238" i="9" s="1"/>
  <c r="D242" i="11" s="1"/>
  <c r="F242" i="11" s="1"/>
  <c r="D132" i="11"/>
  <c r="F132" i="11" s="1"/>
  <c r="D140" i="11"/>
  <c r="F140" i="11" s="1"/>
  <c r="D148" i="11"/>
  <c r="F148" i="11" s="1"/>
  <c r="D156" i="11"/>
  <c r="F156" i="11" s="1"/>
  <c r="D164" i="11"/>
  <c r="F164" i="11" s="1"/>
  <c r="D172" i="11"/>
  <c r="F172" i="11" s="1"/>
  <c r="D180" i="11"/>
  <c r="F180" i="11" s="1"/>
  <c r="D685" i="11"/>
  <c r="F685" i="11" s="1"/>
  <c r="D858" i="11"/>
  <c r="F858" i="11" s="1"/>
  <c r="D856" i="11"/>
  <c r="F856" i="11" s="1"/>
  <c r="D854" i="11"/>
  <c r="F854" i="11" s="1"/>
  <c r="D852" i="11"/>
  <c r="F852" i="11" s="1"/>
  <c r="D850" i="11"/>
  <c r="F850" i="11" s="1"/>
  <c r="D848" i="11"/>
  <c r="F848" i="11" s="1"/>
  <c r="D846" i="11"/>
  <c r="F846" i="11" s="1"/>
  <c r="D844" i="11"/>
  <c r="F844" i="11" s="1"/>
  <c r="D842" i="11"/>
  <c r="F842" i="11" s="1"/>
  <c r="D840" i="11"/>
  <c r="F840" i="11" s="1"/>
  <c r="D838" i="11"/>
  <c r="F838" i="11" s="1"/>
  <c r="D836" i="11"/>
  <c r="F836" i="11" s="1"/>
  <c r="D834" i="11"/>
  <c r="F834" i="11" s="1"/>
  <c r="D832" i="11"/>
  <c r="F832" i="11" s="1"/>
  <c r="D830" i="11"/>
  <c r="F830" i="11" s="1"/>
  <c r="D828" i="11"/>
  <c r="F828" i="11" s="1"/>
  <c r="D826" i="11"/>
  <c r="F826" i="11" s="1"/>
  <c r="D824" i="11"/>
  <c r="F824" i="11" s="1"/>
  <c r="D822" i="11"/>
  <c r="F822" i="11" s="1"/>
  <c r="D820" i="11"/>
  <c r="F820" i="11" s="1"/>
  <c r="D818" i="11"/>
  <c r="F818" i="11" s="1"/>
  <c r="D816" i="11"/>
  <c r="F816" i="11" s="1"/>
  <c r="D814" i="11"/>
  <c r="F814" i="11" s="1"/>
  <c r="D812" i="11"/>
  <c r="F812" i="11" s="1"/>
  <c r="D810" i="11"/>
  <c r="F810" i="11" s="1"/>
  <c r="D808" i="11"/>
  <c r="F808" i="11" s="1"/>
  <c r="D806" i="11"/>
  <c r="F806" i="11" s="1"/>
  <c r="D804" i="11"/>
  <c r="F804" i="11" s="1"/>
  <c r="D802" i="11"/>
  <c r="F802" i="11" s="1"/>
  <c r="D800" i="11"/>
  <c r="F800" i="11" s="1"/>
  <c r="D798" i="11"/>
  <c r="F798" i="11" s="1"/>
  <c r="D796" i="11"/>
  <c r="F796" i="11" s="1"/>
  <c r="D794" i="11"/>
  <c r="F794" i="11" s="1"/>
  <c r="D792" i="11"/>
  <c r="F792" i="11" s="1"/>
  <c r="D790" i="11"/>
  <c r="F790" i="11" s="1"/>
  <c r="D788" i="11"/>
  <c r="F788" i="11" s="1"/>
  <c r="D786" i="11"/>
  <c r="F786" i="11" s="1"/>
  <c r="D784" i="11"/>
  <c r="F784" i="11" s="1"/>
  <c r="D782" i="11"/>
  <c r="F782" i="11" s="1"/>
  <c r="D780" i="11"/>
  <c r="F780" i="11" s="1"/>
  <c r="D778" i="11"/>
  <c r="F778" i="11" s="1"/>
  <c r="D776" i="11"/>
  <c r="F776" i="11" s="1"/>
  <c r="D774" i="11"/>
  <c r="F774" i="11" s="1"/>
  <c r="D772" i="11"/>
  <c r="F772" i="11" s="1"/>
  <c r="D770" i="11"/>
  <c r="F770" i="11" s="1"/>
  <c r="D768" i="11"/>
  <c r="F768" i="11" s="1"/>
  <c r="D766" i="11"/>
  <c r="F766" i="11" s="1"/>
  <c r="D764" i="11"/>
  <c r="F764" i="11" s="1"/>
  <c r="D762" i="11"/>
  <c r="F762" i="11" s="1"/>
  <c r="D760" i="11"/>
  <c r="F760" i="11" s="1"/>
  <c r="D758" i="11"/>
  <c r="F758" i="11" s="1"/>
  <c r="D756" i="11"/>
  <c r="F756" i="11" s="1"/>
  <c r="D754" i="11"/>
  <c r="F754" i="11" s="1"/>
  <c r="D752" i="11"/>
  <c r="F752" i="11" s="1"/>
  <c r="D750" i="11"/>
  <c r="F750" i="11" s="1"/>
  <c r="D748" i="11"/>
  <c r="F748" i="11" s="1"/>
  <c r="D746" i="11"/>
  <c r="F746" i="11" s="1"/>
  <c r="D744" i="11"/>
  <c r="F744" i="11" s="1"/>
  <c r="D742" i="11"/>
  <c r="F742" i="11" s="1"/>
  <c r="D740" i="11"/>
  <c r="F740" i="11" s="1"/>
  <c r="D738" i="11"/>
  <c r="F738" i="11" s="1"/>
  <c r="D736" i="11"/>
  <c r="F736" i="11" s="1"/>
  <c r="D734" i="11"/>
  <c r="F734" i="11" s="1"/>
  <c r="D732" i="11"/>
  <c r="F732" i="11" s="1"/>
  <c r="D730" i="11"/>
  <c r="F730" i="11" s="1"/>
  <c r="D728" i="11"/>
  <c r="F728" i="11" s="1"/>
  <c r="D726" i="11"/>
  <c r="F726" i="11" s="1"/>
  <c r="D722" i="11"/>
  <c r="F722" i="11" s="1"/>
  <c r="D720" i="11"/>
  <c r="F720" i="11" s="1"/>
  <c r="D718" i="11"/>
  <c r="F718" i="11" s="1"/>
  <c r="D716" i="11"/>
  <c r="F716" i="11" s="1"/>
  <c r="D714" i="11"/>
  <c r="F714" i="11" s="1"/>
  <c r="D712" i="11"/>
  <c r="F712" i="11" s="1"/>
  <c r="D710" i="11"/>
  <c r="F710" i="11" s="1"/>
  <c r="D708" i="11"/>
  <c r="F708" i="11" s="1"/>
  <c r="D706" i="11"/>
  <c r="F706" i="11" s="1"/>
  <c r="D704" i="11"/>
  <c r="F704" i="11" s="1"/>
  <c r="D702" i="11"/>
  <c r="F702" i="11" s="1"/>
  <c r="D700" i="11"/>
  <c r="F700" i="11" s="1"/>
  <c r="D698" i="11"/>
  <c r="F698" i="11" s="1"/>
  <c r="D696" i="11"/>
  <c r="F696" i="11" s="1"/>
  <c r="D694" i="11"/>
  <c r="F694" i="11" s="1"/>
  <c r="D692" i="11"/>
  <c r="F692" i="11" s="1"/>
  <c r="U673" i="9"/>
  <c r="V672" i="9" s="1"/>
  <c r="D676" i="11" s="1"/>
  <c r="F676" i="11" s="1"/>
  <c r="U661" i="9"/>
  <c r="V660" i="9" s="1"/>
  <c r="D664" i="11" s="1"/>
  <c r="F664" i="11" s="1"/>
  <c r="U653" i="9"/>
  <c r="V652" i="9" s="1"/>
  <c r="D656" i="11" s="1"/>
  <c r="F656" i="11" s="1"/>
  <c r="U645" i="9"/>
  <c r="V644" i="9" s="1"/>
  <c r="D648" i="11" s="1"/>
  <c r="F648" i="11" s="1"/>
  <c r="U637" i="9"/>
  <c r="V636" i="9" s="1"/>
  <c r="D640" i="11" s="1"/>
  <c r="F640" i="11" s="1"/>
  <c r="U629" i="9"/>
  <c r="V628" i="9" s="1"/>
  <c r="D632" i="11" s="1"/>
  <c r="F632" i="11" s="1"/>
  <c r="U621" i="9"/>
  <c r="V620" i="9" s="1"/>
  <c r="D624" i="11" s="1"/>
  <c r="F624" i="11" s="1"/>
  <c r="U613" i="9"/>
  <c r="V612" i="9" s="1"/>
  <c r="D616" i="11" s="1"/>
  <c r="F616" i="11" s="1"/>
  <c r="U605" i="9"/>
  <c r="U597" i="9"/>
  <c r="V596" i="9" s="1"/>
  <c r="D600" i="11" s="1"/>
  <c r="F600" i="11" s="1"/>
  <c r="D589" i="11"/>
  <c r="F589" i="11" s="1"/>
  <c r="D581" i="11"/>
  <c r="F581" i="11" s="1"/>
  <c r="D573" i="11"/>
  <c r="F573" i="11" s="1"/>
  <c r="D565" i="11"/>
  <c r="F565" i="11" s="1"/>
  <c r="D557" i="11"/>
  <c r="F557" i="11" s="1"/>
  <c r="D549" i="11"/>
  <c r="F549" i="11" s="1"/>
  <c r="D537" i="11"/>
  <c r="F537" i="11" s="1"/>
  <c r="D529" i="11"/>
  <c r="F529" i="11" s="1"/>
  <c r="D521" i="11"/>
  <c r="F521" i="11" s="1"/>
  <c r="D513" i="11"/>
  <c r="F513" i="11" s="1"/>
  <c r="D505" i="11"/>
  <c r="F505" i="11" s="1"/>
  <c r="U497" i="9"/>
  <c r="V496" i="9" s="1"/>
  <c r="D500" i="11" s="1"/>
  <c r="F500" i="11" s="1"/>
  <c r="U489" i="9"/>
  <c r="V488" i="9" s="1"/>
  <c r="D492" i="11" s="1"/>
  <c r="F492" i="11" s="1"/>
  <c r="U481" i="9"/>
  <c r="V480" i="9" s="1"/>
  <c r="D484" i="11" s="1"/>
  <c r="F484" i="11" s="1"/>
  <c r="U473" i="9"/>
  <c r="V472" i="9" s="1"/>
  <c r="D476" i="11" s="1"/>
  <c r="F476" i="11" s="1"/>
  <c r="U465" i="9"/>
  <c r="V464" i="9" s="1"/>
  <c r="D468" i="11" s="1"/>
  <c r="F468" i="11" s="1"/>
  <c r="U457" i="9"/>
  <c r="U449" i="9"/>
  <c r="V448" i="9" s="1"/>
  <c r="U441" i="9"/>
  <c r="V440" i="9" s="1"/>
  <c r="U433" i="9"/>
  <c r="V432" i="9" s="1"/>
  <c r="U425" i="9"/>
  <c r="V424" i="9" s="1"/>
  <c r="D428" i="11" s="1"/>
  <c r="F428" i="11" s="1"/>
  <c r="U413" i="9"/>
  <c r="V412" i="9" s="1"/>
  <c r="D416" i="11" s="1"/>
  <c r="F416" i="11" s="1"/>
  <c r="U405" i="9"/>
  <c r="V404" i="9" s="1"/>
  <c r="D408" i="11" s="1"/>
  <c r="F408" i="11" s="1"/>
  <c r="U397" i="9"/>
  <c r="V396" i="9" s="1"/>
  <c r="D400" i="11" s="1"/>
  <c r="F400" i="11" s="1"/>
  <c r="U389" i="9"/>
  <c r="V388" i="9" s="1"/>
  <c r="D392" i="11" s="1"/>
  <c r="F392" i="11" s="1"/>
  <c r="D381" i="11"/>
  <c r="F381" i="11" s="1"/>
  <c r="D373" i="11"/>
  <c r="F373" i="11" s="1"/>
  <c r="D365" i="11"/>
  <c r="F365" i="11" s="1"/>
  <c r="D357" i="11"/>
  <c r="F357" i="11" s="1"/>
  <c r="U341" i="9"/>
  <c r="V340" i="9" s="1"/>
  <c r="D344" i="11" s="1"/>
  <c r="F344" i="11" s="1"/>
  <c r="U333" i="9"/>
  <c r="U325" i="9"/>
  <c r="V324" i="9" s="1"/>
  <c r="D328" i="11" s="1"/>
  <c r="F328" i="11" s="1"/>
  <c r="D317" i="11"/>
  <c r="F317" i="11" s="1"/>
  <c r="D309" i="11"/>
  <c r="F309" i="11" s="1"/>
  <c r="U269" i="9"/>
  <c r="V268" i="9" s="1"/>
  <c r="D272" i="11" s="1"/>
  <c r="F272" i="11" s="1"/>
  <c r="U261" i="9"/>
  <c r="V260" i="9" s="1"/>
  <c r="D264" i="11" s="1"/>
  <c r="F264" i="11" s="1"/>
  <c r="U249" i="9"/>
  <c r="V248" i="9" s="1"/>
  <c r="D252" i="11" s="1"/>
  <c r="F252" i="11" s="1"/>
  <c r="U241" i="9"/>
  <c r="V240" i="9" s="1"/>
  <c r="D244" i="11" s="1"/>
  <c r="F244" i="11" s="1"/>
  <c r="U233" i="9"/>
  <c r="V232" i="9" s="1"/>
  <c r="D236" i="11" s="1"/>
  <c r="F236" i="11" s="1"/>
  <c r="D855" i="11"/>
  <c r="F855" i="11" s="1"/>
  <c r="D851" i="11"/>
  <c r="F851" i="11" s="1"/>
  <c r="D847" i="11"/>
  <c r="F847" i="11" s="1"/>
  <c r="D843" i="11"/>
  <c r="F843" i="11" s="1"/>
  <c r="D839" i="11"/>
  <c r="F839" i="11" s="1"/>
  <c r="D835" i="11"/>
  <c r="F835" i="11" s="1"/>
  <c r="D831" i="11"/>
  <c r="F831" i="11" s="1"/>
  <c r="D827" i="11"/>
  <c r="F827" i="11" s="1"/>
  <c r="D823" i="11"/>
  <c r="F823" i="11" s="1"/>
  <c r="D819" i="11"/>
  <c r="F819" i="11" s="1"/>
  <c r="D815" i="11"/>
  <c r="F815" i="11" s="1"/>
  <c r="D811" i="11"/>
  <c r="F811" i="11" s="1"/>
  <c r="D807" i="11"/>
  <c r="F807" i="11" s="1"/>
  <c r="D803" i="11"/>
  <c r="F803" i="11" s="1"/>
  <c r="D799" i="11"/>
  <c r="F799" i="11" s="1"/>
  <c r="D795" i="11"/>
  <c r="F795" i="11" s="1"/>
  <c r="D791" i="11"/>
  <c r="F791" i="11" s="1"/>
  <c r="D787" i="11"/>
  <c r="F787" i="11" s="1"/>
  <c r="D783" i="11"/>
  <c r="F783" i="11" s="1"/>
  <c r="D779" i="11"/>
  <c r="F779" i="11" s="1"/>
  <c r="D775" i="11"/>
  <c r="F775" i="11" s="1"/>
  <c r="D771" i="11"/>
  <c r="F771" i="11" s="1"/>
  <c r="D767" i="11"/>
  <c r="F767" i="11" s="1"/>
  <c r="D763" i="11"/>
  <c r="F763" i="11" s="1"/>
  <c r="D759" i="11"/>
  <c r="F759" i="11" s="1"/>
  <c r="D755" i="11"/>
  <c r="F755" i="11" s="1"/>
  <c r="D751" i="11"/>
  <c r="F751" i="11" s="1"/>
  <c r="D747" i="11"/>
  <c r="F747" i="11" s="1"/>
  <c r="D743" i="11"/>
  <c r="F743" i="11" s="1"/>
  <c r="D739" i="11"/>
  <c r="F739" i="11" s="1"/>
  <c r="D735" i="11"/>
  <c r="F735" i="11" s="1"/>
  <c r="D731" i="11"/>
  <c r="F731" i="11" s="1"/>
  <c r="D727" i="11"/>
  <c r="F727" i="11" s="1"/>
  <c r="D721" i="11"/>
  <c r="F721" i="11" s="1"/>
  <c r="D717" i="11"/>
  <c r="F717" i="11" s="1"/>
  <c r="D713" i="11"/>
  <c r="F713" i="11" s="1"/>
  <c r="D709" i="11"/>
  <c r="F709" i="11" s="1"/>
  <c r="D705" i="11"/>
  <c r="F705" i="11" s="1"/>
  <c r="D701" i="11"/>
  <c r="F701" i="11" s="1"/>
  <c r="D697" i="11"/>
  <c r="F697" i="11" s="1"/>
  <c r="D693" i="11"/>
  <c r="F693" i="11" s="1"/>
  <c r="U687" i="9"/>
  <c r="V686" i="9" s="1"/>
  <c r="D690" i="11" s="1"/>
  <c r="F690" i="11" s="1"/>
  <c r="U683" i="9"/>
  <c r="V682" i="9" s="1"/>
  <c r="D686" i="11" s="1"/>
  <c r="F686" i="11" s="1"/>
  <c r="U679" i="9"/>
  <c r="V678" i="9" s="1"/>
  <c r="D682" i="11" s="1"/>
  <c r="F682" i="11" s="1"/>
  <c r="U675" i="9"/>
  <c r="V674" i="9" s="1"/>
  <c r="D678" i="11" s="1"/>
  <c r="F678" i="11" s="1"/>
  <c r="U62" i="9"/>
  <c r="V61" i="9" s="1"/>
  <c r="U66" i="9"/>
  <c r="V65" i="9" s="1"/>
  <c r="U72" i="9"/>
  <c r="V71" i="9" s="1"/>
  <c r="D75" i="11" s="1"/>
  <c r="F75" i="11" s="1"/>
  <c r="D77" i="11"/>
  <c r="F77" i="11" s="1"/>
  <c r="D87" i="11"/>
  <c r="F87" i="11" s="1"/>
  <c r="U70" i="9"/>
  <c r="V69" i="9" s="1"/>
  <c r="D73" i="11" s="1"/>
  <c r="F73" i="11" s="1"/>
  <c r="U78" i="9"/>
  <c r="V77" i="9" s="1"/>
  <c r="D81" i="11" s="1"/>
  <c r="F81" i="11" s="1"/>
  <c r="D98" i="11"/>
  <c r="F98" i="11" s="1"/>
  <c r="U68" i="9"/>
  <c r="V67" i="9" s="1"/>
  <c r="D71" i="11" s="1"/>
  <c r="F71" i="11" s="1"/>
  <c r="D78" i="11"/>
  <c r="F78" i="11" s="1"/>
  <c r="D95" i="11"/>
  <c r="F95" i="11" s="1"/>
  <c r="D94" i="11"/>
  <c r="F94" i="11" s="1"/>
  <c r="U93" i="9"/>
  <c r="V92" i="9" s="1"/>
  <c r="D96" i="11" s="1"/>
  <c r="F96" i="11" s="1"/>
  <c r="U64" i="9"/>
  <c r="V63" i="9" s="1"/>
  <c r="D67" i="11" s="1"/>
  <c r="F67" i="11" s="1"/>
  <c r="V66" i="9"/>
  <c r="V54" i="9"/>
  <c r="D15" i="11"/>
  <c r="D27" i="11"/>
  <c r="U76" i="9"/>
  <c r="V75" i="9" s="1"/>
  <c r="D79" i="11" s="1"/>
  <c r="F79" i="11" s="1"/>
  <c r="D89" i="11"/>
  <c r="F89" i="11" s="1"/>
  <c r="D86" i="11"/>
  <c r="F86" i="11" s="1"/>
  <c r="D91" i="11"/>
  <c r="F91" i="11" s="1"/>
  <c r="U89" i="9"/>
  <c r="V88" i="9" s="1"/>
  <c r="D92" i="11" s="1"/>
  <c r="F92" i="11" s="1"/>
  <c r="D14" i="11"/>
  <c r="D13" i="11"/>
  <c r="D12" i="11"/>
  <c r="F12" i="11" s="1"/>
  <c r="D59" i="11"/>
  <c r="D19" i="11"/>
  <c r="D23" i="11"/>
  <c r="D31" i="11"/>
  <c r="U34" i="9"/>
  <c r="V33" i="9" s="1"/>
  <c r="D37" i="11" s="1"/>
  <c r="U38" i="9"/>
  <c r="V37" i="9" s="1"/>
  <c r="D41" i="11" s="1"/>
  <c r="U42" i="9"/>
  <c r="V41" i="9" s="1"/>
  <c r="D45" i="11" s="1"/>
  <c r="U46" i="9"/>
  <c r="V45" i="9" s="1"/>
  <c r="D49" i="11" s="1"/>
  <c r="U7" i="9"/>
  <c r="V6" i="9" s="1"/>
  <c r="D10" i="11" s="1"/>
  <c r="F10" i="11" s="1"/>
  <c r="D33" i="11"/>
  <c r="U79" i="9"/>
  <c r="V78" i="9" s="1"/>
  <c r="D90" i="11"/>
  <c r="F90" i="11" s="1"/>
  <c r="U65" i="9"/>
  <c r="V64" i="9" s="1"/>
  <c r="D62" i="11"/>
  <c r="D55" i="11"/>
  <c r="D63" i="11"/>
  <c r="D80" i="11"/>
  <c r="F80" i="11" s="1"/>
  <c r="D84" i="11"/>
  <c r="F84" i="11" s="1"/>
  <c r="D88" i="11"/>
  <c r="F88" i="11" s="1"/>
  <c r="U36" i="9"/>
  <c r="V35" i="9" s="1"/>
  <c r="V46" i="9"/>
  <c r="U44" i="9"/>
  <c r="V43" i="9" s="1"/>
  <c r="D47" i="11" s="1"/>
  <c r="D54" i="11"/>
  <c r="D20" i="11"/>
  <c r="D24" i="11"/>
  <c r="D28" i="11"/>
  <c r="D32" i="11"/>
  <c r="D60" i="11"/>
  <c r="D52" i="11"/>
  <c r="U14" i="9"/>
  <c r="V13" i="9" s="1"/>
  <c r="U22" i="9"/>
  <c r="V21" i="9" s="1"/>
  <c r="D25" i="11" s="1"/>
  <c r="U32" i="9"/>
  <c r="V31" i="9" s="1"/>
  <c r="U40" i="9"/>
  <c r="V39" i="9" s="1"/>
  <c r="U54" i="9"/>
  <c r="U31" i="9"/>
  <c r="V30" i="9" s="1"/>
  <c r="D34" i="11" s="1"/>
  <c r="U35" i="9"/>
  <c r="V34" i="9" s="1"/>
  <c r="U39" i="9"/>
  <c r="V38" i="9" s="1"/>
  <c r="U13" i="9"/>
  <c r="D56" i="11"/>
  <c r="D51" i="11"/>
  <c r="U18" i="9"/>
  <c r="V17" i="9" s="1"/>
  <c r="D21" i="11" s="1"/>
  <c r="U26" i="9"/>
  <c r="V25" i="9" s="1"/>
  <c r="D29" i="11" s="1"/>
  <c r="U5" i="9"/>
  <c r="V4" i="9" s="1"/>
  <c r="D8" i="11" s="1"/>
  <c r="F8" i="11" s="1"/>
  <c r="D64" i="11"/>
  <c r="D65" i="11"/>
  <c r="D61" i="11"/>
  <c r="D53" i="11"/>
  <c r="A11" i="11"/>
  <c r="D4" i="9"/>
  <c r="J4" i="9" s="1"/>
  <c r="J5" i="9"/>
  <c r="A11" i="7"/>
  <c r="A12" i="7" s="1"/>
  <c r="A6" i="2"/>
  <c r="A12" i="2"/>
  <c r="A13" i="2" s="1"/>
  <c r="D1005" i="2"/>
  <c r="D1003" i="2"/>
  <c r="D1001" i="2"/>
  <c r="D999" i="2"/>
  <c r="D997" i="2"/>
  <c r="D995" i="2"/>
  <c r="D993" i="2"/>
  <c r="D991" i="2"/>
  <c r="D989" i="2"/>
  <c r="D987" i="2"/>
  <c r="D985" i="2"/>
  <c r="D983" i="2"/>
  <c r="D981" i="2"/>
  <c r="D979" i="2"/>
  <c r="D977" i="2"/>
  <c r="D975" i="2"/>
  <c r="D973" i="2"/>
  <c r="D971" i="2"/>
  <c r="D969" i="2"/>
  <c r="D967" i="2"/>
  <c r="D965" i="2"/>
  <c r="D963" i="2"/>
  <c r="D961" i="2"/>
  <c r="D959" i="2"/>
  <c r="D957" i="2"/>
  <c r="D955" i="2"/>
  <c r="D953" i="2"/>
  <c r="D951" i="2"/>
  <c r="D949" i="2"/>
  <c r="D947" i="2"/>
  <c r="D945" i="2"/>
  <c r="D943" i="2"/>
  <c r="D941" i="2"/>
  <c r="D939" i="2"/>
  <c r="D937" i="2"/>
  <c r="D935" i="2"/>
  <c r="D933" i="2"/>
  <c r="D931" i="2"/>
  <c r="D929" i="2"/>
  <c r="D927" i="2"/>
  <c r="D925" i="2"/>
  <c r="D923" i="2"/>
  <c r="F923" i="2" s="1"/>
  <c r="D921" i="2"/>
  <c r="F921" i="2" s="1"/>
  <c r="D919" i="2"/>
  <c r="F919" i="2" s="1"/>
  <c r="D917" i="2"/>
  <c r="D915" i="2"/>
  <c r="F915" i="2" s="1"/>
  <c r="D913" i="2"/>
  <c r="F913" i="2" s="1"/>
  <c r="D911" i="2"/>
  <c r="F911" i="2" s="1"/>
  <c r="D909" i="2"/>
  <c r="D907" i="2"/>
  <c r="F907" i="2" s="1"/>
  <c r="D905" i="2"/>
  <c r="F905" i="2" s="1"/>
  <c r="D903" i="2"/>
  <c r="F903" i="2" s="1"/>
  <c r="D901" i="2"/>
  <c r="D899" i="2"/>
  <c r="F899" i="2" s="1"/>
  <c r="D897" i="2"/>
  <c r="F897" i="2" s="1"/>
  <c r="D895" i="2"/>
  <c r="F895" i="2" s="1"/>
  <c r="D893" i="2"/>
  <c r="D891" i="2"/>
  <c r="F891" i="2" s="1"/>
  <c r="D889" i="2"/>
  <c r="F889" i="2" s="1"/>
  <c r="D887" i="2"/>
  <c r="F887" i="2" s="1"/>
  <c r="D885" i="2"/>
  <c r="D883" i="2"/>
  <c r="F883" i="2" s="1"/>
  <c r="D881" i="2"/>
  <c r="F881" i="2" s="1"/>
  <c r="D879" i="2"/>
  <c r="F879" i="2" s="1"/>
  <c r="D877" i="2"/>
  <c r="D875" i="2"/>
  <c r="F875" i="2" s="1"/>
  <c r="D873" i="2"/>
  <c r="F873" i="2" s="1"/>
  <c r="D871" i="2"/>
  <c r="F871" i="2" s="1"/>
  <c r="D869" i="2"/>
  <c r="D867" i="2"/>
  <c r="F867" i="2" s="1"/>
  <c r="D865" i="2"/>
  <c r="F865" i="2" s="1"/>
  <c r="D863" i="2"/>
  <c r="F863" i="2" s="1"/>
  <c r="D861" i="2"/>
  <c r="D859" i="2"/>
  <c r="F859" i="2" s="1"/>
  <c r="D857" i="2"/>
  <c r="F857" i="2" s="1"/>
  <c r="D855" i="2"/>
  <c r="F855" i="2" s="1"/>
  <c r="D853" i="2"/>
  <c r="D851" i="2"/>
  <c r="F851" i="2" s="1"/>
  <c r="D849" i="2"/>
  <c r="F849" i="2" s="1"/>
  <c r="D847" i="2"/>
  <c r="F847" i="2" s="1"/>
  <c r="D845" i="2"/>
  <c r="D843" i="2"/>
  <c r="F843" i="2" s="1"/>
  <c r="D841" i="2"/>
  <c r="F841" i="2" s="1"/>
  <c r="D839" i="2"/>
  <c r="F839" i="2" s="1"/>
  <c r="D837" i="2"/>
  <c r="D835" i="2"/>
  <c r="F835" i="2" s="1"/>
  <c r="D833" i="2"/>
  <c r="F833" i="2" s="1"/>
  <c r="D831" i="2"/>
  <c r="F831" i="2" s="1"/>
  <c r="D829" i="2"/>
  <c r="D827" i="2"/>
  <c r="F827" i="2" s="1"/>
  <c r="D825" i="2"/>
  <c r="F825" i="2" s="1"/>
  <c r="D823" i="2"/>
  <c r="F823" i="2" s="1"/>
  <c r="D821" i="2"/>
  <c r="D819" i="2"/>
  <c r="F819" i="2" s="1"/>
  <c r="D817" i="2"/>
  <c r="F817" i="2" s="1"/>
  <c r="D815" i="2"/>
  <c r="F815" i="2" s="1"/>
  <c r="D813" i="2"/>
  <c r="D811" i="2"/>
  <c r="F811" i="2" s="1"/>
  <c r="D809" i="2"/>
  <c r="F809" i="2" s="1"/>
  <c r="D807" i="2"/>
  <c r="F807" i="2" s="1"/>
  <c r="D805" i="2"/>
  <c r="D803" i="2"/>
  <c r="F803" i="2" s="1"/>
  <c r="D801" i="2"/>
  <c r="F801" i="2" s="1"/>
  <c r="D799" i="2"/>
  <c r="F799" i="2" s="1"/>
  <c r="D797" i="2"/>
  <c r="D795" i="2"/>
  <c r="F795" i="2" s="1"/>
  <c r="D793" i="2"/>
  <c r="F793" i="2" s="1"/>
  <c r="D791" i="2"/>
  <c r="F791" i="2" s="1"/>
  <c r="D789" i="2"/>
  <c r="D787" i="2"/>
  <c r="F787" i="2" s="1"/>
  <c r="D785" i="2"/>
  <c r="F785" i="2" s="1"/>
  <c r="D783" i="2"/>
  <c r="F783" i="2" s="1"/>
  <c r="D781" i="2"/>
  <c r="D779" i="2"/>
  <c r="F779" i="2" s="1"/>
  <c r="D777" i="2"/>
  <c r="F777" i="2" s="1"/>
  <c r="D775" i="2"/>
  <c r="F775" i="2" s="1"/>
  <c r="D773" i="2"/>
  <c r="D771" i="2"/>
  <c r="F771" i="2" s="1"/>
  <c r="D769" i="2"/>
  <c r="F769" i="2" s="1"/>
  <c r="D767" i="2"/>
  <c r="F767" i="2" s="1"/>
  <c r="D765" i="2"/>
  <c r="D763" i="2"/>
  <c r="F763" i="2" s="1"/>
  <c r="D761" i="2"/>
  <c r="F761" i="2" s="1"/>
  <c r="D759" i="2"/>
  <c r="F759" i="2" s="1"/>
  <c r="D757" i="2"/>
  <c r="D755" i="2"/>
  <c r="F755" i="2" s="1"/>
  <c r="D753" i="2"/>
  <c r="F753" i="2" s="1"/>
  <c r="D751" i="2"/>
  <c r="F751" i="2" s="1"/>
  <c r="D749" i="2"/>
  <c r="D747" i="2"/>
  <c r="F747" i="2" s="1"/>
  <c r="D745" i="2"/>
  <c r="F745" i="2" s="1"/>
  <c r="D743" i="2"/>
  <c r="F743" i="2" s="1"/>
  <c r="D741" i="2"/>
  <c r="F741" i="2" s="1"/>
  <c r="D739" i="2"/>
  <c r="F739" i="2" s="1"/>
  <c r="D737" i="2"/>
  <c r="F737" i="2" s="1"/>
  <c r="D735" i="2"/>
  <c r="F735" i="2" s="1"/>
  <c r="D733" i="2"/>
  <c r="F733" i="2" s="1"/>
  <c r="D731" i="2"/>
  <c r="F731" i="2" s="1"/>
  <c r="D729" i="2"/>
  <c r="F729" i="2" s="1"/>
  <c r="D727" i="2"/>
  <c r="F727" i="2" s="1"/>
  <c r="D725" i="2"/>
  <c r="F725" i="2" s="1"/>
  <c r="D723" i="2"/>
  <c r="D721" i="2"/>
  <c r="F721" i="2" s="1"/>
  <c r="D719" i="2"/>
  <c r="F719" i="2" s="1"/>
  <c r="D717" i="2"/>
  <c r="F717" i="2" s="1"/>
  <c r="D715" i="2"/>
  <c r="F715" i="2" s="1"/>
  <c r="D713" i="2"/>
  <c r="F713" i="2" s="1"/>
  <c r="D711" i="2"/>
  <c r="F711" i="2" s="1"/>
  <c r="D709" i="2"/>
  <c r="F709" i="2" s="1"/>
  <c r="D707" i="2"/>
  <c r="F707" i="2" s="1"/>
  <c r="D705" i="2"/>
  <c r="F705" i="2" s="1"/>
  <c r="D703" i="2"/>
  <c r="F703" i="2" s="1"/>
  <c r="D701" i="2"/>
  <c r="F701" i="2" s="1"/>
  <c r="D699" i="2"/>
  <c r="F699" i="2" s="1"/>
  <c r="D697" i="2"/>
  <c r="F697" i="2" s="1"/>
  <c r="D695" i="2"/>
  <c r="F695" i="2" s="1"/>
  <c r="D693" i="2"/>
  <c r="F693" i="2" s="1"/>
  <c r="D691" i="2"/>
  <c r="D689" i="2"/>
  <c r="F689" i="2" s="1"/>
  <c r="D687" i="2"/>
  <c r="F687" i="2" s="1"/>
  <c r="D685" i="2"/>
  <c r="F685" i="2" s="1"/>
  <c r="D683" i="2"/>
  <c r="F683" i="2" s="1"/>
  <c r="D681" i="2"/>
  <c r="F681" i="2" s="1"/>
  <c r="D679" i="2"/>
  <c r="F679" i="2" s="1"/>
  <c r="D677" i="2"/>
  <c r="F677" i="2" s="1"/>
  <c r="D675" i="2"/>
  <c r="F675" i="2" s="1"/>
  <c r="D673" i="2"/>
  <c r="F673" i="2" s="1"/>
  <c r="D671" i="2"/>
  <c r="F671" i="2" s="1"/>
  <c r="D669" i="2"/>
  <c r="F669" i="2" s="1"/>
  <c r="D667" i="2"/>
  <c r="F667" i="2" s="1"/>
  <c r="D665" i="2"/>
  <c r="F665" i="2" s="1"/>
  <c r="D663" i="2"/>
  <c r="F663" i="2" s="1"/>
  <c r="D661" i="2"/>
  <c r="F661" i="2" s="1"/>
  <c r="D659" i="2"/>
  <c r="F659" i="2" s="1"/>
  <c r="D657" i="2"/>
  <c r="F657" i="2" s="1"/>
  <c r="D655" i="2"/>
  <c r="F655" i="2" s="1"/>
  <c r="D653" i="2"/>
  <c r="F653" i="2" s="1"/>
  <c r="D651" i="2"/>
  <c r="F651" i="2" s="1"/>
  <c r="D649" i="2"/>
  <c r="F649" i="2" s="1"/>
  <c r="D647" i="2"/>
  <c r="F647" i="2" s="1"/>
  <c r="D645" i="2"/>
  <c r="F645" i="2" s="1"/>
  <c r="D643" i="2"/>
  <c r="F643" i="2" s="1"/>
  <c r="D641" i="2"/>
  <c r="F641" i="2" s="1"/>
  <c r="D639" i="2"/>
  <c r="F639" i="2" s="1"/>
  <c r="D637" i="2"/>
  <c r="F637" i="2" s="1"/>
  <c r="D635" i="2"/>
  <c r="F635" i="2" s="1"/>
  <c r="D633" i="2"/>
  <c r="F633" i="2" s="1"/>
  <c r="D631" i="2"/>
  <c r="F631" i="2" s="1"/>
  <c r="D629" i="2"/>
  <c r="F629" i="2" s="1"/>
  <c r="D627" i="2"/>
  <c r="D625" i="2"/>
  <c r="F625" i="2" s="1"/>
  <c r="D623" i="2"/>
  <c r="F623" i="2" s="1"/>
  <c r="D621" i="2"/>
  <c r="F621" i="2" s="1"/>
  <c r="D619" i="2"/>
  <c r="F619" i="2" s="1"/>
  <c r="D617" i="2"/>
  <c r="F617" i="2" s="1"/>
  <c r="D615" i="2"/>
  <c r="F615" i="2" s="1"/>
  <c r="D613" i="2"/>
  <c r="F613" i="2" s="1"/>
  <c r="D611" i="2"/>
  <c r="F611" i="2" s="1"/>
  <c r="D609" i="2"/>
  <c r="F609" i="2" s="1"/>
  <c r="D607" i="2"/>
  <c r="F607" i="2" s="1"/>
  <c r="D605" i="2"/>
  <c r="F605" i="2" s="1"/>
  <c r="D603" i="2"/>
  <c r="F603" i="2" s="1"/>
  <c r="D601" i="2"/>
  <c r="F601" i="2" s="1"/>
  <c r="D599" i="2"/>
  <c r="F599" i="2" s="1"/>
  <c r="D597" i="2"/>
  <c r="F597" i="2" s="1"/>
  <c r="D595" i="2"/>
  <c r="F595" i="2" s="1"/>
  <c r="D593" i="2"/>
  <c r="F593" i="2" s="1"/>
  <c r="D591" i="2"/>
  <c r="F591" i="2" s="1"/>
  <c r="D589" i="2"/>
  <c r="F589" i="2" s="1"/>
  <c r="D587" i="2"/>
  <c r="F587" i="2" s="1"/>
  <c r="D585" i="2"/>
  <c r="F585" i="2" s="1"/>
  <c r="D583" i="2"/>
  <c r="F583" i="2" s="1"/>
  <c r="D581" i="2"/>
  <c r="F581" i="2" s="1"/>
  <c r="D579" i="2"/>
  <c r="F579" i="2" s="1"/>
  <c r="D577" i="2"/>
  <c r="F577" i="2" s="1"/>
  <c r="D575" i="2"/>
  <c r="F575" i="2" s="1"/>
  <c r="D573" i="2"/>
  <c r="F573" i="2" s="1"/>
  <c r="D571" i="2"/>
  <c r="F571" i="2" s="1"/>
  <c r="D569" i="2"/>
  <c r="F569" i="2" s="1"/>
  <c r="D567" i="2"/>
  <c r="F567" i="2" s="1"/>
  <c r="D565" i="2"/>
  <c r="F565" i="2" s="1"/>
  <c r="D563" i="2"/>
  <c r="D561" i="2"/>
  <c r="F561" i="2" s="1"/>
  <c r="D559" i="2"/>
  <c r="F559" i="2" s="1"/>
  <c r="D557" i="2"/>
  <c r="F557" i="2" s="1"/>
  <c r="D555" i="2"/>
  <c r="F555" i="2" s="1"/>
  <c r="D553" i="2"/>
  <c r="F553" i="2" s="1"/>
  <c r="D551" i="2"/>
  <c r="F551" i="2" s="1"/>
  <c r="D549" i="2"/>
  <c r="F549" i="2" s="1"/>
  <c r="D547" i="2"/>
  <c r="F547" i="2" s="1"/>
  <c r="D545" i="2"/>
  <c r="F545" i="2" s="1"/>
  <c r="D543" i="2"/>
  <c r="F543" i="2" s="1"/>
  <c r="D541" i="2"/>
  <c r="F541" i="2" s="1"/>
  <c r="D539" i="2"/>
  <c r="F539" i="2" s="1"/>
  <c r="D537" i="2"/>
  <c r="F537" i="2" s="1"/>
  <c r="D535" i="2"/>
  <c r="F535" i="2" s="1"/>
  <c r="D533" i="2"/>
  <c r="F533" i="2" s="1"/>
  <c r="D531" i="2"/>
  <c r="F531" i="2" s="1"/>
  <c r="D529" i="2"/>
  <c r="F529" i="2" s="1"/>
  <c r="D527" i="2"/>
  <c r="F527" i="2" s="1"/>
  <c r="D525" i="2"/>
  <c r="F525" i="2" s="1"/>
  <c r="D8" i="2"/>
  <c r="F8" i="2" s="1"/>
  <c r="D250" i="2"/>
  <c r="F250" i="2" s="1"/>
  <c r="D248" i="2"/>
  <c r="F248" i="2" s="1"/>
  <c r="D246" i="2"/>
  <c r="F246" i="2" s="1"/>
  <c r="D244" i="2"/>
  <c r="F244" i="2" s="1"/>
  <c r="D242" i="2"/>
  <c r="F242" i="2" s="1"/>
  <c r="D240" i="2"/>
  <c r="F240" i="2" s="1"/>
  <c r="D238" i="2"/>
  <c r="F238" i="2" s="1"/>
  <c r="D236" i="2"/>
  <c r="F236" i="2" s="1"/>
  <c r="D234" i="2"/>
  <c r="F234" i="2" s="1"/>
  <c r="D232" i="2"/>
  <c r="F232" i="2" s="1"/>
  <c r="D230" i="2"/>
  <c r="F230" i="2" s="1"/>
  <c r="D228" i="2"/>
  <c r="F228" i="2" s="1"/>
  <c r="D226" i="2"/>
  <c r="F226" i="2" s="1"/>
  <c r="D224" i="2"/>
  <c r="F224" i="2" s="1"/>
  <c r="D222" i="2"/>
  <c r="F222" i="2" s="1"/>
  <c r="D220" i="2"/>
  <c r="D218" i="2"/>
  <c r="F218" i="2" s="1"/>
  <c r="D216" i="2"/>
  <c r="F216" i="2" s="1"/>
  <c r="D214" i="2"/>
  <c r="F214" i="2" s="1"/>
  <c r="D212" i="2"/>
  <c r="F212" i="2" s="1"/>
  <c r="D210" i="2"/>
  <c r="F210" i="2" s="1"/>
  <c r="D208" i="2"/>
  <c r="F208" i="2" s="1"/>
  <c r="D206" i="2"/>
  <c r="F206" i="2" s="1"/>
  <c r="D204" i="2"/>
  <c r="F204" i="2" s="1"/>
  <c r="D202" i="2"/>
  <c r="F202" i="2" s="1"/>
  <c r="D200" i="2"/>
  <c r="F200" i="2" s="1"/>
  <c r="D198" i="2"/>
  <c r="F198" i="2" s="1"/>
  <c r="D196" i="2"/>
  <c r="F196" i="2" s="1"/>
  <c r="D194" i="2"/>
  <c r="F194" i="2" s="1"/>
  <c r="D192" i="2"/>
  <c r="F192" i="2" s="1"/>
  <c r="D190" i="2"/>
  <c r="F190" i="2" s="1"/>
  <c r="D188" i="2"/>
  <c r="D186" i="2"/>
  <c r="F186" i="2" s="1"/>
  <c r="D184" i="2"/>
  <c r="F184" i="2" s="1"/>
  <c r="D182" i="2"/>
  <c r="F182" i="2" s="1"/>
  <c r="D180" i="2"/>
  <c r="F180" i="2" s="1"/>
  <c r="D523" i="2"/>
  <c r="F523" i="2" s="1"/>
  <c r="D521" i="2"/>
  <c r="F521" i="2" s="1"/>
  <c r="D519" i="2"/>
  <c r="D517" i="2"/>
  <c r="F517" i="2" s="1"/>
  <c r="D515" i="2"/>
  <c r="F515" i="2" s="1"/>
  <c r="D513" i="2"/>
  <c r="F513" i="2" s="1"/>
  <c r="D511" i="2"/>
  <c r="F511" i="2" s="1"/>
  <c r="D509" i="2"/>
  <c r="F509" i="2" s="1"/>
  <c r="D507" i="2"/>
  <c r="F507" i="2" s="1"/>
  <c r="D505" i="2"/>
  <c r="F505" i="2" s="1"/>
  <c r="D503" i="2"/>
  <c r="F503" i="2" s="1"/>
  <c r="D501" i="2"/>
  <c r="F501" i="2" s="1"/>
  <c r="D499" i="2"/>
  <c r="F499" i="2" s="1"/>
  <c r="D497" i="2"/>
  <c r="F497" i="2" s="1"/>
  <c r="D495" i="2"/>
  <c r="F495" i="2" s="1"/>
  <c r="D493" i="2"/>
  <c r="F493" i="2" s="1"/>
  <c r="D491" i="2"/>
  <c r="F491" i="2" s="1"/>
  <c r="D489" i="2"/>
  <c r="F489" i="2" s="1"/>
  <c r="D487" i="2"/>
  <c r="F487" i="2" s="1"/>
  <c r="D485" i="2"/>
  <c r="F485" i="2" s="1"/>
  <c r="D483" i="2"/>
  <c r="F483" i="2" s="1"/>
  <c r="D481" i="2"/>
  <c r="F481" i="2" s="1"/>
  <c r="D479" i="2"/>
  <c r="F479" i="2" s="1"/>
  <c r="D477" i="2"/>
  <c r="F477" i="2" s="1"/>
  <c r="D475" i="2"/>
  <c r="F475" i="2" s="1"/>
  <c r="D473" i="2"/>
  <c r="F473" i="2" s="1"/>
  <c r="D471" i="2"/>
  <c r="F471" i="2" s="1"/>
  <c r="D469" i="2"/>
  <c r="F469" i="2" s="1"/>
  <c r="D467" i="2"/>
  <c r="F467" i="2" s="1"/>
  <c r="D465" i="2"/>
  <c r="F465" i="2" s="1"/>
  <c r="D463" i="2"/>
  <c r="F463" i="2" s="1"/>
  <c r="D461" i="2"/>
  <c r="F461" i="2" s="1"/>
  <c r="D459" i="2"/>
  <c r="F459" i="2" s="1"/>
  <c r="D457" i="2"/>
  <c r="F457" i="2" s="1"/>
  <c r="D455" i="2"/>
  <c r="F455" i="2" s="1"/>
  <c r="D453" i="2"/>
  <c r="F453" i="2" s="1"/>
  <c r="D451" i="2"/>
  <c r="F451" i="2" s="1"/>
  <c r="D449" i="2"/>
  <c r="F449" i="2" s="1"/>
  <c r="D447" i="2"/>
  <c r="F447" i="2" s="1"/>
  <c r="D445" i="2"/>
  <c r="F445" i="2" s="1"/>
  <c r="D443" i="2"/>
  <c r="F443" i="2" s="1"/>
  <c r="D441" i="2"/>
  <c r="F441" i="2" s="1"/>
  <c r="D439" i="2"/>
  <c r="F439" i="2" s="1"/>
  <c r="D437" i="2"/>
  <c r="F437" i="2" s="1"/>
  <c r="D435" i="2"/>
  <c r="F435" i="2" s="1"/>
  <c r="D433" i="2"/>
  <c r="F433" i="2" s="1"/>
  <c r="D431" i="2"/>
  <c r="F431" i="2" s="1"/>
  <c r="D429" i="2"/>
  <c r="F429" i="2" s="1"/>
  <c r="D427" i="2"/>
  <c r="F427" i="2" s="1"/>
  <c r="D425" i="2"/>
  <c r="F425" i="2" s="1"/>
  <c r="D423" i="2"/>
  <c r="F423" i="2" s="1"/>
  <c r="D421" i="2"/>
  <c r="F421" i="2" s="1"/>
  <c r="D419" i="2"/>
  <c r="F419" i="2" s="1"/>
  <c r="D417" i="2"/>
  <c r="F417" i="2" s="1"/>
  <c r="D415" i="2"/>
  <c r="F415" i="2" s="1"/>
  <c r="D413" i="2"/>
  <c r="F413" i="2" s="1"/>
  <c r="D411" i="2"/>
  <c r="F411" i="2" s="1"/>
  <c r="D409" i="2"/>
  <c r="F409" i="2" s="1"/>
  <c r="D407" i="2"/>
  <c r="F407" i="2" s="1"/>
  <c r="D405" i="2"/>
  <c r="F405" i="2" s="1"/>
  <c r="D403" i="2"/>
  <c r="F403" i="2" s="1"/>
  <c r="D401" i="2"/>
  <c r="F401" i="2" s="1"/>
  <c r="D399" i="2"/>
  <c r="F399" i="2" s="1"/>
  <c r="D397" i="2"/>
  <c r="F397" i="2" s="1"/>
  <c r="D395" i="2"/>
  <c r="F395" i="2" s="1"/>
  <c r="D393" i="2"/>
  <c r="F393" i="2" s="1"/>
  <c r="D391" i="2"/>
  <c r="F391" i="2" s="1"/>
  <c r="D389" i="2"/>
  <c r="F389" i="2" s="1"/>
  <c r="D387" i="2"/>
  <c r="F387" i="2" s="1"/>
  <c r="D385" i="2"/>
  <c r="F385" i="2" s="1"/>
  <c r="D383" i="2"/>
  <c r="F383" i="2" s="1"/>
  <c r="D381" i="2"/>
  <c r="F381" i="2" s="1"/>
  <c r="D379" i="2"/>
  <c r="F379" i="2" s="1"/>
  <c r="D377" i="2"/>
  <c r="F377" i="2" s="1"/>
  <c r="D375" i="2"/>
  <c r="F375" i="2" s="1"/>
  <c r="D373" i="2"/>
  <c r="F373" i="2" s="1"/>
  <c r="D371" i="2"/>
  <c r="F371" i="2" s="1"/>
  <c r="D369" i="2"/>
  <c r="F369" i="2" s="1"/>
  <c r="D367" i="2"/>
  <c r="F367" i="2" s="1"/>
  <c r="D365" i="2"/>
  <c r="F365" i="2" s="1"/>
  <c r="D363" i="2"/>
  <c r="F363" i="2" s="1"/>
  <c r="D361" i="2"/>
  <c r="F361" i="2" s="1"/>
  <c r="D359" i="2"/>
  <c r="F359" i="2" s="1"/>
  <c r="D357" i="2"/>
  <c r="F357" i="2" s="1"/>
  <c r="D355" i="2"/>
  <c r="F355" i="2" s="1"/>
  <c r="D353" i="2"/>
  <c r="F353" i="2" s="1"/>
  <c r="D351" i="2"/>
  <c r="F351" i="2" s="1"/>
  <c r="D349" i="2"/>
  <c r="F349" i="2" s="1"/>
  <c r="D347" i="2"/>
  <c r="F347" i="2" s="1"/>
  <c r="D345" i="2"/>
  <c r="F345" i="2" s="1"/>
  <c r="D343" i="2"/>
  <c r="F343" i="2" s="1"/>
  <c r="D341" i="2"/>
  <c r="F341" i="2" s="1"/>
  <c r="D339" i="2"/>
  <c r="F339" i="2" s="1"/>
  <c r="D337" i="2"/>
  <c r="F337" i="2" s="1"/>
  <c r="D335" i="2"/>
  <c r="F335" i="2" s="1"/>
  <c r="D333" i="2"/>
  <c r="F333" i="2" s="1"/>
  <c r="D331" i="2"/>
  <c r="F331" i="2" s="1"/>
  <c r="D329" i="2"/>
  <c r="F329" i="2" s="1"/>
  <c r="D327" i="2"/>
  <c r="F327" i="2" s="1"/>
  <c r="D325" i="2"/>
  <c r="F325" i="2" s="1"/>
  <c r="D323" i="2"/>
  <c r="F323" i="2" s="1"/>
  <c r="D321" i="2"/>
  <c r="F321" i="2" s="1"/>
  <c r="D319" i="2"/>
  <c r="F319" i="2" s="1"/>
  <c r="D317" i="2"/>
  <c r="F317" i="2" s="1"/>
  <c r="D315" i="2"/>
  <c r="F315" i="2" s="1"/>
  <c r="D313" i="2"/>
  <c r="F313" i="2" s="1"/>
  <c r="D311" i="2"/>
  <c r="F311" i="2" s="1"/>
  <c r="D309" i="2"/>
  <c r="F309" i="2" s="1"/>
  <c r="D307" i="2"/>
  <c r="F307" i="2" s="1"/>
  <c r="D305" i="2"/>
  <c r="F305" i="2" s="1"/>
  <c r="D303" i="2"/>
  <c r="F303" i="2" s="1"/>
  <c r="D301" i="2"/>
  <c r="F301" i="2" s="1"/>
  <c r="D299" i="2"/>
  <c r="F299" i="2" s="1"/>
  <c r="D297" i="2"/>
  <c r="F297" i="2" s="1"/>
  <c r="D295" i="2"/>
  <c r="F295" i="2" s="1"/>
  <c r="D293" i="2"/>
  <c r="F293" i="2" s="1"/>
  <c r="D291" i="2"/>
  <c r="F291" i="2" s="1"/>
  <c r="D289" i="2"/>
  <c r="F289" i="2" s="1"/>
  <c r="D287" i="2"/>
  <c r="F287" i="2" s="1"/>
  <c r="D285" i="2"/>
  <c r="F285" i="2" s="1"/>
  <c r="D283" i="2"/>
  <c r="F283" i="2" s="1"/>
  <c r="D281" i="2"/>
  <c r="F281" i="2" s="1"/>
  <c r="D279" i="2"/>
  <c r="F279" i="2" s="1"/>
  <c r="D277" i="2"/>
  <c r="F277" i="2" s="1"/>
  <c r="D275" i="2"/>
  <c r="F275" i="2" s="1"/>
  <c r="D273" i="2"/>
  <c r="F273" i="2" s="1"/>
  <c r="D271" i="2"/>
  <c r="F271" i="2" s="1"/>
  <c r="D269" i="2"/>
  <c r="F269" i="2" s="1"/>
  <c r="D267" i="2"/>
  <c r="F267" i="2" s="1"/>
  <c r="D265" i="2"/>
  <c r="F265" i="2" s="1"/>
  <c r="D263" i="2"/>
  <c r="F263" i="2" s="1"/>
  <c r="D261" i="2"/>
  <c r="F261" i="2" s="1"/>
  <c r="D259" i="2"/>
  <c r="F259" i="2" s="1"/>
  <c r="D257" i="2"/>
  <c r="F257" i="2" s="1"/>
  <c r="D255" i="2"/>
  <c r="F255" i="2" s="1"/>
  <c r="D253" i="2"/>
  <c r="F253" i="2" s="1"/>
  <c r="D251" i="2"/>
  <c r="F251" i="2" s="1"/>
  <c r="D178" i="2"/>
  <c r="F178" i="2" s="1"/>
  <c r="D176" i="2"/>
  <c r="F176" i="2" s="1"/>
  <c r="D174" i="2"/>
  <c r="F174" i="2" s="1"/>
  <c r="D172" i="2"/>
  <c r="F172" i="2" s="1"/>
  <c r="D170" i="2"/>
  <c r="F170" i="2" s="1"/>
  <c r="D168" i="2"/>
  <c r="F168" i="2" s="1"/>
  <c r="D166" i="2"/>
  <c r="F166" i="2" s="1"/>
  <c r="D164" i="2"/>
  <c r="F164" i="2" s="1"/>
  <c r="D162" i="2"/>
  <c r="F162" i="2" s="1"/>
  <c r="D160" i="2"/>
  <c r="F160" i="2" s="1"/>
  <c r="D158" i="2"/>
  <c r="F158" i="2" s="1"/>
  <c r="D156" i="2"/>
  <c r="F156" i="2" s="1"/>
  <c r="D154" i="2"/>
  <c r="F154" i="2" s="1"/>
  <c r="D152" i="2"/>
  <c r="F152" i="2" s="1"/>
  <c r="D150" i="2"/>
  <c r="F150" i="2" s="1"/>
  <c r="D148" i="2"/>
  <c r="F148" i="2" s="1"/>
  <c r="D146" i="2"/>
  <c r="F146" i="2" s="1"/>
  <c r="D144" i="2"/>
  <c r="F144" i="2" s="1"/>
  <c r="D142" i="2"/>
  <c r="F142" i="2" s="1"/>
  <c r="D140" i="2"/>
  <c r="F140" i="2" s="1"/>
  <c r="D138" i="2"/>
  <c r="F138" i="2" s="1"/>
  <c r="D136" i="2"/>
  <c r="F136" i="2" s="1"/>
  <c r="D134" i="2"/>
  <c r="F134" i="2" s="1"/>
  <c r="D132" i="2"/>
  <c r="F132" i="2" s="1"/>
  <c r="D130" i="2"/>
  <c r="F130" i="2" s="1"/>
  <c r="D128" i="2"/>
  <c r="D126" i="2"/>
  <c r="F126" i="2" s="1"/>
  <c r="D124" i="2"/>
  <c r="F124" i="2" s="1"/>
  <c r="D122" i="2"/>
  <c r="F122" i="2" s="1"/>
  <c r="D120" i="2"/>
  <c r="F120" i="2" s="1"/>
  <c r="D118" i="2"/>
  <c r="F118" i="2" s="1"/>
  <c r="D116" i="2"/>
  <c r="F116" i="2" s="1"/>
  <c r="D114" i="2"/>
  <c r="F114" i="2" s="1"/>
  <c r="D112" i="2"/>
  <c r="F112" i="2" s="1"/>
  <c r="D110" i="2"/>
  <c r="F110" i="2" s="1"/>
  <c r="D108" i="2"/>
  <c r="F108" i="2" s="1"/>
  <c r="D106" i="2"/>
  <c r="F106" i="2" s="1"/>
  <c r="D104" i="2"/>
  <c r="F104" i="2" s="1"/>
  <c r="D102" i="2"/>
  <c r="F102" i="2" s="1"/>
  <c r="D100" i="2"/>
  <c r="F100" i="2" s="1"/>
  <c r="D98" i="2"/>
  <c r="F98" i="2" s="1"/>
  <c r="D96" i="2"/>
  <c r="F96" i="2" s="1"/>
  <c r="D94" i="2"/>
  <c r="F94" i="2" s="1"/>
  <c r="D92" i="2"/>
  <c r="F92" i="2" s="1"/>
  <c r="D90" i="2"/>
  <c r="F90" i="2" s="1"/>
  <c r="D88" i="2"/>
  <c r="F88" i="2" s="1"/>
  <c r="D86" i="2"/>
  <c r="F86" i="2" s="1"/>
  <c r="D84" i="2"/>
  <c r="F84" i="2" s="1"/>
  <c r="D82" i="2"/>
  <c r="F82" i="2" s="1"/>
  <c r="D80" i="2"/>
  <c r="F80" i="2" s="1"/>
  <c r="D78" i="2"/>
  <c r="F78" i="2" s="1"/>
  <c r="D76" i="2"/>
  <c r="F76" i="2" s="1"/>
  <c r="D74" i="2"/>
  <c r="F74" i="2" s="1"/>
  <c r="D72" i="2"/>
  <c r="F72" i="2" s="1"/>
  <c r="D70" i="2"/>
  <c r="F70" i="2" s="1"/>
  <c r="D68" i="2"/>
  <c r="F68" i="2" s="1"/>
  <c r="D66" i="2"/>
  <c r="F66" i="2" s="1"/>
  <c r="D64" i="2"/>
  <c r="F64" i="2" s="1"/>
  <c r="D62" i="2"/>
  <c r="F62" i="2" s="1"/>
  <c r="D60" i="2"/>
  <c r="F60" i="2" s="1"/>
  <c r="D58" i="2"/>
  <c r="F58" i="2" s="1"/>
  <c r="D56" i="2"/>
  <c r="F56" i="2" s="1"/>
  <c r="D54" i="2"/>
  <c r="F54" i="2" s="1"/>
  <c r="D52" i="2"/>
  <c r="F52" i="2" s="1"/>
  <c r="D50" i="2"/>
  <c r="F50" i="2" s="1"/>
  <c r="D48" i="2"/>
  <c r="F48" i="2" s="1"/>
  <c r="D46" i="2"/>
  <c r="F46" i="2" s="1"/>
  <c r="D44" i="2"/>
  <c r="F44" i="2" s="1"/>
  <c r="D42" i="2"/>
  <c r="F42" i="2" s="1"/>
  <c r="D40" i="2"/>
  <c r="F40" i="2" s="1"/>
  <c r="D38" i="2"/>
  <c r="F38" i="2" s="1"/>
  <c r="D36" i="2"/>
  <c r="F36" i="2" s="1"/>
  <c r="D34" i="2"/>
  <c r="F34" i="2" s="1"/>
  <c r="D32" i="2"/>
  <c r="F32" i="2" s="1"/>
  <c r="D30" i="2"/>
  <c r="F30" i="2" s="1"/>
  <c r="D28" i="2"/>
  <c r="F28" i="2" s="1"/>
  <c r="D26" i="2"/>
  <c r="F26" i="2" s="1"/>
  <c r="D24" i="2"/>
  <c r="F24" i="2" s="1"/>
  <c r="D22" i="2"/>
  <c r="F22" i="2" s="1"/>
  <c r="D20" i="2"/>
  <c r="F20" i="2" s="1"/>
  <c r="D18" i="2"/>
  <c r="F18" i="2" s="1"/>
  <c r="D16" i="2"/>
  <c r="F16" i="2" s="1"/>
  <c r="D14" i="2"/>
  <c r="F14" i="2" s="1"/>
  <c r="D12" i="2"/>
  <c r="F12" i="2" s="1"/>
  <c r="D10" i="2"/>
  <c r="F10" i="2" s="1"/>
  <c r="D1007" i="2"/>
  <c r="F1007" i="2" s="1"/>
  <c r="D1006" i="2"/>
  <c r="F1006" i="2" s="1"/>
  <c r="D1004" i="2"/>
  <c r="F1004" i="2" s="1"/>
  <c r="D1002" i="2"/>
  <c r="F1002" i="2" s="1"/>
  <c r="D1000" i="2"/>
  <c r="F1000" i="2" s="1"/>
  <c r="D998" i="2"/>
  <c r="F998" i="2" s="1"/>
  <c r="D996" i="2"/>
  <c r="F996" i="2" s="1"/>
  <c r="D994" i="2"/>
  <c r="F994" i="2" s="1"/>
  <c r="D992" i="2"/>
  <c r="F992" i="2" s="1"/>
  <c r="D990" i="2"/>
  <c r="F990" i="2" s="1"/>
  <c r="D988" i="2"/>
  <c r="F988" i="2" s="1"/>
  <c r="D986" i="2"/>
  <c r="F986" i="2" s="1"/>
  <c r="D984" i="2"/>
  <c r="F984" i="2" s="1"/>
  <c r="D982" i="2"/>
  <c r="F982" i="2" s="1"/>
  <c r="D980" i="2"/>
  <c r="F980" i="2" s="1"/>
  <c r="D978" i="2"/>
  <c r="F978" i="2" s="1"/>
  <c r="D976" i="2"/>
  <c r="F976" i="2" s="1"/>
  <c r="D974" i="2"/>
  <c r="F974" i="2" s="1"/>
  <c r="D972" i="2"/>
  <c r="F972" i="2" s="1"/>
  <c r="D970" i="2"/>
  <c r="F970" i="2" s="1"/>
  <c r="D968" i="2"/>
  <c r="F968" i="2" s="1"/>
  <c r="D966" i="2"/>
  <c r="F966" i="2" s="1"/>
  <c r="D964" i="2"/>
  <c r="F964" i="2" s="1"/>
  <c r="D962" i="2"/>
  <c r="F962" i="2" s="1"/>
  <c r="D960" i="2"/>
  <c r="F960" i="2" s="1"/>
  <c r="D958" i="2"/>
  <c r="F958" i="2" s="1"/>
  <c r="D956" i="2"/>
  <c r="F956" i="2" s="1"/>
  <c r="D954" i="2"/>
  <c r="F954" i="2" s="1"/>
  <c r="D952" i="2"/>
  <c r="F952" i="2" s="1"/>
  <c r="D950" i="2"/>
  <c r="F950" i="2" s="1"/>
  <c r="D948" i="2"/>
  <c r="F948" i="2" s="1"/>
  <c r="D946" i="2"/>
  <c r="F946" i="2" s="1"/>
  <c r="D944" i="2"/>
  <c r="F944" i="2" s="1"/>
  <c r="D942" i="2"/>
  <c r="F942" i="2" s="1"/>
  <c r="D940" i="2"/>
  <c r="F940" i="2" s="1"/>
  <c r="D938" i="2"/>
  <c r="F938" i="2" s="1"/>
  <c r="D936" i="2"/>
  <c r="F936" i="2" s="1"/>
  <c r="D934" i="2"/>
  <c r="F934" i="2" s="1"/>
  <c r="D932" i="2"/>
  <c r="F932" i="2" s="1"/>
  <c r="D930" i="2"/>
  <c r="F930" i="2" s="1"/>
  <c r="D928" i="2"/>
  <c r="F928" i="2" s="1"/>
  <c r="D926" i="2"/>
  <c r="F926" i="2" s="1"/>
  <c r="D924" i="2"/>
  <c r="F924" i="2" s="1"/>
  <c r="D922" i="2"/>
  <c r="F922" i="2" s="1"/>
  <c r="D920" i="2"/>
  <c r="F920" i="2" s="1"/>
  <c r="D918" i="2"/>
  <c r="F918" i="2" s="1"/>
  <c r="D916" i="2"/>
  <c r="F916" i="2" s="1"/>
  <c r="D914" i="2"/>
  <c r="F914" i="2" s="1"/>
  <c r="D912" i="2"/>
  <c r="F912" i="2" s="1"/>
  <c r="D910" i="2"/>
  <c r="F910" i="2" s="1"/>
  <c r="D908" i="2"/>
  <c r="F908" i="2" s="1"/>
  <c r="D906" i="2"/>
  <c r="F906" i="2" s="1"/>
  <c r="D904" i="2"/>
  <c r="F904" i="2" s="1"/>
  <c r="D902" i="2"/>
  <c r="F902" i="2" s="1"/>
  <c r="D900" i="2"/>
  <c r="F900" i="2" s="1"/>
  <c r="D898" i="2"/>
  <c r="F898" i="2" s="1"/>
  <c r="D896" i="2"/>
  <c r="F896" i="2" s="1"/>
  <c r="D894" i="2"/>
  <c r="F894" i="2" s="1"/>
  <c r="D892" i="2"/>
  <c r="F892" i="2" s="1"/>
  <c r="D890" i="2"/>
  <c r="F890" i="2" s="1"/>
  <c r="D888" i="2"/>
  <c r="F888" i="2" s="1"/>
  <c r="D886" i="2"/>
  <c r="F886" i="2" s="1"/>
  <c r="D884" i="2"/>
  <c r="F884" i="2" s="1"/>
  <c r="D882" i="2"/>
  <c r="F882" i="2" s="1"/>
  <c r="D880" i="2"/>
  <c r="F880" i="2" s="1"/>
  <c r="D878" i="2"/>
  <c r="F878" i="2" s="1"/>
  <c r="D876" i="2"/>
  <c r="F876" i="2" s="1"/>
  <c r="D874" i="2"/>
  <c r="F874" i="2" s="1"/>
  <c r="D872" i="2"/>
  <c r="F872" i="2" s="1"/>
  <c r="D870" i="2"/>
  <c r="F870" i="2" s="1"/>
  <c r="D868" i="2"/>
  <c r="F868" i="2" s="1"/>
  <c r="D866" i="2"/>
  <c r="F866" i="2" s="1"/>
  <c r="D864" i="2"/>
  <c r="F864" i="2" s="1"/>
  <c r="D862" i="2"/>
  <c r="F862" i="2" s="1"/>
  <c r="D860" i="2"/>
  <c r="F860" i="2" s="1"/>
  <c r="D858" i="2"/>
  <c r="F858" i="2" s="1"/>
  <c r="D856" i="2"/>
  <c r="F856" i="2" s="1"/>
  <c r="D854" i="2"/>
  <c r="F854" i="2" s="1"/>
  <c r="D852" i="2"/>
  <c r="F852" i="2" s="1"/>
  <c r="D850" i="2"/>
  <c r="F850" i="2" s="1"/>
  <c r="D848" i="2"/>
  <c r="F848" i="2" s="1"/>
  <c r="D846" i="2"/>
  <c r="F846" i="2" s="1"/>
  <c r="D844" i="2"/>
  <c r="F844" i="2" s="1"/>
  <c r="D842" i="2"/>
  <c r="F842" i="2" s="1"/>
  <c r="D840" i="2"/>
  <c r="F840" i="2" s="1"/>
  <c r="D838" i="2"/>
  <c r="F838" i="2" s="1"/>
  <c r="D836" i="2"/>
  <c r="F836" i="2" s="1"/>
  <c r="D834" i="2"/>
  <c r="F834" i="2" s="1"/>
  <c r="D832" i="2"/>
  <c r="F832" i="2" s="1"/>
  <c r="D830" i="2"/>
  <c r="F830" i="2" s="1"/>
  <c r="D828" i="2"/>
  <c r="F828" i="2" s="1"/>
  <c r="D826" i="2"/>
  <c r="F826" i="2" s="1"/>
  <c r="D824" i="2"/>
  <c r="F824" i="2" s="1"/>
  <c r="D822" i="2"/>
  <c r="F822" i="2" s="1"/>
  <c r="D820" i="2"/>
  <c r="F820" i="2" s="1"/>
  <c r="D818" i="2"/>
  <c r="F818" i="2" s="1"/>
  <c r="D816" i="2"/>
  <c r="F816" i="2" s="1"/>
  <c r="D814" i="2"/>
  <c r="F814" i="2" s="1"/>
  <c r="D812" i="2"/>
  <c r="F812" i="2" s="1"/>
  <c r="D810" i="2"/>
  <c r="F810" i="2" s="1"/>
  <c r="D808" i="2"/>
  <c r="F808" i="2" s="1"/>
  <c r="D806" i="2"/>
  <c r="F806" i="2" s="1"/>
  <c r="D804" i="2"/>
  <c r="F804" i="2" s="1"/>
  <c r="D802" i="2"/>
  <c r="F802" i="2" s="1"/>
  <c r="D800" i="2"/>
  <c r="F800" i="2" s="1"/>
  <c r="D798" i="2"/>
  <c r="F798" i="2" s="1"/>
  <c r="D796" i="2"/>
  <c r="F796" i="2" s="1"/>
  <c r="D794" i="2"/>
  <c r="F794" i="2" s="1"/>
  <c r="D792" i="2"/>
  <c r="F792" i="2" s="1"/>
  <c r="D790" i="2"/>
  <c r="F790" i="2" s="1"/>
  <c r="D788" i="2"/>
  <c r="F788" i="2" s="1"/>
  <c r="D786" i="2"/>
  <c r="F786" i="2" s="1"/>
  <c r="D784" i="2"/>
  <c r="F784" i="2" s="1"/>
  <c r="D782" i="2"/>
  <c r="F782" i="2" s="1"/>
  <c r="D780" i="2"/>
  <c r="F780" i="2" s="1"/>
  <c r="D778" i="2"/>
  <c r="F778" i="2" s="1"/>
  <c r="D776" i="2"/>
  <c r="F776" i="2" s="1"/>
  <c r="D774" i="2"/>
  <c r="F774" i="2" s="1"/>
  <c r="D772" i="2"/>
  <c r="F772" i="2" s="1"/>
  <c r="D770" i="2"/>
  <c r="F770" i="2" s="1"/>
  <c r="D768" i="2"/>
  <c r="F768" i="2" s="1"/>
  <c r="D766" i="2"/>
  <c r="F766" i="2" s="1"/>
  <c r="D764" i="2"/>
  <c r="F764" i="2" s="1"/>
  <c r="D762" i="2"/>
  <c r="F762" i="2" s="1"/>
  <c r="D760" i="2"/>
  <c r="F760" i="2" s="1"/>
  <c r="D758" i="2"/>
  <c r="F758" i="2" s="1"/>
  <c r="D756" i="2"/>
  <c r="F756" i="2" s="1"/>
  <c r="D754" i="2"/>
  <c r="F754" i="2" s="1"/>
  <c r="D752" i="2"/>
  <c r="F752" i="2" s="1"/>
  <c r="D750" i="2"/>
  <c r="F750" i="2" s="1"/>
  <c r="D748" i="2"/>
  <c r="F748" i="2" s="1"/>
  <c r="D746" i="2"/>
  <c r="F746" i="2" s="1"/>
  <c r="D744" i="2"/>
  <c r="F744" i="2" s="1"/>
  <c r="D742" i="2"/>
  <c r="F742" i="2" s="1"/>
  <c r="D740" i="2"/>
  <c r="F740" i="2" s="1"/>
  <c r="D738" i="2"/>
  <c r="F738" i="2" s="1"/>
  <c r="D736" i="2"/>
  <c r="F736" i="2" s="1"/>
  <c r="D734" i="2"/>
  <c r="F734" i="2" s="1"/>
  <c r="D732" i="2"/>
  <c r="F732" i="2" s="1"/>
  <c r="D730" i="2"/>
  <c r="F730" i="2" s="1"/>
  <c r="D728" i="2"/>
  <c r="F728" i="2" s="1"/>
  <c r="D726" i="2"/>
  <c r="F726" i="2" s="1"/>
  <c r="D724" i="2"/>
  <c r="F724" i="2" s="1"/>
  <c r="D722" i="2"/>
  <c r="F722" i="2" s="1"/>
  <c r="D720" i="2"/>
  <c r="F720" i="2" s="1"/>
  <c r="D718" i="2"/>
  <c r="F718" i="2" s="1"/>
  <c r="D716" i="2"/>
  <c r="F716" i="2" s="1"/>
  <c r="D714" i="2"/>
  <c r="F714" i="2" s="1"/>
  <c r="D712" i="2"/>
  <c r="F712" i="2" s="1"/>
  <c r="D710" i="2"/>
  <c r="F710" i="2" s="1"/>
  <c r="D708" i="2"/>
  <c r="F708" i="2" s="1"/>
  <c r="D706" i="2"/>
  <c r="F706" i="2" s="1"/>
  <c r="D704" i="2"/>
  <c r="F704" i="2" s="1"/>
  <c r="D702" i="2"/>
  <c r="F702" i="2" s="1"/>
  <c r="D700" i="2"/>
  <c r="F700" i="2" s="1"/>
  <c r="D698" i="2"/>
  <c r="F698" i="2" s="1"/>
  <c r="D696" i="2"/>
  <c r="F696" i="2" s="1"/>
  <c r="D694" i="2"/>
  <c r="F694" i="2" s="1"/>
  <c r="D692" i="2"/>
  <c r="F692" i="2" s="1"/>
  <c r="D690" i="2"/>
  <c r="F690" i="2" s="1"/>
  <c r="D688" i="2"/>
  <c r="F688" i="2" s="1"/>
  <c r="D686" i="2"/>
  <c r="F686" i="2" s="1"/>
  <c r="D684" i="2"/>
  <c r="F684" i="2" s="1"/>
  <c r="D682" i="2"/>
  <c r="F682" i="2" s="1"/>
  <c r="D680" i="2"/>
  <c r="F680" i="2" s="1"/>
  <c r="D678" i="2"/>
  <c r="F678" i="2" s="1"/>
  <c r="D676" i="2"/>
  <c r="F676" i="2" s="1"/>
  <c r="D674" i="2"/>
  <c r="F674" i="2" s="1"/>
  <c r="D672" i="2"/>
  <c r="F672" i="2" s="1"/>
  <c r="D670" i="2"/>
  <c r="F670" i="2" s="1"/>
  <c r="D668" i="2"/>
  <c r="F668" i="2" s="1"/>
  <c r="D666" i="2"/>
  <c r="F666" i="2" s="1"/>
  <c r="D664" i="2"/>
  <c r="F664" i="2" s="1"/>
  <c r="D662" i="2"/>
  <c r="F662" i="2" s="1"/>
  <c r="D660" i="2"/>
  <c r="F660" i="2" s="1"/>
  <c r="D658" i="2"/>
  <c r="F658" i="2" s="1"/>
  <c r="D656" i="2"/>
  <c r="F656" i="2" s="1"/>
  <c r="D654" i="2"/>
  <c r="F654" i="2" s="1"/>
  <c r="D652" i="2"/>
  <c r="F652" i="2" s="1"/>
  <c r="D650" i="2"/>
  <c r="F650" i="2" s="1"/>
  <c r="D648" i="2"/>
  <c r="F648" i="2" s="1"/>
  <c r="D646" i="2"/>
  <c r="F646" i="2" s="1"/>
  <c r="D644" i="2"/>
  <c r="F644" i="2" s="1"/>
  <c r="D642" i="2"/>
  <c r="F642" i="2" s="1"/>
  <c r="D640" i="2"/>
  <c r="F640" i="2" s="1"/>
  <c r="D638" i="2"/>
  <c r="F638" i="2" s="1"/>
  <c r="D636" i="2"/>
  <c r="F636" i="2" s="1"/>
  <c r="D634" i="2"/>
  <c r="F634" i="2" s="1"/>
  <c r="D632" i="2"/>
  <c r="F632" i="2" s="1"/>
  <c r="D630" i="2"/>
  <c r="F630" i="2" s="1"/>
  <c r="D628" i="2"/>
  <c r="F628" i="2" s="1"/>
  <c r="D626" i="2"/>
  <c r="F626" i="2" s="1"/>
  <c r="D624" i="2"/>
  <c r="F624" i="2" s="1"/>
  <c r="D622" i="2"/>
  <c r="F622" i="2" s="1"/>
  <c r="D620" i="2"/>
  <c r="F620" i="2" s="1"/>
  <c r="D618" i="2"/>
  <c r="F618" i="2" s="1"/>
  <c r="D616" i="2"/>
  <c r="F616" i="2" s="1"/>
  <c r="D614" i="2"/>
  <c r="F614" i="2" s="1"/>
  <c r="D612" i="2"/>
  <c r="F612" i="2" s="1"/>
  <c r="D610" i="2"/>
  <c r="F610" i="2" s="1"/>
  <c r="D608" i="2"/>
  <c r="F608" i="2" s="1"/>
  <c r="D606" i="2"/>
  <c r="F606" i="2" s="1"/>
  <c r="D604" i="2"/>
  <c r="F604" i="2" s="1"/>
  <c r="D602" i="2"/>
  <c r="F602" i="2" s="1"/>
  <c r="D600" i="2"/>
  <c r="F600" i="2" s="1"/>
  <c r="D598" i="2"/>
  <c r="F598" i="2" s="1"/>
  <c r="D596" i="2"/>
  <c r="F596" i="2" s="1"/>
  <c r="D594" i="2"/>
  <c r="F594" i="2" s="1"/>
  <c r="D592" i="2"/>
  <c r="F592" i="2" s="1"/>
  <c r="D590" i="2"/>
  <c r="F590" i="2" s="1"/>
  <c r="D588" i="2"/>
  <c r="F588" i="2" s="1"/>
  <c r="D586" i="2"/>
  <c r="F586" i="2" s="1"/>
  <c r="D584" i="2"/>
  <c r="F584" i="2" s="1"/>
  <c r="D582" i="2"/>
  <c r="F582" i="2" s="1"/>
  <c r="D580" i="2"/>
  <c r="F580" i="2" s="1"/>
  <c r="D578" i="2"/>
  <c r="F578" i="2" s="1"/>
  <c r="D576" i="2"/>
  <c r="F576" i="2" s="1"/>
  <c r="D574" i="2"/>
  <c r="F574" i="2" s="1"/>
  <c r="D572" i="2"/>
  <c r="F572" i="2" s="1"/>
  <c r="D570" i="2"/>
  <c r="F570" i="2" s="1"/>
  <c r="D568" i="2"/>
  <c r="F568" i="2" s="1"/>
  <c r="D566" i="2"/>
  <c r="F566" i="2" s="1"/>
  <c r="D564" i="2"/>
  <c r="F564" i="2" s="1"/>
  <c r="D562" i="2"/>
  <c r="F562" i="2" s="1"/>
  <c r="D560" i="2"/>
  <c r="F560" i="2" s="1"/>
  <c r="D558" i="2"/>
  <c r="F558" i="2" s="1"/>
  <c r="D556" i="2"/>
  <c r="F556" i="2" s="1"/>
  <c r="D554" i="2"/>
  <c r="F554" i="2" s="1"/>
  <c r="D552" i="2"/>
  <c r="F552" i="2" s="1"/>
  <c r="D550" i="2"/>
  <c r="F550" i="2" s="1"/>
  <c r="D548" i="2"/>
  <c r="F548" i="2" s="1"/>
  <c r="D546" i="2"/>
  <c r="F546" i="2" s="1"/>
  <c r="D544" i="2"/>
  <c r="F544" i="2" s="1"/>
  <c r="D542" i="2"/>
  <c r="F542" i="2" s="1"/>
  <c r="D540" i="2"/>
  <c r="F540" i="2" s="1"/>
  <c r="D538" i="2"/>
  <c r="F538" i="2" s="1"/>
  <c r="D536" i="2"/>
  <c r="F536" i="2" s="1"/>
  <c r="D534" i="2"/>
  <c r="F534" i="2" s="1"/>
  <c r="D532" i="2"/>
  <c r="F532" i="2" s="1"/>
  <c r="D530" i="2"/>
  <c r="F530" i="2" s="1"/>
  <c r="D528" i="2"/>
  <c r="F528" i="2" s="1"/>
  <c r="D526" i="2"/>
  <c r="F526" i="2" s="1"/>
  <c r="D524" i="2"/>
  <c r="F524" i="2" s="1"/>
  <c r="D522" i="2"/>
  <c r="F522" i="2" s="1"/>
  <c r="D520" i="2"/>
  <c r="F520" i="2" s="1"/>
  <c r="D518" i="2"/>
  <c r="F518" i="2" s="1"/>
  <c r="D516" i="2"/>
  <c r="F516" i="2" s="1"/>
  <c r="D514" i="2"/>
  <c r="F514" i="2" s="1"/>
  <c r="D512" i="2"/>
  <c r="F512" i="2" s="1"/>
  <c r="D510" i="2"/>
  <c r="F510" i="2" s="1"/>
  <c r="D508" i="2"/>
  <c r="F508" i="2" s="1"/>
  <c r="D506" i="2"/>
  <c r="F506" i="2" s="1"/>
  <c r="D504" i="2"/>
  <c r="F504" i="2" s="1"/>
  <c r="D502" i="2"/>
  <c r="F502" i="2" s="1"/>
  <c r="D500" i="2"/>
  <c r="F500" i="2" s="1"/>
  <c r="D498" i="2"/>
  <c r="F498" i="2" s="1"/>
  <c r="D496" i="2"/>
  <c r="F496" i="2" s="1"/>
  <c r="D494" i="2"/>
  <c r="F494" i="2" s="1"/>
  <c r="D492" i="2"/>
  <c r="F492" i="2" s="1"/>
  <c r="D490" i="2"/>
  <c r="F490" i="2" s="1"/>
  <c r="D488" i="2"/>
  <c r="F488" i="2" s="1"/>
  <c r="D486" i="2"/>
  <c r="F486" i="2" s="1"/>
  <c r="D484" i="2"/>
  <c r="F484" i="2" s="1"/>
  <c r="D482" i="2"/>
  <c r="F482" i="2" s="1"/>
  <c r="D480" i="2"/>
  <c r="F480" i="2" s="1"/>
  <c r="D478" i="2"/>
  <c r="F478" i="2" s="1"/>
  <c r="D476" i="2"/>
  <c r="F476" i="2" s="1"/>
  <c r="D474" i="2"/>
  <c r="F474" i="2" s="1"/>
  <c r="D472" i="2"/>
  <c r="F472" i="2" s="1"/>
  <c r="D470" i="2"/>
  <c r="F470" i="2" s="1"/>
  <c r="D468" i="2"/>
  <c r="F468" i="2" s="1"/>
  <c r="D466" i="2"/>
  <c r="F466" i="2" s="1"/>
  <c r="D464" i="2"/>
  <c r="F464" i="2" s="1"/>
  <c r="D462" i="2"/>
  <c r="F462" i="2" s="1"/>
  <c r="D460" i="2"/>
  <c r="F460" i="2" s="1"/>
  <c r="D458" i="2"/>
  <c r="F458" i="2" s="1"/>
  <c r="D456" i="2"/>
  <c r="F456" i="2" s="1"/>
  <c r="D454" i="2"/>
  <c r="F454" i="2" s="1"/>
  <c r="D452" i="2"/>
  <c r="F452" i="2" s="1"/>
  <c r="D450" i="2"/>
  <c r="F450" i="2" s="1"/>
  <c r="D448" i="2"/>
  <c r="F448" i="2" s="1"/>
  <c r="D446" i="2"/>
  <c r="F446" i="2" s="1"/>
  <c r="D444" i="2"/>
  <c r="F444" i="2" s="1"/>
  <c r="D442" i="2"/>
  <c r="F442" i="2" s="1"/>
  <c r="D440" i="2"/>
  <c r="F440" i="2" s="1"/>
  <c r="D438" i="2"/>
  <c r="F438" i="2" s="1"/>
  <c r="D436" i="2"/>
  <c r="F436" i="2" s="1"/>
  <c r="D434" i="2"/>
  <c r="F434" i="2" s="1"/>
  <c r="D432" i="2"/>
  <c r="F432" i="2" s="1"/>
  <c r="D430" i="2"/>
  <c r="F430" i="2" s="1"/>
  <c r="D428" i="2"/>
  <c r="F428" i="2" s="1"/>
  <c r="D426" i="2"/>
  <c r="F426" i="2" s="1"/>
  <c r="D424" i="2"/>
  <c r="F424" i="2" s="1"/>
  <c r="D422" i="2"/>
  <c r="F422" i="2" s="1"/>
  <c r="D249" i="2"/>
  <c r="F249" i="2" s="1"/>
  <c r="D247" i="2"/>
  <c r="F247" i="2" s="1"/>
  <c r="D245" i="2"/>
  <c r="F245" i="2" s="1"/>
  <c r="D243" i="2"/>
  <c r="F243" i="2" s="1"/>
  <c r="D241" i="2"/>
  <c r="F241" i="2" s="1"/>
  <c r="D239" i="2"/>
  <c r="F239" i="2" s="1"/>
  <c r="D237" i="2"/>
  <c r="F237" i="2" s="1"/>
  <c r="D235" i="2"/>
  <c r="F235" i="2" s="1"/>
  <c r="D233" i="2"/>
  <c r="F233" i="2" s="1"/>
  <c r="D231" i="2"/>
  <c r="F231" i="2" s="1"/>
  <c r="D229" i="2"/>
  <c r="F229" i="2" s="1"/>
  <c r="D227" i="2"/>
  <c r="F227" i="2" s="1"/>
  <c r="D225" i="2"/>
  <c r="F225" i="2" s="1"/>
  <c r="D223" i="2"/>
  <c r="F223" i="2" s="1"/>
  <c r="D221" i="2"/>
  <c r="F221" i="2" s="1"/>
  <c r="D219" i="2"/>
  <c r="F219" i="2" s="1"/>
  <c r="D217" i="2"/>
  <c r="F217" i="2" s="1"/>
  <c r="D215" i="2"/>
  <c r="F215" i="2" s="1"/>
  <c r="D213" i="2"/>
  <c r="F213" i="2" s="1"/>
  <c r="D211" i="2"/>
  <c r="F211" i="2" s="1"/>
  <c r="D209" i="2"/>
  <c r="F209" i="2" s="1"/>
  <c r="D207" i="2"/>
  <c r="F207" i="2" s="1"/>
  <c r="D205" i="2"/>
  <c r="F205" i="2" s="1"/>
  <c r="D203" i="2"/>
  <c r="F203" i="2" s="1"/>
  <c r="D201" i="2"/>
  <c r="F201" i="2" s="1"/>
  <c r="D199" i="2"/>
  <c r="F199" i="2" s="1"/>
  <c r="D197" i="2"/>
  <c r="F197" i="2" s="1"/>
  <c r="D195" i="2"/>
  <c r="F195" i="2" s="1"/>
  <c r="D193" i="2"/>
  <c r="F193" i="2" s="1"/>
  <c r="D191" i="2"/>
  <c r="F191" i="2" s="1"/>
  <c r="D189" i="2"/>
  <c r="F189" i="2" s="1"/>
  <c r="D187" i="2"/>
  <c r="F187" i="2" s="1"/>
  <c r="D185" i="2"/>
  <c r="F185" i="2" s="1"/>
  <c r="D183" i="2"/>
  <c r="F183" i="2" s="1"/>
  <c r="D181" i="2"/>
  <c r="F181" i="2" s="1"/>
  <c r="D179" i="2"/>
  <c r="F179" i="2" s="1"/>
  <c r="D177" i="2"/>
  <c r="F177" i="2" s="1"/>
  <c r="D175" i="2"/>
  <c r="F175" i="2" s="1"/>
  <c r="D173" i="2"/>
  <c r="F173" i="2" s="1"/>
  <c r="D171" i="2"/>
  <c r="F171" i="2" s="1"/>
  <c r="D169" i="2"/>
  <c r="F169" i="2" s="1"/>
  <c r="D167" i="2"/>
  <c r="F167" i="2" s="1"/>
  <c r="D165" i="2"/>
  <c r="F165" i="2" s="1"/>
  <c r="D163" i="2"/>
  <c r="F163" i="2" s="1"/>
  <c r="D161" i="2"/>
  <c r="F161" i="2" s="1"/>
  <c r="D159" i="2"/>
  <c r="F159" i="2" s="1"/>
  <c r="D157" i="2"/>
  <c r="F157" i="2" s="1"/>
  <c r="D155" i="2"/>
  <c r="F155" i="2" s="1"/>
  <c r="D153" i="2"/>
  <c r="F153" i="2" s="1"/>
  <c r="D151" i="2"/>
  <c r="F151" i="2" s="1"/>
  <c r="D149" i="2"/>
  <c r="F149" i="2" s="1"/>
  <c r="D147" i="2"/>
  <c r="F147" i="2" s="1"/>
  <c r="D145" i="2"/>
  <c r="F145" i="2" s="1"/>
  <c r="D143" i="2"/>
  <c r="F143" i="2" s="1"/>
  <c r="D141" i="2"/>
  <c r="F141" i="2" s="1"/>
  <c r="D139" i="2"/>
  <c r="F139" i="2" s="1"/>
  <c r="D137" i="2"/>
  <c r="F137" i="2" s="1"/>
  <c r="D135" i="2"/>
  <c r="F135" i="2" s="1"/>
  <c r="D133" i="2"/>
  <c r="F133" i="2" s="1"/>
  <c r="D131" i="2"/>
  <c r="F131" i="2" s="1"/>
  <c r="D129" i="2"/>
  <c r="F129" i="2" s="1"/>
  <c r="D127" i="2"/>
  <c r="F127" i="2" s="1"/>
  <c r="D125" i="2"/>
  <c r="F125" i="2" s="1"/>
  <c r="D123" i="2"/>
  <c r="F123" i="2" s="1"/>
  <c r="D121" i="2"/>
  <c r="F121" i="2" s="1"/>
  <c r="D119" i="2"/>
  <c r="F119" i="2" s="1"/>
  <c r="D117" i="2"/>
  <c r="F117" i="2" s="1"/>
  <c r="D115" i="2"/>
  <c r="F115" i="2" s="1"/>
  <c r="D113" i="2"/>
  <c r="F113" i="2" s="1"/>
  <c r="D111" i="2"/>
  <c r="F111" i="2" s="1"/>
  <c r="D109" i="2"/>
  <c r="F109" i="2" s="1"/>
  <c r="D107" i="2"/>
  <c r="F107" i="2" s="1"/>
  <c r="D105" i="2"/>
  <c r="F105" i="2" s="1"/>
  <c r="D103" i="2"/>
  <c r="F103" i="2" s="1"/>
  <c r="D101" i="2"/>
  <c r="F101" i="2" s="1"/>
  <c r="D99" i="2"/>
  <c r="F99" i="2" s="1"/>
  <c r="D97" i="2"/>
  <c r="F97" i="2" s="1"/>
  <c r="D95" i="2"/>
  <c r="F95" i="2" s="1"/>
  <c r="D93" i="2"/>
  <c r="F93" i="2" s="1"/>
  <c r="D91" i="2"/>
  <c r="F91" i="2" s="1"/>
  <c r="D89" i="2"/>
  <c r="F89" i="2" s="1"/>
  <c r="D87" i="2"/>
  <c r="F87" i="2" s="1"/>
  <c r="D85" i="2"/>
  <c r="F85" i="2" s="1"/>
  <c r="D83" i="2"/>
  <c r="F83" i="2" s="1"/>
  <c r="D81" i="2"/>
  <c r="F81" i="2" s="1"/>
  <c r="D79" i="2"/>
  <c r="F79" i="2" s="1"/>
  <c r="D77" i="2"/>
  <c r="F77" i="2" s="1"/>
  <c r="D75" i="2"/>
  <c r="F75" i="2" s="1"/>
  <c r="D73" i="2"/>
  <c r="F73" i="2" s="1"/>
  <c r="D71" i="2"/>
  <c r="F71" i="2" s="1"/>
  <c r="D69" i="2"/>
  <c r="F69" i="2" s="1"/>
  <c r="D67" i="2"/>
  <c r="F67" i="2" s="1"/>
  <c r="D65" i="2"/>
  <c r="F65" i="2" s="1"/>
  <c r="D63" i="2"/>
  <c r="F63" i="2" s="1"/>
  <c r="D61" i="2"/>
  <c r="F61" i="2" s="1"/>
  <c r="D59" i="2"/>
  <c r="F59" i="2" s="1"/>
  <c r="D57" i="2"/>
  <c r="F57" i="2" s="1"/>
  <c r="D55" i="2"/>
  <c r="F55" i="2" s="1"/>
  <c r="D53" i="2"/>
  <c r="F53" i="2" s="1"/>
  <c r="D51" i="2"/>
  <c r="F51" i="2" s="1"/>
  <c r="D49" i="2"/>
  <c r="F49" i="2" s="1"/>
  <c r="D47" i="2"/>
  <c r="F47" i="2" s="1"/>
  <c r="D45" i="2"/>
  <c r="F45" i="2" s="1"/>
  <c r="D43" i="2"/>
  <c r="F43" i="2" s="1"/>
  <c r="D41" i="2"/>
  <c r="F41" i="2" s="1"/>
  <c r="D39" i="2"/>
  <c r="F39" i="2" s="1"/>
  <c r="D37" i="2"/>
  <c r="F37" i="2" s="1"/>
  <c r="D35" i="2"/>
  <c r="F35" i="2" s="1"/>
  <c r="D33" i="2"/>
  <c r="F33" i="2" s="1"/>
  <c r="D31" i="2"/>
  <c r="F31" i="2" s="1"/>
  <c r="D29" i="2"/>
  <c r="F29" i="2" s="1"/>
  <c r="D27" i="2"/>
  <c r="F27" i="2" s="1"/>
  <c r="D25" i="2"/>
  <c r="F25" i="2" s="1"/>
  <c r="D23" i="2"/>
  <c r="F23" i="2" s="1"/>
  <c r="D21" i="2"/>
  <c r="F21" i="2" s="1"/>
  <c r="D19" i="2"/>
  <c r="F19" i="2" s="1"/>
  <c r="D17" i="2"/>
  <c r="F17" i="2" s="1"/>
  <c r="D15" i="2"/>
  <c r="F15" i="2" s="1"/>
  <c r="D13" i="2"/>
  <c r="F13" i="2" s="1"/>
  <c r="D11" i="2"/>
  <c r="F11" i="2" s="1"/>
  <c r="D9" i="2"/>
  <c r="F9" i="2" s="1"/>
  <c r="D420" i="2"/>
  <c r="F420" i="2" s="1"/>
  <c r="D418" i="2"/>
  <c r="F418" i="2" s="1"/>
  <c r="D416" i="2"/>
  <c r="F416" i="2" s="1"/>
  <c r="D414" i="2"/>
  <c r="F414" i="2" s="1"/>
  <c r="D412" i="2"/>
  <c r="F412" i="2" s="1"/>
  <c r="D410" i="2"/>
  <c r="F410" i="2" s="1"/>
  <c r="D408" i="2"/>
  <c r="F408" i="2" s="1"/>
  <c r="D406" i="2"/>
  <c r="F406" i="2" s="1"/>
  <c r="D404" i="2"/>
  <c r="F404" i="2" s="1"/>
  <c r="D402" i="2"/>
  <c r="F402" i="2" s="1"/>
  <c r="D400" i="2"/>
  <c r="F400" i="2" s="1"/>
  <c r="D398" i="2"/>
  <c r="F398" i="2" s="1"/>
  <c r="D396" i="2"/>
  <c r="F396" i="2" s="1"/>
  <c r="D394" i="2"/>
  <c r="F394" i="2" s="1"/>
  <c r="D392" i="2"/>
  <c r="F392" i="2" s="1"/>
  <c r="D390" i="2"/>
  <c r="F390" i="2" s="1"/>
  <c r="D388" i="2"/>
  <c r="F388" i="2" s="1"/>
  <c r="D386" i="2"/>
  <c r="F386" i="2" s="1"/>
  <c r="D384" i="2"/>
  <c r="F384" i="2" s="1"/>
  <c r="D382" i="2"/>
  <c r="F382" i="2" s="1"/>
  <c r="D380" i="2"/>
  <c r="F380" i="2" s="1"/>
  <c r="D378" i="2"/>
  <c r="F378" i="2" s="1"/>
  <c r="D376" i="2"/>
  <c r="F376" i="2" s="1"/>
  <c r="D374" i="2"/>
  <c r="F374" i="2" s="1"/>
  <c r="D372" i="2"/>
  <c r="F372" i="2" s="1"/>
  <c r="D370" i="2"/>
  <c r="F370" i="2" s="1"/>
  <c r="D368" i="2"/>
  <c r="F368" i="2" s="1"/>
  <c r="D366" i="2"/>
  <c r="F366" i="2" s="1"/>
  <c r="D364" i="2"/>
  <c r="F364" i="2" s="1"/>
  <c r="D362" i="2"/>
  <c r="F362" i="2" s="1"/>
  <c r="D360" i="2"/>
  <c r="F360" i="2" s="1"/>
  <c r="D358" i="2"/>
  <c r="F358" i="2" s="1"/>
  <c r="D356" i="2"/>
  <c r="F356" i="2" s="1"/>
  <c r="D354" i="2"/>
  <c r="F354" i="2" s="1"/>
  <c r="D352" i="2"/>
  <c r="F352" i="2" s="1"/>
  <c r="D350" i="2"/>
  <c r="F350" i="2" s="1"/>
  <c r="D348" i="2"/>
  <c r="F348" i="2" s="1"/>
  <c r="D346" i="2"/>
  <c r="F346" i="2" s="1"/>
  <c r="D344" i="2"/>
  <c r="F344" i="2" s="1"/>
  <c r="D342" i="2"/>
  <c r="F342" i="2" s="1"/>
  <c r="D340" i="2"/>
  <c r="F340" i="2" s="1"/>
  <c r="D338" i="2"/>
  <c r="F338" i="2" s="1"/>
  <c r="D336" i="2"/>
  <c r="F336" i="2" s="1"/>
  <c r="D334" i="2"/>
  <c r="F334" i="2" s="1"/>
  <c r="D332" i="2"/>
  <c r="F332" i="2" s="1"/>
  <c r="D330" i="2"/>
  <c r="F330" i="2" s="1"/>
  <c r="D328" i="2"/>
  <c r="F328" i="2" s="1"/>
  <c r="D326" i="2"/>
  <c r="F326" i="2" s="1"/>
  <c r="D324" i="2"/>
  <c r="F324" i="2" s="1"/>
  <c r="D322" i="2"/>
  <c r="F322" i="2" s="1"/>
  <c r="D320" i="2"/>
  <c r="F320" i="2" s="1"/>
  <c r="D318" i="2"/>
  <c r="F318" i="2" s="1"/>
  <c r="D316" i="2"/>
  <c r="F316" i="2" s="1"/>
  <c r="D314" i="2"/>
  <c r="F314" i="2" s="1"/>
  <c r="D312" i="2"/>
  <c r="F312" i="2" s="1"/>
  <c r="D310" i="2"/>
  <c r="F310" i="2" s="1"/>
  <c r="D308" i="2"/>
  <c r="F308" i="2" s="1"/>
  <c r="D306" i="2"/>
  <c r="F306" i="2" s="1"/>
  <c r="D304" i="2"/>
  <c r="F304" i="2" s="1"/>
  <c r="D302" i="2"/>
  <c r="F302" i="2" s="1"/>
  <c r="D300" i="2"/>
  <c r="F300" i="2" s="1"/>
  <c r="D298" i="2"/>
  <c r="F298" i="2" s="1"/>
  <c r="D296" i="2"/>
  <c r="F296" i="2" s="1"/>
  <c r="D294" i="2"/>
  <c r="F294" i="2" s="1"/>
  <c r="D292" i="2"/>
  <c r="F292" i="2" s="1"/>
  <c r="D290" i="2"/>
  <c r="F290" i="2" s="1"/>
  <c r="D288" i="2"/>
  <c r="F288" i="2" s="1"/>
  <c r="D286" i="2"/>
  <c r="F286" i="2" s="1"/>
  <c r="D284" i="2"/>
  <c r="F284" i="2" s="1"/>
  <c r="D282" i="2"/>
  <c r="F282" i="2" s="1"/>
  <c r="D280" i="2"/>
  <c r="F280" i="2" s="1"/>
  <c r="D278" i="2"/>
  <c r="F278" i="2" s="1"/>
  <c r="D276" i="2"/>
  <c r="F276" i="2" s="1"/>
  <c r="D274" i="2"/>
  <c r="F274" i="2" s="1"/>
  <c r="D272" i="2"/>
  <c r="F272" i="2" s="1"/>
  <c r="D270" i="2"/>
  <c r="F270" i="2" s="1"/>
  <c r="D268" i="2"/>
  <c r="F268" i="2" s="1"/>
  <c r="D266" i="2"/>
  <c r="F266" i="2" s="1"/>
  <c r="D264" i="2"/>
  <c r="F264" i="2" s="1"/>
  <c r="D262" i="2"/>
  <c r="F262" i="2" s="1"/>
  <c r="D260" i="2"/>
  <c r="F260" i="2" s="1"/>
  <c r="D258" i="2"/>
  <c r="F258" i="2" s="1"/>
  <c r="D256" i="2"/>
  <c r="F256" i="2" s="1"/>
  <c r="D254" i="2"/>
  <c r="F254" i="2" s="1"/>
  <c r="D252" i="2"/>
  <c r="F252" i="2" s="1"/>
  <c r="F1005" i="2"/>
  <c r="F1003" i="2"/>
  <c r="F1001" i="2"/>
  <c r="F999" i="2"/>
  <c r="F997" i="2"/>
  <c r="F995" i="2"/>
  <c r="F993" i="2"/>
  <c r="F991" i="2"/>
  <c r="F989" i="2"/>
  <c r="F987" i="2"/>
  <c r="F985" i="2"/>
  <c r="F983" i="2"/>
  <c r="F981" i="2"/>
  <c r="F979" i="2"/>
  <c r="F977" i="2"/>
  <c r="F975" i="2"/>
  <c r="F973" i="2"/>
  <c r="F971" i="2"/>
  <c r="F969" i="2"/>
  <c r="F967" i="2"/>
  <c r="F965" i="2"/>
  <c r="F963" i="2"/>
  <c r="F961" i="2"/>
  <c r="F959" i="2"/>
  <c r="F957" i="2"/>
  <c r="F955" i="2"/>
  <c r="F953" i="2"/>
  <c r="F951" i="2"/>
  <c r="F949" i="2"/>
  <c r="F947" i="2"/>
  <c r="F945" i="2"/>
  <c r="F943" i="2"/>
  <c r="F941" i="2"/>
  <c r="F939" i="2"/>
  <c r="F937" i="2"/>
  <c r="F935" i="2"/>
  <c r="F933" i="2"/>
  <c r="F931" i="2"/>
  <c r="F929" i="2"/>
  <c r="F927" i="2"/>
  <c r="F925" i="2"/>
  <c r="F917" i="2"/>
  <c r="F909" i="2"/>
  <c r="F901" i="2"/>
  <c r="F893" i="2"/>
  <c r="F885" i="2"/>
  <c r="F877" i="2"/>
  <c r="F869" i="2"/>
  <c r="F861" i="2"/>
  <c r="F853" i="2"/>
  <c r="F845" i="2"/>
  <c r="F837" i="2"/>
  <c r="F829" i="2"/>
  <c r="F821" i="2"/>
  <c r="F813" i="2"/>
  <c r="F805" i="2"/>
  <c r="F797" i="2"/>
  <c r="F789" i="2"/>
  <c r="F781" i="2"/>
  <c r="F773" i="2"/>
  <c r="F765" i="2"/>
  <c r="F757" i="2"/>
  <c r="F749" i="2"/>
  <c r="F723" i="2"/>
  <c r="F691" i="2"/>
  <c r="F627" i="2"/>
  <c r="F563" i="2"/>
  <c r="F519" i="2"/>
  <c r="F220" i="2"/>
  <c r="F188" i="2"/>
  <c r="F128" i="2"/>
  <c r="D82" i="11" l="1"/>
  <c r="F82" i="11" s="1"/>
  <c r="D68" i="11"/>
  <c r="F68" i="11" s="1"/>
  <c r="D337" i="11"/>
  <c r="F337" i="11" s="1"/>
  <c r="V332" i="9"/>
  <c r="D336" i="11" s="1"/>
  <c r="F336" i="11" s="1"/>
  <c r="D461" i="11"/>
  <c r="F461" i="11" s="1"/>
  <c r="V456" i="9"/>
  <c r="D460" i="11" s="1"/>
  <c r="F460" i="11" s="1"/>
  <c r="D609" i="11"/>
  <c r="F609" i="11" s="1"/>
  <c r="V604" i="9"/>
  <c r="D608" i="11" s="1"/>
  <c r="F608" i="11" s="1"/>
  <c r="D612" i="11"/>
  <c r="F612" i="11" s="1"/>
  <c r="D620" i="11"/>
  <c r="F620" i="11" s="1"/>
  <c r="D628" i="11"/>
  <c r="F628" i="11" s="1"/>
  <c r="D636" i="11"/>
  <c r="F636" i="11" s="1"/>
  <c r="D644" i="11"/>
  <c r="F644" i="11" s="1"/>
  <c r="D652" i="11"/>
  <c r="F652" i="11" s="1"/>
  <c r="D660" i="11"/>
  <c r="F660" i="11" s="1"/>
  <c r="D227" i="11"/>
  <c r="F227" i="11" s="1"/>
  <c r="D340" i="11"/>
  <c r="F340" i="11" s="1"/>
  <c r="D412" i="11"/>
  <c r="F412" i="11" s="1"/>
  <c r="D456" i="11"/>
  <c r="F456" i="11" s="1"/>
  <c r="D241" i="11"/>
  <c r="F241" i="11" s="1"/>
  <c r="D261" i="11"/>
  <c r="F261" i="11" s="1"/>
  <c r="V216" i="9"/>
  <c r="D220" i="11" s="1"/>
  <c r="F220" i="11" s="1"/>
  <c r="D221" i="11"/>
  <c r="F221" i="11" s="1"/>
  <c r="V200" i="9"/>
  <c r="D204" i="11" s="1"/>
  <c r="F204" i="11" s="1"/>
  <c r="D205" i="11"/>
  <c r="F205" i="11" s="1"/>
  <c r="D202" i="11"/>
  <c r="F202" i="11" s="1"/>
  <c r="D670" i="11"/>
  <c r="F670" i="11" s="1"/>
  <c r="V665" i="9"/>
  <c r="D669" i="11" s="1"/>
  <c r="F669" i="11" s="1"/>
  <c r="D404" i="11"/>
  <c r="F404" i="11" s="1"/>
  <c r="D249" i="11"/>
  <c r="F249" i="11" s="1"/>
  <c r="D210" i="11"/>
  <c r="F210" i="11" s="1"/>
  <c r="D194" i="11"/>
  <c r="F194" i="11" s="1"/>
  <c r="D330" i="11"/>
  <c r="F330" i="11" s="1"/>
  <c r="D687" i="11"/>
  <c r="F687" i="11" s="1"/>
  <c r="D679" i="11"/>
  <c r="F679" i="11" s="1"/>
  <c r="D463" i="11"/>
  <c r="F463" i="11" s="1"/>
  <c r="D471" i="11"/>
  <c r="F471" i="11" s="1"/>
  <c r="D479" i="11"/>
  <c r="F479" i="11" s="1"/>
  <c r="D487" i="11"/>
  <c r="F487" i="11" s="1"/>
  <c r="D495" i="11"/>
  <c r="F495" i="11" s="1"/>
  <c r="D503" i="11"/>
  <c r="F503" i="11" s="1"/>
  <c r="D390" i="11"/>
  <c r="F390" i="11" s="1"/>
  <c r="D398" i="11"/>
  <c r="F398" i="11" s="1"/>
  <c r="D406" i="11"/>
  <c r="F406" i="11" s="1"/>
  <c r="D414" i="11"/>
  <c r="F414" i="11" s="1"/>
  <c r="D602" i="11"/>
  <c r="F602" i="11" s="1"/>
  <c r="D610" i="11"/>
  <c r="F610" i="11" s="1"/>
  <c r="D618" i="11"/>
  <c r="F618" i="11" s="1"/>
  <c r="D626" i="11"/>
  <c r="F626" i="11" s="1"/>
  <c r="D634" i="11"/>
  <c r="F634" i="11" s="1"/>
  <c r="D642" i="11"/>
  <c r="F642" i="11" s="1"/>
  <c r="D650" i="11"/>
  <c r="F650" i="11" s="1"/>
  <c r="D658" i="11"/>
  <c r="F658" i="11" s="1"/>
  <c r="D666" i="11"/>
  <c r="F666" i="11" s="1"/>
  <c r="D674" i="11"/>
  <c r="F674" i="11" s="1"/>
  <c r="D335" i="11"/>
  <c r="F335" i="11" s="1"/>
  <c r="D668" i="11"/>
  <c r="F668" i="11" s="1"/>
  <c r="V207" i="9"/>
  <c r="D211" i="11" s="1"/>
  <c r="F211" i="11" s="1"/>
  <c r="V191" i="9"/>
  <c r="D195" i="11" s="1"/>
  <c r="F195" i="11" s="1"/>
  <c r="D181" i="11"/>
  <c r="F181" i="11" s="1"/>
  <c r="D165" i="11"/>
  <c r="F165" i="11" s="1"/>
  <c r="D149" i="11"/>
  <c r="F149" i="11" s="1"/>
  <c r="D133" i="11"/>
  <c r="F133" i="11" s="1"/>
  <c r="D117" i="11"/>
  <c r="F117" i="11" s="1"/>
  <c r="V182" i="9"/>
  <c r="D187" i="11"/>
  <c r="F187" i="11" s="1"/>
  <c r="V208" i="9"/>
  <c r="D212" i="11" s="1"/>
  <c r="F212" i="11" s="1"/>
  <c r="D213" i="11"/>
  <c r="F213" i="11" s="1"/>
  <c r="V192" i="9"/>
  <c r="D196" i="11" s="1"/>
  <c r="F196" i="11" s="1"/>
  <c r="D197" i="11"/>
  <c r="F197" i="11" s="1"/>
  <c r="V181" i="9"/>
  <c r="D185" i="11" s="1"/>
  <c r="F185" i="11" s="1"/>
  <c r="D186" i="11"/>
  <c r="F186" i="11" s="1"/>
  <c r="V165" i="9"/>
  <c r="D169" i="11" s="1"/>
  <c r="F169" i="11" s="1"/>
  <c r="D170" i="11"/>
  <c r="F170" i="11" s="1"/>
  <c r="V149" i="9"/>
  <c r="D153" i="11" s="1"/>
  <c r="F153" i="11" s="1"/>
  <c r="D154" i="11"/>
  <c r="F154" i="11" s="1"/>
  <c r="V133" i="9"/>
  <c r="D137" i="11" s="1"/>
  <c r="F137" i="11" s="1"/>
  <c r="D138" i="11"/>
  <c r="F138" i="11" s="1"/>
  <c r="D225" i="11"/>
  <c r="F225" i="11" s="1"/>
  <c r="D179" i="11"/>
  <c r="F179" i="11" s="1"/>
  <c r="D163" i="11"/>
  <c r="F163" i="11" s="1"/>
  <c r="D147" i="11"/>
  <c r="F147" i="11" s="1"/>
  <c r="D131" i="11"/>
  <c r="F131" i="11" s="1"/>
  <c r="D115" i="11"/>
  <c r="F115" i="11" s="1"/>
  <c r="D74" i="11"/>
  <c r="F74" i="11" s="1"/>
  <c r="D329" i="11"/>
  <c r="F329" i="11" s="1"/>
  <c r="D345" i="11"/>
  <c r="F345" i="11" s="1"/>
  <c r="D393" i="11"/>
  <c r="F393" i="11" s="1"/>
  <c r="D401" i="11"/>
  <c r="F401" i="11" s="1"/>
  <c r="D409" i="11"/>
  <c r="F409" i="11" s="1"/>
  <c r="D417" i="11"/>
  <c r="F417" i="11" s="1"/>
  <c r="D429" i="11"/>
  <c r="F429" i="11" s="1"/>
  <c r="D437" i="11"/>
  <c r="F437" i="11" s="1"/>
  <c r="D445" i="11"/>
  <c r="F445" i="11" s="1"/>
  <c r="D453" i="11"/>
  <c r="F453" i="11" s="1"/>
  <c r="D469" i="11"/>
  <c r="F469" i="11" s="1"/>
  <c r="D477" i="11"/>
  <c r="F477" i="11" s="1"/>
  <c r="D485" i="11"/>
  <c r="F485" i="11" s="1"/>
  <c r="D493" i="11"/>
  <c r="F493" i="11" s="1"/>
  <c r="D501" i="11"/>
  <c r="F501" i="11" s="1"/>
  <c r="D243" i="11"/>
  <c r="F243" i="11" s="1"/>
  <c r="D251" i="11"/>
  <c r="F251" i="11" s="1"/>
  <c r="V210" i="9"/>
  <c r="D214" i="11" s="1"/>
  <c r="F214" i="11" s="1"/>
  <c r="D215" i="11"/>
  <c r="F215" i="11" s="1"/>
  <c r="V194" i="9"/>
  <c r="D198" i="11" s="1"/>
  <c r="F198" i="11" s="1"/>
  <c r="D199" i="11"/>
  <c r="F199" i="11" s="1"/>
  <c r="D173" i="11"/>
  <c r="F173" i="11" s="1"/>
  <c r="D157" i="11"/>
  <c r="F157" i="11" s="1"/>
  <c r="D141" i="11"/>
  <c r="F141" i="11" s="1"/>
  <c r="D125" i="11"/>
  <c r="F125" i="11" s="1"/>
  <c r="D109" i="11"/>
  <c r="F109" i="11" s="1"/>
  <c r="V218" i="9"/>
  <c r="D222" i="11" s="1"/>
  <c r="F222" i="11" s="1"/>
  <c r="D223" i="11"/>
  <c r="F223" i="11" s="1"/>
  <c r="V202" i="9"/>
  <c r="D206" i="11" s="1"/>
  <c r="F206" i="11" s="1"/>
  <c r="D207" i="11"/>
  <c r="F207" i="11" s="1"/>
  <c r="V186" i="9"/>
  <c r="D190" i="11" s="1"/>
  <c r="F190" i="11" s="1"/>
  <c r="D191" i="11"/>
  <c r="F191" i="11" s="1"/>
  <c r="D638" i="11"/>
  <c r="F638" i="11" s="1"/>
  <c r="D654" i="11"/>
  <c r="F654" i="11" s="1"/>
  <c r="D171" i="11"/>
  <c r="F171" i="11" s="1"/>
  <c r="D155" i="11"/>
  <c r="F155" i="11" s="1"/>
  <c r="D139" i="11"/>
  <c r="F139" i="11" s="1"/>
  <c r="D123" i="11"/>
  <c r="F123" i="11" s="1"/>
  <c r="D107" i="11"/>
  <c r="F107" i="11" s="1"/>
  <c r="D630" i="11"/>
  <c r="F630" i="11" s="1"/>
  <c r="D683" i="11"/>
  <c r="F683" i="11" s="1"/>
  <c r="D691" i="11"/>
  <c r="F691" i="11" s="1"/>
  <c r="D72" i="11"/>
  <c r="F72" i="11" s="1"/>
  <c r="D66" i="11"/>
  <c r="F66" i="11" s="1"/>
  <c r="D97" i="11"/>
  <c r="F97" i="11" s="1"/>
  <c r="D237" i="11"/>
  <c r="F237" i="11" s="1"/>
  <c r="D245" i="11"/>
  <c r="F245" i="11" s="1"/>
  <c r="D253" i="11"/>
  <c r="F253" i="11" s="1"/>
  <c r="D265" i="11"/>
  <c r="F265" i="11" s="1"/>
  <c r="D601" i="11"/>
  <c r="F601" i="11" s="1"/>
  <c r="D617" i="11"/>
  <c r="F617" i="11" s="1"/>
  <c r="D625" i="11"/>
  <c r="F625" i="11" s="1"/>
  <c r="D633" i="11"/>
  <c r="F633" i="11" s="1"/>
  <c r="D641" i="11"/>
  <c r="F641" i="11" s="1"/>
  <c r="D649" i="11"/>
  <c r="F649" i="11" s="1"/>
  <c r="D657" i="11"/>
  <c r="F657" i="11" s="1"/>
  <c r="D665" i="11"/>
  <c r="F665" i="11" s="1"/>
  <c r="D677" i="11"/>
  <c r="F677" i="11" s="1"/>
  <c r="D689" i="11"/>
  <c r="F689" i="11" s="1"/>
  <c r="D681" i="11"/>
  <c r="F681" i="11" s="1"/>
  <c r="D339" i="11"/>
  <c r="F339" i="11" s="1"/>
  <c r="D347" i="11"/>
  <c r="F347" i="11" s="1"/>
  <c r="D435" i="11"/>
  <c r="F435" i="11" s="1"/>
  <c r="D443" i="11"/>
  <c r="F443" i="11" s="1"/>
  <c r="D451" i="11"/>
  <c r="F451" i="11" s="1"/>
  <c r="D599" i="11"/>
  <c r="F599" i="11" s="1"/>
  <c r="D273" i="11"/>
  <c r="F273" i="11" s="1"/>
  <c r="D269" i="11"/>
  <c r="F269" i="11" s="1"/>
  <c r="D436" i="11"/>
  <c r="F436" i="11" s="1"/>
  <c r="D444" i="11"/>
  <c r="F444" i="11" s="1"/>
  <c r="D452" i="11"/>
  <c r="F452" i="11" s="1"/>
  <c r="D464" i="11"/>
  <c r="F464" i="11" s="1"/>
  <c r="D472" i="11"/>
  <c r="F472" i="11" s="1"/>
  <c r="D480" i="11"/>
  <c r="F480" i="11" s="1"/>
  <c r="D488" i="11"/>
  <c r="F488" i="11" s="1"/>
  <c r="D496" i="11"/>
  <c r="F496" i="11" s="1"/>
  <c r="D504" i="11"/>
  <c r="F504" i="11" s="1"/>
  <c r="D672" i="11"/>
  <c r="F672" i="11" s="1"/>
  <c r="D326" i="11"/>
  <c r="F326" i="11" s="1"/>
  <c r="D334" i="11"/>
  <c r="F334" i="11" s="1"/>
  <c r="D342" i="11"/>
  <c r="F342" i="11" s="1"/>
  <c r="D350" i="11"/>
  <c r="F350" i="11" s="1"/>
  <c r="D430" i="11"/>
  <c r="F430" i="11" s="1"/>
  <c r="D438" i="11"/>
  <c r="F438" i="11" s="1"/>
  <c r="D446" i="11"/>
  <c r="F446" i="11" s="1"/>
  <c r="D454" i="11"/>
  <c r="F454" i="11" s="1"/>
  <c r="D462" i="11"/>
  <c r="F462" i="11" s="1"/>
  <c r="D470" i="11"/>
  <c r="F470" i="11" s="1"/>
  <c r="D478" i="11"/>
  <c r="F478" i="11" s="1"/>
  <c r="D486" i="11"/>
  <c r="F486" i="11" s="1"/>
  <c r="D494" i="11"/>
  <c r="F494" i="11" s="1"/>
  <c r="D502" i="11"/>
  <c r="F502" i="11" s="1"/>
  <c r="D101" i="11"/>
  <c r="F101" i="11" s="1"/>
  <c r="V96" i="9"/>
  <c r="D100" i="11" s="1"/>
  <c r="F100" i="11" s="1"/>
  <c r="D459" i="11"/>
  <c r="F459" i="11" s="1"/>
  <c r="D607" i="11"/>
  <c r="F607" i="11" s="1"/>
  <c r="D70" i="11"/>
  <c r="F70" i="11" s="1"/>
  <c r="D76" i="11"/>
  <c r="F76" i="11" s="1"/>
  <c r="D43" i="11"/>
  <c r="D50" i="11"/>
  <c r="D38" i="11"/>
  <c r="D18" i="11"/>
  <c r="D46" i="11"/>
  <c r="D11" i="11"/>
  <c r="F11" i="11" s="1"/>
  <c r="D93" i="11"/>
  <c r="F93" i="11" s="1"/>
  <c r="D42" i="11"/>
  <c r="D35" i="11"/>
  <c r="D40" i="11"/>
  <c r="D26" i="11"/>
  <c r="D83" i="11"/>
  <c r="F83" i="11" s="1"/>
  <c r="D39" i="11"/>
  <c r="D69" i="11"/>
  <c r="F69" i="11" s="1"/>
  <c r="D44" i="11"/>
  <c r="D36" i="11"/>
  <c r="D48" i="11"/>
  <c r="V12" i="9"/>
  <c r="D16" i="11" s="1"/>
  <c r="D17" i="11"/>
  <c r="F17" i="11" s="1"/>
  <c r="D9" i="11"/>
  <c r="F9" i="11" s="1"/>
  <c r="D30" i="11"/>
  <c r="D22" i="11"/>
  <c r="V53" i="9"/>
  <c r="D57" i="11" s="1"/>
  <c r="D58" i="11"/>
  <c r="A12" i="11"/>
  <c r="I4" i="9"/>
  <c r="A13" i="7"/>
  <c r="A14" i="7" s="1"/>
  <c r="A14" i="2"/>
  <c r="A15" i="2" s="1"/>
  <c r="A13" i="11" l="1"/>
  <c r="H5" i="9"/>
  <c r="D9" i="7" s="1"/>
  <c r="F9" i="7" s="1"/>
  <c r="I5" i="9"/>
  <c r="A15" i="7"/>
  <c r="A16" i="2"/>
  <c r="A17" i="2" s="1"/>
  <c r="A14" i="11" l="1"/>
  <c r="I6" i="9"/>
  <c r="H6" i="9"/>
  <c r="A16" i="7"/>
  <c r="A18" i="2"/>
  <c r="A19" i="2" s="1"/>
  <c r="A20" i="2" s="1"/>
  <c r="A15" i="11" l="1"/>
  <c r="D10" i="7"/>
  <c r="F10" i="7" s="1"/>
  <c r="I7" i="9"/>
  <c r="H7" i="9"/>
  <c r="D11" i="7" s="1"/>
  <c r="F11" i="7" s="1"/>
  <c r="A17" i="7"/>
  <c r="A21" i="2"/>
  <c r="A16" i="11" l="1"/>
  <c r="A17" i="11" s="1"/>
  <c r="A18" i="11" s="1"/>
  <c r="I8" i="9"/>
  <c r="H8" i="9"/>
  <c r="A18" i="7"/>
  <c r="A19" i="7" s="1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D12" i="7" l="1"/>
  <c r="F12" i="7" s="1"/>
  <c r="A19" i="11"/>
  <c r="A20" i="11" s="1"/>
  <c r="A21" i="11" s="1"/>
  <c r="A22" i="11" s="1"/>
  <c r="I9" i="9"/>
  <c r="H9" i="9"/>
  <c r="A20" i="7"/>
  <c r="A21" i="7" s="1"/>
  <c r="A22" i="7" s="1"/>
  <c r="A1000" i="2"/>
  <c r="A1001" i="2" s="1"/>
  <c r="A1002" i="2" s="1"/>
  <c r="D13" i="7" l="1"/>
  <c r="F13" i="7" s="1"/>
  <c r="I10" i="9"/>
  <c r="F13" i="11"/>
  <c r="A23" i="1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A722" i="11" s="1"/>
  <c r="A723" i="11" s="1"/>
  <c r="A724" i="11" s="1"/>
  <c r="A725" i="11" s="1"/>
  <c r="A726" i="11" s="1"/>
  <c r="A727" i="11" s="1"/>
  <c r="A728" i="11" s="1"/>
  <c r="A729" i="11" s="1"/>
  <c r="A730" i="11" s="1"/>
  <c r="A731" i="11" s="1"/>
  <c r="A732" i="11" s="1"/>
  <c r="A733" i="11" s="1"/>
  <c r="A734" i="11" s="1"/>
  <c r="A735" i="11" s="1"/>
  <c r="A736" i="11" s="1"/>
  <c r="A737" i="11" s="1"/>
  <c r="A738" i="11" s="1"/>
  <c r="A739" i="11" s="1"/>
  <c r="A740" i="11" s="1"/>
  <c r="A741" i="11" s="1"/>
  <c r="A742" i="11" s="1"/>
  <c r="A743" i="11" s="1"/>
  <c r="A744" i="11" s="1"/>
  <c r="A745" i="11" s="1"/>
  <c r="A746" i="11" s="1"/>
  <c r="A747" i="11" s="1"/>
  <c r="A748" i="11" s="1"/>
  <c r="A749" i="11" s="1"/>
  <c r="A750" i="11" s="1"/>
  <c r="A751" i="11" s="1"/>
  <c r="A752" i="11" s="1"/>
  <c r="A753" i="11" s="1"/>
  <c r="A754" i="11" s="1"/>
  <c r="A755" i="11" s="1"/>
  <c r="A756" i="11" s="1"/>
  <c r="A757" i="11" s="1"/>
  <c r="A758" i="11" s="1"/>
  <c r="A759" i="11" s="1"/>
  <c r="A760" i="11" s="1"/>
  <c r="A761" i="11" s="1"/>
  <c r="A762" i="11" s="1"/>
  <c r="A763" i="11" s="1"/>
  <c r="A764" i="11" s="1"/>
  <c r="A765" i="11" s="1"/>
  <c r="A766" i="11" s="1"/>
  <c r="A767" i="11" s="1"/>
  <c r="A768" i="11" s="1"/>
  <c r="A769" i="11" s="1"/>
  <c r="A770" i="11" s="1"/>
  <c r="A771" i="11" s="1"/>
  <c r="A772" i="11" s="1"/>
  <c r="A773" i="11" s="1"/>
  <c r="A774" i="11" s="1"/>
  <c r="A775" i="11" s="1"/>
  <c r="A776" i="11" s="1"/>
  <c r="A777" i="11" s="1"/>
  <c r="A778" i="11" s="1"/>
  <c r="A779" i="11" s="1"/>
  <c r="A780" i="11" s="1"/>
  <c r="A781" i="11" s="1"/>
  <c r="A782" i="11" s="1"/>
  <c r="A783" i="11" s="1"/>
  <c r="A784" i="11" s="1"/>
  <c r="A785" i="11" s="1"/>
  <c r="A786" i="11" s="1"/>
  <c r="A787" i="11" s="1"/>
  <c r="A788" i="11" s="1"/>
  <c r="A789" i="11" s="1"/>
  <c r="A790" i="11" s="1"/>
  <c r="A791" i="11" s="1"/>
  <c r="A792" i="11" s="1"/>
  <c r="A793" i="11" s="1"/>
  <c r="A794" i="11" s="1"/>
  <c r="A795" i="11" s="1"/>
  <c r="A796" i="11" s="1"/>
  <c r="A797" i="11" s="1"/>
  <c r="A798" i="11" s="1"/>
  <c r="A799" i="11" s="1"/>
  <c r="A800" i="11" s="1"/>
  <c r="A801" i="11" s="1"/>
  <c r="A802" i="11" s="1"/>
  <c r="A803" i="11" s="1"/>
  <c r="A804" i="11" s="1"/>
  <c r="A805" i="11" s="1"/>
  <c r="A806" i="11" s="1"/>
  <c r="A807" i="11" s="1"/>
  <c r="A808" i="11" s="1"/>
  <c r="A809" i="11" s="1"/>
  <c r="A810" i="11" s="1"/>
  <c r="A811" i="11" s="1"/>
  <c r="A812" i="11" s="1"/>
  <c r="A813" i="11" s="1"/>
  <c r="A814" i="11" s="1"/>
  <c r="A815" i="11" s="1"/>
  <c r="A816" i="11" s="1"/>
  <c r="A817" i="11" s="1"/>
  <c r="A818" i="11" s="1"/>
  <c r="A819" i="11" s="1"/>
  <c r="A820" i="11" s="1"/>
  <c r="A821" i="11" s="1"/>
  <c r="A822" i="11" s="1"/>
  <c r="A823" i="11" s="1"/>
  <c r="A824" i="11" s="1"/>
  <c r="A825" i="11" s="1"/>
  <c r="A826" i="11" s="1"/>
  <c r="A827" i="11" s="1"/>
  <c r="A828" i="11" s="1"/>
  <c r="A829" i="11" s="1"/>
  <c r="A830" i="11" s="1"/>
  <c r="A831" i="11" s="1"/>
  <c r="A832" i="11" s="1"/>
  <c r="A833" i="11" s="1"/>
  <c r="A834" i="11" s="1"/>
  <c r="A835" i="11" s="1"/>
  <c r="A836" i="11" s="1"/>
  <c r="A837" i="11" s="1"/>
  <c r="A838" i="11" s="1"/>
  <c r="A839" i="11" s="1"/>
  <c r="A840" i="11" s="1"/>
  <c r="A841" i="11" s="1"/>
  <c r="A842" i="11" s="1"/>
  <c r="A843" i="11" s="1"/>
  <c r="A844" i="11" s="1"/>
  <c r="A845" i="11" s="1"/>
  <c r="A846" i="11" s="1"/>
  <c r="A847" i="11" s="1"/>
  <c r="A848" i="11" s="1"/>
  <c r="A849" i="11" s="1"/>
  <c r="A850" i="11" s="1"/>
  <c r="A851" i="11" s="1"/>
  <c r="A852" i="11" s="1"/>
  <c r="A853" i="11" s="1"/>
  <c r="A854" i="11" s="1"/>
  <c r="A855" i="11" s="1"/>
  <c r="A856" i="11" s="1"/>
  <c r="A857" i="11" s="1"/>
  <c r="A858" i="11" s="1"/>
  <c r="A859" i="11" s="1"/>
  <c r="A860" i="11" s="1"/>
  <c r="A861" i="11" s="1"/>
  <c r="A862" i="11" s="1"/>
  <c r="A863" i="11" s="1"/>
  <c r="A864" i="11" s="1"/>
  <c r="A865" i="11" s="1"/>
  <c r="A866" i="11" s="1"/>
  <c r="A867" i="11" s="1"/>
  <c r="A868" i="11" s="1"/>
  <c r="A869" i="11" s="1"/>
  <c r="A870" i="11" s="1"/>
  <c r="A871" i="11" s="1"/>
  <c r="A872" i="11" s="1"/>
  <c r="A873" i="11" s="1"/>
  <c r="A874" i="11" s="1"/>
  <c r="A875" i="11" s="1"/>
  <c r="A876" i="11" s="1"/>
  <c r="A877" i="11" s="1"/>
  <c r="A878" i="11" s="1"/>
  <c r="A879" i="11" s="1"/>
  <c r="A880" i="11" s="1"/>
  <c r="A881" i="11" s="1"/>
  <c r="A882" i="11" s="1"/>
  <c r="A883" i="11" s="1"/>
  <c r="A884" i="11" s="1"/>
  <c r="A885" i="11" s="1"/>
  <c r="A886" i="11" s="1"/>
  <c r="A887" i="11" s="1"/>
  <c r="A888" i="11" s="1"/>
  <c r="A889" i="11" s="1"/>
  <c r="A890" i="11" s="1"/>
  <c r="A891" i="11" s="1"/>
  <c r="A892" i="11" s="1"/>
  <c r="A893" i="11" s="1"/>
  <c r="A894" i="11" s="1"/>
  <c r="A895" i="11" s="1"/>
  <c r="A896" i="11" s="1"/>
  <c r="A897" i="11" s="1"/>
  <c r="A898" i="11" s="1"/>
  <c r="A899" i="11" s="1"/>
  <c r="A900" i="11" s="1"/>
  <c r="A901" i="11" s="1"/>
  <c r="A902" i="11" s="1"/>
  <c r="A903" i="11" s="1"/>
  <c r="A904" i="11" s="1"/>
  <c r="A905" i="11" s="1"/>
  <c r="A906" i="11" s="1"/>
  <c r="A907" i="11" s="1"/>
  <c r="A908" i="11" s="1"/>
  <c r="A909" i="11" s="1"/>
  <c r="A910" i="11" s="1"/>
  <c r="A911" i="11" s="1"/>
  <c r="A912" i="11" s="1"/>
  <c r="A913" i="11" s="1"/>
  <c r="A914" i="11" s="1"/>
  <c r="A915" i="11" s="1"/>
  <c r="A916" i="11" s="1"/>
  <c r="A917" i="11" s="1"/>
  <c r="A918" i="11" s="1"/>
  <c r="A919" i="11" s="1"/>
  <c r="A920" i="11" s="1"/>
  <c r="A921" i="11" s="1"/>
  <c r="A922" i="11" s="1"/>
  <c r="A923" i="11" s="1"/>
  <c r="A924" i="11" s="1"/>
  <c r="A925" i="11" s="1"/>
  <c r="A926" i="11" s="1"/>
  <c r="A927" i="11" s="1"/>
  <c r="A928" i="11" s="1"/>
  <c r="A929" i="11" s="1"/>
  <c r="A930" i="11" s="1"/>
  <c r="A931" i="11" s="1"/>
  <c r="A932" i="11" s="1"/>
  <c r="A933" i="11" s="1"/>
  <c r="A934" i="11" s="1"/>
  <c r="A935" i="11" s="1"/>
  <c r="A936" i="11" s="1"/>
  <c r="A937" i="11" s="1"/>
  <c r="A938" i="11" s="1"/>
  <c r="A939" i="11" s="1"/>
  <c r="A940" i="11" s="1"/>
  <c r="A941" i="11" s="1"/>
  <c r="A942" i="11" s="1"/>
  <c r="A943" i="11" s="1"/>
  <c r="A944" i="11" s="1"/>
  <c r="A945" i="11" s="1"/>
  <c r="A946" i="11" s="1"/>
  <c r="A947" i="11" s="1"/>
  <c r="A948" i="11" s="1"/>
  <c r="A949" i="11" s="1"/>
  <c r="A950" i="11" s="1"/>
  <c r="A951" i="11" s="1"/>
  <c r="A952" i="11" s="1"/>
  <c r="A953" i="11" s="1"/>
  <c r="A954" i="11" s="1"/>
  <c r="A955" i="11" s="1"/>
  <c r="A956" i="11" s="1"/>
  <c r="A957" i="11" s="1"/>
  <c r="A958" i="11" s="1"/>
  <c r="A959" i="11" s="1"/>
  <c r="A960" i="11" s="1"/>
  <c r="A961" i="11" s="1"/>
  <c r="A962" i="11" s="1"/>
  <c r="A963" i="11" s="1"/>
  <c r="A964" i="11" s="1"/>
  <c r="A965" i="11" s="1"/>
  <c r="A966" i="11" s="1"/>
  <c r="A967" i="11" s="1"/>
  <c r="A968" i="11" s="1"/>
  <c r="A969" i="11" s="1"/>
  <c r="A970" i="11" s="1"/>
  <c r="A971" i="11" s="1"/>
  <c r="A972" i="11" s="1"/>
  <c r="A973" i="11" s="1"/>
  <c r="A974" i="11" s="1"/>
  <c r="A975" i="11" s="1"/>
  <c r="A976" i="11" s="1"/>
  <c r="A977" i="11" s="1"/>
  <c r="A978" i="11" s="1"/>
  <c r="A979" i="11" s="1"/>
  <c r="A980" i="11" s="1"/>
  <c r="A981" i="11" s="1"/>
  <c r="A982" i="11" s="1"/>
  <c r="A983" i="11" s="1"/>
  <c r="A984" i="11" s="1"/>
  <c r="A985" i="11" s="1"/>
  <c r="A986" i="11" s="1"/>
  <c r="A987" i="11" s="1"/>
  <c r="A988" i="11" s="1"/>
  <c r="A989" i="11" s="1"/>
  <c r="A990" i="11" s="1"/>
  <c r="A991" i="11" s="1"/>
  <c r="A992" i="11" s="1"/>
  <c r="A993" i="11" s="1"/>
  <c r="A994" i="11" s="1"/>
  <c r="A995" i="11" s="1"/>
  <c r="A996" i="11" s="1"/>
  <c r="A997" i="11" s="1"/>
  <c r="A998" i="11" s="1"/>
  <c r="A999" i="11" s="1"/>
  <c r="A1000" i="11" s="1"/>
  <c r="A1001" i="11" s="1"/>
  <c r="A1002" i="11" s="1"/>
  <c r="A1003" i="11" s="1"/>
  <c r="A1004" i="11" s="1"/>
  <c r="A1005" i="11" s="1"/>
  <c r="A1006" i="11" s="1"/>
  <c r="A1007" i="11" s="1"/>
  <c r="H10" i="9"/>
  <c r="A23" i="7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1003" i="2"/>
  <c r="A1004" i="2" s="1"/>
  <c r="A1005" i="2" s="1"/>
  <c r="A1006" i="2" s="1"/>
  <c r="A1007" i="2" s="1"/>
  <c r="A8" i="6"/>
  <c r="F8" i="6"/>
  <c r="I11" i="9" l="1"/>
  <c r="H12" i="9" s="1"/>
  <c r="H11" i="9"/>
  <c r="D14" i="7"/>
  <c r="F14" i="7" s="1"/>
  <c r="F14" i="11"/>
  <c r="I12" i="9"/>
  <c r="H13" i="9" s="1"/>
  <c r="F15" i="11"/>
  <c r="A36" i="7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A739" i="7" s="1"/>
  <c r="A740" i="7" s="1"/>
  <c r="A741" i="7" s="1"/>
  <c r="A742" i="7" s="1"/>
  <c r="A743" i="7" s="1"/>
  <c r="A744" i="7" s="1"/>
  <c r="A745" i="7" s="1"/>
  <c r="A746" i="7" s="1"/>
  <c r="A747" i="7" s="1"/>
  <c r="A748" i="7" s="1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A760" i="7" s="1"/>
  <c r="A761" i="7" s="1"/>
  <c r="A762" i="7" s="1"/>
  <c r="A763" i="7" s="1"/>
  <c r="A764" i="7" s="1"/>
  <c r="A765" i="7" s="1"/>
  <c r="A766" i="7" s="1"/>
  <c r="A767" i="7" s="1"/>
  <c r="A768" i="7" s="1"/>
  <c r="A769" i="7" s="1"/>
  <c r="A770" i="7" s="1"/>
  <c r="A771" i="7" s="1"/>
  <c r="A772" i="7" s="1"/>
  <c r="A773" i="7" s="1"/>
  <c r="A774" i="7" s="1"/>
  <c r="A775" i="7" s="1"/>
  <c r="A776" i="7" s="1"/>
  <c r="A777" i="7" s="1"/>
  <c r="A778" i="7" s="1"/>
  <c r="A779" i="7" s="1"/>
  <c r="A780" i="7" s="1"/>
  <c r="A781" i="7" s="1"/>
  <c r="A782" i="7" s="1"/>
  <c r="A783" i="7" s="1"/>
  <c r="A784" i="7" s="1"/>
  <c r="A785" i="7" s="1"/>
  <c r="A786" i="7" s="1"/>
  <c r="A787" i="7" s="1"/>
  <c r="A788" i="7" s="1"/>
  <c r="A789" i="7" s="1"/>
  <c r="A790" i="7" s="1"/>
  <c r="A791" i="7" s="1"/>
  <c r="A792" i="7" s="1"/>
  <c r="A793" i="7" s="1"/>
  <c r="A794" i="7" s="1"/>
  <c r="A795" i="7" s="1"/>
  <c r="A796" i="7" s="1"/>
  <c r="A797" i="7" s="1"/>
  <c r="A798" i="7" s="1"/>
  <c r="A799" i="7" s="1"/>
  <c r="A800" i="7" s="1"/>
  <c r="A801" i="7" s="1"/>
  <c r="A802" i="7" s="1"/>
  <c r="A803" i="7" s="1"/>
  <c r="A804" i="7" s="1"/>
  <c r="A805" i="7" s="1"/>
  <c r="A806" i="7" s="1"/>
  <c r="A807" i="7" s="1"/>
  <c r="A808" i="7" s="1"/>
  <c r="A809" i="7" s="1"/>
  <c r="A810" i="7" s="1"/>
  <c r="A811" i="7" s="1"/>
  <c r="A812" i="7" s="1"/>
  <c r="A813" i="7" s="1"/>
  <c r="A814" i="7" s="1"/>
  <c r="A815" i="7" s="1"/>
  <c r="A816" i="7" s="1"/>
  <c r="A817" i="7" s="1"/>
  <c r="A818" i="7" s="1"/>
  <c r="A819" i="7" s="1"/>
  <c r="A820" i="7" s="1"/>
  <c r="A821" i="7" s="1"/>
  <c r="A822" i="7" s="1"/>
  <c r="A823" i="7" s="1"/>
  <c r="A824" i="7" s="1"/>
  <c r="A825" i="7" s="1"/>
  <c r="A826" i="7" s="1"/>
  <c r="A827" i="7" s="1"/>
  <c r="A828" i="7" s="1"/>
  <c r="A829" i="7" s="1"/>
  <c r="A830" i="7" s="1"/>
  <c r="A831" i="7" s="1"/>
  <c r="A832" i="7" s="1"/>
  <c r="A833" i="7" s="1"/>
  <c r="A834" i="7" s="1"/>
  <c r="A835" i="7" s="1"/>
  <c r="A836" i="7" s="1"/>
  <c r="A837" i="7" s="1"/>
  <c r="A838" i="7" s="1"/>
  <c r="A839" i="7" s="1"/>
  <c r="A840" i="7" s="1"/>
  <c r="A841" i="7" s="1"/>
  <c r="A842" i="7" s="1"/>
  <c r="A843" i="7" s="1"/>
  <c r="A844" i="7" s="1"/>
  <c r="A845" i="7" s="1"/>
  <c r="A846" i="7" s="1"/>
  <c r="A847" i="7" s="1"/>
  <c r="A848" i="7" s="1"/>
  <c r="A849" i="7" s="1"/>
  <c r="A850" i="7" s="1"/>
  <c r="A851" i="7" s="1"/>
  <c r="A852" i="7" s="1"/>
  <c r="A853" i="7" s="1"/>
  <c r="A854" i="7" s="1"/>
  <c r="A855" i="7" s="1"/>
  <c r="A856" i="7" s="1"/>
  <c r="A857" i="7" s="1"/>
  <c r="A858" i="7" s="1"/>
  <c r="A859" i="7" s="1"/>
  <c r="A860" i="7" s="1"/>
  <c r="A861" i="7" s="1"/>
  <c r="A862" i="7" s="1"/>
  <c r="A863" i="7" s="1"/>
  <c r="A864" i="7" s="1"/>
  <c r="A865" i="7" s="1"/>
  <c r="A866" i="7" s="1"/>
  <c r="A867" i="7" s="1"/>
  <c r="A868" i="7" s="1"/>
  <c r="A869" i="7" s="1"/>
  <c r="A870" i="7" s="1"/>
  <c r="A871" i="7" s="1"/>
  <c r="A872" i="7" s="1"/>
  <c r="A873" i="7" s="1"/>
  <c r="A874" i="7" s="1"/>
  <c r="A875" i="7" s="1"/>
  <c r="A876" i="7" s="1"/>
  <c r="A877" i="7" s="1"/>
  <c r="A878" i="7" s="1"/>
  <c r="A879" i="7" s="1"/>
  <c r="A880" i="7" s="1"/>
  <c r="A881" i="7" s="1"/>
  <c r="A882" i="7" s="1"/>
  <c r="A883" i="7" s="1"/>
  <c r="A884" i="7" s="1"/>
  <c r="A885" i="7" s="1"/>
  <c r="A886" i="7" s="1"/>
  <c r="A887" i="7" s="1"/>
  <c r="A888" i="7" s="1"/>
  <c r="A889" i="7" s="1"/>
  <c r="A890" i="7" s="1"/>
  <c r="A891" i="7" s="1"/>
  <c r="A892" i="7" s="1"/>
  <c r="A893" i="7" s="1"/>
  <c r="A894" i="7" s="1"/>
  <c r="A895" i="7" s="1"/>
  <c r="A896" i="7" s="1"/>
  <c r="A897" i="7" s="1"/>
  <c r="A898" i="7" s="1"/>
  <c r="A899" i="7" s="1"/>
  <c r="A900" i="7" s="1"/>
  <c r="A901" i="7" s="1"/>
  <c r="A902" i="7" s="1"/>
  <c r="A903" i="7" s="1"/>
  <c r="A904" i="7" s="1"/>
  <c r="A905" i="7" s="1"/>
  <c r="A906" i="7" s="1"/>
  <c r="A907" i="7" s="1"/>
  <c r="A908" i="7" s="1"/>
  <c r="A909" i="7" s="1"/>
  <c r="A910" i="7" s="1"/>
  <c r="A911" i="7" s="1"/>
  <c r="A912" i="7" s="1"/>
  <c r="A913" i="7" s="1"/>
  <c r="A914" i="7" s="1"/>
  <c r="A915" i="7" s="1"/>
  <c r="A916" i="7" s="1"/>
  <c r="A917" i="7" s="1"/>
  <c r="A918" i="7" s="1"/>
  <c r="A919" i="7" s="1"/>
  <c r="A920" i="7" s="1"/>
  <c r="A921" i="7" s="1"/>
  <c r="A922" i="7" s="1"/>
  <c r="A923" i="7" s="1"/>
  <c r="A924" i="7" s="1"/>
  <c r="A925" i="7" s="1"/>
  <c r="A926" i="7" s="1"/>
  <c r="A927" i="7" s="1"/>
  <c r="A928" i="7" s="1"/>
  <c r="A929" i="7" s="1"/>
  <c r="A930" i="7" s="1"/>
  <c r="A931" i="7" s="1"/>
  <c r="A932" i="7" s="1"/>
  <c r="A933" i="7" s="1"/>
  <c r="A934" i="7" s="1"/>
  <c r="A935" i="7" s="1"/>
  <c r="A936" i="7" s="1"/>
  <c r="A937" i="7" s="1"/>
  <c r="A938" i="7" s="1"/>
  <c r="A939" i="7" s="1"/>
  <c r="A940" i="7" s="1"/>
  <c r="A941" i="7" s="1"/>
  <c r="A942" i="7" s="1"/>
  <c r="A943" i="7" s="1"/>
  <c r="A944" i="7" s="1"/>
  <c r="A945" i="7" s="1"/>
  <c r="A946" i="7" s="1"/>
  <c r="A947" i="7" s="1"/>
  <c r="A948" i="7" s="1"/>
  <c r="A949" i="7" s="1"/>
  <c r="A950" i="7" s="1"/>
  <c r="A951" i="7" s="1"/>
  <c r="A952" i="7" s="1"/>
  <c r="A953" i="7" s="1"/>
  <c r="A954" i="7" s="1"/>
  <c r="A955" i="7" s="1"/>
  <c r="A956" i="7" s="1"/>
  <c r="A957" i="7" s="1"/>
  <c r="A958" i="7" s="1"/>
  <c r="A959" i="7" s="1"/>
  <c r="A960" i="7" s="1"/>
  <c r="A961" i="7" s="1"/>
  <c r="A962" i="7" s="1"/>
  <c r="A963" i="7" s="1"/>
  <c r="A964" i="7" s="1"/>
  <c r="A965" i="7" s="1"/>
  <c r="A966" i="7" s="1"/>
  <c r="A967" i="7" s="1"/>
  <c r="A968" i="7" s="1"/>
  <c r="A969" i="7" s="1"/>
  <c r="A970" i="7" s="1"/>
  <c r="A971" i="7" s="1"/>
  <c r="A972" i="7" s="1"/>
  <c r="A973" i="7" s="1"/>
  <c r="A974" i="7" s="1"/>
  <c r="A975" i="7" s="1"/>
  <c r="A976" i="7" s="1"/>
  <c r="A977" i="7" s="1"/>
  <c r="A978" i="7" s="1"/>
  <c r="A979" i="7" s="1"/>
  <c r="A980" i="7" s="1"/>
  <c r="A981" i="7" s="1"/>
  <c r="A982" i="7" s="1"/>
  <c r="A983" i="7" s="1"/>
  <c r="A984" i="7" s="1"/>
  <c r="A985" i="7" s="1"/>
  <c r="A986" i="7" s="1"/>
  <c r="A987" i="7" s="1"/>
  <c r="A988" i="7" s="1"/>
  <c r="A989" i="7" s="1"/>
  <c r="A990" i="7" s="1"/>
  <c r="A991" i="7" s="1"/>
  <c r="A992" i="7" s="1"/>
  <c r="A993" i="7" s="1"/>
  <c r="A994" i="7" s="1"/>
  <c r="A995" i="7" s="1"/>
  <c r="A996" i="7" s="1"/>
  <c r="A997" i="7" s="1"/>
  <c r="A998" i="7" s="1"/>
  <c r="A999" i="7" s="1"/>
  <c r="A1000" i="7" s="1"/>
  <c r="A1001" i="7" s="1"/>
  <c r="A1002" i="7" s="1"/>
  <c r="A1003" i="7" s="1"/>
  <c r="A1004" i="7" s="1"/>
  <c r="A1005" i="7" s="1"/>
  <c r="A1006" i="7" s="1"/>
  <c r="A1007" i="7" s="1"/>
  <c r="A9" i="6"/>
  <c r="A10" i="6" s="1"/>
  <c r="D15" i="7" l="1"/>
  <c r="F15" i="7" s="1"/>
  <c r="D16" i="7"/>
  <c r="F16" i="7" s="1"/>
  <c r="I13" i="9"/>
  <c r="F16" i="11"/>
  <c r="A11" i="6"/>
  <c r="A12" i="6" s="1"/>
  <c r="I14" i="9" l="1"/>
  <c r="H15" i="9" s="1"/>
  <c r="H14" i="9"/>
  <c r="D18" i="7" s="1"/>
  <c r="F18" i="7" s="1"/>
  <c r="D17" i="7"/>
  <c r="F17" i="7" s="1"/>
  <c r="F18" i="11"/>
  <c r="I15" i="9"/>
  <c r="H16" i="9" s="1"/>
  <c r="A13" i="6"/>
  <c r="A14" i="6" s="1"/>
  <c r="A15" i="6" s="1"/>
  <c r="D19" i="7" l="1"/>
  <c r="F19" i="7" s="1"/>
  <c r="F19" i="11"/>
  <c r="I16" i="9"/>
  <c r="H17" i="9" s="1"/>
  <c r="A16" i="6"/>
  <c r="D20" i="7" l="1"/>
  <c r="F20" i="7" s="1"/>
  <c r="F20" i="11"/>
  <c r="I17" i="9"/>
  <c r="H18" i="9" s="1"/>
  <c r="A17" i="6"/>
  <c r="A18" i="6" s="1"/>
  <c r="D21" i="7" l="1"/>
  <c r="F21" i="7" s="1"/>
  <c r="F21" i="11"/>
  <c r="I18" i="9"/>
  <c r="H19" i="9" s="1"/>
  <c r="A19" i="6"/>
  <c r="A20" i="6" s="1"/>
  <c r="D22" i="7" l="1"/>
  <c r="F22" i="7" s="1"/>
  <c r="F22" i="11"/>
  <c r="I19" i="9"/>
  <c r="H20" i="9" s="1"/>
  <c r="A21" i="6"/>
  <c r="D23" i="7" l="1"/>
  <c r="F23" i="7" s="1"/>
  <c r="F23" i="11"/>
  <c r="I20" i="9"/>
  <c r="H21" i="9" s="1"/>
  <c r="A22" i="6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1003" i="6" s="1"/>
  <c r="A1004" i="6" s="1"/>
  <c r="A1005" i="6" s="1"/>
  <c r="A1006" i="6" s="1"/>
  <c r="A1007" i="6" s="1"/>
  <c r="D24" i="7" l="1"/>
  <c r="F24" i="7" s="1"/>
  <c r="F24" i="11"/>
  <c r="I21" i="9"/>
  <c r="H22" i="9" s="1"/>
  <c r="D25" i="7" l="1"/>
  <c r="F25" i="7" s="1"/>
  <c r="F25" i="11"/>
  <c r="I22" i="9"/>
  <c r="H23" i="9" s="1"/>
  <c r="D26" i="7" l="1"/>
  <c r="F26" i="7" s="1"/>
  <c r="F26" i="11"/>
  <c r="I23" i="9"/>
  <c r="H24" i="9" s="1"/>
  <c r="D27" i="7" l="1"/>
  <c r="F27" i="7" s="1"/>
  <c r="F27" i="11"/>
  <c r="I24" i="9"/>
  <c r="H25" i="9" s="1"/>
  <c r="D28" i="7" l="1"/>
  <c r="F28" i="7" s="1"/>
  <c r="F28" i="11"/>
  <c r="I25" i="9"/>
  <c r="H26" i="9" s="1"/>
  <c r="D29" i="7" l="1"/>
  <c r="F29" i="7" s="1"/>
  <c r="F29" i="11"/>
  <c r="I26" i="9"/>
  <c r="H27" i="9" s="1"/>
  <c r="D30" i="7" l="1"/>
  <c r="F30" i="7" s="1"/>
  <c r="F30" i="11"/>
  <c r="I27" i="9"/>
  <c r="H28" i="9" s="1"/>
  <c r="D31" i="7" l="1"/>
  <c r="F31" i="7" s="1"/>
  <c r="F31" i="11"/>
  <c r="I28" i="9"/>
  <c r="H29" i="9" s="1"/>
  <c r="D32" i="7" l="1"/>
  <c r="F32" i="7" s="1"/>
  <c r="F32" i="11"/>
  <c r="I29" i="9"/>
  <c r="H30" i="9" s="1"/>
  <c r="D33" i="7" l="1"/>
  <c r="F33" i="7" s="1"/>
  <c r="F33" i="11"/>
  <c r="I30" i="9"/>
  <c r="H31" i="9" s="1"/>
  <c r="D34" i="7" l="1"/>
  <c r="F34" i="7" s="1"/>
  <c r="F34" i="11"/>
  <c r="I31" i="9"/>
  <c r="H32" i="9" s="1"/>
  <c r="D35" i="7" l="1"/>
  <c r="F35" i="7" s="1"/>
  <c r="F35" i="11"/>
  <c r="I32" i="9"/>
  <c r="H33" i="9" s="1"/>
  <c r="D36" i="7" l="1"/>
  <c r="F36" i="7" s="1"/>
  <c r="F36" i="11"/>
  <c r="I33" i="9"/>
  <c r="H34" i="9" s="1"/>
  <c r="D37" i="7" l="1"/>
  <c r="F37" i="7" s="1"/>
  <c r="F37" i="11"/>
  <c r="I34" i="9"/>
  <c r="H35" i="9" s="1"/>
  <c r="D38" i="7" l="1"/>
  <c r="F38" i="7" s="1"/>
  <c r="F38" i="11"/>
  <c r="I35" i="9"/>
  <c r="H36" i="9" s="1"/>
  <c r="D39" i="7" l="1"/>
  <c r="F39" i="7" s="1"/>
  <c r="F39" i="11"/>
  <c r="I36" i="9"/>
  <c r="H37" i="9" s="1"/>
  <c r="D40" i="7" l="1"/>
  <c r="F40" i="7" s="1"/>
  <c r="F40" i="11"/>
  <c r="I37" i="9"/>
  <c r="H38" i="9" s="1"/>
  <c r="D41" i="7" l="1"/>
  <c r="F41" i="7" s="1"/>
  <c r="F41" i="11"/>
  <c r="I38" i="9"/>
  <c r="H39" i="9" s="1"/>
  <c r="D42" i="7" l="1"/>
  <c r="F42" i="7" s="1"/>
  <c r="I39" i="9"/>
  <c r="H40" i="9" s="1"/>
  <c r="F42" i="11"/>
  <c r="D43" i="7" l="1"/>
  <c r="F43" i="7" s="1"/>
  <c r="F43" i="11"/>
  <c r="I40" i="9"/>
  <c r="H41" i="9" s="1"/>
  <c r="D44" i="7" l="1"/>
  <c r="F44" i="7" s="1"/>
  <c r="F44" i="11"/>
  <c r="I41" i="9"/>
  <c r="H42" i="9" s="1"/>
  <c r="D45" i="7" l="1"/>
  <c r="F45" i="7" s="1"/>
  <c r="F45" i="11"/>
  <c r="I42" i="9"/>
  <c r="H43" i="9" s="1"/>
  <c r="D46" i="7" l="1"/>
  <c r="F46" i="7" s="1"/>
  <c r="F46" i="11"/>
  <c r="I43" i="9"/>
  <c r="H44" i="9" s="1"/>
  <c r="D47" i="7" l="1"/>
  <c r="F47" i="7" s="1"/>
  <c r="F47" i="11"/>
  <c r="I44" i="9"/>
  <c r="H45" i="9" s="1"/>
  <c r="D48" i="7" l="1"/>
  <c r="F48" i="7" s="1"/>
  <c r="F48" i="11"/>
  <c r="I45" i="9"/>
  <c r="H46" i="9" s="1"/>
  <c r="D49" i="7" l="1"/>
  <c r="F49" i="7" s="1"/>
  <c r="I46" i="9"/>
  <c r="H47" i="9" s="1"/>
  <c r="F49" i="11"/>
  <c r="D50" i="7" l="1"/>
  <c r="F50" i="7" s="1"/>
  <c r="I47" i="9"/>
  <c r="H48" i="9" s="1"/>
  <c r="F50" i="11"/>
  <c r="D51" i="7" l="1"/>
  <c r="F51" i="7" s="1"/>
  <c r="I48" i="9"/>
  <c r="H49" i="9" s="1"/>
  <c r="F51" i="11"/>
  <c r="D52" i="7" l="1"/>
  <c r="F52" i="7" s="1"/>
  <c r="I49" i="9"/>
  <c r="H50" i="9" s="1"/>
  <c r="F52" i="11"/>
  <c r="D53" i="7" l="1"/>
  <c r="F53" i="7" s="1"/>
  <c r="I50" i="9"/>
  <c r="H51" i="9" s="1"/>
  <c r="F53" i="11"/>
  <c r="D54" i="7" l="1"/>
  <c r="F54" i="7" s="1"/>
  <c r="I51" i="9"/>
  <c r="H52" i="9" s="1"/>
  <c r="F54" i="11"/>
  <c r="D55" i="7" l="1"/>
  <c r="F55" i="7" s="1"/>
  <c r="I52" i="9"/>
  <c r="H53" i="9" s="1"/>
  <c r="F55" i="11"/>
  <c r="D56" i="7" l="1"/>
  <c r="F56" i="7" s="1"/>
  <c r="I53" i="9"/>
  <c r="H54" i="9" s="1"/>
  <c r="F56" i="11"/>
  <c r="D57" i="7" l="1"/>
  <c r="F57" i="7" s="1"/>
  <c r="I54" i="9"/>
  <c r="H55" i="9" s="1"/>
  <c r="F57" i="11"/>
  <c r="D58" i="7" l="1"/>
  <c r="F58" i="7" s="1"/>
  <c r="I55" i="9"/>
  <c r="H56" i="9" s="1"/>
  <c r="F58" i="11"/>
  <c r="D59" i="7" l="1"/>
  <c r="F59" i="7" s="1"/>
  <c r="I56" i="9"/>
  <c r="H57" i="9" s="1"/>
  <c r="F59" i="11"/>
  <c r="D60" i="7" l="1"/>
  <c r="F60" i="7" s="1"/>
  <c r="I57" i="9"/>
  <c r="H58" i="9" s="1"/>
  <c r="F60" i="11"/>
  <c r="D61" i="7" l="1"/>
  <c r="F61" i="7" s="1"/>
  <c r="I58" i="9"/>
  <c r="H59" i="9" s="1"/>
  <c r="F61" i="11"/>
  <c r="D62" i="7" l="1"/>
  <c r="F62" i="7" s="1"/>
  <c r="I59" i="9"/>
  <c r="H60" i="9" s="1"/>
  <c r="F62" i="11"/>
  <c r="D63" i="7" l="1"/>
  <c r="F63" i="7" s="1"/>
  <c r="I60" i="9"/>
  <c r="H61" i="9" s="1"/>
  <c r="F63" i="11"/>
  <c r="D64" i="7" l="1"/>
  <c r="F64" i="7" s="1"/>
  <c r="I61" i="9"/>
  <c r="H62" i="9" s="1"/>
  <c r="F64" i="11"/>
  <c r="D65" i="7" l="1"/>
  <c r="F65" i="7" s="1"/>
  <c r="I62" i="9"/>
  <c r="I63" i="9" s="1"/>
  <c r="I64" i="9" s="1"/>
  <c r="I65" i="9" s="1"/>
  <c r="I66" i="9" s="1"/>
  <c r="I67" i="9" s="1"/>
  <c r="I68" i="9" s="1"/>
  <c r="I69" i="9" s="1"/>
  <c r="I70" i="9" s="1"/>
  <c r="I71" i="9" s="1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I82" i="9" s="1"/>
  <c r="I83" i="9" s="1"/>
  <c r="I84" i="9" s="1"/>
  <c r="I85" i="9" s="1"/>
  <c r="I86" i="9" s="1"/>
  <c r="I87" i="9" s="1"/>
  <c r="I88" i="9" s="1"/>
  <c r="I89" i="9" s="1"/>
  <c r="I90" i="9" s="1"/>
  <c r="I91" i="9" s="1"/>
  <c r="I92" i="9" s="1"/>
  <c r="I93" i="9" s="1"/>
  <c r="I94" i="9" s="1"/>
  <c r="I95" i="9" s="1"/>
  <c r="I96" i="9" s="1"/>
  <c r="I97" i="9" s="1"/>
  <c r="I98" i="9" s="1"/>
  <c r="I99" i="9" s="1"/>
  <c r="I100" i="9" s="1"/>
  <c r="I101" i="9" s="1"/>
  <c r="I102" i="9" s="1"/>
  <c r="I103" i="9" s="1"/>
  <c r="F65" i="11"/>
  <c r="D66" i="7" l="1"/>
  <c r="F66" i="7" s="1"/>
  <c r="U1004" i="9" s="1"/>
  <c r="I104" i="9"/>
  <c r="I105" i="9" l="1"/>
  <c r="I106" i="9" l="1"/>
  <c r="I107" i="9" l="1"/>
  <c r="I108" i="9" l="1"/>
  <c r="I109" i="9" l="1"/>
  <c r="I110" i="9" l="1"/>
  <c r="I111" i="9" l="1"/>
  <c r="I112" i="9" l="1"/>
  <c r="I113" i="9" l="1"/>
  <c r="I114" i="9" l="1"/>
  <c r="I115" i="9" l="1"/>
  <c r="I116" i="9" l="1"/>
  <c r="I117" i="9" l="1"/>
  <c r="I118" i="9" l="1"/>
  <c r="I119" i="9" l="1"/>
  <c r="I120" i="9" l="1"/>
  <c r="I121" i="9" l="1"/>
  <c r="I122" i="9" l="1"/>
  <c r="I123" i="9" l="1"/>
  <c r="I124" i="9" l="1"/>
  <c r="I125" i="9" l="1"/>
  <c r="I126" i="9" l="1"/>
  <c r="I127" i="9" l="1"/>
  <c r="I128" i="9" l="1"/>
  <c r="I129" i="9" l="1"/>
  <c r="I130" i="9" l="1"/>
  <c r="I131" i="9" l="1"/>
  <c r="I132" i="9" l="1"/>
  <c r="I133" i="9" l="1"/>
  <c r="I134" i="9" l="1"/>
  <c r="I135" i="9" l="1"/>
  <c r="I136" i="9" l="1"/>
  <c r="I137" i="9" l="1"/>
  <c r="I138" i="9" l="1"/>
  <c r="I139" i="9" l="1"/>
  <c r="I140" i="9" l="1"/>
  <c r="I141" i="9" l="1"/>
  <c r="I142" i="9" l="1"/>
  <c r="I143" i="9" l="1"/>
  <c r="I144" i="9" l="1"/>
  <c r="I145" i="9" l="1"/>
  <c r="I146" i="9" l="1"/>
  <c r="I147" i="9" l="1"/>
  <c r="I148" i="9" l="1"/>
  <c r="I149" i="9" l="1"/>
  <c r="I150" i="9" l="1"/>
  <c r="I151" i="9" l="1"/>
  <c r="I152" i="9" l="1"/>
  <c r="I153" i="9" l="1"/>
  <c r="I154" i="9" l="1"/>
  <c r="I155" i="9" l="1"/>
  <c r="I156" i="9" l="1"/>
  <c r="I157" i="9" l="1"/>
  <c r="I158" i="9" l="1"/>
  <c r="I159" i="9" l="1"/>
  <c r="I160" i="9" l="1"/>
  <c r="I161" i="9" l="1"/>
  <c r="I162" i="9" l="1"/>
  <c r="I163" i="9" l="1"/>
  <c r="I164" i="9" l="1"/>
  <c r="I165" i="9" l="1"/>
  <c r="I166" i="9" l="1"/>
  <c r="I167" i="9" l="1"/>
  <c r="I168" i="9" l="1"/>
  <c r="I169" i="9" l="1"/>
  <c r="I170" i="9" l="1"/>
  <c r="I171" i="9" l="1"/>
  <c r="I172" i="9" l="1"/>
  <c r="I173" i="9" l="1"/>
  <c r="I174" i="9" l="1"/>
  <c r="I175" i="9" l="1"/>
  <c r="I176" i="9" l="1"/>
  <c r="I177" i="9" l="1"/>
  <c r="I178" i="9" l="1"/>
  <c r="I179" i="9" l="1"/>
  <c r="I180" i="9" l="1"/>
  <c r="I181" i="9" l="1"/>
  <c r="I182" i="9" l="1"/>
  <c r="I183" i="9" l="1"/>
  <c r="I184" i="9" l="1"/>
  <c r="I185" i="9" l="1"/>
  <c r="I186" i="9" l="1"/>
  <c r="I187" i="9" l="1"/>
  <c r="I188" i="9" l="1"/>
  <c r="I189" i="9" l="1"/>
  <c r="I190" i="9" l="1"/>
  <c r="I191" i="9" l="1"/>
  <c r="I192" i="9" l="1"/>
  <c r="I193" i="9" l="1"/>
  <c r="I194" i="9" l="1"/>
  <c r="I195" i="9" l="1"/>
  <c r="I196" i="9" l="1"/>
  <c r="I197" i="9" l="1"/>
  <c r="I198" i="9" l="1"/>
  <c r="I199" i="9" l="1"/>
  <c r="I200" i="9" l="1"/>
  <c r="I201" i="9" l="1"/>
  <c r="I202" i="9" l="1"/>
  <c r="I203" i="9" l="1"/>
  <c r="I204" i="9" l="1"/>
  <c r="I205" i="9" l="1"/>
  <c r="I206" i="9" l="1"/>
  <c r="I207" i="9" l="1"/>
  <c r="I208" i="9" l="1"/>
  <c r="I209" i="9" l="1"/>
  <c r="I210" i="9" l="1"/>
  <c r="I211" i="9" l="1"/>
  <c r="I212" i="9" l="1"/>
  <c r="I213" i="9" l="1"/>
  <c r="I214" i="9" l="1"/>
  <c r="I215" i="9" l="1"/>
  <c r="I216" i="9" l="1"/>
  <c r="I217" i="9" l="1"/>
  <c r="I218" i="9" l="1"/>
  <c r="I219" i="9" l="1"/>
  <c r="I220" i="9" l="1"/>
  <c r="I221" i="9" l="1"/>
  <c r="I222" i="9" l="1"/>
  <c r="I223" i="9" l="1"/>
  <c r="I224" i="9" l="1"/>
  <c r="I225" i="9" l="1"/>
  <c r="I226" i="9" l="1"/>
  <c r="I227" i="9" l="1"/>
  <c r="I228" i="9" l="1"/>
  <c r="I229" i="9" l="1"/>
  <c r="I230" i="9" l="1"/>
  <c r="I231" i="9" l="1"/>
  <c r="I232" i="9" l="1"/>
  <c r="I233" i="9" l="1"/>
  <c r="I234" i="9" l="1"/>
  <c r="I235" i="9" l="1"/>
  <c r="I236" i="9" l="1"/>
  <c r="I237" i="9" l="1"/>
  <c r="I238" i="9" l="1"/>
  <c r="I239" i="9" l="1"/>
  <c r="I240" i="9" l="1"/>
  <c r="I241" i="9" l="1"/>
  <c r="I242" i="9" l="1"/>
  <c r="I243" i="9" l="1"/>
  <c r="I244" i="9" l="1"/>
  <c r="I245" i="9" l="1"/>
  <c r="I246" i="9" l="1"/>
  <c r="I247" i="9" l="1"/>
  <c r="I248" i="9" l="1"/>
  <c r="I249" i="9" l="1"/>
  <c r="I250" i="9" l="1"/>
  <c r="I251" i="9" l="1"/>
  <c r="I252" i="9" l="1"/>
  <c r="I253" i="9" l="1"/>
  <c r="I254" i="9" l="1"/>
  <c r="I255" i="9" l="1"/>
  <c r="I256" i="9" l="1"/>
  <c r="I257" i="9" l="1"/>
  <c r="I258" i="9" l="1"/>
  <c r="I259" i="9" l="1"/>
  <c r="I260" i="9" l="1"/>
  <c r="I261" i="9" l="1"/>
  <c r="I262" i="9" l="1"/>
  <c r="I263" i="9" l="1"/>
  <c r="I264" i="9" l="1"/>
  <c r="I265" i="9" l="1"/>
  <c r="I266" i="9" l="1"/>
  <c r="I267" i="9" l="1"/>
  <c r="I268" i="9" l="1"/>
  <c r="I269" i="9" l="1"/>
  <c r="I270" i="9" l="1"/>
  <c r="I271" i="9" l="1"/>
  <c r="I272" i="9" l="1"/>
  <c r="I273" i="9" l="1"/>
  <c r="I274" i="9" l="1"/>
  <c r="I275" i="9" l="1"/>
  <c r="I276" i="9" l="1"/>
  <c r="I277" i="9" l="1"/>
  <c r="I278" i="9" l="1"/>
  <c r="I279" i="9" l="1"/>
  <c r="I280" i="9" l="1"/>
  <c r="I281" i="9" l="1"/>
  <c r="I282" i="9" l="1"/>
  <c r="I283" i="9" l="1"/>
  <c r="I284" i="9" l="1"/>
  <c r="I285" i="9" l="1"/>
  <c r="I286" i="9" l="1"/>
  <c r="I287" i="9" l="1"/>
  <c r="I288" i="9" l="1"/>
  <c r="I289" i="9" l="1"/>
  <c r="I290" i="9" l="1"/>
  <c r="I291" i="9" l="1"/>
  <c r="I292" i="9" l="1"/>
  <c r="I293" i="9" l="1"/>
  <c r="I294" i="9" l="1"/>
  <c r="I295" i="9" l="1"/>
  <c r="I296" i="9" l="1"/>
  <c r="I297" i="9" l="1"/>
  <c r="I298" i="9" l="1"/>
  <c r="I299" i="9" l="1"/>
  <c r="I300" i="9" l="1"/>
  <c r="I301" i="9" l="1"/>
  <c r="I302" i="9" l="1"/>
  <c r="I303" i="9" l="1"/>
  <c r="I304" i="9" l="1"/>
  <c r="I305" i="9" l="1"/>
  <c r="I306" i="9" l="1"/>
  <c r="I307" i="9" l="1"/>
  <c r="I308" i="9" l="1"/>
  <c r="I309" i="9" l="1"/>
  <c r="I310" i="9" l="1"/>
  <c r="I311" i="9" l="1"/>
  <c r="I312" i="9" l="1"/>
  <c r="I313" i="9" l="1"/>
  <c r="I314" i="9" l="1"/>
  <c r="I315" i="9" l="1"/>
  <c r="I316" i="9" l="1"/>
  <c r="I317" i="9" l="1"/>
  <c r="I318" i="9" l="1"/>
  <c r="I319" i="9" l="1"/>
  <c r="I320" i="9" l="1"/>
  <c r="I321" i="9" l="1"/>
  <c r="I322" i="9" l="1"/>
  <c r="I323" i="9" l="1"/>
  <c r="I324" i="9" l="1"/>
  <c r="I325" i="9" l="1"/>
  <c r="I326" i="9" l="1"/>
  <c r="I327" i="9" l="1"/>
  <c r="I328" i="9" l="1"/>
  <c r="I329" i="9" l="1"/>
  <c r="I330" i="9" l="1"/>
  <c r="I331" i="9" l="1"/>
  <c r="I332" i="9" l="1"/>
  <c r="I333" i="9" l="1"/>
  <c r="I334" i="9" l="1"/>
  <c r="I335" i="9" l="1"/>
  <c r="I336" i="9" l="1"/>
  <c r="I337" i="9" l="1"/>
  <c r="I338" i="9" l="1"/>
  <c r="I339" i="9" l="1"/>
  <c r="I340" i="9" l="1"/>
  <c r="I341" i="9" l="1"/>
  <c r="I342" i="9" l="1"/>
  <c r="I343" i="9" l="1"/>
  <c r="I344" i="9" l="1"/>
  <c r="I345" i="9" l="1"/>
  <c r="I346" i="9" l="1"/>
  <c r="I347" i="9" l="1"/>
  <c r="I348" i="9" l="1"/>
  <c r="I349" i="9" l="1"/>
  <c r="I350" i="9" l="1"/>
  <c r="I351" i="9" l="1"/>
  <c r="I352" i="9" l="1"/>
  <c r="I353" i="9" l="1"/>
  <c r="I354" i="9" l="1"/>
  <c r="I355" i="9" l="1"/>
  <c r="I356" i="9" l="1"/>
  <c r="I357" i="9" l="1"/>
  <c r="I358" i="9" l="1"/>
  <c r="I359" i="9" l="1"/>
  <c r="I360" i="9" l="1"/>
  <c r="I361" i="9" l="1"/>
  <c r="I362" i="9" l="1"/>
  <c r="I363" i="9" l="1"/>
  <c r="I364" i="9" l="1"/>
  <c r="I365" i="9" l="1"/>
  <c r="I366" i="9" l="1"/>
  <c r="I367" i="9" l="1"/>
  <c r="I368" i="9" l="1"/>
  <c r="I369" i="9" l="1"/>
  <c r="I370" i="9" l="1"/>
  <c r="I371" i="9" l="1"/>
  <c r="I372" i="9" l="1"/>
  <c r="I373" i="9" l="1"/>
  <c r="I374" i="9" l="1"/>
  <c r="I375" i="9" l="1"/>
  <c r="I376" i="9" l="1"/>
  <c r="I377" i="9" l="1"/>
  <c r="I378" i="9" l="1"/>
  <c r="I379" i="9" l="1"/>
  <c r="I380" i="9" l="1"/>
  <c r="I381" i="9" l="1"/>
  <c r="I382" i="9" l="1"/>
  <c r="I383" i="9" l="1"/>
  <c r="I384" i="9" l="1"/>
  <c r="I385" i="9" l="1"/>
  <c r="I386" i="9" l="1"/>
  <c r="I387" i="9" l="1"/>
  <c r="I388" i="9" l="1"/>
  <c r="I389" i="9" l="1"/>
  <c r="I390" i="9" l="1"/>
  <c r="I391" i="9" l="1"/>
  <c r="I392" i="9" l="1"/>
  <c r="I393" i="9" l="1"/>
  <c r="I394" i="9" l="1"/>
  <c r="I395" i="9" l="1"/>
  <c r="I396" i="9" l="1"/>
  <c r="I397" i="9" l="1"/>
  <c r="I398" i="9" l="1"/>
  <c r="I399" i="9" l="1"/>
  <c r="I400" i="9" l="1"/>
  <c r="I401" i="9" l="1"/>
  <c r="I402" i="9" l="1"/>
  <c r="I403" i="9" l="1"/>
  <c r="I404" i="9" l="1"/>
  <c r="I405" i="9" l="1"/>
  <c r="I406" i="9" l="1"/>
  <c r="I407" i="9" l="1"/>
  <c r="I408" i="9" l="1"/>
  <c r="I409" i="9" l="1"/>
  <c r="I410" i="9" l="1"/>
  <c r="I411" i="9" l="1"/>
  <c r="I412" i="9" l="1"/>
  <c r="I413" i="9" l="1"/>
  <c r="I414" i="9" l="1"/>
  <c r="I415" i="9" l="1"/>
  <c r="I416" i="9" l="1"/>
  <c r="I417" i="9" l="1"/>
  <c r="I418" i="9" l="1"/>
  <c r="I419" i="9" l="1"/>
  <c r="I420" i="9" l="1"/>
  <c r="I421" i="9" l="1"/>
  <c r="I422" i="9" l="1"/>
  <c r="I423" i="9" l="1"/>
  <c r="I424" i="9" l="1"/>
  <c r="I425" i="9" l="1"/>
  <c r="I426" i="9" l="1"/>
  <c r="I427" i="9" l="1"/>
  <c r="I428" i="9" l="1"/>
  <c r="I429" i="9" l="1"/>
  <c r="I430" i="9" l="1"/>
  <c r="I431" i="9" l="1"/>
  <c r="I432" i="9" l="1"/>
  <c r="I433" i="9" l="1"/>
  <c r="I434" i="9" l="1"/>
  <c r="I435" i="9" l="1"/>
  <c r="I436" i="9" l="1"/>
  <c r="I437" i="9" l="1"/>
  <c r="I438" i="9" l="1"/>
  <c r="I439" i="9" l="1"/>
  <c r="I440" i="9" l="1"/>
  <c r="I441" i="9" l="1"/>
  <c r="I442" i="9" l="1"/>
  <c r="I443" i="9" l="1"/>
  <c r="I444" i="9" l="1"/>
  <c r="I445" i="9" l="1"/>
  <c r="I446" i="9" l="1"/>
  <c r="I447" i="9" l="1"/>
  <c r="I448" i="9" l="1"/>
  <c r="I449" i="9" l="1"/>
  <c r="I450" i="9" l="1"/>
  <c r="I451" i="9" l="1"/>
  <c r="I452" i="9" l="1"/>
  <c r="I453" i="9" l="1"/>
  <c r="I454" i="9" l="1"/>
  <c r="I455" i="9" l="1"/>
  <c r="I456" i="9" l="1"/>
  <c r="I457" i="9" l="1"/>
  <c r="I458" i="9" l="1"/>
  <c r="I459" i="9" l="1"/>
  <c r="I460" i="9" l="1"/>
  <c r="I461" i="9" l="1"/>
  <c r="I462" i="9" l="1"/>
  <c r="I463" i="9" l="1"/>
  <c r="I464" i="9" l="1"/>
  <c r="I465" i="9" l="1"/>
  <c r="I466" i="9" l="1"/>
  <c r="I467" i="9" l="1"/>
  <c r="I468" i="9" l="1"/>
  <c r="I469" i="9" l="1"/>
  <c r="I470" i="9" l="1"/>
  <c r="I471" i="9" l="1"/>
  <c r="I472" i="9" l="1"/>
  <c r="I473" i="9" l="1"/>
  <c r="I474" i="9" l="1"/>
  <c r="I475" i="9" l="1"/>
  <c r="I476" i="9" l="1"/>
  <c r="I477" i="9" l="1"/>
  <c r="I478" i="9" l="1"/>
  <c r="I479" i="9" l="1"/>
  <c r="I480" i="9" l="1"/>
  <c r="I481" i="9" l="1"/>
  <c r="I482" i="9" l="1"/>
  <c r="I483" i="9" l="1"/>
  <c r="I484" i="9" l="1"/>
  <c r="I485" i="9" l="1"/>
  <c r="I486" i="9" l="1"/>
  <c r="I487" i="9" l="1"/>
  <c r="I488" i="9" l="1"/>
  <c r="I489" i="9" l="1"/>
  <c r="I490" i="9" l="1"/>
  <c r="I491" i="9" l="1"/>
  <c r="I492" i="9" l="1"/>
  <c r="I493" i="9" l="1"/>
  <c r="I494" i="9" l="1"/>
  <c r="I495" i="9" l="1"/>
  <c r="I496" i="9" l="1"/>
  <c r="I497" i="9" l="1"/>
  <c r="I498" i="9" l="1"/>
  <c r="I499" i="9" l="1"/>
  <c r="I500" i="9" l="1"/>
  <c r="I501" i="9" l="1"/>
  <c r="I502" i="9" l="1"/>
  <c r="I503" i="9" l="1"/>
  <c r="I504" i="9" l="1"/>
  <c r="I505" i="9" l="1"/>
  <c r="I506" i="9" l="1"/>
  <c r="I507" i="9" l="1"/>
  <c r="I508" i="9" l="1"/>
  <c r="I509" i="9" l="1"/>
  <c r="I510" i="9" l="1"/>
  <c r="I511" i="9" l="1"/>
  <c r="I512" i="9" l="1"/>
  <c r="I513" i="9" l="1"/>
  <c r="I514" i="9" l="1"/>
  <c r="I515" i="9" l="1"/>
  <c r="I516" i="9" l="1"/>
  <c r="I517" i="9" l="1"/>
  <c r="I518" i="9" l="1"/>
  <c r="I519" i="9" l="1"/>
  <c r="I520" i="9" l="1"/>
  <c r="I521" i="9" l="1"/>
  <c r="I522" i="9" l="1"/>
  <c r="I523" i="9" l="1"/>
  <c r="I524" i="9" l="1"/>
  <c r="I525" i="9" l="1"/>
  <c r="I526" i="9" l="1"/>
  <c r="I527" i="9" l="1"/>
  <c r="I528" i="9" l="1"/>
  <c r="I529" i="9" l="1"/>
  <c r="I530" i="9" l="1"/>
  <c r="I531" i="9" l="1"/>
  <c r="I532" i="9" l="1"/>
  <c r="I533" i="9" l="1"/>
  <c r="I534" i="9" l="1"/>
  <c r="I535" i="9" l="1"/>
  <c r="I536" i="9" l="1"/>
  <c r="I537" i="9" l="1"/>
  <c r="I538" i="9" l="1"/>
  <c r="I539" i="9" l="1"/>
  <c r="I540" i="9" l="1"/>
  <c r="I541" i="9" l="1"/>
  <c r="I542" i="9" l="1"/>
  <c r="I543" i="9" l="1"/>
  <c r="I544" i="9" l="1"/>
  <c r="I545" i="9" l="1"/>
  <c r="I546" i="9" l="1"/>
  <c r="I547" i="9" l="1"/>
  <c r="I548" i="9" l="1"/>
  <c r="I549" i="9" l="1"/>
  <c r="I550" i="9" l="1"/>
  <c r="I551" i="9" l="1"/>
  <c r="I552" i="9" l="1"/>
  <c r="I553" i="9" l="1"/>
  <c r="I554" i="9" l="1"/>
  <c r="I555" i="9" l="1"/>
  <c r="I556" i="9" l="1"/>
  <c r="I557" i="9" l="1"/>
  <c r="I558" i="9" l="1"/>
  <c r="I559" i="9" l="1"/>
  <c r="I560" i="9" l="1"/>
  <c r="I561" i="9" l="1"/>
  <c r="I562" i="9" l="1"/>
  <c r="I563" i="9" l="1"/>
  <c r="I564" i="9" l="1"/>
  <c r="I565" i="9" l="1"/>
  <c r="I566" i="9" l="1"/>
  <c r="I567" i="9" l="1"/>
  <c r="I568" i="9" l="1"/>
  <c r="I569" i="9" l="1"/>
  <c r="I570" i="9" l="1"/>
  <c r="I571" i="9" l="1"/>
  <c r="I572" i="9" l="1"/>
  <c r="I573" i="9" l="1"/>
  <c r="I574" i="9" l="1"/>
  <c r="I575" i="9" l="1"/>
  <c r="I576" i="9" l="1"/>
  <c r="I577" i="9" l="1"/>
  <c r="I578" i="9" l="1"/>
  <c r="I579" i="9" l="1"/>
  <c r="I580" i="9" l="1"/>
  <c r="I581" i="9" l="1"/>
  <c r="I582" i="9" l="1"/>
  <c r="I583" i="9" l="1"/>
  <c r="I584" i="9" l="1"/>
  <c r="I585" i="9" l="1"/>
  <c r="I586" i="9" l="1"/>
  <c r="I587" i="9" l="1"/>
  <c r="I588" i="9" l="1"/>
  <c r="I589" i="9" l="1"/>
  <c r="I590" i="9" l="1"/>
  <c r="I591" i="9" l="1"/>
  <c r="I592" i="9" l="1"/>
  <c r="I593" i="9" l="1"/>
  <c r="I594" i="9" l="1"/>
  <c r="I595" i="9" l="1"/>
  <c r="I596" i="9" l="1"/>
  <c r="I597" i="9" l="1"/>
  <c r="I598" i="9" l="1"/>
  <c r="I599" i="9" l="1"/>
  <c r="I600" i="9" l="1"/>
  <c r="I601" i="9" l="1"/>
  <c r="I602" i="9" l="1"/>
  <c r="I603" i="9" l="1"/>
  <c r="I604" i="9" l="1"/>
  <c r="I605" i="9" l="1"/>
  <c r="I606" i="9" l="1"/>
  <c r="I607" i="9" l="1"/>
  <c r="I608" i="9" l="1"/>
  <c r="I609" i="9" l="1"/>
  <c r="I610" i="9" l="1"/>
  <c r="I611" i="9" l="1"/>
  <c r="I612" i="9" l="1"/>
  <c r="I613" i="9" l="1"/>
  <c r="I614" i="9" l="1"/>
  <c r="I615" i="9" l="1"/>
  <c r="I616" i="9" l="1"/>
  <c r="I617" i="9" l="1"/>
  <c r="I618" i="9" l="1"/>
  <c r="I619" i="9" l="1"/>
  <c r="I620" i="9" l="1"/>
  <c r="I621" i="9" l="1"/>
  <c r="I622" i="9" l="1"/>
  <c r="I623" i="9" l="1"/>
  <c r="I624" i="9" l="1"/>
  <c r="I625" i="9" l="1"/>
  <c r="I626" i="9" l="1"/>
  <c r="I627" i="9" l="1"/>
  <c r="I628" i="9" l="1"/>
  <c r="I629" i="9" l="1"/>
  <c r="I630" i="9" l="1"/>
  <c r="I631" i="9" l="1"/>
  <c r="I632" i="9" l="1"/>
  <c r="I633" i="9" l="1"/>
  <c r="I634" i="9" l="1"/>
  <c r="I635" i="9" l="1"/>
  <c r="I636" i="9" l="1"/>
  <c r="I637" i="9" l="1"/>
  <c r="I638" i="9" l="1"/>
  <c r="I639" i="9" l="1"/>
  <c r="I640" i="9" l="1"/>
  <c r="I641" i="9" l="1"/>
  <c r="I642" i="9" l="1"/>
  <c r="I643" i="9" l="1"/>
  <c r="I644" i="9" l="1"/>
  <c r="I645" i="9" l="1"/>
  <c r="I646" i="9" l="1"/>
  <c r="I647" i="9" l="1"/>
  <c r="I648" i="9" l="1"/>
  <c r="I649" i="9" l="1"/>
  <c r="I650" i="9" l="1"/>
  <c r="I651" i="9" l="1"/>
  <c r="I652" i="9" l="1"/>
  <c r="I653" i="9" l="1"/>
  <c r="I654" i="9" l="1"/>
  <c r="I655" i="9" l="1"/>
  <c r="I656" i="9" l="1"/>
  <c r="I657" i="9" l="1"/>
  <c r="I658" i="9" l="1"/>
  <c r="I659" i="9" l="1"/>
  <c r="I660" i="9" l="1"/>
  <c r="I661" i="9" l="1"/>
  <c r="I662" i="9" l="1"/>
  <c r="I663" i="9" l="1"/>
  <c r="I664" i="9" l="1"/>
  <c r="I665" i="9" l="1"/>
  <c r="I666" i="9" l="1"/>
  <c r="I667" i="9" l="1"/>
  <c r="I668" i="9" l="1"/>
  <c r="I669" i="9" l="1"/>
  <c r="I670" i="9" l="1"/>
  <c r="I671" i="9" l="1"/>
  <c r="I672" i="9" l="1"/>
  <c r="I673" i="9" l="1"/>
  <c r="I674" i="9" l="1"/>
  <c r="I675" i="9" l="1"/>
  <c r="I676" i="9" l="1"/>
  <c r="I677" i="9" l="1"/>
  <c r="I678" i="9" l="1"/>
  <c r="I679" i="9" l="1"/>
  <c r="I680" i="9" l="1"/>
  <c r="I681" i="9" l="1"/>
  <c r="I682" i="9" l="1"/>
  <c r="I683" i="9" l="1"/>
  <c r="I684" i="9" l="1"/>
  <c r="I685" i="9" l="1"/>
  <c r="I686" i="9" l="1"/>
  <c r="I687" i="9" l="1"/>
  <c r="I688" i="9" l="1"/>
  <c r="I689" i="9" l="1"/>
  <c r="I690" i="9" l="1"/>
  <c r="I691" i="9" l="1"/>
  <c r="I692" i="9" l="1"/>
  <c r="I693" i="9" l="1"/>
  <c r="I694" i="9" l="1"/>
  <c r="I695" i="9" l="1"/>
  <c r="I696" i="9" l="1"/>
  <c r="I697" i="9" l="1"/>
  <c r="I698" i="9" l="1"/>
  <c r="I699" i="9" l="1"/>
  <c r="I700" i="9" l="1"/>
  <c r="I701" i="9" l="1"/>
  <c r="I702" i="9" l="1"/>
  <c r="I703" i="9" l="1"/>
  <c r="I704" i="9" l="1"/>
  <c r="I705" i="9" l="1"/>
  <c r="I706" i="9" l="1"/>
  <c r="I707" i="9" l="1"/>
  <c r="I708" i="9" l="1"/>
  <c r="I709" i="9" l="1"/>
  <c r="I710" i="9" l="1"/>
  <c r="I711" i="9" l="1"/>
  <c r="I712" i="9" l="1"/>
  <c r="I713" i="9" l="1"/>
  <c r="I714" i="9" l="1"/>
  <c r="I715" i="9" l="1"/>
  <c r="I716" i="9" l="1"/>
  <c r="I717" i="9" l="1"/>
  <c r="I718" i="9" l="1"/>
  <c r="I719" i="9" l="1"/>
  <c r="I720" i="9" l="1"/>
  <c r="I721" i="9" l="1"/>
  <c r="I722" i="9" l="1"/>
  <c r="I723" i="9" l="1"/>
  <c r="I724" i="9" l="1"/>
  <c r="I725" i="9" l="1"/>
  <c r="I726" i="9" l="1"/>
  <c r="I727" i="9" l="1"/>
  <c r="I728" i="9" l="1"/>
  <c r="I729" i="9" l="1"/>
  <c r="I730" i="9" l="1"/>
  <c r="I731" i="9" l="1"/>
  <c r="I732" i="9" l="1"/>
  <c r="I733" i="9" l="1"/>
  <c r="I734" i="9" l="1"/>
  <c r="I735" i="9" l="1"/>
  <c r="I736" i="9" l="1"/>
  <c r="I737" i="9" l="1"/>
  <c r="I738" i="9" l="1"/>
  <c r="I739" i="9" l="1"/>
  <c r="I740" i="9" l="1"/>
  <c r="I741" i="9" l="1"/>
  <c r="I742" i="9" l="1"/>
  <c r="I743" i="9" l="1"/>
  <c r="I744" i="9" l="1"/>
  <c r="I745" i="9" l="1"/>
  <c r="I746" i="9" l="1"/>
  <c r="I747" i="9" l="1"/>
  <c r="I748" i="9" l="1"/>
  <c r="I749" i="9" l="1"/>
  <c r="I750" i="9" l="1"/>
  <c r="I751" i="9" l="1"/>
  <c r="I752" i="9" l="1"/>
  <c r="I753" i="9" l="1"/>
  <c r="I754" i="9" l="1"/>
  <c r="I755" i="9" l="1"/>
  <c r="I756" i="9" l="1"/>
  <c r="I757" i="9" l="1"/>
  <c r="I758" i="9" l="1"/>
  <c r="I759" i="9" l="1"/>
  <c r="I760" i="9" l="1"/>
  <c r="I761" i="9" l="1"/>
  <c r="I762" i="9" l="1"/>
  <c r="I763" i="9" l="1"/>
  <c r="I764" i="9" l="1"/>
  <c r="I765" i="9" l="1"/>
  <c r="I766" i="9" l="1"/>
  <c r="I767" i="9" l="1"/>
  <c r="I768" i="9" l="1"/>
  <c r="I769" i="9" l="1"/>
  <c r="I770" i="9" l="1"/>
  <c r="I771" i="9" l="1"/>
  <c r="I772" i="9" l="1"/>
  <c r="I773" i="9" l="1"/>
  <c r="I774" i="9" l="1"/>
  <c r="I775" i="9" l="1"/>
  <c r="I776" i="9" l="1"/>
  <c r="I777" i="9" l="1"/>
  <c r="I778" i="9" l="1"/>
  <c r="I779" i="9" l="1"/>
  <c r="I780" i="9" l="1"/>
  <c r="I781" i="9" l="1"/>
  <c r="I782" i="9" l="1"/>
  <c r="I783" i="9" l="1"/>
  <c r="I784" i="9" l="1"/>
  <c r="I785" i="9" l="1"/>
  <c r="I786" i="9" l="1"/>
  <c r="I787" i="9" l="1"/>
  <c r="I788" i="9" l="1"/>
  <c r="I789" i="9" l="1"/>
  <c r="I790" i="9" l="1"/>
  <c r="I791" i="9" l="1"/>
  <c r="I792" i="9" l="1"/>
  <c r="I793" i="9" l="1"/>
  <c r="I794" i="9" l="1"/>
  <c r="I795" i="9" l="1"/>
  <c r="I796" i="9" l="1"/>
  <c r="I797" i="9" l="1"/>
  <c r="I798" i="9" l="1"/>
  <c r="I799" i="9" l="1"/>
  <c r="I800" i="9" l="1"/>
  <c r="I801" i="9" l="1"/>
  <c r="I802" i="9" l="1"/>
  <c r="I803" i="9" l="1"/>
  <c r="I804" i="9" l="1"/>
  <c r="I805" i="9" l="1"/>
  <c r="I806" i="9" l="1"/>
  <c r="I807" i="9" l="1"/>
  <c r="I808" i="9" l="1"/>
  <c r="I809" i="9" l="1"/>
  <c r="I810" i="9" l="1"/>
  <c r="I811" i="9" l="1"/>
  <c r="I812" i="9" l="1"/>
  <c r="I813" i="9" l="1"/>
  <c r="I814" i="9" l="1"/>
  <c r="I815" i="9" l="1"/>
  <c r="I816" i="9" l="1"/>
  <c r="I817" i="9" l="1"/>
  <c r="I818" i="9" l="1"/>
  <c r="I819" i="9" l="1"/>
  <c r="I820" i="9" l="1"/>
  <c r="I821" i="9" l="1"/>
  <c r="I822" i="9" l="1"/>
  <c r="I823" i="9" l="1"/>
  <c r="I824" i="9" l="1"/>
  <c r="I825" i="9" l="1"/>
  <c r="I826" i="9" l="1"/>
  <c r="I827" i="9" l="1"/>
  <c r="I828" i="9" l="1"/>
  <c r="I829" i="9" l="1"/>
  <c r="I830" i="9" l="1"/>
  <c r="I831" i="9" l="1"/>
  <c r="I832" i="9" l="1"/>
  <c r="I833" i="9" l="1"/>
  <c r="I834" i="9" l="1"/>
  <c r="I835" i="9" l="1"/>
  <c r="I836" i="9" l="1"/>
  <c r="I837" i="9" l="1"/>
  <c r="I838" i="9" l="1"/>
  <c r="I839" i="9" l="1"/>
  <c r="I840" i="9" l="1"/>
  <c r="I841" i="9" l="1"/>
  <c r="I842" i="9" l="1"/>
  <c r="I843" i="9" l="1"/>
  <c r="I844" i="9" l="1"/>
  <c r="I845" i="9" l="1"/>
  <c r="I846" i="9" l="1"/>
  <c r="I847" i="9" l="1"/>
  <c r="I848" i="9" l="1"/>
  <c r="I849" i="9" l="1"/>
  <c r="I850" i="9" l="1"/>
  <c r="I851" i="9" l="1"/>
  <c r="I852" i="9" l="1"/>
  <c r="I853" i="9" l="1"/>
  <c r="I854" i="9" l="1"/>
  <c r="I855" i="9" l="1"/>
  <c r="I856" i="9" l="1"/>
  <c r="I857" i="9" l="1"/>
  <c r="I858" i="9" l="1"/>
  <c r="I859" i="9" l="1"/>
  <c r="I860" i="9" l="1"/>
  <c r="I861" i="9" l="1"/>
  <c r="I862" i="9" l="1"/>
  <c r="I863" i="9" l="1"/>
  <c r="I864" i="9" l="1"/>
  <c r="I865" i="9" l="1"/>
  <c r="I866" i="9" l="1"/>
  <c r="I867" i="9" l="1"/>
  <c r="I868" i="9" l="1"/>
  <c r="I869" i="9" l="1"/>
  <c r="I870" i="9" l="1"/>
  <c r="I871" i="9" l="1"/>
  <c r="I872" i="9" l="1"/>
  <c r="I873" i="9" l="1"/>
  <c r="I874" i="9" l="1"/>
  <c r="I875" i="9" l="1"/>
  <c r="I876" i="9" l="1"/>
  <c r="I877" i="9" l="1"/>
  <c r="I878" i="9" l="1"/>
  <c r="I879" i="9" l="1"/>
  <c r="I880" i="9" l="1"/>
  <c r="I881" i="9" l="1"/>
  <c r="I882" i="9" l="1"/>
  <c r="I883" i="9" l="1"/>
  <c r="I884" i="9" l="1"/>
  <c r="I885" i="9" l="1"/>
  <c r="I886" i="9" l="1"/>
  <c r="I887" i="9" l="1"/>
  <c r="I888" i="9" l="1"/>
  <c r="I889" i="9" l="1"/>
  <c r="I890" i="9" l="1"/>
  <c r="I891" i="9" l="1"/>
  <c r="I892" i="9" l="1"/>
  <c r="I893" i="9" l="1"/>
  <c r="I894" i="9" l="1"/>
  <c r="I895" i="9" l="1"/>
  <c r="I896" i="9" l="1"/>
  <c r="I897" i="9" l="1"/>
  <c r="I898" i="9" l="1"/>
  <c r="I899" i="9" l="1"/>
  <c r="I900" i="9" l="1"/>
  <c r="I901" i="9" l="1"/>
  <c r="I902" i="9" l="1"/>
  <c r="I903" i="9" l="1"/>
  <c r="I904" i="9" l="1"/>
  <c r="I905" i="9" l="1"/>
  <c r="I906" i="9" l="1"/>
  <c r="I907" i="9" l="1"/>
  <c r="I908" i="9" l="1"/>
  <c r="I909" i="9" l="1"/>
  <c r="I910" i="9" l="1"/>
  <c r="I911" i="9" l="1"/>
  <c r="I912" i="9" l="1"/>
  <c r="I913" i="9" l="1"/>
  <c r="I914" i="9" l="1"/>
  <c r="I915" i="9" l="1"/>
  <c r="I916" i="9" l="1"/>
  <c r="I917" i="9" l="1"/>
  <c r="I918" i="9" l="1"/>
  <c r="I919" i="9" l="1"/>
  <c r="I920" i="9" l="1"/>
  <c r="I921" i="9" l="1"/>
  <c r="I922" i="9" l="1"/>
  <c r="I923" i="9" l="1"/>
  <c r="I924" i="9" l="1"/>
  <c r="I925" i="9" l="1"/>
  <c r="I926" i="9" l="1"/>
  <c r="I927" i="9" l="1"/>
  <c r="I928" i="9" l="1"/>
  <c r="I929" i="9" l="1"/>
  <c r="I930" i="9" l="1"/>
  <c r="I931" i="9" l="1"/>
  <c r="I932" i="9" l="1"/>
  <c r="I933" i="9" l="1"/>
  <c r="I934" i="9" l="1"/>
  <c r="I935" i="9" l="1"/>
  <c r="I936" i="9" l="1"/>
  <c r="I937" i="9" l="1"/>
  <c r="I938" i="9" l="1"/>
  <c r="I939" i="9" l="1"/>
  <c r="I940" i="9" l="1"/>
  <c r="I941" i="9" l="1"/>
  <c r="I942" i="9" l="1"/>
  <c r="I943" i="9" l="1"/>
  <c r="I944" i="9" l="1"/>
  <c r="I945" i="9" l="1"/>
  <c r="I946" i="9" l="1"/>
  <c r="I947" i="9" l="1"/>
  <c r="I948" i="9" l="1"/>
  <c r="I949" i="9" l="1"/>
  <c r="I950" i="9" l="1"/>
  <c r="I951" i="9" l="1"/>
  <c r="I952" i="9" l="1"/>
  <c r="I953" i="9" l="1"/>
  <c r="I954" i="9" l="1"/>
  <c r="I955" i="9" l="1"/>
  <c r="I956" i="9" l="1"/>
  <c r="I957" i="9" l="1"/>
  <c r="I958" i="9" l="1"/>
  <c r="I959" i="9" l="1"/>
  <c r="I960" i="9" l="1"/>
  <c r="I961" i="9" l="1"/>
  <c r="I962" i="9" l="1"/>
  <c r="I963" i="9" l="1"/>
  <c r="I964" i="9" l="1"/>
  <c r="I965" i="9" l="1"/>
  <c r="I966" i="9" l="1"/>
  <c r="I967" i="9" l="1"/>
  <c r="I968" i="9" l="1"/>
  <c r="I969" i="9" l="1"/>
  <c r="I970" i="9" l="1"/>
  <c r="I971" i="9" l="1"/>
  <c r="I972" i="9" l="1"/>
  <c r="I973" i="9" l="1"/>
  <c r="I974" i="9" l="1"/>
  <c r="I975" i="9" l="1"/>
  <c r="I976" i="9" l="1"/>
  <c r="I977" i="9" l="1"/>
  <c r="I978" i="9" l="1"/>
  <c r="I979" i="9" l="1"/>
  <c r="I980" i="9" l="1"/>
  <c r="I981" i="9" l="1"/>
  <c r="I982" i="9" l="1"/>
  <c r="I983" i="9" l="1"/>
  <c r="I984" i="9" l="1"/>
  <c r="I985" i="9" l="1"/>
  <c r="I986" i="9" l="1"/>
  <c r="I987" i="9" l="1"/>
  <c r="I988" i="9" l="1"/>
  <c r="I989" i="9" l="1"/>
  <c r="I990" i="9" l="1"/>
  <c r="I991" i="9" l="1"/>
  <c r="I992" i="9" l="1"/>
  <c r="I993" i="9" l="1"/>
  <c r="I994" i="9" l="1"/>
  <c r="I995" i="9" l="1"/>
  <c r="I996" i="9" l="1"/>
  <c r="I997" i="9" l="1"/>
  <c r="I998" i="9" l="1"/>
  <c r="I999" i="9" l="1"/>
  <c r="I1000" i="9" l="1"/>
  <c r="I1001" i="9" l="1"/>
  <c r="I1002" i="9" l="1"/>
  <c r="I1003" i="9" l="1"/>
</calcChain>
</file>

<file path=xl/sharedStrings.xml><?xml version="1.0" encoding="utf-8"?>
<sst xmlns="http://schemas.openxmlformats.org/spreadsheetml/2006/main" count="14683" uniqueCount="45">
  <si>
    <t>PROCESS</t>
  </si>
  <si>
    <t>LYRICS</t>
  </si>
  <si>
    <t>RESULT</t>
  </si>
  <si>
    <t>STATUS</t>
  </si>
  <si>
    <t>LINE</t>
  </si>
  <si>
    <t>X</t>
  </si>
  <si>
    <t>NO</t>
  </si>
  <si>
    <t>ASS START TIME SYNC</t>
  </si>
  <si>
    <t>ASS END TIME SYNC</t>
  </si>
  <si>
    <t>1ST (,,)</t>
  </si>
  <si>
    <t>START TIME</t>
  </si>
  <si>
    <t>END TIME</t>
  </si>
  <si>
    <t>PREFIX</t>
  </si>
  <si>
    <t>STYLES</t>
  </si>
  <si>
    <t>1ST (,)</t>
  </si>
  <si>
    <t>2ND (,)</t>
  </si>
  <si>
    <t>3RD (,)</t>
  </si>
  <si>
    <t>2ND (,,)</t>
  </si>
  <si>
    <t>© 2022, Lamilavie.</t>
  </si>
  <si>
    <t>UPDATE LOG</t>
  </si>
  <si>
    <t>Version 1.2 (Feb 05, 2022)</t>
  </si>
  <si>
    <t>Version 1.0 (Jan 26, 2022)</t>
  </si>
  <si>
    <t>ABOUT PROGRAM</t>
  </si>
  <si>
    <t>Program name</t>
  </si>
  <si>
    <t>:</t>
  </si>
  <si>
    <t>SUBLRC Converter</t>
  </si>
  <si>
    <t>Version</t>
  </si>
  <si>
    <t>Lamilavie</t>
  </si>
  <si>
    <t>Features</t>
  </si>
  <si>
    <t>1.3</t>
  </si>
  <si>
    <t>Creator</t>
  </si>
  <si>
    <t>2. Convert ASS to LRC format</t>
  </si>
  <si>
    <t>3. Synchronize ASS start &amp; end time</t>
  </si>
  <si>
    <t>1. Convert LRC to ASS format</t>
  </si>
  <si>
    <t>Version 1.3 (Mar 15, 2022)</t>
  </si>
  <si>
    <t xml:space="preserve">- Macro VBA for paste, copy, and clear text added </t>
  </si>
  <si>
    <t>- LRC time stamp remover feature added</t>
  </si>
  <si>
    <t>- ASS start &amp; end time synchronizer feature added</t>
  </si>
  <si>
    <t>- Upgrade 200 to 500 edit lines</t>
  </si>
  <si>
    <t>- Rewrite a lot of formulas</t>
  </si>
  <si>
    <t>- "ABOUT" page added</t>
  </si>
  <si>
    <t>- LRC time stamp remover deleted</t>
  </si>
  <si>
    <t>- LRC to ASS format converter created</t>
  </si>
  <si>
    <t>- ASS to LRC format converter created</t>
  </si>
  <si>
    <t>- 200 edit lines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</si>
</sst>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1"/>
      <scheme val="minor"/>
    </font>
    <font>
      <sz val="11"/>
      <color rgb="FFFF0000"/>
      <name val="Calibri"/>
      <family val="2"/>
      <charset val="1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803395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A74CC1"/>
      <name val="Calibri"/>
      <family val="2"/>
      <charset val="1"/>
      <scheme val="minor"/>
    </font>
    <font>
      <b/>
      <sz val="16"/>
      <color rgb="FFA74CC1"/>
      <name val="Calibri"/>
      <family val="2"/>
      <scheme val="minor"/>
    </font>
    <font>
      <b/>
      <sz val="12"/>
      <color rgb="FFA74CC1"/>
      <name val="Calibri"/>
      <family val="2"/>
      <scheme val="minor"/>
    </font>
    <font>
      <b/>
      <sz val="14"/>
      <color rgb="FFA74CC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803395"/>
        <bgColor indexed="64"/>
      </patternFill>
    </fill>
    <fill>
      <patternFill patternType="solid">
        <fgColor rgb="FFA74CC1"/>
        <bgColor indexed="64"/>
      </patternFill>
    </fill>
    <fill>
      <patternFill patternType="solid">
        <fgColor rgb="FF660066"/>
        <bgColor indexed="64"/>
      </patternFill>
    </fill>
  </fills>
  <borders count="10">
    <border>
      <left/>
      <right/>
      <top/>
      <bottom/>
      <diagonal/>
    </border>
    <border>
      <left style="thin">
        <color rgb="FF803395"/>
      </left>
      <right/>
      <top/>
      <bottom/>
      <diagonal/>
    </border>
    <border>
      <left style="thin">
        <color rgb="FFA74CC1"/>
      </left>
      <right/>
      <top/>
      <bottom/>
      <diagonal/>
    </border>
    <border>
      <left style="thin">
        <color rgb="FFA74CC1"/>
      </left>
      <right/>
      <top style="thin">
        <color rgb="FFA74CC1"/>
      </top>
      <bottom/>
      <diagonal/>
    </border>
    <border>
      <left/>
      <right/>
      <top style="thin">
        <color rgb="FFA74CC1"/>
      </top>
      <bottom/>
      <diagonal/>
    </border>
    <border>
      <left/>
      <right style="thin">
        <color rgb="FFA74CC1"/>
      </right>
      <top style="thin">
        <color rgb="FFA74CC1"/>
      </top>
      <bottom/>
      <diagonal/>
    </border>
    <border>
      <left/>
      <right style="thin">
        <color rgb="FFA74CC1"/>
      </right>
      <top/>
      <bottom/>
      <diagonal/>
    </border>
    <border>
      <left style="thin">
        <color rgb="FFA74CC1"/>
      </left>
      <right/>
      <top/>
      <bottom style="thin">
        <color rgb="FFA74CC1"/>
      </bottom>
      <diagonal/>
    </border>
    <border>
      <left/>
      <right/>
      <top/>
      <bottom style="thin">
        <color rgb="FFA74CC1"/>
      </bottom>
      <diagonal/>
    </border>
    <border>
      <left/>
      <right style="thin">
        <color rgb="FFA74CC1"/>
      </right>
      <top/>
      <bottom style="thin">
        <color rgb="FFA74CC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2" fillId="3" borderId="0" xfId="0" applyFont="1" applyFill="1" applyAlignment="1">
      <alignment horizontal="center" vertical="center"/>
    </xf>
    <xf numFmtId="0" fontId="2" fillId="0" borderId="0" xfId="0" applyFont="1"/>
    <xf numFmtId="49" fontId="2" fillId="5" borderId="0" xfId="0" applyNumberFormat="1" applyFont="1" applyFill="1" applyProtection="1">
      <protection locked="0" hidden="1"/>
    </xf>
    <xf numFmtId="0" fontId="2" fillId="5" borderId="1" xfId="0" applyFont="1" applyFill="1" applyBorder="1" applyProtection="1">
      <protection locked="0" hidden="1"/>
    </xf>
    <xf numFmtId="0" fontId="2" fillId="6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vertical="center"/>
      <protection hidden="1"/>
    </xf>
    <xf numFmtId="49" fontId="2" fillId="4" borderId="0" xfId="0" applyNumberFormat="1" applyFont="1" applyFill="1" applyAlignment="1">
      <alignment horizontal="center" vertical="center"/>
    </xf>
    <xf numFmtId="49" fontId="2" fillId="4" borderId="0" xfId="0" applyNumberFormat="1" applyFont="1" applyFill="1" applyAlignment="1">
      <alignment horizontal="center"/>
    </xf>
    <xf numFmtId="0" fontId="2" fillId="3" borderId="0" xfId="0" applyFont="1" applyFill="1" applyAlignment="1" applyProtection="1">
      <alignment vertical="center"/>
      <protection hidden="1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5" borderId="0" xfId="0" applyNumberFormat="1" applyFont="1" applyFill="1" applyProtection="1">
      <protection locked="0"/>
    </xf>
    <xf numFmtId="0" fontId="8" fillId="3" borderId="0" xfId="0" applyFont="1" applyFill="1"/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6" fillId="3" borderId="0" xfId="0" applyFont="1" applyFill="1" applyAlignment="1">
      <alignment vertical="center"/>
    </xf>
    <xf numFmtId="49" fontId="6" fillId="3" borderId="0" xfId="0" applyNumberFormat="1" applyFont="1" applyFill="1" applyAlignment="1">
      <alignment vertical="center"/>
    </xf>
    <xf numFmtId="49" fontId="11" fillId="3" borderId="0" xfId="0" applyNumberFormat="1" applyFont="1" applyFill="1" applyAlignment="1">
      <alignment vertical="center"/>
    </xf>
    <xf numFmtId="49" fontId="12" fillId="3" borderId="0" xfId="0" applyNumberFormat="1" applyFont="1" applyFill="1" applyAlignment="1">
      <alignment vertical="center"/>
    </xf>
    <xf numFmtId="49" fontId="2" fillId="3" borderId="0" xfId="0" applyNumberFormat="1" applyFont="1" applyFill="1" applyAlignment="1">
      <alignment vertical="center"/>
    </xf>
    <xf numFmtId="0" fontId="6" fillId="3" borderId="2" xfId="0" applyFont="1" applyFill="1" applyBorder="1" applyAlignment="1">
      <alignment vertical="center"/>
    </xf>
    <xf numFmtId="0" fontId="10" fillId="3" borderId="3" xfId="0" applyFont="1" applyFill="1" applyBorder="1" applyAlignment="1">
      <alignment vertical="center"/>
    </xf>
    <xf numFmtId="49" fontId="11" fillId="3" borderId="4" xfId="0" applyNumberFormat="1" applyFont="1" applyFill="1" applyBorder="1" applyAlignment="1">
      <alignment vertical="center"/>
    </xf>
    <xf numFmtId="49" fontId="11" fillId="3" borderId="5" xfId="0" applyNumberFormat="1" applyFont="1" applyFill="1" applyBorder="1" applyAlignment="1">
      <alignment vertical="center"/>
    </xf>
    <xf numFmtId="49" fontId="6" fillId="3" borderId="6" xfId="0" applyNumberFormat="1" applyFont="1" applyFill="1" applyBorder="1" applyAlignment="1">
      <alignment vertical="center"/>
    </xf>
    <xf numFmtId="0" fontId="6" fillId="3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49" fontId="6" fillId="3" borderId="8" xfId="0" applyNumberFormat="1" applyFont="1" applyFill="1" applyBorder="1" applyAlignment="1">
      <alignment vertical="center"/>
    </xf>
    <xf numFmtId="49" fontId="6" fillId="3" borderId="9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left" vertical="center"/>
    </xf>
    <xf numFmtId="0" fontId="6" fillId="3" borderId="5" xfId="0" applyFont="1" applyFill="1" applyBorder="1" applyAlignment="1">
      <alignment vertical="center"/>
    </xf>
    <xf numFmtId="0" fontId="6" fillId="3" borderId="6" xfId="0" applyFont="1" applyFill="1" applyBorder="1" applyAlignment="1">
      <alignment vertical="center"/>
    </xf>
    <xf numFmtId="0" fontId="6" fillId="3" borderId="9" xfId="0" applyFont="1" applyFill="1" applyBorder="1" applyAlignment="1">
      <alignment vertical="center"/>
    </xf>
    <xf numFmtId="0" fontId="0" fillId="2" borderId="0" xfId="0" applyFill="1" applyAlignment="1">
      <alignment horizontal="center"/>
    </xf>
    <xf numFmtId="0" fontId="5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74CC1"/>
      <color rgb="FF803395"/>
      <color rgb="FF660066"/>
      <color rgb="FF990099"/>
      <color rgb="FFCC66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SS END SYNC'!E8"/><Relationship Id="rId3" Type="http://schemas.openxmlformats.org/officeDocument/2006/relationships/hyperlink" Target="#'LRC TO ASS'!E8"/><Relationship Id="rId7" Type="http://schemas.openxmlformats.org/officeDocument/2006/relationships/hyperlink" Target="#'ASS START SYNC'!E8"/><Relationship Id="rId2" Type="http://schemas.openxmlformats.org/officeDocument/2006/relationships/image" Target="../media/image1.png"/><Relationship Id="rId1" Type="http://schemas.openxmlformats.org/officeDocument/2006/relationships/hyperlink" Target="#ABOUT!A1"/><Relationship Id="rId6" Type="http://schemas.openxmlformats.org/officeDocument/2006/relationships/image" Target="../media/image3.png"/><Relationship Id="rId5" Type="http://schemas.openxmlformats.org/officeDocument/2006/relationships/hyperlink" Target="#'ASS TO LRC'!E8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ASHBOARD!C9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ASHBOARD!C9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ASHBOARD!C9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ASHBOARD!C9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149667</xdr:colOff>
      <xdr:row>8</xdr:row>
      <xdr:rowOff>63868</xdr:rowOff>
    </xdr:from>
    <xdr:to>
      <xdr:col>9</xdr:col>
      <xdr:colOff>555184</xdr:colOff>
      <xdr:row>16</xdr:row>
      <xdr:rowOff>165413</xdr:rowOff>
    </xdr:to>
    <xdr:grpSp>
      <xdr:nvGrpSpPr>
        <xdr:cNvPr id="6" name="Group 5">
          <a:hlinkClick xmlns:r="http://schemas.openxmlformats.org/officeDocument/2006/relationships" r:id="rId1" tooltip="About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368867" y="1587868"/>
          <a:ext cx="4672717" cy="1625545"/>
          <a:chOff x="4162425" y="2041843"/>
          <a:chExt cx="4672717" cy="1625545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/>
        </xdr:nvSpPr>
        <xdr:spPr>
          <a:xfrm>
            <a:off x="5886450" y="2041843"/>
            <a:ext cx="2521588" cy="8157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4000" b="1">
                <a:solidFill>
                  <a:srgbClr val="A74CC1"/>
                </a:solidFill>
                <a:latin typeface="Arial Black" panose="020B0A04020102020204" pitchFamily="34" charset="0"/>
              </a:rPr>
              <a:t>SUBLRC</a:t>
            </a: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62425" y="2158087"/>
            <a:ext cx="1440000" cy="14400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886450" y="2603818"/>
            <a:ext cx="2948692" cy="8157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4000" b="1">
                <a:solidFill>
                  <a:srgbClr val="A74CC1"/>
                </a:solidFill>
                <a:effectLst/>
                <a:latin typeface="Arial Black" panose="020B0A04020102020204" pitchFamily="34" charset="0"/>
                <a:ea typeface="+mn-ea"/>
                <a:cs typeface="+mn-cs"/>
              </a:rPr>
              <a:t>Converter</a:t>
            </a:r>
            <a:endParaRPr lang="en-US" sz="4000">
              <a:solidFill>
                <a:srgbClr val="A74CC1"/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5943600" y="3213418"/>
            <a:ext cx="1723485" cy="4539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 b="1">
                <a:solidFill>
                  <a:srgbClr val="A74CC1"/>
                </a:solidFill>
                <a:effectLst/>
                <a:latin typeface="Arial Black" panose="020B0A04020102020204" pitchFamily="34" charset="0"/>
                <a:ea typeface="+mn-ea"/>
                <a:cs typeface="+mn-cs"/>
              </a:rPr>
              <a:t>version 1.3</a:t>
            </a:r>
            <a:endParaRPr lang="en-US" sz="2000">
              <a:solidFill>
                <a:srgbClr val="A74CC1"/>
              </a:solidFill>
              <a:effectLst/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13</xdr:col>
      <xdr:colOff>113548</xdr:colOff>
      <xdr:row>3</xdr:row>
      <xdr:rowOff>15982</xdr:rowOff>
    </xdr:from>
    <xdr:to>
      <xdr:col>15</xdr:col>
      <xdr:colOff>514348</xdr:colOff>
      <xdr:row>11</xdr:row>
      <xdr:rowOff>111982</xdr:rowOff>
    </xdr:to>
    <xdr:grpSp>
      <xdr:nvGrpSpPr>
        <xdr:cNvPr id="3" name="Group 2">
          <a:hlinkClick xmlns:r="http://schemas.openxmlformats.org/officeDocument/2006/relationships" r:id="rId3" tooltip="Change LRC to ASS format, then paste to Aegisub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8038348" y="587482"/>
          <a:ext cx="1620000" cy="1620000"/>
          <a:chOff x="7114423" y="711307"/>
          <a:chExt cx="1620000" cy="162000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114423" y="711307"/>
            <a:ext cx="1620000" cy="1620000"/>
          </a:xfrm>
          <a:prstGeom prst="rect">
            <a:avLst/>
          </a:prstGeom>
          <a:solidFill>
            <a:srgbClr val="6600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 i="0" u="none">
                <a:latin typeface="Arial Black" panose="020B0A04020102020204" pitchFamily="34" charset="0"/>
              </a:rPr>
              <a:t>CONVERT</a:t>
            </a:r>
          </a:p>
          <a:p>
            <a:pPr algn="ctr"/>
            <a:r>
              <a:rPr lang="en-US" sz="1600" b="1" i="0" u="none">
                <a:latin typeface="Arial Black" panose="020B0A04020102020204" pitchFamily="34" charset="0"/>
              </a:rPr>
              <a:t>LRC</a:t>
            </a:r>
            <a:r>
              <a:rPr lang="en-US" sz="1600" b="1" i="0" u="none" baseline="0">
                <a:latin typeface="Arial Black" panose="020B0A04020102020204" pitchFamily="34" charset="0"/>
              </a:rPr>
              <a:t> TO ASS</a:t>
            </a:r>
            <a:endParaRPr lang="en-US" sz="1600" b="1" i="0" u="none">
              <a:latin typeface="Arial Black" panose="020B0A04020102020204" pitchFamily="34" charset="0"/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7114423" y="711307"/>
            <a:ext cx="1620000" cy="1620000"/>
          </a:xfrm>
          <a:prstGeom prst="rect">
            <a:avLst/>
          </a:prstGeom>
          <a:blipFill dpi="0" rotWithShape="1">
            <a:blip xmlns:r="http://schemas.openxmlformats.org/officeDocument/2006/relationships" r:embed="rId4">
              <a:alphaModFix amt="25000"/>
            </a:blip>
            <a:srcRect/>
            <a:stretch>
              <a:fillRect l="15000" t="15000" r="15000" b="15000"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16</xdr:col>
      <xdr:colOff>242887</xdr:colOff>
      <xdr:row>3</xdr:row>
      <xdr:rowOff>15982</xdr:rowOff>
    </xdr:from>
    <xdr:to>
      <xdr:col>19</xdr:col>
      <xdr:colOff>34087</xdr:colOff>
      <xdr:row>11</xdr:row>
      <xdr:rowOff>111982</xdr:rowOff>
    </xdr:to>
    <xdr:grpSp>
      <xdr:nvGrpSpPr>
        <xdr:cNvPr id="11" name="Group 10">
          <a:hlinkClick xmlns:r="http://schemas.openxmlformats.org/officeDocument/2006/relationships" r:id="rId5" tooltip="Change ASS to LRC format, then paste to notepad and save as LRC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996487" y="587482"/>
          <a:ext cx="1620000" cy="1620000"/>
          <a:chOff x="10125074" y="697019"/>
          <a:chExt cx="1620000" cy="1620000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0125074" y="697019"/>
            <a:ext cx="1620000" cy="1620000"/>
          </a:xfrm>
          <a:prstGeom prst="rect">
            <a:avLst/>
          </a:prstGeom>
          <a:solidFill>
            <a:srgbClr val="80339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atin typeface="Arial Black" panose="020B0A04020102020204" pitchFamily="34" charset="0"/>
              </a:rPr>
              <a:t>CONVERT</a:t>
            </a:r>
          </a:p>
          <a:p>
            <a:pPr algn="ctr"/>
            <a:r>
              <a:rPr lang="en-US" sz="1600" b="1">
                <a:latin typeface="Arial Black" panose="020B0A04020102020204" pitchFamily="34" charset="0"/>
              </a:rPr>
              <a:t>ASS TO LRC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0125074" y="697019"/>
            <a:ext cx="1620000" cy="1620000"/>
          </a:xfrm>
          <a:prstGeom prst="rect">
            <a:avLst/>
          </a:prstGeom>
          <a:blipFill dpi="0" rotWithShape="1">
            <a:blip xmlns:r="http://schemas.openxmlformats.org/officeDocument/2006/relationships" r:embed="rId6">
              <a:alphaModFix amt="25000"/>
            </a:blip>
            <a:srcRect/>
            <a:stretch>
              <a:fillRect l="15000" t="15000" r="15000" b="15000"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13</xdr:col>
      <xdr:colOff>113548</xdr:colOff>
      <xdr:row>13</xdr:row>
      <xdr:rowOff>63918</xdr:rowOff>
    </xdr:from>
    <xdr:to>
      <xdr:col>15</xdr:col>
      <xdr:colOff>514348</xdr:colOff>
      <xdr:row>21</xdr:row>
      <xdr:rowOff>159918</xdr:rowOff>
    </xdr:to>
    <xdr:grpSp>
      <xdr:nvGrpSpPr>
        <xdr:cNvPr id="9" name="Group 8">
          <a:hlinkClick xmlns:r="http://schemas.openxmlformats.org/officeDocument/2006/relationships" r:id="rId7" tooltip="Synchronize ASS start time with end time of the latest line before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8038348" y="2540418"/>
          <a:ext cx="1620000" cy="1620000"/>
          <a:chOff x="6890586" y="2697892"/>
          <a:chExt cx="1620000" cy="1620000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6890586" y="2697892"/>
            <a:ext cx="1620000" cy="1620000"/>
          </a:xfrm>
          <a:prstGeom prst="rect">
            <a:avLst/>
          </a:prstGeom>
          <a:solidFill>
            <a:srgbClr val="803395"/>
          </a:solidFill>
          <a:ln>
            <a:solidFill>
              <a:srgbClr val="A74CC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latin typeface="Arial Black" panose="020B0A04020102020204" pitchFamily="34" charset="0"/>
              </a:rPr>
              <a:t>SYNC ASS START TIME</a:t>
            </a:r>
            <a:r>
              <a:rPr lang="en-US" sz="1600" baseline="0">
                <a:latin typeface="Arial Black" panose="020B0A04020102020204" pitchFamily="34" charset="0"/>
              </a:rPr>
              <a:t> </a:t>
            </a:r>
            <a:endParaRPr lang="en-US" sz="1600">
              <a:latin typeface="Arial Black" panose="020B0A04020102020204" pitchFamily="34" charset="0"/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890586" y="2697892"/>
            <a:ext cx="1620000" cy="1620000"/>
          </a:xfrm>
          <a:prstGeom prst="rect">
            <a:avLst/>
          </a:prstGeom>
          <a:blipFill dpi="0" rotWithShape="1">
            <a:blip xmlns:r="http://schemas.openxmlformats.org/officeDocument/2006/relationships" r:embed="rId6">
              <a:alphaModFix amt="25000"/>
            </a:blip>
            <a:srcRect/>
            <a:stretch>
              <a:fillRect l="15000" t="15000" r="15000" b="15000"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16</xdr:col>
      <xdr:colOff>242887</xdr:colOff>
      <xdr:row>13</xdr:row>
      <xdr:rowOff>63918</xdr:rowOff>
    </xdr:from>
    <xdr:to>
      <xdr:col>19</xdr:col>
      <xdr:colOff>34087</xdr:colOff>
      <xdr:row>21</xdr:row>
      <xdr:rowOff>159918</xdr:rowOff>
    </xdr:to>
    <xdr:grpSp>
      <xdr:nvGrpSpPr>
        <xdr:cNvPr id="4" name="Group 3">
          <a:hlinkClick xmlns:r="http://schemas.openxmlformats.org/officeDocument/2006/relationships" r:id="rId8" tooltip="Synchronize ASS end time with start time of next line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996487" y="2540418"/>
          <a:ext cx="1620000" cy="1620000"/>
          <a:chOff x="5071686" y="3774909"/>
          <a:chExt cx="1620000" cy="162000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5071686" y="3774909"/>
            <a:ext cx="1620000" cy="1620000"/>
          </a:xfrm>
          <a:prstGeom prst="rect">
            <a:avLst/>
          </a:prstGeom>
          <a:solidFill>
            <a:srgbClr val="6600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 i="0" u="none">
                <a:latin typeface="Arial Black" panose="020B0A04020102020204" pitchFamily="34" charset="0"/>
              </a:rPr>
              <a:t>SYNC ASS</a:t>
            </a:r>
          </a:p>
          <a:p>
            <a:pPr algn="ctr"/>
            <a:r>
              <a:rPr lang="en-US" sz="1600" b="1" i="0" u="none">
                <a:latin typeface="Arial Black" panose="020B0A04020102020204" pitchFamily="34" charset="0"/>
              </a:rPr>
              <a:t>END TIME</a:t>
            </a: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5071686" y="3774909"/>
            <a:ext cx="1620000" cy="1620000"/>
          </a:xfrm>
          <a:prstGeom prst="rect">
            <a:avLst/>
          </a:prstGeom>
          <a:blipFill dpi="0" rotWithShape="1">
            <a:blip xmlns:r="http://schemas.openxmlformats.org/officeDocument/2006/relationships" r:embed="rId4">
              <a:alphaModFix amt="25000"/>
            </a:blip>
            <a:srcRect/>
            <a:stretch>
              <a:fillRect l="15000" t="15000" r="15000" b="15000"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561975</xdr:colOff>
      <xdr:row>1</xdr:row>
      <xdr:rowOff>40044</xdr:rowOff>
    </xdr:from>
    <xdr:to>
      <xdr:col>4</xdr:col>
      <xdr:colOff>4638761</xdr:colOff>
      <xdr:row>4</xdr:row>
      <xdr:rowOff>199764</xdr:rowOff>
    </xdr:to>
    <xdr:grpSp>
      <xdr:nvGrpSpPr>
        <xdr:cNvPr id="14" name="Group 13">
          <a:hlinkClick xmlns:r="http://schemas.openxmlformats.org/officeDocument/2006/relationships" r:id="rId1" tooltip="Dashboard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942975" y="240069"/>
          <a:ext cx="4076786" cy="759795"/>
          <a:chOff x="942975" y="249594"/>
          <a:chExt cx="4076786" cy="759795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4380439" y="671464"/>
            <a:ext cx="505972" cy="291234"/>
          </a:xfrm>
          <a:prstGeom prst="rect">
            <a:avLst/>
          </a:prstGeom>
          <a:solidFill>
            <a:srgbClr val="803395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 b="1">
                <a:solidFill>
                  <a:schemeClr val="bg1"/>
                </a:solidFill>
                <a:effectLst/>
                <a:latin typeface="Arial Black" panose="020B0A04020102020204" pitchFamily="34" charset="0"/>
                <a:ea typeface="+mn-ea"/>
                <a:cs typeface="+mn-cs"/>
              </a:rPr>
              <a:t>v1.3</a:t>
            </a:r>
            <a:endParaRPr lang="en-US" sz="1100">
              <a:solidFill>
                <a:schemeClr val="bg1"/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800225" y="264312"/>
            <a:ext cx="3219536" cy="4539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US" sz="2000" b="1">
                <a:solidFill>
                  <a:srgbClr val="A74CC1"/>
                </a:solidFill>
                <a:latin typeface="Arial Black" panose="020B0A04020102020204" pitchFamily="34" charset="0"/>
              </a:rPr>
              <a:t>SUBLRC CONVERTER</a:t>
            </a:r>
          </a:p>
        </xdr:txBody>
      </xdr:sp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2975" y="249594"/>
            <a:ext cx="720000" cy="720000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800225" y="609600"/>
            <a:ext cx="2546595" cy="399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700" b="1">
                <a:solidFill>
                  <a:srgbClr val="803395"/>
                </a:solidFill>
                <a:effectLst/>
                <a:latin typeface="Arial Black" panose="020B0A04020102020204" pitchFamily="34" charset="0"/>
                <a:ea typeface="+mn-ea"/>
                <a:cs typeface="Arial" panose="020B0604020202020204" pitchFamily="34" charset="0"/>
              </a:rPr>
              <a:t>Convert</a:t>
            </a:r>
            <a:r>
              <a:rPr lang="en-US" sz="1700" b="1" baseline="0">
                <a:solidFill>
                  <a:srgbClr val="803395"/>
                </a:solidFill>
                <a:effectLst/>
                <a:latin typeface="Arial Black" panose="020B0A040201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en-US" sz="1700" b="1">
                <a:solidFill>
                  <a:srgbClr val="803395"/>
                </a:solidFill>
                <a:effectLst/>
                <a:latin typeface="Arial Black" panose="020B0A04020102020204" pitchFamily="34" charset="0"/>
                <a:ea typeface="+mn-ea"/>
                <a:cs typeface="Arial" panose="020B0604020202020204" pitchFamily="34" charset="0"/>
              </a:rPr>
              <a:t>LRC to ASS</a:t>
            </a:r>
            <a:endParaRPr lang="en-US" sz="1700" b="1">
              <a:solidFill>
                <a:srgbClr val="803395"/>
              </a:solidFill>
              <a:effectLst/>
              <a:latin typeface="Arial Black" panose="020B0A040201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3938587</xdr:colOff>
      <xdr:row>2</xdr:row>
      <xdr:rowOff>47625</xdr:rowOff>
    </xdr:from>
    <xdr:to>
      <xdr:col>5</xdr:col>
      <xdr:colOff>5198587</xdr:colOff>
      <xdr:row>4</xdr:row>
      <xdr:rowOff>7575</xdr:rowOff>
    </xdr:to>
    <xdr:sp macro="[0]!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501312" y="447675"/>
          <a:ext cx="1260000" cy="3600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</a:p>
      </xdr:txBody>
    </xdr:sp>
    <xdr:clientData/>
  </xdr:twoCellAnchor>
  <xdr:twoCellAnchor editAs="absolute">
    <xdr:from>
      <xdr:col>5</xdr:col>
      <xdr:colOff>2425699</xdr:colOff>
      <xdr:row>2</xdr:row>
      <xdr:rowOff>47625</xdr:rowOff>
    </xdr:from>
    <xdr:to>
      <xdr:col>5</xdr:col>
      <xdr:colOff>3685699</xdr:colOff>
      <xdr:row>4</xdr:row>
      <xdr:rowOff>7575</xdr:rowOff>
    </xdr:to>
    <xdr:sp macro="[0]!Copy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988424" y="447675"/>
          <a:ext cx="1260000" cy="360000"/>
        </a:xfrm>
        <a:prstGeom prst="roundRect">
          <a:avLst/>
        </a:prstGeom>
        <a:solidFill>
          <a:srgbClr val="80339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COPY</a:t>
          </a:r>
        </a:p>
      </xdr:txBody>
    </xdr:sp>
    <xdr:clientData/>
  </xdr:twoCellAnchor>
  <xdr:twoCellAnchor editAs="absolute">
    <xdr:from>
      <xdr:col>5</xdr:col>
      <xdr:colOff>838200</xdr:colOff>
      <xdr:row>2</xdr:row>
      <xdr:rowOff>47625</xdr:rowOff>
    </xdr:from>
    <xdr:to>
      <xdr:col>5</xdr:col>
      <xdr:colOff>2098200</xdr:colOff>
      <xdr:row>4</xdr:row>
      <xdr:rowOff>7575</xdr:rowOff>
    </xdr:to>
    <xdr:sp macro="[0]!Past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400925" y="447675"/>
          <a:ext cx="1260000" cy="360000"/>
        </a:xfrm>
        <a:prstGeom prst="roundRect">
          <a:avLst/>
        </a:prstGeom>
        <a:solidFill>
          <a:srgbClr val="80339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PASTE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561975</xdr:colOff>
      <xdr:row>1</xdr:row>
      <xdr:rowOff>40044</xdr:rowOff>
    </xdr:from>
    <xdr:to>
      <xdr:col>4</xdr:col>
      <xdr:colOff>4638761</xdr:colOff>
      <xdr:row>4</xdr:row>
      <xdr:rowOff>199764</xdr:rowOff>
    </xdr:to>
    <xdr:grpSp>
      <xdr:nvGrpSpPr>
        <xdr:cNvPr id="2" name="Group 1">
          <a:hlinkClick xmlns:r="http://schemas.openxmlformats.org/officeDocument/2006/relationships" r:id="rId1" tooltip="Dashboard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42975" y="240069"/>
          <a:ext cx="4076786" cy="759795"/>
          <a:chOff x="942975" y="249594"/>
          <a:chExt cx="4076786" cy="75979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380439" y="671464"/>
            <a:ext cx="505972" cy="291234"/>
          </a:xfrm>
          <a:prstGeom prst="rect">
            <a:avLst/>
          </a:prstGeom>
          <a:solidFill>
            <a:srgbClr val="803395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 b="1">
                <a:solidFill>
                  <a:schemeClr val="bg1"/>
                </a:solidFill>
                <a:effectLst/>
                <a:latin typeface="Arial Black" panose="020B0A04020102020204" pitchFamily="34" charset="0"/>
                <a:ea typeface="+mn-ea"/>
                <a:cs typeface="+mn-cs"/>
              </a:rPr>
              <a:t>v1.3</a:t>
            </a:r>
            <a:endParaRPr lang="en-US" sz="1100">
              <a:solidFill>
                <a:schemeClr val="bg1"/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1800225" y="264312"/>
            <a:ext cx="3219536" cy="4539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US" sz="2000" b="1">
                <a:solidFill>
                  <a:srgbClr val="A74CC1"/>
                </a:solidFill>
                <a:latin typeface="Arial Black" panose="020B0A04020102020204" pitchFamily="34" charset="0"/>
              </a:rPr>
              <a:t>SUBLRC CONVERTER</a:t>
            </a: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2975" y="249594"/>
            <a:ext cx="720000" cy="720000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1800225" y="609600"/>
            <a:ext cx="2546595" cy="399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700" b="1">
                <a:solidFill>
                  <a:srgbClr val="803395"/>
                </a:solidFill>
                <a:effectLst/>
                <a:latin typeface="Arial Black" panose="020B0A04020102020204" pitchFamily="34" charset="0"/>
                <a:ea typeface="+mn-ea"/>
                <a:cs typeface="Arial" panose="020B0604020202020204" pitchFamily="34" charset="0"/>
              </a:rPr>
              <a:t>Convert</a:t>
            </a:r>
            <a:r>
              <a:rPr lang="en-US" sz="1700" b="1" baseline="0">
                <a:solidFill>
                  <a:srgbClr val="803395"/>
                </a:solidFill>
                <a:effectLst/>
                <a:latin typeface="Arial Black" panose="020B0A04020102020204" pitchFamily="34" charset="0"/>
                <a:ea typeface="+mn-ea"/>
                <a:cs typeface="Arial" panose="020B0604020202020204" pitchFamily="34" charset="0"/>
              </a:rPr>
              <a:t> ASS </a:t>
            </a:r>
            <a:r>
              <a:rPr lang="en-US" sz="1700" b="1">
                <a:solidFill>
                  <a:srgbClr val="803395"/>
                </a:solidFill>
                <a:effectLst/>
                <a:latin typeface="Arial Black" panose="020B0A04020102020204" pitchFamily="34" charset="0"/>
                <a:ea typeface="+mn-ea"/>
                <a:cs typeface="Arial" panose="020B0604020202020204" pitchFamily="34" charset="0"/>
              </a:rPr>
              <a:t>to LRC</a:t>
            </a:r>
            <a:endParaRPr lang="en-US" sz="1700" b="1">
              <a:solidFill>
                <a:srgbClr val="803395"/>
              </a:solidFill>
              <a:effectLst/>
              <a:latin typeface="Arial Black" panose="020B0A040201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3938587</xdr:colOff>
      <xdr:row>2</xdr:row>
      <xdr:rowOff>47625</xdr:rowOff>
    </xdr:from>
    <xdr:to>
      <xdr:col>5</xdr:col>
      <xdr:colOff>5198587</xdr:colOff>
      <xdr:row>4</xdr:row>
      <xdr:rowOff>7575</xdr:rowOff>
    </xdr:to>
    <xdr:sp macro="[0]!Clear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501312" y="447675"/>
          <a:ext cx="1260000" cy="3600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</a:p>
      </xdr:txBody>
    </xdr:sp>
    <xdr:clientData/>
  </xdr:twoCellAnchor>
  <xdr:twoCellAnchor editAs="absolute">
    <xdr:from>
      <xdr:col>5</xdr:col>
      <xdr:colOff>2425699</xdr:colOff>
      <xdr:row>2</xdr:row>
      <xdr:rowOff>47625</xdr:rowOff>
    </xdr:from>
    <xdr:to>
      <xdr:col>5</xdr:col>
      <xdr:colOff>3685699</xdr:colOff>
      <xdr:row>4</xdr:row>
      <xdr:rowOff>7575</xdr:rowOff>
    </xdr:to>
    <xdr:sp macro="[0]!Copy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8988424" y="447675"/>
          <a:ext cx="1260000" cy="360000"/>
        </a:xfrm>
        <a:prstGeom prst="roundRect">
          <a:avLst/>
        </a:prstGeom>
        <a:solidFill>
          <a:srgbClr val="80339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COPY</a:t>
          </a:r>
        </a:p>
      </xdr:txBody>
    </xdr:sp>
    <xdr:clientData/>
  </xdr:twoCellAnchor>
  <xdr:twoCellAnchor editAs="absolute">
    <xdr:from>
      <xdr:col>5</xdr:col>
      <xdr:colOff>838200</xdr:colOff>
      <xdr:row>2</xdr:row>
      <xdr:rowOff>47625</xdr:rowOff>
    </xdr:from>
    <xdr:to>
      <xdr:col>5</xdr:col>
      <xdr:colOff>2098200</xdr:colOff>
      <xdr:row>4</xdr:row>
      <xdr:rowOff>7575</xdr:rowOff>
    </xdr:to>
    <xdr:sp macro="[0]!Paste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400925" y="447675"/>
          <a:ext cx="1260000" cy="360000"/>
        </a:xfrm>
        <a:prstGeom prst="roundRect">
          <a:avLst/>
        </a:prstGeom>
        <a:solidFill>
          <a:srgbClr val="80339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PASTE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561975</xdr:colOff>
      <xdr:row>1</xdr:row>
      <xdr:rowOff>40044</xdr:rowOff>
    </xdr:from>
    <xdr:to>
      <xdr:col>4</xdr:col>
      <xdr:colOff>4638761</xdr:colOff>
      <xdr:row>4</xdr:row>
      <xdr:rowOff>199764</xdr:rowOff>
    </xdr:to>
    <xdr:grpSp>
      <xdr:nvGrpSpPr>
        <xdr:cNvPr id="2" name="Group 1">
          <a:hlinkClick xmlns:r="http://schemas.openxmlformats.org/officeDocument/2006/relationships" r:id="rId1" tooltip="Dashboard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42975" y="240069"/>
          <a:ext cx="4076786" cy="759795"/>
          <a:chOff x="942975" y="249594"/>
          <a:chExt cx="4076786" cy="75979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4380439" y="671464"/>
            <a:ext cx="505972" cy="291234"/>
          </a:xfrm>
          <a:prstGeom prst="rect">
            <a:avLst/>
          </a:prstGeom>
          <a:solidFill>
            <a:srgbClr val="803395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 b="1">
                <a:solidFill>
                  <a:schemeClr val="bg1"/>
                </a:solidFill>
                <a:effectLst/>
                <a:latin typeface="Arial Black" panose="020B0A04020102020204" pitchFamily="34" charset="0"/>
                <a:ea typeface="+mn-ea"/>
                <a:cs typeface="+mn-cs"/>
              </a:rPr>
              <a:t>v1.3</a:t>
            </a:r>
            <a:endParaRPr lang="en-US" sz="1100">
              <a:solidFill>
                <a:schemeClr val="bg1"/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800225" y="264312"/>
            <a:ext cx="3219536" cy="4539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US" sz="2000" b="1">
                <a:solidFill>
                  <a:srgbClr val="A74CC1"/>
                </a:solidFill>
                <a:latin typeface="Arial Black" panose="020B0A04020102020204" pitchFamily="34" charset="0"/>
              </a:rPr>
              <a:t>SUBLRC CONVERTER</a:t>
            </a: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2975" y="249594"/>
            <a:ext cx="720000" cy="720000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 txBox="1"/>
        </xdr:nvSpPr>
        <xdr:spPr>
          <a:xfrm>
            <a:off x="1800225" y="609600"/>
            <a:ext cx="2546595" cy="399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700" b="1" baseline="0">
                <a:solidFill>
                  <a:srgbClr val="803395"/>
                </a:solidFill>
                <a:effectLst/>
                <a:latin typeface="Arial Black" panose="020B0A04020102020204" pitchFamily="34" charset="0"/>
                <a:ea typeface="+mn-ea"/>
                <a:cs typeface="Arial" panose="020B0604020202020204" pitchFamily="34" charset="0"/>
              </a:rPr>
              <a:t>ASS Start Time Sync</a:t>
            </a:r>
            <a:endParaRPr lang="en-US" sz="1700" b="1">
              <a:solidFill>
                <a:srgbClr val="803395"/>
              </a:solidFill>
              <a:effectLst/>
              <a:latin typeface="Arial Black" panose="020B0A040201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3938587</xdr:colOff>
      <xdr:row>2</xdr:row>
      <xdr:rowOff>47625</xdr:rowOff>
    </xdr:from>
    <xdr:to>
      <xdr:col>5</xdr:col>
      <xdr:colOff>5198587</xdr:colOff>
      <xdr:row>4</xdr:row>
      <xdr:rowOff>7575</xdr:rowOff>
    </xdr:to>
    <xdr:sp macro="[0]!Clear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0501312" y="447675"/>
          <a:ext cx="1260000" cy="3600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</a:p>
      </xdr:txBody>
    </xdr:sp>
    <xdr:clientData/>
  </xdr:twoCellAnchor>
  <xdr:twoCellAnchor editAs="absolute">
    <xdr:from>
      <xdr:col>5</xdr:col>
      <xdr:colOff>2425699</xdr:colOff>
      <xdr:row>2</xdr:row>
      <xdr:rowOff>47625</xdr:rowOff>
    </xdr:from>
    <xdr:to>
      <xdr:col>5</xdr:col>
      <xdr:colOff>3685699</xdr:colOff>
      <xdr:row>4</xdr:row>
      <xdr:rowOff>7575</xdr:rowOff>
    </xdr:to>
    <xdr:sp macro="[0]!Copy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8988424" y="447675"/>
          <a:ext cx="1260000" cy="360000"/>
        </a:xfrm>
        <a:prstGeom prst="roundRect">
          <a:avLst/>
        </a:prstGeom>
        <a:solidFill>
          <a:srgbClr val="80339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COPY</a:t>
          </a:r>
        </a:p>
      </xdr:txBody>
    </xdr:sp>
    <xdr:clientData/>
  </xdr:twoCellAnchor>
  <xdr:twoCellAnchor editAs="absolute">
    <xdr:from>
      <xdr:col>5</xdr:col>
      <xdr:colOff>838200</xdr:colOff>
      <xdr:row>2</xdr:row>
      <xdr:rowOff>47625</xdr:rowOff>
    </xdr:from>
    <xdr:to>
      <xdr:col>5</xdr:col>
      <xdr:colOff>2098200</xdr:colOff>
      <xdr:row>4</xdr:row>
      <xdr:rowOff>7575</xdr:rowOff>
    </xdr:to>
    <xdr:sp macro="[0]!Paste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7400925" y="447675"/>
          <a:ext cx="1260000" cy="360000"/>
        </a:xfrm>
        <a:prstGeom prst="roundRect">
          <a:avLst/>
        </a:prstGeom>
        <a:solidFill>
          <a:srgbClr val="80339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PASTE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561975</xdr:colOff>
      <xdr:row>1</xdr:row>
      <xdr:rowOff>40044</xdr:rowOff>
    </xdr:from>
    <xdr:to>
      <xdr:col>4</xdr:col>
      <xdr:colOff>4638761</xdr:colOff>
      <xdr:row>4</xdr:row>
      <xdr:rowOff>199764</xdr:rowOff>
    </xdr:to>
    <xdr:grpSp>
      <xdr:nvGrpSpPr>
        <xdr:cNvPr id="2" name="Group 1">
          <a:hlinkClick xmlns:r="http://schemas.openxmlformats.org/officeDocument/2006/relationships" r:id="rId1" tooltip="Dashboard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942975" y="240069"/>
          <a:ext cx="4076786" cy="759795"/>
          <a:chOff x="942975" y="249594"/>
          <a:chExt cx="4076786" cy="75979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380439" y="671464"/>
            <a:ext cx="505972" cy="291234"/>
          </a:xfrm>
          <a:prstGeom prst="rect">
            <a:avLst/>
          </a:prstGeom>
          <a:solidFill>
            <a:srgbClr val="803395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 b="1">
                <a:solidFill>
                  <a:schemeClr val="bg1"/>
                </a:solidFill>
                <a:effectLst/>
                <a:latin typeface="Arial Black" panose="020B0A04020102020204" pitchFamily="34" charset="0"/>
                <a:ea typeface="+mn-ea"/>
                <a:cs typeface="+mn-cs"/>
              </a:rPr>
              <a:t>v1.3</a:t>
            </a:r>
            <a:endParaRPr lang="en-US" sz="1100">
              <a:solidFill>
                <a:schemeClr val="bg1"/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800225" y="264312"/>
            <a:ext cx="3219536" cy="4539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US" sz="2000" b="1">
                <a:solidFill>
                  <a:srgbClr val="A74CC1"/>
                </a:solidFill>
                <a:latin typeface="Arial Black" panose="020B0A04020102020204" pitchFamily="34" charset="0"/>
              </a:rPr>
              <a:t>SUBLRC CONVERTER</a:t>
            </a: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2975" y="249594"/>
            <a:ext cx="720000" cy="720000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1800225" y="609600"/>
            <a:ext cx="2546595" cy="399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700" b="1" baseline="0">
                <a:solidFill>
                  <a:srgbClr val="803395"/>
                </a:solidFill>
                <a:effectLst/>
                <a:latin typeface="Arial Black" panose="020B0A04020102020204" pitchFamily="34" charset="0"/>
                <a:ea typeface="+mn-ea"/>
                <a:cs typeface="Arial" panose="020B0604020202020204" pitchFamily="34" charset="0"/>
              </a:rPr>
              <a:t>ASS End Time Sync</a:t>
            </a:r>
            <a:endParaRPr lang="en-US" sz="1700" b="1">
              <a:solidFill>
                <a:srgbClr val="803395"/>
              </a:solidFill>
              <a:effectLst/>
              <a:latin typeface="Arial Black" panose="020B0A040201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3938587</xdr:colOff>
      <xdr:row>2</xdr:row>
      <xdr:rowOff>47625</xdr:rowOff>
    </xdr:from>
    <xdr:to>
      <xdr:col>5</xdr:col>
      <xdr:colOff>5198587</xdr:colOff>
      <xdr:row>4</xdr:row>
      <xdr:rowOff>7575</xdr:rowOff>
    </xdr:to>
    <xdr:sp macro="[0]!Clear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0501312" y="447675"/>
          <a:ext cx="1260000" cy="3600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</a:p>
      </xdr:txBody>
    </xdr:sp>
    <xdr:clientData/>
  </xdr:twoCellAnchor>
  <xdr:twoCellAnchor editAs="absolute">
    <xdr:from>
      <xdr:col>5</xdr:col>
      <xdr:colOff>2425699</xdr:colOff>
      <xdr:row>2</xdr:row>
      <xdr:rowOff>47625</xdr:rowOff>
    </xdr:from>
    <xdr:to>
      <xdr:col>5</xdr:col>
      <xdr:colOff>3685699</xdr:colOff>
      <xdr:row>4</xdr:row>
      <xdr:rowOff>7575</xdr:rowOff>
    </xdr:to>
    <xdr:sp macro="[0]!Copy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988424" y="447675"/>
          <a:ext cx="1260000" cy="360000"/>
        </a:xfrm>
        <a:prstGeom prst="roundRect">
          <a:avLst/>
        </a:prstGeom>
        <a:solidFill>
          <a:srgbClr val="80339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COPY</a:t>
          </a:r>
        </a:p>
      </xdr:txBody>
    </xdr:sp>
    <xdr:clientData/>
  </xdr:twoCellAnchor>
  <xdr:twoCellAnchor editAs="absolute">
    <xdr:from>
      <xdr:col>5</xdr:col>
      <xdr:colOff>838200</xdr:colOff>
      <xdr:row>2</xdr:row>
      <xdr:rowOff>47625</xdr:rowOff>
    </xdr:from>
    <xdr:to>
      <xdr:col>5</xdr:col>
      <xdr:colOff>2098200</xdr:colOff>
      <xdr:row>4</xdr:row>
      <xdr:rowOff>7575</xdr:rowOff>
    </xdr:to>
    <xdr:sp macro="[0]!Paste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7400925" y="447675"/>
          <a:ext cx="1260000" cy="360000"/>
        </a:xfrm>
        <a:prstGeom prst="roundRect">
          <a:avLst/>
        </a:prstGeom>
        <a:solidFill>
          <a:srgbClr val="80339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PASTE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180975</xdr:colOff>
      <xdr:row>15</xdr:row>
      <xdr:rowOff>85725</xdr:rowOff>
    </xdr:from>
    <xdr:to>
      <xdr:col>19</xdr:col>
      <xdr:colOff>219161</xdr:colOff>
      <xdr:row>19</xdr:row>
      <xdr:rowOff>45420</xdr:rowOff>
    </xdr:to>
    <xdr:grpSp>
      <xdr:nvGrpSpPr>
        <xdr:cNvPr id="7" name="Group 6">
          <a:hlinkClick xmlns:r="http://schemas.openxmlformats.org/officeDocument/2006/relationships" r:id="rId1" tooltip="Back to Dashboard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7467600" y="3152775"/>
          <a:ext cx="4076786" cy="759795"/>
          <a:chOff x="942975" y="249594"/>
          <a:chExt cx="4076786" cy="75979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2966202" y="671464"/>
            <a:ext cx="419795" cy="291234"/>
          </a:xfrm>
          <a:prstGeom prst="rect">
            <a:avLst/>
          </a:prstGeom>
          <a:solidFill>
            <a:srgbClr val="803395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 b="1">
                <a:solidFill>
                  <a:schemeClr val="bg1"/>
                </a:solidFill>
                <a:effectLst/>
                <a:latin typeface="Arial Black" panose="020B0A04020102020204" pitchFamily="34" charset="0"/>
                <a:ea typeface="+mn-ea"/>
                <a:cs typeface="+mn-cs"/>
              </a:rPr>
              <a:t>1.3</a:t>
            </a:r>
            <a:endParaRPr lang="en-US" sz="1100">
              <a:solidFill>
                <a:schemeClr val="bg1"/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1800225" y="264312"/>
            <a:ext cx="3219536" cy="4539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US" sz="2000" b="1">
                <a:solidFill>
                  <a:srgbClr val="A74CC1"/>
                </a:solidFill>
                <a:latin typeface="Arial Black" panose="020B0A04020102020204" pitchFamily="34" charset="0"/>
              </a:rPr>
              <a:t>SUBLRC CONVERTER</a:t>
            </a:r>
          </a:p>
        </xdr:txBody>
      </xdr:sp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2975" y="249594"/>
            <a:ext cx="720000" cy="720000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1800225" y="609600"/>
            <a:ext cx="1133475" cy="399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700" b="1">
                <a:solidFill>
                  <a:srgbClr val="803395"/>
                </a:solidFill>
                <a:effectLst/>
                <a:latin typeface="Arial Black" panose="020B0A04020102020204" pitchFamily="34" charset="0"/>
                <a:cs typeface="Arial" panose="020B0604020202020204" pitchFamily="34" charset="0"/>
              </a:rPr>
              <a:t>Version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0"/>
  <sheetViews>
    <sheetView showGridLines="0" showRowColHeaders="0" tabSelected="1" workbookViewId="0">
      <selection activeCell="B8" sqref="B8"/>
    </sheetView>
  </sheetViews>
  <sheetFormatPr defaultColWidth="0" defaultRowHeight="15" zeroHeight="1" x14ac:dyDescent="0.25"/>
  <cols>
    <col min="1" max="21" width="9.140625" customWidth="1"/>
    <col min="22" max="16384" width="9.140625" hidden="1"/>
  </cols>
  <sheetData>
    <row r="1" spans="1:2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x14ac:dyDescent="0.25">
      <c r="A7" s="2"/>
      <c r="B7" s="2"/>
      <c r="C7" s="2"/>
      <c r="D7" s="2"/>
      <c r="E7" s="2"/>
      <c r="F7" s="2"/>
      <c r="G7" s="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x14ac:dyDescent="0.25">
      <c r="A9" s="2"/>
      <c r="B9" s="2"/>
      <c r="C9" s="50"/>
      <c r="D9" s="50"/>
      <c r="E9" s="50"/>
      <c r="F9" s="50"/>
      <c r="G9" s="50"/>
      <c r="H9" s="50"/>
      <c r="I9" s="50"/>
      <c r="J9" s="50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x14ac:dyDescent="0.25">
      <c r="A10" s="2"/>
      <c r="B10" s="2"/>
      <c r="C10" s="50"/>
      <c r="D10" s="50"/>
      <c r="E10" s="50"/>
      <c r="F10" s="50"/>
      <c r="G10" s="50"/>
      <c r="H10" s="50"/>
      <c r="I10" s="50"/>
      <c r="J10" s="50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x14ac:dyDescent="0.25">
      <c r="A11" s="2"/>
      <c r="B11" s="2"/>
      <c r="C11" s="50"/>
      <c r="D11" s="50"/>
      <c r="E11" s="50"/>
      <c r="F11" s="50"/>
      <c r="G11" s="50"/>
      <c r="H11" s="50"/>
      <c r="I11" s="50"/>
      <c r="J11" s="50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x14ac:dyDescent="0.25">
      <c r="A12" s="2"/>
      <c r="B12" s="2"/>
      <c r="C12" s="50"/>
      <c r="D12" s="50"/>
      <c r="E12" s="50"/>
      <c r="F12" s="50"/>
      <c r="G12" s="50"/>
      <c r="H12" s="50"/>
      <c r="I12" s="50"/>
      <c r="J12" s="50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x14ac:dyDescent="0.25">
      <c r="A13" s="2"/>
      <c r="B13" s="2"/>
      <c r="C13" s="50"/>
      <c r="D13" s="50"/>
      <c r="E13" s="50"/>
      <c r="F13" s="50"/>
      <c r="G13" s="50"/>
      <c r="H13" s="50"/>
      <c r="I13" s="50"/>
      <c r="J13" s="50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x14ac:dyDescent="0.25">
      <c r="A14" s="2"/>
      <c r="B14" s="2"/>
      <c r="C14" s="50"/>
      <c r="D14" s="50"/>
      <c r="E14" s="50"/>
      <c r="F14" s="50"/>
      <c r="G14" s="50"/>
      <c r="H14" s="50"/>
      <c r="I14" s="50"/>
      <c r="J14" s="50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x14ac:dyDescent="0.25">
      <c r="A15" s="2"/>
      <c r="B15" s="2"/>
      <c r="C15" s="50"/>
      <c r="D15" s="50"/>
      <c r="E15" s="50"/>
      <c r="F15" s="50"/>
      <c r="G15" s="50"/>
      <c r="H15" s="50"/>
      <c r="I15" s="50"/>
      <c r="J15" s="50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x14ac:dyDescent="0.25">
      <c r="A16" s="2"/>
      <c r="B16" s="2"/>
      <c r="C16" s="50"/>
      <c r="D16" s="50"/>
      <c r="E16" s="50"/>
      <c r="F16" s="50"/>
      <c r="G16" s="50"/>
      <c r="H16" s="50"/>
      <c r="I16" s="50"/>
      <c r="J16" s="50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x14ac:dyDescent="0.25">
      <c r="A17" s="2"/>
      <c r="B17" s="2"/>
      <c r="C17" s="50"/>
      <c r="D17" s="50"/>
      <c r="E17" s="50"/>
      <c r="F17" s="50"/>
      <c r="G17" s="50"/>
      <c r="H17" s="50"/>
      <c r="I17" s="50"/>
      <c r="J17" s="50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2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1:2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2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1:21" hidden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1" hidden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21" hidden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1:21" ht="39.950000000000003" hidden="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</sheetData>
  <mergeCells count="1">
    <mergeCell ref="C9:J1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B1015"/>
  <sheetViews>
    <sheetView showGridLines="0"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 zeroHeight="1" x14ac:dyDescent="0.25"/>
  <cols>
    <col min="1" max="1" width="5.7109375" style="5" customWidth="1"/>
    <col min="2" max="2" width="12.5703125" style="5" hidden="1" customWidth="1"/>
    <col min="3" max="3" width="15.7109375" style="20" hidden="1" customWidth="1"/>
    <col min="4" max="4" width="27.140625" style="3" hidden="1" customWidth="1"/>
    <col min="5" max="5" width="92.7109375" style="3" customWidth="1"/>
    <col min="6" max="6" width="92.7109375" style="6" customWidth="1"/>
    <col min="7" max="7" width="9.140625" hidden="1"/>
    <col min="8" max="16382" width="9.140625" style="4" hidden="1"/>
    <col min="16383" max="16384" width="8.42578125" style="4" hidden="1"/>
  </cols>
  <sheetData>
    <row r="1" spans="1:37" x14ac:dyDescent="0.25">
      <c r="A1" s="17"/>
      <c r="B1" s="17"/>
      <c r="C1" s="19"/>
      <c r="D1" s="17"/>
      <c r="E1" s="17"/>
      <c r="F1" s="17"/>
    </row>
    <row r="2" spans="1:37" ht="15.75" customHeight="1" x14ac:dyDescent="0.25">
      <c r="A2" s="17"/>
      <c r="B2" s="17"/>
      <c r="C2" s="19"/>
      <c r="D2" s="17"/>
      <c r="E2" s="17"/>
      <c r="F2" s="17"/>
    </row>
    <row r="3" spans="1:37" ht="15.75" customHeight="1" x14ac:dyDescent="0.25">
      <c r="A3" s="17"/>
      <c r="B3" s="17"/>
      <c r="C3" s="19"/>
      <c r="D3" s="17"/>
      <c r="E3" s="17"/>
      <c r="F3" s="17"/>
    </row>
    <row r="4" spans="1:37" x14ac:dyDescent="0.25">
      <c r="A4" s="17"/>
      <c r="B4" s="17"/>
      <c r="C4" s="19"/>
      <c r="D4" s="17"/>
      <c r="E4" s="17"/>
      <c r="F4" s="17"/>
    </row>
    <row r="5" spans="1:37" x14ac:dyDescent="0.25">
      <c r="A5" s="17"/>
      <c r="B5" s="17"/>
      <c r="C5" s="19"/>
      <c r="D5" s="17"/>
      <c r="E5" s="17"/>
      <c r="F5" s="17"/>
    </row>
    <row r="6" spans="1:37" x14ac:dyDescent="0.25">
      <c r="A6" s="51" t="str">
        <f>IF(COUNTIF($C$8:$C$1007,"SHOW")&gt;0,"Paste copied text to Aegisub","")</f>
        <v/>
      </c>
      <c r="B6" s="51"/>
      <c r="C6" s="51"/>
      <c r="D6" s="51"/>
      <c r="E6" s="51"/>
      <c r="F6" s="51"/>
    </row>
    <row r="7" spans="1:37" x14ac:dyDescent="0.25">
      <c r="A7" s="14"/>
      <c r="B7" s="12" t="s">
        <v>4</v>
      </c>
      <c r="C7" s="12" t="s">
        <v>3</v>
      </c>
      <c r="D7" s="9" t="s">
        <v>0</v>
      </c>
      <c r="E7" s="15" t="s">
        <v>1</v>
      </c>
      <c r="F7" s="16" t="s">
        <v>2</v>
      </c>
    </row>
    <row r="8" spans="1:37" x14ac:dyDescent="0.25">
      <c r="A8" s="13" t="str">
        <f>IF($E8&lt;&gt;"",1,"")</f>
        <v/>
      </c>
      <c r="B8" s="11"/>
      <c r="C8" s="19" t="str">
        <f>IF($E8="","EMPTY",IF(COUNT(MID($E8,2,1))=0,"HIDE",IF(COUNT(MID($E8,2,1))=1,"SHOW","")))</f>
        <v>EMPTY</v>
      </c>
      <c r="D8" s="3" t="str">
        <f>IF(AND(OR($C8="EMPTY",$C8="HIDE",$C8=""),OR($C9="EMPTY",$C9="HIDE",$C9="")),"",IF(AND($C8="SHOW",OR($C9="EMPTY",$C9="HIDE",$C9="")),CONCATENATE("Dialogue: 0,0:",MID($E8,2,8),",0:",MID($E8,2,8),",Default,,0,0,0,,",MID($E8,11,1000)),IF(AND($C8="SHOW",$C9="SHOW"),CONCATENATE("Dialogue: 0,0:",MID($E8,2,8),",0:",MID($E9,2,8),",Default,,0,0,0,,",MID($E8,11,1000)),"")))</f>
        <v/>
      </c>
      <c r="E8" s="22"/>
      <c r="F8" s="8" t="str">
        <f>$D8</f>
        <v/>
      </c>
      <c r="O8" s="4" t="s">
        <v>5</v>
      </c>
      <c r="P8" s="4" t="s">
        <v>5</v>
      </c>
      <c r="Q8" s="4" t="s">
        <v>5</v>
      </c>
      <c r="R8" s="4" t="s">
        <v>5</v>
      </c>
      <c r="S8" s="4" t="s">
        <v>5</v>
      </c>
      <c r="U8" s="4" t="s">
        <v>5</v>
      </c>
      <c r="X8" s="4" t="s">
        <v>5</v>
      </c>
    </row>
    <row r="9" spans="1:37" x14ac:dyDescent="0.25">
      <c r="A9" s="13" t="str">
        <f>IF(AND($E9="",MAX($A$8:$A8)=0),"",IF(AND($E9&lt;&gt;"",MAX($A$8:$A8)=0),1,IF(AND($E9&lt;&gt;"",MAX($A$8:$A8)&gt;0),MAX($A$8:$A8)+1,"")))</f>
        <v/>
      </c>
      <c r="B9" s="11"/>
      <c r="C9" s="19" t="str">
        <f t="shared" ref="C9:C72" si="0">IF($E9="","EMPTY",IF(COUNT(MID($E9,2,1))=0,"HIDE",IF(COUNT(MID($E9,2,1))=1,"SHOW","")))</f>
        <v>EMPTY</v>
      </c>
      <c r="D9" s="3" t="str">
        <f t="shared" ref="D9:D13" si="1">IF(AND(OR($C9="EMPTY",$C9="HIDE",$C9=""),OR($C10="EMPTY",$C10="HIDE",$C10="")),"",IF(AND($C9="SHOW",OR($C10="EMPTY",$C10="HIDE",$C10="")),CONCATENATE("Dialogue: 0,0:",MID($E9,2,8),",0:",MID($E9,2,8),",Default,,0,0,0,,",MID($E9,11,1000)),IF(AND($C9="SHOW",$C10="SHOW"),CONCATENATE("Dialogue: 0,0:",MID($E9,2,8),",0:",MID($E10,2,8),",Default,,0,0,0,,",MID($E9,11,1000)),"")))</f>
        <v/>
      </c>
      <c r="E9" s="22"/>
      <c r="F9" s="8" t="str">
        <f t="shared" ref="F9:F72" si="2">$D9</f>
        <v/>
      </c>
      <c r="O9" s="4" t="s">
        <v>5</v>
      </c>
      <c r="P9" s="4" t="s">
        <v>5</v>
      </c>
      <c r="Q9" s="4" t="s">
        <v>5</v>
      </c>
      <c r="R9" s="4" t="s">
        <v>5</v>
      </c>
      <c r="S9" s="4" t="s">
        <v>5</v>
      </c>
      <c r="U9" s="4" t="s">
        <v>5</v>
      </c>
      <c r="X9" s="4" t="s">
        <v>5</v>
      </c>
      <c r="AH9" s="4" t="s">
        <v>5</v>
      </c>
    </row>
    <row r="10" spans="1:37" x14ac:dyDescent="0.25">
      <c r="A10" s="13" t="str">
        <f>IF(AND($E10="",MAX($A$8:$A9)=0),"",IF(AND($E10&lt;&gt;"",MAX($A$8:$A9)=0),1,IF(AND($E10&lt;&gt;"",MAX($A$8:$A9)&gt;0),MAX($A$8:$A9)+1,"")))</f>
        <v/>
      </c>
      <c r="B10" s="11"/>
      <c r="C10" s="19" t="str">
        <f t="shared" si="0"/>
        <v>EMPTY</v>
      </c>
      <c r="D10" s="3" t="str">
        <f t="shared" si="1"/>
        <v/>
      </c>
      <c r="E10" s="22"/>
      <c r="F10" s="8" t="str">
        <f t="shared" si="2"/>
        <v/>
      </c>
      <c r="O10" s="4" t="s">
        <v>5</v>
      </c>
      <c r="P10" s="4" t="s">
        <v>5</v>
      </c>
      <c r="Q10" s="4" t="s">
        <v>5</v>
      </c>
      <c r="R10" s="4" t="s">
        <v>5</v>
      </c>
      <c r="S10" s="4" t="s">
        <v>5</v>
      </c>
      <c r="U10" s="4" t="s">
        <v>5</v>
      </c>
      <c r="X10" s="4" t="s">
        <v>5</v>
      </c>
      <c r="AH10" s="4" t="s">
        <v>5</v>
      </c>
    </row>
    <row r="11" spans="1:37" x14ac:dyDescent="0.25">
      <c r="A11" s="13" t="str">
        <f>IF(AND($E11="",MAX($A$8:$A10)=0),"",IF(AND($E11&lt;&gt;"",MAX($A$8:$A10)=0),1,IF(AND($E11&lt;&gt;"",MAX($A$8:$A10)&gt;0),MAX($A$8:$A10)+1,"")))</f>
        <v/>
      </c>
      <c r="B11" s="11"/>
      <c r="C11" s="19" t="str">
        <f t="shared" si="0"/>
        <v>EMPTY</v>
      </c>
      <c r="D11" s="3" t="str">
        <f t="shared" si="1"/>
        <v/>
      </c>
      <c r="E11" s="22"/>
      <c r="F11" s="8" t="str">
        <f t="shared" si="2"/>
        <v/>
      </c>
      <c r="O11" s="4" t="s">
        <v>5</v>
      </c>
      <c r="P11" s="4" t="s">
        <v>5</v>
      </c>
      <c r="Q11" s="4" t="s">
        <v>5</v>
      </c>
      <c r="R11" s="4" t="s">
        <v>5</v>
      </c>
      <c r="S11" s="4" t="s">
        <v>5</v>
      </c>
      <c r="U11" s="4" t="s">
        <v>5</v>
      </c>
      <c r="X11" s="4" t="s">
        <v>5</v>
      </c>
      <c r="AH11" s="4" t="s">
        <v>5</v>
      </c>
    </row>
    <row r="12" spans="1:37" x14ac:dyDescent="0.25">
      <c r="A12" s="13" t="str">
        <f>IF(AND($E12="",MAX($A$8:$A11)=0),"",IF(AND($E12&lt;&gt;"",MAX($A$8:$A11)=0),1,IF(AND($E12&lt;&gt;"",MAX($A$8:$A11)&gt;0),MAX($A$8:$A11)+1,"")))</f>
        <v/>
      </c>
      <c r="B12" s="11"/>
      <c r="C12" s="19" t="str">
        <f t="shared" si="0"/>
        <v>EMPTY</v>
      </c>
      <c r="D12" s="3" t="str">
        <f t="shared" si="1"/>
        <v/>
      </c>
      <c r="E12" s="22"/>
      <c r="F12" s="8" t="str">
        <f t="shared" si="2"/>
        <v/>
      </c>
      <c r="O12" s="4" t="s">
        <v>5</v>
      </c>
      <c r="P12" s="4" t="s">
        <v>5</v>
      </c>
      <c r="Q12" s="4" t="s">
        <v>5</v>
      </c>
      <c r="R12" s="4" t="s">
        <v>5</v>
      </c>
      <c r="S12" s="4" t="s">
        <v>5</v>
      </c>
      <c r="T12" s="4" t="s">
        <v>5</v>
      </c>
      <c r="U12" s="4" t="s">
        <v>5</v>
      </c>
      <c r="X12" s="4" t="s">
        <v>5</v>
      </c>
      <c r="AH12" s="4" t="s">
        <v>5</v>
      </c>
    </row>
    <row r="13" spans="1:37" x14ac:dyDescent="0.25">
      <c r="A13" s="13" t="str">
        <f>IF(AND($E13="",MAX($A$8:$A12)=0),"",IF(AND($E13&lt;&gt;"",MAX($A$8:$A12)=0),1,IF(AND($E13&lt;&gt;"",MAX($A$8:$A12)&gt;0),MAX($A$8:$A12)+1,"")))</f>
        <v/>
      </c>
      <c r="B13" s="11"/>
      <c r="C13" s="19" t="str">
        <f t="shared" si="0"/>
        <v>EMPTY</v>
      </c>
      <c r="D13" s="3" t="str">
        <f t="shared" si="1"/>
        <v/>
      </c>
      <c r="E13" s="22"/>
      <c r="F13" s="8" t="str">
        <f t="shared" si="2"/>
        <v/>
      </c>
      <c r="G13" t="s">
        <v>5</v>
      </c>
      <c r="H13" s="4" t="s">
        <v>5</v>
      </c>
      <c r="I13" s="4" t="s">
        <v>5</v>
      </c>
      <c r="J13" s="4" t="s">
        <v>5</v>
      </c>
      <c r="K13" s="4" t="s">
        <v>5</v>
      </c>
      <c r="L13" s="4" t="s">
        <v>5</v>
      </c>
      <c r="M13" s="4" t="s">
        <v>5</v>
      </c>
      <c r="N13" s="4" t="s">
        <v>5</v>
      </c>
      <c r="O13" s="4" t="s">
        <v>5</v>
      </c>
      <c r="P13" s="4" t="s">
        <v>5</v>
      </c>
      <c r="Q13" s="4" t="s">
        <v>5</v>
      </c>
      <c r="R13" s="4" t="s">
        <v>5</v>
      </c>
      <c r="S13" s="4" t="s">
        <v>5</v>
      </c>
      <c r="T13" s="4" t="s">
        <v>5</v>
      </c>
      <c r="U13" s="4" t="s">
        <v>5</v>
      </c>
      <c r="W13" s="4" t="s">
        <v>5</v>
      </c>
      <c r="X13" s="4" t="s">
        <v>5</v>
      </c>
      <c r="Y13" s="4" t="s">
        <v>5</v>
      </c>
      <c r="AE13" s="4" t="s">
        <v>5</v>
      </c>
      <c r="AF13" s="4" t="s">
        <v>5</v>
      </c>
      <c r="AG13" s="4" t="s">
        <v>5</v>
      </c>
      <c r="AH13" s="4" t="s">
        <v>5</v>
      </c>
      <c r="AK13" s="4" t="s">
        <v>5</v>
      </c>
    </row>
    <row r="14" spans="1:37" x14ac:dyDescent="0.25">
      <c r="A14" s="13" t="str">
        <f>IF(AND($E14="",MAX($A$8:$A13)=0),"",IF(AND($E14&lt;&gt;"",MAX($A$8:$A13)=0),1,IF(AND($E14&lt;&gt;"",MAX($A$8:$A13)&gt;0),MAX($A$8:$A13)+1,"")))</f>
        <v/>
      </c>
      <c r="B14" s="11"/>
      <c r="C14" s="19" t="str">
        <f t="shared" si="0"/>
        <v>EMPTY</v>
      </c>
      <c r="D14" s="3" t="str">
        <f t="shared" ref="D14:D16" si="3">IF(AND(OR($C14="EMPTY",$C14="HIDE",$C14=""),OR($C15="EMPTY",$C15="HIDE",$C15="")),"",IF(AND($C14="SHOW",OR($C15="EMPTY",$C15="HIDE",$C15="")),CONCATENATE("Dialogue: 0,0:",MID($E14,2,8),",0:",MID($E14,2,8),",Default,,0,0,0,,",MID($E14,11,1000)),IF(AND($C14="SHOW",$C15="SHOW"),CONCATENATE("Dialogue: 0,0:",MID($E14,2,8),",0:",MID($E15,2,8),",Default,,0,0,0,,",MID($E14,11,1000)),"")))</f>
        <v/>
      </c>
      <c r="E14" s="22"/>
      <c r="F14" s="8" t="str">
        <f t="shared" si="2"/>
        <v/>
      </c>
      <c r="G14" t="s">
        <v>5</v>
      </c>
      <c r="H14" s="4" t="s">
        <v>5</v>
      </c>
      <c r="I14" s="4" t="s">
        <v>5</v>
      </c>
      <c r="J14" s="4" t="s">
        <v>5</v>
      </c>
      <c r="K14" s="4" t="s">
        <v>5</v>
      </c>
      <c r="L14" s="4" t="s">
        <v>5</v>
      </c>
      <c r="M14" s="4" t="s">
        <v>5</v>
      </c>
      <c r="N14" s="4" t="s">
        <v>5</v>
      </c>
      <c r="O14" s="4" t="s">
        <v>5</v>
      </c>
      <c r="P14" s="4" t="s">
        <v>5</v>
      </c>
      <c r="Q14" s="4" t="s">
        <v>5</v>
      </c>
      <c r="R14" s="4" t="s">
        <v>5</v>
      </c>
      <c r="S14" s="4" t="s">
        <v>5</v>
      </c>
      <c r="T14" s="4" t="s">
        <v>5</v>
      </c>
      <c r="U14" s="4" t="s">
        <v>5</v>
      </c>
      <c r="V14" s="4" t="s">
        <v>5</v>
      </c>
      <c r="W14" s="4" t="s">
        <v>5</v>
      </c>
      <c r="X14" s="4" t="s">
        <v>5</v>
      </c>
      <c r="Y14" s="4" t="s">
        <v>5</v>
      </c>
      <c r="AA14" s="4" t="s">
        <v>5</v>
      </c>
      <c r="AD14" s="4" t="s">
        <v>5</v>
      </c>
      <c r="AE14" s="4" t="s">
        <v>5</v>
      </c>
      <c r="AF14" s="4" t="s">
        <v>5</v>
      </c>
      <c r="AG14" s="4" t="s">
        <v>5</v>
      </c>
      <c r="AH14" s="4" t="s">
        <v>5</v>
      </c>
      <c r="AJ14" s="4" t="s">
        <v>5</v>
      </c>
      <c r="AK14" s="4" t="s">
        <v>5</v>
      </c>
    </row>
    <row r="15" spans="1:37" x14ac:dyDescent="0.25">
      <c r="A15" s="13" t="str">
        <f>IF(AND($E15="",MAX($A$8:$A14)=0),"",IF(AND($E15&lt;&gt;"",MAX($A$8:$A14)=0),1,IF(AND($E15&lt;&gt;"",MAX($A$8:$A14)&gt;0),MAX($A$8:$A14)+1,"")))</f>
        <v/>
      </c>
      <c r="B15" s="11"/>
      <c r="C15" s="19" t="str">
        <f t="shared" si="0"/>
        <v>EMPTY</v>
      </c>
      <c r="D15" s="3" t="str">
        <f t="shared" si="3"/>
        <v/>
      </c>
      <c r="E15" s="22"/>
      <c r="F15" s="8" t="str">
        <f t="shared" si="2"/>
        <v/>
      </c>
      <c r="G15" t="s">
        <v>5</v>
      </c>
      <c r="H15" s="4" t="s">
        <v>5</v>
      </c>
      <c r="I15" s="4" t="s">
        <v>5</v>
      </c>
      <c r="J15" s="4" t="s">
        <v>5</v>
      </c>
      <c r="K15" s="4" t="s">
        <v>5</v>
      </c>
      <c r="L15" s="4" t="s">
        <v>5</v>
      </c>
      <c r="M15" s="4" t="s">
        <v>5</v>
      </c>
      <c r="N15" s="4" t="s">
        <v>5</v>
      </c>
      <c r="O15" s="4" t="s">
        <v>5</v>
      </c>
      <c r="P15" s="4" t="s">
        <v>5</v>
      </c>
      <c r="Q15" s="4" t="s">
        <v>5</v>
      </c>
      <c r="R15" s="4" t="s">
        <v>5</v>
      </c>
      <c r="S15" s="4" t="s">
        <v>5</v>
      </c>
      <c r="T15" s="4" t="s">
        <v>5</v>
      </c>
      <c r="U15" s="4" t="s">
        <v>5</v>
      </c>
      <c r="V15" s="4" t="s">
        <v>5</v>
      </c>
      <c r="W15" s="4" t="s">
        <v>5</v>
      </c>
      <c r="X15" s="4" t="s">
        <v>5</v>
      </c>
      <c r="Y15" s="4" t="s">
        <v>5</v>
      </c>
      <c r="Z15" s="4" t="s">
        <v>5</v>
      </c>
      <c r="AA15" s="4" t="s">
        <v>5</v>
      </c>
      <c r="AB15" s="4" t="s">
        <v>5</v>
      </c>
      <c r="AC15" s="4" t="s">
        <v>5</v>
      </c>
      <c r="AD15" s="4" t="s">
        <v>5</v>
      </c>
      <c r="AE15" s="4" t="s">
        <v>5</v>
      </c>
      <c r="AF15" s="4" t="s">
        <v>5</v>
      </c>
      <c r="AG15" s="4" t="s">
        <v>5</v>
      </c>
      <c r="AH15" s="4" t="s">
        <v>5</v>
      </c>
      <c r="AI15" s="4" t="s">
        <v>5</v>
      </c>
      <c r="AJ15" s="4" t="s">
        <v>5</v>
      </c>
      <c r="AK15" s="4" t="s">
        <v>5</v>
      </c>
    </row>
    <row r="16" spans="1:37" x14ac:dyDescent="0.25">
      <c r="A16" s="13" t="str">
        <f>IF(AND($E16="",MAX($A$8:$A15)=0),"",IF(AND($E16&lt;&gt;"",MAX($A$8:$A15)=0),1,IF(AND($E16&lt;&gt;"",MAX($A$8:$A15)&gt;0),MAX($A$8:$A15)+1,"")))</f>
        <v/>
      </c>
      <c r="B16" s="11"/>
      <c r="C16" s="19" t="str">
        <f t="shared" si="0"/>
        <v>EMPTY</v>
      </c>
      <c r="D16" s="3" t="str">
        <f t="shared" si="3"/>
        <v/>
      </c>
      <c r="E16" s="22"/>
      <c r="F16" s="8" t="str">
        <f t="shared" si="2"/>
        <v/>
      </c>
      <c r="G16" t="s">
        <v>5</v>
      </c>
      <c r="H16" s="4" t="s">
        <v>5</v>
      </c>
      <c r="I16" s="4" t="s">
        <v>5</v>
      </c>
      <c r="J16" s="4" t="s">
        <v>5</v>
      </c>
      <c r="K16" s="4" t="s">
        <v>5</v>
      </c>
      <c r="L16" s="4" t="s">
        <v>5</v>
      </c>
      <c r="M16" s="4" t="s">
        <v>5</v>
      </c>
      <c r="N16" s="4" t="s">
        <v>5</v>
      </c>
      <c r="O16" s="4" t="s">
        <v>5</v>
      </c>
      <c r="P16" s="4" t="s">
        <v>5</v>
      </c>
      <c r="Q16" s="4" t="s">
        <v>5</v>
      </c>
      <c r="R16" s="4" t="s">
        <v>5</v>
      </c>
      <c r="S16" s="4" t="s">
        <v>5</v>
      </c>
      <c r="T16" s="4" t="s">
        <v>5</v>
      </c>
      <c r="U16" s="4" t="s">
        <v>5</v>
      </c>
      <c r="V16" s="4" t="s">
        <v>5</v>
      </c>
      <c r="W16" s="4" t="s">
        <v>5</v>
      </c>
      <c r="X16" s="4" t="s">
        <v>5</v>
      </c>
      <c r="Y16" s="4" t="s">
        <v>5</v>
      </c>
      <c r="Z16" s="4" t="s">
        <v>5</v>
      </c>
      <c r="AA16" s="4" t="s">
        <v>5</v>
      </c>
      <c r="AB16" s="4" t="s">
        <v>5</v>
      </c>
      <c r="AC16" s="4" t="s">
        <v>5</v>
      </c>
      <c r="AD16" s="4" t="s">
        <v>5</v>
      </c>
      <c r="AE16" s="4" t="s">
        <v>5</v>
      </c>
      <c r="AF16" s="4" t="s">
        <v>5</v>
      </c>
      <c r="AG16" s="4" t="s">
        <v>5</v>
      </c>
      <c r="AH16" s="4" t="s">
        <v>5</v>
      </c>
      <c r="AI16" s="4" t="s">
        <v>5</v>
      </c>
      <c r="AJ16" s="4" t="s">
        <v>5</v>
      </c>
      <c r="AK16" s="4" t="s">
        <v>5</v>
      </c>
    </row>
    <row r="17" spans="1:37" x14ac:dyDescent="0.25">
      <c r="A17" s="13" t="str">
        <f>IF(AND($E17="",MAX($A$8:$A16)=0),"",IF(AND($E17&lt;&gt;"",MAX($A$8:$A16)=0),1,IF(AND($E17&lt;&gt;"",MAX($A$8:$A16)&gt;0),MAX($A$8:$A16)+1,"")))</f>
        <v/>
      </c>
      <c r="B17" s="11"/>
      <c r="C17" s="19" t="str">
        <f t="shared" si="0"/>
        <v>EMPTY</v>
      </c>
      <c r="D17" s="3" t="str">
        <f t="shared" ref="D17:D80" si="4">IF(AND(OR($C17="EMPTY",$C17="HIDE",$C17=""),OR($C18="EMPTY",$C18="HIDE",$C18="")),"",IF(AND($C17="SHOW",OR($C18="EMPTY",$C18="HIDE",$C18="")),CONCATENATE("Dialogue: 0,0:",MID($E17,2,8),",0:",MID($E17,2,8),",Default,,0,0,0,,",MID($E17,11,1000)),IF(AND($C17="SHOW",$C18="SHOW"),CONCATENATE("Dialogue: 0,0:",MID($E17,2,8),",0:",MID($E18,2,8),",Default,,0,0,0,,",MID($E17,11,1000)),"")))</f>
        <v/>
      </c>
      <c r="E17" s="22"/>
      <c r="F17" s="8" t="str">
        <f t="shared" si="2"/>
        <v/>
      </c>
      <c r="G17" t="s">
        <v>5</v>
      </c>
      <c r="H17" s="4" t="s">
        <v>5</v>
      </c>
      <c r="I17" s="4" t="s">
        <v>5</v>
      </c>
      <c r="J17" s="4" t="s">
        <v>5</v>
      </c>
      <c r="K17" s="4" t="s">
        <v>5</v>
      </c>
      <c r="L17" s="4" t="s">
        <v>5</v>
      </c>
      <c r="M17" s="4" t="s">
        <v>5</v>
      </c>
      <c r="N17" s="4" t="s">
        <v>5</v>
      </c>
      <c r="O17" s="4" t="s">
        <v>5</v>
      </c>
      <c r="P17" s="4" t="s">
        <v>5</v>
      </c>
      <c r="Q17" s="4" t="s">
        <v>5</v>
      </c>
      <c r="R17" s="4" t="s">
        <v>5</v>
      </c>
      <c r="S17" s="4" t="s">
        <v>5</v>
      </c>
      <c r="T17" s="4" t="s">
        <v>5</v>
      </c>
      <c r="U17" s="4" t="s">
        <v>5</v>
      </c>
      <c r="V17" s="4" t="s">
        <v>5</v>
      </c>
      <c r="W17" s="4" t="s">
        <v>5</v>
      </c>
      <c r="X17" s="4" t="s">
        <v>5</v>
      </c>
      <c r="Y17" s="4" t="s">
        <v>5</v>
      </c>
      <c r="Z17" s="4" t="s">
        <v>5</v>
      </c>
      <c r="AA17" s="4" t="s">
        <v>5</v>
      </c>
      <c r="AB17" s="4" t="s">
        <v>5</v>
      </c>
      <c r="AC17" s="4" t="s">
        <v>5</v>
      </c>
      <c r="AD17" s="4" t="s">
        <v>5</v>
      </c>
      <c r="AE17" s="4" t="s">
        <v>5</v>
      </c>
      <c r="AF17" s="4" t="s">
        <v>5</v>
      </c>
      <c r="AG17" s="4" t="s">
        <v>5</v>
      </c>
      <c r="AH17" s="4" t="s">
        <v>5</v>
      </c>
      <c r="AI17" s="4" t="s">
        <v>5</v>
      </c>
      <c r="AJ17" s="4" t="s">
        <v>5</v>
      </c>
      <c r="AK17" s="4" t="s">
        <v>5</v>
      </c>
    </row>
    <row r="18" spans="1:37" x14ac:dyDescent="0.25">
      <c r="A18" s="13" t="str">
        <f>IF(AND($E18="",MAX($A$8:$A17)=0),"",IF(AND($E18&lt;&gt;"",MAX($A$8:$A17)=0),1,IF(AND($E18&lt;&gt;"",MAX($A$8:$A17)&gt;0),MAX($A$8:$A17)+1,"")))</f>
        <v/>
      </c>
      <c r="B18" s="11">
        <v>11</v>
      </c>
      <c r="C18" s="19" t="str">
        <f t="shared" si="0"/>
        <v>EMPTY</v>
      </c>
      <c r="D18" s="3" t="str">
        <f t="shared" si="4"/>
        <v/>
      </c>
      <c r="E18" s="22"/>
      <c r="F18" s="8" t="str">
        <f t="shared" si="2"/>
        <v/>
      </c>
      <c r="G18" t="s">
        <v>5</v>
      </c>
      <c r="H18" s="4" t="s">
        <v>5</v>
      </c>
      <c r="I18" s="4" t="s">
        <v>5</v>
      </c>
      <c r="J18" s="4" t="s">
        <v>5</v>
      </c>
      <c r="K18" s="4" t="s">
        <v>5</v>
      </c>
      <c r="L18" s="4" t="s">
        <v>5</v>
      </c>
      <c r="M18" s="4" t="s">
        <v>5</v>
      </c>
      <c r="N18" s="4" t="s">
        <v>5</v>
      </c>
      <c r="O18" s="4" t="s">
        <v>5</v>
      </c>
      <c r="P18" s="4" t="s">
        <v>5</v>
      </c>
      <c r="Q18" s="4" t="s">
        <v>5</v>
      </c>
      <c r="R18" s="4" t="s">
        <v>5</v>
      </c>
      <c r="S18" s="4" t="s">
        <v>5</v>
      </c>
      <c r="T18" s="4" t="s">
        <v>5</v>
      </c>
      <c r="U18" s="4" t="s">
        <v>5</v>
      </c>
      <c r="V18" s="4" t="s">
        <v>5</v>
      </c>
      <c r="W18" s="4" t="s">
        <v>5</v>
      </c>
      <c r="X18" s="4" t="s">
        <v>5</v>
      </c>
      <c r="Y18" s="4" t="s">
        <v>5</v>
      </c>
      <c r="Z18" s="4" t="s">
        <v>5</v>
      </c>
      <c r="AA18" s="4" t="s">
        <v>5</v>
      </c>
      <c r="AB18" s="4" t="s">
        <v>5</v>
      </c>
      <c r="AC18" s="4" t="s">
        <v>5</v>
      </c>
      <c r="AD18" s="4" t="s">
        <v>5</v>
      </c>
      <c r="AE18" s="4" t="s">
        <v>5</v>
      </c>
      <c r="AF18" s="4" t="s">
        <v>5</v>
      </c>
      <c r="AG18" s="4" t="s">
        <v>5</v>
      </c>
      <c r="AH18" s="4" t="s">
        <v>5</v>
      </c>
      <c r="AI18" s="4" t="s">
        <v>5</v>
      </c>
      <c r="AJ18" s="4" t="s">
        <v>5</v>
      </c>
      <c r="AK18" s="4" t="s">
        <v>5</v>
      </c>
    </row>
    <row r="19" spans="1:37" x14ac:dyDescent="0.25">
      <c r="A19" s="13" t="str">
        <f>IF(AND($E19="",MAX($A$8:$A18)=0),"",IF(AND($E19&lt;&gt;"",MAX($A$8:$A18)=0),1,IF(AND($E19&lt;&gt;"",MAX($A$8:$A18)&gt;0),MAX($A$8:$A18)+1,"")))</f>
        <v/>
      </c>
      <c r="B19" s="11">
        <v>12</v>
      </c>
      <c r="C19" s="19" t="str">
        <f t="shared" si="0"/>
        <v>EMPTY</v>
      </c>
      <c r="D19" s="3" t="str">
        <f t="shared" si="4"/>
        <v/>
      </c>
      <c r="E19" s="22"/>
      <c r="F19" s="8" t="str">
        <f t="shared" si="2"/>
        <v/>
      </c>
      <c r="G19" t="s">
        <v>5</v>
      </c>
      <c r="H19" s="4" t="s">
        <v>5</v>
      </c>
      <c r="I19" s="4" t="s">
        <v>5</v>
      </c>
      <c r="J19" s="4" t="s">
        <v>5</v>
      </c>
      <c r="K19" s="4" t="s">
        <v>5</v>
      </c>
      <c r="L19" s="4" t="s">
        <v>5</v>
      </c>
      <c r="M19" s="4" t="s">
        <v>5</v>
      </c>
      <c r="N19" s="4" t="s">
        <v>5</v>
      </c>
      <c r="O19" s="4" t="s">
        <v>5</v>
      </c>
      <c r="P19" s="4" t="s">
        <v>5</v>
      </c>
      <c r="Q19" s="4" t="s">
        <v>5</v>
      </c>
      <c r="R19" s="4" t="s">
        <v>5</v>
      </c>
      <c r="S19" s="4" t="s">
        <v>5</v>
      </c>
      <c r="T19" s="4" t="s">
        <v>5</v>
      </c>
      <c r="U19" s="4" t="s">
        <v>5</v>
      </c>
      <c r="V19" s="4" t="s">
        <v>5</v>
      </c>
      <c r="W19" s="4" t="s">
        <v>5</v>
      </c>
      <c r="X19" s="4" t="s">
        <v>5</v>
      </c>
      <c r="Y19" s="4" t="s">
        <v>5</v>
      </c>
      <c r="Z19" s="4" t="s">
        <v>5</v>
      </c>
      <c r="AA19" s="4" t="s">
        <v>5</v>
      </c>
      <c r="AB19" s="4" t="s">
        <v>5</v>
      </c>
      <c r="AC19" s="4" t="s">
        <v>5</v>
      </c>
      <c r="AD19" s="4" t="s">
        <v>5</v>
      </c>
      <c r="AE19" s="4" t="s">
        <v>5</v>
      </c>
      <c r="AF19" s="4" t="s">
        <v>5</v>
      </c>
      <c r="AG19" s="4" t="s">
        <v>5</v>
      </c>
      <c r="AH19" s="4" t="s">
        <v>5</v>
      </c>
      <c r="AI19" s="4" t="s">
        <v>5</v>
      </c>
      <c r="AJ19" s="4" t="s">
        <v>5</v>
      </c>
      <c r="AK19" s="4" t="s">
        <v>5</v>
      </c>
    </row>
    <row r="20" spans="1:37" x14ac:dyDescent="0.25">
      <c r="A20" s="13" t="str">
        <f>IF(AND($E20="",MAX($A$8:$A19)=0),"",IF(AND($E20&lt;&gt;"",MAX($A$8:$A19)=0),1,IF(AND($E20&lt;&gt;"",MAX($A$8:$A19)&gt;0),MAX($A$8:$A19)+1,"")))</f>
        <v/>
      </c>
      <c r="B20" s="11">
        <v>13</v>
      </c>
      <c r="C20" s="19" t="str">
        <f t="shared" si="0"/>
        <v>EMPTY</v>
      </c>
      <c r="D20" s="3" t="str">
        <f t="shared" si="4"/>
        <v/>
      </c>
      <c r="E20" s="22"/>
      <c r="F20" s="8" t="str">
        <f t="shared" si="2"/>
        <v/>
      </c>
      <c r="G20" t="s">
        <v>5</v>
      </c>
      <c r="H20" s="4" t="s">
        <v>5</v>
      </c>
      <c r="I20" s="4" t="s">
        <v>5</v>
      </c>
      <c r="J20" s="4" t="s">
        <v>5</v>
      </c>
      <c r="K20" s="4" t="s">
        <v>5</v>
      </c>
      <c r="L20" s="4" t="s">
        <v>5</v>
      </c>
      <c r="M20" s="4" t="s">
        <v>5</v>
      </c>
      <c r="N20" s="4" t="s">
        <v>5</v>
      </c>
      <c r="O20" s="4" t="s">
        <v>5</v>
      </c>
      <c r="P20" s="4" t="s">
        <v>5</v>
      </c>
      <c r="Q20" s="4" t="s">
        <v>5</v>
      </c>
      <c r="R20" s="4" t="s">
        <v>5</v>
      </c>
      <c r="S20" s="4" t="s">
        <v>5</v>
      </c>
      <c r="T20" s="4" t="s">
        <v>5</v>
      </c>
      <c r="U20" s="4" t="s">
        <v>5</v>
      </c>
      <c r="V20" s="4" t="s">
        <v>5</v>
      </c>
      <c r="W20" s="4" t="s">
        <v>5</v>
      </c>
      <c r="X20" s="4" t="s">
        <v>5</v>
      </c>
      <c r="Y20" s="4" t="s">
        <v>5</v>
      </c>
      <c r="Z20" s="4" t="s">
        <v>5</v>
      </c>
      <c r="AA20" s="4" t="s">
        <v>5</v>
      </c>
      <c r="AB20" s="4" t="s">
        <v>5</v>
      </c>
      <c r="AC20" s="4" t="s">
        <v>5</v>
      </c>
      <c r="AD20" s="4" t="s">
        <v>5</v>
      </c>
      <c r="AE20" s="4" t="s">
        <v>5</v>
      </c>
      <c r="AF20" s="4" t="s">
        <v>5</v>
      </c>
      <c r="AG20" s="4" t="s">
        <v>5</v>
      </c>
      <c r="AH20" s="4" t="s">
        <v>5</v>
      </c>
      <c r="AI20" s="4" t="s">
        <v>5</v>
      </c>
      <c r="AJ20" s="4" t="s">
        <v>5</v>
      </c>
      <c r="AK20" s="4" t="s">
        <v>5</v>
      </c>
    </row>
    <row r="21" spans="1:37" x14ac:dyDescent="0.25">
      <c r="A21" s="13" t="str">
        <f>IF(AND($E21="",MAX($A$8:$A20)=0),"",IF(AND($E21&lt;&gt;"",MAX($A$8:$A20)=0),1,IF(AND($E21&lt;&gt;"",MAX($A$8:$A20)&gt;0),MAX($A$8:$A20)+1,"")))</f>
        <v/>
      </c>
      <c r="B21" s="11">
        <v>14</v>
      </c>
      <c r="C21" s="19" t="str">
        <f t="shared" si="0"/>
        <v>EMPTY</v>
      </c>
      <c r="D21" s="3" t="str">
        <f t="shared" si="4"/>
        <v/>
      </c>
      <c r="E21" s="22"/>
      <c r="F21" s="8" t="str">
        <f t="shared" si="2"/>
        <v/>
      </c>
      <c r="G21" t="s">
        <v>5</v>
      </c>
      <c r="H21" s="4" t="s">
        <v>5</v>
      </c>
      <c r="I21" s="4" t="s">
        <v>5</v>
      </c>
      <c r="J21" s="4" t="s">
        <v>5</v>
      </c>
      <c r="K21" s="4" t="s">
        <v>5</v>
      </c>
      <c r="L21" s="4" t="s">
        <v>5</v>
      </c>
      <c r="M21" s="4" t="s">
        <v>5</v>
      </c>
      <c r="N21" s="4" t="s">
        <v>5</v>
      </c>
      <c r="O21" s="4" t="s">
        <v>5</v>
      </c>
      <c r="P21" s="4" t="s">
        <v>5</v>
      </c>
      <c r="Q21" s="4" t="s">
        <v>5</v>
      </c>
      <c r="R21" s="4" t="s">
        <v>5</v>
      </c>
      <c r="S21" s="4" t="s">
        <v>5</v>
      </c>
      <c r="T21" s="4" t="s">
        <v>5</v>
      </c>
      <c r="U21" s="4" t="s">
        <v>5</v>
      </c>
      <c r="V21" s="4" t="s">
        <v>5</v>
      </c>
      <c r="W21" s="4" t="s">
        <v>5</v>
      </c>
      <c r="X21" s="4" t="s">
        <v>5</v>
      </c>
      <c r="Y21" s="4" t="s">
        <v>5</v>
      </c>
      <c r="Z21" s="4" t="s">
        <v>5</v>
      </c>
      <c r="AA21" s="4" t="s">
        <v>5</v>
      </c>
      <c r="AB21" s="4" t="s">
        <v>5</v>
      </c>
      <c r="AC21" s="4" t="s">
        <v>5</v>
      </c>
      <c r="AD21" s="4" t="s">
        <v>5</v>
      </c>
      <c r="AE21" s="4" t="s">
        <v>5</v>
      </c>
      <c r="AF21" s="4" t="s">
        <v>5</v>
      </c>
      <c r="AG21" s="4" t="s">
        <v>5</v>
      </c>
      <c r="AH21" s="4" t="s">
        <v>5</v>
      </c>
      <c r="AI21" s="4" t="s">
        <v>5</v>
      </c>
      <c r="AJ21" s="4" t="s">
        <v>5</v>
      </c>
      <c r="AK21" s="4" t="s">
        <v>5</v>
      </c>
    </row>
    <row r="22" spans="1:37" x14ac:dyDescent="0.25">
      <c r="A22" s="13" t="str">
        <f>IF(AND($E22="",MAX($A$8:$A21)=0),"",IF(AND($E22&lt;&gt;"",MAX($A$8:$A21)=0),1,IF(AND($E22&lt;&gt;"",MAX($A$8:$A21)&gt;0),MAX($A$8:$A21)+1,"")))</f>
        <v/>
      </c>
      <c r="B22" s="11">
        <v>15</v>
      </c>
      <c r="C22" s="19" t="str">
        <f t="shared" si="0"/>
        <v>EMPTY</v>
      </c>
      <c r="D22" s="3" t="str">
        <f t="shared" si="4"/>
        <v/>
      </c>
      <c r="E22" s="22"/>
      <c r="F22" s="8" t="str">
        <f t="shared" si="2"/>
        <v/>
      </c>
      <c r="G22" t="s">
        <v>5</v>
      </c>
      <c r="H22" s="4" t="s">
        <v>5</v>
      </c>
      <c r="I22" s="4" t="s">
        <v>5</v>
      </c>
      <c r="J22" s="4" t="s">
        <v>5</v>
      </c>
      <c r="K22" s="4" t="s">
        <v>5</v>
      </c>
      <c r="L22" s="4" t="s">
        <v>5</v>
      </c>
      <c r="M22" s="4" t="s">
        <v>5</v>
      </c>
      <c r="N22" s="4" t="s">
        <v>5</v>
      </c>
      <c r="O22" s="4" t="s">
        <v>5</v>
      </c>
      <c r="P22" s="4" t="s">
        <v>5</v>
      </c>
      <c r="Q22" s="4" t="s">
        <v>5</v>
      </c>
      <c r="R22" s="4" t="s">
        <v>5</v>
      </c>
      <c r="S22" s="4" t="s">
        <v>5</v>
      </c>
      <c r="T22" s="4" t="s">
        <v>5</v>
      </c>
      <c r="U22" s="4" t="s">
        <v>5</v>
      </c>
      <c r="V22" s="4" t="s">
        <v>5</v>
      </c>
      <c r="W22" s="4" t="s">
        <v>5</v>
      </c>
      <c r="X22" s="4" t="s">
        <v>5</v>
      </c>
      <c r="Y22" s="4" t="s">
        <v>5</v>
      </c>
      <c r="Z22" s="4" t="s">
        <v>5</v>
      </c>
      <c r="AA22" s="4" t="s">
        <v>5</v>
      </c>
      <c r="AB22" s="4" t="s">
        <v>5</v>
      </c>
      <c r="AC22" s="4" t="s">
        <v>5</v>
      </c>
      <c r="AD22" s="4" t="s">
        <v>5</v>
      </c>
      <c r="AE22" s="4" t="s">
        <v>5</v>
      </c>
      <c r="AF22" s="4" t="s">
        <v>5</v>
      </c>
      <c r="AG22" s="4" t="s">
        <v>5</v>
      </c>
      <c r="AH22" s="4" t="s">
        <v>5</v>
      </c>
      <c r="AI22" s="4" t="s">
        <v>5</v>
      </c>
      <c r="AJ22" s="4" t="s">
        <v>5</v>
      </c>
      <c r="AK22" s="4" t="s">
        <v>5</v>
      </c>
    </row>
    <row r="23" spans="1:37" x14ac:dyDescent="0.25">
      <c r="A23" s="13" t="str">
        <f>IF(AND($E23="",MAX($A$8:$A22)=0),"",IF(AND($E23&lt;&gt;"",MAX($A$8:$A22)=0),1,IF(AND($E23&lt;&gt;"",MAX($A$8:$A22)&gt;0),MAX($A$8:$A22)+1,"")))</f>
        <v/>
      </c>
      <c r="B23" s="11">
        <v>16</v>
      </c>
      <c r="C23" s="19" t="str">
        <f t="shared" si="0"/>
        <v>EMPTY</v>
      </c>
      <c r="D23" s="3" t="str">
        <f t="shared" si="4"/>
        <v/>
      </c>
      <c r="E23" s="22"/>
      <c r="F23" s="8" t="str">
        <f t="shared" si="2"/>
        <v/>
      </c>
      <c r="G23" t="s">
        <v>5</v>
      </c>
      <c r="H23" s="4" t="s">
        <v>5</v>
      </c>
      <c r="I23" s="4" t="s">
        <v>5</v>
      </c>
      <c r="J23" s="4" t="s">
        <v>5</v>
      </c>
      <c r="K23" s="4" t="s">
        <v>5</v>
      </c>
      <c r="L23" s="4" t="s">
        <v>5</v>
      </c>
      <c r="M23" s="4" t="s">
        <v>5</v>
      </c>
      <c r="N23" s="4" t="s">
        <v>5</v>
      </c>
      <c r="O23" s="4" t="s">
        <v>5</v>
      </c>
      <c r="P23" s="4" t="s">
        <v>5</v>
      </c>
      <c r="Q23" s="4" t="s">
        <v>5</v>
      </c>
      <c r="R23" s="4" t="s">
        <v>5</v>
      </c>
      <c r="S23" s="4" t="s">
        <v>5</v>
      </c>
      <c r="T23" s="4" t="s">
        <v>5</v>
      </c>
      <c r="U23" s="4" t="s">
        <v>5</v>
      </c>
      <c r="V23" s="4" t="s">
        <v>5</v>
      </c>
      <c r="W23" s="4" t="s">
        <v>5</v>
      </c>
      <c r="X23" s="4" t="s">
        <v>5</v>
      </c>
      <c r="Y23" s="4" t="s">
        <v>5</v>
      </c>
      <c r="Z23" s="4" t="s">
        <v>5</v>
      </c>
      <c r="AA23" s="4" t="s">
        <v>5</v>
      </c>
      <c r="AB23" s="4" t="s">
        <v>5</v>
      </c>
      <c r="AC23" s="4" t="s">
        <v>5</v>
      </c>
      <c r="AD23" s="4" t="s">
        <v>5</v>
      </c>
      <c r="AE23" s="4" t="s">
        <v>5</v>
      </c>
      <c r="AF23" s="4" t="s">
        <v>5</v>
      </c>
      <c r="AG23" s="4" t="s">
        <v>5</v>
      </c>
      <c r="AH23" s="4" t="s">
        <v>5</v>
      </c>
      <c r="AI23" s="4" t="s">
        <v>5</v>
      </c>
      <c r="AJ23" s="4" t="s">
        <v>5</v>
      </c>
      <c r="AK23" s="4" t="s">
        <v>5</v>
      </c>
    </row>
    <row r="24" spans="1:37" x14ac:dyDescent="0.25">
      <c r="A24" s="13" t="str">
        <f>IF(AND($E24="",MAX($A$8:$A23)=0),"",IF(AND($E24&lt;&gt;"",MAX($A$8:$A23)=0),1,IF(AND($E24&lt;&gt;"",MAX($A$8:$A23)&gt;0),MAX($A$8:$A23)+1,"")))</f>
        <v/>
      </c>
      <c r="B24" s="11">
        <v>17</v>
      </c>
      <c r="C24" s="19" t="str">
        <f t="shared" si="0"/>
        <v>EMPTY</v>
      </c>
      <c r="D24" s="3" t="str">
        <f t="shared" si="4"/>
        <v/>
      </c>
      <c r="E24" s="22"/>
      <c r="F24" s="8" t="str">
        <f t="shared" si="2"/>
        <v/>
      </c>
      <c r="G24" t="s">
        <v>5</v>
      </c>
      <c r="H24" s="4" t="s">
        <v>5</v>
      </c>
      <c r="I24" s="4" t="s">
        <v>5</v>
      </c>
      <c r="J24" s="4" t="s">
        <v>5</v>
      </c>
      <c r="K24" s="4" t="s">
        <v>5</v>
      </c>
      <c r="L24" s="4" t="s">
        <v>5</v>
      </c>
      <c r="M24" s="4" t="s">
        <v>5</v>
      </c>
      <c r="N24" s="4" t="s">
        <v>5</v>
      </c>
      <c r="O24" s="4" t="s">
        <v>5</v>
      </c>
      <c r="P24" s="4" t="s">
        <v>5</v>
      </c>
      <c r="Q24" s="4" t="s">
        <v>5</v>
      </c>
      <c r="R24" s="4" t="s">
        <v>5</v>
      </c>
      <c r="S24" s="4" t="s">
        <v>5</v>
      </c>
      <c r="T24" s="4" t="s">
        <v>5</v>
      </c>
      <c r="U24" s="4" t="s">
        <v>5</v>
      </c>
      <c r="V24" s="4" t="s">
        <v>5</v>
      </c>
      <c r="W24" s="4" t="s">
        <v>5</v>
      </c>
      <c r="X24" s="4" t="s">
        <v>5</v>
      </c>
      <c r="Y24" s="4" t="s">
        <v>5</v>
      </c>
      <c r="Z24" s="4" t="s">
        <v>5</v>
      </c>
      <c r="AA24" s="4" t="s">
        <v>5</v>
      </c>
      <c r="AB24" s="4" t="s">
        <v>5</v>
      </c>
      <c r="AC24" s="4" t="s">
        <v>5</v>
      </c>
      <c r="AD24" s="4" t="s">
        <v>5</v>
      </c>
      <c r="AE24" s="4" t="s">
        <v>5</v>
      </c>
      <c r="AF24" s="4" t="s">
        <v>5</v>
      </c>
      <c r="AG24" s="4" t="s">
        <v>5</v>
      </c>
      <c r="AH24" s="4" t="s">
        <v>5</v>
      </c>
      <c r="AI24" s="4" t="s">
        <v>5</v>
      </c>
      <c r="AJ24" s="4" t="s">
        <v>5</v>
      </c>
      <c r="AK24" s="4" t="s">
        <v>5</v>
      </c>
    </row>
    <row r="25" spans="1:37" x14ac:dyDescent="0.25">
      <c r="A25" s="13" t="str">
        <f>IF(AND($E25="",MAX($A$8:$A24)=0),"",IF(AND($E25&lt;&gt;"",MAX($A$8:$A24)=0),1,IF(AND($E25&lt;&gt;"",MAX($A$8:$A24)&gt;0),MAX($A$8:$A24)+1,"")))</f>
        <v/>
      </c>
      <c r="B25" s="11">
        <v>18</v>
      </c>
      <c r="C25" s="19" t="str">
        <f t="shared" si="0"/>
        <v>EMPTY</v>
      </c>
      <c r="D25" s="3" t="str">
        <f t="shared" si="4"/>
        <v/>
      </c>
      <c r="E25" s="22"/>
      <c r="F25" s="8" t="str">
        <f t="shared" si="2"/>
        <v/>
      </c>
      <c r="G25" t="s">
        <v>5</v>
      </c>
      <c r="H25" s="4" t="s">
        <v>5</v>
      </c>
      <c r="I25" s="4" t="s">
        <v>5</v>
      </c>
      <c r="J25" s="4" t="s">
        <v>5</v>
      </c>
      <c r="K25" s="4" t="s">
        <v>5</v>
      </c>
      <c r="L25" s="4" t="s">
        <v>5</v>
      </c>
      <c r="M25" s="4" t="s">
        <v>5</v>
      </c>
      <c r="N25" s="4" t="s">
        <v>5</v>
      </c>
      <c r="O25" s="4" t="s">
        <v>5</v>
      </c>
      <c r="P25" s="4" t="s">
        <v>5</v>
      </c>
      <c r="Q25" s="4" t="s">
        <v>5</v>
      </c>
      <c r="R25" s="4" t="s">
        <v>5</v>
      </c>
      <c r="S25" s="4" t="s">
        <v>5</v>
      </c>
      <c r="T25" s="4" t="s">
        <v>5</v>
      </c>
      <c r="U25" s="4" t="s">
        <v>5</v>
      </c>
      <c r="V25" s="4" t="s">
        <v>5</v>
      </c>
      <c r="W25" s="4" t="s">
        <v>5</v>
      </c>
      <c r="X25" s="4" t="s">
        <v>5</v>
      </c>
      <c r="Y25" s="4" t="s">
        <v>5</v>
      </c>
      <c r="Z25" s="4" t="s">
        <v>5</v>
      </c>
      <c r="AA25" s="4" t="s">
        <v>5</v>
      </c>
      <c r="AB25" s="4" t="s">
        <v>5</v>
      </c>
      <c r="AC25" s="4" t="s">
        <v>5</v>
      </c>
      <c r="AD25" s="4" t="s">
        <v>5</v>
      </c>
      <c r="AE25" s="4" t="s">
        <v>5</v>
      </c>
      <c r="AF25" s="4" t="s">
        <v>5</v>
      </c>
      <c r="AG25" s="4" t="s">
        <v>5</v>
      </c>
      <c r="AH25" s="4" t="s">
        <v>5</v>
      </c>
      <c r="AI25" s="4" t="s">
        <v>5</v>
      </c>
      <c r="AJ25" s="4" t="s">
        <v>5</v>
      </c>
      <c r="AK25" s="4" t="s">
        <v>5</v>
      </c>
    </row>
    <row r="26" spans="1:37" x14ac:dyDescent="0.25">
      <c r="A26" s="13" t="str">
        <f>IF(AND($E26="",MAX($A$8:$A25)=0),"",IF(AND($E26&lt;&gt;"",MAX($A$8:$A25)=0),1,IF(AND($E26&lt;&gt;"",MAX($A$8:$A25)&gt;0),MAX($A$8:$A25)+1,"")))</f>
        <v/>
      </c>
      <c r="B26" s="11">
        <v>19</v>
      </c>
      <c r="C26" s="19" t="str">
        <f t="shared" si="0"/>
        <v>EMPTY</v>
      </c>
      <c r="D26" s="3" t="str">
        <f t="shared" si="4"/>
        <v/>
      </c>
      <c r="E26" s="22"/>
      <c r="F26" s="8" t="str">
        <f t="shared" si="2"/>
        <v/>
      </c>
      <c r="G26" t="s">
        <v>5</v>
      </c>
      <c r="H26" s="4" t="s">
        <v>5</v>
      </c>
      <c r="I26" s="4" t="s">
        <v>5</v>
      </c>
      <c r="J26" s="4" t="s">
        <v>5</v>
      </c>
      <c r="K26" s="4" t="s">
        <v>5</v>
      </c>
      <c r="L26" s="4" t="s">
        <v>5</v>
      </c>
      <c r="M26" s="4" t="s">
        <v>5</v>
      </c>
      <c r="N26" s="4" t="s">
        <v>5</v>
      </c>
      <c r="O26" s="4" t="s">
        <v>5</v>
      </c>
      <c r="P26" s="4" t="s">
        <v>5</v>
      </c>
      <c r="Q26" s="4" t="s">
        <v>5</v>
      </c>
      <c r="R26" s="4" t="s">
        <v>5</v>
      </c>
      <c r="S26" s="4" t="s">
        <v>5</v>
      </c>
      <c r="T26" s="4" t="s">
        <v>5</v>
      </c>
      <c r="U26" s="4" t="s">
        <v>5</v>
      </c>
      <c r="V26" s="4" t="s">
        <v>5</v>
      </c>
      <c r="W26" s="4" t="s">
        <v>5</v>
      </c>
      <c r="X26" s="4" t="s">
        <v>5</v>
      </c>
      <c r="Y26" s="4" t="s">
        <v>5</v>
      </c>
      <c r="Z26" s="4" t="s">
        <v>5</v>
      </c>
      <c r="AA26" s="4" t="s">
        <v>5</v>
      </c>
      <c r="AB26" s="4" t="s">
        <v>5</v>
      </c>
      <c r="AC26" s="4" t="s">
        <v>5</v>
      </c>
      <c r="AD26" s="4" t="s">
        <v>5</v>
      </c>
      <c r="AE26" s="4" t="s">
        <v>5</v>
      </c>
      <c r="AF26" s="4" t="s">
        <v>5</v>
      </c>
      <c r="AG26" s="4" t="s">
        <v>5</v>
      </c>
      <c r="AH26" s="4" t="s">
        <v>5</v>
      </c>
      <c r="AI26" s="4" t="s">
        <v>5</v>
      </c>
      <c r="AJ26" s="4" t="s">
        <v>5</v>
      </c>
      <c r="AK26" s="4" t="s">
        <v>5</v>
      </c>
    </row>
    <row r="27" spans="1:37" x14ac:dyDescent="0.25">
      <c r="A27" s="13" t="str">
        <f>IF(AND($E27="",MAX($A$8:$A26)=0),"",IF(AND($E27&lt;&gt;"",MAX($A$8:$A26)=0),1,IF(AND($E27&lt;&gt;"",MAX($A$8:$A26)&gt;0),MAX($A$8:$A26)+1,"")))</f>
        <v/>
      </c>
      <c r="B27" s="11">
        <v>20</v>
      </c>
      <c r="C27" s="19" t="str">
        <f t="shared" si="0"/>
        <v>EMPTY</v>
      </c>
      <c r="D27" s="3" t="str">
        <f t="shared" si="4"/>
        <v/>
      </c>
      <c r="E27" s="22"/>
      <c r="F27" s="8" t="str">
        <f t="shared" si="2"/>
        <v/>
      </c>
      <c r="G27" t="s">
        <v>5</v>
      </c>
      <c r="H27" s="4" t="s">
        <v>5</v>
      </c>
      <c r="I27" s="4" t="s">
        <v>5</v>
      </c>
      <c r="J27" s="4" t="s">
        <v>5</v>
      </c>
      <c r="K27" s="4" t="s">
        <v>5</v>
      </c>
      <c r="L27" s="4" t="s">
        <v>5</v>
      </c>
      <c r="M27" s="4" t="s">
        <v>5</v>
      </c>
      <c r="N27" s="4" t="s">
        <v>5</v>
      </c>
      <c r="O27" s="4" t="s">
        <v>5</v>
      </c>
      <c r="P27" s="4" t="s">
        <v>5</v>
      </c>
      <c r="Q27" s="4" t="s">
        <v>5</v>
      </c>
      <c r="R27" s="4" t="s">
        <v>5</v>
      </c>
      <c r="S27" s="4" t="s">
        <v>5</v>
      </c>
      <c r="T27" s="4" t="s">
        <v>5</v>
      </c>
      <c r="U27" s="4" t="s">
        <v>5</v>
      </c>
      <c r="V27" s="4" t="s">
        <v>5</v>
      </c>
      <c r="W27" s="4" t="s">
        <v>5</v>
      </c>
      <c r="X27" s="4" t="s">
        <v>5</v>
      </c>
      <c r="Y27" s="4" t="s">
        <v>5</v>
      </c>
      <c r="Z27" s="4" t="s">
        <v>5</v>
      </c>
      <c r="AA27" s="4" t="s">
        <v>5</v>
      </c>
      <c r="AB27" s="4" t="s">
        <v>5</v>
      </c>
      <c r="AC27" s="4" t="s">
        <v>5</v>
      </c>
      <c r="AD27" s="4" t="s">
        <v>5</v>
      </c>
      <c r="AE27" s="4" t="s">
        <v>5</v>
      </c>
      <c r="AF27" s="4" t="s">
        <v>5</v>
      </c>
      <c r="AG27" s="4" t="s">
        <v>5</v>
      </c>
      <c r="AH27" s="4" t="s">
        <v>5</v>
      </c>
      <c r="AI27" s="4" t="s">
        <v>5</v>
      </c>
      <c r="AJ27" s="4" t="s">
        <v>5</v>
      </c>
      <c r="AK27" s="4" t="s">
        <v>5</v>
      </c>
    </row>
    <row r="28" spans="1:37" x14ac:dyDescent="0.25">
      <c r="A28" s="13" t="str">
        <f>IF(AND($E28="",MAX($A$8:$A27)=0),"",IF(AND($E28&lt;&gt;"",MAX($A$8:$A27)=0),1,IF(AND($E28&lt;&gt;"",MAX($A$8:$A27)&gt;0),MAX($A$8:$A27)+1,"")))</f>
        <v/>
      </c>
      <c r="B28" s="11">
        <v>21</v>
      </c>
      <c r="C28" s="19" t="str">
        <f t="shared" si="0"/>
        <v>EMPTY</v>
      </c>
      <c r="D28" s="3" t="str">
        <f t="shared" si="4"/>
        <v/>
      </c>
      <c r="E28" s="22"/>
      <c r="F28" s="8" t="str">
        <f t="shared" si="2"/>
        <v/>
      </c>
      <c r="G28" t="s">
        <v>5</v>
      </c>
      <c r="H28" s="4" t="s">
        <v>5</v>
      </c>
      <c r="I28" s="4" t="s">
        <v>5</v>
      </c>
      <c r="J28" s="4" t="s">
        <v>5</v>
      </c>
      <c r="K28" s="4" t="s">
        <v>5</v>
      </c>
      <c r="L28" s="4" t="s">
        <v>5</v>
      </c>
      <c r="M28" s="4" t="s">
        <v>5</v>
      </c>
      <c r="N28" s="4" t="s">
        <v>5</v>
      </c>
      <c r="O28" s="4" t="s">
        <v>5</v>
      </c>
      <c r="P28" s="4" t="s">
        <v>5</v>
      </c>
      <c r="Q28" s="4" t="s">
        <v>5</v>
      </c>
      <c r="R28" s="4" t="s">
        <v>5</v>
      </c>
      <c r="S28" s="4" t="s">
        <v>5</v>
      </c>
      <c r="T28" s="4" t="s">
        <v>5</v>
      </c>
      <c r="U28" s="4" t="s">
        <v>5</v>
      </c>
      <c r="V28" s="4" t="s">
        <v>5</v>
      </c>
      <c r="W28" s="4" t="s">
        <v>5</v>
      </c>
      <c r="X28" s="4" t="s">
        <v>5</v>
      </c>
      <c r="Y28" s="4" t="s">
        <v>5</v>
      </c>
      <c r="Z28" s="4" t="s">
        <v>5</v>
      </c>
      <c r="AA28" s="4" t="s">
        <v>5</v>
      </c>
      <c r="AB28" s="4" t="s">
        <v>5</v>
      </c>
      <c r="AC28" s="4" t="s">
        <v>5</v>
      </c>
      <c r="AD28" s="4" t="s">
        <v>5</v>
      </c>
      <c r="AE28" s="4" t="s">
        <v>5</v>
      </c>
      <c r="AF28" s="4" t="s">
        <v>5</v>
      </c>
      <c r="AG28" s="4" t="s">
        <v>5</v>
      </c>
      <c r="AH28" s="4" t="s">
        <v>5</v>
      </c>
      <c r="AI28" s="4" t="s">
        <v>5</v>
      </c>
      <c r="AJ28" s="4" t="s">
        <v>5</v>
      </c>
      <c r="AK28" s="4" t="s">
        <v>5</v>
      </c>
    </row>
    <row r="29" spans="1:37" x14ac:dyDescent="0.25">
      <c r="A29" s="13" t="str">
        <f>IF(AND($E29="",MAX($A$8:$A28)=0),"",IF(AND($E29&lt;&gt;"",MAX($A$8:$A28)=0),1,IF(AND($E29&lt;&gt;"",MAX($A$8:$A28)&gt;0),MAX($A$8:$A28)+1,"")))</f>
        <v/>
      </c>
      <c r="B29" s="11">
        <v>22</v>
      </c>
      <c r="C29" s="19" t="str">
        <f t="shared" si="0"/>
        <v>EMPTY</v>
      </c>
      <c r="D29" s="3" t="str">
        <f t="shared" si="4"/>
        <v/>
      </c>
      <c r="E29" s="22"/>
      <c r="F29" s="8" t="str">
        <f t="shared" si="2"/>
        <v/>
      </c>
      <c r="G29" t="s">
        <v>5</v>
      </c>
      <c r="H29" s="4" t="s">
        <v>5</v>
      </c>
      <c r="I29" s="4" t="s">
        <v>5</v>
      </c>
      <c r="J29" s="4" t="s">
        <v>5</v>
      </c>
      <c r="K29" s="4" t="s">
        <v>5</v>
      </c>
      <c r="L29" s="4" t="s">
        <v>5</v>
      </c>
      <c r="M29" s="4" t="s">
        <v>5</v>
      </c>
      <c r="N29" s="4" t="s">
        <v>5</v>
      </c>
      <c r="O29" s="4" t="s">
        <v>5</v>
      </c>
      <c r="P29" s="4" t="s">
        <v>5</v>
      </c>
      <c r="Q29" s="4" t="s">
        <v>5</v>
      </c>
      <c r="R29" s="4" t="s">
        <v>5</v>
      </c>
      <c r="S29" s="4" t="s">
        <v>5</v>
      </c>
      <c r="T29" s="4" t="s">
        <v>5</v>
      </c>
      <c r="U29" s="4" t="s">
        <v>5</v>
      </c>
      <c r="V29" s="4" t="s">
        <v>5</v>
      </c>
      <c r="W29" s="4" t="s">
        <v>5</v>
      </c>
      <c r="X29" s="4" t="s">
        <v>5</v>
      </c>
      <c r="Y29" s="4" t="s">
        <v>5</v>
      </c>
      <c r="Z29" s="4" t="s">
        <v>5</v>
      </c>
      <c r="AA29" s="4" t="s">
        <v>5</v>
      </c>
      <c r="AB29" s="4" t="s">
        <v>5</v>
      </c>
      <c r="AC29" s="4" t="s">
        <v>5</v>
      </c>
      <c r="AD29" s="4" t="s">
        <v>5</v>
      </c>
      <c r="AE29" s="4" t="s">
        <v>5</v>
      </c>
      <c r="AF29" s="4" t="s">
        <v>5</v>
      </c>
      <c r="AG29" s="4" t="s">
        <v>5</v>
      </c>
      <c r="AH29" s="4" t="s">
        <v>5</v>
      </c>
      <c r="AI29" s="4" t="s">
        <v>5</v>
      </c>
      <c r="AJ29" s="4" t="s">
        <v>5</v>
      </c>
      <c r="AK29" s="4" t="s">
        <v>5</v>
      </c>
    </row>
    <row r="30" spans="1:37" x14ac:dyDescent="0.25">
      <c r="A30" s="13" t="str">
        <f>IF(AND($E30="",MAX($A$8:$A29)=0),"",IF(AND($E30&lt;&gt;"",MAX($A$8:$A29)=0),1,IF(AND($E30&lt;&gt;"",MAX($A$8:$A29)&gt;0),MAX($A$8:$A29)+1,"")))</f>
        <v/>
      </c>
      <c r="B30" s="11">
        <v>23</v>
      </c>
      <c r="C30" s="19" t="str">
        <f t="shared" si="0"/>
        <v>EMPTY</v>
      </c>
      <c r="D30" s="3" t="str">
        <f t="shared" si="4"/>
        <v/>
      </c>
      <c r="E30" s="22"/>
      <c r="F30" s="8" t="str">
        <f t="shared" si="2"/>
        <v/>
      </c>
      <c r="G30" t="s">
        <v>5</v>
      </c>
      <c r="H30" s="4" t="s">
        <v>5</v>
      </c>
      <c r="I30" s="4" t="s">
        <v>5</v>
      </c>
      <c r="J30" s="4" t="s">
        <v>5</v>
      </c>
      <c r="K30" s="4" t="s">
        <v>5</v>
      </c>
      <c r="L30" s="4" t="s">
        <v>5</v>
      </c>
      <c r="M30" s="4" t="s">
        <v>5</v>
      </c>
      <c r="N30" s="4" t="s">
        <v>5</v>
      </c>
      <c r="O30" s="4" t="s">
        <v>5</v>
      </c>
      <c r="P30" s="4" t="s">
        <v>5</v>
      </c>
      <c r="Q30" s="4" t="s">
        <v>5</v>
      </c>
      <c r="R30" s="4" t="s">
        <v>5</v>
      </c>
      <c r="S30" s="4" t="s">
        <v>5</v>
      </c>
      <c r="T30" s="4" t="s">
        <v>5</v>
      </c>
      <c r="U30" s="4" t="s">
        <v>5</v>
      </c>
      <c r="V30" s="4" t="s">
        <v>5</v>
      </c>
      <c r="W30" s="4" t="s">
        <v>5</v>
      </c>
      <c r="X30" s="4" t="s">
        <v>5</v>
      </c>
      <c r="Y30" s="4" t="s">
        <v>5</v>
      </c>
      <c r="Z30" s="4" t="s">
        <v>5</v>
      </c>
      <c r="AA30" s="4" t="s">
        <v>5</v>
      </c>
      <c r="AB30" s="4" t="s">
        <v>5</v>
      </c>
      <c r="AC30" s="4" t="s">
        <v>5</v>
      </c>
      <c r="AD30" s="4" t="s">
        <v>5</v>
      </c>
      <c r="AE30" s="4" t="s">
        <v>5</v>
      </c>
      <c r="AF30" s="4" t="s">
        <v>5</v>
      </c>
      <c r="AG30" s="4" t="s">
        <v>5</v>
      </c>
      <c r="AH30" s="4" t="s">
        <v>5</v>
      </c>
      <c r="AI30" s="4" t="s">
        <v>5</v>
      </c>
      <c r="AJ30" s="4" t="s">
        <v>5</v>
      </c>
      <c r="AK30" s="4" t="s">
        <v>5</v>
      </c>
    </row>
    <row r="31" spans="1:37" x14ac:dyDescent="0.25">
      <c r="A31" s="13" t="str">
        <f>IF(AND($E31="",MAX($A$8:$A30)=0),"",IF(AND($E31&lt;&gt;"",MAX($A$8:$A30)=0),1,IF(AND($E31&lt;&gt;"",MAX($A$8:$A30)&gt;0),MAX($A$8:$A30)+1,"")))</f>
        <v/>
      </c>
      <c r="B31" s="11">
        <v>24</v>
      </c>
      <c r="C31" s="19" t="str">
        <f t="shared" si="0"/>
        <v>EMPTY</v>
      </c>
      <c r="D31" s="3" t="str">
        <f t="shared" si="4"/>
        <v/>
      </c>
      <c r="E31" s="22"/>
      <c r="F31" s="8" t="str">
        <f t="shared" si="2"/>
        <v/>
      </c>
      <c r="G31" t="s">
        <v>5</v>
      </c>
      <c r="H31" s="4" t="s">
        <v>5</v>
      </c>
      <c r="I31" s="4" t="s">
        <v>5</v>
      </c>
      <c r="J31" s="4" t="s">
        <v>5</v>
      </c>
      <c r="K31" s="4" t="s">
        <v>5</v>
      </c>
      <c r="L31" s="4" t="s">
        <v>5</v>
      </c>
      <c r="M31" s="4" t="s">
        <v>5</v>
      </c>
      <c r="N31" s="4" t="s">
        <v>5</v>
      </c>
      <c r="O31" s="4" t="s">
        <v>5</v>
      </c>
      <c r="P31" s="4" t="s">
        <v>5</v>
      </c>
      <c r="Q31" s="4" t="s">
        <v>5</v>
      </c>
      <c r="R31" s="4" t="s">
        <v>5</v>
      </c>
      <c r="S31" s="4" t="s">
        <v>5</v>
      </c>
      <c r="T31" s="4" t="s">
        <v>5</v>
      </c>
      <c r="U31" s="4" t="s">
        <v>5</v>
      </c>
      <c r="V31" s="4" t="s">
        <v>5</v>
      </c>
      <c r="W31" s="4" t="s">
        <v>5</v>
      </c>
      <c r="X31" s="4" t="s">
        <v>5</v>
      </c>
      <c r="Y31" s="4" t="s">
        <v>5</v>
      </c>
      <c r="Z31" s="4" t="s">
        <v>5</v>
      </c>
      <c r="AA31" s="4" t="s">
        <v>5</v>
      </c>
      <c r="AB31" s="4" t="s">
        <v>5</v>
      </c>
      <c r="AC31" s="4" t="s">
        <v>5</v>
      </c>
      <c r="AD31" s="4" t="s">
        <v>5</v>
      </c>
      <c r="AE31" s="4" t="s">
        <v>5</v>
      </c>
      <c r="AF31" s="4" t="s">
        <v>5</v>
      </c>
      <c r="AG31" s="4" t="s">
        <v>5</v>
      </c>
      <c r="AH31" s="4" t="s">
        <v>5</v>
      </c>
      <c r="AI31" s="4" t="s">
        <v>5</v>
      </c>
      <c r="AJ31" s="4" t="s">
        <v>5</v>
      </c>
      <c r="AK31" s="4" t="s">
        <v>5</v>
      </c>
    </row>
    <row r="32" spans="1:37" x14ac:dyDescent="0.25">
      <c r="A32" s="13" t="str">
        <f>IF(AND($E32="",MAX($A$8:$A31)=0),"",IF(AND($E32&lt;&gt;"",MAX($A$8:$A31)=0),1,IF(AND($E32&lt;&gt;"",MAX($A$8:$A31)&gt;0),MAX($A$8:$A31)+1,"")))</f>
        <v/>
      </c>
      <c r="B32" s="11">
        <v>25</v>
      </c>
      <c r="C32" s="19" t="str">
        <f t="shared" si="0"/>
        <v>EMPTY</v>
      </c>
      <c r="D32" s="3" t="str">
        <f t="shared" si="4"/>
        <v/>
      </c>
      <c r="E32" s="22"/>
      <c r="F32" s="8" t="str">
        <f t="shared" si="2"/>
        <v/>
      </c>
      <c r="G32" t="s">
        <v>5</v>
      </c>
      <c r="H32" s="4" t="s">
        <v>5</v>
      </c>
      <c r="I32" s="4" t="s">
        <v>5</v>
      </c>
      <c r="J32" s="4" t="s">
        <v>5</v>
      </c>
      <c r="K32" s="4" t="s">
        <v>5</v>
      </c>
      <c r="L32" s="4" t="s">
        <v>5</v>
      </c>
      <c r="M32" s="4" t="s">
        <v>5</v>
      </c>
      <c r="N32" s="4" t="s">
        <v>5</v>
      </c>
      <c r="O32" s="4" t="s">
        <v>5</v>
      </c>
      <c r="P32" s="4" t="s">
        <v>5</v>
      </c>
      <c r="Q32" s="4" t="s">
        <v>5</v>
      </c>
      <c r="R32" s="4" t="s">
        <v>5</v>
      </c>
      <c r="S32" s="4" t="s">
        <v>5</v>
      </c>
      <c r="T32" s="4" t="s">
        <v>5</v>
      </c>
      <c r="U32" s="4" t="s">
        <v>5</v>
      </c>
      <c r="V32" s="4" t="s">
        <v>5</v>
      </c>
      <c r="W32" s="4" t="s">
        <v>5</v>
      </c>
      <c r="X32" s="4" t="s">
        <v>5</v>
      </c>
      <c r="Y32" s="4" t="s">
        <v>5</v>
      </c>
      <c r="Z32" s="4" t="s">
        <v>5</v>
      </c>
      <c r="AA32" s="4" t="s">
        <v>5</v>
      </c>
      <c r="AB32" s="4" t="s">
        <v>5</v>
      </c>
      <c r="AC32" s="4" t="s">
        <v>5</v>
      </c>
      <c r="AD32" s="4" t="s">
        <v>5</v>
      </c>
      <c r="AE32" s="4" t="s">
        <v>5</v>
      </c>
      <c r="AF32" s="4" t="s">
        <v>5</v>
      </c>
      <c r="AG32" s="4" t="s">
        <v>5</v>
      </c>
      <c r="AH32" s="4" t="s">
        <v>5</v>
      </c>
      <c r="AI32" s="4" t="s">
        <v>5</v>
      </c>
      <c r="AJ32" s="4" t="s">
        <v>5</v>
      </c>
      <c r="AK32" s="4" t="s">
        <v>5</v>
      </c>
    </row>
    <row r="33" spans="1:37" x14ac:dyDescent="0.25">
      <c r="A33" s="13" t="str">
        <f>IF(AND($E33="",MAX($A$8:$A32)=0),"",IF(AND($E33&lt;&gt;"",MAX($A$8:$A32)=0),1,IF(AND($E33&lt;&gt;"",MAX($A$8:$A32)&gt;0),MAX($A$8:$A32)+1,"")))</f>
        <v/>
      </c>
      <c r="B33" s="11">
        <v>26</v>
      </c>
      <c r="C33" s="19" t="str">
        <f t="shared" si="0"/>
        <v>EMPTY</v>
      </c>
      <c r="D33" s="3" t="str">
        <f t="shared" si="4"/>
        <v/>
      </c>
      <c r="E33" s="22"/>
      <c r="F33" s="8" t="str">
        <f t="shared" si="2"/>
        <v/>
      </c>
      <c r="G33" t="s">
        <v>5</v>
      </c>
      <c r="H33" s="4" t="s">
        <v>5</v>
      </c>
      <c r="I33" s="4" t="s">
        <v>5</v>
      </c>
      <c r="J33" s="4" t="s">
        <v>5</v>
      </c>
      <c r="K33" s="4" t="s">
        <v>5</v>
      </c>
      <c r="L33" s="4" t="s">
        <v>5</v>
      </c>
      <c r="M33" s="4" t="s">
        <v>5</v>
      </c>
      <c r="N33" s="4" t="s">
        <v>5</v>
      </c>
      <c r="O33" s="4" t="s">
        <v>5</v>
      </c>
      <c r="P33" s="4" t="s">
        <v>5</v>
      </c>
      <c r="Q33" s="4" t="s">
        <v>5</v>
      </c>
      <c r="R33" s="4" t="s">
        <v>5</v>
      </c>
      <c r="S33" s="4" t="s">
        <v>5</v>
      </c>
      <c r="T33" s="4" t="s">
        <v>5</v>
      </c>
      <c r="U33" s="4" t="s">
        <v>5</v>
      </c>
      <c r="V33" s="4" t="s">
        <v>5</v>
      </c>
      <c r="W33" s="4" t="s">
        <v>5</v>
      </c>
      <c r="X33" s="4" t="s">
        <v>5</v>
      </c>
      <c r="Y33" s="4" t="s">
        <v>5</v>
      </c>
      <c r="Z33" s="4" t="s">
        <v>5</v>
      </c>
      <c r="AA33" s="4" t="s">
        <v>5</v>
      </c>
      <c r="AB33" s="4" t="s">
        <v>5</v>
      </c>
      <c r="AC33" s="4" t="s">
        <v>5</v>
      </c>
      <c r="AD33" s="4" t="s">
        <v>5</v>
      </c>
      <c r="AE33" s="4" t="s">
        <v>5</v>
      </c>
      <c r="AF33" s="4" t="s">
        <v>5</v>
      </c>
      <c r="AG33" s="4" t="s">
        <v>5</v>
      </c>
      <c r="AH33" s="4" t="s">
        <v>5</v>
      </c>
      <c r="AI33" s="4" t="s">
        <v>5</v>
      </c>
      <c r="AJ33" s="4" t="s">
        <v>5</v>
      </c>
      <c r="AK33" s="4" t="s">
        <v>5</v>
      </c>
    </row>
    <row r="34" spans="1:37" x14ac:dyDescent="0.25">
      <c r="A34" s="13" t="str">
        <f>IF(AND($E34="",MAX($A$8:$A33)=0),"",IF(AND($E34&lt;&gt;"",MAX($A$8:$A33)=0),1,IF(AND($E34&lt;&gt;"",MAX($A$8:$A33)&gt;0),MAX($A$8:$A33)+1,"")))</f>
        <v/>
      </c>
      <c r="B34" s="11">
        <v>27</v>
      </c>
      <c r="C34" s="19" t="str">
        <f t="shared" si="0"/>
        <v>EMPTY</v>
      </c>
      <c r="D34" s="3" t="str">
        <f t="shared" si="4"/>
        <v/>
      </c>
      <c r="E34" s="22"/>
      <c r="F34" s="8" t="str">
        <f t="shared" si="2"/>
        <v/>
      </c>
      <c r="G34" t="s">
        <v>5</v>
      </c>
      <c r="H34" s="4" t="s">
        <v>5</v>
      </c>
      <c r="I34" s="4" t="s">
        <v>5</v>
      </c>
      <c r="J34" s="4" t="s">
        <v>5</v>
      </c>
      <c r="K34" s="4" t="s">
        <v>5</v>
      </c>
      <c r="L34" s="4" t="s">
        <v>5</v>
      </c>
      <c r="M34" s="4" t="s">
        <v>5</v>
      </c>
      <c r="N34" s="4" t="s">
        <v>5</v>
      </c>
      <c r="O34" s="4" t="s">
        <v>5</v>
      </c>
      <c r="P34" s="4" t="s">
        <v>5</v>
      </c>
      <c r="Q34" s="4" t="s">
        <v>5</v>
      </c>
      <c r="R34" s="4" t="s">
        <v>5</v>
      </c>
      <c r="S34" s="4" t="s">
        <v>5</v>
      </c>
      <c r="T34" s="4" t="s">
        <v>5</v>
      </c>
      <c r="U34" s="4" t="s">
        <v>5</v>
      </c>
      <c r="V34" s="4" t="s">
        <v>5</v>
      </c>
      <c r="W34" s="4" t="s">
        <v>5</v>
      </c>
      <c r="X34" s="4" t="s">
        <v>5</v>
      </c>
      <c r="Y34" s="4" t="s">
        <v>5</v>
      </c>
      <c r="Z34" s="4" t="s">
        <v>5</v>
      </c>
      <c r="AA34" s="4" t="s">
        <v>5</v>
      </c>
      <c r="AB34" s="4" t="s">
        <v>5</v>
      </c>
      <c r="AC34" s="4" t="s">
        <v>5</v>
      </c>
      <c r="AD34" s="4" t="s">
        <v>5</v>
      </c>
      <c r="AE34" s="4" t="s">
        <v>5</v>
      </c>
      <c r="AF34" s="4" t="s">
        <v>5</v>
      </c>
      <c r="AG34" s="4" t="s">
        <v>5</v>
      </c>
      <c r="AH34" s="4" t="s">
        <v>5</v>
      </c>
      <c r="AI34" s="4" t="s">
        <v>5</v>
      </c>
      <c r="AJ34" s="4" t="s">
        <v>5</v>
      </c>
      <c r="AK34" s="4" t="s">
        <v>5</v>
      </c>
    </row>
    <row r="35" spans="1:37" x14ac:dyDescent="0.25">
      <c r="A35" s="13" t="str">
        <f>IF(AND($E35="",MAX($A$8:$A34)=0),"",IF(AND($E35&lt;&gt;"",MAX($A$8:$A34)=0),1,IF(AND($E35&lt;&gt;"",MAX($A$8:$A34)&gt;0),MAX($A$8:$A34)+1,"")))</f>
        <v/>
      </c>
      <c r="B35" s="11">
        <v>28</v>
      </c>
      <c r="C35" s="19" t="str">
        <f t="shared" si="0"/>
        <v>EMPTY</v>
      </c>
      <c r="D35" s="3" t="str">
        <f t="shared" si="4"/>
        <v/>
      </c>
      <c r="E35" s="22"/>
      <c r="F35" s="8" t="str">
        <f t="shared" si="2"/>
        <v/>
      </c>
      <c r="G35" t="s">
        <v>5</v>
      </c>
      <c r="H35" s="4" t="s">
        <v>5</v>
      </c>
      <c r="I35" s="4" t="s">
        <v>5</v>
      </c>
      <c r="J35" s="4" t="s">
        <v>5</v>
      </c>
      <c r="K35" s="4" t="s">
        <v>5</v>
      </c>
      <c r="L35" s="4" t="s">
        <v>5</v>
      </c>
      <c r="M35" s="4" t="s">
        <v>5</v>
      </c>
      <c r="N35" s="4" t="s">
        <v>5</v>
      </c>
      <c r="O35" s="4" t="s">
        <v>5</v>
      </c>
      <c r="P35" s="4" t="s">
        <v>5</v>
      </c>
      <c r="Q35" s="4" t="s">
        <v>5</v>
      </c>
      <c r="R35" s="4" t="s">
        <v>5</v>
      </c>
      <c r="S35" s="4" t="s">
        <v>5</v>
      </c>
      <c r="T35" s="4" t="s">
        <v>5</v>
      </c>
      <c r="U35" s="4" t="s">
        <v>5</v>
      </c>
      <c r="V35" s="4" t="s">
        <v>5</v>
      </c>
      <c r="W35" s="4" t="s">
        <v>5</v>
      </c>
      <c r="X35" s="4" t="s">
        <v>5</v>
      </c>
      <c r="Y35" s="4" t="s">
        <v>5</v>
      </c>
      <c r="Z35" s="4" t="s">
        <v>5</v>
      </c>
      <c r="AA35" s="4" t="s">
        <v>5</v>
      </c>
      <c r="AB35" s="4" t="s">
        <v>5</v>
      </c>
      <c r="AC35" s="4" t="s">
        <v>5</v>
      </c>
      <c r="AD35" s="4" t="s">
        <v>5</v>
      </c>
      <c r="AE35" s="4" t="s">
        <v>5</v>
      </c>
      <c r="AF35" s="4" t="s">
        <v>5</v>
      </c>
      <c r="AG35" s="4" t="s">
        <v>5</v>
      </c>
      <c r="AH35" s="4" t="s">
        <v>5</v>
      </c>
      <c r="AI35" s="4" t="s">
        <v>5</v>
      </c>
      <c r="AJ35" s="4" t="s">
        <v>5</v>
      </c>
      <c r="AK35" s="4" t="s">
        <v>5</v>
      </c>
    </row>
    <row r="36" spans="1:37" x14ac:dyDescent="0.25">
      <c r="A36" s="13" t="str">
        <f>IF(AND($E36="",MAX($A$8:$A35)=0),"",IF(AND($E36&lt;&gt;"",MAX($A$8:$A35)=0),1,IF(AND($E36&lt;&gt;"",MAX($A$8:$A35)&gt;0),MAX($A$8:$A35)+1,"")))</f>
        <v/>
      </c>
      <c r="B36" s="11">
        <v>29</v>
      </c>
      <c r="C36" s="19" t="str">
        <f t="shared" si="0"/>
        <v>EMPTY</v>
      </c>
      <c r="D36" s="3" t="str">
        <f t="shared" si="4"/>
        <v/>
      </c>
      <c r="E36" s="22"/>
      <c r="F36" s="8" t="str">
        <f t="shared" si="2"/>
        <v/>
      </c>
      <c r="G36" t="s">
        <v>5</v>
      </c>
      <c r="H36" s="4" t="s">
        <v>5</v>
      </c>
      <c r="I36" s="4" t="s">
        <v>5</v>
      </c>
      <c r="J36" s="4" t="s">
        <v>5</v>
      </c>
      <c r="K36" s="4" t="s">
        <v>5</v>
      </c>
      <c r="L36" s="4" t="s">
        <v>5</v>
      </c>
      <c r="M36" s="4" t="s">
        <v>5</v>
      </c>
      <c r="N36" s="4" t="s">
        <v>5</v>
      </c>
      <c r="O36" s="4" t="s">
        <v>5</v>
      </c>
      <c r="P36" s="4" t="s">
        <v>5</v>
      </c>
      <c r="Q36" s="4" t="s">
        <v>5</v>
      </c>
      <c r="R36" s="4" t="s">
        <v>5</v>
      </c>
      <c r="S36" s="4" t="s">
        <v>5</v>
      </c>
      <c r="T36" s="4" t="s">
        <v>5</v>
      </c>
      <c r="U36" s="4" t="s">
        <v>5</v>
      </c>
      <c r="V36" s="4" t="s">
        <v>5</v>
      </c>
      <c r="W36" s="4" t="s">
        <v>5</v>
      </c>
      <c r="X36" s="4" t="s">
        <v>5</v>
      </c>
      <c r="Y36" s="4" t="s">
        <v>5</v>
      </c>
      <c r="Z36" s="4" t="s">
        <v>5</v>
      </c>
      <c r="AA36" s="4" t="s">
        <v>5</v>
      </c>
      <c r="AB36" s="4" t="s">
        <v>5</v>
      </c>
      <c r="AC36" s="4" t="s">
        <v>5</v>
      </c>
      <c r="AD36" s="4" t="s">
        <v>5</v>
      </c>
      <c r="AE36" s="4" t="s">
        <v>5</v>
      </c>
      <c r="AF36" s="4" t="s">
        <v>5</v>
      </c>
      <c r="AG36" s="4" t="s">
        <v>5</v>
      </c>
      <c r="AH36" s="4" t="s">
        <v>5</v>
      </c>
      <c r="AI36" s="4" t="s">
        <v>5</v>
      </c>
      <c r="AJ36" s="4" t="s">
        <v>5</v>
      </c>
      <c r="AK36" s="4" t="s">
        <v>5</v>
      </c>
    </row>
    <row r="37" spans="1:37" x14ac:dyDescent="0.25">
      <c r="A37" s="13" t="str">
        <f>IF(AND($E37="",MAX($A$8:$A36)=0),"",IF(AND($E37&lt;&gt;"",MAX($A$8:$A36)=0),1,IF(AND($E37&lt;&gt;"",MAX($A$8:$A36)&gt;0),MAX($A$8:$A36)+1,"")))</f>
        <v/>
      </c>
      <c r="B37" s="11">
        <v>30</v>
      </c>
      <c r="C37" s="19" t="str">
        <f t="shared" si="0"/>
        <v>EMPTY</v>
      </c>
      <c r="D37" s="3" t="str">
        <f t="shared" si="4"/>
        <v/>
      </c>
      <c r="E37" s="22"/>
      <c r="F37" s="8" t="str">
        <f t="shared" si="2"/>
        <v/>
      </c>
      <c r="G37" t="s">
        <v>5</v>
      </c>
      <c r="H37" s="4" t="s">
        <v>5</v>
      </c>
      <c r="I37" s="4" t="s">
        <v>5</v>
      </c>
      <c r="J37" s="4" t="s">
        <v>5</v>
      </c>
      <c r="K37" s="4" t="s">
        <v>5</v>
      </c>
      <c r="L37" s="4" t="s">
        <v>5</v>
      </c>
      <c r="M37" s="4" t="s">
        <v>5</v>
      </c>
      <c r="N37" s="4" t="s">
        <v>5</v>
      </c>
      <c r="O37" s="4" t="s">
        <v>5</v>
      </c>
      <c r="P37" s="4" t="s">
        <v>5</v>
      </c>
      <c r="Q37" s="4" t="s">
        <v>5</v>
      </c>
      <c r="R37" s="4" t="s">
        <v>5</v>
      </c>
      <c r="S37" s="4" t="s">
        <v>5</v>
      </c>
      <c r="T37" s="4" t="s">
        <v>5</v>
      </c>
      <c r="U37" s="4" t="s">
        <v>5</v>
      </c>
      <c r="V37" s="4" t="s">
        <v>5</v>
      </c>
      <c r="W37" s="4" t="s">
        <v>5</v>
      </c>
      <c r="X37" s="4" t="s">
        <v>5</v>
      </c>
      <c r="Y37" s="4" t="s">
        <v>5</v>
      </c>
      <c r="Z37" s="4" t="s">
        <v>5</v>
      </c>
      <c r="AA37" s="4" t="s">
        <v>5</v>
      </c>
      <c r="AB37" s="4" t="s">
        <v>5</v>
      </c>
      <c r="AC37" s="4" t="s">
        <v>5</v>
      </c>
      <c r="AD37" s="4" t="s">
        <v>5</v>
      </c>
      <c r="AE37" s="4" t="s">
        <v>5</v>
      </c>
      <c r="AF37" s="4" t="s">
        <v>5</v>
      </c>
      <c r="AG37" s="4" t="s">
        <v>5</v>
      </c>
      <c r="AH37" s="4" t="s">
        <v>5</v>
      </c>
      <c r="AI37" s="4" t="s">
        <v>5</v>
      </c>
      <c r="AJ37" s="4" t="s">
        <v>5</v>
      </c>
      <c r="AK37" s="4" t="s">
        <v>5</v>
      </c>
    </row>
    <row r="38" spans="1:37" x14ac:dyDescent="0.25">
      <c r="A38" s="13" t="str">
        <f>IF(AND($E38="",MAX($A$8:$A37)=0),"",IF(AND($E38&lt;&gt;"",MAX($A$8:$A37)=0),1,IF(AND($E38&lt;&gt;"",MAX($A$8:$A37)&gt;0),MAX($A$8:$A37)+1,"")))</f>
        <v/>
      </c>
      <c r="B38" s="11">
        <v>31</v>
      </c>
      <c r="C38" s="19" t="str">
        <f t="shared" si="0"/>
        <v>EMPTY</v>
      </c>
      <c r="D38" s="3" t="str">
        <f t="shared" si="4"/>
        <v/>
      </c>
      <c r="E38" s="22"/>
      <c r="F38" s="8" t="str">
        <f t="shared" si="2"/>
        <v/>
      </c>
      <c r="G38" t="s">
        <v>5</v>
      </c>
      <c r="H38" s="4" t="s">
        <v>5</v>
      </c>
      <c r="I38" s="4" t="s">
        <v>5</v>
      </c>
      <c r="J38" s="4" t="s">
        <v>5</v>
      </c>
      <c r="K38" s="4" t="s">
        <v>5</v>
      </c>
      <c r="L38" s="4" t="s">
        <v>5</v>
      </c>
      <c r="M38" s="4" t="s">
        <v>5</v>
      </c>
      <c r="N38" s="4" t="s">
        <v>5</v>
      </c>
      <c r="O38" s="4" t="s">
        <v>5</v>
      </c>
      <c r="P38" s="4" t="s">
        <v>5</v>
      </c>
      <c r="Q38" s="4" t="s">
        <v>5</v>
      </c>
      <c r="R38" s="4" t="s">
        <v>5</v>
      </c>
      <c r="S38" s="4" t="s">
        <v>5</v>
      </c>
      <c r="T38" s="4" t="s">
        <v>5</v>
      </c>
      <c r="U38" s="4" t="s">
        <v>5</v>
      </c>
      <c r="V38" s="4" t="s">
        <v>5</v>
      </c>
      <c r="W38" s="4" t="s">
        <v>5</v>
      </c>
      <c r="X38" s="4" t="s">
        <v>5</v>
      </c>
      <c r="Y38" s="4" t="s">
        <v>5</v>
      </c>
      <c r="Z38" s="4" t="s">
        <v>5</v>
      </c>
      <c r="AA38" s="4" t="s">
        <v>5</v>
      </c>
      <c r="AB38" s="4" t="s">
        <v>5</v>
      </c>
      <c r="AC38" s="4" t="s">
        <v>5</v>
      </c>
      <c r="AD38" s="4" t="s">
        <v>5</v>
      </c>
      <c r="AE38" s="4" t="s">
        <v>5</v>
      </c>
      <c r="AF38" s="4" t="s">
        <v>5</v>
      </c>
      <c r="AG38" s="4" t="s">
        <v>5</v>
      </c>
      <c r="AH38" s="4" t="s">
        <v>5</v>
      </c>
      <c r="AI38" s="4" t="s">
        <v>5</v>
      </c>
      <c r="AJ38" s="4" t="s">
        <v>5</v>
      </c>
      <c r="AK38" s="4" t="s">
        <v>5</v>
      </c>
    </row>
    <row r="39" spans="1:37" x14ac:dyDescent="0.25">
      <c r="A39" s="13" t="str">
        <f>IF(AND($E39="",MAX($A$8:$A38)=0),"",IF(AND($E39&lt;&gt;"",MAX($A$8:$A38)=0),1,IF(AND($E39&lt;&gt;"",MAX($A$8:$A38)&gt;0),MAX($A$8:$A38)+1,"")))</f>
        <v/>
      </c>
      <c r="B39" s="11">
        <v>32</v>
      </c>
      <c r="C39" s="19" t="str">
        <f t="shared" si="0"/>
        <v>EMPTY</v>
      </c>
      <c r="D39" s="3" t="str">
        <f t="shared" si="4"/>
        <v/>
      </c>
      <c r="E39" s="22"/>
      <c r="F39" s="8" t="str">
        <f t="shared" si="2"/>
        <v/>
      </c>
      <c r="G39" t="s">
        <v>5</v>
      </c>
      <c r="H39" s="4" t="s">
        <v>5</v>
      </c>
      <c r="I39" s="4" t="s">
        <v>5</v>
      </c>
      <c r="J39" s="4" t="s">
        <v>5</v>
      </c>
      <c r="K39" s="4" t="s">
        <v>5</v>
      </c>
      <c r="L39" s="4" t="s">
        <v>5</v>
      </c>
      <c r="M39" s="4" t="s">
        <v>5</v>
      </c>
      <c r="N39" s="4" t="s">
        <v>5</v>
      </c>
      <c r="O39" s="4" t="s">
        <v>5</v>
      </c>
      <c r="P39" s="4" t="s">
        <v>5</v>
      </c>
      <c r="Q39" s="4" t="s">
        <v>5</v>
      </c>
      <c r="R39" s="4" t="s">
        <v>5</v>
      </c>
      <c r="S39" s="4" t="s">
        <v>5</v>
      </c>
      <c r="T39" s="4" t="s">
        <v>5</v>
      </c>
      <c r="U39" s="4" t="s">
        <v>5</v>
      </c>
      <c r="V39" s="4" t="s">
        <v>5</v>
      </c>
      <c r="W39" s="4" t="s">
        <v>5</v>
      </c>
      <c r="X39" s="4" t="s">
        <v>5</v>
      </c>
      <c r="Y39" s="4" t="s">
        <v>5</v>
      </c>
      <c r="Z39" s="4" t="s">
        <v>5</v>
      </c>
      <c r="AA39" s="4" t="s">
        <v>5</v>
      </c>
      <c r="AB39" s="4" t="s">
        <v>5</v>
      </c>
      <c r="AC39" s="4" t="s">
        <v>5</v>
      </c>
      <c r="AD39" s="4" t="s">
        <v>5</v>
      </c>
      <c r="AE39" s="4" t="s">
        <v>5</v>
      </c>
      <c r="AF39" s="4" t="s">
        <v>5</v>
      </c>
      <c r="AG39" s="4" t="s">
        <v>5</v>
      </c>
      <c r="AH39" s="4" t="s">
        <v>5</v>
      </c>
      <c r="AI39" s="4" t="s">
        <v>5</v>
      </c>
      <c r="AJ39" s="4" t="s">
        <v>5</v>
      </c>
      <c r="AK39" s="4" t="s">
        <v>5</v>
      </c>
    </row>
    <row r="40" spans="1:37" x14ac:dyDescent="0.25">
      <c r="A40" s="13" t="str">
        <f>IF(AND($E40="",MAX($A$8:$A39)=0),"",IF(AND($E40&lt;&gt;"",MAX($A$8:$A39)=0),1,IF(AND($E40&lt;&gt;"",MAX($A$8:$A39)&gt;0),MAX($A$8:$A39)+1,"")))</f>
        <v/>
      </c>
      <c r="B40" s="11">
        <v>33</v>
      </c>
      <c r="C40" s="19" t="str">
        <f t="shared" si="0"/>
        <v>EMPTY</v>
      </c>
      <c r="D40" s="3" t="str">
        <f t="shared" si="4"/>
        <v/>
      </c>
      <c r="E40" s="22"/>
      <c r="F40" s="8" t="str">
        <f t="shared" si="2"/>
        <v/>
      </c>
      <c r="G40" t="s">
        <v>5</v>
      </c>
      <c r="H40" s="4" t="s">
        <v>5</v>
      </c>
      <c r="I40" s="4" t="s">
        <v>5</v>
      </c>
      <c r="J40" s="4" t="s">
        <v>5</v>
      </c>
      <c r="K40" s="4" t="s">
        <v>5</v>
      </c>
      <c r="L40" s="4" t="s">
        <v>5</v>
      </c>
      <c r="M40" s="4" t="s">
        <v>5</v>
      </c>
      <c r="N40" s="4" t="s">
        <v>5</v>
      </c>
      <c r="O40" s="4" t="s">
        <v>5</v>
      </c>
      <c r="P40" s="4" t="s">
        <v>5</v>
      </c>
      <c r="Q40" s="4" t="s">
        <v>5</v>
      </c>
      <c r="R40" s="4" t="s">
        <v>5</v>
      </c>
      <c r="S40" s="4" t="s">
        <v>5</v>
      </c>
      <c r="T40" s="4" t="s">
        <v>5</v>
      </c>
      <c r="U40" s="4" t="s">
        <v>5</v>
      </c>
      <c r="V40" s="4" t="s">
        <v>5</v>
      </c>
      <c r="W40" s="4" t="s">
        <v>5</v>
      </c>
      <c r="X40" s="4" t="s">
        <v>5</v>
      </c>
      <c r="Y40" s="4" t="s">
        <v>5</v>
      </c>
      <c r="Z40" s="4" t="s">
        <v>5</v>
      </c>
      <c r="AA40" s="4" t="s">
        <v>5</v>
      </c>
      <c r="AB40" s="4" t="s">
        <v>5</v>
      </c>
      <c r="AC40" s="4" t="s">
        <v>5</v>
      </c>
      <c r="AD40" s="4" t="s">
        <v>5</v>
      </c>
      <c r="AE40" s="4" t="s">
        <v>5</v>
      </c>
      <c r="AF40" s="4" t="s">
        <v>5</v>
      </c>
      <c r="AG40" s="4" t="s">
        <v>5</v>
      </c>
      <c r="AH40" s="4" t="s">
        <v>5</v>
      </c>
      <c r="AI40" s="4" t="s">
        <v>5</v>
      </c>
      <c r="AJ40" s="4" t="s">
        <v>5</v>
      </c>
      <c r="AK40" s="4" t="s">
        <v>5</v>
      </c>
    </row>
    <row r="41" spans="1:37" x14ac:dyDescent="0.25">
      <c r="A41" s="13" t="str">
        <f>IF(AND($E41="",MAX($A$8:$A40)=0),"",IF(AND($E41&lt;&gt;"",MAX($A$8:$A40)=0),1,IF(AND($E41&lt;&gt;"",MAX($A$8:$A40)&gt;0),MAX($A$8:$A40)+1,"")))</f>
        <v/>
      </c>
      <c r="B41" s="11">
        <v>34</v>
      </c>
      <c r="C41" s="19" t="str">
        <f t="shared" si="0"/>
        <v>EMPTY</v>
      </c>
      <c r="D41" s="3" t="str">
        <f t="shared" si="4"/>
        <v/>
      </c>
      <c r="E41" s="22"/>
      <c r="F41" s="8" t="str">
        <f t="shared" si="2"/>
        <v/>
      </c>
      <c r="G41" t="s">
        <v>5</v>
      </c>
      <c r="H41" s="4" t="s">
        <v>5</v>
      </c>
      <c r="I41" s="4" t="s">
        <v>5</v>
      </c>
      <c r="J41" s="4" t="s">
        <v>5</v>
      </c>
      <c r="K41" s="4" t="s">
        <v>5</v>
      </c>
      <c r="L41" s="4" t="s">
        <v>5</v>
      </c>
      <c r="M41" s="4" t="s">
        <v>5</v>
      </c>
      <c r="N41" s="4" t="s">
        <v>5</v>
      </c>
      <c r="O41" s="4" t="s">
        <v>5</v>
      </c>
      <c r="P41" s="4" t="s">
        <v>5</v>
      </c>
      <c r="Q41" s="4" t="s">
        <v>5</v>
      </c>
      <c r="R41" s="4" t="s">
        <v>5</v>
      </c>
      <c r="S41" s="4" t="s">
        <v>5</v>
      </c>
      <c r="T41" s="4" t="s">
        <v>5</v>
      </c>
      <c r="U41" s="4" t="s">
        <v>5</v>
      </c>
      <c r="V41" s="4" t="s">
        <v>5</v>
      </c>
      <c r="W41" s="4" t="s">
        <v>5</v>
      </c>
      <c r="X41" s="4" t="s">
        <v>5</v>
      </c>
      <c r="Y41" s="4" t="s">
        <v>5</v>
      </c>
      <c r="Z41" s="4" t="s">
        <v>5</v>
      </c>
      <c r="AA41" s="4" t="s">
        <v>5</v>
      </c>
      <c r="AB41" s="4" t="s">
        <v>5</v>
      </c>
      <c r="AC41" s="4" t="s">
        <v>5</v>
      </c>
      <c r="AD41" s="4" t="s">
        <v>5</v>
      </c>
      <c r="AE41" s="4" t="s">
        <v>5</v>
      </c>
      <c r="AF41" s="4" t="s">
        <v>5</v>
      </c>
      <c r="AG41" s="4" t="s">
        <v>5</v>
      </c>
      <c r="AH41" s="4" t="s">
        <v>5</v>
      </c>
      <c r="AI41" s="4" t="s">
        <v>5</v>
      </c>
      <c r="AJ41" s="4" t="s">
        <v>5</v>
      </c>
      <c r="AK41" s="4" t="s">
        <v>5</v>
      </c>
    </row>
    <row r="42" spans="1:37" x14ac:dyDescent="0.25">
      <c r="A42" s="13" t="str">
        <f>IF(AND($E42="",MAX($A$8:$A41)=0),"",IF(AND($E42&lt;&gt;"",MAX($A$8:$A41)=0),1,IF(AND($E42&lt;&gt;"",MAX($A$8:$A41)&gt;0),MAX($A$8:$A41)+1,"")))</f>
        <v/>
      </c>
      <c r="B42" s="11">
        <v>35</v>
      </c>
      <c r="C42" s="19" t="str">
        <f t="shared" si="0"/>
        <v>EMPTY</v>
      </c>
      <c r="D42" s="3" t="str">
        <f t="shared" si="4"/>
        <v/>
      </c>
      <c r="E42" s="22"/>
      <c r="F42" s="8" t="str">
        <f t="shared" si="2"/>
        <v/>
      </c>
      <c r="G42" t="s">
        <v>5</v>
      </c>
      <c r="H42" s="4" t="s">
        <v>5</v>
      </c>
      <c r="I42" s="4" t="s">
        <v>5</v>
      </c>
      <c r="J42" s="4" t="s">
        <v>5</v>
      </c>
      <c r="K42" s="4" t="s">
        <v>5</v>
      </c>
      <c r="L42" s="4" t="s">
        <v>5</v>
      </c>
      <c r="M42" s="4" t="s">
        <v>5</v>
      </c>
      <c r="N42" s="4" t="s">
        <v>5</v>
      </c>
      <c r="O42" s="4" t="s">
        <v>5</v>
      </c>
      <c r="P42" s="4" t="s">
        <v>5</v>
      </c>
      <c r="Q42" s="4" t="s">
        <v>5</v>
      </c>
      <c r="R42" s="4" t="s">
        <v>5</v>
      </c>
      <c r="S42" s="4" t="s">
        <v>5</v>
      </c>
      <c r="T42" s="4" t="s">
        <v>5</v>
      </c>
      <c r="U42" s="4" t="s">
        <v>5</v>
      </c>
      <c r="V42" s="4" t="s">
        <v>5</v>
      </c>
      <c r="W42" s="4" t="s">
        <v>5</v>
      </c>
      <c r="X42" s="4" t="s">
        <v>5</v>
      </c>
      <c r="Y42" s="4" t="s">
        <v>5</v>
      </c>
      <c r="Z42" s="4" t="s">
        <v>5</v>
      </c>
      <c r="AA42" s="4" t="s">
        <v>5</v>
      </c>
      <c r="AB42" s="4" t="s">
        <v>5</v>
      </c>
      <c r="AC42" s="4" t="s">
        <v>5</v>
      </c>
      <c r="AD42" s="4" t="s">
        <v>5</v>
      </c>
      <c r="AE42" s="4" t="s">
        <v>5</v>
      </c>
      <c r="AF42" s="4" t="s">
        <v>5</v>
      </c>
      <c r="AG42" s="4" t="s">
        <v>5</v>
      </c>
      <c r="AH42" s="4" t="s">
        <v>5</v>
      </c>
      <c r="AI42" s="4" t="s">
        <v>5</v>
      </c>
      <c r="AJ42" s="4" t="s">
        <v>5</v>
      </c>
      <c r="AK42" s="4" t="s">
        <v>5</v>
      </c>
    </row>
    <row r="43" spans="1:37" x14ac:dyDescent="0.25">
      <c r="A43" s="13" t="str">
        <f>IF(AND($E43="",MAX($A$8:$A42)=0),"",IF(AND($E43&lt;&gt;"",MAX($A$8:$A42)=0),1,IF(AND($E43&lt;&gt;"",MAX($A$8:$A42)&gt;0),MAX($A$8:$A42)+1,"")))</f>
        <v/>
      </c>
      <c r="B43" s="11">
        <v>36</v>
      </c>
      <c r="C43" s="19" t="str">
        <f t="shared" si="0"/>
        <v>EMPTY</v>
      </c>
      <c r="D43" s="3" t="str">
        <f t="shared" si="4"/>
        <v/>
      </c>
      <c r="E43" s="22"/>
      <c r="F43" s="8" t="str">
        <f t="shared" si="2"/>
        <v/>
      </c>
      <c r="G43" t="s">
        <v>5</v>
      </c>
      <c r="H43" s="4" t="s">
        <v>5</v>
      </c>
      <c r="I43" s="4" t="s">
        <v>5</v>
      </c>
      <c r="J43" s="4" t="s">
        <v>5</v>
      </c>
      <c r="K43" s="4" t="s">
        <v>5</v>
      </c>
      <c r="L43" s="4" t="s">
        <v>5</v>
      </c>
      <c r="M43" s="4" t="s">
        <v>5</v>
      </c>
      <c r="N43" s="4" t="s">
        <v>5</v>
      </c>
      <c r="O43" s="4" t="s">
        <v>5</v>
      </c>
      <c r="P43" s="4" t="s">
        <v>5</v>
      </c>
      <c r="Q43" s="4" t="s">
        <v>5</v>
      </c>
      <c r="R43" s="4" t="s">
        <v>5</v>
      </c>
      <c r="S43" s="4" t="s">
        <v>5</v>
      </c>
      <c r="T43" s="4" t="s">
        <v>5</v>
      </c>
      <c r="U43" s="4" t="s">
        <v>5</v>
      </c>
      <c r="V43" s="4" t="s">
        <v>5</v>
      </c>
      <c r="W43" s="4" t="s">
        <v>5</v>
      </c>
      <c r="X43" s="4" t="s">
        <v>5</v>
      </c>
      <c r="Y43" s="4" t="s">
        <v>5</v>
      </c>
      <c r="Z43" s="4" t="s">
        <v>5</v>
      </c>
      <c r="AA43" s="4" t="s">
        <v>5</v>
      </c>
      <c r="AB43" s="4" t="s">
        <v>5</v>
      </c>
      <c r="AC43" s="4" t="s">
        <v>5</v>
      </c>
      <c r="AD43" s="4" t="s">
        <v>5</v>
      </c>
      <c r="AE43" s="4" t="s">
        <v>5</v>
      </c>
      <c r="AF43" s="4" t="s">
        <v>5</v>
      </c>
      <c r="AG43" s="4" t="s">
        <v>5</v>
      </c>
      <c r="AH43" s="4" t="s">
        <v>5</v>
      </c>
      <c r="AI43" s="4" t="s">
        <v>5</v>
      </c>
      <c r="AJ43" s="4" t="s">
        <v>5</v>
      </c>
      <c r="AK43" s="4" t="s">
        <v>5</v>
      </c>
    </row>
    <row r="44" spans="1:37" x14ac:dyDescent="0.25">
      <c r="A44" s="13" t="str">
        <f>IF(AND($E44="",MAX($A$8:$A43)=0),"",IF(AND($E44&lt;&gt;"",MAX($A$8:$A43)=0),1,IF(AND($E44&lt;&gt;"",MAX($A$8:$A43)&gt;0),MAX($A$8:$A43)+1,"")))</f>
        <v/>
      </c>
      <c r="B44" s="11">
        <v>37</v>
      </c>
      <c r="C44" s="19" t="str">
        <f t="shared" si="0"/>
        <v>EMPTY</v>
      </c>
      <c r="D44" s="3" t="str">
        <f t="shared" si="4"/>
        <v/>
      </c>
      <c r="E44" s="22"/>
      <c r="F44" s="8" t="str">
        <f t="shared" si="2"/>
        <v/>
      </c>
      <c r="G44" t="s">
        <v>5</v>
      </c>
      <c r="H44" s="4" t="s">
        <v>5</v>
      </c>
      <c r="I44" s="4" t="s">
        <v>5</v>
      </c>
      <c r="J44" s="4" t="s">
        <v>5</v>
      </c>
      <c r="K44" s="4" t="s">
        <v>5</v>
      </c>
      <c r="L44" s="4" t="s">
        <v>5</v>
      </c>
      <c r="M44" s="4" t="s">
        <v>5</v>
      </c>
      <c r="N44" s="4" t="s">
        <v>5</v>
      </c>
      <c r="O44" s="4" t="s">
        <v>5</v>
      </c>
      <c r="P44" s="4" t="s">
        <v>5</v>
      </c>
      <c r="Q44" s="4" t="s">
        <v>5</v>
      </c>
      <c r="R44" s="4" t="s">
        <v>5</v>
      </c>
      <c r="S44" s="4" t="s">
        <v>5</v>
      </c>
      <c r="T44" s="4" t="s">
        <v>5</v>
      </c>
      <c r="U44" s="4" t="s">
        <v>5</v>
      </c>
      <c r="V44" s="4" t="s">
        <v>5</v>
      </c>
      <c r="W44" s="4" t="s">
        <v>5</v>
      </c>
      <c r="X44" s="4" t="s">
        <v>5</v>
      </c>
      <c r="Y44" s="4" t="s">
        <v>5</v>
      </c>
      <c r="Z44" s="4" t="s">
        <v>5</v>
      </c>
      <c r="AA44" s="4" t="s">
        <v>5</v>
      </c>
      <c r="AB44" s="4" t="s">
        <v>5</v>
      </c>
      <c r="AC44" s="4" t="s">
        <v>5</v>
      </c>
      <c r="AD44" s="4" t="s">
        <v>5</v>
      </c>
      <c r="AE44" s="4" t="s">
        <v>5</v>
      </c>
      <c r="AF44" s="4" t="s">
        <v>5</v>
      </c>
      <c r="AG44" s="4" t="s">
        <v>5</v>
      </c>
      <c r="AH44" s="4" t="s">
        <v>5</v>
      </c>
      <c r="AI44" s="4" t="s">
        <v>5</v>
      </c>
      <c r="AJ44" s="4" t="s">
        <v>5</v>
      </c>
      <c r="AK44" s="4" t="s">
        <v>5</v>
      </c>
    </row>
    <row r="45" spans="1:37" x14ac:dyDescent="0.25">
      <c r="A45" s="13" t="str">
        <f>IF(AND($E45="",MAX($A$8:$A44)=0),"",IF(AND($E45&lt;&gt;"",MAX($A$8:$A44)=0),1,IF(AND($E45&lt;&gt;"",MAX($A$8:$A44)&gt;0),MAX($A$8:$A44)+1,"")))</f>
        <v/>
      </c>
      <c r="B45" s="11">
        <v>38</v>
      </c>
      <c r="C45" s="19" t="str">
        <f t="shared" si="0"/>
        <v>EMPTY</v>
      </c>
      <c r="D45" s="3" t="str">
        <f t="shared" si="4"/>
        <v/>
      </c>
      <c r="E45" s="22"/>
      <c r="F45" s="8" t="str">
        <f t="shared" si="2"/>
        <v/>
      </c>
      <c r="G45" t="s">
        <v>5</v>
      </c>
      <c r="H45" s="4" t="s">
        <v>5</v>
      </c>
      <c r="I45" s="4" t="s">
        <v>5</v>
      </c>
      <c r="J45" s="4" t="s">
        <v>5</v>
      </c>
      <c r="K45" s="4" t="s">
        <v>5</v>
      </c>
      <c r="L45" s="4" t="s">
        <v>5</v>
      </c>
      <c r="M45" s="4" t="s">
        <v>5</v>
      </c>
      <c r="N45" s="4" t="s">
        <v>5</v>
      </c>
      <c r="O45" s="4" t="s">
        <v>5</v>
      </c>
      <c r="P45" s="4" t="s">
        <v>5</v>
      </c>
      <c r="Q45" s="4" t="s">
        <v>5</v>
      </c>
      <c r="R45" s="4" t="s">
        <v>5</v>
      </c>
      <c r="S45" s="4" t="s">
        <v>5</v>
      </c>
      <c r="T45" s="4" t="s">
        <v>5</v>
      </c>
      <c r="U45" s="4" t="s">
        <v>5</v>
      </c>
      <c r="V45" s="4" t="s">
        <v>5</v>
      </c>
      <c r="W45" s="4" t="s">
        <v>5</v>
      </c>
      <c r="X45" s="4" t="s">
        <v>5</v>
      </c>
      <c r="Y45" s="4" t="s">
        <v>5</v>
      </c>
      <c r="Z45" s="4" t="s">
        <v>5</v>
      </c>
      <c r="AA45" s="4" t="s">
        <v>5</v>
      </c>
      <c r="AB45" s="4" t="s">
        <v>5</v>
      </c>
      <c r="AC45" s="4" t="s">
        <v>5</v>
      </c>
      <c r="AD45" s="4" t="s">
        <v>5</v>
      </c>
      <c r="AE45" s="4" t="s">
        <v>5</v>
      </c>
      <c r="AF45" s="4" t="s">
        <v>5</v>
      </c>
      <c r="AG45" s="4" t="s">
        <v>5</v>
      </c>
      <c r="AH45" s="4" t="s">
        <v>5</v>
      </c>
      <c r="AI45" s="4" t="s">
        <v>5</v>
      </c>
      <c r="AJ45" s="4" t="s">
        <v>5</v>
      </c>
      <c r="AK45" s="4" t="s">
        <v>5</v>
      </c>
    </row>
    <row r="46" spans="1:37" x14ac:dyDescent="0.25">
      <c r="A46" s="13" t="str">
        <f>IF(AND($E46="",MAX($A$8:$A45)=0),"",IF(AND($E46&lt;&gt;"",MAX($A$8:$A45)=0),1,IF(AND($E46&lt;&gt;"",MAX($A$8:$A45)&gt;0),MAX($A$8:$A45)+1,"")))</f>
        <v/>
      </c>
      <c r="B46" s="11">
        <v>39</v>
      </c>
      <c r="C46" s="19" t="str">
        <f t="shared" si="0"/>
        <v>EMPTY</v>
      </c>
      <c r="D46" s="3" t="str">
        <f t="shared" si="4"/>
        <v/>
      </c>
      <c r="E46" s="22"/>
      <c r="F46" s="8" t="str">
        <f t="shared" si="2"/>
        <v/>
      </c>
      <c r="G46" t="s">
        <v>5</v>
      </c>
      <c r="H46" s="4" t="s">
        <v>5</v>
      </c>
      <c r="I46" s="4" t="s">
        <v>5</v>
      </c>
      <c r="J46" s="4" t="s">
        <v>5</v>
      </c>
      <c r="K46" s="4" t="s">
        <v>5</v>
      </c>
      <c r="L46" s="4" t="s">
        <v>5</v>
      </c>
      <c r="M46" s="4" t="s">
        <v>5</v>
      </c>
      <c r="N46" s="4" t="s">
        <v>5</v>
      </c>
      <c r="O46" s="4" t="s">
        <v>5</v>
      </c>
      <c r="P46" s="4" t="s">
        <v>5</v>
      </c>
      <c r="Q46" s="4" t="s">
        <v>5</v>
      </c>
      <c r="R46" s="4" t="s">
        <v>5</v>
      </c>
      <c r="S46" s="4" t="s">
        <v>5</v>
      </c>
      <c r="T46" s="4" t="s">
        <v>5</v>
      </c>
      <c r="U46" s="4" t="s">
        <v>5</v>
      </c>
      <c r="V46" s="4" t="s">
        <v>5</v>
      </c>
      <c r="W46" s="4" t="s">
        <v>5</v>
      </c>
      <c r="X46" s="4" t="s">
        <v>5</v>
      </c>
      <c r="Y46" s="4" t="s">
        <v>5</v>
      </c>
      <c r="Z46" s="4" t="s">
        <v>5</v>
      </c>
      <c r="AA46" s="4" t="s">
        <v>5</v>
      </c>
      <c r="AB46" s="4" t="s">
        <v>5</v>
      </c>
      <c r="AC46" s="4" t="s">
        <v>5</v>
      </c>
      <c r="AD46" s="4" t="s">
        <v>5</v>
      </c>
      <c r="AE46" s="4" t="s">
        <v>5</v>
      </c>
      <c r="AF46" s="4" t="s">
        <v>5</v>
      </c>
      <c r="AG46" s="4" t="s">
        <v>5</v>
      </c>
      <c r="AH46" s="4" t="s">
        <v>5</v>
      </c>
      <c r="AI46" s="4" t="s">
        <v>5</v>
      </c>
      <c r="AJ46" s="4" t="s">
        <v>5</v>
      </c>
      <c r="AK46" s="4" t="s">
        <v>5</v>
      </c>
    </row>
    <row r="47" spans="1:37" x14ac:dyDescent="0.25">
      <c r="A47" s="13" t="str">
        <f>IF(AND($E47="",MAX($A$8:$A46)=0),"",IF(AND($E47&lt;&gt;"",MAX($A$8:$A46)=0),1,IF(AND($E47&lt;&gt;"",MAX($A$8:$A46)&gt;0),MAX($A$8:$A46)+1,"")))</f>
        <v/>
      </c>
      <c r="B47" s="11">
        <v>40</v>
      </c>
      <c r="C47" s="19" t="str">
        <f t="shared" si="0"/>
        <v>EMPTY</v>
      </c>
      <c r="D47" s="3" t="str">
        <f t="shared" si="4"/>
        <v/>
      </c>
      <c r="E47" s="22"/>
      <c r="F47" s="8" t="str">
        <f t="shared" si="2"/>
        <v/>
      </c>
      <c r="G47" t="s">
        <v>5</v>
      </c>
      <c r="H47" s="4" t="s">
        <v>5</v>
      </c>
      <c r="I47" s="4" t="s">
        <v>5</v>
      </c>
      <c r="J47" s="4" t="s">
        <v>5</v>
      </c>
      <c r="K47" s="4" t="s">
        <v>5</v>
      </c>
      <c r="L47" s="4" t="s">
        <v>5</v>
      </c>
      <c r="M47" s="4" t="s">
        <v>5</v>
      </c>
      <c r="N47" s="4" t="s">
        <v>5</v>
      </c>
      <c r="O47" s="4" t="s">
        <v>5</v>
      </c>
      <c r="P47" s="4" t="s">
        <v>5</v>
      </c>
      <c r="Q47" s="4" t="s">
        <v>5</v>
      </c>
      <c r="R47" s="4" t="s">
        <v>5</v>
      </c>
      <c r="S47" s="4" t="s">
        <v>5</v>
      </c>
      <c r="T47" s="4" t="s">
        <v>5</v>
      </c>
      <c r="U47" s="4" t="s">
        <v>5</v>
      </c>
      <c r="V47" s="4" t="s">
        <v>5</v>
      </c>
      <c r="W47" s="4" t="s">
        <v>5</v>
      </c>
      <c r="X47" s="4" t="s">
        <v>5</v>
      </c>
      <c r="Y47" s="4" t="s">
        <v>5</v>
      </c>
      <c r="Z47" s="4" t="s">
        <v>5</v>
      </c>
      <c r="AA47" s="4" t="s">
        <v>5</v>
      </c>
      <c r="AB47" s="4" t="s">
        <v>5</v>
      </c>
      <c r="AC47" s="4" t="s">
        <v>5</v>
      </c>
      <c r="AD47" s="4" t="s">
        <v>5</v>
      </c>
      <c r="AE47" s="4" t="s">
        <v>5</v>
      </c>
      <c r="AF47" s="4" t="s">
        <v>5</v>
      </c>
      <c r="AG47" s="4" t="s">
        <v>5</v>
      </c>
      <c r="AH47" s="4" t="s">
        <v>5</v>
      </c>
      <c r="AI47" s="4" t="s">
        <v>5</v>
      </c>
      <c r="AJ47" s="4" t="s">
        <v>5</v>
      </c>
      <c r="AK47" s="4" t="s">
        <v>5</v>
      </c>
    </row>
    <row r="48" spans="1:37" x14ac:dyDescent="0.25">
      <c r="A48" s="13" t="str">
        <f>IF(AND($E48="",MAX($A$8:$A47)=0),"",IF(AND($E48&lt;&gt;"",MAX($A$8:$A47)=0),1,IF(AND($E48&lt;&gt;"",MAX($A$8:$A47)&gt;0),MAX($A$8:$A47)+1,"")))</f>
        <v/>
      </c>
      <c r="B48" s="11">
        <v>41</v>
      </c>
      <c r="C48" s="19" t="str">
        <f t="shared" si="0"/>
        <v>EMPTY</v>
      </c>
      <c r="D48" s="3" t="str">
        <f t="shared" si="4"/>
        <v/>
      </c>
      <c r="E48" s="22"/>
      <c r="F48" s="8" t="str">
        <f t="shared" si="2"/>
        <v/>
      </c>
      <c r="G48" t="s">
        <v>5</v>
      </c>
      <c r="H48" s="4" t="s">
        <v>5</v>
      </c>
      <c r="I48" s="4" t="s">
        <v>5</v>
      </c>
      <c r="J48" s="4" t="s">
        <v>5</v>
      </c>
      <c r="K48" s="4" t="s">
        <v>5</v>
      </c>
      <c r="L48" s="4" t="s">
        <v>5</v>
      </c>
      <c r="M48" s="4" t="s">
        <v>5</v>
      </c>
      <c r="N48" s="4" t="s">
        <v>5</v>
      </c>
      <c r="O48" s="4" t="s">
        <v>5</v>
      </c>
      <c r="P48" s="4" t="s">
        <v>5</v>
      </c>
      <c r="Q48" s="4" t="s">
        <v>5</v>
      </c>
      <c r="R48" s="4" t="s">
        <v>5</v>
      </c>
      <c r="S48" s="4" t="s">
        <v>5</v>
      </c>
      <c r="T48" s="4" t="s">
        <v>5</v>
      </c>
      <c r="U48" s="4" t="s">
        <v>5</v>
      </c>
      <c r="V48" s="4" t="s">
        <v>5</v>
      </c>
      <c r="W48" s="4" t="s">
        <v>5</v>
      </c>
      <c r="X48" s="4" t="s">
        <v>5</v>
      </c>
      <c r="Y48" s="4" t="s">
        <v>5</v>
      </c>
      <c r="Z48" s="4" t="s">
        <v>5</v>
      </c>
      <c r="AA48" s="4" t="s">
        <v>5</v>
      </c>
      <c r="AB48" s="4" t="s">
        <v>5</v>
      </c>
      <c r="AC48" s="4" t="s">
        <v>5</v>
      </c>
      <c r="AD48" s="4" t="s">
        <v>5</v>
      </c>
      <c r="AE48" s="4" t="s">
        <v>5</v>
      </c>
      <c r="AF48" s="4" t="s">
        <v>5</v>
      </c>
      <c r="AG48" s="4" t="s">
        <v>5</v>
      </c>
      <c r="AH48" s="4" t="s">
        <v>5</v>
      </c>
      <c r="AI48" s="4" t="s">
        <v>5</v>
      </c>
      <c r="AJ48" s="4" t="s">
        <v>5</v>
      </c>
      <c r="AK48" s="4" t="s">
        <v>5</v>
      </c>
    </row>
    <row r="49" spans="1:37" x14ac:dyDescent="0.25">
      <c r="A49" s="13" t="str">
        <f>IF(AND($E49="",MAX($A$8:$A48)=0),"",IF(AND($E49&lt;&gt;"",MAX($A$8:$A48)=0),1,IF(AND($E49&lt;&gt;"",MAX($A$8:$A48)&gt;0),MAX($A$8:$A48)+1,"")))</f>
        <v/>
      </c>
      <c r="B49" s="11">
        <v>42</v>
      </c>
      <c r="C49" s="19" t="str">
        <f t="shared" si="0"/>
        <v>EMPTY</v>
      </c>
      <c r="D49" s="3" t="str">
        <f t="shared" si="4"/>
        <v/>
      </c>
      <c r="E49" s="22"/>
      <c r="F49" s="8" t="str">
        <f t="shared" si="2"/>
        <v/>
      </c>
      <c r="G49" t="s">
        <v>5</v>
      </c>
      <c r="H49" s="4" t="s">
        <v>5</v>
      </c>
      <c r="I49" s="4" t="s">
        <v>5</v>
      </c>
      <c r="J49" s="4" t="s">
        <v>5</v>
      </c>
      <c r="K49" s="4" t="s">
        <v>5</v>
      </c>
      <c r="L49" s="4" t="s">
        <v>5</v>
      </c>
      <c r="M49" s="4" t="s">
        <v>5</v>
      </c>
      <c r="N49" s="4" t="s">
        <v>5</v>
      </c>
      <c r="O49" s="4" t="s">
        <v>5</v>
      </c>
      <c r="P49" s="4" t="s">
        <v>5</v>
      </c>
      <c r="Q49" s="4" t="s">
        <v>5</v>
      </c>
      <c r="R49" s="4" t="s">
        <v>5</v>
      </c>
      <c r="S49" s="4" t="s">
        <v>5</v>
      </c>
      <c r="T49" s="4" t="s">
        <v>5</v>
      </c>
      <c r="U49" s="4" t="s">
        <v>5</v>
      </c>
      <c r="V49" s="4" t="s">
        <v>5</v>
      </c>
      <c r="W49" s="4" t="s">
        <v>5</v>
      </c>
      <c r="X49" s="4" t="s">
        <v>5</v>
      </c>
      <c r="Y49" s="4" t="s">
        <v>5</v>
      </c>
      <c r="Z49" s="4" t="s">
        <v>5</v>
      </c>
      <c r="AA49" s="4" t="s">
        <v>5</v>
      </c>
      <c r="AB49" s="4" t="s">
        <v>5</v>
      </c>
      <c r="AC49" s="4" t="s">
        <v>5</v>
      </c>
      <c r="AD49" s="4" t="s">
        <v>5</v>
      </c>
      <c r="AE49" s="4" t="s">
        <v>5</v>
      </c>
      <c r="AF49" s="4" t="s">
        <v>5</v>
      </c>
      <c r="AG49" s="4" t="s">
        <v>5</v>
      </c>
      <c r="AH49" s="4" t="s">
        <v>5</v>
      </c>
      <c r="AI49" s="4" t="s">
        <v>5</v>
      </c>
      <c r="AJ49" s="4" t="s">
        <v>5</v>
      </c>
      <c r="AK49" s="4" t="s">
        <v>5</v>
      </c>
    </row>
    <row r="50" spans="1:37" x14ac:dyDescent="0.25">
      <c r="A50" s="13" t="str">
        <f>IF(AND($E50="",MAX($A$8:$A49)=0),"",IF(AND($E50&lt;&gt;"",MAX($A$8:$A49)=0),1,IF(AND($E50&lt;&gt;"",MAX($A$8:$A49)&gt;0),MAX($A$8:$A49)+1,"")))</f>
        <v/>
      </c>
      <c r="B50" s="11">
        <v>43</v>
      </c>
      <c r="C50" s="19" t="str">
        <f t="shared" si="0"/>
        <v>EMPTY</v>
      </c>
      <c r="D50" s="3" t="str">
        <f t="shared" si="4"/>
        <v/>
      </c>
      <c r="E50" s="22"/>
      <c r="F50" s="8" t="str">
        <f t="shared" si="2"/>
        <v/>
      </c>
      <c r="G50" t="s">
        <v>5</v>
      </c>
      <c r="H50" s="4" t="s">
        <v>5</v>
      </c>
      <c r="I50" s="4" t="s">
        <v>5</v>
      </c>
      <c r="J50" s="4" t="s">
        <v>5</v>
      </c>
      <c r="K50" s="4" t="s">
        <v>5</v>
      </c>
      <c r="L50" s="4" t="s">
        <v>5</v>
      </c>
      <c r="M50" s="4" t="s">
        <v>5</v>
      </c>
      <c r="N50" s="4" t="s">
        <v>5</v>
      </c>
      <c r="O50" s="4" t="s">
        <v>5</v>
      </c>
      <c r="P50" s="4" t="s">
        <v>5</v>
      </c>
      <c r="Q50" s="4" t="s">
        <v>5</v>
      </c>
      <c r="R50" s="4" t="s">
        <v>5</v>
      </c>
      <c r="S50" s="4" t="s">
        <v>5</v>
      </c>
      <c r="T50" s="4" t="s">
        <v>5</v>
      </c>
      <c r="U50" s="4" t="s">
        <v>5</v>
      </c>
      <c r="V50" s="4" t="s">
        <v>5</v>
      </c>
      <c r="W50" s="4" t="s">
        <v>5</v>
      </c>
      <c r="X50" s="4" t="s">
        <v>5</v>
      </c>
      <c r="Y50" s="4" t="s">
        <v>5</v>
      </c>
      <c r="Z50" s="4" t="s">
        <v>5</v>
      </c>
      <c r="AA50" s="4" t="s">
        <v>5</v>
      </c>
      <c r="AB50" s="4" t="s">
        <v>5</v>
      </c>
      <c r="AC50" s="4" t="s">
        <v>5</v>
      </c>
      <c r="AD50" s="4" t="s">
        <v>5</v>
      </c>
      <c r="AE50" s="4" t="s">
        <v>5</v>
      </c>
      <c r="AF50" s="4" t="s">
        <v>5</v>
      </c>
      <c r="AG50" s="4" t="s">
        <v>5</v>
      </c>
      <c r="AH50" s="4" t="s">
        <v>5</v>
      </c>
      <c r="AI50" s="4" t="s">
        <v>5</v>
      </c>
      <c r="AJ50" s="4" t="s">
        <v>5</v>
      </c>
      <c r="AK50" s="4" t="s">
        <v>5</v>
      </c>
    </row>
    <row r="51" spans="1:37" x14ac:dyDescent="0.25">
      <c r="A51" s="13" t="str">
        <f>IF(AND($E51="",MAX($A$8:$A50)=0),"",IF(AND($E51&lt;&gt;"",MAX($A$8:$A50)=0),1,IF(AND($E51&lt;&gt;"",MAX($A$8:$A50)&gt;0),MAX($A$8:$A50)+1,"")))</f>
        <v/>
      </c>
      <c r="B51" s="11">
        <v>44</v>
      </c>
      <c r="C51" s="19" t="str">
        <f t="shared" si="0"/>
        <v>EMPTY</v>
      </c>
      <c r="D51" s="3" t="str">
        <f t="shared" si="4"/>
        <v/>
      </c>
      <c r="E51" s="22"/>
      <c r="F51" s="8" t="str">
        <f t="shared" si="2"/>
        <v/>
      </c>
      <c r="G51" t="s">
        <v>5</v>
      </c>
      <c r="H51" s="4" t="s">
        <v>5</v>
      </c>
      <c r="I51" s="4" t="s">
        <v>5</v>
      </c>
      <c r="J51" s="4" t="s">
        <v>5</v>
      </c>
      <c r="K51" s="4" t="s">
        <v>5</v>
      </c>
      <c r="L51" s="4" t="s">
        <v>5</v>
      </c>
      <c r="M51" s="4" t="s">
        <v>5</v>
      </c>
      <c r="N51" s="4" t="s">
        <v>5</v>
      </c>
      <c r="O51" s="4" t="s">
        <v>5</v>
      </c>
      <c r="P51" s="4" t="s">
        <v>5</v>
      </c>
      <c r="Q51" s="4" t="s">
        <v>5</v>
      </c>
      <c r="R51" s="4" t="s">
        <v>5</v>
      </c>
      <c r="S51" s="4" t="s">
        <v>5</v>
      </c>
      <c r="T51" s="4" t="s">
        <v>5</v>
      </c>
      <c r="U51" s="4" t="s">
        <v>5</v>
      </c>
      <c r="V51" s="4" t="s">
        <v>5</v>
      </c>
      <c r="W51" s="4" t="s">
        <v>5</v>
      </c>
      <c r="X51" s="4" t="s">
        <v>5</v>
      </c>
      <c r="Y51" s="4" t="s">
        <v>5</v>
      </c>
      <c r="Z51" s="4" t="s">
        <v>5</v>
      </c>
      <c r="AA51" s="4" t="s">
        <v>5</v>
      </c>
      <c r="AB51" s="4" t="s">
        <v>5</v>
      </c>
      <c r="AC51" s="4" t="s">
        <v>5</v>
      </c>
      <c r="AD51" s="4" t="s">
        <v>5</v>
      </c>
      <c r="AE51" s="4" t="s">
        <v>5</v>
      </c>
      <c r="AF51" s="4" t="s">
        <v>5</v>
      </c>
      <c r="AG51" s="4" t="s">
        <v>5</v>
      </c>
      <c r="AH51" s="4" t="s">
        <v>5</v>
      </c>
      <c r="AI51" s="4" t="s">
        <v>5</v>
      </c>
      <c r="AJ51" s="4" t="s">
        <v>5</v>
      </c>
      <c r="AK51" s="4" t="s">
        <v>5</v>
      </c>
    </row>
    <row r="52" spans="1:37" x14ac:dyDescent="0.25">
      <c r="A52" s="13" t="str">
        <f>IF(AND($E52="",MAX($A$8:$A51)=0),"",IF(AND($E52&lt;&gt;"",MAX($A$8:$A51)=0),1,IF(AND($E52&lt;&gt;"",MAX($A$8:$A51)&gt;0),MAX($A$8:$A51)+1,"")))</f>
        <v/>
      </c>
      <c r="B52" s="11">
        <v>45</v>
      </c>
      <c r="C52" s="19" t="str">
        <f t="shared" si="0"/>
        <v>EMPTY</v>
      </c>
      <c r="D52" s="3" t="str">
        <f t="shared" si="4"/>
        <v/>
      </c>
      <c r="E52" s="22"/>
      <c r="F52" s="8" t="str">
        <f t="shared" si="2"/>
        <v/>
      </c>
      <c r="G52" t="s">
        <v>5</v>
      </c>
      <c r="H52" s="4" t="s">
        <v>5</v>
      </c>
      <c r="I52" s="4" t="s">
        <v>5</v>
      </c>
      <c r="J52" s="4" t="s">
        <v>5</v>
      </c>
      <c r="K52" s="4" t="s">
        <v>5</v>
      </c>
      <c r="L52" s="4" t="s">
        <v>5</v>
      </c>
      <c r="M52" s="4" t="s">
        <v>5</v>
      </c>
      <c r="N52" s="4" t="s">
        <v>5</v>
      </c>
      <c r="O52" s="4" t="s">
        <v>5</v>
      </c>
      <c r="P52" s="4" t="s">
        <v>5</v>
      </c>
      <c r="R52" s="4" t="s">
        <v>5</v>
      </c>
      <c r="S52" s="4" t="s">
        <v>5</v>
      </c>
      <c r="T52" s="4" t="s">
        <v>5</v>
      </c>
      <c r="U52" s="4" t="s">
        <v>5</v>
      </c>
      <c r="V52" s="4" t="s">
        <v>5</v>
      </c>
      <c r="W52" s="4" t="s">
        <v>5</v>
      </c>
      <c r="X52" s="4" t="s">
        <v>5</v>
      </c>
      <c r="Y52" s="4" t="s">
        <v>5</v>
      </c>
      <c r="Z52" s="4" t="s">
        <v>5</v>
      </c>
      <c r="AA52" s="4" t="s">
        <v>5</v>
      </c>
      <c r="AB52" s="4" t="s">
        <v>5</v>
      </c>
      <c r="AC52" s="4" t="s">
        <v>5</v>
      </c>
      <c r="AD52" s="4" t="s">
        <v>5</v>
      </c>
      <c r="AE52" s="4" t="s">
        <v>5</v>
      </c>
      <c r="AF52" s="4" t="s">
        <v>5</v>
      </c>
      <c r="AG52" s="4" t="s">
        <v>5</v>
      </c>
      <c r="AH52" s="4" t="s">
        <v>5</v>
      </c>
      <c r="AI52" s="4" t="s">
        <v>5</v>
      </c>
      <c r="AJ52" s="4" t="s">
        <v>5</v>
      </c>
      <c r="AK52" s="4" t="s">
        <v>5</v>
      </c>
    </row>
    <row r="53" spans="1:37" x14ac:dyDescent="0.25">
      <c r="A53" s="13" t="str">
        <f>IF(AND($E53="",MAX($A$8:$A52)=0),"",IF(AND($E53&lt;&gt;"",MAX($A$8:$A52)=0),1,IF(AND($E53&lt;&gt;"",MAX($A$8:$A52)&gt;0),MAX($A$8:$A52)+1,"")))</f>
        <v/>
      </c>
      <c r="B53" s="11">
        <v>46</v>
      </c>
      <c r="C53" s="19" t="str">
        <f t="shared" si="0"/>
        <v>EMPTY</v>
      </c>
      <c r="D53" s="3" t="str">
        <f t="shared" si="4"/>
        <v/>
      </c>
      <c r="E53" s="22"/>
      <c r="F53" s="8" t="str">
        <f t="shared" si="2"/>
        <v/>
      </c>
      <c r="G53" t="s">
        <v>5</v>
      </c>
      <c r="H53" s="4" t="s">
        <v>5</v>
      </c>
      <c r="I53" s="4" t="s">
        <v>5</v>
      </c>
      <c r="J53" s="4" t="s">
        <v>5</v>
      </c>
      <c r="K53" s="4" t="s">
        <v>5</v>
      </c>
      <c r="L53" s="4" t="s">
        <v>5</v>
      </c>
      <c r="M53" s="4" t="s">
        <v>5</v>
      </c>
      <c r="N53" s="4" t="s">
        <v>5</v>
      </c>
      <c r="O53" s="4" t="s">
        <v>5</v>
      </c>
      <c r="P53" s="4" t="s">
        <v>5</v>
      </c>
      <c r="R53" s="4" t="s">
        <v>5</v>
      </c>
      <c r="S53" s="4" t="s">
        <v>5</v>
      </c>
      <c r="T53" s="4" t="s">
        <v>5</v>
      </c>
      <c r="U53" s="4" t="s">
        <v>5</v>
      </c>
      <c r="V53" s="4" t="s">
        <v>5</v>
      </c>
      <c r="W53" s="4" t="s">
        <v>5</v>
      </c>
      <c r="X53" s="4" t="s">
        <v>5</v>
      </c>
      <c r="Y53" s="4" t="s">
        <v>5</v>
      </c>
      <c r="Z53" s="4" t="s">
        <v>5</v>
      </c>
      <c r="AA53" s="4" t="s">
        <v>5</v>
      </c>
      <c r="AB53" s="4" t="s">
        <v>5</v>
      </c>
      <c r="AC53" s="4" t="s">
        <v>5</v>
      </c>
      <c r="AD53" s="4" t="s">
        <v>5</v>
      </c>
      <c r="AF53" s="4" t="s">
        <v>5</v>
      </c>
      <c r="AG53" s="4" t="s">
        <v>5</v>
      </c>
      <c r="AH53" s="4" t="s">
        <v>5</v>
      </c>
      <c r="AI53" s="4" t="s">
        <v>5</v>
      </c>
      <c r="AJ53" s="4" t="s">
        <v>5</v>
      </c>
      <c r="AK53" s="4" t="s">
        <v>5</v>
      </c>
    </row>
    <row r="54" spans="1:37" x14ac:dyDescent="0.25">
      <c r="A54" s="13" t="str">
        <f>IF(AND($E54="",MAX($A$8:$A53)=0),"",IF(AND($E54&lt;&gt;"",MAX($A$8:$A53)=0),1,IF(AND($E54&lt;&gt;"",MAX($A$8:$A53)&gt;0),MAX($A$8:$A53)+1,"")))</f>
        <v/>
      </c>
      <c r="B54" s="11">
        <v>47</v>
      </c>
      <c r="C54" s="19" t="str">
        <f t="shared" si="0"/>
        <v>EMPTY</v>
      </c>
      <c r="D54" s="3" t="str">
        <f t="shared" si="4"/>
        <v/>
      </c>
      <c r="E54" s="22"/>
      <c r="F54" s="8" t="str">
        <f t="shared" si="2"/>
        <v/>
      </c>
      <c r="G54" t="s">
        <v>5</v>
      </c>
      <c r="H54" s="4" t="s">
        <v>5</v>
      </c>
      <c r="I54" s="4" t="s">
        <v>5</v>
      </c>
      <c r="J54" s="4" t="s">
        <v>5</v>
      </c>
      <c r="K54" s="4" t="s">
        <v>5</v>
      </c>
      <c r="L54" s="4" t="s">
        <v>5</v>
      </c>
      <c r="M54" s="4" t="s">
        <v>5</v>
      </c>
      <c r="N54" s="4" t="s">
        <v>5</v>
      </c>
      <c r="O54" s="4" t="s">
        <v>5</v>
      </c>
      <c r="P54" s="4" t="s">
        <v>5</v>
      </c>
      <c r="R54" s="4" t="s">
        <v>5</v>
      </c>
      <c r="S54" s="4" t="s">
        <v>5</v>
      </c>
      <c r="T54" s="4" t="s">
        <v>5</v>
      </c>
      <c r="U54" s="4" t="s">
        <v>5</v>
      </c>
      <c r="W54" s="4" t="s">
        <v>5</v>
      </c>
      <c r="X54" s="4" t="s">
        <v>5</v>
      </c>
      <c r="Y54" s="4" t="s">
        <v>5</v>
      </c>
      <c r="Z54" s="4" t="s">
        <v>5</v>
      </c>
      <c r="AB54" s="4" t="s">
        <v>5</v>
      </c>
      <c r="AC54" s="4" t="s">
        <v>5</v>
      </c>
      <c r="AD54" s="4" t="s">
        <v>5</v>
      </c>
      <c r="AF54" s="4" t="s">
        <v>5</v>
      </c>
      <c r="AG54" s="4" t="s">
        <v>5</v>
      </c>
      <c r="AH54" s="4" t="s">
        <v>5</v>
      </c>
      <c r="AI54" s="4" t="s">
        <v>5</v>
      </c>
      <c r="AJ54" s="4" t="s">
        <v>5</v>
      </c>
      <c r="AK54" s="4" t="s">
        <v>5</v>
      </c>
    </row>
    <row r="55" spans="1:37" x14ac:dyDescent="0.25">
      <c r="A55" s="13" t="str">
        <f>IF(AND($E55="",MAX($A$8:$A54)=0),"",IF(AND($E55&lt;&gt;"",MAX($A$8:$A54)=0),1,IF(AND($E55&lt;&gt;"",MAX($A$8:$A54)&gt;0),MAX($A$8:$A54)+1,"")))</f>
        <v/>
      </c>
      <c r="B55" s="11">
        <v>48</v>
      </c>
      <c r="C55" s="19" t="str">
        <f t="shared" si="0"/>
        <v>EMPTY</v>
      </c>
      <c r="D55" s="3" t="str">
        <f t="shared" si="4"/>
        <v/>
      </c>
      <c r="E55" s="22"/>
      <c r="F55" s="8" t="str">
        <f t="shared" si="2"/>
        <v/>
      </c>
      <c r="G55" t="s">
        <v>5</v>
      </c>
      <c r="H55" s="4" t="s">
        <v>5</v>
      </c>
      <c r="I55" s="4" t="s">
        <v>5</v>
      </c>
      <c r="J55" s="4" t="s">
        <v>5</v>
      </c>
      <c r="K55" s="4" t="s">
        <v>5</v>
      </c>
      <c r="L55" s="4" t="s">
        <v>5</v>
      </c>
      <c r="M55" s="4" t="s">
        <v>5</v>
      </c>
      <c r="N55" s="4" t="s">
        <v>5</v>
      </c>
      <c r="O55" s="4" t="s">
        <v>5</v>
      </c>
      <c r="P55" s="4" t="s">
        <v>5</v>
      </c>
      <c r="R55" s="4" t="s">
        <v>5</v>
      </c>
      <c r="S55" s="4" t="s">
        <v>5</v>
      </c>
      <c r="T55" s="4" t="s">
        <v>5</v>
      </c>
      <c r="U55" s="4" t="s">
        <v>5</v>
      </c>
      <c r="W55" s="4" t="s">
        <v>5</v>
      </c>
      <c r="X55" s="4" t="s">
        <v>5</v>
      </c>
      <c r="Y55" s="4" t="s">
        <v>5</v>
      </c>
      <c r="Z55" s="4" t="s">
        <v>5</v>
      </c>
      <c r="AB55" s="4" t="s">
        <v>5</v>
      </c>
      <c r="AC55" s="4" t="s">
        <v>5</v>
      </c>
      <c r="AF55" s="4" t="s">
        <v>5</v>
      </c>
      <c r="AG55" s="4" t="s">
        <v>5</v>
      </c>
      <c r="AH55" s="4" t="s">
        <v>5</v>
      </c>
      <c r="AI55" s="4" t="s">
        <v>5</v>
      </c>
      <c r="AJ55" s="4" t="s">
        <v>5</v>
      </c>
      <c r="AK55" s="4" t="s">
        <v>5</v>
      </c>
    </row>
    <row r="56" spans="1:37" x14ac:dyDescent="0.25">
      <c r="A56" s="13" t="str">
        <f>IF(AND($E56="",MAX($A$8:$A55)=0),"",IF(AND($E56&lt;&gt;"",MAX($A$8:$A55)=0),1,IF(AND($E56&lt;&gt;"",MAX($A$8:$A55)&gt;0),MAX($A$8:$A55)+1,"")))</f>
        <v/>
      </c>
      <c r="B56" s="11">
        <v>49</v>
      </c>
      <c r="C56" s="19" t="str">
        <f t="shared" si="0"/>
        <v>EMPTY</v>
      </c>
      <c r="D56" s="3" t="str">
        <f t="shared" si="4"/>
        <v/>
      </c>
      <c r="E56" s="22"/>
      <c r="F56" s="8" t="str">
        <f t="shared" si="2"/>
        <v/>
      </c>
      <c r="G56" t="s">
        <v>5</v>
      </c>
      <c r="H56" s="4" t="s">
        <v>5</v>
      </c>
      <c r="I56" s="4" t="s">
        <v>5</v>
      </c>
      <c r="J56" s="4" t="s">
        <v>5</v>
      </c>
      <c r="K56" s="4" t="s">
        <v>5</v>
      </c>
      <c r="L56" s="4" t="s">
        <v>5</v>
      </c>
      <c r="M56" s="4" t="s">
        <v>5</v>
      </c>
      <c r="N56" s="4" t="s">
        <v>5</v>
      </c>
      <c r="O56" s="4" t="s">
        <v>5</v>
      </c>
      <c r="P56" s="4" t="s">
        <v>5</v>
      </c>
      <c r="R56" s="4" t="s">
        <v>5</v>
      </c>
      <c r="S56" s="4" t="s">
        <v>5</v>
      </c>
      <c r="T56" s="4" t="s">
        <v>5</v>
      </c>
      <c r="U56" s="4" t="s">
        <v>5</v>
      </c>
      <c r="W56" s="4" t="s">
        <v>5</v>
      </c>
      <c r="X56" s="4" t="s">
        <v>5</v>
      </c>
      <c r="Y56" s="4" t="s">
        <v>5</v>
      </c>
      <c r="Z56" s="4" t="s">
        <v>5</v>
      </c>
      <c r="AC56" s="4" t="s">
        <v>5</v>
      </c>
      <c r="AF56" s="4" t="s">
        <v>5</v>
      </c>
      <c r="AG56" s="4" t="s">
        <v>5</v>
      </c>
      <c r="AH56" s="4" t="s">
        <v>5</v>
      </c>
      <c r="AI56" s="4" t="s">
        <v>5</v>
      </c>
      <c r="AJ56" s="4" t="s">
        <v>5</v>
      </c>
      <c r="AK56" s="4" t="s">
        <v>5</v>
      </c>
    </row>
    <row r="57" spans="1:37" x14ac:dyDescent="0.25">
      <c r="A57" s="13" t="str">
        <f>IF(AND($E57="",MAX($A$8:$A56)=0),"",IF(AND($E57&lt;&gt;"",MAX($A$8:$A56)=0),1,IF(AND($E57&lt;&gt;"",MAX($A$8:$A56)&gt;0),MAX($A$8:$A56)+1,"")))</f>
        <v/>
      </c>
      <c r="B57" s="11">
        <v>50</v>
      </c>
      <c r="C57" s="19" t="str">
        <f t="shared" si="0"/>
        <v>EMPTY</v>
      </c>
      <c r="D57" s="3" t="str">
        <f t="shared" si="4"/>
        <v/>
      </c>
      <c r="E57" s="22"/>
      <c r="F57" s="8" t="str">
        <f t="shared" si="2"/>
        <v/>
      </c>
      <c r="G57" t="s">
        <v>5</v>
      </c>
      <c r="H57" s="4" t="s">
        <v>5</v>
      </c>
      <c r="I57" s="4" t="s">
        <v>5</v>
      </c>
      <c r="J57" s="4" t="s">
        <v>5</v>
      </c>
      <c r="K57" s="4" t="s">
        <v>5</v>
      </c>
      <c r="L57" s="4" t="s">
        <v>5</v>
      </c>
      <c r="M57" s="4" t="s">
        <v>5</v>
      </c>
      <c r="N57" s="4" t="s">
        <v>5</v>
      </c>
      <c r="O57" s="4" t="s">
        <v>5</v>
      </c>
      <c r="P57" s="4" t="s">
        <v>5</v>
      </c>
      <c r="R57" s="4" t="s">
        <v>5</v>
      </c>
      <c r="S57" s="4" t="s">
        <v>5</v>
      </c>
      <c r="T57" s="4" t="s">
        <v>5</v>
      </c>
      <c r="U57" s="4" t="s">
        <v>5</v>
      </c>
      <c r="W57" s="4" t="s">
        <v>5</v>
      </c>
      <c r="X57" s="4" t="s">
        <v>5</v>
      </c>
      <c r="Y57" s="4" t="s">
        <v>5</v>
      </c>
      <c r="Z57" s="4" t="s">
        <v>5</v>
      </c>
      <c r="AC57" s="4" t="s">
        <v>5</v>
      </c>
      <c r="AF57" s="4" t="s">
        <v>5</v>
      </c>
      <c r="AG57" s="4" t="s">
        <v>5</v>
      </c>
      <c r="AH57" s="4" t="s">
        <v>5</v>
      </c>
      <c r="AI57" s="4" t="s">
        <v>5</v>
      </c>
      <c r="AJ57" s="4" t="s">
        <v>5</v>
      </c>
      <c r="AK57" s="4" t="s">
        <v>5</v>
      </c>
    </row>
    <row r="58" spans="1:37" x14ac:dyDescent="0.25">
      <c r="A58" s="13" t="str">
        <f>IF(AND($E58="",MAX($A$8:$A57)=0),"",IF(AND($E58&lt;&gt;"",MAX($A$8:$A57)=0),1,IF(AND($E58&lt;&gt;"",MAX($A$8:$A57)&gt;0),MAX($A$8:$A57)+1,"")))</f>
        <v/>
      </c>
      <c r="B58" s="11">
        <v>51</v>
      </c>
      <c r="C58" s="19" t="str">
        <f t="shared" si="0"/>
        <v>EMPTY</v>
      </c>
      <c r="D58" s="3" t="str">
        <f t="shared" si="4"/>
        <v/>
      </c>
      <c r="E58" s="22"/>
      <c r="F58" s="8" t="str">
        <f t="shared" si="2"/>
        <v/>
      </c>
      <c r="G58" t="s">
        <v>5</v>
      </c>
      <c r="H58" s="4" t="s">
        <v>5</v>
      </c>
      <c r="I58" s="4" t="s">
        <v>5</v>
      </c>
      <c r="J58" s="4" t="s">
        <v>5</v>
      </c>
      <c r="K58" s="4" t="s">
        <v>5</v>
      </c>
      <c r="L58" s="4" t="s">
        <v>5</v>
      </c>
      <c r="M58" s="4" t="s">
        <v>5</v>
      </c>
      <c r="N58" s="4" t="s">
        <v>5</v>
      </c>
      <c r="O58" s="4" t="s">
        <v>5</v>
      </c>
      <c r="P58" s="4" t="s">
        <v>5</v>
      </c>
      <c r="R58" s="4" t="s">
        <v>5</v>
      </c>
      <c r="S58" s="4" t="s">
        <v>5</v>
      </c>
      <c r="T58" s="4" t="s">
        <v>5</v>
      </c>
      <c r="U58" s="4" t="s">
        <v>5</v>
      </c>
      <c r="W58" s="4" t="s">
        <v>5</v>
      </c>
      <c r="Y58" s="4" t="s">
        <v>5</v>
      </c>
      <c r="Z58" s="4" t="s">
        <v>5</v>
      </c>
      <c r="AC58" s="4" t="s">
        <v>5</v>
      </c>
      <c r="AF58" s="4" t="s">
        <v>5</v>
      </c>
      <c r="AG58" s="4" t="s">
        <v>5</v>
      </c>
      <c r="AH58" s="4" t="s">
        <v>5</v>
      </c>
      <c r="AI58" s="4" t="s">
        <v>5</v>
      </c>
      <c r="AJ58" s="4" t="s">
        <v>5</v>
      </c>
      <c r="AK58" s="4" t="s">
        <v>5</v>
      </c>
    </row>
    <row r="59" spans="1:37" x14ac:dyDescent="0.25">
      <c r="A59" s="13" t="str">
        <f>IF(AND($E59="",MAX($A$8:$A58)=0),"",IF(AND($E59&lt;&gt;"",MAX($A$8:$A58)=0),1,IF(AND($E59&lt;&gt;"",MAX($A$8:$A58)&gt;0),MAX($A$8:$A58)+1,"")))</f>
        <v/>
      </c>
      <c r="B59" s="11">
        <v>52</v>
      </c>
      <c r="C59" s="19" t="str">
        <f t="shared" si="0"/>
        <v>EMPTY</v>
      </c>
      <c r="D59" s="3" t="str">
        <f t="shared" si="4"/>
        <v/>
      </c>
      <c r="E59" s="22"/>
      <c r="F59" s="8" t="str">
        <f t="shared" si="2"/>
        <v/>
      </c>
      <c r="G59" t="s">
        <v>5</v>
      </c>
      <c r="H59" s="4" t="s">
        <v>5</v>
      </c>
      <c r="I59" s="4" t="s">
        <v>5</v>
      </c>
      <c r="J59" s="4" t="s">
        <v>5</v>
      </c>
      <c r="K59" s="4" t="s">
        <v>5</v>
      </c>
      <c r="L59" s="4" t="s">
        <v>5</v>
      </c>
      <c r="M59" s="4" t="s">
        <v>5</v>
      </c>
      <c r="N59" s="4" t="s">
        <v>5</v>
      </c>
      <c r="O59" s="4" t="s">
        <v>5</v>
      </c>
      <c r="P59" s="4" t="s">
        <v>5</v>
      </c>
      <c r="R59" s="4" t="s">
        <v>5</v>
      </c>
      <c r="S59" s="4" t="s">
        <v>5</v>
      </c>
      <c r="T59" s="4" t="s">
        <v>5</v>
      </c>
      <c r="U59" s="4" t="s">
        <v>5</v>
      </c>
      <c r="W59" s="4" t="s">
        <v>5</v>
      </c>
      <c r="Y59" s="4" t="s">
        <v>5</v>
      </c>
      <c r="Z59" s="4" t="s">
        <v>5</v>
      </c>
      <c r="AC59" s="4" t="s">
        <v>5</v>
      </c>
      <c r="AF59" s="4" t="s">
        <v>5</v>
      </c>
      <c r="AG59" s="4" t="s">
        <v>5</v>
      </c>
      <c r="AH59" s="4" t="s">
        <v>5</v>
      </c>
      <c r="AI59" s="4" t="s">
        <v>5</v>
      </c>
      <c r="AJ59" s="4" t="s">
        <v>5</v>
      </c>
      <c r="AK59" s="4" t="s">
        <v>5</v>
      </c>
    </row>
    <row r="60" spans="1:37" x14ac:dyDescent="0.25">
      <c r="A60" s="13" t="str">
        <f>IF(AND($E60="",MAX($A$8:$A59)=0),"",IF(AND($E60&lt;&gt;"",MAX($A$8:$A59)=0),1,IF(AND($E60&lt;&gt;"",MAX($A$8:$A59)&gt;0),MAX($A$8:$A59)+1,"")))</f>
        <v/>
      </c>
      <c r="B60" s="11">
        <v>53</v>
      </c>
      <c r="C60" s="19" t="str">
        <f t="shared" si="0"/>
        <v>EMPTY</v>
      </c>
      <c r="D60" s="3" t="str">
        <f t="shared" si="4"/>
        <v/>
      </c>
      <c r="E60" s="22"/>
      <c r="F60" s="8" t="str">
        <f t="shared" si="2"/>
        <v/>
      </c>
      <c r="G60" t="s">
        <v>5</v>
      </c>
      <c r="H60" s="4" t="s">
        <v>5</v>
      </c>
      <c r="I60" s="4" t="s">
        <v>5</v>
      </c>
      <c r="J60" s="4" t="s">
        <v>5</v>
      </c>
      <c r="K60" s="4" t="s">
        <v>5</v>
      </c>
      <c r="L60" s="4" t="s">
        <v>5</v>
      </c>
      <c r="M60" s="4" t="s">
        <v>5</v>
      </c>
      <c r="N60" s="4" t="s">
        <v>5</v>
      </c>
      <c r="O60" s="4" t="s">
        <v>5</v>
      </c>
      <c r="P60" s="4" t="s">
        <v>5</v>
      </c>
      <c r="R60" s="4" t="s">
        <v>5</v>
      </c>
      <c r="S60" s="4" t="s">
        <v>5</v>
      </c>
      <c r="T60" s="4" t="s">
        <v>5</v>
      </c>
      <c r="U60" s="4" t="s">
        <v>5</v>
      </c>
      <c r="W60" s="4" t="s">
        <v>5</v>
      </c>
      <c r="Y60" s="4" t="s">
        <v>5</v>
      </c>
      <c r="Z60" s="4" t="s">
        <v>5</v>
      </c>
      <c r="AC60" s="4" t="s">
        <v>5</v>
      </c>
      <c r="AF60" s="4" t="s">
        <v>5</v>
      </c>
      <c r="AG60" s="4" t="s">
        <v>5</v>
      </c>
      <c r="AH60" s="4" t="s">
        <v>5</v>
      </c>
      <c r="AI60" s="4" t="s">
        <v>5</v>
      </c>
      <c r="AJ60" s="4" t="s">
        <v>5</v>
      </c>
      <c r="AK60" s="4" t="s">
        <v>5</v>
      </c>
    </row>
    <row r="61" spans="1:37" x14ac:dyDescent="0.25">
      <c r="A61" s="13" t="str">
        <f>IF(AND($E61="",MAX($A$8:$A60)=0),"",IF(AND($E61&lt;&gt;"",MAX($A$8:$A60)=0),1,IF(AND($E61&lt;&gt;"",MAX($A$8:$A60)&gt;0),MAX($A$8:$A60)+1,"")))</f>
        <v/>
      </c>
      <c r="B61" s="11">
        <v>54</v>
      </c>
      <c r="C61" s="19" t="str">
        <f t="shared" si="0"/>
        <v>EMPTY</v>
      </c>
      <c r="D61" s="3" t="str">
        <f t="shared" si="4"/>
        <v/>
      </c>
      <c r="E61" s="22"/>
      <c r="F61" s="8" t="str">
        <f t="shared" si="2"/>
        <v/>
      </c>
      <c r="G61" t="s">
        <v>5</v>
      </c>
      <c r="H61" s="4" t="s">
        <v>5</v>
      </c>
      <c r="I61" s="4" t="s">
        <v>5</v>
      </c>
      <c r="J61" s="4" t="s">
        <v>5</v>
      </c>
      <c r="K61" s="4" t="s">
        <v>5</v>
      </c>
      <c r="L61" s="4" t="s">
        <v>5</v>
      </c>
      <c r="M61" s="4" t="s">
        <v>5</v>
      </c>
      <c r="N61" s="4" t="s">
        <v>5</v>
      </c>
      <c r="O61" s="4" t="s">
        <v>5</v>
      </c>
      <c r="P61" s="4" t="s">
        <v>5</v>
      </c>
      <c r="R61" s="4" t="s">
        <v>5</v>
      </c>
      <c r="S61" s="4" t="s">
        <v>5</v>
      </c>
      <c r="T61" s="4" t="s">
        <v>5</v>
      </c>
      <c r="U61" s="4" t="s">
        <v>5</v>
      </c>
      <c r="W61" s="4" t="s">
        <v>5</v>
      </c>
      <c r="Y61" s="4" t="s">
        <v>5</v>
      </c>
      <c r="Z61" s="4" t="s">
        <v>5</v>
      </c>
      <c r="AC61" s="4" t="s">
        <v>5</v>
      </c>
      <c r="AF61" s="4" t="s">
        <v>5</v>
      </c>
      <c r="AG61" s="4" t="s">
        <v>5</v>
      </c>
      <c r="AH61" s="4" t="s">
        <v>5</v>
      </c>
      <c r="AI61" s="4" t="s">
        <v>5</v>
      </c>
      <c r="AJ61" s="4" t="s">
        <v>5</v>
      </c>
      <c r="AK61" s="4" t="s">
        <v>5</v>
      </c>
    </row>
    <row r="62" spans="1:37" x14ac:dyDescent="0.25">
      <c r="A62" s="13" t="str">
        <f>IF(AND($E62="",MAX($A$8:$A61)=0),"",IF(AND($E62&lt;&gt;"",MAX($A$8:$A61)=0),1,IF(AND($E62&lt;&gt;"",MAX($A$8:$A61)&gt;0),MAX($A$8:$A61)+1,"")))</f>
        <v/>
      </c>
      <c r="B62" s="11">
        <v>55</v>
      </c>
      <c r="C62" s="19" t="str">
        <f t="shared" si="0"/>
        <v>EMPTY</v>
      </c>
      <c r="D62" s="3" t="str">
        <f t="shared" si="4"/>
        <v/>
      </c>
      <c r="E62" s="22"/>
      <c r="F62" s="8" t="str">
        <f t="shared" si="2"/>
        <v/>
      </c>
      <c r="G62" t="s">
        <v>5</v>
      </c>
      <c r="H62" s="4" t="s">
        <v>5</v>
      </c>
      <c r="I62" s="4" t="s">
        <v>5</v>
      </c>
      <c r="J62" s="4" t="s">
        <v>5</v>
      </c>
      <c r="K62" s="4" t="s">
        <v>5</v>
      </c>
      <c r="L62" s="4" t="s">
        <v>5</v>
      </c>
      <c r="M62" s="4" t="s">
        <v>5</v>
      </c>
      <c r="N62" s="4" t="s">
        <v>5</v>
      </c>
      <c r="O62" s="4" t="s">
        <v>5</v>
      </c>
      <c r="P62" s="4" t="s">
        <v>5</v>
      </c>
      <c r="R62" s="4" t="s">
        <v>5</v>
      </c>
      <c r="S62" s="4" t="s">
        <v>5</v>
      </c>
      <c r="T62" s="4" t="s">
        <v>5</v>
      </c>
      <c r="U62" s="4" t="s">
        <v>5</v>
      </c>
      <c r="W62" s="4" t="s">
        <v>5</v>
      </c>
      <c r="Y62" s="4" t="s">
        <v>5</v>
      </c>
      <c r="Z62" s="4" t="s">
        <v>5</v>
      </c>
      <c r="AC62" s="4" t="s">
        <v>5</v>
      </c>
      <c r="AF62" s="4" t="s">
        <v>5</v>
      </c>
      <c r="AG62" s="4" t="s">
        <v>5</v>
      </c>
      <c r="AH62" s="4" t="s">
        <v>5</v>
      </c>
      <c r="AI62" s="4" t="s">
        <v>5</v>
      </c>
      <c r="AJ62" s="4" t="s">
        <v>5</v>
      </c>
      <c r="AK62" s="4" t="s">
        <v>5</v>
      </c>
    </row>
    <row r="63" spans="1:37" x14ac:dyDescent="0.25">
      <c r="A63" s="13" t="str">
        <f>IF(AND($E63="",MAX($A$8:$A62)=0),"",IF(AND($E63&lt;&gt;"",MAX($A$8:$A62)=0),1,IF(AND($E63&lt;&gt;"",MAX($A$8:$A62)&gt;0),MAX($A$8:$A62)+1,"")))</f>
        <v/>
      </c>
      <c r="B63" s="11">
        <v>56</v>
      </c>
      <c r="C63" s="19" t="str">
        <f t="shared" si="0"/>
        <v>EMPTY</v>
      </c>
      <c r="D63" s="3" t="str">
        <f t="shared" si="4"/>
        <v/>
      </c>
      <c r="E63" s="22"/>
      <c r="F63" s="8" t="str">
        <f t="shared" si="2"/>
        <v/>
      </c>
      <c r="G63" t="s">
        <v>5</v>
      </c>
      <c r="H63" s="4" t="s">
        <v>5</v>
      </c>
      <c r="I63" s="4" t="s">
        <v>5</v>
      </c>
      <c r="J63" s="4" t="s">
        <v>5</v>
      </c>
      <c r="K63" s="4" t="s">
        <v>5</v>
      </c>
      <c r="L63" s="4" t="s">
        <v>5</v>
      </c>
      <c r="M63" s="4" t="s">
        <v>5</v>
      </c>
      <c r="N63" s="4" t="s">
        <v>5</v>
      </c>
      <c r="O63" s="4" t="s">
        <v>5</v>
      </c>
      <c r="P63" s="4" t="s">
        <v>5</v>
      </c>
      <c r="R63" s="4" t="s">
        <v>5</v>
      </c>
      <c r="S63" s="4" t="s">
        <v>5</v>
      </c>
      <c r="T63" s="4" t="s">
        <v>5</v>
      </c>
      <c r="U63" s="4" t="s">
        <v>5</v>
      </c>
      <c r="W63" s="4" t="s">
        <v>5</v>
      </c>
      <c r="Y63" s="4" t="s">
        <v>5</v>
      </c>
      <c r="Z63" s="4" t="s">
        <v>5</v>
      </c>
      <c r="AC63" s="4" t="s">
        <v>5</v>
      </c>
      <c r="AF63" s="4" t="s">
        <v>5</v>
      </c>
      <c r="AG63" s="4" t="s">
        <v>5</v>
      </c>
      <c r="AH63" s="4" t="s">
        <v>5</v>
      </c>
      <c r="AI63" s="4" t="s">
        <v>5</v>
      </c>
      <c r="AJ63" s="4" t="s">
        <v>5</v>
      </c>
      <c r="AK63" s="4" t="s">
        <v>5</v>
      </c>
    </row>
    <row r="64" spans="1:37" x14ac:dyDescent="0.25">
      <c r="A64" s="13" t="str">
        <f>IF(AND($E64="",MAX($A$8:$A63)=0),"",IF(AND($E64&lt;&gt;"",MAX($A$8:$A63)=0),1,IF(AND($E64&lt;&gt;"",MAX($A$8:$A63)&gt;0),MAX($A$8:$A63)+1,"")))</f>
        <v/>
      </c>
      <c r="B64" s="11">
        <v>57</v>
      </c>
      <c r="C64" s="19" t="str">
        <f t="shared" si="0"/>
        <v>EMPTY</v>
      </c>
      <c r="D64" s="3" t="str">
        <f t="shared" si="4"/>
        <v/>
      </c>
      <c r="E64" s="22"/>
      <c r="F64" s="8" t="str">
        <f t="shared" si="2"/>
        <v/>
      </c>
      <c r="G64" t="s">
        <v>5</v>
      </c>
      <c r="H64" s="4" t="s">
        <v>5</v>
      </c>
      <c r="I64" s="4" t="s">
        <v>5</v>
      </c>
      <c r="J64" s="4" t="s">
        <v>5</v>
      </c>
      <c r="K64" s="4" t="s">
        <v>5</v>
      </c>
      <c r="L64" s="4" t="s">
        <v>5</v>
      </c>
      <c r="M64" s="4" t="s">
        <v>5</v>
      </c>
      <c r="N64" s="4" t="s">
        <v>5</v>
      </c>
      <c r="O64" s="4" t="s">
        <v>5</v>
      </c>
      <c r="P64" s="4" t="s">
        <v>5</v>
      </c>
      <c r="R64" s="4" t="s">
        <v>5</v>
      </c>
      <c r="S64" s="4" t="s">
        <v>5</v>
      </c>
      <c r="T64" s="4" t="s">
        <v>5</v>
      </c>
      <c r="U64" s="4" t="s">
        <v>5</v>
      </c>
      <c r="W64" s="4" t="s">
        <v>5</v>
      </c>
      <c r="Y64" s="4" t="s">
        <v>5</v>
      </c>
      <c r="Z64" s="4" t="s">
        <v>5</v>
      </c>
      <c r="AC64" s="4" t="s">
        <v>5</v>
      </c>
      <c r="AF64" s="4" t="s">
        <v>5</v>
      </c>
      <c r="AG64" s="4" t="s">
        <v>5</v>
      </c>
      <c r="AH64" s="4" t="s">
        <v>5</v>
      </c>
      <c r="AJ64" s="4" t="s">
        <v>5</v>
      </c>
      <c r="AK64" s="4" t="s">
        <v>5</v>
      </c>
    </row>
    <row r="65" spans="1:37" x14ac:dyDescent="0.25">
      <c r="A65" s="13" t="str">
        <f>IF(AND($E65="",MAX($A$8:$A64)=0),"",IF(AND($E65&lt;&gt;"",MAX($A$8:$A64)=0),1,IF(AND($E65&lt;&gt;"",MAX($A$8:$A64)&gt;0),MAX($A$8:$A64)+1,"")))</f>
        <v/>
      </c>
      <c r="B65" s="11">
        <v>58</v>
      </c>
      <c r="C65" s="19" t="str">
        <f t="shared" si="0"/>
        <v>EMPTY</v>
      </c>
      <c r="D65" s="3" t="str">
        <f t="shared" si="4"/>
        <v/>
      </c>
      <c r="E65" s="22"/>
      <c r="F65" s="8" t="str">
        <f t="shared" si="2"/>
        <v/>
      </c>
      <c r="G65" t="s">
        <v>5</v>
      </c>
      <c r="H65" s="4" t="s">
        <v>5</v>
      </c>
      <c r="I65" s="4" t="s">
        <v>5</v>
      </c>
      <c r="J65" s="4" t="s">
        <v>5</v>
      </c>
      <c r="K65" s="4" t="s">
        <v>5</v>
      </c>
      <c r="L65" s="4" t="s">
        <v>5</v>
      </c>
      <c r="M65" s="4" t="s">
        <v>5</v>
      </c>
      <c r="N65" s="4" t="s">
        <v>5</v>
      </c>
      <c r="P65" s="4" t="s">
        <v>5</v>
      </c>
      <c r="R65" s="4" t="s">
        <v>5</v>
      </c>
      <c r="S65" s="4" t="s">
        <v>5</v>
      </c>
      <c r="T65" s="4" t="s">
        <v>5</v>
      </c>
      <c r="U65" s="4" t="s">
        <v>5</v>
      </c>
      <c r="Y65" s="4" t="s">
        <v>5</v>
      </c>
      <c r="Z65" s="4" t="s">
        <v>5</v>
      </c>
      <c r="AC65" s="4" t="s">
        <v>5</v>
      </c>
      <c r="AF65" s="4" t="s">
        <v>5</v>
      </c>
      <c r="AG65" s="4" t="s">
        <v>5</v>
      </c>
      <c r="AH65" s="4" t="s">
        <v>5</v>
      </c>
      <c r="AJ65" s="4" t="s">
        <v>5</v>
      </c>
      <c r="AK65" s="4" t="s">
        <v>5</v>
      </c>
    </row>
    <row r="66" spans="1:37" x14ac:dyDescent="0.25">
      <c r="A66" s="13" t="str">
        <f>IF(AND($E66="",MAX($A$8:$A65)=0),"",IF(AND($E66&lt;&gt;"",MAX($A$8:$A65)=0),1,IF(AND($E66&lt;&gt;"",MAX($A$8:$A65)&gt;0),MAX($A$8:$A65)+1,"")))</f>
        <v/>
      </c>
      <c r="B66" s="11">
        <v>59</v>
      </c>
      <c r="C66" s="19" t="str">
        <f t="shared" si="0"/>
        <v>EMPTY</v>
      </c>
      <c r="D66" s="3" t="str">
        <f t="shared" si="4"/>
        <v/>
      </c>
      <c r="E66" s="22"/>
      <c r="F66" s="8" t="str">
        <f t="shared" si="2"/>
        <v/>
      </c>
      <c r="G66" t="s">
        <v>5</v>
      </c>
      <c r="H66" s="4" t="s">
        <v>5</v>
      </c>
      <c r="I66" s="4" t="s">
        <v>5</v>
      </c>
      <c r="J66" s="4" t="s">
        <v>5</v>
      </c>
      <c r="K66" s="4" t="s">
        <v>5</v>
      </c>
      <c r="L66" s="4" t="s">
        <v>5</v>
      </c>
      <c r="M66" s="4" t="s">
        <v>5</v>
      </c>
      <c r="N66" s="4" t="s">
        <v>5</v>
      </c>
      <c r="R66" s="4" t="s">
        <v>5</v>
      </c>
      <c r="S66" s="4" t="s">
        <v>5</v>
      </c>
      <c r="T66" s="4" t="s">
        <v>5</v>
      </c>
      <c r="U66" s="4" t="s">
        <v>5</v>
      </c>
      <c r="Y66" s="4" t="s">
        <v>5</v>
      </c>
      <c r="Z66" s="4" t="s">
        <v>5</v>
      </c>
      <c r="AC66" s="4" t="s">
        <v>5</v>
      </c>
      <c r="AF66" s="4" t="s">
        <v>5</v>
      </c>
      <c r="AG66" s="4" t="s">
        <v>5</v>
      </c>
      <c r="AH66" s="4" t="s">
        <v>5</v>
      </c>
      <c r="AJ66" s="4" t="s">
        <v>5</v>
      </c>
      <c r="AK66" s="4" t="s">
        <v>5</v>
      </c>
    </row>
    <row r="67" spans="1:37" x14ac:dyDescent="0.25">
      <c r="A67" s="13" t="str">
        <f>IF(AND($E67="",MAX($A$8:$A66)=0),"",IF(AND($E67&lt;&gt;"",MAX($A$8:$A66)=0),1,IF(AND($E67&lt;&gt;"",MAX($A$8:$A66)&gt;0),MAX($A$8:$A66)+1,"")))</f>
        <v/>
      </c>
      <c r="B67" s="11">
        <v>60</v>
      </c>
      <c r="C67" s="19" t="str">
        <f t="shared" si="0"/>
        <v>EMPTY</v>
      </c>
      <c r="D67" s="3" t="str">
        <f t="shared" si="4"/>
        <v/>
      </c>
      <c r="E67" s="22"/>
      <c r="F67" s="8" t="str">
        <f t="shared" si="2"/>
        <v/>
      </c>
      <c r="G67" t="s">
        <v>5</v>
      </c>
      <c r="H67" s="4" t="s">
        <v>5</v>
      </c>
      <c r="I67" s="4" t="s">
        <v>5</v>
      </c>
      <c r="J67" s="4" t="s">
        <v>5</v>
      </c>
      <c r="K67" s="4" t="s">
        <v>5</v>
      </c>
      <c r="L67" s="4" t="s">
        <v>5</v>
      </c>
      <c r="M67" s="4" t="s">
        <v>5</v>
      </c>
      <c r="N67" s="4" t="s">
        <v>5</v>
      </c>
      <c r="R67" s="4" t="s">
        <v>5</v>
      </c>
      <c r="S67" s="4" t="s">
        <v>5</v>
      </c>
      <c r="T67" s="4" t="s">
        <v>5</v>
      </c>
      <c r="U67" s="4" t="s">
        <v>5</v>
      </c>
      <c r="Y67" s="4" t="s">
        <v>5</v>
      </c>
      <c r="Z67" s="4" t="s">
        <v>5</v>
      </c>
      <c r="AC67" s="4" t="s">
        <v>5</v>
      </c>
      <c r="AF67" s="4" t="s">
        <v>5</v>
      </c>
      <c r="AG67" s="4" t="s">
        <v>5</v>
      </c>
      <c r="AH67" s="4" t="s">
        <v>5</v>
      </c>
      <c r="AJ67" s="4" t="s">
        <v>5</v>
      </c>
      <c r="AK67" s="4" t="s">
        <v>5</v>
      </c>
    </row>
    <row r="68" spans="1:37" x14ac:dyDescent="0.25">
      <c r="A68" s="13" t="str">
        <f>IF(AND($E68="",MAX($A$8:$A67)=0),"",IF(AND($E68&lt;&gt;"",MAX($A$8:$A67)=0),1,IF(AND($E68&lt;&gt;"",MAX($A$8:$A67)&gt;0),MAX($A$8:$A67)+1,"")))</f>
        <v/>
      </c>
      <c r="B68" s="11">
        <v>61</v>
      </c>
      <c r="C68" s="19" t="str">
        <f t="shared" si="0"/>
        <v>EMPTY</v>
      </c>
      <c r="D68" s="3" t="str">
        <f t="shared" si="4"/>
        <v/>
      </c>
      <c r="E68" s="22"/>
      <c r="F68" s="8" t="str">
        <f t="shared" si="2"/>
        <v/>
      </c>
      <c r="G68" t="s">
        <v>5</v>
      </c>
      <c r="H68" s="4" t="s">
        <v>5</v>
      </c>
      <c r="I68" s="4" t="s">
        <v>5</v>
      </c>
      <c r="J68" s="4" t="s">
        <v>5</v>
      </c>
      <c r="K68" s="4" t="s">
        <v>5</v>
      </c>
      <c r="L68" s="4" t="s">
        <v>5</v>
      </c>
      <c r="M68" s="4" t="s">
        <v>5</v>
      </c>
      <c r="N68" s="4" t="s">
        <v>5</v>
      </c>
      <c r="S68" s="4" t="s">
        <v>5</v>
      </c>
      <c r="T68" s="4" t="s">
        <v>5</v>
      </c>
      <c r="U68" s="4" t="s">
        <v>5</v>
      </c>
      <c r="Y68" s="4" t="s">
        <v>5</v>
      </c>
      <c r="Z68" s="4" t="s">
        <v>5</v>
      </c>
      <c r="AC68" s="4" t="s">
        <v>5</v>
      </c>
      <c r="AF68" s="4" t="s">
        <v>5</v>
      </c>
      <c r="AG68" s="4" t="s">
        <v>5</v>
      </c>
      <c r="AH68" s="4" t="s">
        <v>5</v>
      </c>
      <c r="AJ68" s="4" t="s">
        <v>5</v>
      </c>
      <c r="AK68" s="4" t="s">
        <v>5</v>
      </c>
    </row>
    <row r="69" spans="1:37" x14ac:dyDescent="0.25">
      <c r="A69" s="13" t="str">
        <f>IF(AND($E69="",MAX($A$8:$A68)=0),"",IF(AND($E69&lt;&gt;"",MAX($A$8:$A68)=0),1,IF(AND($E69&lt;&gt;"",MAX($A$8:$A68)&gt;0),MAX($A$8:$A68)+1,"")))</f>
        <v/>
      </c>
      <c r="B69" s="11">
        <v>62</v>
      </c>
      <c r="C69" s="19" t="str">
        <f t="shared" si="0"/>
        <v>EMPTY</v>
      </c>
      <c r="D69" s="3" t="str">
        <f t="shared" si="4"/>
        <v/>
      </c>
      <c r="E69" s="22"/>
      <c r="F69" s="8" t="str">
        <f t="shared" si="2"/>
        <v/>
      </c>
      <c r="G69" t="s">
        <v>5</v>
      </c>
      <c r="H69" s="4" t="s">
        <v>5</v>
      </c>
      <c r="I69" s="4" t="s">
        <v>5</v>
      </c>
      <c r="J69" s="4" t="s">
        <v>5</v>
      </c>
      <c r="K69" s="4" t="s">
        <v>5</v>
      </c>
      <c r="L69" s="4" t="s">
        <v>5</v>
      </c>
      <c r="M69" s="4" t="s">
        <v>5</v>
      </c>
      <c r="N69" s="4" t="s">
        <v>5</v>
      </c>
      <c r="T69" s="4" t="s">
        <v>5</v>
      </c>
      <c r="U69" s="4" t="s">
        <v>5</v>
      </c>
      <c r="Y69" s="4" t="s">
        <v>5</v>
      </c>
      <c r="AC69" s="4" t="s">
        <v>5</v>
      </c>
      <c r="AF69" s="4" t="s">
        <v>5</v>
      </c>
      <c r="AG69" s="4" t="s">
        <v>5</v>
      </c>
      <c r="AH69" s="4" t="s">
        <v>5</v>
      </c>
      <c r="AJ69" s="4" t="s">
        <v>5</v>
      </c>
      <c r="AK69" s="4" t="s">
        <v>5</v>
      </c>
    </row>
    <row r="70" spans="1:37" x14ac:dyDescent="0.25">
      <c r="A70" s="13" t="str">
        <f>IF(AND($E70="",MAX($A$8:$A69)=0),"",IF(AND($E70&lt;&gt;"",MAX($A$8:$A69)=0),1,IF(AND($E70&lt;&gt;"",MAX($A$8:$A69)&gt;0),MAX($A$8:$A69)+1,"")))</f>
        <v/>
      </c>
      <c r="B70" s="11">
        <v>63</v>
      </c>
      <c r="C70" s="19" t="str">
        <f t="shared" si="0"/>
        <v>EMPTY</v>
      </c>
      <c r="D70" s="3" t="str">
        <f t="shared" si="4"/>
        <v/>
      </c>
      <c r="E70" s="22"/>
      <c r="F70" s="8" t="str">
        <f t="shared" si="2"/>
        <v/>
      </c>
      <c r="T70" s="4" t="s">
        <v>5</v>
      </c>
      <c r="U70" s="4" t="s">
        <v>5</v>
      </c>
      <c r="Y70" s="4" t="s">
        <v>5</v>
      </c>
      <c r="AC70" s="4" t="s">
        <v>5</v>
      </c>
      <c r="AF70" s="4" t="s">
        <v>5</v>
      </c>
      <c r="AG70" s="4" t="s">
        <v>5</v>
      </c>
      <c r="AH70" s="4" t="s">
        <v>5</v>
      </c>
      <c r="AJ70" s="4" t="s">
        <v>5</v>
      </c>
      <c r="AK70" s="4" t="s">
        <v>5</v>
      </c>
    </row>
    <row r="71" spans="1:37" x14ac:dyDescent="0.25">
      <c r="A71" s="13" t="str">
        <f>IF(AND($E71="",MAX($A$8:$A70)=0),"",IF(AND($E71&lt;&gt;"",MAX($A$8:$A70)=0),1,IF(AND($E71&lt;&gt;"",MAX($A$8:$A70)&gt;0),MAX($A$8:$A70)+1,"")))</f>
        <v/>
      </c>
      <c r="B71" s="11">
        <v>64</v>
      </c>
      <c r="C71" s="19" t="str">
        <f t="shared" si="0"/>
        <v>EMPTY</v>
      </c>
      <c r="D71" s="3" t="str">
        <f t="shared" si="4"/>
        <v/>
      </c>
      <c r="E71" s="22"/>
      <c r="F71" s="8" t="str">
        <f t="shared" si="2"/>
        <v/>
      </c>
      <c r="T71" s="4" t="s">
        <v>5</v>
      </c>
      <c r="U71" s="4" t="s">
        <v>5</v>
      </c>
      <c r="Y71" s="4" t="s">
        <v>5</v>
      </c>
      <c r="AF71" s="4" t="s">
        <v>5</v>
      </c>
      <c r="AG71" s="4" t="s">
        <v>5</v>
      </c>
      <c r="AH71" s="4" t="s">
        <v>5</v>
      </c>
      <c r="AJ71" s="4" t="s">
        <v>5</v>
      </c>
      <c r="AK71" s="4" t="s">
        <v>5</v>
      </c>
    </row>
    <row r="72" spans="1:37" x14ac:dyDescent="0.25">
      <c r="A72" s="13" t="str">
        <f>IF(AND($E72="",MAX($A$8:$A71)=0),"",IF(AND($E72&lt;&gt;"",MAX($A$8:$A71)=0),1,IF(AND($E72&lt;&gt;"",MAX($A$8:$A71)&gt;0),MAX($A$8:$A71)+1,"")))</f>
        <v/>
      </c>
      <c r="B72" s="11">
        <v>65</v>
      </c>
      <c r="C72" s="19" t="str">
        <f t="shared" si="0"/>
        <v>EMPTY</v>
      </c>
      <c r="D72" s="3" t="str">
        <f t="shared" si="4"/>
        <v/>
      </c>
      <c r="E72" s="22"/>
      <c r="F72" s="8" t="str">
        <f t="shared" si="2"/>
        <v/>
      </c>
      <c r="T72" s="4" t="s">
        <v>5</v>
      </c>
      <c r="U72" s="4" t="s">
        <v>5</v>
      </c>
      <c r="Y72" s="4" t="s">
        <v>5</v>
      </c>
      <c r="AF72" s="4" t="s">
        <v>5</v>
      </c>
      <c r="AG72" s="4" t="s">
        <v>5</v>
      </c>
      <c r="AH72" s="4" t="s">
        <v>5</v>
      </c>
      <c r="AJ72" s="4" t="s">
        <v>5</v>
      </c>
      <c r="AK72" s="4" t="s">
        <v>5</v>
      </c>
    </row>
    <row r="73" spans="1:37" x14ac:dyDescent="0.25">
      <c r="A73" s="13" t="str">
        <f>IF(AND($E73="",MAX($A$8:$A72)=0),"",IF(AND($E73&lt;&gt;"",MAX($A$8:$A72)=0),1,IF(AND($E73&lt;&gt;"",MAX($A$8:$A72)&gt;0),MAX($A$8:$A72)+1,"")))</f>
        <v/>
      </c>
      <c r="B73" s="11">
        <v>66</v>
      </c>
      <c r="C73" s="19" t="str">
        <f t="shared" ref="C73:C136" si="5">IF($E73="","EMPTY",IF(COUNT(MID($E73,2,1))=0,"HIDE",IF(COUNT(MID($E73,2,1))=1,"SHOW","")))</f>
        <v>EMPTY</v>
      </c>
      <c r="D73" s="3" t="str">
        <f t="shared" si="4"/>
        <v/>
      </c>
      <c r="E73" s="22"/>
      <c r="F73" s="8" t="str">
        <f t="shared" ref="F73:F136" si="6">$D73</f>
        <v/>
      </c>
      <c r="U73" s="4" t="s">
        <v>5</v>
      </c>
      <c r="Y73" s="4" t="s">
        <v>5</v>
      </c>
      <c r="AF73" s="4" t="s">
        <v>5</v>
      </c>
      <c r="AG73" s="4" t="s">
        <v>5</v>
      </c>
      <c r="AH73" s="4" t="s">
        <v>5</v>
      </c>
      <c r="AJ73" s="4" t="s">
        <v>5</v>
      </c>
      <c r="AK73" s="4" t="s">
        <v>5</v>
      </c>
    </row>
    <row r="74" spans="1:37" x14ac:dyDescent="0.25">
      <c r="A74" s="13" t="str">
        <f>IF(AND($E74="",MAX($A$8:$A73)=0),"",IF(AND($E74&lt;&gt;"",MAX($A$8:$A73)=0),1,IF(AND($E74&lt;&gt;"",MAX($A$8:$A73)&gt;0),MAX($A$8:$A73)+1,"")))</f>
        <v/>
      </c>
      <c r="B74" s="11">
        <v>67</v>
      </c>
      <c r="C74" s="19" t="str">
        <f t="shared" si="5"/>
        <v>EMPTY</v>
      </c>
      <c r="D74" s="3" t="str">
        <f t="shared" si="4"/>
        <v/>
      </c>
      <c r="E74" s="22"/>
      <c r="F74" s="8" t="str">
        <f t="shared" si="6"/>
        <v/>
      </c>
      <c r="U74" s="4" t="s">
        <v>5</v>
      </c>
      <c r="Y74" s="4" t="s">
        <v>5</v>
      </c>
      <c r="AF74" s="4" t="s">
        <v>5</v>
      </c>
      <c r="AG74" s="4" t="s">
        <v>5</v>
      </c>
      <c r="AH74" s="4" t="s">
        <v>5</v>
      </c>
      <c r="AK74" s="4" t="s">
        <v>5</v>
      </c>
    </row>
    <row r="75" spans="1:37" x14ac:dyDescent="0.25">
      <c r="A75" s="13" t="str">
        <f>IF(AND($E75="",MAX($A$8:$A74)=0),"",IF(AND($E75&lt;&gt;"",MAX($A$8:$A74)=0),1,IF(AND($E75&lt;&gt;"",MAX($A$8:$A74)&gt;0),MAX($A$8:$A74)+1,"")))</f>
        <v/>
      </c>
      <c r="B75" s="11">
        <v>68</v>
      </c>
      <c r="C75" s="19" t="str">
        <f t="shared" si="5"/>
        <v>EMPTY</v>
      </c>
      <c r="D75" s="3" t="str">
        <f t="shared" si="4"/>
        <v/>
      </c>
      <c r="E75" s="22"/>
      <c r="F75" s="8" t="str">
        <f t="shared" si="6"/>
        <v/>
      </c>
      <c r="U75" s="4" t="s">
        <v>5</v>
      </c>
      <c r="Y75" s="4" t="s">
        <v>5</v>
      </c>
      <c r="AF75" s="4" t="s">
        <v>5</v>
      </c>
      <c r="AG75" s="4" t="s">
        <v>5</v>
      </c>
      <c r="AH75" s="4" t="s">
        <v>5</v>
      </c>
      <c r="AK75" s="4" t="s">
        <v>5</v>
      </c>
    </row>
    <row r="76" spans="1:37" x14ac:dyDescent="0.25">
      <c r="A76" s="13" t="str">
        <f>IF(AND($E76="",MAX($A$8:$A75)=0),"",IF(AND($E76&lt;&gt;"",MAX($A$8:$A75)=0),1,IF(AND($E76&lt;&gt;"",MAX($A$8:$A75)&gt;0),MAX($A$8:$A75)+1,"")))</f>
        <v/>
      </c>
      <c r="B76" s="11">
        <v>69</v>
      </c>
      <c r="C76" s="19" t="str">
        <f t="shared" si="5"/>
        <v>EMPTY</v>
      </c>
      <c r="D76" s="3" t="str">
        <f t="shared" si="4"/>
        <v/>
      </c>
      <c r="E76" s="22"/>
      <c r="F76" s="8" t="str">
        <f t="shared" si="6"/>
        <v/>
      </c>
      <c r="U76" s="4" t="s">
        <v>5</v>
      </c>
      <c r="Y76" s="4" t="s">
        <v>5</v>
      </c>
      <c r="AF76" s="4" t="s">
        <v>5</v>
      </c>
      <c r="AG76" s="4" t="s">
        <v>5</v>
      </c>
      <c r="AH76" s="4" t="s">
        <v>5</v>
      </c>
      <c r="AK76" s="4" t="s">
        <v>5</v>
      </c>
    </row>
    <row r="77" spans="1:37" x14ac:dyDescent="0.25">
      <c r="A77" s="13" t="str">
        <f>IF(AND($E77="",MAX($A$8:$A76)=0),"",IF(AND($E77&lt;&gt;"",MAX($A$8:$A76)=0),1,IF(AND($E77&lt;&gt;"",MAX($A$8:$A76)&gt;0),MAX($A$8:$A76)+1,"")))</f>
        <v/>
      </c>
      <c r="B77" s="11">
        <v>70</v>
      </c>
      <c r="C77" s="19" t="str">
        <f t="shared" si="5"/>
        <v>EMPTY</v>
      </c>
      <c r="D77" s="3" t="str">
        <f t="shared" si="4"/>
        <v/>
      </c>
      <c r="E77" s="22"/>
      <c r="F77" s="8" t="str">
        <f t="shared" si="6"/>
        <v/>
      </c>
      <c r="U77" s="4" t="s">
        <v>5</v>
      </c>
      <c r="Y77" s="4" t="s">
        <v>5</v>
      </c>
      <c r="AG77" s="4" t="s">
        <v>5</v>
      </c>
      <c r="AK77" s="4" t="s">
        <v>5</v>
      </c>
    </row>
    <row r="78" spans="1:37" x14ac:dyDescent="0.25">
      <c r="A78" s="13" t="str">
        <f>IF(AND($E78="",MAX($A$8:$A77)=0),"",IF(AND($E78&lt;&gt;"",MAX($A$8:$A77)=0),1,IF(AND($E78&lt;&gt;"",MAX($A$8:$A77)&gt;0),MAX($A$8:$A77)+1,"")))</f>
        <v/>
      </c>
      <c r="B78" s="11">
        <v>71</v>
      </c>
      <c r="C78" s="19" t="str">
        <f t="shared" si="5"/>
        <v>EMPTY</v>
      </c>
      <c r="D78" s="3" t="str">
        <f t="shared" si="4"/>
        <v/>
      </c>
      <c r="E78" s="22"/>
      <c r="F78" s="8" t="str">
        <f t="shared" si="6"/>
        <v/>
      </c>
      <c r="U78" s="4" t="s">
        <v>5</v>
      </c>
      <c r="AG78" s="4" t="s">
        <v>5</v>
      </c>
      <c r="AK78" s="4" t="s">
        <v>5</v>
      </c>
    </row>
    <row r="79" spans="1:37" x14ac:dyDescent="0.25">
      <c r="A79" s="13" t="str">
        <f>IF(AND($E79="",MAX($A$8:$A78)=0),"",IF(AND($E79&lt;&gt;"",MAX($A$8:$A78)=0),1,IF(AND($E79&lt;&gt;"",MAX($A$8:$A78)&gt;0),MAX($A$8:$A78)+1,"")))</f>
        <v/>
      </c>
      <c r="B79" s="11">
        <v>72</v>
      </c>
      <c r="C79" s="19" t="str">
        <f t="shared" si="5"/>
        <v>EMPTY</v>
      </c>
      <c r="D79" s="3" t="str">
        <f t="shared" si="4"/>
        <v/>
      </c>
      <c r="E79" s="22"/>
      <c r="F79" s="8" t="str">
        <f t="shared" si="6"/>
        <v/>
      </c>
      <c r="U79" s="4" t="s">
        <v>5</v>
      </c>
      <c r="AG79" s="4" t="s">
        <v>5</v>
      </c>
      <c r="AK79" s="4" t="s">
        <v>5</v>
      </c>
    </row>
    <row r="80" spans="1:37" x14ac:dyDescent="0.25">
      <c r="A80" s="13" t="str">
        <f>IF(AND($E80="",MAX($A$8:$A79)=0),"",IF(AND($E80&lt;&gt;"",MAX($A$8:$A79)=0),1,IF(AND($E80&lt;&gt;"",MAX($A$8:$A79)&gt;0),MAX($A$8:$A79)+1,"")))</f>
        <v/>
      </c>
      <c r="B80" s="11">
        <v>73</v>
      </c>
      <c r="C80" s="19" t="str">
        <f t="shared" si="5"/>
        <v>EMPTY</v>
      </c>
      <c r="D80" s="3" t="str">
        <f t="shared" si="4"/>
        <v/>
      </c>
      <c r="E80" s="22"/>
      <c r="F80" s="8" t="str">
        <f t="shared" si="6"/>
        <v/>
      </c>
      <c r="U80" s="4" t="s">
        <v>5</v>
      </c>
      <c r="AG80" s="4" t="s">
        <v>5</v>
      </c>
      <c r="AK80" s="4" t="s">
        <v>5</v>
      </c>
    </row>
    <row r="81" spans="1:37" x14ac:dyDescent="0.25">
      <c r="A81" s="13" t="str">
        <f>IF(AND($E81="",MAX($A$8:$A80)=0),"",IF(AND($E81&lt;&gt;"",MAX($A$8:$A80)=0),1,IF(AND($E81&lt;&gt;"",MAX($A$8:$A80)&gt;0),MAX($A$8:$A80)+1,"")))</f>
        <v/>
      </c>
      <c r="B81" s="11">
        <v>74</v>
      </c>
      <c r="C81" s="19" t="str">
        <f t="shared" si="5"/>
        <v>EMPTY</v>
      </c>
      <c r="D81" s="3" t="str">
        <f t="shared" ref="D81:D144" si="7">IF(AND(OR($C81="EMPTY",$C81="HIDE",$C81=""),OR($C82="EMPTY",$C82="HIDE",$C82="")),"",IF(AND($C81="SHOW",OR($C82="EMPTY",$C82="HIDE",$C82="")),CONCATENATE("Dialogue: 0,0:",MID($E81,2,8),",0:",MID($E81,2,8),",Default,,0,0,0,,",MID($E81,11,1000)),IF(AND($C81="SHOW",$C82="SHOW"),CONCATENATE("Dialogue: 0,0:",MID($E81,2,8),",0:",MID($E82,2,8),",Default,,0,0,0,,",MID($E81,11,1000)),"")))</f>
        <v/>
      </c>
      <c r="E81" s="22"/>
      <c r="F81" s="8" t="str">
        <f t="shared" si="6"/>
        <v/>
      </c>
      <c r="U81" s="4" t="s">
        <v>5</v>
      </c>
      <c r="AG81" s="4" t="s">
        <v>5</v>
      </c>
      <c r="AK81" s="4" t="s">
        <v>5</v>
      </c>
    </row>
    <row r="82" spans="1:37" x14ac:dyDescent="0.25">
      <c r="A82" s="13" t="str">
        <f>IF(AND($E82="",MAX($A$8:$A81)=0),"",IF(AND($E82&lt;&gt;"",MAX($A$8:$A81)=0),1,IF(AND($E82&lt;&gt;"",MAX($A$8:$A81)&gt;0),MAX($A$8:$A81)+1,"")))</f>
        <v/>
      </c>
      <c r="B82" s="11">
        <v>75</v>
      </c>
      <c r="C82" s="19" t="str">
        <f t="shared" si="5"/>
        <v>EMPTY</v>
      </c>
      <c r="D82" s="3" t="str">
        <f t="shared" si="7"/>
        <v/>
      </c>
      <c r="E82" s="22"/>
      <c r="F82" s="8" t="str">
        <f t="shared" si="6"/>
        <v/>
      </c>
      <c r="U82" s="4" t="s">
        <v>5</v>
      </c>
      <c r="AG82" s="4" t="s">
        <v>5</v>
      </c>
    </row>
    <row r="83" spans="1:37" x14ac:dyDescent="0.25">
      <c r="A83" s="13" t="str">
        <f>IF(AND($E83="",MAX($A$8:$A82)=0),"",IF(AND($E83&lt;&gt;"",MAX($A$8:$A82)=0),1,IF(AND($E83&lt;&gt;"",MAX($A$8:$A82)&gt;0),MAX($A$8:$A82)+1,"")))</f>
        <v/>
      </c>
      <c r="B83" s="11">
        <v>76</v>
      </c>
      <c r="C83" s="19" t="str">
        <f t="shared" si="5"/>
        <v>EMPTY</v>
      </c>
      <c r="D83" s="3" t="str">
        <f t="shared" si="7"/>
        <v/>
      </c>
      <c r="E83" s="22"/>
      <c r="F83" s="8" t="str">
        <f t="shared" si="6"/>
        <v/>
      </c>
      <c r="AG83" s="4" t="s">
        <v>5</v>
      </c>
    </row>
    <row r="84" spans="1:37" x14ac:dyDescent="0.25">
      <c r="A84" s="13" t="str">
        <f>IF(AND($E84="",MAX($A$8:$A83)=0),"",IF(AND($E84&lt;&gt;"",MAX($A$8:$A83)=0),1,IF(AND($E84&lt;&gt;"",MAX($A$8:$A83)&gt;0),MAX($A$8:$A83)+1,"")))</f>
        <v/>
      </c>
      <c r="B84" s="11">
        <v>77</v>
      </c>
      <c r="C84" s="19" t="str">
        <f t="shared" si="5"/>
        <v>EMPTY</v>
      </c>
      <c r="D84" s="3" t="str">
        <f t="shared" si="7"/>
        <v/>
      </c>
      <c r="E84" s="22"/>
      <c r="F84" s="8" t="str">
        <f t="shared" si="6"/>
        <v/>
      </c>
      <c r="AG84" s="4" t="s">
        <v>5</v>
      </c>
    </row>
    <row r="85" spans="1:37" x14ac:dyDescent="0.25">
      <c r="A85" s="13" t="str">
        <f>IF(AND($E85="",MAX($A$8:$A84)=0),"",IF(AND($E85&lt;&gt;"",MAX($A$8:$A84)=0),1,IF(AND($E85&lt;&gt;"",MAX($A$8:$A84)&gt;0),MAX($A$8:$A84)+1,"")))</f>
        <v/>
      </c>
      <c r="B85" s="11">
        <v>78</v>
      </c>
      <c r="C85" s="19" t="str">
        <f t="shared" si="5"/>
        <v>EMPTY</v>
      </c>
      <c r="D85" s="3" t="str">
        <f t="shared" si="7"/>
        <v/>
      </c>
      <c r="E85" s="22"/>
      <c r="F85" s="8" t="str">
        <f t="shared" si="6"/>
        <v/>
      </c>
      <c r="AG85" s="4" t="s">
        <v>5</v>
      </c>
    </row>
    <row r="86" spans="1:37" x14ac:dyDescent="0.25">
      <c r="A86" s="13" t="str">
        <f>IF(AND($E86="",MAX($A$8:$A85)=0),"",IF(AND($E86&lt;&gt;"",MAX($A$8:$A85)=0),1,IF(AND($E86&lt;&gt;"",MAX($A$8:$A85)&gt;0),MAX($A$8:$A85)+1,"")))</f>
        <v/>
      </c>
      <c r="B86" s="11">
        <v>79</v>
      </c>
      <c r="C86" s="19" t="str">
        <f t="shared" si="5"/>
        <v>EMPTY</v>
      </c>
      <c r="D86" s="3" t="str">
        <f t="shared" si="7"/>
        <v/>
      </c>
      <c r="E86" s="22"/>
      <c r="F86" s="8" t="str">
        <f t="shared" si="6"/>
        <v/>
      </c>
      <c r="AG86" s="4" t="s">
        <v>5</v>
      </c>
    </row>
    <row r="87" spans="1:37" x14ac:dyDescent="0.25">
      <c r="A87" s="13" t="str">
        <f>IF(AND($E87="",MAX($A$8:$A86)=0),"",IF(AND($E87&lt;&gt;"",MAX($A$8:$A86)=0),1,IF(AND($E87&lt;&gt;"",MAX($A$8:$A86)&gt;0),MAX($A$8:$A86)+1,"")))</f>
        <v/>
      </c>
      <c r="B87" s="11">
        <v>80</v>
      </c>
      <c r="C87" s="19" t="str">
        <f t="shared" si="5"/>
        <v>EMPTY</v>
      </c>
      <c r="D87" s="3" t="str">
        <f t="shared" si="7"/>
        <v/>
      </c>
      <c r="E87" s="22"/>
      <c r="F87" s="8" t="str">
        <f t="shared" si="6"/>
        <v/>
      </c>
      <c r="AG87" s="4" t="s">
        <v>5</v>
      </c>
    </row>
    <row r="88" spans="1:37" x14ac:dyDescent="0.25">
      <c r="A88" s="13" t="str">
        <f>IF(AND($E88="",MAX($A$8:$A87)=0),"",IF(AND($E88&lt;&gt;"",MAX($A$8:$A87)=0),1,IF(AND($E88&lt;&gt;"",MAX($A$8:$A87)&gt;0),MAX($A$8:$A87)+1,"")))</f>
        <v/>
      </c>
      <c r="B88" s="11">
        <v>81</v>
      </c>
      <c r="C88" s="19" t="str">
        <f t="shared" si="5"/>
        <v>EMPTY</v>
      </c>
      <c r="D88" s="3" t="str">
        <f t="shared" si="7"/>
        <v/>
      </c>
      <c r="E88" s="22"/>
      <c r="F88" s="8" t="str">
        <f t="shared" si="6"/>
        <v/>
      </c>
      <c r="AG88" s="4" t="s">
        <v>5</v>
      </c>
    </row>
    <row r="89" spans="1:37" x14ac:dyDescent="0.25">
      <c r="A89" s="13" t="str">
        <f>IF(AND($E89="",MAX($A$8:$A88)=0),"",IF(AND($E89&lt;&gt;"",MAX($A$8:$A88)=0),1,IF(AND($E89&lt;&gt;"",MAX($A$8:$A88)&gt;0),MAX($A$8:$A88)+1,"")))</f>
        <v/>
      </c>
      <c r="B89" s="11">
        <v>82</v>
      </c>
      <c r="C89" s="19" t="str">
        <f t="shared" si="5"/>
        <v>EMPTY</v>
      </c>
      <c r="D89" s="3" t="str">
        <f t="shared" si="7"/>
        <v/>
      </c>
      <c r="E89" s="22"/>
      <c r="F89" s="8" t="str">
        <f t="shared" si="6"/>
        <v/>
      </c>
      <c r="AG89" s="4" t="s">
        <v>5</v>
      </c>
    </row>
    <row r="90" spans="1:37" x14ac:dyDescent="0.25">
      <c r="A90" s="13" t="str">
        <f>IF(AND($E90="",MAX($A$8:$A89)=0),"",IF(AND($E90&lt;&gt;"",MAX($A$8:$A89)=0),1,IF(AND($E90&lt;&gt;"",MAX($A$8:$A89)&gt;0),MAX($A$8:$A89)+1,"")))</f>
        <v/>
      </c>
      <c r="B90" s="11">
        <v>83</v>
      </c>
      <c r="C90" s="19" t="str">
        <f t="shared" si="5"/>
        <v>EMPTY</v>
      </c>
      <c r="D90" s="3" t="str">
        <f t="shared" si="7"/>
        <v/>
      </c>
      <c r="E90" s="22"/>
      <c r="F90" s="8" t="str">
        <f t="shared" si="6"/>
        <v/>
      </c>
      <c r="AG90" s="4" t="s">
        <v>5</v>
      </c>
    </row>
    <row r="91" spans="1:37" x14ac:dyDescent="0.25">
      <c r="A91" s="13" t="str">
        <f>IF(AND($E91="",MAX($A$8:$A90)=0),"",IF(AND($E91&lt;&gt;"",MAX($A$8:$A90)=0),1,IF(AND($E91&lt;&gt;"",MAX($A$8:$A90)&gt;0),MAX($A$8:$A90)+1,"")))</f>
        <v/>
      </c>
      <c r="B91" s="11">
        <v>84</v>
      </c>
      <c r="C91" s="19" t="str">
        <f t="shared" si="5"/>
        <v>EMPTY</v>
      </c>
      <c r="D91" s="3" t="str">
        <f t="shared" si="7"/>
        <v/>
      </c>
      <c r="E91" s="22"/>
      <c r="F91" s="8" t="str">
        <f t="shared" si="6"/>
        <v/>
      </c>
      <c r="AG91" s="4" t="s">
        <v>5</v>
      </c>
    </row>
    <row r="92" spans="1:37" x14ac:dyDescent="0.25">
      <c r="A92" s="13" t="str">
        <f>IF(AND($E92="",MAX($A$8:$A91)=0),"",IF(AND($E92&lt;&gt;"",MAX($A$8:$A91)=0),1,IF(AND($E92&lt;&gt;"",MAX($A$8:$A91)&gt;0),MAX($A$8:$A91)+1,"")))</f>
        <v/>
      </c>
      <c r="B92" s="11">
        <v>85</v>
      </c>
      <c r="C92" s="19" t="str">
        <f t="shared" si="5"/>
        <v>EMPTY</v>
      </c>
      <c r="D92" s="3" t="str">
        <f t="shared" si="7"/>
        <v/>
      </c>
      <c r="E92" s="22"/>
      <c r="F92" s="8" t="str">
        <f t="shared" si="6"/>
        <v/>
      </c>
      <c r="AG92" s="4" t="s">
        <v>5</v>
      </c>
    </row>
    <row r="93" spans="1:37" x14ac:dyDescent="0.25">
      <c r="A93" s="13" t="str">
        <f>IF(AND($E93="",MAX($A$8:$A92)=0),"",IF(AND($E93&lt;&gt;"",MAX($A$8:$A92)=0),1,IF(AND($E93&lt;&gt;"",MAX($A$8:$A92)&gt;0),MAX($A$8:$A92)+1,"")))</f>
        <v/>
      </c>
      <c r="B93" s="11">
        <v>86</v>
      </c>
      <c r="C93" s="19" t="str">
        <f t="shared" si="5"/>
        <v>EMPTY</v>
      </c>
      <c r="D93" s="3" t="str">
        <f t="shared" si="7"/>
        <v/>
      </c>
      <c r="E93" s="22"/>
      <c r="F93" s="8" t="str">
        <f t="shared" si="6"/>
        <v/>
      </c>
      <c r="AG93" s="4" t="s">
        <v>5</v>
      </c>
    </row>
    <row r="94" spans="1:37" x14ac:dyDescent="0.25">
      <c r="A94" s="13" t="str">
        <f>IF(AND($E94="",MAX($A$8:$A93)=0),"",IF(AND($E94&lt;&gt;"",MAX($A$8:$A93)=0),1,IF(AND($E94&lt;&gt;"",MAX($A$8:$A93)&gt;0),MAX($A$8:$A93)+1,"")))</f>
        <v/>
      </c>
      <c r="B94" s="11">
        <v>87</v>
      </c>
      <c r="C94" s="19" t="str">
        <f t="shared" si="5"/>
        <v>EMPTY</v>
      </c>
      <c r="D94" s="3" t="str">
        <f t="shared" si="7"/>
        <v/>
      </c>
      <c r="E94" s="22"/>
      <c r="F94" s="8" t="str">
        <f t="shared" si="6"/>
        <v/>
      </c>
      <c r="AG94" s="4" t="s">
        <v>5</v>
      </c>
    </row>
    <row r="95" spans="1:37" x14ac:dyDescent="0.25">
      <c r="A95" s="13" t="str">
        <f>IF(AND($E95="",MAX($A$8:$A94)=0),"",IF(AND($E95&lt;&gt;"",MAX($A$8:$A94)=0),1,IF(AND($E95&lt;&gt;"",MAX($A$8:$A94)&gt;0),MAX($A$8:$A94)+1,"")))</f>
        <v/>
      </c>
      <c r="B95" s="11">
        <v>88</v>
      </c>
      <c r="C95" s="19" t="str">
        <f t="shared" si="5"/>
        <v>EMPTY</v>
      </c>
      <c r="D95" s="3" t="str">
        <f t="shared" si="7"/>
        <v/>
      </c>
      <c r="E95" s="22"/>
      <c r="F95" s="8" t="str">
        <f t="shared" si="6"/>
        <v/>
      </c>
      <c r="AG95" s="4" t="s">
        <v>5</v>
      </c>
    </row>
    <row r="96" spans="1:37" x14ac:dyDescent="0.25">
      <c r="A96" s="13" t="str">
        <f>IF(AND($E96="",MAX($A$8:$A95)=0),"",IF(AND($E96&lt;&gt;"",MAX($A$8:$A95)=0),1,IF(AND($E96&lt;&gt;"",MAX($A$8:$A95)&gt;0),MAX($A$8:$A95)+1,"")))</f>
        <v/>
      </c>
      <c r="B96" s="11">
        <v>89</v>
      </c>
      <c r="C96" s="19" t="str">
        <f t="shared" si="5"/>
        <v>EMPTY</v>
      </c>
      <c r="D96" s="3" t="str">
        <f t="shared" si="7"/>
        <v/>
      </c>
      <c r="E96" s="22"/>
      <c r="F96" s="8" t="str">
        <f t="shared" si="6"/>
        <v/>
      </c>
      <c r="AG96" s="4" t="s">
        <v>5</v>
      </c>
    </row>
    <row r="97" spans="1:33" x14ac:dyDescent="0.25">
      <c r="A97" s="13" t="str">
        <f>IF(AND($E97="",MAX($A$8:$A96)=0),"",IF(AND($E97&lt;&gt;"",MAX($A$8:$A96)=0),1,IF(AND($E97&lt;&gt;"",MAX($A$8:$A96)&gt;0),MAX($A$8:$A96)+1,"")))</f>
        <v/>
      </c>
      <c r="B97" s="11">
        <v>90</v>
      </c>
      <c r="C97" s="19" t="str">
        <f t="shared" si="5"/>
        <v>EMPTY</v>
      </c>
      <c r="D97" s="3" t="str">
        <f t="shared" si="7"/>
        <v/>
      </c>
      <c r="E97" s="22"/>
      <c r="F97" s="8" t="str">
        <f t="shared" si="6"/>
        <v/>
      </c>
      <c r="AG97" s="4" t="s">
        <v>5</v>
      </c>
    </row>
    <row r="98" spans="1:33" x14ac:dyDescent="0.25">
      <c r="A98" s="13" t="str">
        <f>IF(AND($E98="",MAX($A$8:$A97)=0),"",IF(AND($E98&lt;&gt;"",MAX($A$8:$A97)=0),1,IF(AND($E98&lt;&gt;"",MAX($A$8:$A97)&gt;0),MAX($A$8:$A97)+1,"")))</f>
        <v/>
      </c>
      <c r="B98" s="11">
        <v>91</v>
      </c>
      <c r="C98" s="19" t="str">
        <f t="shared" si="5"/>
        <v>EMPTY</v>
      </c>
      <c r="D98" s="3" t="str">
        <f t="shared" si="7"/>
        <v/>
      </c>
      <c r="E98" s="22"/>
      <c r="F98" s="8" t="str">
        <f t="shared" si="6"/>
        <v/>
      </c>
      <c r="AG98" s="4" t="s">
        <v>5</v>
      </c>
    </row>
    <row r="99" spans="1:33" x14ac:dyDescent="0.25">
      <c r="A99" s="13" t="str">
        <f>IF(AND($E99="",MAX($A$8:$A98)=0),"",IF(AND($E99&lt;&gt;"",MAX($A$8:$A98)=0),1,IF(AND($E99&lt;&gt;"",MAX($A$8:$A98)&gt;0),MAX($A$8:$A98)+1,"")))</f>
        <v/>
      </c>
      <c r="B99" s="11">
        <v>92</v>
      </c>
      <c r="C99" s="19" t="str">
        <f t="shared" si="5"/>
        <v>EMPTY</v>
      </c>
      <c r="D99" s="3" t="str">
        <f t="shared" si="7"/>
        <v/>
      </c>
      <c r="E99" s="22"/>
      <c r="F99" s="8" t="str">
        <f t="shared" si="6"/>
        <v/>
      </c>
      <c r="AG99" s="4" t="s">
        <v>5</v>
      </c>
    </row>
    <row r="100" spans="1:33" x14ac:dyDescent="0.25">
      <c r="A100" s="13" t="str">
        <f>IF(AND($E100="",MAX($A$8:$A99)=0),"",IF(AND($E100&lt;&gt;"",MAX($A$8:$A99)=0),1,IF(AND($E100&lt;&gt;"",MAX($A$8:$A99)&gt;0),MAX($A$8:$A99)+1,"")))</f>
        <v/>
      </c>
      <c r="B100" s="11">
        <v>93</v>
      </c>
      <c r="C100" s="19" t="str">
        <f t="shared" si="5"/>
        <v>EMPTY</v>
      </c>
      <c r="D100" s="3" t="str">
        <f t="shared" si="7"/>
        <v/>
      </c>
      <c r="E100" s="22"/>
      <c r="F100" s="8" t="str">
        <f t="shared" si="6"/>
        <v/>
      </c>
      <c r="AG100" s="4" t="s">
        <v>5</v>
      </c>
    </row>
    <row r="101" spans="1:33" x14ac:dyDescent="0.25">
      <c r="A101" s="13" t="str">
        <f>IF(AND($E101="",MAX($A$8:$A100)=0),"",IF(AND($E101&lt;&gt;"",MAX($A$8:$A100)=0),1,IF(AND($E101&lt;&gt;"",MAX($A$8:$A100)&gt;0),MAX($A$8:$A100)+1,"")))</f>
        <v/>
      </c>
      <c r="B101" s="11">
        <v>94</v>
      </c>
      <c r="C101" s="19" t="str">
        <f t="shared" si="5"/>
        <v>EMPTY</v>
      </c>
      <c r="D101" s="3" t="str">
        <f t="shared" si="7"/>
        <v/>
      </c>
      <c r="E101" s="22"/>
      <c r="F101" s="8" t="str">
        <f t="shared" si="6"/>
        <v/>
      </c>
      <c r="AG101" s="4" t="s">
        <v>5</v>
      </c>
    </row>
    <row r="102" spans="1:33" x14ac:dyDescent="0.25">
      <c r="A102" s="13" t="str">
        <f>IF(AND($E102="",MAX($A$8:$A101)=0),"",IF(AND($E102&lt;&gt;"",MAX($A$8:$A101)=0),1,IF(AND($E102&lt;&gt;"",MAX($A$8:$A101)&gt;0),MAX($A$8:$A101)+1,"")))</f>
        <v/>
      </c>
      <c r="B102" s="11">
        <v>95</v>
      </c>
      <c r="C102" s="19" t="str">
        <f t="shared" si="5"/>
        <v>EMPTY</v>
      </c>
      <c r="D102" s="3" t="str">
        <f t="shared" si="7"/>
        <v/>
      </c>
      <c r="E102" s="22"/>
      <c r="F102" s="8" t="str">
        <f t="shared" si="6"/>
        <v/>
      </c>
      <c r="AG102" s="4" t="s">
        <v>5</v>
      </c>
    </row>
    <row r="103" spans="1:33" x14ac:dyDescent="0.25">
      <c r="A103" s="13" t="str">
        <f>IF(AND($E103="",MAX($A$8:$A102)=0),"",IF(AND($E103&lt;&gt;"",MAX($A$8:$A102)=0),1,IF(AND($E103&lt;&gt;"",MAX($A$8:$A102)&gt;0),MAX($A$8:$A102)+1,"")))</f>
        <v/>
      </c>
      <c r="B103" s="11">
        <v>96</v>
      </c>
      <c r="C103" s="19" t="str">
        <f t="shared" si="5"/>
        <v>EMPTY</v>
      </c>
      <c r="D103" s="3" t="str">
        <f t="shared" si="7"/>
        <v/>
      </c>
      <c r="E103" s="22"/>
      <c r="F103" s="8" t="str">
        <f t="shared" si="6"/>
        <v/>
      </c>
      <c r="AG103" s="4" t="s">
        <v>5</v>
      </c>
    </row>
    <row r="104" spans="1:33" x14ac:dyDescent="0.25">
      <c r="A104" s="13" t="str">
        <f>IF(AND($E104="",MAX($A$8:$A103)=0),"",IF(AND($E104&lt;&gt;"",MAX($A$8:$A103)=0),1,IF(AND($E104&lt;&gt;"",MAX($A$8:$A103)&gt;0),MAX($A$8:$A103)+1,"")))</f>
        <v/>
      </c>
      <c r="B104" s="11">
        <v>97</v>
      </c>
      <c r="C104" s="19" t="str">
        <f t="shared" si="5"/>
        <v>EMPTY</v>
      </c>
      <c r="D104" s="3" t="str">
        <f t="shared" si="7"/>
        <v/>
      </c>
      <c r="E104" s="22"/>
      <c r="F104" s="8" t="str">
        <f t="shared" si="6"/>
        <v/>
      </c>
      <c r="AG104" s="4" t="s">
        <v>5</v>
      </c>
    </row>
    <row r="105" spans="1:33" x14ac:dyDescent="0.25">
      <c r="A105" s="13" t="str">
        <f>IF(AND($E105="",MAX($A$8:$A104)=0),"",IF(AND($E105&lt;&gt;"",MAX($A$8:$A104)=0),1,IF(AND($E105&lt;&gt;"",MAX($A$8:$A104)&gt;0),MAX($A$8:$A104)+1,"")))</f>
        <v/>
      </c>
      <c r="B105" s="11">
        <v>98</v>
      </c>
      <c r="C105" s="19" t="str">
        <f t="shared" si="5"/>
        <v>EMPTY</v>
      </c>
      <c r="D105" s="3" t="str">
        <f t="shared" si="7"/>
        <v/>
      </c>
      <c r="E105" s="22"/>
      <c r="F105" s="8" t="str">
        <f t="shared" si="6"/>
        <v/>
      </c>
      <c r="AG105" s="4" t="s">
        <v>5</v>
      </c>
    </row>
    <row r="106" spans="1:33" x14ac:dyDescent="0.25">
      <c r="A106" s="13" t="str">
        <f>IF(AND($E106="",MAX($A$8:$A105)=0),"",IF(AND($E106&lt;&gt;"",MAX($A$8:$A105)=0),1,IF(AND($E106&lt;&gt;"",MAX($A$8:$A105)&gt;0),MAX($A$8:$A105)+1,"")))</f>
        <v/>
      </c>
      <c r="B106" s="11">
        <v>99</v>
      </c>
      <c r="C106" s="19" t="str">
        <f t="shared" si="5"/>
        <v>EMPTY</v>
      </c>
      <c r="D106" s="3" t="str">
        <f t="shared" si="7"/>
        <v/>
      </c>
      <c r="E106" s="22"/>
      <c r="F106" s="8" t="str">
        <f t="shared" si="6"/>
        <v/>
      </c>
      <c r="AG106" s="4" t="s">
        <v>5</v>
      </c>
    </row>
    <row r="107" spans="1:33" x14ac:dyDescent="0.25">
      <c r="A107" s="13" t="str">
        <f>IF(AND($E107="",MAX($A$8:$A106)=0),"",IF(AND($E107&lt;&gt;"",MAX($A$8:$A106)=0),1,IF(AND($E107&lt;&gt;"",MAX($A$8:$A106)&gt;0),MAX($A$8:$A106)+1,"")))</f>
        <v/>
      </c>
      <c r="B107" s="11">
        <v>100</v>
      </c>
      <c r="C107" s="19" t="str">
        <f t="shared" si="5"/>
        <v>EMPTY</v>
      </c>
      <c r="D107" s="3" t="str">
        <f t="shared" si="7"/>
        <v/>
      </c>
      <c r="E107" s="22"/>
      <c r="F107" s="8" t="str">
        <f t="shared" si="6"/>
        <v/>
      </c>
      <c r="AG107" s="4" t="s">
        <v>5</v>
      </c>
    </row>
    <row r="108" spans="1:33" x14ac:dyDescent="0.25">
      <c r="A108" s="13" t="str">
        <f>IF(AND($E108="",MAX($A$8:$A107)=0),"",IF(AND($E108&lt;&gt;"",MAX($A$8:$A107)=0),1,IF(AND($E108&lt;&gt;"",MAX($A$8:$A107)&gt;0),MAX($A$8:$A107)+1,"")))</f>
        <v/>
      </c>
      <c r="B108" s="11">
        <v>101</v>
      </c>
      <c r="C108" s="19" t="str">
        <f t="shared" si="5"/>
        <v>EMPTY</v>
      </c>
      <c r="D108" s="3" t="str">
        <f t="shared" si="7"/>
        <v/>
      </c>
      <c r="E108" s="22"/>
      <c r="F108" s="8" t="str">
        <f t="shared" si="6"/>
        <v/>
      </c>
      <c r="AG108" s="4" t="s">
        <v>5</v>
      </c>
    </row>
    <row r="109" spans="1:33" x14ac:dyDescent="0.25">
      <c r="A109" s="13" t="str">
        <f>IF(AND($E109="",MAX($A$8:$A108)=0),"",IF(AND($E109&lt;&gt;"",MAX($A$8:$A108)=0),1,IF(AND($E109&lt;&gt;"",MAX($A$8:$A108)&gt;0),MAX($A$8:$A108)+1,"")))</f>
        <v/>
      </c>
      <c r="B109" s="11">
        <v>102</v>
      </c>
      <c r="C109" s="19" t="str">
        <f t="shared" si="5"/>
        <v>EMPTY</v>
      </c>
      <c r="D109" s="3" t="str">
        <f t="shared" si="7"/>
        <v/>
      </c>
      <c r="E109" s="22"/>
      <c r="F109" s="8" t="str">
        <f t="shared" si="6"/>
        <v/>
      </c>
      <c r="AG109" s="4" t="s">
        <v>5</v>
      </c>
    </row>
    <row r="110" spans="1:33" x14ac:dyDescent="0.25">
      <c r="A110" s="13" t="str">
        <f>IF(AND($E110="",MAX($A$8:$A109)=0),"",IF(AND($E110&lt;&gt;"",MAX($A$8:$A109)=0),1,IF(AND($E110&lt;&gt;"",MAX($A$8:$A109)&gt;0),MAX($A$8:$A109)+1,"")))</f>
        <v/>
      </c>
      <c r="B110" s="11">
        <v>103</v>
      </c>
      <c r="C110" s="19" t="str">
        <f t="shared" si="5"/>
        <v>EMPTY</v>
      </c>
      <c r="D110" s="3" t="str">
        <f t="shared" si="7"/>
        <v/>
      </c>
      <c r="E110" s="22"/>
      <c r="F110" s="8" t="str">
        <f t="shared" si="6"/>
        <v/>
      </c>
      <c r="AG110" s="4" t="s">
        <v>5</v>
      </c>
    </row>
    <row r="111" spans="1:33" x14ac:dyDescent="0.25">
      <c r="A111" s="13" t="str">
        <f>IF(AND($E111="",MAX($A$8:$A110)=0),"",IF(AND($E111&lt;&gt;"",MAX($A$8:$A110)=0),1,IF(AND($E111&lt;&gt;"",MAX($A$8:$A110)&gt;0),MAX($A$8:$A110)+1,"")))</f>
        <v/>
      </c>
      <c r="B111" s="11">
        <v>104</v>
      </c>
      <c r="C111" s="19" t="str">
        <f t="shared" si="5"/>
        <v>EMPTY</v>
      </c>
      <c r="D111" s="3" t="str">
        <f t="shared" si="7"/>
        <v/>
      </c>
      <c r="E111" s="22"/>
      <c r="F111" s="8" t="str">
        <f t="shared" si="6"/>
        <v/>
      </c>
      <c r="AG111" s="4" t="s">
        <v>5</v>
      </c>
    </row>
    <row r="112" spans="1:33" x14ac:dyDescent="0.25">
      <c r="A112" s="13" t="str">
        <f>IF(AND($E112="",MAX($A$8:$A111)=0),"",IF(AND($E112&lt;&gt;"",MAX($A$8:$A111)=0),1,IF(AND($E112&lt;&gt;"",MAX($A$8:$A111)&gt;0),MAX($A$8:$A111)+1,"")))</f>
        <v/>
      </c>
      <c r="B112" s="11">
        <v>105</v>
      </c>
      <c r="C112" s="19" t="str">
        <f t="shared" si="5"/>
        <v>EMPTY</v>
      </c>
      <c r="D112" s="3" t="str">
        <f t="shared" si="7"/>
        <v/>
      </c>
      <c r="E112" s="22"/>
      <c r="F112" s="8" t="str">
        <f t="shared" si="6"/>
        <v/>
      </c>
      <c r="AG112" s="4" t="s">
        <v>5</v>
      </c>
    </row>
    <row r="113" spans="1:33" x14ac:dyDescent="0.25">
      <c r="A113" s="13" t="str">
        <f>IF(AND($E113="",MAX($A$8:$A112)=0),"",IF(AND($E113&lt;&gt;"",MAX($A$8:$A112)=0),1,IF(AND($E113&lt;&gt;"",MAX($A$8:$A112)&gt;0),MAX($A$8:$A112)+1,"")))</f>
        <v/>
      </c>
      <c r="B113" s="11">
        <v>106</v>
      </c>
      <c r="C113" s="19" t="str">
        <f t="shared" si="5"/>
        <v>EMPTY</v>
      </c>
      <c r="D113" s="3" t="str">
        <f t="shared" si="7"/>
        <v/>
      </c>
      <c r="E113" s="22"/>
      <c r="F113" s="8" t="str">
        <f t="shared" si="6"/>
        <v/>
      </c>
      <c r="AG113" s="4" t="s">
        <v>5</v>
      </c>
    </row>
    <row r="114" spans="1:33" x14ac:dyDescent="0.25">
      <c r="A114" s="13" t="str">
        <f>IF(AND($E114="",MAX($A$8:$A113)=0),"",IF(AND($E114&lt;&gt;"",MAX($A$8:$A113)=0),1,IF(AND($E114&lt;&gt;"",MAX($A$8:$A113)&gt;0),MAX($A$8:$A113)+1,"")))</f>
        <v/>
      </c>
      <c r="B114" s="11">
        <v>107</v>
      </c>
      <c r="C114" s="19" t="str">
        <f t="shared" si="5"/>
        <v>EMPTY</v>
      </c>
      <c r="D114" s="3" t="str">
        <f t="shared" si="7"/>
        <v/>
      </c>
      <c r="E114" s="22"/>
      <c r="F114" s="8" t="str">
        <f t="shared" si="6"/>
        <v/>
      </c>
    </row>
    <row r="115" spans="1:33" x14ac:dyDescent="0.25">
      <c r="A115" s="13" t="str">
        <f>IF(AND($E115="",MAX($A$8:$A114)=0),"",IF(AND($E115&lt;&gt;"",MAX($A$8:$A114)=0),1,IF(AND($E115&lt;&gt;"",MAX($A$8:$A114)&gt;0),MAX($A$8:$A114)+1,"")))</f>
        <v/>
      </c>
      <c r="B115" s="11">
        <v>108</v>
      </c>
      <c r="C115" s="19" t="str">
        <f t="shared" si="5"/>
        <v>EMPTY</v>
      </c>
      <c r="D115" s="3" t="str">
        <f t="shared" si="7"/>
        <v/>
      </c>
      <c r="E115" s="22"/>
      <c r="F115" s="8" t="str">
        <f t="shared" si="6"/>
        <v/>
      </c>
    </row>
    <row r="116" spans="1:33" x14ac:dyDescent="0.25">
      <c r="A116" s="13" t="str">
        <f>IF(AND($E116="",MAX($A$8:$A115)=0),"",IF(AND($E116&lt;&gt;"",MAX($A$8:$A115)=0),1,IF(AND($E116&lt;&gt;"",MAX($A$8:$A115)&gt;0),MAX($A$8:$A115)+1,"")))</f>
        <v/>
      </c>
      <c r="B116" s="11">
        <v>109</v>
      </c>
      <c r="C116" s="19" t="str">
        <f t="shared" si="5"/>
        <v>EMPTY</v>
      </c>
      <c r="D116" s="3" t="str">
        <f t="shared" si="7"/>
        <v/>
      </c>
      <c r="E116" s="22"/>
      <c r="F116" s="8" t="str">
        <f t="shared" si="6"/>
        <v/>
      </c>
    </row>
    <row r="117" spans="1:33" x14ac:dyDescent="0.25">
      <c r="A117" s="13" t="str">
        <f>IF(AND($E117="",MAX($A$8:$A116)=0),"",IF(AND($E117&lt;&gt;"",MAX($A$8:$A116)=0),1,IF(AND($E117&lt;&gt;"",MAX($A$8:$A116)&gt;0),MAX($A$8:$A116)+1,"")))</f>
        <v/>
      </c>
      <c r="B117" s="11">
        <v>110</v>
      </c>
      <c r="C117" s="19" t="str">
        <f t="shared" si="5"/>
        <v>EMPTY</v>
      </c>
      <c r="D117" s="3" t="str">
        <f t="shared" si="7"/>
        <v/>
      </c>
      <c r="E117" s="22"/>
      <c r="F117" s="8" t="str">
        <f t="shared" si="6"/>
        <v/>
      </c>
    </row>
    <row r="118" spans="1:33" x14ac:dyDescent="0.25">
      <c r="A118" s="13" t="str">
        <f>IF(AND($E118="",MAX($A$8:$A117)=0),"",IF(AND($E118&lt;&gt;"",MAX($A$8:$A117)=0),1,IF(AND($E118&lt;&gt;"",MAX($A$8:$A117)&gt;0),MAX($A$8:$A117)+1,"")))</f>
        <v/>
      </c>
      <c r="B118" s="11">
        <v>111</v>
      </c>
      <c r="C118" s="19" t="str">
        <f t="shared" si="5"/>
        <v>EMPTY</v>
      </c>
      <c r="D118" s="3" t="str">
        <f t="shared" si="7"/>
        <v/>
      </c>
      <c r="E118" s="22"/>
      <c r="F118" s="8" t="str">
        <f t="shared" si="6"/>
        <v/>
      </c>
    </row>
    <row r="119" spans="1:33" x14ac:dyDescent="0.25">
      <c r="A119" s="13" t="str">
        <f>IF(AND($E119="",MAX($A$8:$A118)=0),"",IF(AND($E119&lt;&gt;"",MAX($A$8:$A118)=0),1,IF(AND($E119&lt;&gt;"",MAX($A$8:$A118)&gt;0),MAX($A$8:$A118)+1,"")))</f>
        <v/>
      </c>
      <c r="B119" s="11">
        <v>112</v>
      </c>
      <c r="C119" s="19" t="str">
        <f t="shared" si="5"/>
        <v>EMPTY</v>
      </c>
      <c r="D119" s="3" t="str">
        <f t="shared" si="7"/>
        <v/>
      </c>
      <c r="E119" s="22"/>
      <c r="F119" s="8" t="str">
        <f t="shared" si="6"/>
        <v/>
      </c>
    </row>
    <row r="120" spans="1:33" x14ac:dyDescent="0.25">
      <c r="A120" s="13" t="str">
        <f>IF(AND($E120="",MAX($A$8:$A119)=0),"",IF(AND($E120&lt;&gt;"",MAX($A$8:$A119)=0),1,IF(AND($E120&lt;&gt;"",MAX($A$8:$A119)&gt;0),MAX($A$8:$A119)+1,"")))</f>
        <v/>
      </c>
      <c r="B120" s="11">
        <v>113</v>
      </c>
      <c r="C120" s="19" t="str">
        <f t="shared" si="5"/>
        <v>EMPTY</v>
      </c>
      <c r="D120" s="3" t="str">
        <f t="shared" si="7"/>
        <v/>
      </c>
      <c r="E120" s="22"/>
      <c r="F120" s="8" t="str">
        <f t="shared" si="6"/>
        <v/>
      </c>
    </row>
    <row r="121" spans="1:33" x14ac:dyDescent="0.25">
      <c r="A121" s="13" t="str">
        <f>IF(AND($E121="",MAX($A$8:$A120)=0),"",IF(AND($E121&lt;&gt;"",MAX($A$8:$A120)=0),1,IF(AND($E121&lt;&gt;"",MAX($A$8:$A120)&gt;0),MAX($A$8:$A120)+1,"")))</f>
        <v/>
      </c>
      <c r="B121" s="11">
        <v>114</v>
      </c>
      <c r="C121" s="19" t="str">
        <f t="shared" si="5"/>
        <v>EMPTY</v>
      </c>
      <c r="D121" s="3" t="str">
        <f t="shared" si="7"/>
        <v/>
      </c>
      <c r="E121" s="22"/>
      <c r="F121" s="8" t="str">
        <f t="shared" si="6"/>
        <v/>
      </c>
    </row>
    <row r="122" spans="1:33" x14ac:dyDescent="0.25">
      <c r="A122" s="13" t="str">
        <f>IF(AND($E122="",MAX($A$8:$A121)=0),"",IF(AND($E122&lt;&gt;"",MAX($A$8:$A121)=0),1,IF(AND($E122&lt;&gt;"",MAX($A$8:$A121)&gt;0),MAX($A$8:$A121)+1,"")))</f>
        <v/>
      </c>
      <c r="B122" s="11">
        <v>115</v>
      </c>
      <c r="C122" s="19" t="str">
        <f t="shared" si="5"/>
        <v>EMPTY</v>
      </c>
      <c r="D122" s="3" t="str">
        <f t="shared" si="7"/>
        <v/>
      </c>
      <c r="E122" s="22"/>
      <c r="F122" s="8" t="str">
        <f t="shared" si="6"/>
        <v/>
      </c>
    </row>
    <row r="123" spans="1:33" x14ac:dyDescent="0.25">
      <c r="A123" s="13" t="str">
        <f>IF(AND($E123="",MAX($A$8:$A122)=0),"",IF(AND($E123&lt;&gt;"",MAX($A$8:$A122)=0),1,IF(AND($E123&lt;&gt;"",MAX($A$8:$A122)&gt;0),MAX($A$8:$A122)+1,"")))</f>
        <v/>
      </c>
      <c r="B123" s="11">
        <v>116</v>
      </c>
      <c r="C123" s="19" t="str">
        <f t="shared" si="5"/>
        <v>EMPTY</v>
      </c>
      <c r="D123" s="3" t="str">
        <f t="shared" si="7"/>
        <v/>
      </c>
      <c r="E123" s="22"/>
      <c r="F123" s="8" t="str">
        <f t="shared" si="6"/>
        <v/>
      </c>
    </row>
    <row r="124" spans="1:33" x14ac:dyDescent="0.25">
      <c r="A124" s="13" t="str">
        <f>IF(AND($E124="",MAX($A$8:$A123)=0),"",IF(AND($E124&lt;&gt;"",MAX($A$8:$A123)=0),1,IF(AND($E124&lt;&gt;"",MAX($A$8:$A123)&gt;0),MAX($A$8:$A123)+1,"")))</f>
        <v/>
      </c>
      <c r="B124" s="11">
        <v>117</v>
      </c>
      <c r="C124" s="19" t="str">
        <f t="shared" si="5"/>
        <v>EMPTY</v>
      </c>
      <c r="D124" s="3" t="str">
        <f t="shared" si="7"/>
        <v/>
      </c>
      <c r="E124" s="22"/>
      <c r="F124" s="8" t="str">
        <f t="shared" si="6"/>
        <v/>
      </c>
    </row>
    <row r="125" spans="1:33" x14ac:dyDescent="0.25">
      <c r="A125" s="13" t="str">
        <f>IF(AND($E125="",MAX($A$8:$A124)=0),"",IF(AND($E125&lt;&gt;"",MAX($A$8:$A124)=0),1,IF(AND($E125&lt;&gt;"",MAX($A$8:$A124)&gt;0),MAX($A$8:$A124)+1,"")))</f>
        <v/>
      </c>
      <c r="B125" s="11">
        <v>118</v>
      </c>
      <c r="C125" s="19" t="str">
        <f t="shared" si="5"/>
        <v>EMPTY</v>
      </c>
      <c r="D125" s="3" t="str">
        <f t="shared" si="7"/>
        <v/>
      </c>
      <c r="E125" s="22"/>
      <c r="F125" s="8" t="str">
        <f t="shared" si="6"/>
        <v/>
      </c>
    </row>
    <row r="126" spans="1:33" x14ac:dyDescent="0.25">
      <c r="A126" s="13" t="str">
        <f>IF(AND($E126="",MAX($A$8:$A125)=0),"",IF(AND($E126&lt;&gt;"",MAX($A$8:$A125)=0),1,IF(AND($E126&lt;&gt;"",MAX($A$8:$A125)&gt;0),MAX($A$8:$A125)+1,"")))</f>
        <v/>
      </c>
      <c r="B126" s="11">
        <v>119</v>
      </c>
      <c r="C126" s="19" t="str">
        <f t="shared" si="5"/>
        <v>EMPTY</v>
      </c>
      <c r="D126" s="3" t="str">
        <f t="shared" si="7"/>
        <v/>
      </c>
      <c r="E126" s="22"/>
      <c r="F126" s="8" t="str">
        <f t="shared" si="6"/>
        <v/>
      </c>
    </row>
    <row r="127" spans="1:33" x14ac:dyDescent="0.25">
      <c r="A127" s="13" t="str">
        <f>IF(AND($E127="",MAX($A$8:$A126)=0),"",IF(AND($E127&lt;&gt;"",MAX($A$8:$A126)=0),1,IF(AND($E127&lt;&gt;"",MAX($A$8:$A126)&gt;0),MAX($A$8:$A126)+1,"")))</f>
        <v/>
      </c>
      <c r="B127" s="11">
        <v>120</v>
      </c>
      <c r="C127" s="19" t="str">
        <f t="shared" si="5"/>
        <v>EMPTY</v>
      </c>
      <c r="D127" s="3" t="str">
        <f t="shared" si="7"/>
        <v/>
      </c>
      <c r="E127" s="22"/>
      <c r="F127" s="8" t="str">
        <f t="shared" si="6"/>
        <v/>
      </c>
    </row>
    <row r="128" spans="1:33" x14ac:dyDescent="0.25">
      <c r="A128" s="13" t="str">
        <f>IF(AND($E128="",MAX($A$8:$A127)=0),"",IF(AND($E128&lt;&gt;"",MAX($A$8:$A127)=0),1,IF(AND($E128&lt;&gt;"",MAX($A$8:$A127)&gt;0),MAX($A$8:$A127)+1,"")))</f>
        <v/>
      </c>
      <c r="B128" s="11">
        <v>121</v>
      </c>
      <c r="C128" s="19" t="str">
        <f t="shared" si="5"/>
        <v>EMPTY</v>
      </c>
      <c r="D128" s="3" t="str">
        <f t="shared" si="7"/>
        <v/>
      </c>
      <c r="E128" s="22"/>
      <c r="F128" s="8" t="str">
        <f t="shared" si="6"/>
        <v/>
      </c>
    </row>
    <row r="129" spans="1:6" x14ac:dyDescent="0.25">
      <c r="A129" s="13" t="str">
        <f>IF(AND($E129="",MAX($A$8:$A128)=0),"",IF(AND($E129&lt;&gt;"",MAX($A$8:$A128)=0),1,IF(AND($E129&lt;&gt;"",MAX($A$8:$A128)&gt;0),MAX($A$8:$A128)+1,"")))</f>
        <v/>
      </c>
      <c r="B129" s="11">
        <v>122</v>
      </c>
      <c r="C129" s="19" t="str">
        <f t="shared" si="5"/>
        <v>EMPTY</v>
      </c>
      <c r="D129" s="3" t="str">
        <f t="shared" si="7"/>
        <v/>
      </c>
      <c r="E129" s="22"/>
      <c r="F129" s="8" t="str">
        <f t="shared" si="6"/>
        <v/>
      </c>
    </row>
    <row r="130" spans="1:6" x14ac:dyDescent="0.25">
      <c r="A130" s="13" t="str">
        <f>IF(AND($E130="",MAX($A$8:$A129)=0),"",IF(AND($E130&lt;&gt;"",MAX($A$8:$A129)=0),1,IF(AND($E130&lt;&gt;"",MAX($A$8:$A129)&gt;0),MAX($A$8:$A129)+1,"")))</f>
        <v/>
      </c>
      <c r="B130" s="11">
        <v>123</v>
      </c>
      <c r="C130" s="19" t="str">
        <f t="shared" si="5"/>
        <v>EMPTY</v>
      </c>
      <c r="D130" s="3" t="str">
        <f t="shared" si="7"/>
        <v/>
      </c>
      <c r="E130" s="22"/>
      <c r="F130" s="8" t="str">
        <f t="shared" si="6"/>
        <v/>
      </c>
    </row>
    <row r="131" spans="1:6" x14ac:dyDescent="0.25">
      <c r="A131" s="13" t="str">
        <f>IF(AND($E131="",MAX($A$8:$A130)=0),"",IF(AND($E131&lt;&gt;"",MAX($A$8:$A130)=0),1,IF(AND($E131&lt;&gt;"",MAX($A$8:$A130)&gt;0),MAX($A$8:$A130)+1,"")))</f>
        <v/>
      </c>
      <c r="B131" s="11">
        <v>124</v>
      </c>
      <c r="C131" s="19" t="str">
        <f t="shared" si="5"/>
        <v>EMPTY</v>
      </c>
      <c r="D131" s="3" t="str">
        <f t="shared" si="7"/>
        <v/>
      </c>
      <c r="E131" s="22"/>
      <c r="F131" s="8" t="str">
        <f t="shared" si="6"/>
        <v/>
      </c>
    </row>
    <row r="132" spans="1:6" x14ac:dyDescent="0.25">
      <c r="A132" s="13" t="str">
        <f>IF(AND($E132="",MAX($A$8:$A131)=0),"",IF(AND($E132&lt;&gt;"",MAX($A$8:$A131)=0),1,IF(AND($E132&lt;&gt;"",MAX($A$8:$A131)&gt;0),MAX($A$8:$A131)+1,"")))</f>
        <v/>
      </c>
      <c r="B132" s="11">
        <v>125</v>
      </c>
      <c r="C132" s="19" t="str">
        <f t="shared" si="5"/>
        <v>EMPTY</v>
      </c>
      <c r="D132" s="3" t="str">
        <f t="shared" si="7"/>
        <v/>
      </c>
      <c r="E132" s="22"/>
      <c r="F132" s="8" t="str">
        <f t="shared" si="6"/>
        <v/>
      </c>
    </row>
    <row r="133" spans="1:6" x14ac:dyDescent="0.25">
      <c r="A133" s="13" t="str">
        <f>IF(AND($E133="",MAX($A$8:$A132)=0),"",IF(AND($E133&lt;&gt;"",MAX($A$8:$A132)=0),1,IF(AND($E133&lt;&gt;"",MAX($A$8:$A132)&gt;0),MAX($A$8:$A132)+1,"")))</f>
        <v/>
      </c>
      <c r="B133" s="11">
        <v>126</v>
      </c>
      <c r="C133" s="19" t="str">
        <f t="shared" si="5"/>
        <v>EMPTY</v>
      </c>
      <c r="D133" s="3" t="str">
        <f t="shared" si="7"/>
        <v/>
      </c>
      <c r="E133" s="22"/>
      <c r="F133" s="8" t="str">
        <f t="shared" si="6"/>
        <v/>
      </c>
    </row>
    <row r="134" spans="1:6" x14ac:dyDescent="0.25">
      <c r="A134" s="13" t="str">
        <f>IF(AND($E134="",MAX($A$8:$A133)=0),"",IF(AND($E134&lt;&gt;"",MAX($A$8:$A133)=0),1,IF(AND($E134&lt;&gt;"",MAX($A$8:$A133)&gt;0),MAX($A$8:$A133)+1,"")))</f>
        <v/>
      </c>
      <c r="B134" s="11">
        <v>127</v>
      </c>
      <c r="C134" s="19" t="str">
        <f t="shared" si="5"/>
        <v>EMPTY</v>
      </c>
      <c r="D134" s="3" t="str">
        <f t="shared" si="7"/>
        <v/>
      </c>
      <c r="E134" s="22"/>
      <c r="F134" s="8" t="str">
        <f t="shared" si="6"/>
        <v/>
      </c>
    </row>
    <row r="135" spans="1:6" x14ac:dyDescent="0.25">
      <c r="A135" s="13" t="str">
        <f>IF(AND($E135="",MAX($A$8:$A134)=0),"",IF(AND($E135&lt;&gt;"",MAX($A$8:$A134)=0),1,IF(AND($E135&lt;&gt;"",MAX($A$8:$A134)&gt;0),MAX($A$8:$A134)+1,"")))</f>
        <v/>
      </c>
      <c r="B135" s="11">
        <v>128</v>
      </c>
      <c r="C135" s="19" t="str">
        <f t="shared" si="5"/>
        <v>EMPTY</v>
      </c>
      <c r="D135" s="3" t="str">
        <f t="shared" si="7"/>
        <v/>
      </c>
      <c r="E135" s="22"/>
      <c r="F135" s="8" t="str">
        <f t="shared" si="6"/>
        <v/>
      </c>
    </row>
    <row r="136" spans="1:6" x14ac:dyDescent="0.25">
      <c r="A136" s="13" t="str">
        <f>IF(AND($E136="",MAX($A$8:$A135)=0),"",IF(AND($E136&lt;&gt;"",MAX($A$8:$A135)=0),1,IF(AND($E136&lt;&gt;"",MAX($A$8:$A135)&gt;0),MAX($A$8:$A135)+1,"")))</f>
        <v/>
      </c>
      <c r="B136" s="11">
        <v>129</v>
      </c>
      <c r="C136" s="19" t="str">
        <f t="shared" si="5"/>
        <v>EMPTY</v>
      </c>
      <c r="D136" s="3" t="str">
        <f t="shared" si="7"/>
        <v/>
      </c>
      <c r="E136" s="22"/>
      <c r="F136" s="8" t="str">
        <f t="shared" si="6"/>
        <v/>
      </c>
    </row>
    <row r="137" spans="1:6" x14ac:dyDescent="0.25">
      <c r="A137" s="13" t="str">
        <f>IF(AND($E137="",MAX($A$8:$A136)=0),"",IF(AND($E137&lt;&gt;"",MAX($A$8:$A136)=0),1,IF(AND($E137&lt;&gt;"",MAX($A$8:$A136)&gt;0),MAX($A$8:$A136)+1,"")))</f>
        <v/>
      </c>
      <c r="B137" s="11">
        <v>130</v>
      </c>
      <c r="C137" s="19" t="str">
        <f t="shared" ref="C137:C200" si="8">IF($E137="","EMPTY",IF(COUNT(MID($E137,2,1))=0,"HIDE",IF(COUNT(MID($E137,2,1))=1,"SHOW","")))</f>
        <v>EMPTY</v>
      </c>
      <c r="D137" s="3" t="str">
        <f t="shared" si="7"/>
        <v/>
      </c>
      <c r="E137" s="22"/>
      <c r="F137" s="8" t="str">
        <f t="shared" ref="F137:F200" si="9">$D137</f>
        <v/>
      </c>
    </row>
    <row r="138" spans="1:6" x14ac:dyDescent="0.25">
      <c r="A138" s="13" t="str">
        <f>IF(AND($E138="",MAX($A$8:$A137)=0),"",IF(AND($E138&lt;&gt;"",MAX($A$8:$A137)=0),1,IF(AND($E138&lt;&gt;"",MAX($A$8:$A137)&gt;0),MAX($A$8:$A137)+1,"")))</f>
        <v/>
      </c>
      <c r="B138" s="11">
        <v>131</v>
      </c>
      <c r="C138" s="19" t="str">
        <f t="shared" si="8"/>
        <v>EMPTY</v>
      </c>
      <c r="D138" s="3" t="str">
        <f t="shared" si="7"/>
        <v/>
      </c>
      <c r="E138" s="22"/>
      <c r="F138" s="8" t="str">
        <f t="shared" si="9"/>
        <v/>
      </c>
    </row>
    <row r="139" spans="1:6" x14ac:dyDescent="0.25">
      <c r="A139" s="13" t="str">
        <f>IF(AND($E139="",MAX($A$8:$A138)=0),"",IF(AND($E139&lt;&gt;"",MAX($A$8:$A138)=0),1,IF(AND($E139&lt;&gt;"",MAX($A$8:$A138)&gt;0),MAX($A$8:$A138)+1,"")))</f>
        <v/>
      </c>
      <c r="B139" s="11">
        <v>132</v>
      </c>
      <c r="C139" s="19" t="str">
        <f t="shared" si="8"/>
        <v>EMPTY</v>
      </c>
      <c r="D139" s="3" t="str">
        <f t="shared" si="7"/>
        <v/>
      </c>
      <c r="E139" s="22"/>
      <c r="F139" s="8" t="str">
        <f t="shared" si="9"/>
        <v/>
      </c>
    </row>
    <row r="140" spans="1:6" x14ac:dyDescent="0.25">
      <c r="A140" s="13" t="str">
        <f>IF(AND($E140="",MAX($A$8:$A139)=0),"",IF(AND($E140&lt;&gt;"",MAX($A$8:$A139)=0),1,IF(AND($E140&lt;&gt;"",MAX($A$8:$A139)&gt;0),MAX($A$8:$A139)+1,"")))</f>
        <v/>
      </c>
      <c r="B140" s="11">
        <v>133</v>
      </c>
      <c r="C140" s="19" t="str">
        <f t="shared" si="8"/>
        <v>EMPTY</v>
      </c>
      <c r="D140" s="3" t="str">
        <f t="shared" si="7"/>
        <v/>
      </c>
      <c r="E140" s="22"/>
      <c r="F140" s="8" t="str">
        <f t="shared" si="9"/>
        <v/>
      </c>
    </row>
    <row r="141" spans="1:6" x14ac:dyDescent="0.25">
      <c r="A141" s="13" t="str">
        <f>IF(AND($E141="",MAX($A$8:$A140)=0),"",IF(AND($E141&lt;&gt;"",MAX($A$8:$A140)=0),1,IF(AND($E141&lt;&gt;"",MAX($A$8:$A140)&gt;0),MAX($A$8:$A140)+1,"")))</f>
        <v/>
      </c>
      <c r="B141" s="11">
        <v>134</v>
      </c>
      <c r="C141" s="19" t="str">
        <f t="shared" si="8"/>
        <v>EMPTY</v>
      </c>
      <c r="D141" s="3" t="str">
        <f t="shared" si="7"/>
        <v/>
      </c>
      <c r="E141" s="22"/>
      <c r="F141" s="8" t="str">
        <f t="shared" si="9"/>
        <v/>
      </c>
    </row>
    <row r="142" spans="1:6" x14ac:dyDescent="0.25">
      <c r="A142" s="13" t="str">
        <f>IF(AND($E142="",MAX($A$8:$A141)=0),"",IF(AND($E142&lt;&gt;"",MAX($A$8:$A141)=0),1,IF(AND($E142&lt;&gt;"",MAX($A$8:$A141)&gt;0),MAX($A$8:$A141)+1,"")))</f>
        <v/>
      </c>
      <c r="B142" s="11">
        <v>135</v>
      </c>
      <c r="C142" s="19" t="str">
        <f t="shared" si="8"/>
        <v>EMPTY</v>
      </c>
      <c r="D142" s="3" t="str">
        <f t="shared" si="7"/>
        <v/>
      </c>
      <c r="E142" s="22"/>
      <c r="F142" s="8" t="str">
        <f t="shared" si="9"/>
        <v/>
      </c>
    </row>
    <row r="143" spans="1:6" x14ac:dyDescent="0.25">
      <c r="A143" s="13" t="str">
        <f>IF(AND($E143="",MAX($A$8:$A142)=0),"",IF(AND($E143&lt;&gt;"",MAX($A$8:$A142)=0),1,IF(AND($E143&lt;&gt;"",MAX($A$8:$A142)&gt;0),MAX($A$8:$A142)+1,"")))</f>
        <v/>
      </c>
      <c r="B143" s="11">
        <v>136</v>
      </c>
      <c r="C143" s="19" t="str">
        <f t="shared" si="8"/>
        <v>EMPTY</v>
      </c>
      <c r="D143" s="3" t="str">
        <f t="shared" si="7"/>
        <v/>
      </c>
      <c r="E143" s="22"/>
      <c r="F143" s="8" t="str">
        <f t="shared" si="9"/>
        <v/>
      </c>
    </row>
    <row r="144" spans="1:6" x14ac:dyDescent="0.25">
      <c r="A144" s="13" t="str">
        <f>IF(AND($E144="",MAX($A$8:$A143)=0),"",IF(AND($E144&lt;&gt;"",MAX($A$8:$A143)=0),1,IF(AND($E144&lt;&gt;"",MAX($A$8:$A143)&gt;0),MAX($A$8:$A143)+1,"")))</f>
        <v/>
      </c>
      <c r="B144" s="11">
        <v>137</v>
      </c>
      <c r="C144" s="19" t="str">
        <f t="shared" si="8"/>
        <v>EMPTY</v>
      </c>
      <c r="D144" s="3" t="str">
        <f t="shared" si="7"/>
        <v/>
      </c>
      <c r="E144" s="22"/>
      <c r="F144" s="8" t="str">
        <f t="shared" si="9"/>
        <v/>
      </c>
    </row>
    <row r="145" spans="1:6" x14ac:dyDescent="0.25">
      <c r="A145" s="13" t="str">
        <f>IF(AND($E145="",MAX($A$8:$A144)=0),"",IF(AND($E145&lt;&gt;"",MAX($A$8:$A144)=0),1,IF(AND($E145&lt;&gt;"",MAX($A$8:$A144)&gt;0),MAX($A$8:$A144)+1,"")))</f>
        <v/>
      </c>
      <c r="B145" s="11">
        <v>138</v>
      </c>
      <c r="C145" s="19" t="str">
        <f t="shared" si="8"/>
        <v>EMPTY</v>
      </c>
      <c r="D145" s="3" t="str">
        <f t="shared" ref="D145:D208" si="10">IF(AND(OR($C145="EMPTY",$C145="HIDE",$C145=""),OR($C146="EMPTY",$C146="HIDE",$C146="")),"",IF(AND($C145="SHOW",OR($C146="EMPTY",$C146="HIDE",$C146="")),CONCATENATE("Dialogue: 0,0:",MID($E145,2,8),",0:",MID($E145,2,8),",Default,,0,0,0,,",MID($E145,11,1000)),IF(AND($C145="SHOW",$C146="SHOW"),CONCATENATE("Dialogue: 0,0:",MID($E145,2,8),",0:",MID($E146,2,8),",Default,,0,0,0,,",MID($E145,11,1000)),"")))</f>
        <v/>
      </c>
      <c r="E145" s="22"/>
      <c r="F145" s="8" t="str">
        <f t="shared" si="9"/>
        <v/>
      </c>
    </row>
    <row r="146" spans="1:6" x14ac:dyDescent="0.25">
      <c r="A146" s="13" t="str">
        <f>IF(AND($E146="",MAX($A$8:$A145)=0),"",IF(AND($E146&lt;&gt;"",MAX($A$8:$A145)=0),1,IF(AND($E146&lt;&gt;"",MAX($A$8:$A145)&gt;0),MAX($A$8:$A145)+1,"")))</f>
        <v/>
      </c>
      <c r="B146" s="11">
        <v>139</v>
      </c>
      <c r="C146" s="19" t="str">
        <f t="shared" si="8"/>
        <v>EMPTY</v>
      </c>
      <c r="D146" s="3" t="str">
        <f t="shared" si="10"/>
        <v/>
      </c>
      <c r="E146" s="22"/>
      <c r="F146" s="8" t="str">
        <f t="shared" si="9"/>
        <v/>
      </c>
    </row>
    <row r="147" spans="1:6" x14ac:dyDescent="0.25">
      <c r="A147" s="13" t="str">
        <f>IF(AND($E147="",MAX($A$8:$A146)=0),"",IF(AND($E147&lt;&gt;"",MAX($A$8:$A146)=0),1,IF(AND($E147&lt;&gt;"",MAX($A$8:$A146)&gt;0),MAX($A$8:$A146)+1,"")))</f>
        <v/>
      </c>
      <c r="B147" s="11">
        <v>140</v>
      </c>
      <c r="C147" s="19" t="str">
        <f t="shared" si="8"/>
        <v>EMPTY</v>
      </c>
      <c r="D147" s="3" t="str">
        <f t="shared" si="10"/>
        <v/>
      </c>
      <c r="E147" s="22"/>
      <c r="F147" s="8" t="str">
        <f t="shared" si="9"/>
        <v/>
      </c>
    </row>
    <row r="148" spans="1:6" x14ac:dyDescent="0.25">
      <c r="A148" s="13" t="str">
        <f>IF(AND($E148="",MAX($A$8:$A147)=0),"",IF(AND($E148&lt;&gt;"",MAX($A$8:$A147)=0),1,IF(AND($E148&lt;&gt;"",MAX($A$8:$A147)&gt;0),MAX($A$8:$A147)+1,"")))</f>
        <v/>
      </c>
      <c r="B148" s="11">
        <v>141</v>
      </c>
      <c r="C148" s="19" t="str">
        <f t="shared" si="8"/>
        <v>EMPTY</v>
      </c>
      <c r="D148" s="3" t="str">
        <f t="shared" si="10"/>
        <v/>
      </c>
      <c r="E148" s="22"/>
      <c r="F148" s="8" t="str">
        <f t="shared" si="9"/>
        <v/>
      </c>
    </row>
    <row r="149" spans="1:6" x14ac:dyDescent="0.25">
      <c r="A149" s="13" t="str">
        <f>IF(AND($E149="",MAX($A$8:$A148)=0),"",IF(AND($E149&lt;&gt;"",MAX($A$8:$A148)=0),1,IF(AND($E149&lt;&gt;"",MAX($A$8:$A148)&gt;0),MAX($A$8:$A148)+1,"")))</f>
        <v/>
      </c>
      <c r="B149" s="11">
        <v>142</v>
      </c>
      <c r="C149" s="19" t="str">
        <f t="shared" si="8"/>
        <v>EMPTY</v>
      </c>
      <c r="D149" s="3" t="str">
        <f t="shared" si="10"/>
        <v/>
      </c>
      <c r="E149" s="22"/>
      <c r="F149" s="8" t="str">
        <f t="shared" si="9"/>
        <v/>
      </c>
    </row>
    <row r="150" spans="1:6" x14ac:dyDescent="0.25">
      <c r="A150" s="13" t="str">
        <f>IF(AND($E150="",MAX($A$8:$A149)=0),"",IF(AND($E150&lt;&gt;"",MAX($A$8:$A149)=0),1,IF(AND($E150&lt;&gt;"",MAX($A$8:$A149)&gt;0),MAX($A$8:$A149)+1,"")))</f>
        <v/>
      </c>
      <c r="B150" s="11">
        <v>143</v>
      </c>
      <c r="C150" s="19" t="str">
        <f t="shared" si="8"/>
        <v>EMPTY</v>
      </c>
      <c r="D150" s="3" t="str">
        <f t="shared" si="10"/>
        <v/>
      </c>
      <c r="E150" s="22"/>
      <c r="F150" s="8" t="str">
        <f t="shared" si="9"/>
        <v/>
      </c>
    </row>
    <row r="151" spans="1:6" x14ac:dyDescent="0.25">
      <c r="A151" s="13" t="str">
        <f>IF(AND($E151="",MAX($A$8:$A150)=0),"",IF(AND($E151&lt;&gt;"",MAX($A$8:$A150)=0),1,IF(AND($E151&lt;&gt;"",MAX($A$8:$A150)&gt;0),MAX($A$8:$A150)+1,"")))</f>
        <v/>
      </c>
      <c r="B151" s="11">
        <v>144</v>
      </c>
      <c r="C151" s="19" t="str">
        <f t="shared" si="8"/>
        <v>EMPTY</v>
      </c>
      <c r="D151" s="3" t="str">
        <f t="shared" si="10"/>
        <v/>
      </c>
      <c r="E151" s="22"/>
      <c r="F151" s="8" t="str">
        <f t="shared" si="9"/>
        <v/>
      </c>
    </row>
    <row r="152" spans="1:6" x14ac:dyDescent="0.25">
      <c r="A152" s="13" t="str">
        <f>IF(AND($E152="",MAX($A$8:$A151)=0),"",IF(AND($E152&lt;&gt;"",MAX($A$8:$A151)=0),1,IF(AND($E152&lt;&gt;"",MAX($A$8:$A151)&gt;0),MAX($A$8:$A151)+1,"")))</f>
        <v/>
      </c>
      <c r="B152" s="11">
        <v>145</v>
      </c>
      <c r="C152" s="19" t="str">
        <f t="shared" si="8"/>
        <v>EMPTY</v>
      </c>
      <c r="D152" s="3" t="str">
        <f t="shared" si="10"/>
        <v/>
      </c>
      <c r="E152" s="22"/>
      <c r="F152" s="8" t="str">
        <f t="shared" si="9"/>
        <v/>
      </c>
    </row>
    <row r="153" spans="1:6" x14ac:dyDescent="0.25">
      <c r="A153" s="13" t="str">
        <f>IF(AND($E153="",MAX($A$8:$A152)=0),"",IF(AND($E153&lt;&gt;"",MAX($A$8:$A152)=0),1,IF(AND($E153&lt;&gt;"",MAX($A$8:$A152)&gt;0),MAX($A$8:$A152)+1,"")))</f>
        <v/>
      </c>
      <c r="B153" s="11">
        <v>146</v>
      </c>
      <c r="C153" s="19" t="str">
        <f t="shared" si="8"/>
        <v>EMPTY</v>
      </c>
      <c r="D153" s="3" t="str">
        <f t="shared" si="10"/>
        <v/>
      </c>
      <c r="E153" s="22"/>
      <c r="F153" s="8" t="str">
        <f t="shared" si="9"/>
        <v/>
      </c>
    </row>
    <row r="154" spans="1:6" x14ac:dyDescent="0.25">
      <c r="A154" s="13" t="str">
        <f>IF(AND($E154="",MAX($A$8:$A153)=0),"",IF(AND($E154&lt;&gt;"",MAX($A$8:$A153)=0),1,IF(AND($E154&lt;&gt;"",MAX($A$8:$A153)&gt;0),MAX($A$8:$A153)+1,"")))</f>
        <v/>
      </c>
      <c r="B154" s="11">
        <v>147</v>
      </c>
      <c r="C154" s="19" t="str">
        <f t="shared" si="8"/>
        <v>EMPTY</v>
      </c>
      <c r="D154" s="3" t="str">
        <f t="shared" si="10"/>
        <v/>
      </c>
      <c r="E154" s="22"/>
      <c r="F154" s="8" t="str">
        <f t="shared" si="9"/>
        <v/>
      </c>
    </row>
    <row r="155" spans="1:6" x14ac:dyDescent="0.25">
      <c r="A155" s="13" t="str">
        <f>IF(AND($E155="",MAX($A$8:$A154)=0),"",IF(AND($E155&lt;&gt;"",MAX($A$8:$A154)=0),1,IF(AND($E155&lt;&gt;"",MAX($A$8:$A154)&gt;0),MAX($A$8:$A154)+1,"")))</f>
        <v/>
      </c>
      <c r="B155" s="11">
        <v>148</v>
      </c>
      <c r="C155" s="19" t="str">
        <f t="shared" si="8"/>
        <v>EMPTY</v>
      </c>
      <c r="D155" s="3" t="str">
        <f t="shared" si="10"/>
        <v/>
      </c>
      <c r="E155" s="22"/>
      <c r="F155" s="8" t="str">
        <f t="shared" si="9"/>
        <v/>
      </c>
    </row>
    <row r="156" spans="1:6" x14ac:dyDescent="0.25">
      <c r="A156" s="13" t="str">
        <f>IF(AND($E156="",MAX($A$8:$A155)=0),"",IF(AND($E156&lt;&gt;"",MAX($A$8:$A155)=0),1,IF(AND($E156&lt;&gt;"",MAX($A$8:$A155)&gt;0),MAX($A$8:$A155)+1,"")))</f>
        <v/>
      </c>
      <c r="B156" s="11">
        <v>149</v>
      </c>
      <c r="C156" s="19" t="str">
        <f t="shared" si="8"/>
        <v>EMPTY</v>
      </c>
      <c r="D156" s="3" t="str">
        <f t="shared" si="10"/>
        <v/>
      </c>
      <c r="E156" s="22"/>
      <c r="F156" s="8" t="str">
        <f t="shared" si="9"/>
        <v/>
      </c>
    </row>
    <row r="157" spans="1:6" x14ac:dyDescent="0.25">
      <c r="A157" s="13" t="str">
        <f>IF(AND($E157="",MAX($A$8:$A156)=0),"",IF(AND($E157&lt;&gt;"",MAX($A$8:$A156)=0),1,IF(AND($E157&lt;&gt;"",MAX($A$8:$A156)&gt;0),MAX($A$8:$A156)+1,"")))</f>
        <v/>
      </c>
      <c r="B157" s="11">
        <v>150</v>
      </c>
      <c r="C157" s="19" t="str">
        <f t="shared" si="8"/>
        <v>EMPTY</v>
      </c>
      <c r="D157" s="3" t="str">
        <f t="shared" si="10"/>
        <v/>
      </c>
      <c r="E157" s="22"/>
      <c r="F157" s="8" t="str">
        <f t="shared" si="9"/>
        <v/>
      </c>
    </row>
    <row r="158" spans="1:6" x14ac:dyDescent="0.25">
      <c r="A158" s="13" t="str">
        <f>IF(AND($E158="",MAX($A$8:$A157)=0),"",IF(AND($E158&lt;&gt;"",MAX($A$8:$A157)=0),1,IF(AND($E158&lt;&gt;"",MAX($A$8:$A157)&gt;0),MAX($A$8:$A157)+1,"")))</f>
        <v/>
      </c>
      <c r="B158" s="11">
        <v>151</v>
      </c>
      <c r="C158" s="19" t="str">
        <f t="shared" si="8"/>
        <v>EMPTY</v>
      </c>
      <c r="D158" s="3" t="str">
        <f t="shared" si="10"/>
        <v/>
      </c>
      <c r="E158" s="22"/>
      <c r="F158" s="8" t="str">
        <f t="shared" si="9"/>
        <v/>
      </c>
    </row>
    <row r="159" spans="1:6" x14ac:dyDescent="0.25">
      <c r="A159" s="13" t="str">
        <f>IF(AND($E159="",MAX($A$8:$A158)=0),"",IF(AND($E159&lt;&gt;"",MAX($A$8:$A158)=0),1,IF(AND($E159&lt;&gt;"",MAX($A$8:$A158)&gt;0),MAX($A$8:$A158)+1,"")))</f>
        <v/>
      </c>
      <c r="B159" s="11">
        <v>152</v>
      </c>
      <c r="C159" s="19" t="str">
        <f t="shared" si="8"/>
        <v>EMPTY</v>
      </c>
      <c r="D159" s="3" t="str">
        <f t="shared" si="10"/>
        <v/>
      </c>
      <c r="E159" s="22"/>
      <c r="F159" s="8" t="str">
        <f t="shared" si="9"/>
        <v/>
      </c>
    </row>
    <row r="160" spans="1:6" x14ac:dyDescent="0.25">
      <c r="A160" s="13" t="str">
        <f>IF(AND($E160="",MAX($A$8:$A159)=0),"",IF(AND($E160&lt;&gt;"",MAX($A$8:$A159)=0),1,IF(AND($E160&lt;&gt;"",MAX($A$8:$A159)&gt;0),MAX($A$8:$A159)+1,"")))</f>
        <v/>
      </c>
      <c r="B160" s="11">
        <v>153</v>
      </c>
      <c r="C160" s="19" t="str">
        <f t="shared" si="8"/>
        <v>EMPTY</v>
      </c>
      <c r="D160" s="3" t="str">
        <f t="shared" si="10"/>
        <v/>
      </c>
      <c r="E160" s="22"/>
      <c r="F160" s="8" t="str">
        <f t="shared" si="9"/>
        <v/>
      </c>
    </row>
    <row r="161" spans="1:6" x14ac:dyDescent="0.25">
      <c r="A161" s="13" t="str">
        <f>IF(AND($E161="",MAX($A$8:$A160)=0),"",IF(AND($E161&lt;&gt;"",MAX($A$8:$A160)=0),1,IF(AND($E161&lt;&gt;"",MAX($A$8:$A160)&gt;0),MAX($A$8:$A160)+1,"")))</f>
        <v/>
      </c>
      <c r="B161" s="11">
        <v>154</v>
      </c>
      <c r="C161" s="19" t="str">
        <f t="shared" si="8"/>
        <v>EMPTY</v>
      </c>
      <c r="D161" s="3" t="str">
        <f t="shared" si="10"/>
        <v/>
      </c>
      <c r="E161" s="22"/>
      <c r="F161" s="8" t="str">
        <f t="shared" si="9"/>
        <v/>
      </c>
    </row>
    <row r="162" spans="1:6" x14ac:dyDescent="0.25">
      <c r="A162" s="13" t="str">
        <f>IF(AND($E162="",MAX($A$8:$A161)=0),"",IF(AND($E162&lt;&gt;"",MAX($A$8:$A161)=0),1,IF(AND($E162&lt;&gt;"",MAX($A$8:$A161)&gt;0),MAX($A$8:$A161)+1,"")))</f>
        <v/>
      </c>
      <c r="B162" s="11">
        <v>155</v>
      </c>
      <c r="C162" s="19" t="str">
        <f t="shared" si="8"/>
        <v>EMPTY</v>
      </c>
      <c r="D162" s="3" t="str">
        <f t="shared" si="10"/>
        <v/>
      </c>
      <c r="E162" s="22"/>
      <c r="F162" s="8" t="str">
        <f t="shared" si="9"/>
        <v/>
      </c>
    </row>
    <row r="163" spans="1:6" x14ac:dyDescent="0.25">
      <c r="A163" s="13" t="str">
        <f>IF(AND($E163="",MAX($A$8:$A162)=0),"",IF(AND($E163&lt;&gt;"",MAX($A$8:$A162)=0),1,IF(AND($E163&lt;&gt;"",MAX($A$8:$A162)&gt;0),MAX($A$8:$A162)+1,"")))</f>
        <v/>
      </c>
      <c r="B163" s="11">
        <v>156</v>
      </c>
      <c r="C163" s="19" t="str">
        <f t="shared" si="8"/>
        <v>EMPTY</v>
      </c>
      <c r="D163" s="3" t="str">
        <f t="shared" si="10"/>
        <v/>
      </c>
      <c r="E163" s="22"/>
      <c r="F163" s="8" t="str">
        <f t="shared" si="9"/>
        <v/>
      </c>
    </row>
    <row r="164" spans="1:6" x14ac:dyDescent="0.25">
      <c r="A164" s="13" t="str">
        <f>IF(AND($E164="",MAX($A$8:$A163)=0),"",IF(AND($E164&lt;&gt;"",MAX($A$8:$A163)=0),1,IF(AND($E164&lt;&gt;"",MAX($A$8:$A163)&gt;0),MAX($A$8:$A163)+1,"")))</f>
        <v/>
      </c>
      <c r="B164" s="11">
        <v>157</v>
      </c>
      <c r="C164" s="19" t="str">
        <f t="shared" si="8"/>
        <v>EMPTY</v>
      </c>
      <c r="D164" s="3" t="str">
        <f t="shared" si="10"/>
        <v/>
      </c>
      <c r="E164" s="22"/>
      <c r="F164" s="8" t="str">
        <f t="shared" si="9"/>
        <v/>
      </c>
    </row>
    <row r="165" spans="1:6" x14ac:dyDescent="0.25">
      <c r="A165" s="13" t="str">
        <f>IF(AND($E165="",MAX($A$8:$A164)=0),"",IF(AND($E165&lt;&gt;"",MAX($A$8:$A164)=0),1,IF(AND($E165&lt;&gt;"",MAX($A$8:$A164)&gt;0),MAX($A$8:$A164)+1,"")))</f>
        <v/>
      </c>
      <c r="B165" s="11">
        <v>158</v>
      </c>
      <c r="C165" s="19" t="str">
        <f t="shared" si="8"/>
        <v>EMPTY</v>
      </c>
      <c r="D165" s="3" t="str">
        <f t="shared" si="10"/>
        <v/>
      </c>
      <c r="E165" s="22"/>
      <c r="F165" s="8" t="str">
        <f t="shared" si="9"/>
        <v/>
      </c>
    </row>
    <row r="166" spans="1:6" x14ac:dyDescent="0.25">
      <c r="A166" s="13" t="str">
        <f>IF(AND($E166="",MAX($A$8:$A165)=0),"",IF(AND($E166&lt;&gt;"",MAX($A$8:$A165)=0),1,IF(AND($E166&lt;&gt;"",MAX($A$8:$A165)&gt;0),MAX($A$8:$A165)+1,"")))</f>
        <v/>
      </c>
      <c r="B166" s="11">
        <v>159</v>
      </c>
      <c r="C166" s="19" t="str">
        <f t="shared" si="8"/>
        <v>EMPTY</v>
      </c>
      <c r="D166" s="3" t="str">
        <f t="shared" si="10"/>
        <v/>
      </c>
      <c r="E166" s="22"/>
      <c r="F166" s="8" t="str">
        <f t="shared" si="9"/>
        <v/>
      </c>
    </row>
    <row r="167" spans="1:6" x14ac:dyDescent="0.25">
      <c r="A167" s="13" t="str">
        <f>IF(AND($E167="",MAX($A$8:$A166)=0),"",IF(AND($E167&lt;&gt;"",MAX($A$8:$A166)=0),1,IF(AND($E167&lt;&gt;"",MAX($A$8:$A166)&gt;0),MAX($A$8:$A166)+1,"")))</f>
        <v/>
      </c>
      <c r="B167" s="11">
        <v>160</v>
      </c>
      <c r="C167" s="19" t="str">
        <f t="shared" si="8"/>
        <v>EMPTY</v>
      </c>
      <c r="D167" s="3" t="str">
        <f t="shared" si="10"/>
        <v/>
      </c>
      <c r="E167" s="22"/>
      <c r="F167" s="8" t="str">
        <f t="shared" si="9"/>
        <v/>
      </c>
    </row>
    <row r="168" spans="1:6" x14ac:dyDescent="0.25">
      <c r="A168" s="13" t="str">
        <f>IF(AND($E168="",MAX($A$8:$A167)=0),"",IF(AND($E168&lt;&gt;"",MAX($A$8:$A167)=0),1,IF(AND($E168&lt;&gt;"",MAX($A$8:$A167)&gt;0),MAX($A$8:$A167)+1,"")))</f>
        <v/>
      </c>
      <c r="B168" s="11">
        <v>161</v>
      </c>
      <c r="C168" s="19" t="str">
        <f t="shared" si="8"/>
        <v>EMPTY</v>
      </c>
      <c r="D168" s="3" t="str">
        <f t="shared" si="10"/>
        <v/>
      </c>
      <c r="E168" s="22"/>
      <c r="F168" s="8" t="str">
        <f t="shared" si="9"/>
        <v/>
      </c>
    </row>
    <row r="169" spans="1:6" x14ac:dyDescent="0.25">
      <c r="A169" s="13" t="str">
        <f>IF(AND($E169="",MAX($A$8:$A168)=0),"",IF(AND($E169&lt;&gt;"",MAX($A$8:$A168)=0),1,IF(AND($E169&lt;&gt;"",MAX($A$8:$A168)&gt;0),MAX($A$8:$A168)+1,"")))</f>
        <v/>
      </c>
      <c r="B169" s="11">
        <v>162</v>
      </c>
      <c r="C169" s="19" t="str">
        <f t="shared" si="8"/>
        <v>EMPTY</v>
      </c>
      <c r="D169" s="3" t="str">
        <f t="shared" si="10"/>
        <v/>
      </c>
      <c r="E169" s="22"/>
      <c r="F169" s="8" t="str">
        <f t="shared" si="9"/>
        <v/>
      </c>
    </row>
    <row r="170" spans="1:6" x14ac:dyDescent="0.25">
      <c r="A170" s="13" t="str">
        <f>IF(AND($E170="",MAX($A$8:$A169)=0),"",IF(AND($E170&lt;&gt;"",MAX($A$8:$A169)=0),1,IF(AND($E170&lt;&gt;"",MAX($A$8:$A169)&gt;0),MAX($A$8:$A169)+1,"")))</f>
        <v/>
      </c>
      <c r="B170" s="11">
        <v>163</v>
      </c>
      <c r="C170" s="19" t="str">
        <f t="shared" si="8"/>
        <v>EMPTY</v>
      </c>
      <c r="D170" s="3" t="str">
        <f t="shared" si="10"/>
        <v/>
      </c>
      <c r="E170" s="22"/>
      <c r="F170" s="8" t="str">
        <f t="shared" si="9"/>
        <v/>
      </c>
    </row>
    <row r="171" spans="1:6" x14ac:dyDescent="0.25">
      <c r="A171" s="13" t="str">
        <f>IF(AND($E171="",MAX($A$8:$A170)=0),"",IF(AND($E171&lt;&gt;"",MAX($A$8:$A170)=0),1,IF(AND($E171&lt;&gt;"",MAX($A$8:$A170)&gt;0),MAX($A$8:$A170)+1,"")))</f>
        <v/>
      </c>
      <c r="B171" s="11">
        <v>164</v>
      </c>
      <c r="C171" s="19" t="str">
        <f t="shared" si="8"/>
        <v>EMPTY</v>
      </c>
      <c r="D171" s="3" t="str">
        <f t="shared" si="10"/>
        <v/>
      </c>
      <c r="E171" s="22"/>
      <c r="F171" s="8" t="str">
        <f t="shared" si="9"/>
        <v/>
      </c>
    </row>
    <row r="172" spans="1:6" x14ac:dyDescent="0.25">
      <c r="A172" s="13" t="str">
        <f>IF(AND($E172="",MAX($A$8:$A171)=0),"",IF(AND($E172&lt;&gt;"",MAX($A$8:$A171)=0),1,IF(AND($E172&lt;&gt;"",MAX($A$8:$A171)&gt;0),MAX($A$8:$A171)+1,"")))</f>
        <v/>
      </c>
      <c r="B172" s="11">
        <v>165</v>
      </c>
      <c r="C172" s="19" t="str">
        <f t="shared" si="8"/>
        <v>EMPTY</v>
      </c>
      <c r="D172" s="3" t="str">
        <f t="shared" si="10"/>
        <v/>
      </c>
      <c r="E172" s="22"/>
      <c r="F172" s="8" t="str">
        <f t="shared" si="9"/>
        <v/>
      </c>
    </row>
    <row r="173" spans="1:6" x14ac:dyDescent="0.25">
      <c r="A173" s="13" t="str">
        <f>IF(AND($E173="",MAX($A$8:$A172)=0),"",IF(AND($E173&lt;&gt;"",MAX($A$8:$A172)=0),1,IF(AND($E173&lt;&gt;"",MAX($A$8:$A172)&gt;0),MAX($A$8:$A172)+1,"")))</f>
        <v/>
      </c>
      <c r="B173" s="11">
        <v>166</v>
      </c>
      <c r="C173" s="19" t="str">
        <f t="shared" si="8"/>
        <v>EMPTY</v>
      </c>
      <c r="D173" s="3" t="str">
        <f t="shared" si="10"/>
        <v/>
      </c>
      <c r="E173" s="22"/>
      <c r="F173" s="8" t="str">
        <f t="shared" si="9"/>
        <v/>
      </c>
    </row>
    <row r="174" spans="1:6" x14ac:dyDescent="0.25">
      <c r="A174" s="13" t="str">
        <f>IF(AND($E174="",MAX($A$8:$A173)=0),"",IF(AND($E174&lt;&gt;"",MAX($A$8:$A173)=0),1,IF(AND($E174&lt;&gt;"",MAX($A$8:$A173)&gt;0),MAX($A$8:$A173)+1,"")))</f>
        <v/>
      </c>
      <c r="B174" s="11">
        <v>167</v>
      </c>
      <c r="C174" s="19" t="str">
        <f t="shared" si="8"/>
        <v>EMPTY</v>
      </c>
      <c r="D174" s="3" t="str">
        <f t="shared" si="10"/>
        <v/>
      </c>
      <c r="E174" s="22"/>
      <c r="F174" s="8" t="str">
        <f t="shared" si="9"/>
        <v/>
      </c>
    </row>
    <row r="175" spans="1:6" x14ac:dyDescent="0.25">
      <c r="A175" s="13" t="str">
        <f>IF(AND($E175="",MAX($A$8:$A174)=0),"",IF(AND($E175&lt;&gt;"",MAX($A$8:$A174)=0),1,IF(AND($E175&lt;&gt;"",MAX($A$8:$A174)&gt;0),MAX($A$8:$A174)+1,"")))</f>
        <v/>
      </c>
      <c r="B175" s="11">
        <v>168</v>
      </c>
      <c r="C175" s="19" t="str">
        <f t="shared" si="8"/>
        <v>EMPTY</v>
      </c>
      <c r="D175" s="3" t="str">
        <f t="shared" si="10"/>
        <v/>
      </c>
      <c r="E175" s="22"/>
      <c r="F175" s="8" t="str">
        <f t="shared" si="9"/>
        <v/>
      </c>
    </row>
    <row r="176" spans="1:6" x14ac:dyDescent="0.25">
      <c r="A176" s="13" t="str">
        <f>IF(AND($E176="",MAX($A$8:$A175)=0),"",IF(AND($E176&lt;&gt;"",MAX($A$8:$A175)=0),1,IF(AND($E176&lt;&gt;"",MAX($A$8:$A175)&gt;0),MAX($A$8:$A175)+1,"")))</f>
        <v/>
      </c>
      <c r="B176" s="11">
        <v>169</v>
      </c>
      <c r="C176" s="19" t="str">
        <f t="shared" si="8"/>
        <v>EMPTY</v>
      </c>
      <c r="D176" s="3" t="str">
        <f t="shared" si="10"/>
        <v/>
      </c>
      <c r="E176" s="22"/>
      <c r="F176" s="8" t="str">
        <f t="shared" si="9"/>
        <v/>
      </c>
    </row>
    <row r="177" spans="1:6" x14ac:dyDescent="0.25">
      <c r="A177" s="13" t="str">
        <f>IF(AND($E177="",MAX($A$8:$A176)=0),"",IF(AND($E177&lt;&gt;"",MAX($A$8:$A176)=0),1,IF(AND($E177&lt;&gt;"",MAX($A$8:$A176)&gt;0),MAX($A$8:$A176)+1,"")))</f>
        <v/>
      </c>
      <c r="B177" s="11">
        <v>170</v>
      </c>
      <c r="C177" s="19" t="str">
        <f t="shared" si="8"/>
        <v>EMPTY</v>
      </c>
      <c r="D177" s="3" t="str">
        <f t="shared" si="10"/>
        <v/>
      </c>
      <c r="E177" s="22"/>
      <c r="F177" s="8" t="str">
        <f t="shared" si="9"/>
        <v/>
      </c>
    </row>
    <row r="178" spans="1:6" x14ac:dyDescent="0.25">
      <c r="A178" s="13" t="str">
        <f>IF(AND($E178="",MAX($A$8:$A177)=0),"",IF(AND($E178&lt;&gt;"",MAX($A$8:$A177)=0),1,IF(AND($E178&lt;&gt;"",MAX($A$8:$A177)&gt;0),MAX($A$8:$A177)+1,"")))</f>
        <v/>
      </c>
      <c r="B178" s="11">
        <v>171</v>
      </c>
      <c r="C178" s="19" t="str">
        <f t="shared" si="8"/>
        <v>EMPTY</v>
      </c>
      <c r="D178" s="3" t="str">
        <f t="shared" si="10"/>
        <v/>
      </c>
      <c r="E178" s="22"/>
      <c r="F178" s="8" t="str">
        <f t="shared" si="9"/>
        <v/>
      </c>
    </row>
    <row r="179" spans="1:6" x14ac:dyDescent="0.25">
      <c r="A179" s="13" t="str">
        <f>IF(AND($E179="",MAX($A$8:$A178)=0),"",IF(AND($E179&lt;&gt;"",MAX($A$8:$A178)=0),1,IF(AND($E179&lt;&gt;"",MAX($A$8:$A178)&gt;0),MAX($A$8:$A178)+1,"")))</f>
        <v/>
      </c>
      <c r="B179" s="11">
        <v>172</v>
      </c>
      <c r="C179" s="19" t="str">
        <f t="shared" si="8"/>
        <v>EMPTY</v>
      </c>
      <c r="D179" s="3" t="str">
        <f t="shared" si="10"/>
        <v/>
      </c>
      <c r="E179" s="22"/>
      <c r="F179" s="8" t="str">
        <f t="shared" si="9"/>
        <v/>
      </c>
    </row>
    <row r="180" spans="1:6" x14ac:dyDescent="0.25">
      <c r="A180" s="13" t="str">
        <f>IF(AND($E180="",MAX($A$8:$A179)=0),"",IF(AND($E180&lt;&gt;"",MAX($A$8:$A179)=0),1,IF(AND($E180&lt;&gt;"",MAX($A$8:$A179)&gt;0),MAX($A$8:$A179)+1,"")))</f>
        <v/>
      </c>
      <c r="B180" s="11">
        <v>173</v>
      </c>
      <c r="C180" s="19" t="str">
        <f t="shared" si="8"/>
        <v>EMPTY</v>
      </c>
      <c r="D180" s="3" t="str">
        <f t="shared" si="10"/>
        <v/>
      </c>
      <c r="E180" s="22"/>
      <c r="F180" s="8" t="str">
        <f t="shared" si="9"/>
        <v/>
      </c>
    </row>
    <row r="181" spans="1:6" x14ac:dyDescent="0.25">
      <c r="A181" s="13" t="str">
        <f>IF(AND($E181="",MAX($A$8:$A180)=0),"",IF(AND($E181&lt;&gt;"",MAX($A$8:$A180)=0),1,IF(AND($E181&lt;&gt;"",MAX($A$8:$A180)&gt;0),MAX($A$8:$A180)+1,"")))</f>
        <v/>
      </c>
      <c r="B181" s="11">
        <v>174</v>
      </c>
      <c r="C181" s="19" t="str">
        <f t="shared" si="8"/>
        <v>EMPTY</v>
      </c>
      <c r="D181" s="3" t="str">
        <f t="shared" si="10"/>
        <v/>
      </c>
      <c r="E181" s="22"/>
      <c r="F181" s="8" t="str">
        <f t="shared" si="9"/>
        <v/>
      </c>
    </row>
    <row r="182" spans="1:6" x14ac:dyDescent="0.25">
      <c r="A182" s="13" t="str">
        <f>IF(AND($E182="",MAX($A$8:$A181)=0),"",IF(AND($E182&lt;&gt;"",MAX($A$8:$A181)=0),1,IF(AND($E182&lt;&gt;"",MAX($A$8:$A181)&gt;0),MAX($A$8:$A181)+1,"")))</f>
        <v/>
      </c>
      <c r="B182" s="11">
        <v>175</v>
      </c>
      <c r="C182" s="19" t="str">
        <f t="shared" si="8"/>
        <v>EMPTY</v>
      </c>
      <c r="D182" s="3" t="str">
        <f t="shared" si="10"/>
        <v/>
      </c>
      <c r="E182" s="22"/>
      <c r="F182" s="8" t="str">
        <f t="shared" si="9"/>
        <v/>
      </c>
    </row>
    <row r="183" spans="1:6" x14ac:dyDescent="0.25">
      <c r="A183" s="13" t="str">
        <f>IF(AND($E183="",MAX($A$8:$A182)=0),"",IF(AND($E183&lt;&gt;"",MAX($A$8:$A182)=0),1,IF(AND($E183&lt;&gt;"",MAX($A$8:$A182)&gt;0),MAX($A$8:$A182)+1,"")))</f>
        <v/>
      </c>
      <c r="B183" s="11">
        <v>176</v>
      </c>
      <c r="C183" s="19" t="str">
        <f t="shared" si="8"/>
        <v>EMPTY</v>
      </c>
      <c r="D183" s="3" t="str">
        <f t="shared" si="10"/>
        <v/>
      </c>
      <c r="E183" s="22"/>
      <c r="F183" s="8" t="str">
        <f t="shared" si="9"/>
        <v/>
      </c>
    </row>
    <row r="184" spans="1:6" x14ac:dyDescent="0.25">
      <c r="A184" s="13" t="str">
        <f>IF(AND($E184="",MAX($A$8:$A183)=0),"",IF(AND($E184&lt;&gt;"",MAX($A$8:$A183)=0),1,IF(AND($E184&lt;&gt;"",MAX($A$8:$A183)&gt;0),MAX($A$8:$A183)+1,"")))</f>
        <v/>
      </c>
      <c r="B184" s="11">
        <v>177</v>
      </c>
      <c r="C184" s="19" t="str">
        <f t="shared" si="8"/>
        <v>EMPTY</v>
      </c>
      <c r="D184" s="3" t="str">
        <f t="shared" si="10"/>
        <v/>
      </c>
      <c r="E184" s="22"/>
      <c r="F184" s="8" t="str">
        <f t="shared" si="9"/>
        <v/>
      </c>
    </row>
    <row r="185" spans="1:6" x14ac:dyDescent="0.25">
      <c r="A185" s="13" t="str">
        <f>IF(AND($E185="",MAX($A$8:$A184)=0),"",IF(AND($E185&lt;&gt;"",MAX($A$8:$A184)=0),1,IF(AND($E185&lt;&gt;"",MAX($A$8:$A184)&gt;0),MAX($A$8:$A184)+1,"")))</f>
        <v/>
      </c>
      <c r="B185" s="11">
        <v>178</v>
      </c>
      <c r="C185" s="19" t="str">
        <f t="shared" si="8"/>
        <v>EMPTY</v>
      </c>
      <c r="D185" s="3" t="str">
        <f t="shared" si="10"/>
        <v/>
      </c>
      <c r="E185" s="22"/>
      <c r="F185" s="8" t="str">
        <f t="shared" si="9"/>
        <v/>
      </c>
    </row>
    <row r="186" spans="1:6" x14ac:dyDescent="0.25">
      <c r="A186" s="13" t="str">
        <f>IF(AND($E186="",MAX($A$8:$A185)=0),"",IF(AND($E186&lt;&gt;"",MAX($A$8:$A185)=0),1,IF(AND($E186&lt;&gt;"",MAX($A$8:$A185)&gt;0),MAX($A$8:$A185)+1,"")))</f>
        <v/>
      </c>
      <c r="B186" s="11">
        <v>179</v>
      </c>
      <c r="C186" s="19" t="str">
        <f t="shared" si="8"/>
        <v>EMPTY</v>
      </c>
      <c r="D186" s="3" t="str">
        <f t="shared" si="10"/>
        <v/>
      </c>
      <c r="E186" s="22"/>
      <c r="F186" s="8" t="str">
        <f t="shared" si="9"/>
        <v/>
      </c>
    </row>
    <row r="187" spans="1:6" x14ac:dyDescent="0.25">
      <c r="A187" s="13" t="str">
        <f>IF(AND($E187="",MAX($A$8:$A186)=0),"",IF(AND($E187&lt;&gt;"",MAX($A$8:$A186)=0),1,IF(AND($E187&lt;&gt;"",MAX($A$8:$A186)&gt;0),MAX($A$8:$A186)+1,"")))</f>
        <v/>
      </c>
      <c r="B187" s="11">
        <v>180</v>
      </c>
      <c r="C187" s="19" t="str">
        <f t="shared" si="8"/>
        <v>EMPTY</v>
      </c>
      <c r="D187" s="3" t="str">
        <f t="shared" si="10"/>
        <v/>
      </c>
      <c r="E187" s="22"/>
      <c r="F187" s="8" t="str">
        <f t="shared" si="9"/>
        <v/>
      </c>
    </row>
    <row r="188" spans="1:6" x14ac:dyDescent="0.25">
      <c r="A188" s="13" t="str">
        <f>IF(AND($E188="",MAX($A$8:$A187)=0),"",IF(AND($E188&lt;&gt;"",MAX($A$8:$A187)=0),1,IF(AND($E188&lt;&gt;"",MAX($A$8:$A187)&gt;0),MAX($A$8:$A187)+1,"")))</f>
        <v/>
      </c>
      <c r="B188" s="11">
        <v>181</v>
      </c>
      <c r="C188" s="19" t="str">
        <f t="shared" si="8"/>
        <v>EMPTY</v>
      </c>
      <c r="D188" s="3" t="str">
        <f t="shared" si="10"/>
        <v/>
      </c>
      <c r="E188" s="22"/>
      <c r="F188" s="8" t="str">
        <f t="shared" si="9"/>
        <v/>
      </c>
    </row>
    <row r="189" spans="1:6" x14ac:dyDescent="0.25">
      <c r="A189" s="13" t="str">
        <f>IF(AND($E189="",MAX($A$8:$A188)=0),"",IF(AND($E189&lt;&gt;"",MAX($A$8:$A188)=0),1,IF(AND($E189&lt;&gt;"",MAX($A$8:$A188)&gt;0),MAX($A$8:$A188)+1,"")))</f>
        <v/>
      </c>
      <c r="B189" s="11">
        <v>182</v>
      </c>
      <c r="C189" s="19" t="str">
        <f t="shared" si="8"/>
        <v>EMPTY</v>
      </c>
      <c r="D189" s="3" t="str">
        <f t="shared" si="10"/>
        <v/>
      </c>
      <c r="E189" s="22"/>
      <c r="F189" s="8" t="str">
        <f t="shared" si="9"/>
        <v/>
      </c>
    </row>
    <row r="190" spans="1:6" x14ac:dyDescent="0.25">
      <c r="A190" s="13" t="str">
        <f>IF(AND($E190="",MAX($A$8:$A189)=0),"",IF(AND($E190&lt;&gt;"",MAX($A$8:$A189)=0),1,IF(AND($E190&lt;&gt;"",MAX($A$8:$A189)&gt;0),MAX($A$8:$A189)+1,"")))</f>
        <v/>
      </c>
      <c r="B190" s="11">
        <v>183</v>
      </c>
      <c r="C190" s="19" t="str">
        <f t="shared" si="8"/>
        <v>EMPTY</v>
      </c>
      <c r="D190" s="3" t="str">
        <f t="shared" si="10"/>
        <v/>
      </c>
      <c r="E190" s="22"/>
      <c r="F190" s="8" t="str">
        <f t="shared" si="9"/>
        <v/>
      </c>
    </row>
    <row r="191" spans="1:6" x14ac:dyDescent="0.25">
      <c r="A191" s="13" t="str">
        <f>IF(AND($E191="",MAX($A$8:$A190)=0),"",IF(AND($E191&lt;&gt;"",MAX($A$8:$A190)=0),1,IF(AND($E191&lt;&gt;"",MAX($A$8:$A190)&gt;0),MAX($A$8:$A190)+1,"")))</f>
        <v/>
      </c>
      <c r="B191" s="11">
        <v>184</v>
      </c>
      <c r="C191" s="19" t="str">
        <f t="shared" si="8"/>
        <v>EMPTY</v>
      </c>
      <c r="D191" s="3" t="str">
        <f t="shared" si="10"/>
        <v/>
      </c>
      <c r="E191" s="22"/>
      <c r="F191" s="8" t="str">
        <f t="shared" si="9"/>
        <v/>
      </c>
    </row>
    <row r="192" spans="1:6" x14ac:dyDescent="0.25">
      <c r="A192" s="13" t="str">
        <f>IF(AND($E192="",MAX($A$8:$A191)=0),"",IF(AND($E192&lt;&gt;"",MAX($A$8:$A191)=0),1,IF(AND($E192&lt;&gt;"",MAX($A$8:$A191)&gt;0),MAX($A$8:$A191)+1,"")))</f>
        <v/>
      </c>
      <c r="B192" s="11">
        <v>185</v>
      </c>
      <c r="C192" s="19" t="str">
        <f t="shared" si="8"/>
        <v>EMPTY</v>
      </c>
      <c r="D192" s="3" t="str">
        <f t="shared" si="10"/>
        <v/>
      </c>
      <c r="E192" s="22"/>
      <c r="F192" s="8" t="str">
        <f t="shared" si="9"/>
        <v/>
      </c>
    </row>
    <row r="193" spans="1:6" x14ac:dyDescent="0.25">
      <c r="A193" s="13" t="str">
        <f>IF(AND($E193="",MAX($A$8:$A192)=0),"",IF(AND($E193&lt;&gt;"",MAX($A$8:$A192)=0),1,IF(AND($E193&lt;&gt;"",MAX($A$8:$A192)&gt;0),MAX($A$8:$A192)+1,"")))</f>
        <v/>
      </c>
      <c r="B193" s="11">
        <v>186</v>
      </c>
      <c r="C193" s="19" t="str">
        <f t="shared" si="8"/>
        <v>EMPTY</v>
      </c>
      <c r="D193" s="3" t="str">
        <f t="shared" si="10"/>
        <v/>
      </c>
      <c r="E193" s="22"/>
      <c r="F193" s="8" t="str">
        <f t="shared" si="9"/>
        <v/>
      </c>
    </row>
    <row r="194" spans="1:6" x14ac:dyDescent="0.25">
      <c r="A194" s="13" t="str">
        <f>IF(AND($E194="",MAX($A$8:$A193)=0),"",IF(AND($E194&lt;&gt;"",MAX($A$8:$A193)=0),1,IF(AND($E194&lt;&gt;"",MAX($A$8:$A193)&gt;0),MAX($A$8:$A193)+1,"")))</f>
        <v/>
      </c>
      <c r="B194" s="11">
        <v>187</v>
      </c>
      <c r="C194" s="19" t="str">
        <f t="shared" si="8"/>
        <v>EMPTY</v>
      </c>
      <c r="D194" s="3" t="str">
        <f t="shared" si="10"/>
        <v/>
      </c>
      <c r="E194" s="22"/>
      <c r="F194" s="8" t="str">
        <f t="shared" si="9"/>
        <v/>
      </c>
    </row>
    <row r="195" spans="1:6" x14ac:dyDescent="0.25">
      <c r="A195" s="13" t="str">
        <f>IF(AND($E195="",MAX($A$8:$A194)=0),"",IF(AND($E195&lt;&gt;"",MAX($A$8:$A194)=0),1,IF(AND($E195&lt;&gt;"",MAX($A$8:$A194)&gt;0),MAX($A$8:$A194)+1,"")))</f>
        <v/>
      </c>
      <c r="B195" s="11">
        <v>188</v>
      </c>
      <c r="C195" s="19" t="str">
        <f t="shared" si="8"/>
        <v>EMPTY</v>
      </c>
      <c r="D195" s="3" t="str">
        <f t="shared" si="10"/>
        <v/>
      </c>
      <c r="E195" s="22"/>
      <c r="F195" s="8" t="str">
        <f t="shared" si="9"/>
        <v/>
      </c>
    </row>
    <row r="196" spans="1:6" x14ac:dyDescent="0.25">
      <c r="A196" s="13" t="str">
        <f>IF(AND($E196="",MAX($A$8:$A195)=0),"",IF(AND($E196&lt;&gt;"",MAX($A$8:$A195)=0),1,IF(AND($E196&lt;&gt;"",MAX($A$8:$A195)&gt;0),MAX($A$8:$A195)+1,"")))</f>
        <v/>
      </c>
      <c r="B196" s="11">
        <v>189</v>
      </c>
      <c r="C196" s="19" t="str">
        <f t="shared" si="8"/>
        <v>EMPTY</v>
      </c>
      <c r="D196" s="3" t="str">
        <f t="shared" si="10"/>
        <v/>
      </c>
      <c r="E196" s="22"/>
      <c r="F196" s="8" t="str">
        <f t="shared" si="9"/>
        <v/>
      </c>
    </row>
    <row r="197" spans="1:6" x14ac:dyDescent="0.25">
      <c r="A197" s="13" t="str">
        <f>IF(AND($E197="",MAX($A$8:$A196)=0),"",IF(AND($E197&lt;&gt;"",MAX($A$8:$A196)=0),1,IF(AND($E197&lt;&gt;"",MAX($A$8:$A196)&gt;0),MAX($A$8:$A196)+1,"")))</f>
        <v/>
      </c>
      <c r="B197" s="11">
        <v>190</v>
      </c>
      <c r="C197" s="19" t="str">
        <f t="shared" si="8"/>
        <v>EMPTY</v>
      </c>
      <c r="D197" s="3" t="str">
        <f t="shared" si="10"/>
        <v/>
      </c>
      <c r="E197" s="22"/>
      <c r="F197" s="8" t="str">
        <f t="shared" si="9"/>
        <v/>
      </c>
    </row>
    <row r="198" spans="1:6" x14ac:dyDescent="0.25">
      <c r="A198" s="13" t="str">
        <f>IF(AND($E198="",MAX($A$8:$A197)=0),"",IF(AND($E198&lt;&gt;"",MAX($A$8:$A197)=0),1,IF(AND($E198&lt;&gt;"",MAX($A$8:$A197)&gt;0),MAX($A$8:$A197)+1,"")))</f>
        <v/>
      </c>
      <c r="B198" s="11">
        <v>191</v>
      </c>
      <c r="C198" s="19" t="str">
        <f t="shared" si="8"/>
        <v>EMPTY</v>
      </c>
      <c r="D198" s="3" t="str">
        <f t="shared" si="10"/>
        <v/>
      </c>
      <c r="E198" s="22"/>
      <c r="F198" s="8" t="str">
        <f t="shared" si="9"/>
        <v/>
      </c>
    </row>
    <row r="199" spans="1:6" x14ac:dyDescent="0.25">
      <c r="A199" s="13" t="str">
        <f>IF(AND($E199="",MAX($A$8:$A198)=0),"",IF(AND($E199&lt;&gt;"",MAX($A$8:$A198)=0),1,IF(AND($E199&lt;&gt;"",MAX($A$8:$A198)&gt;0),MAX($A$8:$A198)+1,"")))</f>
        <v/>
      </c>
      <c r="B199" s="11">
        <v>192</v>
      </c>
      <c r="C199" s="19" t="str">
        <f t="shared" si="8"/>
        <v>EMPTY</v>
      </c>
      <c r="D199" s="3" t="str">
        <f t="shared" si="10"/>
        <v/>
      </c>
      <c r="E199" s="22"/>
      <c r="F199" s="8" t="str">
        <f t="shared" si="9"/>
        <v/>
      </c>
    </row>
    <row r="200" spans="1:6" x14ac:dyDescent="0.25">
      <c r="A200" s="13" t="str">
        <f>IF(AND($E200="",MAX($A$8:$A199)=0),"",IF(AND($E200&lt;&gt;"",MAX($A$8:$A199)=0),1,IF(AND($E200&lt;&gt;"",MAX($A$8:$A199)&gt;0),MAX($A$8:$A199)+1,"")))</f>
        <v/>
      </c>
      <c r="B200" s="11">
        <v>193</v>
      </c>
      <c r="C200" s="19" t="str">
        <f t="shared" si="8"/>
        <v>EMPTY</v>
      </c>
      <c r="D200" s="3" t="str">
        <f t="shared" si="10"/>
        <v/>
      </c>
      <c r="E200" s="22"/>
      <c r="F200" s="8" t="str">
        <f t="shared" si="9"/>
        <v/>
      </c>
    </row>
    <row r="201" spans="1:6" x14ac:dyDescent="0.25">
      <c r="A201" s="13" t="str">
        <f>IF(AND($E201="",MAX($A$8:$A200)=0),"",IF(AND($E201&lt;&gt;"",MAX($A$8:$A200)=0),1,IF(AND($E201&lt;&gt;"",MAX($A$8:$A200)&gt;0),MAX($A$8:$A200)+1,"")))</f>
        <v/>
      </c>
      <c r="B201" s="11">
        <v>194</v>
      </c>
      <c r="C201" s="19" t="str">
        <f t="shared" ref="C201:C264" si="11">IF($E201="","EMPTY",IF(COUNT(MID($E201,2,1))=0,"HIDE",IF(COUNT(MID($E201,2,1))=1,"SHOW","")))</f>
        <v>EMPTY</v>
      </c>
      <c r="D201" s="3" t="str">
        <f t="shared" si="10"/>
        <v/>
      </c>
      <c r="E201" s="22"/>
      <c r="F201" s="8" t="str">
        <f t="shared" ref="F201:F264" si="12">$D201</f>
        <v/>
      </c>
    </row>
    <row r="202" spans="1:6" x14ac:dyDescent="0.25">
      <c r="A202" s="13" t="str">
        <f>IF(AND($E202="",MAX($A$8:$A201)=0),"",IF(AND($E202&lt;&gt;"",MAX($A$8:$A201)=0),1,IF(AND($E202&lt;&gt;"",MAX($A$8:$A201)&gt;0),MAX($A$8:$A201)+1,"")))</f>
        <v/>
      </c>
      <c r="B202" s="11">
        <v>195</v>
      </c>
      <c r="C202" s="19" t="str">
        <f t="shared" si="11"/>
        <v>EMPTY</v>
      </c>
      <c r="D202" s="3" t="str">
        <f t="shared" si="10"/>
        <v/>
      </c>
      <c r="E202" s="22"/>
      <c r="F202" s="8" t="str">
        <f t="shared" si="12"/>
        <v/>
      </c>
    </row>
    <row r="203" spans="1:6" x14ac:dyDescent="0.25">
      <c r="A203" s="13" t="str">
        <f>IF(AND($E203="",MAX($A$8:$A202)=0),"",IF(AND($E203&lt;&gt;"",MAX($A$8:$A202)=0),1,IF(AND($E203&lt;&gt;"",MAX($A$8:$A202)&gt;0),MAX($A$8:$A202)+1,"")))</f>
        <v/>
      </c>
      <c r="B203" s="11">
        <v>196</v>
      </c>
      <c r="C203" s="19" t="str">
        <f t="shared" si="11"/>
        <v>EMPTY</v>
      </c>
      <c r="D203" s="3" t="str">
        <f t="shared" si="10"/>
        <v/>
      </c>
      <c r="E203" s="22"/>
      <c r="F203" s="8" t="str">
        <f t="shared" si="12"/>
        <v/>
      </c>
    </row>
    <row r="204" spans="1:6" x14ac:dyDescent="0.25">
      <c r="A204" s="13" t="str">
        <f>IF(AND($E204="",MAX($A$8:$A203)=0),"",IF(AND($E204&lt;&gt;"",MAX($A$8:$A203)=0),1,IF(AND($E204&lt;&gt;"",MAX($A$8:$A203)&gt;0),MAX($A$8:$A203)+1,"")))</f>
        <v/>
      </c>
      <c r="B204" s="11">
        <v>197</v>
      </c>
      <c r="C204" s="19" t="str">
        <f t="shared" si="11"/>
        <v>EMPTY</v>
      </c>
      <c r="D204" s="3" t="str">
        <f t="shared" si="10"/>
        <v/>
      </c>
      <c r="E204" s="22"/>
      <c r="F204" s="8" t="str">
        <f t="shared" si="12"/>
        <v/>
      </c>
    </row>
    <row r="205" spans="1:6" x14ac:dyDescent="0.25">
      <c r="A205" s="13" t="str">
        <f>IF(AND($E205="",MAX($A$8:$A204)=0),"",IF(AND($E205&lt;&gt;"",MAX($A$8:$A204)=0),1,IF(AND($E205&lt;&gt;"",MAX($A$8:$A204)&gt;0),MAX($A$8:$A204)+1,"")))</f>
        <v/>
      </c>
      <c r="B205" s="11">
        <v>198</v>
      </c>
      <c r="C205" s="19" t="str">
        <f t="shared" si="11"/>
        <v>EMPTY</v>
      </c>
      <c r="D205" s="3" t="str">
        <f t="shared" si="10"/>
        <v/>
      </c>
      <c r="E205" s="22"/>
      <c r="F205" s="8" t="str">
        <f t="shared" si="12"/>
        <v/>
      </c>
    </row>
    <row r="206" spans="1:6" x14ac:dyDescent="0.25">
      <c r="A206" s="13" t="str">
        <f>IF(AND($E206="",MAX($A$8:$A205)=0),"",IF(AND($E206&lt;&gt;"",MAX($A$8:$A205)=0),1,IF(AND($E206&lt;&gt;"",MAX($A$8:$A205)&gt;0),MAX($A$8:$A205)+1,"")))</f>
        <v/>
      </c>
      <c r="B206" s="11">
        <v>199</v>
      </c>
      <c r="C206" s="19" t="str">
        <f t="shared" si="11"/>
        <v>EMPTY</v>
      </c>
      <c r="D206" s="3" t="str">
        <f t="shared" si="10"/>
        <v/>
      </c>
      <c r="E206" s="22"/>
      <c r="F206" s="8" t="str">
        <f t="shared" si="12"/>
        <v/>
      </c>
    </row>
    <row r="207" spans="1:6" x14ac:dyDescent="0.25">
      <c r="A207" s="13" t="str">
        <f>IF(AND($E207="",MAX($A$8:$A206)=0),"",IF(AND($E207&lt;&gt;"",MAX($A$8:$A206)=0),1,IF(AND($E207&lt;&gt;"",MAX($A$8:$A206)&gt;0),MAX($A$8:$A206)+1,"")))</f>
        <v/>
      </c>
      <c r="B207" s="11">
        <v>200</v>
      </c>
      <c r="C207" s="19" t="str">
        <f t="shared" si="11"/>
        <v>EMPTY</v>
      </c>
      <c r="D207" s="3" t="str">
        <f t="shared" si="10"/>
        <v/>
      </c>
      <c r="E207" s="22"/>
      <c r="F207" s="8" t="str">
        <f t="shared" si="12"/>
        <v/>
      </c>
    </row>
    <row r="208" spans="1:6" x14ac:dyDescent="0.25">
      <c r="A208" s="13" t="str">
        <f>IF(AND($E208="",MAX($A$8:$A207)=0),"",IF(AND($E208&lt;&gt;"",MAX($A$8:$A207)=0),1,IF(AND($E208&lt;&gt;"",MAX($A$8:$A207)&gt;0),MAX($A$8:$A207)+1,"")))</f>
        <v/>
      </c>
      <c r="B208" s="11">
        <v>201</v>
      </c>
      <c r="C208" s="19" t="str">
        <f t="shared" si="11"/>
        <v>EMPTY</v>
      </c>
      <c r="D208" s="3" t="str">
        <f t="shared" si="10"/>
        <v/>
      </c>
      <c r="E208" s="22"/>
      <c r="F208" s="8" t="str">
        <f t="shared" si="12"/>
        <v/>
      </c>
    </row>
    <row r="209" spans="1:6" x14ac:dyDescent="0.25">
      <c r="A209" s="13" t="str">
        <f>IF(AND($E209="",MAX($A$8:$A208)=0),"",IF(AND($E209&lt;&gt;"",MAX($A$8:$A208)=0),1,IF(AND($E209&lt;&gt;"",MAX($A$8:$A208)&gt;0),MAX($A$8:$A208)+1,"")))</f>
        <v/>
      </c>
      <c r="B209" s="11">
        <v>202</v>
      </c>
      <c r="C209" s="19" t="str">
        <f t="shared" si="11"/>
        <v>EMPTY</v>
      </c>
      <c r="D209" s="3" t="str">
        <f t="shared" ref="D209:D272" si="13">IF(AND(OR($C209="EMPTY",$C209="HIDE",$C209=""),OR($C210="EMPTY",$C210="HIDE",$C210="")),"",IF(AND($C209="SHOW",OR($C210="EMPTY",$C210="HIDE",$C210="")),CONCATENATE("Dialogue: 0,0:",MID($E209,2,8),",0:",MID($E209,2,8),",Default,,0,0,0,,",MID($E209,11,1000)),IF(AND($C209="SHOW",$C210="SHOW"),CONCATENATE("Dialogue: 0,0:",MID($E209,2,8),",0:",MID($E210,2,8),",Default,,0,0,0,,",MID($E209,11,1000)),"")))</f>
        <v/>
      </c>
      <c r="E209" s="22"/>
      <c r="F209" s="8" t="str">
        <f t="shared" si="12"/>
        <v/>
      </c>
    </row>
    <row r="210" spans="1:6" x14ac:dyDescent="0.25">
      <c r="A210" s="13" t="str">
        <f>IF(AND($E210="",MAX($A$8:$A209)=0),"",IF(AND($E210&lt;&gt;"",MAX($A$8:$A209)=0),1,IF(AND($E210&lt;&gt;"",MAX($A$8:$A209)&gt;0),MAX($A$8:$A209)+1,"")))</f>
        <v/>
      </c>
      <c r="B210" s="11">
        <v>203</v>
      </c>
      <c r="C210" s="19" t="str">
        <f t="shared" si="11"/>
        <v>EMPTY</v>
      </c>
      <c r="D210" s="3" t="str">
        <f t="shared" si="13"/>
        <v/>
      </c>
      <c r="E210" s="22"/>
      <c r="F210" s="8" t="str">
        <f t="shared" si="12"/>
        <v/>
      </c>
    </row>
    <row r="211" spans="1:6" x14ac:dyDescent="0.25">
      <c r="A211" s="13" t="str">
        <f>IF(AND($E211="",MAX($A$8:$A210)=0),"",IF(AND($E211&lt;&gt;"",MAX($A$8:$A210)=0),1,IF(AND($E211&lt;&gt;"",MAX($A$8:$A210)&gt;0),MAX($A$8:$A210)+1,"")))</f>
        <v/>
      </c>
      <c r="B211" s="11">
        <v>204</v>
      </c>
      <c r="C211" s="19" t="str">
        <f t="shared" si="11"/>
        <v>EMPTY</v>
      </c>
      <c r="D211" s="3" t="str">
        <f t="shared" si="13"/>
        <v/>
      </c>
      <c r="E211" s="22"/>
      <c r="F211" s="8" t="str">
        <f t="shared" si="12"/>
        <v/>
      </c>
    </row>
    <row r="212" spans="1:6" x14ac:dyDescent="0.25">
      <c r="A212" s="13" t="str">
        <f>IF(AND($E212="",MAX($A$8:$A211)=0),"",IF(AND($E212&lt;&gt;"",MAX($A$8:$A211)=0),1,IF(AND($E212&lt;&gt;"",MAX($A$8:$A211)&gt;0),MAX($A$8:$A211)+1,"")))</f>
        <v/>
      </c>
      <c r="B212" s="11">
        <v>205</v>
      </c>
      <c r="C212" s="19" t="str">
        <f t="shared" si="11"/>
        <v>EMPTY</v>
      </c>
      <c r="D212" s="3" t="str">
        <f t="shared" si="13"/>
        <v/>
      </c>
      <c r="E212" s="22"/>
      <c r="F212" s="8" t="str">
        <f t="shared" si="12"/>
        <v/>
      </c>
    </row>
    <row r="213" spans="1:6" x14ac:dyDescent="0.25">
      <c r="A213" s="13" t="str">
        <f>IF(AND($E213="",MAX($A$8:$A212)=0),"",IF(AND($E213&lt;&gt;"",MAX($A$8:$A212)=0),1,IF(AND($E213&lt;&gt;"",MAX($A$8:$A212)&gt;0),MAX($A$8:$A212)+1,"")))</f>
        <v/>
      </c>
      <c r="B213" s="11">
        <v>206</v>
      </c>
      <c r="C213" s="19" t="str">
        <f t="shared" si="11"/>
        <v>EMPTY</v>
      </c>
      <c r="D213" s="3" t="str">
        <f t="shared" si="13"/>
        <v/>
      </c>
      <c r="E213" s="22"/>
      <c r="F213" s="8" t="str">
        <f t="shared" si="12"/>
        <v/>
      </c>
    </row>
    <row r="214" spans="1:6" x14ac:dyDescent="0.25">
      <c r="A214" s="13" t="str">
        <f>IF(AND($E214="",MAX($A$8:$A213)=0),"",IF(AND($E214&lt;&gt;"",MAX($A$8:$A213)=0),1,IF(AND($E214&lt;&gt;"",MAX($A$8:$A213)&gt;0),MAX($A$8:$A213)+1,"")))</f>
        <v/>
      </c>
      <c r="B214" s="11">
        <v>207</v>
      </c>
      <c r="C214" s="19" t="str">
        <f t="shared" si="11"/>
        <v>EMPTY</v>
      </c>
      <c r="D214" s="3" t="str">
        <f t="shared" si="13"/>
        <v/>
      </c>
      <c r="E214" s="22"/>
      <c r="F214" s="8" t="str">
        <f t="shared" si="12"/>
        <v/>
      </c>
    </row>
    <row r="215" spans="1:6" x14ac:dyDescent="0.25">
      <c r="A215" s="13" t="str">
        <f>IF(AND($E215="",MAX($A$8:$A214)=0),"",IF(AND($E215&lt;&gt;"",MAX($A$8:$A214)=0),1,IF(AND($E215&lt;&gt;"",MAX($A$8:$A214)&gt;0),MAX($A$8:$A214)+1,"")))</f>
        <v/>
      </c>
      <c r="B215" s="11">
        <v>208</v>
      </c>
      <c r="C215" s="19" t="str">
        <f t="shared" si="11"/>
        <v>EMPTY</v>
      </c>
      <c r="D215" s="3" t="str">
        <f t="shared" si="13"/>
        <v/>
      </c>
      <c r="E215" s="22"/>
      <c r="F215" s="8" t="str">
        <f t="shared" si="12"/>
        <v/>
      </c>
    </row>
    <row r="216" spans="1:6" x14ac:dyDescent="0.25">
      <c r="A216" s="13" t="str">
        <f>IF(AND($E216="",MAX($A$8:$A215)=0),"",IF(AND($E216&lt;&gt;"",MAX($A$8:$A215)=0),1,IF(AND($E216&lt;&gt;"",MAX($A$8:$A215)&gt;0),MAX($A$8:$A215)+1,"")))</f>
        <v/>
      </c>
      <c r="B216" s="11">
        <v>209</v>
      </c>
      <c r="C216" s="19" t="str">
        <f t="shared" si="11"/>
        <v>EMPTY</v>
      </c>
      <c r="D216" s="3" t="str">
        <f t="shared" si="13"/>
        <v/>
      </c>
      <c r="E216" s="22"/>
      <c r="F216" s="8" t="str">
        <f t="shared" si="12"/>
        <v/>
      </c>
    </row>
    <row r="217" spans="1:6" x14ac:dyDescent="0.25">
      <c r="A217" s="13" t="str">
        <f>IF(AND($E217="",MAX($A$8:$A216)=0),"",IF(AND($E217&lt;&gt;"",MAX($A$8:$A216)=0),1,IF(AND($E217&lt;&gt;"",MAX($A$8:$A216)&gt;0),MAX($A$8:$A216)+1,"")))</f>
        <v/>
      </c>
      <c r="B217" s="11">
        <v>210</v>
      </c>
      <c r="C217" s="19" t="str">
        <f t="shared" si="11"/>
        <v>EMPTY</v>
      </c>
      <c r="D217" s="3" t="str">
        <f t="shared" si="13"/>
        <v/>
      </c>
      <c r="E217" s="22"/>
      <c r="F217" s="8" t="str">
        <f t="shared" si="12"/>
        <v/>
      </c>
    </row>
    <row r="218" spans="1:6" x14ac:dyDescent="0.25">
      <c r="A218" s="13" t="str">
        <f>IF(AND($E218="",MAX($A$8:$A217)=0),"",IF(AND($E218&lt;&gt;"",MAX($A$8:$A217)=0),1,IF(AND($E218&lt;&gt;"",MAX($A$8:$A217)&gt;0),MAX($A$8:$A217)+1,"")))</f>
        <v/>
      </c>
      <c r="B218" s="11">
        <v>211</v>
      </c>
      <c r="C218" s="19" t="str">
        <f t="shared" si="11"/>
        <v>EMPTY</v>
      </c>
      <c r="D218" s="3" t="str">
        <f t="shared" si="13"/>
        <v/>
      </c>
      <c r="E218" s="22"/>
      <c r="F218" s="8" t="str">
        <f t="shared" si="12"/>
        <v/>
      </c>
    </row>
    <row r="219" spans="1:6" x14ac:dyDescent="0.25">
      <c r="A219" s="13" t="str">
        <f>IF(AND($E219="",MAX($A$8:$A218)=0),"",IF(AND($E219&lt;&gt;"",MAX($A$8:$A218)=0),1,IF(AND($E219&lt;&gt;"",MAX($A$8:$A218)&gt;0),MAX($A$8:$A218)+1,"")))</f>
        <v/>
      </c>
      <c r="B219" s="11">
        <v>212</v>
      </c>
      <c r="C219" s="19" t="str">
        <f t="shared" si="11"/>
        <v>EMPTY</v>
      </c>
      <c r="D219" s="3" t="str">
        <f t="shared" si="13"/>
        <v/>
      </c>
      <c r="E219" s="22"/>
      <c r="F219" s="8" t="str">
        <f t="shared" si="12"/>
        <v/>
      </c>
    </row>
    <row r="220" spans="1:6" x14ac:dyDescent="0.25">
      <c r="A220" s="13" t="str">
        <f>IF(AND($E220="",MAX($A$8:$A219)=0),"",IF(AND($E220&lt;&gt;"",MAX($A$8:$A219)=0),1,IF(AND($E220&lt;&gt;"",MAX($A$8:$A219)&gt;0),MAX($A$8:$A219)+1,"")))</f>
        <v/>
      </c>
      <c r="B220" s="11">
        <v>213</v>
      </c>
      <c r="C220" s="19" t="str">
        <f t="shared" si="11"/>
        <v>EMPTY</v>
      </c>
      <c r="D220" s="3" t="str">
        <f t="shared" si="13"/>
        <v/>
      </c>
      <c r="E220" s="22"/>
      <c r="F220" s="8" t="str">
        <f t="shared" si="12"/>
        <v/>
      </c>
    </row>
    <row r="221" spans="1:6" x14ac:dyDescent="0.25">
      <c r="A221" s="13" t="str">
        <f>IF(AND($E221="",MAX($A$8:$A220)=0),"",IF(AND($E221&lt;&gt;"",MAX($A$8:$A220)=0),1,IF(AND($E221&lt;&gt;"",MAX($A$8:$A220)&gt;0),MAX($A$8:$A220)+1,"")))</f>
        <v/>
      </c>
      <c r="B221" s="11">
        <v>214</v>
      </c>
      <c r="C221" s="19" t="str">
        <f t="shared" si="11"/>
        <v>EMPTY</v>
      </c>
      <c r="D221" s="3" t="str">
        <f t="shared" si="13"/>
        <v/>
      </c>
      <c r="E221" s="22"/>
      <c r="F221" s="8" t="str">
        <f t="shared" si="12"/>
        <v/>
      </c>
    </row>
    <row r="222" spans="1:6" x14ac:dyDescent="0.25">
      <c r="A222" s="13" t="str">
        <f>IF(AND($E222="",MAX($A$8:$A221)=0),"",IF(AND($E222&lt;&gt;"",MAX($A$8:$A221)=0),1,IF(AND($E222&lt;&gt;"",MAX($A$8:$A221)&gt;0),MAX($A$8:$A221)+1,"")))</f>
        <v/>
      </c>
      <c r="B222" s="11">
        <v>215</v>
      </c>
      <c r="C222" s="19" t="str">
        <f t="shared" si="11"/>
        <v>EMPTY</v>
      </c>
      <c r="D222" s="3" t="str">
        <f t="shared" si="13"/>
        <v/>
      </c>
      <c r="E222" s="22"/>
      <c r="F222" s="8" t="str">
        <f t="shared" si="12"/>
        <v/>
      </c>
    </row>
    <row r="223" spans="1:6" x14ac:dyDescent="0.25">
      <c r="A223" s="13" t="str">
        <f>IF(AND($E223="",MAX($A$8:$A222)=0),"",IF(AND($E223&lt;&gt;"",MAX($A$8:$A222)=0),1,IF(AND($E223&lt;&gt;"",MAX($A$8:$A222)&gt;0),MAX($A$8:$A222)+1,"")))</f>
        <v/>
      </c>
      <c r="B223" s="11">
        <v>216</v>
      </c>
      <c r="C223" s="19" t="str">
        <f t="shared" si="11"/>
        <v>EMPTY</v>
      </c>
      <c r="D223" s="3" t="str">
        <f t="shared" si="13"/>
        <v/>
      </c>
      <c r="E223" s="22"/>
      <c r="F223" s="8" t="str">
        <f t="shared" si="12"/>
        <v/>
      </c>
    </row>
    <row r="224" spans="1:6" x14ac:dyDescent="0.25">
      <c r="A224" s="13" t="str">
        <f>IF(AND($E224="",MAX($A$8:$A223)=0),"",IF(AND($E224&lt;&gt;"",MAX($A$8:$A223)=0),1,IF(AND($E224&lt;&gt;"",MAX($A$8:$A223)&gt;0),MAX($A$8:$A223)+1,"")))</f>
        <v/>
      </c>
      <c r="B224" s="11">
        <v>217</v>
      </c>
      <c r="C224" s="19" t="str">
        <f t="shared" si="11"/>
        <v>EMPTY</v>
      </c>
      <c r="D224" s="3" t="str">
        <f t="shared" si="13"/>
        <v/>
      </c>
      <c r="E224" s="22"/>
      <c r="F224" s="8" t="str">
        <f t="shared" si="12"/>
        <v/>
      </c>
    </row>
    <row r="225" spans="1:6" x14ac:dyDescent="0.25">
      <c r="A225" s="13" t="str">
        <f>IF(AND($E225="",MAX($A$8:$A224)=0),"",IF(AND($E225&lt;&gt;"",MAX($A$8:$A224)=0),1,IF(AND($E225&lt;&gt;"",MAX($A$8:$A224)&gt;0),MAX($A$8:$A224)+1,"")))</f>
        <v/>
      </c>
      <c r="B225" s="11">
        <v>218</v>
      </c>
      <c r="C225" s="19" t="str">
        <f t="shared" si="11"/>
        <v>EMPTY</v>
      </c>
      <c r="D225" s="3" t="str">
        <f t="shared" si="13"/>
        <v/>
      </c>
      <c r="E225" s="22"/>
      <c r="F225" s="8" t="str">
        <f t="shared" si="12"/>
        <v/>
      </c>
    </row>
    <row r="226" spans="1:6" x14ac:dyDescent="0.25">
      <c r="A226" s="13" t="str">
        <f>IF(AND($E226="",MAX($A$8:$A225)=0),"",IF(AND($E226&lt;&gt;"",MAX($A$8:$A225)=0),1,IF(AND($E226&lt;&gt;"",MAX($A$8:$A225)&gt;0),MAX($A$8:$A225)+1,"")))</f>
        <v/>
      </c>
      <c r="B226" s="11">
        <v>219</v>
      </c>
      <c r="C226" s="19" t="str">
        <f t="shared" si="11"/>
        <v>EMPTY</v>
      </c>
      <c r="D226" s="3" t="str">
        <f t="shared" si="13"/>
        <v/>
      </c>
      <c r="E226" s="22"/>
      <c r="F226" s="8" t="str">
        <f t="shared" si="12"/>
        <v/>
      </c>
    </row>
    <row r="227" spans="1:6" x14ac:dyDescent="0.25">
      <c r="A227" s="13" t="str">
        <f>IF(AND($E227="",MAX($A$8:$A226)=0),"",IF(AND($E227&lt;&gt;"",MAX($A$8:$A226)=0),1,IF(AND($E227&lt;&gt;"",MAX($A$8:$A226)&gt;0),MAX($A$8:$A226)+1,"")))</f>
        <v/>
      </c>
      <c r="B227" s="11">
        <v>220</v>
      </c>
      <c r="C227" s="19" t="str">
        <f t="shared" si="11"/>
        <v>EMPTY</v>
      </c>
      <c r="D227" s="3" t="str">
        <f t="shared" si="13"/>
        <v/>
      </c>
      <c r="E227" s="22"/>
      <c r="F227" s="8" t="str">
        <f t="shared" si="12"/>
        <v/>
      </c>
    </row>
    <row r="228" spans="1:6" x14ac:dyDescent="0.25">
      <c r="A228" s="13" t="str">
        <f>IF(AND($E228="",MAX($A$8:$A227)=0),"",IF(AND($E228&lt;&gt;"",MAX($A$8:$A227)=0),1,IF(AND($E228&lt;&gt;"",MAX($A$8:$A227)&gt;0),MAX($A$8:$A227)+1,"")))</f>
        <v/>
      </c>
      <c r="B228" s="11">
        <v>221</v>
      </c>
      <c r="C228" s="19" t="str">
        <f t="shared" si="11"/>
        <v>EMPTY</v>
      </c>
      <c r="D228" s="3" t="str">
        <f t="shared" si="13"/>
        <v/>
      </c>
      <c r="E228" s="22"/>
      <c r="F228" s="8" t="str">
        <f t="shared" si="12"/>
        <v/>
      </c>
    </row>
    <row r="229" spans="1:6" x14ac:dyDescent="0.25">
      <c r="A229" s="13" t="str">
        <f>IF(AND($E229="",MAX($A$8:$A228)=0),"",IF(AND($E229&lt;&gt;"",MAX($A$8:$A228)=0),1,IF(AND($E229&lt;&gt;"",MAX($A$8:$A228)&gt;0),MAX($A$8:$A228)+1,"")))</f>
        <v/>
      </c>
      <c r="B229" s="11">
        <v>222</v>
      </c>
      <c r="C229" s="19" t="str">
        <f t="shared" si="11"/>
        <v>EMPTY</v>
      </c>
      <c r="D229" s="3" t="str">
        <f t="shared" si="13"/>
        <v/>
      </c>
      <c r="E229" s="22"/>
      <c r="F229" s="8" t="str">
        <f t="shared" si="12"/>
        <v/>
      </c>
    </row>
    <row r="230" spans="1:6" x14ac:dyDescent="0.25">
      <c r="A230" s="13" t="str">
        <f>IF(AND($E230="",MAX($A$8:$A229)=0),"",IF(AND($E230&lt;&gt;"",MAX($A$8:$A229)=0),1,IF(AND($E230&lt;&gt;"",MAX($A$8:$A229)&gt;0),MAX($A$8:$A229)+1,"")))</f>
        <v/>
      </c>
      <c r="B230" s="11">
        <v>223</v>
      </c>
      <c r="C230" s="19" t="str">
        <f t="shared" si="11"/>
        <v>EMPTY</v>
      </c>
      <c r="D230" s="3" t="str">
        <f t="shared" si="13"/>
        <v/>
      </c>
      <c r="E230" s="22"/>
      <c r="F230" s="8" t="str">
        <f t="shared" si="12"/>
        <v/>
      </c>
    </row>
    <row r="231" spans="1:6" x14ac:dyDescent="0.25">
      <c r="A231" s="13" t="str">
        <f>IF(AND($E231="",MAX($A$8:$A230)=0),"",IF(AND($E231&lt;&gt;"",MAX($A$8:$A230)=0),1,IF(AND($E231&lt;&gt;"",MAX($A$8:$A230)&gt;0),MAX($A$8:$A230)+1,"")))</f>
        <v/>
      </c>
      <c r="B231" s="11">
        <v>224</v>
      </c>
      <c r="C231" s="19" t="str">
        <f t="shared" si="11"/>
        <v>EMPTY</v>
      </c>
      <c r="D231" s="3" t="str">
        <f t="shared" si="13"/>
        <v/>
      </c>
      <c r="E231" s="22"/>
      <c r="F231" s="8" t="str">
        <f t="shared" si="12"/>
        <v/>
      </c>
    </row>
    <row r="232" spans="1:6" x14ac:dyDescent="0.25">
      <c r="A232" s="13" t="str">
        <f>IF(AND($E232="",MAX($A$8:$A231)=0),"",IF(AND($E232&lt;&gt;"",MAX($A$8:$A231)=0),1,IF(AND($E232&lt;&gt;"",MAX($A$8:$A231)&gt;0),MAX($A$8:$A231)+1,"")))</f>
        <v/>
      </c>
      <c r="B232" s="11">
        <v>225</v>
      </c>
      <c r="C232" s="19" t="str">
        <f t="shared" si="11"/>
        <v>EMPTY</v>
      </c>
      <c r="D232" s="3" t="str">
        <f t="shared" si="13"/>
        <v/>
      </c>
      <c r="E232" s="22"/>
      <c r="F232" s="8" t="str">
        <f t="shared" si="12"/>
        <v/>
      </c>
    </row>
    <row r="233" spans="1:6" x14ac:dyDescent="0.25">
      <c r="A233" s="13" t="str">
        <f>IF(AND($E233="",MAX($A$8:$A232)=0),"",IF(AND($E233&lt;&gt;"",MAX($A$8:$A232)=0),1,IF(AND($E233&lt;&gt;"",MAX($A$8:$A232)&gt;0),MAX($A$8:$A232)+1,"")))</f>
        <v/>
      </c>
      <c r="B233" s="11">
        <v>226</v>
      </c>
      <c r="C233" s="19" t="str">
        <f t="shared" si="11"/>
        <v>EMPTY</v>
      </c>
      <c r="D233" s="3" t="str">
        <f t="shared" si="13"/>
        <v/>
      </c>
      <c r="E233" s="22"/>
      <c r="F233" s="8" t="str">
        <f t="shared" si="12"/>
        <v/>
      </c>
    </row>
    <row r="234" spans="1:6" x14ac:dyDescent="0.25">
      <c r="A234" s="13" t="str">
        <f>IF(AND($E234="",MAX($A$8:$A233)=0),"",IF(AND($E234&lt;&gt;"",MAX($A$8:$A233)=0),1,IF(AND($E234&lt;&gt;"",MAX($A$8:$A233)&gt;0),MAX($A$8:$A233)+1,"")))</f>
        <v/>
      </c>
      <c r="B234" s="11">
        <v>227</v>
      </c>
      <c r="C234" s="19" t="str">
        <f t="shared" si="11"/>
        <v>EMPTY</v>
      </c>
      <c r="D234" s="3" t="str">
        <f t="shared" si="13"/>
        <v/>
      </c>
      <c r="E234" s="22"/>
      <c r="F234" s="8" t="str">
        <f t="shared" si="12"/>
        <v/>
      </c>
    </row>
    <row r="235" spans="1:6" x14ac:dyDescent="0.25">
      <c r="A235" s="13" t="str">
        <f>IF(AND($E235="",MAX($A$8:$A234)=0),"",IF(AND($E235&lt;&gt;"",MAX($A$8:$A234)=0),1,IF(AND($E235&lt;&gt;"",MAX($A$8:$A234)&gt;0),MAX($A$8:$A234)+1,"")))</f>
        <v/>
      </c>
      <c r="B235" s="11">
        <v>228</v>
      </c>
      <c r="C235" s="19" t="str">
        <f t="shared" si="11"/>
        <v>EMPTY</v>
      </c>
      <c r="D235" s="3" t="str">
        <f t="shared" si="13"/>
        <v/>
      </c>
      <c r="E235" s="22"/>
      <c r="F235" s="8" t="str">
        <f t="shared" si="12"/>
        <v/>
      </c>
    </row>
    <row r="236" spans="1:6" x14ac:dyDescent="0.25">
      <c r="A236" s="13" t="str">
        <f>IF(AND($E236="",MAX($A$8:$A235)=0),"",IF(AND($E236&lt;&gt;"",MAX($A$8:$A235)=0),1,IF(AND($E236&lt;&gt;"",MAX($A$8:$A235)&gt;0),MAX($A$8:$A235)+1,"")))</f>
        <v/>
      </c>
      <c r="B236" s="11">
        <v>229</v>
      </c>
      <c r="C236" s="19" t="str">
        <f t="shared" si="11"/>
        <v>EMPTY</v>
      </c>
      <c r="D236" s="3" t="str">
        <f t="shared" si="13"/>
        <v/>
      </c>
      <c r="E236" s="22"/>
      <c r="F236" s="8" t="str">
        <f t="shared" si="12"/>
        <v/>
      </c>
    </row>
    <row r="237" spans="1:6" x14ac:dyDescent="0.25">
      <c r="A237" s="13" t="str">
        <f>IF(AND($E237="",MAX($A$8:$A236)=0),"",IF(AND($E237&lt;&gt;"",MAX($A$8:$A236)=0),1,IF(AND($E237&lt;&gt;"",MAX($A$8:$A236)&gt;0),MAX($A$8:$A236)+1,"")))</f>
        <v/>
      </c>
      <c r="B237" s="11">
        <v>230</v>
      </c>
      <c r="C237" s="19" t="str">
        <f t="shared" si="11"/>
        <v>EMPTY</v>
      </c>
      <c r="D237" s="3" t="str">
        <f t="shared" si="13"/>
        <v/>
      </c>
      <c r="E237" s="22"/>
      <c r="F237" s="8" t="str">
        <f t="shared" si="12"/>
        <v/>
      </c>
    </row>
    <row r="238" spans="1:6" x14ac:dyDescent="0.25">
      <c r="A238" s="13" t="str">
        <f>IF(AND($E238="",MAX($A$8:$A237)=0),"",IF(AND($E238&lt;&gt;"",MAX($A$8:$A237)=0),1,IF(AND($E238&lt;&gt;"",MAX($A$8:$A237)&gt;0),MAX($A$8:$A237)+1,"")))</f>
        <v/>
      </c>
      <c r="B238" s="11">
        <v>231</v>
      </c>
      <c r="C238" s="19" t="str">
        <f t="shared" si="11"/>
        <v>EMPTY</v>
      </c>
      <c r="D238" s="3" t="str">
        <f t="shared" si="13"/>
        <v/>
      </c>
      <c r="E238" s="22"/>
      <c r="F238" s="8" t="str">
        <f t="shared" si="12"/>
        <v/>
      </c>
    </row>
    <row r="239" spans="1:6" x14ac:dyDescent="0.25">
      <c r="A239" s="13" t="str">
        <f>IF(AND($E239="",MAX($A$8:$A238)=0),"",IF(AND($E239&lt;&gt;"",MAX($A$8:$A238)=0),1,IF(AND($E239&lt;&gt;"",MAX($A$8:$A238)&gt;0),MAX($A$8:$A238)+1,"")))</f>
        <v/>
      </c>
      <c r="B239" s="11">
        <v>232</v>
      </c>
      <c r="C239" s="19" t="str">
        <f t="shared" si="11"/>
        <v>EMPTY</v>
      </c>
      <c r="D239" s="3" t="str">
        <f t="shared" si="13"/>
        <v/>
      </c>
      <c r="E239" s="22"/>
      <c r="F239" s="8" t="str">
        <f t="shared" si="12"/>
        <v/>
      </c>
    </row>
    <row r="240" spans="1:6" x14ac:dyDescent="0.25">
      <c r="A240" s="13" t="str">
        <f>IF(AND($E240="",MAX($A$8:$A239)=0),"",IF(AND($E240&lt;&gt;"",MAX($A$8:$A239)=0),1,IF(AND($E240&lt;&gt;"",MAX($A$8:$A239)&gt;0),MAX($A$8:$A239)+1,"")))</f>
        <v/>
      </c>
      <c r="B240" s="11">
        <v>233</v>
      </c>
      <c r="C240" s="19" t="str">
        <f t="shared" si="11"/>
        <v>EMPTY</v>
      </c>
      <c r="D240" s="3" t="str">
        <f t="shared" si="13"/>
        <v/>
      </c>
      <c r="E240" s="22"/>
      <c r="F240" s="8" t="str">
        <f t="shared" si="12"/>
        <v/>
      </c>
    </row>
    <row r="241" spans="1:6" x14ac:dyDescent="0.25">
      <c r="A241" s="13" t="str">
        <f>IF(AND($E241="",MAX($A$8:$A240)=0),"",IF(AND($E241&lt;&gt;"",MAX($A$8:$A240)=0),1,IF(AND($E241&lt;&gt;"",MAX($A$8:$A240)&gt;0),MAX($A$8:$A240)+1,"")))</f>
        <v/>
      </c>
      <c r="B241" s="11">
        <v>234</v>
      </c>
      <c r="C241" s="19" t="str">
        <f t="shared" si="11"/>
        <v>EMPTY</v>
      </c>
      <c r="D241" s="3" t="str">
        <f t="shared" si="13"/>
        <v/>
      </c>
      <c r="E241" s="22"/>
      <c r="F241" s="8" t="str">
        <f t="shared" si="12"/>
        <v/>
      </c>
    </row>
    <row r="242" spans="1:6" x14ac:dyDescent="0.25">
      <c r="A242" s="13" t="str">
        <f>IF(AND($E242="",MAX($A$8:$A241)=0),"",IF(AND($E242&lt;&gt;"",MAX($A$8:$A241)=0),1,IF(AND($E242&lt;&gt;"",MAX($A$8:$A241)&gt;0),MAX($A$8:$A241)+1,"")))</f>
        <v/>
      </c>
      <c r="B242" s="11">
        <v>235</v>
      </c>
      <c r="C242" s="19" t="str">
        <f t="shared" si="11"/>
        <v>EMPTY</v>
      </c>
      <c r="D242" s="3" t="str">
        <f t="shared" si="13"/>
        <v/>
      </c>
      <c r="E242" s="22"/>
      <c r="F242" s="8" t="str">
        <f t="shared" si="12"/>
        <v/>
      </c>
    </row>
    <row r="243" spans="1:6" x14ac:dyDescent="0.25">
      <c r="A243" s="13" t="str">
        <f>IF(AND($E243="",MAX($A$8:$A242)=0),"",IF(AND($E243&lt;&gt;"",MAX($A$8:$A242)=0),1,IF(AND($E243&lt;&gt;"",MAX($A$8:$A242)&gt;0),MAX($A$8:$A242)+1,"")))</f>
        <v/>
      </c>
      <c r="B243" s="11">
        <v>236</v>
      </c>
      <c r="C243" s="19" t="str">
        <f t="shared" si="11"/>
        <v>EMPTY</v>
      </c>
      <c r="D243" s="3" t="str">
        <f t="shared" si="13"/>
        <v/>
      </c>
      <c r="E243" s="22"/>
      <c r="F243" s="8" t="str">
        <f t="shared" si="12"/>
        <v/>
      </c>
    </row>
    <row r="244" spans="1:6" x14ac:dyDescent="0.25">
      <c r="A244" s="13" t="str">
        <f>IF(AND($E244="",MAX($A$8:$A243)=0),"",IF(AND($E244&lt;&gt;"",MAX($A$8:$A243)=0),1,IF(AND($E244&lt;&gt;"",MAX($A$8:$A243)&gt;0),MAX($A$8:$A243)+1,"")))</f>
        <v/>
      </c>
      <c r="B244" s="11">
        <v>237</v>
      </c>
      <c r="C244" s="19" t="str">
        <f t="shared" si="11"/>
        <v>EMPTY</v>
      </c>
      <c r="D244" s="3" t="str">
        <f t="shared" si="13"/>
        <v/>
      </c>
      <c r="E244" s="22"/>
      <c r="F244" s="8" t="str">
        <f t="shared" si="12"/>
        <v/>
      </c>
    </row>
    <row r="245" spans="1:6" x14ac:dyDescent="0.25">
      <c r="A245" s="13" t="str">
        <f>IF(AND($E245="",MAX($A$8:$A244)=0),"",IF(AND($E245&lt;&gt;"",MAX($A$8:$A244)=0),1,IF(AND($E245&lt;&gt;"",MAX($A$8:$A244)&gt;0),MAX($A$8:$A244)+1,"")))</f>
        <v/>
      </c>
      <c r="B245" s="11">
        <v>238</v>
      </c>
      <c r="C245" s="19" t="str">
        <f t="shared" si="11"/>
        <v>EMPTY</v>
      </c>
      <c r="D245" s="3" t="str">
        <f t="shared" si="13"/>
        <v/>
      </c>
      <c r="E245" s="22"/>
      <c r="F245" s="8" t="str">
        <f t="shared" si="12"/>
        <v/>
      </c>
    </row>
    <row r="246" spans="1:6" x14ac:dyDescent="0.25">
      <c r="A246" s="13" t="str">
        <f>IF(AND($E246="",MAX($A$8:$A245)=0),"",IF(AND($E246&lt;&gt;"",MAX($A$8:$A245)=0),1,IF(AND($E246&lt;&gt;"",MAX($A$8:$A245)&gt;0),MAX($A$8:$A245)+1,"")))</f>
        <v/>
      </c>
      <c r="B246" s="11">
        <v>239</v>
      </c>
      <c r="C246" s="19" t="str">
        <f t="shared" si="11"/>
        <v>EMPTY</v>
      </c>
      <c r="D246" s="3" t="str">
        <f t="shared" si="13"/>
        <v/>
      </c>
      <c r="E246" s="22"/>
      <c r="F246" s="8" t="str">
        <f t="shared" si="12"/>
        <v/>
      </c>
    </row>
    <row r="247" spans="1:6" x14ac:dyDescent="0.25">
      <c r="A247" s="13" t="str">
        <f>IF(AND($E247="",MAX($A$8:$A246)=0),"",IF(AND($E247&lt;&gt;"",MAX($A$8:$A246)=0),1,IF(AND($E247&lt;&gt;"",MAX($A$8:$A246)&gt;0),MAX($A$8:$A246)+1,"")))</f>
        <v/>
      </c>
      <c r="B247" s="11">
        <v>240</v>
      </c>
      <c r="C247" s="19" t="str">
        <f t="shared" si="11"/>
        <v>EMPTY</v>
      </c>
      <c r="D247" s="3" t="str">
        <f t="shared" si="13"/>
        <v/>
      </c>
      <c r="E247" s="22"/>
      <c r="F247" s="8" t="str">
        <f t="shared" si="12"/>
        <v/>
      </c>
    </row>
    <row r="248" spans="1:6" x14ac:dyDescent="0.25">
      <c r="A248" s="13" t="str">
        <f>IF(AND($E248="",MAX($A$8:$A247)=0),"",IF(AND($E248&lt;&gt;"",MAX($A$8:$A247)=0),1,IF(AND($E248&lt;&gt;"",MAX($A$8:$A247)&gt;0),MAX($A$8:$A247)+1,"")))</f>
        <v/>
      </c>
      <c r="B248" s="11">
        <v>241</v>
      </c>
      <c r="C248" s="19" t="str">
        <f t="shared" si="11"/>
        <v>EMPTY</v>
      </c>
      <c r="D248" s="3" t="str">
        <f t="shared" si="13"/>
        <v/>
      </c>
      <c r="E248" s="22"/>
      <c r="F248" s="8" t="str">
        <f t="shared" si="12"/>
        <v/>
      </c>
    </row>
    <row r="249" spans="1:6" x14ac:dyDescent="0.25">
      <c r="A249" s="13" t="str">
        <f>IF(AND($E249="",MAX($A$8:$A248)=0),"",IF(AND($E249&lt;&gt;"",MAX($A$8:$A248)=0),1,IF(AND($E249&lt;&gt;"",MAX($A$8:$A248)&gt;0),MAX($A$8:$A248)+1,"")))</f>
        <v/>
      </c>
      <c r="B249" s="11">
        <v>242</v>
      </c>
      <c r="C249" s="19" t="str">
        <f t="shared" si="11"/>
        <v>EMPTY</v>
      </c>
      <c r="D249" s="3" t="str">
        <f t="shared" si="13"/>
        <v/>
      </c>
      <c r="E249" s="22"/>
      <c r="F249" s="8" t="str">
        <f t="shared" si="12"/>
        <v/>
      </c>
    </row>
    <row r="250" spans="1:6" x14ac:dyDescent="0.25">
      <c r="A250" s="13" t="str">
        <f>IF(AND($E250="",MAX($A$8:$A249)=0),"",IF(AND($E250&lt;&gt;"",MAX($A$8:$A249)=0),1,IF(AND($E250&lt;&gt;"",MAX($A$8:$A249)&gt;0),MAX($A$8:$A249)+1,"")))</f>
        <v/>
      </c>
      <c r="B250" s="11">
        <v>243</v>
      </c>
      <c r="C250" s="19" t="str">
        <f t="shared" si="11"/>
        <v>EMPTY</v>
      </c>
      <c r="D250" s="3" t="str">
        <f t="shared" si="13"/>
        <v/>
      </c>
      <c r="E250" s="22"/>
      <c r="F250" s="8" t="str">
        <f t="shared" si="12"/>
        <v/>
      </c>
    </row>
    <row r="251" spans="1:6" x14ac:dyDescent="0.25">
      <c r="A251" s="13" t="str">
        <f>IF(AND($E251="",MAX($A$8:$A250)=0),"",IF(AND($E251&lt;&gt;"",MAX($A$8:$A250)=0),1,IF(AND($E251&lt;&gt;"",MAX($A$8:$A250)&gt;0),MAX($A$8:$A250)+1,"")))</f>
        <v/>
      </c>
      <c r="B251" s="11">
        <v>244</v>
      </c>
      <c r="C251" s="19" t="str">
        <f t="shared" si="11"/>
        <v>EMPTY</v>
      </c>
      <c r="D251" s="3" t="str">
        <f t="shared" si="13"/>
        <v/>
      </c>
      <c r="E251" s="22"/>
      <c r="F251" s="8" t="str">
        <f t="shared" si="12"/>
        <v/>
      </c>
    </row>
    <row r="252" spans="1:6" x14ac:dyDescent="0.25">
      <c r="A252" s="13" t="str">
        <f>IF(AND($E252="",MAX($A$8:$A251)=0),"",IF(AND($E252&lt;&gt;"",MAX($A$8:$A251)=0),1,IF(AND($E252&lt;&gt;"",MAX($A$8:$A251)&gt;0),MAX($A$8:$A251)+1,"")))</f>
        <v/>
      </c>
      <c r="B252" s="11">
        <v>245</v>
      </c>
      <c r="C252" s="19" t="str">
        <f t="shared" si="11"/>
        <v>EMPTY</v>
      </c>
      <c r="D252" s="3" t="str">
        <f t="shared" si="13"/>
        <v/>
      </c>
      <c r="E252" s="22"/>
      <c r="F252" s="8" t="str">
        <f t="shared" si="12"/>
        <v/>
      </c>
    </row>
    <row r="253" spans="1:6" x14ac:dyDescent="0.25">
      <c r="A253" s="13" t="str">
        <f>IF(AND($E253="",MAX($A$8:$A252)=0),"",IF(AND($E253&lt;&gt;"",MAX($A$8:$A252)=0),1,IF(AND($E253&lt;&gt;"",MAX($A$8:$A252)&gt;0),MAX($A$8:$A252)+1,"")))</f>
        <v/>
      </c>
      <c r="B253" s="11">
        <v>246</v>
      </c>
      <c r="C253" s="19" t="str">
        <f t="shared" si="11"/>
        <v>EMPTY</v>
      </c>
      <c r="D253" s="3" t="str">
        <f t="shared" si="13"/>
        <v/>
      </c>
      <c r="E253" s="22"/>
      <c r="F253" s="8" t="str">
        <f t="shared" si="12"/>
        <v/>
      </c>
    </row>
    <row r="254" spans="1:6" x14ac:dyDescent="0.25">
      <c r="A254" s="13" t="str">
        <f>IF(AND($E254="",MAX($A$8:$A253)=0),"",IF(AND($E254&lt;&gt;"",MAX($A$8:$A253)=0),1,IF(AND($E254&lt;&gt;"",MAX($A$8:$A253)&gt;0),MAX($A$8:$A253)+1,"")))</f>
        <v/>
      </c>
      <c r="B254" s="11">
        <v>247</v>
      </c>
      <c r="C254" s="19" t="str">
        <f t="shared" si="11"/>
        <v>EMPTY</v>
      </c>
      <c r="D254" s="3" t="str">
        <f t="shared" si="13"/>
        <v/>
      </c>
      <c r="E254" s="22"/>
      <c r="F254" s="8" t="str">
        <f t="shared" si="12"/>
        <v/>
      </c>
    </row>
    <row r="255" spans="1:6" x14ac:dyDescent="0.25">
      <c r="A255" s="13" t="str">
        <f>IF(AND($E255="",MAX($A$8:$A254)=0),"",IF(AND($E255&lt;&gt;"",MAX($A$8:$A254)=0),1,IF(AND($E255&lt;&gt;"",MAX($A$8:$A254)&gt;0),MAX($A$8:$A254)+1,"")))</f>
        <v/>
      </c>
      <c r="B255" s="11">
        <v>248</v>
      </c>
      <c r="C255" s="19" t="str">
        <f t="shared" si="11"/>
        <v>EMPTY</v>
      </c>
      <c r="D255" s="3" t="str">
        <f t="shared" si="13"/>
        <v/>
      </c>
      <c r="E255" s="22"/>
      <c r="F255" s="8" t="str">
        <f t="shared" si="12"/>
        <v/>
      </c>
    </row>
    <row r="256" spans="1:6" x14ac:dyDescent="0.25">
      <c r="A256" s="13" t="str">
        <f>IF(AND($E256="",MAX($A$8:$A255)=0),"",IF(AND($E256&lt;&gt;"",MAX($A$8:$A255)=0),1,IF(AND($E256&lt;&gt;"",MAX($A$8:$A255)&gt;0),MAX($A$8:$A255)+1,"")))</f>
        <v/>
      </c>
      <c r="B256" s="11">
        <v>249</v>
      </c>
      <c r="C256" s="19" t="str">
        <f t="shared" si="11"/>
        <v>EMPTY</v>
      </c>
      <c r="D256" s="3" t="str">
        <f t="shared" si="13"/>
        <v/>
      </c>
      <c r="E256" s="22"/>
      <c r="F256" s="8" t="str">
        <f t="shared" si="12"/>
        <v/>
      </c>
    </row>
    <row r="257" spans="1:6" x14ac:dyDescent="0.25">
      <c r="A257" s="13" t="str">
        <f>IF(AND($E257="",MAX($A$8:$A256)=0),"",IF(AND($E257&lt;&gt;"",MAX($A$8:$A256)=0),1,IF(AND($E257&lt;&gt;"",MAX($A$8:$A256)&gt;0),MAX($A$8:$A256)+1,"")))</f>
        <v/>
      </c>
      <c r="B257" s="11">
        <v>250</v>
      </c>
      <c r="C257" s="19" t="str">
        <f t="shared" si="11"/>
        <v>EMPTY</v>
      </c>
      <c r="D257" s="3" t="str">
        <f t="shared" si="13"/>
        <v/>
      </c>
      <c r="E257" s="22"/>
      <c r="F257" s="8" t="str">
        <f t="shared" si="12"/>
        <v/>
      </c>
    </row>
    <row r="258" spans="1:6" x14ac:dyDescent="0.25">
      <c r="A258" s="13" t="str">
        <f>IF(AND($E258="",MAX($A$8:$A257)=0),"",IF(AND($E258&lt;&gt;"",MAX($A$8:$A257)=0),1,IF(AND($E258&lt;&gt;"",MAX($A$8:$A257)&gt;0),MAX($A$8:$A257)+1,"")))</f>
        <v/>
      </c>
      <c r="B258" s="11">
        <v>251</v>
      </c>
      <c r="C258" s="19" t="str">
        <f t="shared" si="11"/>
        <v>EMPTY</v>
      </c>
      <c r="D258" s="3" t="str">
        <f t="shared" si="13"/>
        <v/>
      </c>
      <c r="E258" s="22"/>
      <c r="F258" s="8" t="str">
        <f t="shared" si="12"/>
        <v/>
      </c>
    </row>
    <row r="259" spans="1:6" x14ac:dyDescent="0.25">
      <c r="A259" s="13" t="str">
        <f>IF(AND($E259="",MAX($A$8:$A258)=0),"",IF(AND($E259&lt;&gt;"",MAX($A$8:$A258)=0),1,IF(AND($E259&lt;&gt;"",MAX($A$8:$A258)&gt;0),MAX($A$8:$A258)+1,"")))</f>
        <v/>
      </c>
      <c r="B259" s="11">
        <v>252</v>
      </c>
      <c r="C259" s="19" t="str">
        <f t="shared" si="11"/>
        <v>EMPTY</v>
      </c>
      <c r="D259" s="3" t="str">
        <f t="shared" si="13"/>
        <v/>
      </c>
      <c r="E259" s="22"/>
      <c r="F259" s="8" t="str">
        <f t="shared" si="12"/>
        <v/>
      </c>
    </row>
    <row r="260" spans="1:6" x14ac:dyDescent="0.25">
      <c r="A260" s="13" t="str">
        <f>IF(AND($E260="",MAX($A$8:$A259)=0),"",IF(AND($E260&lt;&gt;"",MAX($A$8:$A259)=0),1,IF(AND($E260&lt;&gt;"",MAX($A$8:$A259)&gt;0),MAX($A$8:$A259)+1,"")))</f>
        <v/>
      </c>
      <c r="B260" s="11">
        <v>253</v>
      </c>
      <c r="C260" s="19" t="str">
        <f t="shared" si="11"/>
        <v>EMPTY</v>
      </c>
      <c r="D260" s="3" t="str">
        <f t="shared" si="13"/>
        <v/>
      </c>
      <c r="E260" s="22"/>
      <c r="F260" s="8" t="str">
        <f t="shared" si="12"/>
        <v/>
      </c>
    </row>
    <row r="261" spans="1:6" x14ac:dyDescent="0.25">
      <c r="A261" s="13" t="str">
        <f>IF(AND($E261="",MAX($A$8:$A260)=0),"",IF(AND($E261&lt;&gt;"",MAX($A$8:$A260)=0),1,IF(AND($E261&lt;&gt;"",MAX($A$8:$A260)&gt;0),MAX($A$8:$A260)+1,"")))</f>
        <v/>
      </c>
      <c r="B261" s="11">
        <v>254</v>
      </c>
      <c r="C261" s="19" t="str">
        <f t="shared" si="11"/>
        <v>EMPTY</v>
      </c>
      <c r="D261" s="3" t="str">
        <f t="shared" si="13"/>
        <v/>
      </c>
      <c r="E261" s="22"/>
      <c r="F261" s="8" t="str">
        <f t="shared" si="12"/>
        <v/>
      </c>
    </row>
    <row r="262" spans="1:6" x14ac:dyDescent="0.25">
      <c r="A262" s="13" t="str">
        <f>IF(AND($E262="",MAX($A$8:$A261)=0),"",IF(AND($E262&lt;&gt;"",MAX($A$8:$A261)=0),1,IF(AND($E262&lt;&gt;"",MAX($A$8:$A261)&gt;0),MAX($A$8:$A261)+1,"")))</f>
        <v/>
      </c>
      <c r="B262" s="11">
        <v>255</v>
      </c>
      <c r="C262" s="19" t="str">
        <f t="shared" si="11"/>
        <v>EMPTY</v>
      </c>
      <c r="D262" s="3" t="str">
        <f t="shared" si="13"/>
        <v/>
      </c>
      <c r="E262" s="22"/>
      <c r="F262" s="8" t="str">
        <f t="shared" si="12"/>
        <v/>
      </c>
    </row>
    <row r="263" spans="1:6" x14ac:dyDescent="0.25">
      <c r="A263" s="13" t="str">
        <f>IF(AND($E263="",MAX($A$8:$A262)=0),"",IF(AND($E263&lt;&gt;"",MAX($A$8:$A262)=0),1,IF(AND($E263&lt;&gt;"",MAX($A$8:$A262)&gt;0),MAX($A$8:$A262)+1,"")))</f>
        <v/>
      </c>
      <c r="B263" s="11">
        <v>256</v>
      </c>
      <c r="C263" s="19" t="str">
        <f t="shared" si="11"/>
        <v>EMPTY</v>
      </c>
      <c r="D263" s="3" t="str">
        <f t="shared" si="13"/>
        <v/>
      </c>
      <c r="E263" s="22"/>
      <c r="F263" s="8" t="str">
        <f t="shared" si="12"/>
        <v/>
      </c>
    </row>
    <row r="264" spans="1:6" x14ac:dyDescent="0.25">
      <c r="A264" s="13" t="str">
        <f>IF(AND($E264="",MAX($A$8:$A263)=0),"",IF(AND($E264&lt;&gt;"",MAX($A$8:$A263)=0),1,IF(AND($E264&lt;&gt;"",MAX($A$8:$A263)&gt;0),MAX($A$8:$A263)+1,"")))</f>
        <v/>
      </c>
      <c r="B264" s="11">
        <v>257</v>
      </c>
      <c r="C264" s="19" t="str">
        <f t="shared" si="11"/>
        <v>EMPTY</v>
      </c>
      <c r="D264" s="3" t="str">
        <f t="shared" si="13"/>
        <v/>
      </c>
      <c r="E264" s="22"/>
      <c r="F264" s="8" t="str">
        <f t="shared" si="12"/>
        <v/>
      </c>
    </row>
    <row r="265" spans="1:6" x14ac:dyDescent="0.25">
      <c r="A265" s="13" t="str">
        <f>IF(AND($E265="",MAX($A$8:$A264)=0),"",IF(AND($E265&lt;&gt;"",MAX($A$8:$A264)=0),1,IF(AND($E265&lt;&gt;"",MAX($A$8:$A264)&gt;0),MAX($A$8:$A264)+1,"")))</f>
        <v/>
      </c>
      <c r="B265" s="11">
        <v>258</v>
      </c>
      <c r="C265" s="19" t="str">
        <f t="shared" ref="C265:C328" si="14">IF($E265="","EMPTY",IF(COUNT(MID($E265,2,1))=0,"HIDE",IF(COUNT(MID($E265,2,1))=1,"SHOW","")))</f>
        <v>EMPTY</v>
      </c>
      <c r="D265" s="3" t="str">
        <f t="shared" si="13"/>
        <v/>
      </c>
      <c r="E265" s="22"/>
      <c r="F265" s="8" t="str">
        <f t="shared" ref="F265:F328" si="15">$D265</f>
        <v/>
      </c>
    </row>
    <row r="266" spans="1:6" x14ac:dyDescent="0.25">
      <c r="A266" s="13" t="str">
        <f>IF(AND($E266="",MAX($A$8:$A265)=0),"",IF(AND($E266&lt;&gt;"",MAX($A$8:$A265)=0),1,IF(AND($E266&lt;&gt;"",MAX($A$8:$A265)&gt;0),MAX($A$8:$A265)+1,"")))</f>
        <v/>
      </c>
      <c r="B266" s="11">
        <v>259</v>
      </c>
      <c r="C266" s="19" t="str">
        <f t="shared" si="14"/>
        <v>EMPTY</v>
      </c>
      <c r="D266" s="3" t="str">
        <f t="shared" si="13"/>
        <v/>
      </c>
      <c r="E266" s="22"/>
      <c r="F266" s="8" t="str">
        <f t="shared" si="15"/>
        <v/>
      </c>
    </row>
    <row r="267" spans="1:6" x14ac:dyDescent="0.25">
      <c r="A267" s="13" t="str">
        <f>IF(AND($E267="",MAX($A$8:$A266)=0),"",IF(AND($E267&lt;&gt;"",MAX($A$8:$A266)=0),1,IF(AND($E267&lt;&gt;"",MAX($A$8:$A266)&gt;0),MAX($A$8:$A266)+1,"")))</f>
        <v/>
      </c>
      <c r="B267" s="11">
        <v>260</v>
      </c>
      <c r="C267" s="19" t="str">
        <f t="shared" si="14"/>
        <v>EMPTY</v>
      </c>
      <c r="D267" s="3" t="str">
        <f t="shared" si="13"/>
        <v/>
      </c>
      <c r="E267" s="22"/>
      <c r="F267" s="8" t="str">
        <f t="shared" si="15"/>
        <v/>
      </c>
    </row>
    <row r="268" spans="1:6" x14ac:dyDescent="0.25">
      <c r="A268" s="13" t="str">
        <f>IF(AND($E268="",MAX($A$8:$A267)=0),"",IF(AND($E268&lt;&gt;"",MAX($A$8:$A267)=0),1,IF(AND($E268&lt;&gt;"",MAX($A$8:$A267)&gt;0),MAX($A$8:$A267)+1,"")))</f>
        <v/>
      </c>
      <c r="B268" s="11">
        <v>261</v>
      </c>
      <c r="C268" s="19" t="str">
        <f t="shared" si="14"/>
        <v>EMPTY</v>
      </c>
      <c r="D268" s="3" t="str">
        <f t="shared" si="13"/>
        <v/>
      </c>
      <c r="E268" s="22"/>
      <c r="F268" s="8" t="str">
        <f t="shared" si="15"/>
        <v/>
      </c>
    </row>
    <row r="269" spans="1:6" x14ac:dyDescent="0.25">
      <c r="A269" s="13" t="str">
        <f>IF(AND($E269="",MAX($A$8:$A268)=0),"",IF(AND($E269&lt;&gt;"",MAX($A$8:$A268)=0),1,IF(AND($E269&lt;&gt;"",MAX($A$8:$A268)&gt;0),MAX($A$8:$A268)+1,"")))</f>
        <v/>
      </c>
      <c r="B269" s="11">
        <v>262</v>
      </c>
      <c r="C269" s="19" t="str">
        <f t="shared" si="14"/>
        <v>EMPTY</v>
      </c>
      <c r="D269" s="3" t="str">
        <f t="shared" si="13"/>
        <v/>
      </c>
      <c r="E269" s="22"/>
      <c r="F269" s="8" t="str">
        <f t="shared" si="15"/>
        <v/>
      </c>
    </row>
    <row r="270" spans="1:6" x14ac:dyDescent="0.25">
      <c r="A270" s="13" t="str">
        <f>IF(AND($E270="",MAX($A$8:$A269)=0),"",IF(AND($E270&lt;&gt;"",MAX($A$8:$A269)=0),1,IF(AND($E270&lt;&gt;"",MAX($A$8:$A269)&gt;0),MAX($A$8:$A269)+1,"")))</f>
        <v/>
      </c>
      <c r="B270" s="11">
        <v>263</v>
      </c>
      <c r="C270" s="19" t="str">
        <f t="shared" si="14"/>
        <v>EMPTY</v>
      </c>
      <c r="D270" s="3" t="str">
        <f t="shared" si="13"/>
        <v/>
      </c>
      <c r="E270" s="22"/>
      <c r="F270" s="8" t="str">
        <f t="shared" si="15"/>
        <v/>
      </c>
    </row>
    <row r="271" spans="1:6" x14ac:dyDescent="0.25">
      <c r="A271" s="13" t="str">
        <f>IF(AND($E271="",MAX($A$8:$A270)=0),"",IF(AND($E271&lt;&gt;"",MAX($A$8:$A270)=0),1,IF(AND($E271&lt;&gt;"",MAX($A$8:$A270)&gt;0),MAX($A$8:$A270)+1,"")))</f>
        <v/>
      </c>
      <c r="B271" s="11">
        <v>264</v>
      </c>
      <c r="C271" s="19" t="str">
        <f t="shared" si="14"/>
        <v>EMPTY</v>
      </c>
      <c r="D271" s="3" t="str">
        <f t="shared" si="13"/>
        <v/>
      </c>
      <c r="E271" s="22"/>
      <c r="F271" s="8" t="str">
        <f t="shared" si="15"/>
        <v/>
      </c>
    </row>
    <row r="272" spans="1:6" x14ac:dyDescent="0.25">
      <c r="A272" s="13" t="str">
        <f>IF(AND($E272="",MAX($A$8:$A271)=0),"",IF(AND($E272&lt;&gt;"",MAX($A$8:$A271)=0),1,IF(AND($E272&lt;&gt;"",MAX($A$8:$A271)&gt;0),MAX($A$8:$A271)+1,"")))</f>
        <v/>
      </c>
      <c r="B272" s="11">
        <v>265</v>
      </c>
      <c r="C272" s="19" t="str">
        <f t="shared" si="14"/>
        <v>EMPTY</v>
      </c>
      <c r="D272" s="3" t="str">
        <f t="shared" si="13"/>
        <v/>
      </c>
      <c r="E272" s="22"/>
      <c r="F272" s="8" t="str">
        <f t="shared" si="15"/>
        <v/>
      </c>
    </row>
    <row r="273" spans="1:6" x14ac:dyDescent="0.25">
      <c r="A273" s="13" t="str">
        <f>IF(AND($E273="",MAX($A$8:$A272)=0),"",IF(AND($E273&lt;&gt;"",MAX($A$8:$A272)=0),1,IF(AND($E273&lt;&gt;"",MAX($A$8:$A272)&gt;0),MAX($A$8:$A272)+1,"")))</f>
        <v/>
      </c>
      <c r="B273" s="11">
        <v>266</v>
      </c>
      <c r="C273" s="19" t="str">
        <f t="shared" si="14"/>
        <v>EMPTY</v>
      </c>
      <c r="D273" s="3" t="str">
        <f t="shared" ref="D273:D336" si="16">IF(AND(OR($C273="EMPTY",$C273="HIDE",$C273=""),OR($C274="EMPTY",$C274="HIDE",$C274="")),"",IF(AND($C273="SHOW",OR($C274="EMPTY",$C274="HIDE",$C274="")),CONCATENATE("Dialogue: 0,0:",MID($E273,2,8),",0:",MID($E273,2,8),",Default,,0,0,0,,",MID($E273,11,1000)),IF(AND($C273="SHOW",$C274="SHOW"),CONCATENATE("Dialogue: 0,0:",MID($E273,2,8),",0:",MID($E274,2,8),",Default,,0,0,0,,",MID($E273,11,1000)),"")))</f>
        <v/>
      </c>
      <c r="E273" s="22"/>
      <c r="F273" s="8" t="str">
        <f t="shared" si="15"/>
        <v/>
      </c>
    </row>
    <row r="274" spans="1:6" x14ac:dyDescent="0.25">
      <c r="A274" s="13" t="str">
        <f>IF(AND($E274="",MAX($A$8:$A273)=0),"",IF(AND($E274&lt;&gt;"",MAX($A$8:$A273)=0),1,IF(AND($E274&lt;&gt;"",MAX($A$8:$A273)&gt;0),MAX($A$8:$A273)+1,"")))</f>
        <v/>
      </c>
      <c r="B274" s="11">
        <v>267</v>
      </c>
      <c r="C274" s="19" t="str">
        <f t="shared" si="14"/>
        <v>EMPTY</v>
      </c>
      <c r="D274" s="3" t="str">
        <f t="shared" si="16"/>
        <v/>
      </c>
      <c r="E274" s="22"/>
      <c r="F274" s="8" t="str">
        <f t="shared" si="15"/>
        <v/>
      </c>
    </row>
    <row r="275" spans="1:6" x14ac:dyDescent="0.25">
      <c r="A275" s="13" t="str">
        <f>IF(AND($E275="",MAX($A$8:$A274)=0),"",IF(AND($E275&lt;&gt;"",MAX($A$8:$A274)=0),1,IF(AND($E275&lt;&gt;"",MAX($A$8:$A274)&gt;0),MAX($A$8:$A274)+1,"")))</f>
        <v/>
      </c>
      <c r="B275" s="11">
        <v>268</v>
      </c>
      <c r="C275" s="19" t="str">
        <f t="shared" si="14"/>
        <v>EMPTY</v>
      </c>
      <c r="D275" s="3" t="str">
        <f t="shared" si="16"/>
        <v/>
      </c>
      <c r="E275" s="22"/>
      <c r="F275" s="8" t="str">
        <f t="shared" si="15"/>
        <v/>
      </c>
    </row>
    <row r="276" spans="1:6" x14ac:dyDescent="0.25">
      <c r="A276" s="13" t="str">
        <f>IF(AND($E276="",MAX($A$8:$A275)=0),"",IF(AND($E276&lt;&gt;"",MAX($A$8:$A275)=0),1,IF(AND($E276&lt;&gt;"",MAX($A$8:$A275)&gt;0),MAX($A$8:$A275)+1,"")))</f>
        <v/>
      </c>
      <c r="B276" s="11">
        <v>269</v>
      </c>
      <c r="C276" s="19" t="str">
        <f t="shared" si="14"/>
        <v>EMPTY</v>
      </c>
      <c r="D276" s="3" t="str">
        <f t="shared" si="16"/>
        <v/>
      </c>
      <c r="E276" s="22"/>
      <c r="F276" s="8" t="str">
        <f t="shared" si="15"/>
        <v/>
      </c>
    </row>
    <row r="277" spans="1:6" x14ac:dyDescent="0.25">
      <c r="A277" s="13" t="str">
        <f>IF(AND($E277="",MAX($A$8:$A276)=0),"",IF(AND($E277&lt;&gt;"",MAX($A$8:$A276)=0),1,IF(AND($E277&lt;&gt;"",MAX($A$8:$A276)&gt;0),MAX($A$8:$A276)+1,"")))</f>
        <v/>
      </c>
      <c r="B277" s="11">
        <v>270</v>
      </c>
      <c r="C277" s="19" t="str">
        <f t="shared" si="14"/>
        <v>EMPTY</v>
      </c>
      <c r="D277" s="3" t="str">
        <f t="shared" si="16"/>
        <v/>
      </c>
      <c r="E277" s="22"/>
      <c r="F277" s="8" t="str">
        <f t="shared" si="15"/>
        <v/>
      </c>
    </row>
    <row r="278" spans="1:6" x14ac:dyDescent="0.25">
      <c r="A278" s="13" t="str">
        <f>IF(AND($E278="",MAX($A$8:$A277)=0),"",IF(AND($E278&lt;&gt;"",MAX($A$8:$A277)=0),1,IF(AND($E278&lt;&gt;"",MAX($A$8:$A277)&gt;0),MAX($A$8:$A277)+1,"")))</f>
        <v/>
      </c>
      <c r="B278" s="11">
        <v>271</v>
      </c>
      <c r="C278" s="19" t="str">
        <f t="shared" si="14"/>
        <v>EMPTY</v>
      </c>
      <c r="D278" s="3" t="str">
        <f t="shared" si="16"/>
        <v/>
      </c>
      <c r="E278" s="22"/>
      <c r="F278" s="8" t="str">
        <f t="shared" si="15"/>
        <v/>
      </c>
    </row>
    <row r="279" spans="1:6" x14ac:dyDescent="0.25">
      <c r="A279" s="13" t="str">
        <f>IF(AND($E279="",MAX($A$8:$A278)=0),"",IF(AND($E279&lt;&gt;"",MAX($A$8:$A278)=0),1,IF(AND($E279&lt;&gt;"",MAX($A$8:$A278)&gt;0),MAX($A$8:$A278)+1,"")))</f>
        <v/>
      </c>
      <c r="B279" s="11">
        <v>272</v>
      </c>
      <c r="C279" s="19" t="str">
        <f t="shared" si="14"/>
        <v>EMPTY</v>
      </c>
      <c r="D279" s="3" t="str">
        <f t="shared" si="16"/>
        <v/>
      </c>
      <c r="E279" s="22"/>
      <c r="F279" s="8" t="str">
        <f t="shared" si="15"/>
        <v/>
      </c>
    </row>
    <row r="280" spans="1:6" x14ac:dyDescent="0.25">
      <c r="A280" s="13" t="str">
        <f>IF(AND($E280="",MAX($A$8:$A279)=0),"",IF(AND($E280&lt;&gt;"",MAX($A$8:$A279)=0),1,IF(AND($E280&lt;&gt;"",MAX($A$8:$A279)&gt;0),MAX($A$8:$A279)+1,"")))</f>
        <v/>
      </c>
      <c r="B280" s="11">
        <v>273</v>
      </c>
      <c r="C280" s="19" t="str">
        <f t="shared" si="14"/>
        <v>EMPTY</v>
      </c>
      <c r="D280" s="3" t="str">
        <f t="shared" si="16"/>
        <v/>
      </c>
      <c r="E280" s="22"/>
      <c r="F280" s="8" t="str">
        <f t="shared" si="15"/>
        <v/>
      </c>
    </row>
    <row r="281" spans="1:6" x14ac:dyDescent="0.25">
      <c r="A281" s="13" t="str">
        <f>IF(AND($E281="",MAX($A$8:$A280)=0),"",IF(AND($E281&lt;&gt;"",MAX($A$8:$A280)=0),1,IF(AND($E281&lt;&gt;"",MAX($A$8:$A280)&gt;0),MAX($A$8:$A280)+1,"")))</f>
        <v/>
      </c>
      <c r="B281" s="11">
        <v>274</v>
      </c>
      <c r="C281" s="19" t="str">
        <f t="shared" si="14"/>
        <v>EMPTY</v>
      </c>
      <c r="D281" s="3" t="str">
        <f t="shared" si="16"/>
        <v/>
      </c>
      <c r="E281" s="22"/>
      <c r="F281" s="8" t="str">
        <f t="shared" si="15"/>
        <v/>
      </c>
    </row>
    <row r="282" spans="1:6" x14ac:dyDescent="0.25">
      <c r="A282" s="13" t="str">
        <f>IF(AND($E282="",MAX($A$8:$A281)=0),"",IF(AND($E282&lt;&gt;"",MAX($A$8:$A281)=0),1,IF(AND($E282&lt;&gt;"",MAX($A$8:$A281)&gt;0),MAX($A$8:$A281)+1,"")))</f>
        <v/>
      </c>
      <c r="B282" s="11">
        <v>275</v>
      </c>
      <c r="C282" s="19" t="str">
        <f t="shared" si="14"/>
        <v>EMPTY</v>
      </c>
      <c r="D282" s="3" t="str">
        <f t="shared" si="16"/>
        <v/>
      </c>
      <c r="E282" s="22"/>
      <c r="F282" s="8" t="str">
        <f t="shared" si="15"/>
        <v/>
      </c>
    </row>
    <row r="283" spans="1:6" x14ac:dyDescent="0.25">
      <c r="A283" s="13" t="str">
        <f>IF(AND($E283="",MAX($A$8:$A282)=0),"",IF(AND($E283&lt;&gt;"",MAX($A$8:$A282)=0),1,IF(AND($E283&lt;&gt;"",MAX($A$8:$A282)&gt;0),MAX($A$8:$A282)+1,"")))</f>
        <v/>
      </c>
      <c r="B283" s="11">
        <v>276</v>
      </c>
      <c r="C283" s="19" t="str">
        <f t="shared" si="14"/>
        <v>EMPTY</v>
      </c>
      <c r="D283" s="3" t="str">
        <f t="shared" si="16"/>
        <v/>
      </c>
      <c r="E283" s="22"/>
      <c r="F283" s="8" t="str">
        <f t="shared" si="15"/>
        <v/>
      </c>
    </row>
    <row r="284" spans="1:6" x14ac:dyDescent="0.25">
      <c r="A284" s="13" t="str">
        <f>IF(AND($E284="",MAX($A$8:$A283)=0),"",IF(AND($E284&lt;&gt;"",MAX($A$8:$A283)=0),1,IF(AND($E284&lt;&gt;"",MAX($A$8:$A283)&gt;0),MAX($A$8:$A283)+1,"")))</f>
        <v/>
      </c>
      <c r="B284" s="11">
        <v>277</v>
      </c>
      <c r="C284" s="19" t="str">
        <f t="shared" si="14"/>
        <v>EMPTY</v>
      </c>
      <c r="D284" s="3" t="str">
        <f t="shared" si="16"/>
        <v/>
      </c>
      <c r="E284" s="22"/>
      <c r="F284" s="8" t="str">
        <f t="shared" si="15"/>
        <v/>
      </c>
    </row>
    <row r="285" spans="1:6" x14ac:dyDescent="0.25">
      <c r="A285" s="13" t="str">
        <f>IF(AND($E285="",MAX($A$8:$A284)=0),"",IF(AND($E285&lt;&gt;"",MAX($A$8:$A284)=0),1,IF(AND($E285&lt;&gt;"",MAX($A$8:$A284)&gt;0),MAX($A$8:$A284)+1,"")))</f>
        <v/>
      </c>
      <c r="B285" s="11">
        <v>278</v>
      </c>
      <c r="C285" s="19" t="str">
        <f t="shared" si="14"/>
        <v>EMPTY</v>
      </c>
      <c r="D285" s="3" t="str">
        <f t="shared" si="16"/>
        <v/>
      </c>
      <c r="E285" s="22"/>
      <c r="F285" s="8" t="str">
        <f t="shared" si="15"/>
        <v/>
      </c>
    </row>
    <row r="286" spans="1:6" x14ac:dyDescent="0.25">
      <c r="A286" s="13" t="str">
        <f>IF(AND($E286="",MAX($A$8:$A285)=0),"",IF(AND($E286&lt;&gt;"",MAX($A$8:$A285)=0),1,IF(AND($E286&lt;&gt;"",MAX($A$8:$A285)&gt;0),MAX($A$8:$A285)+1,"")))</f>
        <v/>
      </c>
      <c r="B286" s="11">
        <v>279</v>
      </c>
      <c r="C286" s="19" t="str">
        <f t="shared" si="14"/>
        <v>EMPTY</v>
      </c>
      <c r="D286" s="3" t="str">
        <f t="shared" si="16"/>
        <v/>
      </c>
      <c r="E286" s="22"/>
      <c r="F286" s="8" t="str">
        <f t="shared" si="15"/>
        <v/>
      </c>
    </row>
    <row r="287" spans="1:6" x14ac:dyDescent="0.25">
      <c r="A287" s="13" t="str">
        <f>IF(AND($E287="",MAX($A$8:$A286)=0),"",IF(AND($E287&lt;&gt;"",MAX($A$8:$A286)=0),1,IF(AND($E287&lt;&gt;"",MAX($A$8:$A286)&gt;0),MAX($A$8:$A286)+1,"")))</f>
        <v/>
      </c>
      <c r="B287" s="11">
        <v>280</v>
      </c>
      <c r="C287" s="19" t="str">
        <f t="shared" si="14"/>
        <v>EMPTY</v>
      </c>
      <c r="D287" s="3" t="str">
        <f t="shared" si="16"/>
        <v/>
      </c>
      <c r="E287" s="22"/>
      <c r="F287" s="8" t="str">
        <f t="shared" si="15"/>
        <v/>
      </c>
    </row>
    <row r="288" spans="1:6" x14ac:dyDescent="0.25">
      <c r="A288" s="13" t="str">
        <f>IF(AND($E288="",MAX($A$8:$A287)=0),"",IF(AND($E288&lt;&gt;"",MAX($A$8:$A287)=0),1,IF(AND($E288&lt;&gt;"",MAX($A$8:$A287)&gt;0),MAX($A$8:$A287)+1,"")))</f>
        <v/>
      </c>
      <c r="B288" s="11">
        <v>281</v>
      </c>
      <c r="C288" s="19" t="str">
        <f t="shared" si="14"/>
        <v>EMPTY</v>
      </c>
      <c r="D288" s="3" t="str">
        <f t="shared" si="16"/>
        <v/>
      </c>
      <c r="E288" s="22"/>
      <c r="F288" s="8" t="str">
        <f t="shared" si="15"/>
        <v/>
      </c>
    </row>
    <row r="289" spans="1:6" x14ac:dyDescent="0.25">
      <c r="A289" s="13" t="str">
        <f>IF(AND($E289="",MAX($A$8:$A288)=0),"",IF(AND($E289&lt;&gt;"",MAX($A$8:$A288)=0),1,IF(AND($E289&lt;&gt;"",MAX($A$8:$A288)&gt;0),MAX($A$8:$A288)+1,"")))</f>
        <v/>
      </c>
      <c r="B289" s="11">
        <v>282</v>
      </c>
      <c r="C289" s="19" t="str">
        <f t="shared" si="14"/>
        <v>EMPTY</v>
      </c>
      <c r="D289" s="3" t="str">
        <f t="shared" si="16"/>
        <v/>
      </c>
      <c r="E289" s="22"/>
      <c r="F289" s="8" t="str">
        <f t="shared" si="15"/>
        <v/>
      </c>
    </row>
    <row r="290" spans="1:6" x14ac:dyDescent="0.25">
      <c r="A290" s="13" t="str">
        <f>IF(AND($E290="",MAX($A$8:$A289)=0),"",IF(AND($E290&lt;&gt;"",MAX($A$8:$A289)=0),1,IF(AND($E290&lt;&gt;"",MAX($A$8:$A289)&gt;0),MAX($A$8:$A289)+1,"")))</f>
        <v/>
      </c>
      <c r="B290" s="11">
        <v>283</v>
      </c>
      <c r="C290" s="19" t="str">
        <f t="shared" si="14"/>
        <v>EMPTY</v>
      </c>
      <c r="D290" s="3" t="str">
        <f t="shared" si="16"/>
        <v/>
      </c>
      <c r="E290" s="22"/>
      <c r="F290" s="8" t="str">
        <f t="shared" si="15"/>
        <v/>
      </c>
    </row>
    <row r="291" spans="1:6" x14ac:dyDescent="0.25">
      <c r="A291" s="13" t="str">
        <f>IF(AND($E291="",MAX($A$8:$A290)=0),"",IF(AND($E291&lt;&gt;"",MAX($A$8:$A290)=0),1,IF(AND($E291&lt;&gt;"",MAX($A$8:$A290)&gt;0),MAX($A$8:$A290)+1,"")))</f>
        <v/>
      </c>
      <c r="B291" s="11">
        <v>284</v>
      </c>
      <c r="C291" s="19" t="str">
        <f t="shared" si="14"/>
        <v>EMPTY</v>
      </c>
      <c r="D291" s="3" t="str">
        <f t="shared" si="16"/>
        <v/>
      </c>
      <c r="E291" s="22"/>
      <c r="F291" s="8" t="str">
        <f t="shared" si="15"/>
        <v/>
      </c>
    </row>
    <row r="292" spans="1:6" x14ac:dyDescent="0.25">
      <c r="A292" s="13" t="str">
        <f>IF(AND($E292="",MAX($A$8:$A291)=0),"",IF(AND($E292&lt;&gt;"",MAX($A$8:$A291)=0),1,IF(AND($E292&lt;&gt;"",MAX($A$8:$A291)&gt;0),MAX($A$8:$A291)+1,"")))</f>
        <v/>
      </c>
      <c r="B292" s="11">
        <v>285</v>
      </c>
      <c r="C292" s="19" t="str">
        <f t="shared" si="14"/>
        <v>EMPTY</v>
      </c>
      <c r="D292" s="3" t="str">
        <f t="shared" si="16"/>
        <v/>
      </c>
      <c r="E292" s="22"/>
      <c r="F292" s="8" t="str">
        <f t="shared" si="15"/>
        <v/>
      </c>
    </row>
    <row r="293" spans="1:6" x14ac:dyDescent="0.25">
      <c r="A293" s="13" t="str">
        <f>IF(AND($E293="",MAX($A$8:$A292)=0),"",IF(AND($E293&lt;&gt;"",MAX($A$8:$A292)=0),1,IF(AND($E293&lt;&gt;"",MAX($A$8:$A292)&gt;0),MAX($A$8:$A292)+1,"")))</f>
        <v/>
      </c>
      <c r="B293" s="11">
        <v>286</v>
      </c>
      <c r="C293" s="19" t="str">
        <f t="shared" si="14"/>
        <v>EMPTY</v>
      </c>
      <c r="D293" s="3" t="str">
        <f t="shared" si="16"/>
        <v/>
      </c>
      <c r="E293" s="22"/>
      <c r="F293" s="8" t="str">
        <f t="shared" si="15"/>
        <v/>
      </c>
    </row>
    <row r="294" spans="1:6" x14ac:dyDescent="0.25">
      <c r="A294" s="13" t="str">
        <f>IF(AND($E294="",MAX($A$8:$A293)=0),"",IF(AND($E294&lt;&gt;"",MAX($A$8:$A293)=0),1,IF(AND($E294&lt;&gt;"",MAX($A$8:$A293)&gt;0),MAX($A$8:$A293)+1,"")))</f>
        <v/>
      </c>
      <c r="B294" s="11">
        <v>287</v>
      </c>
      <c r="C294" s="19" t="str">
        <f t="shared" si="14"/>
        <v>EMPTY</v>
      </c>
      <c r="D294" s="3" t="str">
        <f t="shared" si="16"/>
        <v/>
      </c>
      <c r="E294" s="22"/>
      <c r="F294" s="8" t="str">
        <f t="shared" si="15"/>
        <v/>
      </c>
    </row>
    <row r="295" spans="1:6" x14ac:dyDescent="0.25">
      <c r="A295" s="13" t="str">
        <f>IF(AND($E295="",MAX($A$8:$A294)=0),"",IF(AND($E295&lt;&gt;"",MAX($A$8:$A294)=0),1,IF(AND($E295&lt;&gt;"",MAX($A$8:$A294)&gt;0),MAX($A$8:$A294)+1,"")))</f>
        <v/>
      </c>
      <c r="B295" s="11">
        <v>288</v>
      </c>
      <c r="C295" s="19" t="str">
        <f t="shared" si="14"/>
        <v>EMPTY</v>
      </c>
      <c r="D295" s="3" t="str">
        <f t="shared" si="16"/>
        <v/>
      </c>
      <c r="E295" s="22"/>
      <c r="F295" s="8" t="str">
        <f t="shared" si="15"/>
        <v/>
      </c>
    </row>
    <row r="296" spans="1:6" x14ac:dyDescent="0.25">
      <c r="A296" s="13" t="str">
        <f>IF(AND($E296="",MAX($A$8:$A295)=0),"",IF(AND($E296&lt;&gt;"",MAX($A$8:$A295)=0),1,IF(AND($E296&lt;&gt;"",MAX($A$8:$A295)&gt;0),MAX($A$8:$A295)+1,"")))</f>
        <v/>
      </c>
      <c r="B296" s="11">
        <v>289</v>
      </c>
      <c r="C296" s="19" t="str">
        <f t="shared" si="14"/>
        <v>EMPTY</v>
      </c>
      <c r="D296" s="3" t="str">
        <f t="shared" si="16"/>
        <v/>
      </c>
      <c r="E296" s="22"/>
      <c r="F296" s="8" t="str">
        <f t="shared" si="15"/>
        <v/>
      </c>
    </row>
    <row r="297" spans="1:6" x14ac:dyDescent="0.25">
      <c r="A297" s="13" t="str">
        <f>IF(AND($E297="",MAX($A$8:$A296)=0),"",IF(AND($E297&lt;&gt;"",MAX($A$8:$A296)=0),1,IF(AND($E297&lt;&gt;"",MAX($A$8:$A296)&gt;0),MAX($A$8:$A296)+1,"")))</f>
        <v/>
      </c>
      <c r="B297" s="11">
        <v>290</v>
      </c>
      <c r="C297" s="19" t="str">
        <f t="shared" si="14"/>
        <v>EMPTY</v>
      </c>
      <c r="D297" s="3" t="str">
        <f t="shared" si="16"/>
        <v/>
      </c>
      <c r="E297" s="22"/>
      <c r="F297" s="8" t="str">
        <f t="shared" si="15"/>
        <v/>
      </c>
    </row>
    <row r="298" spans="1:6" x14ac:dyDescent="0.25">
      <c r="A298" s="13" t="str">
        <f>IF(AND($E298="",MAX($A$8:$A297)=0),"",IF(AND($E298&lt;&gt;"",MAX($A$8:$A297)=0),1,IF(AND($E298&lt;&gt;"",MAX($A$8:$A297)&gt;0),MAX($A$8:$A297)+1,"")))</f>
        <v/>
      </c>
      <c r="B298" s="11">
        <v>291</v>
      </c>
      <c r="C298" s="19" t="str">
        <f t="shared" si="14"/>
        <v>EMPTY</v>
      </c>
      <c r="D298" s="3" t="str">
        <f t="shared" si="16"/>
        <v/>
      </c>
      <c r="E298" s="22"/>
      <c r="F298" s="8" t="str">
        <f t="shared" si="15"/>
        <v/>
      </c>
    </row>
    <row r="299" spans="1:6" x14ac:dyDescent="0.25">
      <c r="A299" s="13" t="str">
        <f>IF(AND($E299="",MAX($A$8:$A298)=0),"",IF(AND($E299&lt;&gt;"",MAX($A$8:$A298)=0),1,IF(AND($E299&lt;&gt;"",MAX($A$8:$A298)&gt;0),MAX($A$8:$A298)+1,"")))</f>
        <v/>
      </c>
      <c r="B299" s="11">
        <v>292</v>
      </c>
      <c r="C299" s="19" t="str">
        <f t="shared" si="14"/>
        <v>EMPTY</v>
      </c>
      <c r="D299" s="3" t="str">
        <f t="shared" si="16"/>
        <v/>
      </c>
      <c r="E299" s="22"/>
      <c r="F299" s="8" t="str">
        <f t="shared" si="15"/>
        <v/>
      </c>
    </row>
    <row r="300" spans="1:6" x14ac:dyDescent="0.25">
      <c r="A300" s="13" t="str">
        <f>IF(AND($E300="",MAX($A$8:$A299)=0),"",IF(AND($E300&lt;&gt;"",MAX($A$8:$A299)=0),1,IF(AND($E300&lt;&gt;"",MAX($A$8:$A299)&gt;0),MAX($A$8:$A299)+1,"")))</f>
        <v/>
      </c>
      <c r="B300" s="11">
        <v>293</v>
      </c>
      <c r="C300" s="19" t="str">
        <f t="shared" si="14"/>
        <v>EMPTY</v>
      </c>
      <c r="D300" s="3" t="str">
        <f t="shared" si="16"/>
        <v/>
      </c>
      <c r="E300" s="22"/>
      <c r="F300" s="8" t="str">
        <f t="shared" si="15"/>
        <v/>
      </c>
    </row>
    <row r="301" spans="1:6" x14ac:dyDescent="0.25">
      <c r="A301" s="13" t="str">
        <f>IF(AND($E301="",MAX($A$8:$A300)=0),"",IF(AND($E301&lt;&gt;"",MAX($A$8:$A300)=0),1,IF(AND($E301&lt;&gt;"",MAX($A$8:$A300)&gt;0),MAX($A$8:$A300)+1,"")))</f>
        <v/>
      </c>
      <c r="B301" s="11">
        <v>294</v>
      </c>
      <c r="C301" s="19" t="str">
        <f t="shared" si="14"/>
        <v>EMPTY</v>
      </c>
      <c r="D301" s="3" t="str">
        <f t="shared" si="16"/>
        <v/>
      </c>
      <c r="E301" s="22"/>
      <c r="F301" s="8" t="str">
        <f t="shared" si="15"/>
        <v/>
      </c>
    </row>
    <row r="302" spans="1:6" x14ac:dyDescent="0.25">
      <c r="A302" s="13" t="str">
        <f>IF(AND($E302="",MAX($A$8:$A301)=0),"",IF(AND($E302&lt;&gt;"",MAX($A$8:$A301)=0),1,IF(AND($E302&lt;&gt;"",MAX($A$8:$A301)&gt;0),MAX($A$8:$A301)+1,"")))</f>
        <v/>
      </c>
      <c r="B302" s="11">
        <v>295</v>
      </c>
      <c r="C302" s="19" t="str">
        <f t="shared" si="14"/>
        <v>EMPTY</v>
      </c>
      <c r="D302" s="3" t="str">
        <f t="shared" si="16"/>
        <v/>
      </c>
      <c r="E302" s="22"/>
      <c r="F302" s="8" t="str">
        <f t="shared" si="15"/>
        <v/>
      </c>
    </row>
    <row r="303" spans="1:6" x14ac:dyDescent="0.25">
      <c r="A303" s="13" t="str">
        <f>IF(AND($E303="",MAX($A$8:$A302)=0),"",IF(AND($E303&lt;&gt;"",MAX($A$8:$A302)=0),1,IF(AND($E303&lt;&gt;"",MAX($A$8:$A302)&gt;0),MAX($A$8:$A302)+1,"")))</f>
        <v/>
      </c>
      <c r="B303" s="11">
        <v>296</v>
      </c>
      <c r="C303" s="19" t="str">
        <f t="shared" si="14"/>
        <v>EMPTY</v>
      </c>
      <c r="D303" s="3" t="str">
        <f t="shared" si="16"/>
        <v/>
      </c>
      <c r="E303" s="22"/>
      <c r="F303" s="8" t="str">
        <f t="shared" si="15"/>
        <v/>
      </c>
    </row>
    <row r="304" spans="1:6" x14ac:dyDescent="0.25">
      <c r="A304" s="13" t="str">
        <f>IF(AND($E304="",MAX($A$8:$A303)=0),"",IF(AND($E304&lt;&gt;"",MAX($A$8:$A303)=0),1,IF(AND($E304&lt;&gt;"",MAX($A$8:$A303)&gt;0),MAX($A$8:$A303)+1,"")))</f>
        <v/>
      </c>
      <c r="B304" s="11">
        <v>297</v>
      </c>
      <c r="C304" s="19" t="str">
        <f t="shared" si="14"/>
        <v>EMPTY</v>
      </c>
      <c r="D304" s="3" t="str">
        <f t="shared" si="16"/>
        <v/>
      </c>
      <c r="E304" s="22"/>
      <c r="F304" s="8" t="str">
        <f t="shared" si="15"/>
        <v/>
      </c>
    </row>
    <row r="305" spans="1:6" x14ac:dyDescent="0.25">
      <c r="A305" s="13" t="str">
        <f>IF(AND($E305="",MAX($A$8:$A304)=0),"",IF(AND($E305&lt;&gt;"",MAX($A$8:$A304)=0),1,IF(AND($E305&lt;&gt;"",MAX($A$8:$A304)&gt;0),MAX($A$8:$A304)+1,"")))</f>
        <v/>
      </c>
      <c r="B305" s="11">
        <v>298</v>
      </c>
      <c r="C305" s="19" t="str">
        <f t="shared" si="14"/>
        <v>EMPTY</v>
      </c>
      <c r="D305" s="3" t="str">
        <f t="shared" si="16"/>
        <v/>
      </c>
      <c r="E305" s="22"/>
      <c r="F305" s="8" t="str">
        <f t="shared" si="15"/>
        <v/>
      </c>
    </row>
    <row r="306" spans="1:6" x14ac:dyDescent="0.25">
      <c r="A306" s="13" t="str">
        <f>IF(AND($E306="",MAX($A$8:$A305)=0),"",IF(AND($E306&lt;&gt;"",MAX($A$8:$A305)=0),1,IF(AND($E306&lt;&gt;"",MAX($A$8:$A305)&gt;0),MAX($A$8:$A305)+1,"")))</f>
        <v/>
      </c>
      <c r="B306" s="11">
        <v>299</v>
      </c>
      <c r="C306" s="19" t="str">
        <f t="shared" si="14"/>
        <v>EMPTY</v>
      </c>
      <c r="D306" s="3" t="str">
        <f t="shared" si="16"/>
        <v/>
      </c>
      <c r="E306" s="22"/>
      <c r="F306" s="8" t="str">
        <f t="shared" si="15"/>
        <v/>
      </c>
    </row>
    <row r="307" spans="1:6" x14ac:dyDescent="0.25">
      <c r="A307" s="13" t="str">
        <f>IF(AND($E307="",MAX($A$8:$A306)=0),"",IF(AND($E307&lt;&gt;"",MAX($A$8:$A306)=0),1,IF(AND($E307&lt;&gt;"",MAX($A$8:$A306)&gt;0),MAX($A$8:$A306)+1,"")))</f>
        <v/>
      </c>
      <c r="B307" s="11">
        <v>300</v>
      </c>
      <c r="C307" s="19" t="str">
        <f t="shared" si="14"/>
        <v>EMPTY</v>
      </c>
      <c r="D307" s="3" t="str">
        <f t="shared" si="16"/>
        <v/>
      </c>
      <c r="E307" s="22"/>
      <c r="F307" s="8" t="str">
        <f t="shared" si="15"/>
        <v/>
      </c>
    </row>
    <row r="308" spans="1:6" x14ac:dyDescent="0.25">
      <c r="A308" s="13" t="str">
        <f>IF(AND($E308="",MAX($A$8:$A307)=0),"",IF(AND($E308&lt;&gt;"",MAX($A$8:$A307)=0),1,IF(AND($E308&lt;&gt;"",MAX($A$8:$A307)&gt;0),MAX($A$8:$A307)+1,"")))</f>
        <v/>
      </c>
      <c r="B308" s="11">
        <v>301</v>
      </c>
      <c r="C308" s="19" t="str">
        <f t="shared" si="14"/>
        <v>EMPTY</v>
      </c>
      <c r="D308" s="3" t="str">
        <f t="shared" si="16"/>
        <v/>
      </c>
      <c r="E308" s="22"/>
      <c r="F308" s="8" t="str">
        <f t="shared" si="15"/>
        <v/>
      </c>
    </row>
    <row r="309" spans="1:6" x14ac:dyDescent="0.25">
      <c r="A309" s="13" t="str">
        <f>IF(AND($E309="",MAX($A$8:$A308)=0),"",IF(AND($E309&lt;&gt;"",MAX($A$8:$A308)=0),1,IF(AND($E309&lt;&gt;"",MAX($A$8:$A308)&gt;0),MAX($A$8:$A308)+1,"")))</f>
        <v/>
      </c>
      <c r="B309" s="11">
        <v>302</v>
      </c>
      <c r="C309" s="19" t="str">
        <f t="shared" si="14"/>
        <v>EMPTY</v>
      </c>
      <c r="D309" s="3" t="str">
        <f t="shared" si="16"/>
        <v/>
      </c>
      <c r="E309" s="22"/>
      <c r="F309" s="8" t="str">
        <f t="shared" si="15"/>
        <v/>
      </c>
    </row>
    <row r="310" spans="1:6" x14ac:dyDescent="0.25">
      <c r="A310" s="13" t="str">
        <f>IF(AND($E310="",MAX($A$8:$A309)=0),"",IF(AND($E310&lt;&gt;"",MAX($A$8:$A309)=0),1,IF(AND($E310&lt;&gt;"",MAX($A$8:$A309)&gt;0),MAX($A$8:$A309)+1,"")))</f>
        <v/>
      </c>
      <c r="B310" s="11">
        <v>303</v>
      </c>
      <c r="C310" s="19" t="str">
        <f t="shared" si="14"/>
        <v>EMPTY</v>
      </c>
      <c r="D310" s="3" t="str">
        <f t="shared" si="16"/>
        <v/>
      </c>
      <c r="E310" s="22"/>
      <c r="F310" s="8" t="str">
        <f t="shared" si="15"/>
        <v/>
      </c>
    </row>
    <row r="311" spans="1:6" x14ac:dyDescent="0.25">
      <c r="A311" s="13" t="str">
        <f>IF(AND($E311="",MAX($A$8:$A310)=0),"",IF(AND($E311&lt;&gt;"",MAX($A$8:$A310)=0),1,IF(AND($E311&lt;&gt;"",MAX($A$8:$A310)&gt;0),MAX($A$8:$A310)+1,"")))</f>
        <v/>
      </c>
      <c r="B311" s="11">
        <v>304</v>
      </c>
      <c r="C311" s="19" t="str">
        <f t="shared" si="14"/>
        <v>EMPTY</v>
      </c>
      <c r="D311" s="3" t="str">
        <f t="shared" si="16"/>
        <v/>
      </c>
      <c r="E311" s="22"/>
      <c r="F311" s="8" t="str">
        <f t="shared" si="15"/>
        <v/>
      </c>
    </row>
    <row r="312" spans="1:6" x14ac:dyDescent="0.25">
      <c r="A312" s="13" t="str">
        <f>IF(AND($E312="",MAX($A$8:$A311)=0),"",IF(AND($E312&lt;&gt;"",MAX($A$8:$A311)=0),1,IF(AND($E312&lt;&gt;"",MAX($A$8:$A311)&gt;0),MAX($A$8:$A311)+1,"")))</f>
        <v/>
      </c>
      <c r="B312" s="11">
        <v>305</v>
      </c>
      <c r="C312" s="19" t="str">
        <f t="shared" si="14"/>
        <v>EMPTY</v>
      </c>
      <c r="D312" s="3" t="str">
        <f t="shared" si="16"/>
        <v/>
      </c>
      <c r="E312" s="22"/>
      <c r="F312" s="8" t="str">
        <f t="shared" si="15"/>
        <v/>
      </c>
    </row>
    <row r="313" spans="1:6" x14ac:dyDescent="0.25">
      <c r="A313" s="13" t="str">
        <f>IF(AND($E313="",MAX($A$8:$A312)=0),"",IF(AND($E313&lt;&gt;"",MAX($A$8:$A312)=0),1,IF(AND($E313&lt;&gt;"",MAX($A$8:$A312)&gt;0),MAX($A$8:$A312)+1,"")))</f>
        <v/>
      </c>
      <c r="B313" s="11">
        <v>306</v>
      </c>
      <c r="C313" s="19" t="str">
        <f t="shared" si="14"/>
        <v>EMPTY</v>
      </c>
      <c r="D313" s="3" t="str">
        <f t="shared" si="16"/>
        <v/>
      </c>
      <c r="E313" s="22"/>
      <c r="F313" s="8" t="str">
        <f t="shared" si="15"/>
        <v/>
      </c>
    </row>
    <row r="314" spans="1:6" x14ac:dyDescent="0.25">
      <c r="A314" s="13" t="str">
        <f>IF(AND($E314="",MAX($A$8:$A313)=0),"",IF(AND($E314&lt;&gt;"",MAX($A$8:$A313)=0),1,IF(AND($E314&lt;&gt;"",MAX($A$8:$A313)&gt;0),MAX($A$8:$A313)+1,"")))</f>
        <v/>
      </c>
      <c r="B314" s="11">
        <v>307</v>
      </c>
      <c r="C314" s="19" t="str">
        <f t="shared" si="14"/>
        <v>EMPTY</v>
      </c>
      <c r="D314" s="3" t="str">
        <f t="shared" si="16"/>
        <v/>
      </c>
      <c r="E314" s="22"/>
      <c r="F314" s="8" t="str">
        <f t="shared" si="15"/>
        <v/>
      </c>
    </row>
    <row r="315" spans="1:6" x14ac:dyDescent="0.25">
      <c r="A315" s="13" t="str">
        <f>IF(AND($E315="",MAX($A$8:$A314)=0),"",IF(AND($E315&lt;&gt;"",MAX($A$8:$A314)=0),1,IF(AND($E315&lt;&gt;"",MAX($A$8:$A314)&gt;0),MAX($A$8:$A314)+1,"")))</f>
        <v/>
      </c>
      <c r="B315" s="11">
        <v>308</v>
      </c>
      <c r="C315" s="19" t="str">
        <f t="shared" si="14"/>
        <v>EMPTY</v>
      </c>
      <c r="D315" s="3" t="str">
        <f t="shared" si="16"/>
        <v/>
      </c>
      <c r="E315" s="22"/>
      <c r="F315" s="8" t="str">
        <f t="shared" si="15"/>
        <v/>
      </c>
    </row>
    <row r="316" spans="1:6" x14ac:dyDescent="0.25">
      <c r="A316" s="13" t="str">
        <f>IF(AND($E316="",MAX($A$8:$A315)=0),"",IF(AND($E316&lt;&gt;"",MAX($A$8:$A315)=0),1,IF(AND($E316&lt;&gt;"",MAX($A$8:$A315)&gt;0),MAX($A$8:$A315)+1,"")))</f>
        <v/>
      </c>
      <c r="B316" s="11">
        <v>309</v>
      </c>
      <c r="C316" s="19" t="str">
        <f t="shared" si="14"/>
        <v>EMPTY</v>
      </c>
      <c r="D316" s="3" t="str">
        <f t="shared" si="16"/>
        <v/>
      </c>
      <c r="E316" s="22"/>
      <c r="F316" s="8" t="str">
        <f t="shared" si="15"/>
        <v/>
      </c>
    </row>
    <row r="317" spans="1:6" x14ac:dyDescent="0.25">
      <c r="A317" s="13" t="str">
        <f>IF(AND($E317="",MAX($A$8:$A316)=0),"",IF(AND($E317&lt;&gt;"",MAX($A$8:$A316)=0),1,IF(AND($E317&lt;&gt;"",MAX($A$8:$A316)&gt;0),MAX($A$8:$A316)+1,"")))</f>
        <v/>
      </c>
      <c r="B317" s="11">
        <v>310</v>
      </c>
      <c r="C317" s="19" t="str">
        <f t="shared" si="14"/>
        <v>EMPTY</v>
      </c>
      <c r="D317" s="3" t="str">
        <f t="shared" si="16"/>
        <v/>
      </c>
      <c r="E317" s="22"/>
      <c r="F317" s="8" t="str">
        <f t="shared" si="15"/>
        <v/>
      </c>
    </row>
    <row r="318" spans="1:6" x14ac:dyDescent="0.25">
      <c r="A318" s="13" t="str">
        <f>IF(AND($E318="",MAX($A$8:$A317)=0),"",IF(AND($E318&lt;&gt;"",MAX($A$8:$A317)=0),1,IF(AND($E318&lt;&gt;"",MAX($A$8:$A317)&gt;0),MAX($A$8:$A317)+1,"")))</f>
        <v/>
      </c>
      <c r="B318" s="11">
        <v>311</v>
      </c>
      <c r="C318" s="19" t="str">
        <f t="shared" si="14"/>
        <v>EMPTY</v>
      </c>
      <c r="D318" s="3" t="str">
        <f t="shared" si="16"/>
        <v/>
      </c>
      <c r="E318" s="22"/>
      <c r="F318" s="8" t="str">
        <f t="shared" si="15"/>
        <v/>
      </c>
    </row>
    <row r="319" spans="1:6" x14ac:dyDescent="0.25">
      <c r="A319" s="13" t="str">
        <f>IF(AND($E319="",MAX($A$8:$A318)=0),"",IF(AND($E319&lt;&gt;"",MAX($A$8:$A318)=0),1,IF(AND($E319&lt;&gt;"",MAX($A$8:$A318)&gt;0),MAX($A$8:$A318)+1,"")))</f>
        <v/>
      </c>
      <c r="B319" s="11">
        <v>312</v>
      </c>
      <c r="C319" s="19" t="str">
        <f t="shared" si="14"/>
        <v>EMPTY</v>
      </c>
      <c r="D319" s="3" t="str">
        <f t="shared" si="16"/>
        <v/>
      </c>
      <c r="E319" s="22"/>
      <c r="F319" s="8" t="str">
        <f t="shared" si="15"/>
        <v/>
      </c>
    </row>
    <row r="320" spans="1:6" x14ac:dyDescent="0.25">
      <c r="A320" s="13" t="str">
        <f>IF(AND($E320="",MAX($A$8:$A319)=0),"",IF(AND($E320&lt;&gt;"",MAX($A$8:$A319)=0),1,IF(AND($E320&lt;&gt;"",MAX($A$8:$A319)&gt;0),MAX($A$8:$A319)+1,"")))</f>
        <v/>
      </c>
      <c r="B320" s="11">
        <v>313</v>
      </c>
      <c r="C320" s="19" t="str">
        <f t="shared" si="14"/>
        <v>EMPTY</v>
      </c>
      <c r="D320" s="3" t="str">
        <f t="shared" si="16"/>
        <v/>
      </c>
      <c r="E320" s="22"/>
      <c r="F320" s="8" t="str">
        <f t="shared" si="15"/>
        <v/>
      </c>
    </row>
    <row r="321" spans="1:6" x14ac:dyDescent="0.25">
      <c r="A321" s="13" t="str">
        <f>IF(AND($E321="",MAX($A$8:$A320)=0),"",IF(AND($E321&lt;&gt;"",MAX($A$8:$A320)=0),1,IF(AND($E321&lt;&gt;"",MAX($A$8:$A320)&gt;0),MAX($A$8:$A320)+1,"")))</f>
        <v/>
      </c>
      <c r="B321" s="11">
        <v>314</v>
      </c>
      <c r="C321" s="19" t="str">
        <f t="shared" si="14"/>
        <v>EMPTY</v>
      </c>
      <c r="D321" s="3" t="str">
        <f t="shared" si="16"/>
        <v/>
      </c>
      <c r="E321" s="22"/>
      <c r="F321" s="8" t="str">
        <f t="shared" si="15"/>
        <v/>
      </c>
    </row>
    <row r="322" spans="1:6" x14ac:dyDescent="0.25">
      <c r="A322" s="13" t="str">
        <f>IF(AND($E322="",MAX($A$8:$A321)=0),"",IF(AND($E322&lt;&gt;"",MAX($A$8:$A321)=0),1,IF(AND($E322&lt;&gt;"",MAX($A$8:$A321)&gt;0),MAX($A$8:$A321)+1,"")))</f>
        <v/>
      </c>
      <c r="B322" s="11">
        <v>315</v>
      </c>
      <c r="C322" s="19" t="str">
        <f t="shared" si="14"/>
        <v>EMPTY</v>
      </c>
      <c r="D322" s="3" t="str">
        <f t="shared" si="16"/>
        <v/>
      </c>
      <c r="E322" s="22"/>
      <c r="F322" s="8" t="str">
        <f t="shared" si="15"/>
        <v/>
      </c>
    </row>
    <row r="323" spans="1:6" x14ac:dyDescent="0.25">
      <c r="A323" s="13" t="str">
        <f>IF(AND($E323="",MAX($A$8:$A322)=0),"",IF(AND($E323&lt;&gt;"",MAX($A$8:$A322)=0),1,IF(AND($E323&lt;&gt;"",MAX($A$8:$A322)&gt;0),MAX($A$8:$A322)+1,"")))</f>
        <v/>
      </c>
      <c r="B323" s="11">
        <v>316</v>
      </c>
      <c r="C323" s="19" t="str">
        <f t="shared" si="14"/>
        <v>EMPTY</v>
      </c>
      <c r="D323" s="3" t="str">
        <f t="shared" si="16"/>
        <v/>
      </c>
      <c r="E323" s="22"/>
      <c r="F323" s="8" t="str">
        <f t="shared" si="15"/>
        <v/>
      </c>
    </row>
    <row r="324" spans="1:6" x14ac:dyDescent="0.25">
      <c r="A324" s="13" t="str">
        <f>IF(AND($E324="",MAX($A$8:$A323)=0),"",IF(AND($E324&lt;&gt;"",MAX($A$8:$A323)=0),1,IF(AND($E324&lt;&gt;"",MAX($A$8:$A323)&gt;0),MAX($A$8:$A323)+1,"")))</f>
        <v/>
      </c>
      <c r="B324" s="11">
        <v>317</v>
      </c>
      <c r="C324" s="19" t="str">
        <f t="shared" si="14"/>
        <v>EMPTY</v>
      </c>
      <c r="D324" s="3" t="str">
        <f t="shared" si="16"/>
        <v/>
      </c>
      <c r="E324" s="22"/>
      <c r="F324" s="8" t="str">
        <f t="shared" si="15"/>
        <v/>
      </c>
    </row>
    <row r="325" spans="1:6" x14ac:dyDescent="0.25">
      <c r="A325" s="13" t="str">
        <f>IF(AND($E325="",MAX($A$8:$A324)=0),"",IF(AND($E325&lt;&gt;"",MAX($A$8:$A324)=0),1,IF(AND($E325&lt;&gt;"",MAX($A$8:$A324)&gt;0),MAX($A$8:$A324)+1,"")))</f>
        <v/>
      </c>
      <c r="B325" s="11">
        <v>318</v>
      </c>
      <c r="C325" s="19" t="str">
        <f t="shared" si="14"/>
        <v>EMPTY</v>
      </c>
      <c r="D325" s="3" t="str">
        <f t="shared" si="16"/>
        <v/>
      </c>
      <c r="E325" s="22"/>
      <c r="F325" s="8" t="str">
        <f t="shared" si="15"/>
        <v/>
      </c>
    </row>
    <row r="326" spans="1:6" x14ac:dyDescent="0.25">
      <c r="A326" s="13" t="str">
        <f>IF(AND($E326="",MAX($A$8:$A325)=0),"",IF(AND($E326&lt;&gt;"",MAX($A$8:$A325)=0),1,IF(AND($E326&lt;&gt;"",MAX($A$8:$A325)&gt;0),MAX($A$8:$A325)+1,"")))</f>
        <v/>
      </c>
      <c r="B326" s="11">
        <v>319</v>
      </c>
      <c r="C326" s="19" t="str">
        <f t="shared" si="14"/>
        <v>EMPTY</v>
      </c>
      <c r="D326" s="3" t="str">
        <f t="shared" si="16"/>
        <v/>
      </c>
      <c r="E326" s="22"/>
      <c r="F326" s="8" t="str">
        <f t="shared" si="15"/>
        <v/>
      </c>
    </row>
    <row r="327" spans="1:6" x14ac:dyDescent="0.25">
      <c r="A327" s="13" t="str">
        <f>IF(AND($E327="",MAX($A$8:$A326)=0),"",IF(AND($E327&lt;&gt;"",MAX($A$8:$A326)=0),1,IF(AND($E327&lt;&gt;"",MAX($A$8:$A326)&gt;0),MAX($A$8:$A326)+1,"")))</f>
        <v/>
      </c>
      <c r="B327" s="11">
        <v>320</v>
      </c>
      <c r="C327" s="19" t="str">
        <f t="shared" si="14"/>
        <v>EMPTY</v>
      </c>
      <c r="D327" s="3" t="str">
        <f t="shared" si="16"/>
        <v/>
      </c>
      <c r="E327" s="22"/>
      <c r="F327" s="8" t="str">
        <f t="shared" si="15"/>
        <v/>
      </c>
    </row>
    <row r="328" spans="1:6" x14ac:dyDescent="0.25">
      <c r="A328" s="13" t="str">
        <f>IF(AND($E328="",MAX($A$8:$A327)=0),"",IF(AND($E328&lt;&gt;"",MAX($A$8:$A327)=0),1,IF(AND($E328&lt;&gt;"",MAX($A$8:$A327)&gt;0),MAX($A$8:$A327)+1,"")))</f>
        <v/>
      </c>
      <c r="B328" s="11">
        <v>321</v>
      </c>
      <c r="C328" s="19" t="str">
        <f t="shared" si="14"/>
        <v>EMPTY</v>
      </c>
      <c r="D328" s="3" t="str">
        <f t="shared" si="16"/>
        <v/>
      </c>
      <c r="E328" s="22"/>
      <c r="F328" s="8" t="str">
        <f t="shared" si="15"/>
        <v/>
      </c>
    </row>
    <row r="329" spans="1:6" x14ac:dyDescent="0.25">
      <c r="A329" s="13" t="str">
        <f>IF(AND($E329="",MAX($A$8:$A328)=0),"",IF(AND($E329&lt;&gt;"",MAX($A$8:$A328)=0),1,IF(AND($E329&lt;&gt;"",MAX($A$8:$A328)&gt;0),MAX($A$8:$A328)+1,"")))</f>
        <v/>
      </c>
      <c r="B329" s="11">
        <v>322</v>
      </c>
      <c r="C329" s="19" t="str">
        <f t="shared" ref="C329:C392" si="17">IF($E329="","EMPTY",IF(COUNT(MID($E329,2,1))=0,"HIDE",IF(COUNT(MID($E329,2,1))=1,"SHOW","")))</f>
        <v>EMPTY</v>
      </c>
      <c r="D329" s="3" t="str">
        <f t="shared" si="16"/>
        <v/>
      </c>
      <c r="E329" s="22"/>
      <c r="F329" s="8" t="str">
        <f t="shared" ref="F329:F392" si="18">$D329</f>
        <v/>
      </c>
    </row>
    <row r="330" spans="1:6" x14ac:dyDescent="0.25">
      <c r="A330" s="13" t="str">
        <f>IF(AND($E330="",MAX($A$8:$A329)=0),"",IF(AND($E330&lt;&gt;"",MAX($A$8:$A329)=0),1,IF(AND($E330&lt;&gt;"",MAX($A$8:$A329)&gt;0),MAX($A$8:$A329)+1,"")))</f>
        <v/>
      </c>
      <c r="B330" s="11">
        <v>323</v>
      </c>
      <c r="C330" s="19" t="str">
        <f t="shared" si="17"/>
        <v>EMPTY</v>
      </c>
      <c r="D330" s="3" t="str">
        <f t="shared" si="16"/>
        <v/>
      </c>
      <c r="E330" s="22"/>
      <c r="F330" s="8" t="str">
        <f t="shared" si="18"/>
        <v/>
      </c>
    </row>
    <row r="331" spans="1:6" x14ac:dyDescent="0.25">
      <c r="A331" s="13" t="str">
        <f>IF(AND($E331="",MAX($A$8:$A330)=0),"",IF(AND($E331&lt;&gt;"",MAX($A$8:$A330)=0),1,IF(AND($E331&lt;&gt;"",MAX($A$8:$A330)&gt;0),MAX($A$8:$A330)+1,"")))</f>
        <v/>
      </c>
      <c r="B331" s="11">
        <v>324</v>
      </c>
      <c r="C331" s="19" t="str">
        <f t="shared" si="17"/>
        <v>EMPTY</v>
      </c>
      <c r="D331" s="3" t="str">
        <f t="shared" si="16"/>
        <v/>
      </c>
      <c r="E331" s="22"/>
      <c r="F331" s="8" t="str">
        <f t="shared" si="18"/>
        <v/>
      </c>
    </row>
    <row r="332" spans="1:6" x14ac:dyDescent="0.25">
      <c r="A332" s="13" t="str">
        <f>IF(AND($E332="",MAX($A$8:$A331)=0),"",IF(AND($E332&lt;&gt;"",MAX($A$8:$A331)=0),1,IF(AND($E332&lt;&gt;"",MAX($A$8:$A331)&gt;0),MAX($A$8:$A331)+1,"")))</f>
        <v/>
      </c>
      <c r="B332" s="11">
        <v>325</v>
      </c>
      <c r="C332" s="19" t="str">
        <f t="shared" si="17"/>
        <v>EMPTY</v>
      </c>
      <c r="D332" s="3" t="str">
        <f t="shared" si="16"/>
        <v/>
      </c>
      <c r="E332" s="22"/>
      <c r="F332" s="8" t="str">
        <f t="shared" si="18"/>
        <v/>
      </c>
    </row>
    <row r="333" spans="1:6" x14ac:dyDescent="0.25">
      <c r="A333" s="13" t="str">
        <f>IF(AND($E333="",MAX($A$8:$A332)=0),"",IF(AND($E333&lt;&gt;"",MAX($A$8:$A332)=0),1,IF(AND($E333&lt;&gt;"",MAX($A$8:$A332)&gt;0),MAX($A$8:$A332)+1,"")))</f>
        <v/>
      </c>
      <c r="B333" s="11">
        <v>326</v>
      </c>
      <c r="C333" s="19" t="str">
        <f t="shared" si="17"/>
        <v>EMPTY</v>
      </c>
      <c r="D333" s="3" t="str">
        <f t="shared" si="16"/>
        <v/>
      </c>
      <c r="E333" s="22"/>
      <c r="F333" s="8" t="str">
        <f t="shared" si="18"/>
        <v/>
      </c>
    </row>
    <row r="334" spans="1:6" x14ac:dyDescent="0.25">
      <c r="A334" s="13" t="str">
        <f>IF(AND($E334="",MAX($A$8:$A333)=0),"",IF(AND($E334&lt;&gt;"",MAX($A$8:$A333)=0),1,IF(AND($E334&lt;&gt;"",MAX($A$8:$A333)&gt;0),MAX($A$8:$A333)+1,"")))</f>
        <v/>
      </c>
      <c r="B334" s="11">
        <v>327</v>
      </c>
      <c r="C334" s="19" t="str">
        <f t="shared" si="17"/>
        <v>EMPTY</v>
      </c>
      <c r="D334" s="3" t="str">
        <f t="shared" si="16"/>
        <v/>
      </c>
      <c r="E334" s="22"/>
      <c r="F334" s="8" t="str">
        <f t="shared" si="18"/>
        <v/>
      </c>
    </row>
    <row r="335" spans="1:6" x14ac:dyDescent="0.25">
      <c r="A335" s="13" t="str">
        <f>IF(AND($E335="",MAX($A$8:$A334)=0),"",IF(AND($E335&lt;&gt;"",MAX($A$8:$A334)=0),1,IF(AND($E335&lt;&gt;"",MAX($A$8:$A334)&gt;0),MAX($A$8:$A334)+1,"")))</f>
        <v/>
      </c>
      <c r="B335" s="11">
        <v>328</v>
      </c>
      <c r="C335" s="19" t="str">
        <f t="shared" si="17"/>
        <v>EMPTY</v>
      </c>
      <c r="D335" s="3" t="str">
        <f t="shared" si="16"/>
        <v/>
      </c>
      <c r="E335" s="22"/>
      <c r="F335" s="8" t="str">
        <f t="shared" si="18"/>
        <v/>
      </c>
    </row>
    <row r="336" spans="1:6" x14ac:dyDescent="0.25">
      <c r="A336" s="13" t="str">
        <f>IF(AND($E336="",MAX($A$8:$A335)=0),"",IF(AND($E336&lt;&gt;"",MAX($A$8:$A335)=0),1,IF(AND($E336&lt;&gt;"",MAX($A$8:$A335)&gt;0),MAX($A$8:$A335)+1,"")))</f>
        <v/>
      </c>
      <c r="B336" s="11">
        <v>329</v>
      </c>
      <c r="C336" s="19" t="str">
        <f t="shared" si="17"/>
        <v>EMPTY</v>
      </c>
      <c r="D336" s="3" t="str">
        <f t="shared" si="16"/>
        <v/>
      </c>
      <c r="E336" s="22"/>
      <c r="F336" s="8" t="str">
        <f t="shared" si="18"/>
        <v/>
      </c>
    </row>
    <row r="337" spans="1:6" x14ac:dyDescent="0.25">
      <c r="A337" s="13" t="str">
        <f>IF(AND($E337="",MAX($A$8:$A336)=0),"",IF(AND($E337&lt;&gt;"",MAX($A$8:$A336)=0),1,IF(AND($E337&lt;&gt;"",MAX($A$8:$A336)&gt;0),MAX($A$8:$A336)+1,"")))</f>
        <v/>
      </c>
      <c r="B337" s="11">
        <v>330</v>
      </c>
      <c r="C337" s="19" t="str">
        <f t="shared" si="17"/>
        <v>EMPTY</v>
      </c>
      <c r="D337" s="3" t="str">
        <f t="shared" ref="D337:D400" si="19">IF(AND(OR($C337="EMPTY",$C337="HIDE",$C337=""),OR($C338="EMPTY",$C338="HIDE",$C338="")),"",IF(AND($C337="SHOW",OR($C338="EMPTY",$C338="HIDE",$C338="")),CONCATENATE("Dialogue: 0,0:",MID($E337,2,8),",0:",MID($E337,2,8),",Default,,0,0,0,,",MID($E337,11,1000)),IF(AND($C337="SHOW",$C338="SHOW"),CONCATENATE("Dialogue: 0,0:",MID($E337,2,8),",0:",MID($E338,2,8),",Default,,0,0,0,,",MID($E337,11,1000)),"")))</f>
        <v/>
      </c>
      <c r="E337" s="22"/>
      <c r="F337" s="8" t="str">
        <f t="shared" si="18"/>
        <v/>
      </c>
    </row>
    <row r="338" spans="1:6" x14ac:dyDescent="0.25">
      <c r="A338" s="13" t="str">
        <f>IF(AND($E338="",MAX($A$8:$A337)=0),"",IF(AND($E338&lt;&gt;"",MAX($A$8:$A337)=0),1,IF(AND($E338&lt;&gt;"",MAX($A$8:$A337)&gt;0),MAX($A$8:$A337)+1,"")))</f>
        <v/>
      </c>
      <c r="B338" s="11">
        <v>331</v>
      </c>
      <c r="C338" s="19" t="str">
        <f t="shared" si="17"/>
        <v>EMPTY</v>
      </c>
      <c r="D338" s="3" t="str">
        <f t="shared" si="19"/>
        <v/>
      </c>
      <c r="E338" s="22"/>
      <c r="F338" s="8" t="str">
        <f t="shared" si="18"/>
        <v/>
      </c>
    </row>
    <row r="339" spans="1:6" x14ac:dyDescent="0.25">
      <c r="A339" s="13" t="str">
        <f>IF(AND($E339="",MAX($A$8:$A338)=0),"",IF(AND($E339&lt;&gt;"",MAX($A$8:$A338)=0),1,IF(AND($E339&lt;&gt;"",MAX($A$8:$A338)&gt;0),MAX($A$8:$A338)+1,"")))</f>
        <v/>
      </c>
      <c r="B339" s="11">
        <v>332</v>
      </c>
      <c r="C339" s="19" t="str">
        <f t="shared" si="17"/>
        <v>EMPTY</v>
      </c>
      <c r="D339" s="3" t="str">
        <f t="shared" si="19"/>
        <v/>
      </c>
      <c r="E339" s="22"/>
      <c r="F339" s="8" t="str">
        <f t="shared" si="18"/>
        <v/>
      </c>
    </row>
    <row r="340" spans="1:6" x14ac:dyDescent="0.25">
      <c r="A340" s="13" t="str">
        <f>IF(AND($E340="",MAX($A$8:$A339)=0),"",IF(AND($E340&lt;&gt;"",MAX($A$8:$A339)=0),1,IF(AND($E340&lt;&gt;"",MAX($A$8:$A339)&gt;0),MAX($A$8:$A339)+1,"")))</f>
        <v/>
      </c>
      <c r="B340" s="11">
        <v>333</v>
      </c>
      <c r="C340" s="19" t="str">
        <f t="shared" si="17"/>
        <v>EMPTY</v>
      </c>
      <c r="D340" s="3" t="str">
        <f t="shared" si="19"/>
        <v/>
      </c>
      <c r="E340" s="22"/>
      <c r="F340" s="8" t="str">
        <f t="shared" si="18"/>
        <v/>
      </c>
    </row>
    <row r="341" spans="1:6" x14ac:dyDescent="0.25">
      <c r="A341" s="13" t="str">
        <f>IF(AND($E341="",MAX($A$8:$A340)=0),"",IF(AND($E341&lt;&gt;"",MAX($A$8:$A340)=0),1,IF(AND($E341&lt;&gt;"",MAX($A$8:$A340)&gt;0),MAX($A$8:$A340)+1,"")))</f>
        <v/>
      </c>
      <c r="B341" s="11">
        <v>334</v>
      </c>
      <c r="C341" s="19" t="str">
        <f t="shared" si="17"/>
        <v>EMPTY</v>
      </c>
      <c r="D341" s="3" t="str">
        <f t="shared" si="19"/>
        <v/>
      </c>
      <c r="E341" s="22"/>
      <c r="F341" s="8" t="str">
        <f t="shared" si="18"/>
        <v/>
      </c>
    </row>
    <row r="342" spans="1:6" x14ac:dyDescent="0.25">
      <c r="A342" s="13" t="str">
        <f>IF(AND($E342="",MAX($A$8:$A341)=0),"",IF(AND($E342&lt;&gt;"",MAX($A$8:$A341)=0),1,IF(AND($E342&lt;&gt;"",MAX($A$8:$A341)&gt;0),MAX($A$8:$A341)+1,"")))</f>
        <v/>
      </c>
      <c r="B342" s="11">
        <v>335</v>
      </c>
      <c r="C342" s="19" t="str">
        <f t="shared" si="17"/>
        <v>EMPTY</v>
      </c>
      <c r="D342" s="3" t="str">
        <f t="shared" si="19"/>
        <v/>
      </c>
      <c r="E342" s="22"/>
      <c r="F342" s="8" t="str">
        <f t="shared" si="18"/>
        <v/>
      </c>
    </row>
    <row r="343" spans="1:6" x14ac:dyDescent="0.25">
      <c r="A343" s="13" t="str">
        <f>IF(AND($E343="",MAX($A$8:$A342)=0),"",IF(AND($E343&lt;&gt;"",MAX($A$8:$A342)=0),1,IF(AND($E343&lt;&gt;"",MAX($A$8:$A342)&gt;0),MAX($A$8:$A342)+1,"")))</f>
        <v/>
      </c>
      <c r="B343" s="11">
        <v>336</v>
      </c>
      <c r="C343" s="19" t="str">
        <f t="shared" si="17"/>
        <v>EMPTY</v>
      </c>
      <c r="D343" s="3" t="str">
        <f t="shared" si="19"/>
        <v/>
      </c>
      <c r="E343" s="22"/>
      <c r="F343" s="8" t="str">
        <f t="shared" si="18"/>
        <v/>
      </c>
    </row>
    <row r="344" spans="1:6" x14ac:dyDescent="0.25">
      <c r="A344" s="13" t="str">
        <f>IF(AND($E344="",MAX($A$8:$A343)=0),"",IF(AND($E344&lt;&gt;"",MAX($A$8:$A343)=0),1,IF(AND($E344&lt;&gt;"",MAX($A$8:$A343)&gt;0),MAX($A$8:$A343)+1,"")))</f>
        <v/>
      </c>
      <c r="B344" s="11">
        <v>337</v>
      </c>
      <c r="C344" s="19" t="str">
        <f t="shared" si="17"/>
        <v>EMPTY</v>
      </c>
      <c r="D344" s="3" t="str">
        <f t="shared" si="19"/>
        <v/>
      </c>
      <c r="E344" s="22"/>
      <c r="F344" s="8" t="str">
        <f t="shared" si="18"/>
        <v/>
      </c>
    </row>
    <row r="345" spans="1:6" x14ac:dyDescent="0.25">
      <c r="A345" s="13" t="str">
        <f>IF(AND($E345="",MAX($A$8:$A344)=0),"",IF(AND($E345&lt;&gt;"",MAX($A$8:$A344)=0),1,IF(AND($E345&lt;&gt;"",MAX($A$8:$A344)&gt;0),MAX($A$8:$A344)+1,"")))</f>
        <v/>
      </c>
      <c r="B345" s="11">
        <v>338</v>
      </c>
      <c r="C345" s="19" t="str">
        <f t="shared" si="17"/>
        <v>EMPTY</v>
      </c>
      <c r="D345" s="3" t="str">
        <f t="shared" si="19"/>
        <v/>
      </c>
      <c r="E345" s="22"/>
      <c r="F345" s="8" t="str">
        <f t="shared" si="18"/>
        <v/>
      </c>
    </row>
    <row r="346" spans="1:6" x14ac:dyDescent="0.25">
      <c r="A346" s="13" t="str">
        <f>IF(AND($E346="",MAX($A$8:$A345)=0),"",IF(AND($E346&lt;&gt;"",MAX($A$8:$A345)=0),1,IF(AND($E346&lt;&gt;"",MAX($A$8:$A345)&gt;0),MAX($A$8:$A345)+1,"")))</f>
        <v/>
      </c>
      <c r="B346" s="11">
        <v>339</v>
      </c>
      <c r="C346" s="19" t="str">
        <f t="shared" si="17"/>
        <v>EMPTY</v>
      </c>
      <c r="D346" s="3" t="str">
        <f t="shared" si="19"/>
        <v/>
      </c>
      <c r="E346" s="22"/>
      <c r="F346" s="8" t="str">
        <f t="shared" si="18"/>
        <v/>
      </c>
    </row>
    <row r="347" spans="1:6" x14ac:dyDescent="0.25">
      <c r="A347" s="13" t="str">
        <f>IF(AND($E347="",MAX($A$8:$A346)=0),"",IF(AND($E347&lt;&gt;"",MAX($A$8:$A346)=0),1,IF(AND($E347&lt;&gt;"",MAX($A$8:$A346)&gt;0),MAX($A$8:$A346)+1,"")))</f>
        <v/>
      </c>
      <c r="B347" s="11">
        <v>340</v>
      </c>
      <c r="C347" s="19" t="str">
        <f t="shared" si="17"/>
        <v>EMPTY</v>
      </c>
      <c r="D347" s="3" t="str">
        <f t="shared" si="19"/>
        <v/>
      </c>
      <c r="E347" s="22"/>
      <c r="F347" s="8" t="str">
        <f t="shared" si="18"/>
        <v/>
      </c>
    </row>
    <row r="348" spans="1:6" x14ac:dyDescent="0.25">
      <c r="A348" s="13" t="str">
        <f>IF(AND($E348="",MAX($A$8:$A347)=0),"",IF(AND($E348&lt;&gt;"",MAX($A$8:$A347)=0),1,IF(AND($E348&lt;&gt;"",MAX($A$8:$A347)&gt;0),MAX($A$8:$A347)+1,"")))</f>
        <v/>
      </c>
      <c r="B348" s="11">
        <v>341</v>
      </c>
      <c r="C348" s="19" t="str">
        <f t="shared" si="17"/>
        <v>EMPTY</v>
      </c>
      <c r="D348" s="3" t="str">
        <f t="shared" si="19"/>
        <v/>
      </c>
      <c r="E348" s="22"/>
      <c r="F348" s="8" t="str">
        <f t="shared" si="18"/>
        <v/>
      </c>
    </row>
    <row r="349" spans="1:6" x14ac:dyDescent="0.25">
      <c r="A349" s="13" t="str">
        <f>IF(AND($E349="",MAX($A$8:$A348)=0),"",IF(AND($E349&lt;&gt;"",MAX($A$8:$A348)=0),1,IF(AND($E349&lt;&gt;"",MAX($A$8:$A348)&gt;0),MAX($A$8:$A348)+1,"")))</f>
        <v/>
      </c>
      <c r="B349" s="11">
        <v>342</v>
      </c>
      <c r="C349" s="19" t="str">
        <f t="shared" si="17"/>
        <v>EMPTY</v>
      </c>
      <c r="D349" s="3" t="str">
        <f t="shared" si="19"/>
        <v/>
      </c>
      <c r="E349" s="22"/>
      <c r="F349" s="8" t="str">
        <f t="shared" si="18"/>
        <v/>
      </c>
    </row>
    <row r="350" spans="1:6" x14ac:dyDescent="0.25">
      <c r="A350" s="13" t="str">
        <f>IF(AND($E350="",MAX($A$8:$A349)=0),"",IF(AND($E350&lt;&gt;"",MAX($A$8:$A349)=0),1,IF(AND($E350&lt;&gt;"",MAX($A$8:$A349)&gt;0),MAX($A$8:$A349)+1,"")))</f>
        <v/>
      </c>
      <c r="B350" s="11">
        <v>343</v>
      </c>
      <c r="C350" s="19" t="str">
        <f t="shared" si="17"/>
        <v>EMPTY</v>
      </c>
      <c r="D350" s="3" t="str">
        <f t="shared" si="19"/>
        <v/>
      </c>
      <c r="E350" s="22"/>
      <c r="F350" s="8" t="str">
        <f t="shared" si="18"/>
        <v/>
      </c>
    </row>
    <row r="351" spans="1:6" x14ac:dyDescent="0.25">
      <c r="A351" s="13" t="str">
        <f>IF(AND($E351="",MAX($A$8:$A350)=0),"",IF(AND($E351&lt;&gt;"",MAX($A$8:$A350)=0),1,IF(AND($E351&lt;&gt;"",MAX($A$8:$A350)&gt;0),MAX($A$8:$A350)+1,"")))</f>
        <v/>
      </c>
      <c r="B351" s="11">
        <v>344</v>
      </c>
      <c r="C351" s="19" t="str">
        <f t="shared" si="17"/>
        <v>EMPTY</v>
      </c>
      <c r="D351" s="3" t="str">
        <f t="shared" si="19"/>
        <v/>
      </c>
      <c r="E351" s="22"/>
      <c r="F351" s="8" t="str">
        <f t="shared" si="18"/>
        <v/>
      </c>
    </row>
    <row r="352" spans="1:6" x14ac:dyDescent="0.25">
      <c r="A352" s="13" t="str">
        <f>IF(AND($E352="",MAX($A$8:$A351)=0),"",IF(AND($E352&lt;&gt;"",MAX($A$8:$A351)=0),1,IF(AND($E352&lt;&gt;"",MAX($A$8:$A351)&gt;0),MAX($A$8:$A351)+1,"")))</f>
        <v/>
      </c>
      <c r="B352" s="11">
        <v>345</v>
      </c>
      <c r="C352" s="19" t="str">
        <f t="shared" si="17"/>
        <v>EMPTY</v>
      </c>
      <c r="D352" s="3" t="str">
        <f t="shared" si="19"/>
        <v/>
      </c>
      <c r="E352" s="22"/>
      <c r="F352" s="8" t="str">
        <f t="shared" si="18"/>
        <v/>
      </c>
    </row>
    <row r="353" spans="1:6" x14ac:dyDescent="0.25">
      <c r="A353" s="13" t="str">
        <f>IF(AND($E353="",MAX($A$8:$A352)=0),"",IF(AND($E353&lt;&gt;"",MAX($A$8:$A352)=0),1,IF(AND($E353&lt;&gt;"",MAX($A$8:$A352)&gt;0),MAX($A$8:$A352)+1,"")))</f>
        <v/>
      </c>
      <c r="B353" s="11">
        <v>346</v>
      </c>
      <c r="C353" s="19" t="str">
        <f t="shared" si="17"/>
        <v>EMPTY</v>
      </c>
      <c r="D353" s="3" t="str">
        <f t="shared" si="19"/>
        <v/>
      </c>
      <c r="E353" s="22"/>
      <c r="F353" s="8" t="str">
        <f t="shared" si="18"/>
        <v/>
      </c>
    </row>
    <row r="354" spans="1:6" x14ac:dyDescent="0.25">
      <c r="A354" s="13" t="str">
        <f>IF(AND($E354="",MAX($A$8:$A353)=0),"",IF(AND($E354&lt;&gt;"",MAX($A$8:$A353)=0),1,IF(AND($E354&lt;&gt;"",MAX($A$8:$A353)&gt;0),MAX($A$8:$A353)+1,"")))</f>
        <v/>
      </c>
      <c r="B354" s="11">
        <v>347</v>
      </c>
      <c r="C354" s="19" t="str">
        <f t="shared" si="17"/>
        <v>EMPTY</v>
      </c>
      <c r="D354" s="3" t="str">
        <f t="shared" si="19"/>
        <v/>
      </c>
      <c r="E354" s="22"/>
      <c r="F354" s="8" t="str">
        <f t="shared" si="18"/>
        <v/>
      </c>
    </row>
    <row r="355" spans="1:6" x14ac:dyDescent="0.25">
      <c r="A355" s="13" t="str">
        <f>IF(AND($E355="",MAX($A$8:$A354)=0),"",IF(AND($E355&lt;&gt;"",MAX($A$8:$A354)=0),1,IF(AND($E355&lt;&gt;"",MAX($A$8:$A354)&gt;0),MAX($A$8:$A354)+1,"")))</f>
        <v/>
      </c>
      <c r="B355" s="11">
        <v>348</v>
      </c>
      <c r="C355" s="19" t="str">
        <f t="shared" si="17"/>
        <v>EMPTY</v>
      </c>
      <c r="D355" s="3" t="str">
        <f t="shared" si="19"/>
        <v/>
      </c>
      <c r="E355" s="22"/>
      <c r="F355" s="8" t="str">
        <f t="shared" si="18"/>
        <v/>
      </c>
    </row>
    <row r="356" spans="1:6" x14ac:dyDescent="0.25">
      <c r="A356" s="13" t="str">
        <f>IF(AND($E356="",MAX($A$8:$A355)=0),"",IF(AND($E356&lt;&gt;"",MAX($A$8:$A355)=0),1,IF(AND($E356&lt;&gt;"",MAX($A$8:$A355)&gt;0),MAX($A$8:$A355)+1,"")))</f>
        <v/>
      </c>
      <c r="B356" s="11">
        <v>349</v>
      </c>
      <c r="C356" s="19" t="str">
        <f t="shared" si="17"/>
        <v>EMPTY</v>
      </c>
      <c r="D356" s="3" t="str">
        <f t="shared" si="19"/>
        <v/>
      </c>
      <c r="E356" s="22"/>
      <c r="F356" s="8" t="str">
        <f t="shared" si="18"/>
        <v/>
      </c>
    </row>
    <row r="357" spans="1:6" x14ac:dyDescent="0.25">
      <c r="A357" s="13" t="str">
        <f>IF(AND($E357="",MAX($A$8:$A356)=0),"",IF(AND($E357&lt;&gt;"",MAX($A$8:$A356)=0),1,IF(AND($E357&lt;&gt;"",MAX($A$8:$A356)&gt;0),MAX($A$8:$A356)+1,"")))</f>
        <v/>
      </c>
      <c r="B357" s="11">
        <v>350</v>
      </c>
      <c r="C357" s="19" t="str">
        <f t="shared" si="17"/>
        <v>EMPTY</v>
      </c>
      <c r="D357" s="3" t="str">
        <f t="shared" si="19"/>
        <v/>
      </c>
      <c r="E357" s="22"/>
      <c r="F357" s="8" t="str">
        <f t="shared" si="18"/>
        <v/>
      </c>
    </row>
    <row r="358" spans="1:6" x14ac:dyDescent="0.25">
      <c r="A358" s="13" t="str">
        <f>IF(AND($E358="",MAX($A$8:$A357)=0),"",IF(AND($E358&lt;&gt;"",MAX($A$8:$A357)=0),1,IF(AND($E358&lt;&gt;"",MAX($A$8:$A357)&gt;0),MAX($A$8:$A357)+1,"")))</f>
        <v/>
      </c>
      <c r="B358" s="11">
        <v>351</v>
      </c>
      <c r="C358" s="19" t="str">
        <f t="shared" si="17"/>
        <v>EMPTY</v>
      </c>
      <c r="D358" s="3" t="str">
        <f t="shared" si="19"/>
        <v/>
      </c>
      <c r="E358" s="22"/>
      <c r="F358" s="8" t="str">
        <f t="shared" si="18"/>
        <v/>
      </c>
    </row>
    <row r="359" spans="1:6" x14ac:dyDescent="0.25">
      <c r="A359" s="13" t="str">
        <f>IF(AND($E359="",MAX($A$8:$A358)=0),"",IF(AND($E359&lt;&gt;"",MAX($A$8:$A358)=0),1,IF(AND($E359&lt;&gt;"",MAX($A$8:$A358)&gt;0),MAX($A$8:$A358)+1,"")))</f>
        <v/>
      </c>
      <c r="B359" s="11">
        <v>352</v>
      </c>
      <c r="C359" s="19" t="str">
        <f t="shared" si="17"/>
        <v>EMPTY</v>
      </c>
      <c r="D359" s="3" t="str">
        <f t="shared" si="19"/>
        <v/>
      </c>
      <c r="E359" s="22"/>
      <c r="F359" s="8" t="str">
        <f t="shared" si="18"/>
        <v/>
      </c>
    </row>
    <row r="360" spans="1:6" x14ac:dyDescent="0.25">
      <c r="A360" s="13" t="str">
        <f>IF(AND($E360="",MAX($A$8:$A359)=0),"",IF(AND($E360&lt;&gt;"",MAX($A$8:$A359)=0),1,IF(AND($E360&lt;&gt;"",MAX($A$8:$A359)&gt;0),MAX($A$8:$A359)+1,"")))</f>
        <v/>
      </c>
      <c r="B360" s="11">
        <v>353</v>
      </c>
      <c r="C360" s="19" t="str">
        <f t="shared" si="17"/>
        <v>EMPTY</v>
      </c>
      <c r="D360" s="3" t="str">
        <f t="shared" si="19"/>
        <v/>
      </c>
      <c r="E360" s="22"/>
      <c r="F360" s="8" t="str">
        <f t="shared" si="18"/>
        <v/>
      </c>
    </row>
    <row r="361" spans="1:6" x14ac:dyDescent="0.25">
      <c r="A361" s="13" t="str">
        <f>IF(AND($E361="",MAX($A$8:$A360)=0),"",IF(AND($E361&lt;&gt;"",MAX($A$8:$A360)=0),1,IF(AND($E361&lt;&gt;"",MAX($A$8:$A360)&gt;0),MAX($A$8:$A360)+1,"")))</f>
        <v/>
      </c>
      <c r="B361" s="11">
        <v>354</v>
      </c>
      <c r="C361" s="19" t="str">
        <f t="shared" si="17"/>
        <v>EMPTY</v>
      </c>
      <c r="D361" s="3" t="str">
        <f t="shared" si="19"/>
        <v/>
      </c>
      <c r="E361" s="22"/>
      <c r="F361" s="8" t="str">
        <f t="shared" si="18"/>
        <v/>
      </c>
    </row>
    <row r="362" spans="1:6" x14ac:dyDescent="0.25">
      <c r="A362" s="13" t="str">
        <f>IF(AND($E362="",MAX($A$8:$A361)=0),"",IF(AND($E362&lt;&gt;"",MAX($A$8:$A361)=0),1,IF(AND($E362&lt;&gt;"",MAX($A$8:$A361)&gt;0),MAX($A$8:$A361)+1,"")))</f>
        <v/>
      </c>
      <c r="B362" s="11">
        <v>355</v>
      </c>
      <c r="C362" s="19" t="str">
        <f t="shared" si="17"/>
        <v>EMPTY</v>
      </c>
      <c r="D362" s="3" t="str">
        <f t="shared" si="19"/>
        <v/>
      </c>
      <c r="E362" s="22"/>
      <c r="F362" s="8" t="str">
        <f t="shared" si="18"/>
        <v/>
      </c>
    </row>
    <row r="363" spans="1:6" x14ac:dyDescent="0.25">
      <c r="A363" s="13" t="str">
        <f>IF(AND($E363="",MAX($A$8:$A362)=0),"",IF(AND($E363&lt;&gt;"",MAX($A$8:$A362)=0),1,IF(AND($E363&lt;&gt;"",MAX($A$8:$A362)&gt;0),MAX($A$8:$A362)+1,"")))</f>
        <v/>
      </c>
      <c r="B363" s="11">
        <v>356</v>
      </c>
      <c r="C363" s="19" t="str">
        <f t="shared" si="17"/>
        <v>EMPTY</v>
      </c>
      <c r="D363" s="3" t="str">
        <f t="shared" si="19"/>
        <v/>
      </c>
      <c r="E363" s="22"/>
      <c r="F363" s="8" t="str">
        <f t="shared" si="18"/>
        <v/>
      </c>
    </row>
    <row r="364" spans="1:6" x14ac:dyDescent="0.25">
      <c r="A364" s="13" t="str">
        <f>IF(AND($E364="",MAX($A$8:$A363)=0),"",IF(AND($E364&lt;&gt;"",MAX($A$8:$A363)=0),1,IF(AND($E364&lt;&gt;"",MAX($A$8:$A363)&gt;0),MAX($A$8:$A363)+1,"")))</f>
        <v/>
      </c>
      <c r="B364" s="11">
        <v>357</v>
      </c>
      <c r="C364" s="19" t="str">
        <f t="shared" si="17"/>
        <v>EMPTY</v>
      </c>
      <c r="D364" s="3" t="str">
        <f t="shared" si="19"/>
        <v/>
      </c>
      <c r="E364" s="22"/>
      <c r="F364" s="8" t="str">
        <f t="shared" si="18"/>
        <v/>
      </c>
    </row>
    <row r="365" spans="1:6" x14ac:dyDescent="0.25">
      <c r="A365" s="13" t="str">
        <f>IF(AND($E365="",MAX($A$8:$A364)=0),"",IF(AND($E365&lt;&gt;"",MAX($A$8:$A364)=0),1,IF(AND($E365&lt;&gt;"",MAX($A$8:$A364)&gt;0),MAX($A$8:$A364)+1,"")))</f>
        <v/>
      </c>
      <c r="B365" s="11">
        <v>358</v>
      </c>
      <c r="C365" s="19" t="str">
        <f t="shared" si="17"/>
        <v>EMPTY</v>
      </c>
      <c r="D365" s="3" t="str">
        <f t="shared" si="19"/>
        <v/>
      </c>
      <c r="E365" s="22"/>
      <c r="F365" s="8" t="str">
        <f t="shared" si="18"/>
        <v/>
      </c>
    </row>
    <row r="366" spans="1:6" x14ac:dyDescent="0.25">
      <c r="A366" s="13" t="str">
        <f>IF(AND($E366="",MAX($A$8:$A365)=0),"",IF(AND($E366&lt;&gt;"",MAX($A$8:$A365)=0),1,IF(AND($E366&lt;&gt;"",MAX($A$8:$A365)&gt;0),MAX($A$8:$A365)+1,"")))</f>
        <v/>
      </c>
      <c r="B366" s="11">
        <v>359</v>
      </c>
      <c r="C366" s="19" t="str">
        <f t="shared" si="17"/>
        <v>EMPTY</v>
      </c>
      <c r="D366" s="3" t="str">
        <f t="shared" si="19"/>
        <v/>
      </c>
      <c r="E366" s="22"/>
      <c r="F366" s="8" t="str">
        <f t="shared" si="18"/>
        <v/>
      </c>
    </row>
    <row r="367" spans="1:6" x14ac:dyDescent="0.25">
      <c r="A367" s="13" t="str">
        <f>IF(AND($E367="",MAX($A$8:$A366)=0),"",IF(AND($E367&lt;&gt;"",MAX($A$8:$A366)=0),1,IF(AND($E367&lt;&gt;"",MAX($A$8:$A366)&gt;0),MAX($A$8:$A366)+1,"")))</f>
        <v/>
      </c>
      <c r="B367" s="11">
        <v>360</v>
      </c>
      <c r="C367" s="19" t="str">
        <f t="shared" si="17"/>
        <v>EMPTY</v>
      </c>
      <c r="D367" s="3" t="str">
        <f t="shared" si="19"/>
        <v/>
      </c>
      <c r="E367" s="22"/>
      <c r="F367" s="8" t="str">
        <f t="shared" si="18"/>
        <v/>
      </c>
    </row>
    <row r="368" spans="1:6" x14ac:dyDescent="0.25">
      <c r="A368" s="13" t="str">
        <f>IF(AND($E368="",MAX($A$8:$A367)=0),"",IF(AND($E368&lt;&gt;"",MAX($A$8:$A367)=0),1,IF(AND($E368&lt;&gt;"",MAX($A$8:$A367)&gt;0),MAX($A$8:$A367)+1,"")))</f>
        <v/>
      </c>
      <c r="B368" s="11">
        <v>361</v>
      </c>
      <c r="C368" s="19" t="str">
        <f t="shared" si="17"/>
        <v>EMPTY</v>
      </c>
      <c r="D368" s="3" t="str">
        <f t="shared" si="19"/>
        <v/>
      </c>
      <c r="E368" s="22"/>
      <c r="F368" s="8" t="str">
        <f t="shared" si="18"/>
        <v/>
      </c>
    </row>
    <row r="369" spans="1:6" x14ac:dyDescent="0.25">
      <c r="A369" s="13" t="str">
        <f>IF(AND($E369="",MAX($A$8:$A368)=0),"",IF(AND($E369&lt;&gt;"",MAX($A$8:$A368)=0),1,IF(AND($E369&lt;&gt;"",MAX($A$8:$A368)&gt;0),MAX($A$8:$A368)+1,"")))</f>
        <v/>
      </c>
      <c r="B369" s="11">
        <v>362</v>
      </c>
      <c r="C369" s="19" t="str">
        <f t="shared" si="17"/>
        <v>EMPTY</v>
      </c>
      <c r="D369" s="3" t="str">
        <f t="shared" si="19"/>
        <v/>
      </c>
      <c r="E369" s="22"/>
      <c r="F369" s="8" t="str">
        <f t="shared" si="18"/>
        <v/>
      </c>
    </row>
    <row r="370" spans="1:6" x14ac:dyDescent="0.25">
      <c r="A370" s="13" t="str">
        <f>IF(AND($E370="",MAX($A$8:$A369)=0),"",IF(AND($E370&lt;&gt;"",MAX($A$8:$A369)=0),1,IF(AND($E370&lt;&gt;"",MAX($A$8:$A369)&gt;0),MAX($A$8:$A369)+1,"")))</f>
        <v/>
      </c>
      <c r="B370" s="11">
        <v>363</v>
      </c>
      <c r="C370" s="19" t="str">
        <f t="shared" si="17"/>
        <v>EMPTY</v>
      </c>
      <c r="D370" s="3" t="str">
        <f t="shared" si="19"/>
        <v/>
      </c>
      <c r="E370" s="22"/>
      <c r="F370" s="8" t="str">
        <f t="shared" si="18"/>
        <v/>
      </c>
    </row>
    <row r="371" spans="1:6" x14ac:dyDescent="0.25">
      <c r="A371" s="13" t="str">
        <f>IF(AND($E371="",MAX($A$8:$A370)=0),"",IF(AND($E371&lt;&gt;"",MAX($A$8:$A370)=0),1,IF(AND($E371&lt;&gt;"",MAX($A$8:$A370)&gt;0),MAX($A$8:$A370)+1,"")))</f>
        <v/>
      </c>
      <c r="B371" s="11">
        <v>364</v>
      </c>
      <c r="C371" s="19" t="str">
        <f t="shared" si="17"/>
        <v>EMPTY</v>
      </c>
      <c r="D371" s="3" t="str">
        <f t="shared" si="19"/>
        <v/>
      </c>
      <c r="E371" s="22"/>
      <c r="F371" s="8" t="str">
        <f t="shared" si="18"/>
        <v/>
      </c>
    </row>
    <row r="372" spans="1:6" x14ac:dyDescent="0.25">
      <c r="A372" s="13" t="str">
        <f>IF(AND($E372="",MAX($A$8:$A371)=0),"",IF(AND($E372&lt;&gt;"",MAX($A$8:$A371)=0),1,IF(AND($E372&lt;&gt;"",MAX($A$8:$A371)&gt;0),MAX($A$8:$A371)+1,"")))</f>
        <v/>
      </c>
      <c r="B372" s="11">
        <v>365</v>
      </c>
      <c r="C372" s="19" t="str">
        <f t="shared" si="17"/>
        <v>EMPTY</v>
      </c>
      <c r="D372" s="3" t="str">
        <f t="shared" si="19"/>
        <v/>
      </c>
      <c r="E372" s="22"/>
      <c r="F372" s="8" t="str">
        <f t="shared" si="18"/>
        <v/>
      </c>
    </row>
    <row r="373" spans="1:6" x14ac:dyDescent="0.25">
      <c r="A373" s="13" t="str">
        <f>IF(AND($E373="",MAX($A$8:$A372)=0),"",IF(AND($E373&lt;&gt;"",MAX($A$8:$A372)=0),1,IF(AND($E373&lt;&gt;"",MAX($A$8:$A372)&gt;0),MAX($A$8:$A372)+1,"")))</f>
        <v/>
      </c>
      <c r="B373" s="11">
        <v>366</v>
      </c>
      <c r="C373" s="19" t="str">
        <f t="shared" si="17"/>
        <v>EMPTY</v>
      </c>
      <c r="D373" s="3" t="str">
        <f t="shared" si="19"/>
        <v/>
      </c>
      <c r="E373" s="22"/>
      <c r="F373" s="8" t="str">
        <f t="shared" si="18"/>
        <v/>
      </c>
    </row>
    <row r="374" spans="1:6" x14ac:dyDescent="0.25">
      <c r="A374" s="13" t="str">
        <f>IF(AND($E374="",MAX($A$8:$A373)=0),"",IF(AND($E374&lt;&gt;"",MAX($A$8:$A373)=0),1,IF(AND($E374&lt;&gt;"",MAX($A$8:$A373)&gt;0),MAX($A$8:$A373)+1,"")))</f>
        <v/>
      </c>
      <c r="B374" s="11">
        <v>367</v>
      </c>
      <c r="C374" s="19" t="str">
        <f t="shared" si="17"/>
        <v>EMPTY</v>
      </c>
      <c r="D374" s="3" t="str">
        <f t="shared" si="19"/>
        <v/>
      </c>
      <c r="E374" s="22"/>
      <c r="F374" s="8" t="str">
        <f t="shared" si="18"/>
        <v/>
      </c>
    </row>
    <row r="375" spans="1:6" x14ac:dyDescent="0.25">
      <c r="A375" s="13" t="str">
        <f>IF(AND($E375="",MAX($A$8:$A374)=0),"",IF(AND($E375&lt;&gt;"",MAX($A$8:$A374)=0),1,IF(AND($E375&lt;&gt;"",MAX($A$8:$A374)&gt;0),MAX($A$8:$A374)+1,"")))</f>
        <v/>
      </c>
      <c r="B375" s="11">
        <v>368</v>
      </c>
      <c r="C375" s="19" t="str">
        <f t="shared" si="17"/>
        <v>EMPTY</v>
      </c>
      <c r="D375" s="3" t="str">
        <f t="shared" si="19"/>
        <v/>
      </c>
      <c r="E375" s="22"/>
      <c r="F375" s="8" t="str">
        <f t="shared" si="18"/>
        <v/>
      </c>
    </row>
    <row r="376" spans="1:6" x14ac:dyDescent="0.25">
      <c r="A376" s="13" t="str">
        <f>IF(AND($E376="",MAX($A$8:$A375)=0),"",IF(AND($E376&lt;&gt;"",MAX($A$8:$A375)=0),1,IF(AND($E376&lt;&gt;"",MAX($A$8:$A375)&gt;0),MAX($A$8:$A375)+1,"")))</f>
        <v/>
      </c>
      <c r="B376" s="11">
        <v>369</v>
      </c>
      <c r="C376" s="19" t="str">
        <f t="shared" si="17"/>
        <v>EMPTY</v>
      </c>
      <c r="D376" s="3" t="str">
        <f t="shared" si="19"/>
        <v/>
      </c>
      <c r="E376" s="22"/>
      <c r="F376" s="8" t="str">
        <f t="shared" si="18"/>
        <v/>
      </c>
    </row>
    <row r="377" spans="1:6" x14ac:dyDescent="0.25">
      <c r="A377" s="13" t="str">
        <f>IF(AND($E377="",MAX($A$8:$A376)=0),"",IF(AND($E377&lt;&gt;"",MAX($A$8:$A376)=0),1,IF(AND($E377&lt;&gt;"",MAX($A$8:$A376)&gt;0),MAX($A$8:$A376)+1,"")))</f>
        <v/>
      </c>
      <c r="B377" s="11">
        <v>370</v>
      </c>
      <c r="C377" s="19" t="str">
        <f t="shared" si="17"/>
        <v>EMPTY</v>
      </c>
      <c r="D377" s="3" t="str">
        <f t="shared" si="19"/>
        <v/>
      </c>
      <c r="E377" s="22"/>
      <c r="F377" s="8" t="str">
        <f t="shared" si="18"/>
        <v/>
      </c>
    </row>
    <row r="378" spans="1:6" x14ac:dyDescent="0.25">
      <c r="A378" s="13" t="str">
        <f>IF(AND($E378="",MAX($A$8:$A377)=0),"",IF(AND($E378&lt;&gt;"",MAX($A$8:$A377)=0),1,IF(AND($E378&lt;&gt;"",MAX($A$8:$A377)&gt;0),MAX($A$8:$A377)+1,"")))</f>
        <v/>
      </c>
      <c r="B378" s="11">
        <v>371</v>
      </c>
      <c r="C378" s="19" t="str">
        <f t="shared" si="17"/>
        <v>EMPTY</v>
      </c>
      <c r="D378" s="3" t="str">
        <f t="shared" si="19"/>
        <v/>
      </c>
      <c r="E378" s="22"/>
      <c r="F378" s="8" t="str">
        <f t="shared" si="18"/>
        <v/>
      </c>
    </row>
    <row r="379" spans="1:6" x14ac:dyDescent="0.25">
      <c r="A379" s="13" t="str">
        <f>IF(AND($E379="",MAX($A$8:$A378)=0),"",IF(AND($E379&lt;&gt;"",MAX($A$8:$A378)=0),1,IF(AND($E379&lt;&gt;"",MAX($A$8:$A378)&gt;0),MAX($A$8:$A378)+1,"")))</f>
        <v/>
      </c>
      <c r="B379" s="11">
        <v>372</v>
      </c>
      <c r="C379" s="19" t="str">
        <f t="shared" si="17"/>
        <v>EMPTY</v>
      </c>
      <c r="D379" s="3" t="str">
        <f t="shared" si="19"/>
        <v/>
      </c>
      <c r="E379" s="22"/>
      <c r="F379" s="8" t="str">
        <f t="shared" si="18"/>
        <v/>
      </c>
    </row>
    <row r="380" spans="1:6" x14ac:dyDescent="0.25">
      <c r="A380" s="13" t="str">
        <f>IF(AND($E380="",MAX($A$8:$A379)=0),"",IF(AND($E380&lt;&gt;"",MAX($A$8:$A379)=0),1,IF(AND($E380&lt;&gt;"",MAX($A$8:$A379)&gt;0),MAX($A$8:$A379)+1,"")))</f>
        <v/>
      </c>
      <c r="B380" s="11">
        <v>373</v>
      </c>
      <c r="C380" s="19" t="str">
        <f t="shared" si="17"/>
        <v>EMPTY</v>
      </c>
      <c r="D380" s="3" t="str">
        <f t="shared" si="19"/>
        <v/>
      </c>
      <c r="E380" s="22"/>
      <c r="F380" s="8" t="str">
        <f t="shared" si="18"/>
        <v/>
      </c>
    </row>
    <row r="381" spans="1:6" x14ac:dyDescent="0.25">
      <c r="A381" s="13" t="str">
        <f>IF(AND($E381="",MAX($A$8:$A380)=0),"",IF(AND($E381&lt;&gt;"",MAX($A$8:$A380)=0),1,IF(AND($E381&lt;&gt;"",MAX($A$8:$A380)&gt;0),MAX($A$8:$A380)+1,"")))</f>
        <v/>
      </c>
      <c r="B381" s="11">
        <v>374</v>
      </c>
      <c r="C381" s="19" t="str">
        <f t="shared" si="17"/>
        <v>EMPTY</v>
      </c>
      <c r="D381" s="3" t="str">
        <f t="shared" si="19"/>
        <v/>
      </c>
      <c r="E381" s="22"/>
      <c r="F381" s="8" t="str">
        <f t="shared" si="18"/>
        <v/>
      </c>
    </row>
    <row r="382" spans="1:6" x14ac:dyDescent="0.25">
      <c r="A382" s="13" t="str">
        <f>IF(AND($E382="",MAX($A$8:$A381)=0),"",IF(AND($E382&lt;&gt;"",MAX($A$8:$A381)=0),1,IF(AND($E382&lt;&gt;"",MAX($A$8:$A381)&gt;0),MAX($A$8:$A381)+1,"")))</f>
        <v/>
      </c>
      <c r="B382" s="11">
        <v>375</v>
      </c>
      <c r="C382" s="19" t="str">
        <f t="shared" si="17"/>
        <v>EMPTY</v>
      </c>
      <c r="D382" s="3" t="str">
        <f t="shared" si="19"/>
        <v/>
      </c>
      <c r="E382" s="22"/>
      <c r="F382" s="8" t="str">
        <f t="shared" si="18"/>
        <v/>
      </c>
    </row>
    <row r="383" spans="1:6" x14ac:dyDescent="0.25">
      <c r="A383" s="13" t="str">
        <f>IF(AND($E383="",MAX($A$8:$A382)=0),"",IF(AND($E383&lt;&gt;"",MAX($A$8:$A382)=0),1,IF(AND($E383&lt;&gt;"",MAX($A$8:$A382)&gt;0),MAX($A$8:$A382)+1,"")))</f>
        <v/>
      </c>
      <c r="B383" s="11">
        <v>376</v>
      </c>
      <c r="C383" s="19" t="str">
        <f t="shared" si="17"/>
        <v>EMPTY</v>
      </c>
      <c r="D383" s="3" t="str">
        <f t="shared" si="19"/>
        <v/>
      </c>
      <c r="E383" s="22"/>
      <c r="F383" s="8" t="str">
        <f t="shared" si="18"/>
        <v/>
      </c>
    </row>
    <row r="384" spans="1:6" x14ac:dyDescent="0.25">
      <c r="A384" s="13" t="str">
        <f>IF(AND($E384="",MAX($A$8:$A383)=0),"",IF(AND($E384&lt;&gt;"",MAX($A$8:$A383)=0),1,IF(AND($E384&lt;&gt;"",MAX($A$8:$A383)&gt;0),MAX($A$8:$A383)+1,"")))</f>
        <v/>
      </c>
      <c r="B384" s="11">
        <v>377</v>
      </c>
      <c r="C384" s="19" t="str">
        <f t="shared" si="17"/>
        <v>EMPTY</v>
      </c>
      <c r="D384" s="3" t="str">
        <f t="shared" si="19"/>
        <v/>
      </c>
      <c r="E384" s="22"/>
      <c r="F384" s="8" t="str">
        <f t="shared" si="18"/>
        <v/>
      </c>
    </row>
    <row r="385" spans="1:6" x14ac:dyDescent="0.25">
      <c r="A385" s="13" t="str">
        <f>IF(AND($E385="",MAX($A$8:$A384)=0),"",IF(AND($E385&lt;&gt;"",MAX($A$8:$A384)=0),1,IF(AND($E385&lt;&gt;"",MAX($A$8:$A384)&gt;0),MAX($A$8:$A384)+1,"")))</f>
        <v/>
      </c>
      <c r="B385" s="11">
        <v>378</v>
      </c>
      <c r="C385" s="19" t="str">
        <f t="shared" si="17"/>
        <v>EMPTY</v>
      </c>
      <c r="D385" s="3" t="str">
        <f t="shared" si="19"/>
        <v/>
      </c>
      <c r="E385" s="22"/>
      <c r="F385" s="8" t="str">
        <f t="shared" si="18"/>
        <v/>
      </c>
    </row>
    <row r="386" spans="1:6" x14ac:dyDescent="0.25">
      <c r="A386" s="13" t="str">
        <f>IF(AND($E386="",MAX($A$8:$A385)=0),"",IF(AND($E386&lt;&gt;"",MAX($A$8:$A385)=0),1,IF(AND($E386&lt;&gt;"",MAX($A$8:$A385)&gt;0),MAX($A$8:$A385)+1,"")))</f>
        <v/>
      </c>
      <c r="B386" s="11">
        <v>379</v>
      </c>
      <c r="C386" s="19" t="str">
        <f t="shared" si="17"/>
        <v>EMPTY</v>
      </c>
      <c r="D386" s="3" t="str">
        <f t="shared" si="19"/>
        <v/>
      </c>
      <c r="E386" s="22"/>
      <c r="F386" s="8" t="str">
        <f t="shared" si="18"/>
        <v/>
      </c>
    </row>
    <row r="387" spans="1:6" x14ac:dyDescent="0.25">
      <c r="A387" s="13" t="str">
        <f>IF(AND($E387="",MAX($A$8:$A386)=0),"",IF(AND($E387&lt;&gt;"",MAX($A$8:$A386)=0),1,IF(AND($E387&lt;&gt;"",MAX($A$8:$A386)&gt;0),MAX($A$8:$A386)+1,"")))</f>
        <v/>
      </c>
      <c r="B387" s="11">
        <v>380</v>
      </c>
      <c r="C387" s="19" t="str">
        <f t="shared" si="17"/>
        <v>EMPTY</v>
      </c>
      <c r="D387" s="3" t="str">
        <f t="shared" si="19"/>
        <v/>
      </c>
      <c r="E387" s="22"/>
      <c r="F387" s="8" t="str">
        <f t="shared" si="18"/>
        <v/>
      </c>
    </row>
    <row r="388" spans="1:6" x14ac:dyDescent="0.25">
      <c r="A388" s="13" t="str">
        <f>IF(AND($E388="",MAX($A$8:$A387)=0),"",IF(AND($E388&lt;&gt;"",MAX($A$8:$A387)=0),1,IF(AND($E388&lt;&gt;"",MAX($A$8:$A387)&gt;0),MAX($A$8:$A387)+1,"")))</f>
        <v/>
      </c>
      <c r="B388" s="11">
        <v>381</v>
      </c>
      <c r="C388" s="19" t="str">
        <f t="shared" si="17"/>
        <v>EMPTY</v>
      </c>
      <c r="D388" s="3" t="str">
        <f t="shared" si="19"/>
        <v/>
      </c>
      <c r="E388" s="22"/>
      <c r="F388" s="8" t="str">
        <f t="shared" si="18"/>
        <v/>
      </c>
    </row>
    <row r="389" spans="1:6" x14ac:dyDescent="0.25">
      <c r="A389" s="13" t="str">
        <f>IF(AND($E389="",MAX($A$8:$A388)=0),"",IF(AND($E389&lt;&gt;"",MAX($A$8:$A388)=0),1,IF(AND($E389&lt;&gt;"",MAX($A$8:$A388)&gt;0),MAX($A$8:$A388)+1,"")))</f>
        <v/>
      </c>
      <c r="B389" s="11">
        <v>382</v>
      </c>
      <c r="C389" s="19" t="str">
        <f t="shared" si="17"/>
        <v>EMPTY</v>
      </c>
      <c r="D389" s="3" t="str">
        <f t="shared" si="19"/>
        <v/>
      </c>
      <c r="E389" s="22"/>
      <c r="F389" s="8" t="str">
        <f t="shared" si="18"/>
        <v/>
      </c>
    </row>
    <row r="390" spans="1:6" x14ac:dyDescent="0.25">
      <c r="A390" s="13" t="str">
        <f>IF(AND($E390="",MAX($A$8:$A389)=0),"",IF(AND($E390&lt;&gt;"",MAX($A$8:$A389)=0),1,IF(AND($E390&lt;&gt;"",MAX($A$8:$A389)&gt;0),MAX($A$8:$A389)+1,"")))</f>
        <v/>
      </c>
      <c r="B390" s="11">
        <v>383</v>
      </c>
      <c r="C390" s="19" t="str">
        <f t="shared" si="17"/>
        <v>EMPTY</v>
      </c>
      <c r="D390" s="3" t="str">
        <f t="shared" si="19"/>
        <v/>
      </c>
      <c r="E390" s="22"/>
      <c r="F390" s="8" t="str">
        <f t="shared" si="18"/>
        <v/>
      </c>
    </row>
    <row r="391" spans="1:6" x14ac:dyDescent="0.25">
      <c r="A391" s="13" t="str">
        <f>IF(AND($E391="",MAX($A$8:$A390)=0),"",IF(AND($E391&lt;&gt;"",MAX($A$8:$A390)=0),1,IF(AND($E391&lt;&gt;"",MAX($A$8:$A390)&gt;0),MAX($A$8:$A390)+1,"")))</f>
        <v/>
      </c>
      <c r="B391" s="11">
        <v>384</v>
      </c>
      <c r="C391" s="19" t="str">
        <f t="shared" si="17"/>
        <v>EMPTY</v>
      </c>
      <c r="D391" s="3" t="str">
        <f t="shared" si="19"/>
        <v/>
      </c>
      <c r="E391" s="22"/>
      <c r="F391" s="8" t="str">
        <f t="shared" si="18"/>
        <v/>
      </c>
    </row>
    <row r="392" spans="1:6" x14ac:dyDescent="0.25">
      <c r="A392" s="13" t="str">
        <f>IF(AND($E392="",MAX($A$8:$A391)=0),"",IF(AND($E392&lt;&gt;"",MAX($A$8:$A391)=0),1,IF(AND($E392&lt;&gt;"",MAX($A$8:$A391)&gt;0),MAX($A$8:$A391)+1,"")))</f>
        <v/>
      </c>
      <c r="B392" s="11">
        <v>385</v>
      </c>
      <c r="C392" s="19" t="str">
        <f t="shared" si="17"/>
        <v>EMPTY</v>
      </c>
      <c r="D392" s="3" t="str">
        <f t="shared" si="19"/>
        <v/>
      </c>
      <c r="E392" s="22"/>
      <c r="F392" s="8" t="str">
        <f t="shared" si="18"/>
        <v/>
      </c>
    </row>
    <row r="393" spans="1:6" x14ac:dyDescent="0.25">
      <c r="A393" s="13" t="str">
        <f>IF(AND($E393="",MAX($A$8:$A392)=0),"",IF(AND($E393&lt;&gt;"",MAX($A$8:$A392)=0),1,IF(AND($E393&lt;&gt;"",MAX($A$8:$A392)&gt;0),MAX($A$8:$A392)+1,"")))</f>
        <v/>
      </c>
      <c r="B393" s="11">
        <v>386</v>
      </c>
      <c r="C393" s="19" t="str">
        <f t="shared" ref="C393:C456" si="20">IF($E393="","EMPTY",IF(COUNT(MID($E393,2,1))=0,"HIDE",IF(COUNT(MID($E393,2,1))=1,"SHOW","")))</f>
        <v>EMPTY</v>
      </c>
      <c r="D393" s="3" t="str">
        <f t="shared" si="19"/>
        <v/>
      </c>
      <c r="E393" s="22"/>
      <c r="F393" s="8" t="str">
        <f t="shared" ref="F393:F456" si="21">$D393</f>
        <v/>
      </c>
    </row>
    <row r="394" spans="1:6" x14ac:dyDescent="0.25">
      <c r="A394" s="13" t="str">
        <f>IF(AND($E394="",MAX($A$8:$A393)=0),"",IF(AND($E394&lt;&gt;"",MAX($A$8:$A393)=0),1,IF(AND($E394&lt;&gt;"",MAX($A$8:$A393)&gt;0),MAX($A$8:$A393)+1,"")))</f>
        <v/>
      </c>
      <c r="B394" s="11">
        <v>387</v>
      </c>
      <c r="C394" s="19" t="str">
        <f t="shared" si="20"/>
        <v>EMPTY</v>
      </c>
      <c r="D394" s="3" t="str">
        <f t="shared" si="19"/>
        <v/>
      </c>
      <c r="E394" s="22"/>
      <c r="F394" s="8" t="str">
        <f t="shared" si="21"/>
        <v/>
      </c>
    </row>
    <row r="395" spans="1:6" x14ac:dyDescent="0.25">
      <c r="A395" s="13" t="str">
        <f>IF(AND($E395="",MAX($A$8:$A394)=0),"",IF(AND($E395&lt;&gt;"",MAX($A$8:$A394)=0),1,IF(AND($E395&lt;&gt;"",MAX($A$8:$A394)&gt;0),MAX($A$8:$A394)+1,"")))</f>
        <v/>
      </c>
      <c r="B395" s="11">
        <v>388</v>
      </c>
      <c r="C395" s="19" t="str">
        <f t="shared" si="20"/>
        <v>EMPTY</v>
      </c>
      <c r="D395" s="3" t="str">
        <f t="shared" si="19"/>
        <v/>
      </c>
      <c r="E395" s="22"/>
      <c r="F395" s="8" t="str">
        <f t="shared" si="21"/>
        <v/>
      </c>
    </row>
    <row r="396" spans="1:6" x14ac:dyDescent="0.25">
      <c r="A396" s="13" t="str">
        <f>IF(AND($E396="",MAX($A$8:$A395)=0),"",IF(AND($E396&lt;&gt;"",MAX($A$8:$A395)=0),1,IF(AND($E396&lt;&gt;"",MAX($A$8:$A395)&gt;0),MAX($A$8:$A395)+1,"")))</f>
        <v/>
      </c>
      <c r="B396" s="11">
        <v>389</v>
      </c>
      <c r="C396" s="19" t="str">
        <f t="shared" si="20"/>
        <v>EMPTY</v>
      </c>
      <c r="D396" s="3" t="str">
        <f t="shared" si="19"/>
        <v/>
      </c>
      <c r="E396" s="22"/>
      <c r="F396" s="8" t="str">
        <f t="shared" si="21"/>
        <v/>
      </c>
    </row>
    <row r="397" spans="1:6" x14ac:dyDescent="0.25">
      <c r="A397" s="13" t="str">
        <f>IF(AND($E397="",MAX($A$8:$A396)=0),"",IF(AND($E397&lt;&gt;"",MAX($A$8:$A396)=0),1,IF(AND($E397&lt;&gt;"",MAX($A$8:$A396)&gt;0),MAX($A$8:$A396)+1,"")))</f>
        <v/>
      </c>
      <c r="B397" s="11">
        <v>390</v>
      </c>
      <c r="C397" s="19" t="str">
        <f t="shared" si="20"/>
        <v>EMPTY</v>
      </c>
      <c r="D397" s="3" t="str">
        <f t="shared" si="19"/>
        <v/>
      </c>
      <c r="E397" s="22"/>
      <c r="F397" s="8" t="str">
        <f t="shared" si="21"/>
        <v/>
      </c>
    </row>
    <row r="398" spans="1:6" x14ac:dyDescent="0.25">
      <c r="A398" s="13" t="str">
        <f>IF(AND($E398="",MAX($A$8:$A397)=0),"",IF(AND($E398&lt;&gt;"",MAX($A$8:$A397)=0),1,IF(AND($E398&lt;&gt;"",MAX($A$8:$A397)&gt;0),MAX($A$8:$A397)+1,"")))</f>
        <v/>
      </c>
      <c r="B398" s="11">
        <v>391</v>
      </c>
      <c r="C398" s="19" t="str">
        <f t="shared" si="20"/>
        <v>EMPTY</v>
      </c>
      <c r="D398" s="3" t="str">
        <f t="shared" si="19"/>
        <v/>
      </c>
      <c r="E398" s="22"/>
      <c r="F398" s="8" t="str">
        <f t="shared" si="21"/>
        <v/>
      </c>
    </row>
    <row r="399" spans="1:6" x14ac:dyDescent="0.25">
      <c r="A399" s="13" t="str">
        <f>IF(AND($E399="",MAX($A$8:$A398)=0),"",IF(AND($E399&lt;&gt;"",MAX($A$8:$A398)=0),1,IF(AND($E399&lt;&gt;"",MAX($A$8:$A398)&gt;0),MAX($A$8:$A398)+1,"")))</f>
        <v/>
      </c>
      <c r="B399" s="11">
        <v>392</v>
      </c>
      <c r="C399" s="19" t="str">
        <f t="shared" si="20"/>
        <v>EMPTY</v>
      </c>
      <c r="D399" s="3" t="str">
        <f t="shared" si="19"/>
        <v/>
      </c>
      <c r="E399" s="22"/>
      <c r="F399" s="8" t="str">
        <f t="shared" si="21"/>
        <v/>
      </c>
    </row>
    <row r="400" spans="1:6" x14ac:dyDescent="0.25">
      <c r="A400" s="13" t="str">
        <f>IF(AND($E400="",MAX($A$8:$A399)=0),"",IF(AND($E400&lt;&gt;"",MAX($A$8:$A399)=0),1,IF(AND($E400&lt;&gt;"",MAX($A$8:$A399)&gt;0),MAX($A$8:$A399)+1,"")))</f>
        <v/>
      </c>
      <c r="B400" s="11">
        <v>393</v>
      </c>
      <c r="C400" s="19" t="str">
        <f t="shared" si="20"/>
        <v>EMPTY</v>
      </c>
      <c r="D400" s="3" t="str">
        <f t="shared" si="19"/>
        <v/>
      </c>
      <c r="E400" s="22"/>
      <c r="F400" s="8" t="str">
        <f t="shared" si="21"/>
        <v/>
      </c>
    </row>
    <row r="401" spans="1:6" x14ac:dyDescent="0.25">
      <c r="A401" s="13" t="str">
        <f>IF(AND($E401="",MAX($A$8:$A400)=0),"",IF(AND($E401&lt;&gt;"",MAX($A$8:$A400)=0),1,IF(AND($E401&lt;&gt;"",MAX($A$8:$A400)&gt;0),MAX($A$8:$A400)+1,"")))</f>
        <v/>
      </c>
      <c r="B401" s="11">
        <v>394</v>
      </c>
      <c r="C401" s="19" t="str">
        <f t="shared" si="20"/>
        <v>EMPTY</v>
      </c>
      <c r="D401" s="3" t="str">
        <f t="shared" ref="D401:D464" si="22">IF(AND(OR($C401="EMPTY",$C401="HIDE",$C401=""),OR($C402="EMPTY",$C402="HIDE",$C402="")),"",IF(AND($C401="SHOW",OR($C402="EMPTY",$C402="HIDE",$C402="")),CONCATENATE("Dialogue: 0,0:",MID($E401,2,8),",0:",MID($E401,2,8),",Default,,0,0,0,,",MID($E401,11,1000)),IF(AND($C401="SHOW",$C402="SHOW"),CONCATENATE("Dialogue: 0,0:",MID($E401,2,8),",0:",MID($E402,2,8),",Default,,0,0,0,,",MID($E401,11,1000)),"")))</f>
        <v/>
      </c>
      <c r="E401" s="22"/>
      <c r="F401" s="8" t="str">
        <f t="shared" si="21"/>
        <v/>
      </c>
    </row>
    <row r="402" spans="1:6" x14ac:dyDescent="0.25">
      <c r="A402" s="13" t="str">
        <f>IF(AND($E402="",MAX($A$8:$A401)=0),"",IF(AND($E402&lt;&gt;"",MAX($A$8:$A401)=0),1,IF(AND($E402&lt;&gt;"",MAX($A$8:$A401)&gt;0),MAX($A$8:$A401)+1,"")))</f>
        <v/>
      </c>
      <c r="B402" s="11">
        <v>395</v>
      </c>
      <c r="C402" s="19" t="str">
        <f t="shared" si="20"/>
        <v>EMPTY</v>
      </c>
      <c r="D402" s="3" t="str">
        <f t="shared" si="22"/>
        <v/>
      </c>
      <c r="E402" s="22"/>
      <c r="F402" s="8" t="str">
        <f t="shared" si="21"/>
        <v/>
      </c>
    </row>
    <row r="403" spans="1:6" x14ac:dyDescent="0.25">
      <c r="A403" s="13" t="str">
        <f>IF(AND($E403="",MAX($A$8:$A402)=0),"",IF(AND($E403&lt;&gt;"",MAX($A$8:$A402)=0),1,IF(AND($E403&lt;&gt;"",MAX($A$8:$A402)&gt;0),MAX($A$8:$A402)+1,"")))</f>
        <v/>
      </c>
      <c r="B403" s="11">
        <v>396</v>
      </c>
      <c r="C403" s="19" t="str">
        <f t="shared" si="20"/>
        <v>EMPTY</v>
      </c>
      <c r="D403" s="3" t="str">
        <f t="shared" si="22"/>
        <v/>
      </c>
      <c r="E403" s="22"/>
      <c r="F403" s="8" t="str">
        <f t="shared" si="21"/>
        <v/>
      </c>
    </row>
    <row r="404" spans="1:6" x14ac:dyDescent="0.25">
      <c r="A404" s="13" t="str">
        <f>IF(AND($E404="",MAX($A$8:$A403)=0),"",IF(AND($E404&lt;&gt;"",MAX($A$8:$A403)=0),1,IF(AND($E404&lt;&gt;"",MAX($A$8:$A403)&gt;0),MAX($A$8:$A403)+1,"")))</f>
        <v/>
      </c>
      <c r="B404" s="11">
        <v>397</v>
      </c>
      <c r="C404" s="19" t="str">
        <f t="shared" si="20"/>
        <v>EMPTY</v>
      </c>
      <c r="D404" s="3" t="str">
        <f t="shared" si="22"/>
        <v/>
      </c>
      <c r="E404" s="22"/>
      <c r="F404" s="8" t="str">
        <f t="shared" si="21"/>
        <v/>
      </c>
    </row>
    <row r="405" spans="1:6" x14ac:dyDescent="0.25">
      <c r="A405" s="13" t="str">
        <f>IF(AND($E405="",MAX($A$8:$A404)=0),"",IF(AND($E405&lt;&gt;"",MAX($A$8:$A404)=0),1,IF(AND($E405&lt;&gt;"",MAX($A$8:$A404)&gt;0),MAX($A$8:$A404)+1,"")))</f>
        <v/>
      </c>
      <c r="B405" s="11">
        <v>398</v>
      </c>
      <c r="C405" s="19" t="str">
        <f t="shared" si="20"/>
        <v>EMPTY</v>
      </c>
      <c r="D405" s="3" t="str">
        <f t="shared" si="22"/>
        <v/>
      </c>
      <c r="E405" s="22"/>
      <c r="F405" s="8" t="str">
        <f t="shared" si="21"/>
        <v/>
      </c>
    </row>
    <row r="406" spans="1:6" x14ac:dyDescent="0.25">
      <c r="A406" s="13" t="str">
        <f>IF(AND($E406="",MAX($A$8:$A405)=0),"",IF(AND($E406&lt;&gt;"",MAX($A$8:$A405)=0),1,IF(AND($E406&lt;&gt;"",MAX($A$8:$A405)&gt;0),MAX($A$8:$A405)+1,"")))</f>
        <v/>
      </c>
      <c r="B406" s="11">
        <v>399</v>
      </c>
      <c r="C406" s="19" t="str">
        <f t="shared" si="20"/>
        <v>EMPTY</v>
      </c>
      <c r="D406" s="3" t="str">
        <f t="shared" si="22"/>
        <v/>
      </c>
      <c r="E406" s="22"/>
      <c r="F406" s="8" t="str">
        <f t="shared" si="21"/>
        <v/>
      </c>
    </row>
    <row r="407" spans="1:6" x14ac:dyDescent="0.25">
      <c r="A407" s="13" t="str">
        <f>IF(AND($E407="",MAX($A$8:$A406)=0),"",IF(AND($E407&lt;&gt;"",MAX($A$8:$A406)=0),1,IF(AND($E407&lt;&gt;"",MAX($A$8:$A406)&gt;0),MAX($A$8:$A406)+1,"")))</f>
        <v/>
      </c>
      <c r="B407" s="11">
        <v>400</v>
      </c>
      <c r="C407" s="19" t="str">
        <f t="shared" si="20"/>
        <v>EMPTY</v>
      </c>
      <c r="D407" s="3" t="str">
        <f t="shared" si="22"/>
        <v/>
      </c>
      <c r="E407" s="22"/>
      <c r="F407" s="8" t="str">
        <f t="shared" si="21"/>
        <v/>
      </c>
    </row>
    <row r="408" spans="1:6" x14ac:dyDescent="0.25">
      <c r="A408" s="13" t="str">
        <f>IF(AND($E408="",MAX($A$8:$A407)=0),"",IF(AND($E408&lt;&gt;"",MAX($A$8:$A407)=0),1,IF(AND($E408&lt;&gt;"",MAX($A$8:$A407)&gt;0),MAX($A$8:$A407)+1,"")))</f>
        <v/>
      </c>
      <c r="B408" s="11">
        <v>401</v>
      </c>
      <c r="C408" s="19" t="str">
        <f t="shared" si="20"/>
        <v>EMPTY</v>
      </c>
      <c r="D408" s="3" t="str">
        <f t="shared" si="22"/>
        <v/>
      </c>
      <c r="E408" s="22"/>
      <c r="F408" s="8" t="str">
        <f t="shared" si="21"/>
        <v/>
      </c>
    </row>
    <row r="409" spans="1:6" x14ac:dyDescent="0.25">
      <c r="A409" s="13" t="str">
        <f>IF(AND($E409="",MAX($A$8:$A408)=0),"",IF(AND($E409&lt;&gt;"",MAX($A$8:$A408)=0),1,IF(AND($E409&lt;&gt;"",MAX($A$8:$A408)&gt;0),MAX($A$8:$A408)+1,"")))</f>
        <v/>
      </c>
      <c r="B409" s="11">
        <v>402</v>
      </c>
      <c r="C409" s="19" t="str">
        <f t="shared" si="20"/>
        <v>EMPTY</v>
      </c>
      <c r="D409" s="3" t="str">
        <f t="shared" si="22"/>
        <v/>
      </c>
      <c r="E409" s="22"/>
      <c r="F409" s="8" t="str">
        <f t="shared" si="21"/>
        <v/>
      </c>
    </row>
    <row r="410" spans="1:6" x14ac:dyDescent="0.25">
      <c r="A410" s="13" t="str">
        <f>IF(AND($E410="",MAX($A$8:$A409)=0),"",IF(AND($E410&lt;&gt;"",MAX($A$8:$A409)=0),1,IF(AND($E410&lt;&gt;"",MAX($A$8:$A409)&gt;0),MAX($A$8:$A409)+1,"")))</f>
        <v/>
      </c>
      <c r="B410" s="11">
        <v>403</v>
      </c>
      <c r="C410" s="19" t="str">
        <f t="shared" si="20"/>
        <v>EMPTY</v>
      </c>
      <c r="D410" s="3" t="str">
        <f t="shared" si="22"/>
        <v/>
      </c>
      <c r="E410" s="22"/>
      <c r="F410" s="8" t="str">
        <f t="shared" si="21"/>
        <v/>
      </c>
    </row>
    <row r="411" spans="1:6" x14ac:dyDescent="0.25">
      <c r="A411" s="13" t="str">
        <f>IF(AND($E411="",MAX($A$8:$A410)=0),"",IF(AND($E411&lt;&gt;"",MAX($A$8:$A410)=0),1,IF(AND($E411&lt;&gt;"",MAX($A$8:$A410)&gt;0),MAX($A$8:$A410)+1,"")))</f>
        <v/>
      </c>
      <c r="B411" s="11">
        <v>404</v>
      </c>
      <c r="C411" s="19" t="str">
        <f t="shared" si="20"/>
        <v>EMPTY</v>
      </c>
      <c r="D411" s="3" t="str">
        <f t="shared" si="22"/>
        <v/>
      </c>
      <c r="E411" s="22"/>
      <c r="F411" s="8" t="str">
        <f t="shared" si="21"/>
        <v/>
      </c>
    </row>
    <row r="412" spans="1:6" x14ac:dyDescent="0.25">
      <c r="A412" s="13" t="str">
        <f>IF(AND($E412="",MAX($A$8:$A411)=0),"",IF(AND($E412&lt;&gt;"",MAX($A$8:$A411)=0),1,IF(AND($E412&lt;&gt;"",MAX($A$8:$A411)&gt;0),MAX($A$8:$A411)+1,"")))</f>
        <v/>
      </c>
      <c r="B412" s="11">
        <v>405</v>
      </c>
      <c r="C412" s="19" t="str">
        <f t="shared" si="20"/>
        <v>EMPTY</v>
      </c>
      <c r="D412" s="3" t="str">
        <f t="shared" si="22"/>
        <v/>
      </c>
      <c r="E412" s="22"/>
      <c r="F412" s="8" t="str">
        <f t="shared" si="21"/>
        <v/>
      </c>
    </row>
    <row r="413" spans="1:6" x14ac:dyDescent="0.25">
      <c r="A413" s="13" t="str">
        <f>IF(AND($E413="",MAX($A$8:$A412)=0),"",IF(AND($E413&lt;&gt;"",MAX($A$8:$A412)=0),1,IF(AND($E413&lt;&gt;"",MAX($A$8:$A412)&gt;0),MAX($A$8:$A412)+1,"")))</f>
        <v/>
      </c>
      <c r="B413" s="11">
        <v>406</v>
      </c>
      <c r="C413" s="19" t="str">
        <f t="shared" si="20"/>
        <v>EMPTY</v>
      </c>
      <c r="D413" s="3" t="str">
        <f t="shared" si="22"/>
        <v/>
      </c>
      <c r="E413" s="22"/>
      <c r="F413" s="8" t="str">
        <f t="shared" si="21"/>
        <v/>
      </c>
    </row>
    <row r="414" spans="1:6" x14ac:dyDescent="0.25">
      <c r="A414" s="13" t="str">
        <f>IF(AND($E414="",MAX($A$8:$A413)=0),"",IF(AND($E414&lt;&gt;"",MAX($A$8:$A413)=0),1,IF(AND($E414&lt;&gt;"",MAX($A$8:$A413)&gt;0),MAX($A$8:$A413)+1,"")))</f>
        <v/>
      </c>
      <c r="B414" s="11">
        <v>407</v>
      </c>
      <c r="C414" s="19" t="str">
        <f t="shared" si="20"/>
        <v>EMPTY</v>
      </c>
      <c r="D414" s="3" t="str">
        <f t="shared" si="22"/>
        <v/>
      </c>
      <c r="E414" s="22"/>
      <c r="F414" s="8" t="str">
        <f t="shared" si="21"/>
        <v/>
      </c>
    </row>
    <row r="415" spans="1:6" x14ac:dyDescent="0.25">
      <c r="A415" s="13" t="str">
        <f>IF(AND($E415="",MAX($A$8:$A414)=0),"",IF(AND($E415&lt;&gt;"",MAX($A$8:$A414)=0),1,IF(AND($E415&lt;&gt;"",MAX($A$8:$A414)&gt;0),MAX($A$8:$A414)+1,"")))</f>
        <v/>
      </c>
      <c r="B415" s="11">
        <v>408</v>
      </c>
      <c r="C415" s="19" t="str">
        <f t="shared" si="20"/>
        <v>EMPTY</v>
      </c>
      <c r="D415" s="3" t="str">
        <f t="shared" si="22"/>
        <v/>
      </c>
      <c r="E415" s="22"/>
      <c r="F415" s="8" t="str">
        <f t="shared" si="21"/>
        <v/>
      </c>
    </row>
    <row r="416" spans="1:6" x14ac:dyDescent="0.25">
      <c r="A416" s="13" t="str">
        <f>IF(AND($E416="",MAX($A$8:$A415)=0),"",IF(AND($E416&lt;&gt;"",MAX($A$8:$A415)=0),1,IF(AND($E416&lt;&gt;"",MAX($A$8:$A415)&gt;0),MAX($A$8:$A415)+1,"")))</f>
        <v/>
      </c>
      <c r="B416" s="11">
        <v>409</v>
      </c>
      <c r="C416" s="19" t="str">
        <f t="shared" si="20"/>
        <v>EMPTY</v>
      </c>
      <c r="D416" s="3" t="str">
        <f t="shared" si="22"/>
        <v/>
      </c>
      <c r="E416" s="22"/>
      <c r="F416" s="8" t="str">
        <f t="shared" si="21"/>
        <v/>
      </c>
    </row>
    <row r="417" spans="1:6" x14ac:dyDescent="0.25">
      <c r="A417" s="13" t="str">
        <f>IF(AND($E417="",MAX($A$8:$A416)=0),"",IF(AND($E417&lt;&gt;"",MAX($A$8:$A416)=0),1,IF(AND($E417&lt;&gt;"",MAX($A$8:$A416)&gt;0),MAX($A$8:$A416)+1,"")))</f>
        <v/>
      </c>
      <c r="B417" s="11">
        <v>410</v>
      </c>
      <c r="C417" s="19" t="str">
        <f t="shared" si="20"/>
        <v>EMPTY</v>
      </c>
      <c r="D417" s="3" t="str">
        <f t="shared" si="22"/>
        <v/>
      </c>
      <c r="E417" s="22"/>
      <c r="F417" s="8" t="str">
        <f t="shared" si="21"/>
        <v/>
      </c>
    </row>
    <row r="418" spans="1:6" x14ac:dyDescent="0.25">
      <c r="A418" s="13" t="str">
        <f>IF(AND($E418="",MAX($A$8:$A417)=0),"",IF(AND($E418&lt;&gt;"",MAX($A$8:$A417)=0),1,IF(AND($E418&lt;&gt;"",MAX($A$8:$A417)&gt;0),MAX($A$8:$A417)+1,"")))</f>
        <v/>
      </c>
      <c r="B418" s="11">
        <v>411</v>
      </c>
      <c r="C418" s="19" t="str">
        <f t="shared" si="20"/>
        <v>EMPTY</v>
      </c>
      <c r="D418" s="3" t="str">
        <f t="shared" si="22"/>
        <v/>
      </c>
      <c r="E418" s="22"/>
      <c r="F418" s="8" t="str">
        <f t="shared" si="21"/>
        <v/>
      </c>
    </row>
    <row r="419" spans="1:6" x14ac:dyDescent="0.25">
      <c r="A419" s="13" t="str">
        <f>IF(AND($E419="",MAX($A$8:$A418)=0),"",IF(AND($E419&lt;&gt;"",MAX($A$8:$A418)=0),1,IF(AND($E419&lt;&gt;"",MAX($A$8:$A418)&gt;0),MAX($A$8:$A418)+1,"")))</f>
        <v/>
      </c>
      <c r="B419" s="11">
        <v>412</v>
      </c>
      <c r="C419" s="19" t="str">
        <f t="shared" si="20"/>
        <v>EMPTY</v>
      </c>
      <c r="D419" s="3" t="str">
        <f t="shared" si="22"/>
        <v/>
      </c>
      <c r="E419" s="22"/>
      <c r="F419" s="8" t="str">
        <f t="shared" si="21"/>
        <v/>
      </c>
    </row>
    <row r="420" spans="1:6" x14ac:dyDescent="0.25">
      <c r="A420" s="13" t="str">
        <f>IF(AND($E420="",MAX($A$8:$A419)=0),"",IF(AND($E420&lt;&gt;"",MAX($A$8:$A419)=0),1,IF(AND($E420&lt;&gt;"",MAX($A$8:$A419)&gt;0),MAX($A$8:$A419)+1,"")))</f>
        <v/>
      </c>
      <c r="B420" s="11">
        <v>413</v>
      </c>
      <c r="C420" s="19" t="str">
        <f t="shared" si="20"/>
        <v>EMPTY</v>
      </c>
      <c r="D420" s="3" t="str">
        <f t="shared" si="22"/>
        <v/>
      </c>
      <c r="E420" s="22"/>
      <c r="F420" s="8" t="str">
        <f t="shared" si="21"/>
        <v/>
      </c>
    </row>
    <row r="421" spans="1:6" x14ac:dyDescent="0.25">
      <c r="A421" s="13" t="str">
        <f>IF(AND($E421="",MAX($A$8:$A420)=0),"",IF(AND($E421&lt;&gt;"",MAX($A$8:$A420)=0),1,IF(AND($E421&lt;&gt;"",MAX($A$8:$A420)&gt;0),MAX($A$8:$A420)+1,"")))</f>
        <v/>
      </c>
      <c r="B421" s="11">
        <v>414</v>
      </c>
      <c r="C421" s="19" t="str">
        <f t="shared" si="20"/>
        <v>EMPTY</v>
      </c>
      <c r="D421" s="3" t="str">
        <f t="shared" si="22"/>
        <v/>
      </c>
      <c r="E421" s="22"/>
      <c r="F421" s="8" t="str">
        <f t="shared" si="21"/>
        <v/>
      </c>
    </row>
    <row r="422" spans="1:6" x14ac:dyDescent="0.25">
      <c r="A422" s="13" t="str">
        <f>IF(AND($E422="",MAX($A$8:$A421)=0),"",IF(AND($E422&lt;&gt;"",MAX($A$8:$A421)=0),1,IF(AND($E422&lt;&gt;"",MAX($A$8:$A421)&gt;0),MAX($A$8:$A421)+1,"")))</f>
        <v/>
      </c>
      <c r="B422" s="11">
        <v>415</v>
      </c>
      <c r="C422" s="19" t="str">
        <f t="shared" si="20"/>
        <v>EMPTY</v>
      </c>
      <c r="D422" s="3" t="str">
        <f t="shared" si="22"/>
        <v/>
      </c>
      <c r="E422" s="22"/>
      <c r="F422" s="8" t="str">
        <f t="shared" si="21"/>
        <v/>
      </c>
    </row>
    <row r="423" spans="1:6" x14ac:dyDescent="0.25">
      <c r="A423" s="13" t="str">
        <f>IF(AND($E423="",MAX($A$8:$A422)=0),"",IF(AND($E423&lt;&gt;"",MAX($A$8:$A422)=0),1,IF(AND($E423&lt;&gt;"",MAX($A$8:$A422)&gt;0),MAX($A$8:$A422)+1,"")))</f>
        <v/>
      </c>
      <c r="B423" s="11">
        <v>416</v>
      </c>
      <c r="C423" s="19" t="str">
        <f t="shared" si="20"/>
        <v>EMPTY</v>
      </c>
      <c r="D423" s="3" t="str">
        <f t="shared" si="22"/>
        <v/>
      </c>
      <c r="E423" s="22"/>
      <c r="F423" s="8" t="str">
        <f t="shared" si="21"/>
        <v/>
      </c>
    </row>
    <row r="424" spans="1:6" x14ac:dyDescent="0.25">
      <c r="A424" s="13" t="str">
        <f>IF(AND($E424="",MAX($A$8:$A423)=0),"",IF(AND($E424&lt;&gt;"",MAX($A$8:$A423)=0),1,IF(AND($E424&lt;&gt;"",MAX($A$8:$A423)&gt;0),MAX($A$8:$A423)+1,"")))</f>
        <v/>
      </c>
      <c r="B424" s="11">
        <v>417</v>
      </c>
      <c r="C424" s="19" t="str">
        <f t="shared" si="20"/>
        <v>EMPTY</v>
      </c>
      <c r="D424" s="3" t="str">
        <f t="shared" si="22"/>
        <v/>
      </c>
      <c r="E424" s="22"/>
      <c r="F424" s="8" t="str">
        <f t="shared" si="21"/>
        <v/>
      </c>
    </row>
    <row r="425" spans="1:6" x14ac:dyDescent="0.25">
      <c r="A425" s="13" t="str">
        <f>IF(AND($E425="",MAX($A$8:$A424)=0),"",IF(AND($E425&lt;&gt;"",MAX($A$8:$A424)=0),1,IF(AND($E425&lt;&gt;"",MAX($A$8:$A424)&gt;0),MAX($A$8:$A424)+1,"")))</f>
        <v/>
      </c>
      <c r="B425" s="11">
        <v>418</v>
      </c>
      <c r="C425" s="19" t="str">
        <f t="shared" si="20"/>
        <v>EMPTY</v>
      </c>
      <c r="D425" s="3" t="str">
        <f t="shared" si="22"/>
        <v/>
      </c>
      <c r="E425" s="22"/>
      <c r="F425" s="8" t="str">
        <f t="shared" si="21"/>
        <v/>
      </c>
    </row>
    <row r="426" spans="1:6" x14ac:dyDescent="0.25">
      <c r="A426" s="13" t="str">
        <f>IF(AND($E426="",MAX($A$8:$A425)=0),"",IF(AND($E426&lt;&gt;"",MAX($A$8:$A425)=0),1,IF(AND($E426&lt;&gt;"",MAX($A$8:$A425)&gt;0),MAX($A$8:$A425)+1,"")))</f>
        <v/>
      </c>
      <c r="B426" s="11">
        <v>419</v>
      </c>
      <c r="C426" s="19" t="str">
        <f t="shared" si="20"/>
        <v>EMPTY</v>
      </c>
      <c r="D426" s="3" t="str">
        <f t="shared" si="22"/>
        <v/>
      </c>
      <c r="E426" s="22"/>
      <c r="F426" s="8" t="str">
        <f t="shared" si="21"/>
        <v/>
      </c>
    </row>
    <row r="427" spans="1:6" x14ac:dyDescent="0.25">
      <c r="A427" s="13" t="str">
        <f>IF(AND($E427="",MAX($A$8:$A426)=0),"",IF(AND($E427&lt;&gt;"",MAX($A$8:$A426)=0),1,IF(AND($E427&lt;&gt;"",MAX($A$8:$A426)&gt;0),MAX($A$8:$A426)+1,"")))</f>
        <v/>
      </c>
      <c r="B427" s="11">
        <v>420</v>
      </c>
      <c r="C427" s="19" t="str">
        <f t="shared" si="20"/>
        <v>EMPTY</v>
      </c>
      <c r="D427" s="3" t="str">
        <f t="shared" si="22"/>
        <v/>
      </c>
      <c r="E427" s="22"/>
      <c r="F427" s="8" t="str">
        <f t="shared" si="21"/>
        <v/>
      </c>
    </row>
    <row r="428" spans="1:6" x14ac:dyDescent="0.25">
      <c r="A428" s="13" t="str">
        <f>IF(AND($E428="",MAX($A$8:$A427)=0),"",IF(AND($E428&lt;&gt;"",MAX($A$8:$A427)=0),1,IF(AND($E428&lt;&gt;"",MAX($A$8:$A427)&gt;0),MAX($A$8:$A427)+1,"")))</f>
        <v/>
      </c>
      <c r="B428" s="11">
        <v>421</v>
      </c>
      <c r="C428" s="19" t="str">
        <f t="shared" si="20"/>
        <v>EMPTY</v>
      </c>
      <c r="D428" s="3" t="str">
        <f t="shared" si="22"/>
        <v/>
      </c>
      <c r="E428" s="22"/>
      <c r="F428" s="8" t="str">
        <f t="shared" si="21"/>
        <v/>
      </c>
    </row>
    <row r="429" spans="1:6" x14ac:dyDescent="0.25">
      <c r="A429" s="13" t="str">
        <f>IF(AND($E429="",MAX($A$8:$A428)=0),"",IF(AND($E429&lt;&gt;"",MAX($A$8:$A428)=0),1,IF(AND($E429&lt;&gt;"",MAX($A$8:$A428)&gt;0),MAX($A$8:$A428)+1,"")))</f>
        <v/>
      </c>
      <c r="B429" s="11">
        <v>422</v>
      </c>
      <c r="C429" s="19" t="str">
        <f t="shared" si="20"/>
        <v>EMPTY</v>
      </c>
      <c r="D429" s="3" t="str">
        <f t="shared" si="22"/>
        <v/>
      </c>
      <c r="E429" s="22"/>
      <c r="F429" s="8" t="str">
        <f t="shared" si="21"/>
        <v/>
      </c>
    </row>
    <row r="430" spans="1:6" x14ac:dyDescent="0.25">
      <c r="A430" s="13" t="str">
        <f>IF(AND($E430="",MAX($A$8:$A429)=0),"",IF(AND($E430&lt;&gt;"",MAX($A$8:$A429)=0),1,IF(AND($E430&lt;&gt;"",MAX($A$8:$A429)&gt;0),MAX($A$8:$A429)+1,"")))</f>
        <v/>
      </c>
      <c r="B430" s="11">
        <v>423</v>
      </c>
      <c r="C430" s="19" t="str">
        <f t="shared" si="20"/>
        <v>EMPTY</v>
      </c>
      <c r="D430" s="3" t="str">
        <f t="shared" si="22"/>
        <v/>
      </c>
      <c r="E430" s="22"/>
      <c r="F430" s="8" t="str">
        <f t="shared" si="21"/>
        <v/>
      </c>
    </row>
    <row r="431" spans="1:6" x14ac:dyDescent="0.25">
      <c r="A431" s="13" t="str">
        <f>IF(AND($E431="",MAX($A$8:$A430)=0),"",IF(AND($E431&lt;&gt;"",MAX($A$8:$A430)=0),1,IF(AND($E431&lt;&gt;"",MAX($A$8:$A430)&gt;0),MAX($A$8:$A430)+1,"")))</f>
        <v/>
      </c>
      <c r="B431" s="11">
        <v>424</v>
      </c>
      <c r="C431" s="19" t="str">
        <f t="shared" si="20"/>
        <v>EMPTY</v>
      </c>
      <c r="D431" s="3" t="str">
        <f t="shared" si="22"/>
        <v/>
      </c>
      <c r="E431" s="22"/>
      <c r="F431" s="8" t="str">
        <f t="shared" si="21"/>
        <v/>
      </c>
    </row>
    <row r="432" spans="1:6" x14ac:dyDescent="0.25">
      <c r="A432" s="13" t="str">
        <f>IF(AND($E432="",MAX($A$8:$A431)=0),"",IF(AND($E432&lt;&gt;"",MAX($A$8:$A431)=0),1,IF(AND($E432&lt;&gt;"",MAX($A$8:$A431)&gt;0),MAX($A$8:$A431)+1,"")))</f>
        <v/>
      </c>
      <c r="B432" s="11">
        <v>425</v>
      </c>
      <c r="C432" s="19" t="str">
        <f t="shared" si="20"/>
        <v>EMPTY</v>
      </c>
      <c r="D432" s="3" t="str">
        <f t="shared" si="22"/>
        <v/>
      </c>
      <c r="E432" s="22"/>
      <c r="F432" s="8" t="str">
        <f t="shared" si="21"/>
        <v/>
      </c>
    </row>
    <row r="433" spans="1:6" x14ac:dyDescent="0.25">
      <c r="A433" s="13" t="str">
        <f>IF(AND($E433="",MAX($A$8:$A432)=0),"",IF(AND($E433&lt;&gt;"",MAX($A$8:$A432)=0),1,IF(AND($E433&lt;&gt;"",MAX($A$8:$A432)&gt;0),MAX($A$8:$A432)+1,"")))</f>
        <v/>
      </c>
      <c r="B433" s="11">
        <v>426</v>
      </c>
      <c r="C433" s="19" t="str">
        <f t="shared" si="20"/>
        <v>EMPTY</v>
      </c>
      <c r="D433" s="3" t="str">
        <f t="shared" si="22"/>
        <v/>
      </c>
      <c r="E433" s="22"/>
      <c r="F433" s="8" t="str">
        <f t="shared" si="21"/>
        <v/>
      </c>
    </row>
    <row r="434" spans="1:6" x14ac:dyDescent="0.25">
      <c r="A434" s="13" t="str">
        <f>IF(AND($E434="",MAX($A$8:$A433)=0),"",IF(AND($E434&lt;&gt;"",MAX($A$8:$A433)=0),1,IF(AND($E434&lt;&gt;"",MAX($A$8:$A433)&gt;0),MAX($A$8:$A433)+1,"")))</f>
        <v/>
      </c>
      <c r="B434" s="11">
        <v>427</v>
      </c>
      <c r="C434" s="19" t="str">
        <f t="shared" si="20"/>
        <v>EMPTY</v>
      </c>
      <c r="D434" s="3" t="str">
        <f t="shared" si="22"/>
        <v/>
      </c>
      <c r="E434" s="22"/>
      <c r="F434" s="8" t="str">
        <f t="shared" si="21"/>
        <v/>
      </c>
    </row>
    <row r="435" spans="1:6" x14ac:dyDescent="0.25">
      <c r="A435" s="13" t="str">
        <f>IF(AND($E435="",MAX($A$8:$A434)=0),"",IF(AND($E435&lt;&gt;"",MAX($A$8:$A434)=0),1,IF(AND($E435&lt;&gt;"",MAX($A$8:$A434)&gt;0),MAX($A$8:$A434)+1,"")))</f>
        <v/>
      </c>
      <c r="B435" s="11">
        <v>428</v>
      </c>
      <c r="C435" s="19" t="str">
        <f t="shared" si="20"/>
        <v>EMPTY</v>
      </c>
      <c r="D435" s="3" t="str">
        <f t="shared" si="22"/>
        <v/>
      </c>
      <c r="E435" s="22"/>
      <c r="F435" s="8" t="str">
        <f t="shared" si="21"/>
        <v/>
      </c>
    </row>
    <row r="436" spans="1:6" x14ac:dyDescent="0.25">
      <c r="A436" s="13" t="str">
        <f>IF(AND($E436="",MAX($A$8:$A435)=0),"",IF(AND($E436&lt;&gt;"",MAX($A$8:$A435)=0),1,IF(AND($E436&lt;&gt;"",MAX($A$8:$A435)&gt;0),MAX($A$8:$A435)+1,"")))</f>
        <v/>
      </c>
      <c r="B436" s="11">
        <v>429</v>
      </c>
      <c r="C436" s="19" t="str">
        <f t="shared" si="20"/>
        <v>EMPTY</v>
      </c>
      <c r="D436" s="3" t="str">
        <f t="shared" si="22"/>
        <v/>
      </c>
      <c r="E436" s="22"/>
      <c r="F436" s="8" t="str">
        <f t="shared" si="21"/>
        <v/>
      </c>
    </row>
    <row r="437" spans="1:6" x14ac:dyDescent="0.25">
      <c r="A437" s="13" t="str">
        <f>IF(AND($E437="",MAX($A$8:$A436)=0),"",IF(AND($E437&lt;&gt;"",MAX($A$8:$A436)=0),1,IF(AND($E437&lt;&gt;"",MAX($A$8:$A436)&gt;0),MAX($A$8:$A436)+1,"")))</f>
        <v/>
      </c>
      <c r="B437" s="11">
        <v>430</v>
      </c>
      <c r="C437" s="19" t="str">
        <f t="shared" si="20"/>
        <v>EMPTY</v>
      </c>
      <c r="D437" s="3" t="str">
        <f t="shared" si="22"/>
        <v/>
      </c>
      <c r="E437" s="22"/>
      <c r="F437" s="8" t="str">
        <f t="shared" si="21"/>
        <v/>
      </c>
    </row>
    <row r="438" spans="1:6" x14ac:dyDescent="0.25">
      <c r="A438" s="13" t="str">
        <f>IF(AND($E438="",MAX($A$8:$A437)=0),"",IF(AND($E438&lt;&gt;"",MAX($A$8:$A437)=0),1,IF(AND($E438&lt;&gt;"",MAX($A$8:$A437)&gt;0),MAX($A$8:$A437)+1,"")))</f>
        <v/>
      </c>
      <c r="B438" s="11">
        <v>431</v>
      </c>
      <c r="C438" s="19" t="str">
        <f t="shared" si="20"/>
        <v>EMPTY</v>
      </c>
      <c r="D438" s="3" t="str">
        <f t="shared" si="22"/>
        <v/>
      </c>
      <c r="E438" s="22"/>
      <c r="F438" s="8" t="str">
        <f t="shared" si="21"/>
        <v/>
      </c>
    </row>
    <row r="439" spans="1:6" x14ac:dyDescent="0.25">
      <c r="A439" s="13" t="str">
        <f>IF(AND($E439="",MAX($A$8:$A438)=0),"",IF(AND($E439&lt;&gt;"",MAX($A$8:$A438)=0),1,IF(AND($E439&lt;&gt;"",MAX($A$8:$A438)&gt;0),MAX($A$8:$A438)+1,"")))</f>
        <v/>
      </c>
      <c r="B439" s="11">
        <v>432</v>
      </c>
      <c r="C439" s="19" t="str">
        <f t="shared" si="20"/>
        <v>EMPTY</v>
      </c>
      <c r="D439" s="3" t="str">
        <f t="shared" si="22"/>
        <v/>
      </c>
      <c r="E439" s="22"/>
      <c r="F439" s="8" t="str">
        <f t="shared" si="21"/>
        <v/>
      </c>
    </row>
    <row r="440" spans="1:6" x14ac:dyDescent="0.25">
      <c r="A440" s="13" t="str">
        <f>IF(AND($E440="",MAX($A$8:$A439)=0),"",IF(AND($E440&lt;&gt;"",MAX($A$8:$A439)=0),1,IF(AND($E440&lt;&gt;"",MAX($A$8:$A439)&gt;0),MAX($A$8:$A439)+1,"")))</f>
        <v/>
      </c>
      <c r="B440" s="11">
        <v>433</v>
      </c>
      <c r="C440" s="19" t="str">
        <f t="shared" si="20"/>
        <v>EMPTY</v>
      </c>
      <c r="D440" s="3" t="str">
        <f t="shared" si="22"/>
        <v/>
      </c>
      <c r="E440" s="22"/>
      <c r="F440" s="8" t="str">
        <f t="shared" si="21"/>
        <v/>
      </c>
    </row>
    <row r="441" spans="1:6" x14ac:dyDescent="0.25">
      <c r="A441" s="13" t="str">
        <f>IF(AND($E441="",MAX($A$8:$A440)=0),"",IF(AND($E441&lt;&gt;"",MAX($A$8:$A440)=0),1,IF(AND($E441&lt;&gt;"",MAX($A$8:$A440)&gt;0),MAX($A$8:$A440)+1,"")))</f>
        <v/>
      </c>
      <c r="B441" s="11">
        <v>434</v>
      </c>
      <c r="C441" s="19" t="str">
        <f t="shared" si="20"/>
        <v>EMPTY</v>
      </c>
      <c r="D441" s="3" t="str">
        <f t="shared" si="22"/>
        <v/>
      </c>
      <c r="E441" s="22"/>
      <c r="F441" s="8" t="str">
        <f t="shared" si="21"/>
        <v/>
      </c>
    </row>
    <row r="442" spans="1:6" x14ac:dyDescent="0.25">
      <c r="A442" s="13" t="str">
        <f>IF(AND($E442="",MAX($A$8:$A441)=0),"",IF(AND($E442&lt;&gt;"",MAX($A$8:$A441)=0),1,IF(AND($E442&lt;&gt;"",MAX($A$8:$A441)&gt;0),MAX($A$8:$A441)+1,"")))</f>
        <v/>
      </c>
      <c r="B442" s="11">
        <v>435</v>
      </c>
      <c r="C442" s="19" t="str">
        <f t="shared" si="20"/>
        <v>EMPTY</v>
      </c>
      <c r="D442" s="3" t="str">
        <f t="shared" si="22"/>
        <v/>
      </c>
      <c r="E442" s="22"/>
      <c r="F442" s="8" t="str">
        <f t="shared" si="21"/>
        <v/>
      </c>
    </row>
    <row r="443" spans="1:6" x14ac:dyDescent="0.25">
      <c r="A443" s="13" t="str">
        <f>IF(AND($E443="",MAX($A$8:$A442)=0),"",IF(AND($E443&lt;&gt;"",MAX($A$8:$A442)=0),1,IF(AND($E443&lt;&gt;"",MAX($A$8:$A442)&gt;0),MAX($A$8:$A442)+1,"")))</f>
        <v/>
      </c>
      <c r="B443" s="11">
        <v>436</v>
      </c>
      <c r="C443" s="19" t="str">
        <f t="shared" si="20"/>
        <v>EMPTY</v>
      </c>
      <c r="D443" s="3" t="str">
        <f t="shared" si="22"/>
        <v/>
      </c>
      <c r="E443" s="22"/>
      <c r="F443" s="8" t="str">
        <f t="shared" si="21"/>
        <v/>
      </c>
    </row>
    <row r="444" spans="1:6" x14ac:dyDescent="0.25">
      <c r="A444" s="13" t="str">
        <f>IF(AND($E444="",MAX($A$8:$A443)=0),"",IF(AND($E444&lt;&gt;"",MAX($A$8:$A443)=0),1,IF(AND($E444&lt;&gt;"",MAX($A$8:$A443)&gt;0),MAX($A$8:$A443)+1,"")))</f>
        <v/>
      </c>
      <c r="B444" s="11">
        <v>437</v>
      </c>
      <c r="C444" s="19" t="str">
        <f t="shared" si="20"/>
        <v>EMPTY</v>
      </c>
      <c r="D444" s="3" t="str">
        <f t="shared" si="22"/>
        <v/>
      </c>
      <c r="E444" s="22"/>
      <c r="F444" s="8" t="str">
        <f t="shared" si="21"/>
        <v/>
      </c>
    </row>
    <row r="445" spans="1:6" x14ac:dyDescent="0.25">
      <c r="A445" s="13" t="str">
        <f>IF(AND($E445="",MAX($A$8:$A444)=0),"",IF(AND($E445&lt;&gt;"",MAX($A$8:$A444)=0),1,IF(AND($E445&lt;&gt;"",MAX($A$8:$A444)&gt;0),MAX($A$8:$A444)+1,"")))</f>
        <v/>
      </c>
      <c r="B445" s="11">
        <v>438</v>
      </c>
      <c r="C445" s="19" t="str">
        <f t="shared" si="20"/>
        <v>EMPTY</v>
      </c>
      <c r="D445" s="3" t="str">
        <f t="shared" si="22"/>
        <v/>
      </c>
      <c r="E445" s="22"/>
      <c r="F445" s="8" t="str">
        <f t="shared" si="21"/>
        <v/>
      </c>
    </row>
    <row r="446" spans="1:6" x14ac:dyDescent="0.25">
      <c r="A446" s="13" t="str">
        <f>IF(AND($E446="",MAX($A$8:$A445)=0),"",IF(AND($E446&lt;&gt;"",MAX($A$8:$A445)=0),1,IF(AND($E446&lt;&gt;"",MAX($A$8:$A445)&gt;0),MAX($A$8:$A445)+1,"")))</f>
        <v/>
      </c>
      <c r="B446" s="11">
        <v>439</v>
      </c>
      <c r="C446" s="19" t="str">
        <f t="shared" si="20"/>
        <v>EMPTY</v>
      </c>
      <c r="D446" s="3" t="str">
        <f t="shared" si="22"/>
        <v/>
      </c>
      <c r="E446" s="22"/>
      <c r="F446" s="8" t="str">
        <f t="shared" si="21"/>
        <v/>
      </c>
    </row>
    <row r="447" spans="1:6" x14ac:dyDescent="0.25">
      <c r="A447" s="13" t="str">
        <f>IF(AND($E447="",MAX($A$8:$A446)=0),"",IF(AND($E447&lt;&gt;"",MAX($A$8:$A446)=0),1,IF(AND($E447&lt;&gt;"",MAX($A$8:$A446)&gt;0),MAX($A$8:$A446)+1,"")))</f>
        <v/>
      </c>
      <c r="B447" s="11">
        <v>440</v>
      </c>
      <c r="C447" s="19" t="str">
        <f t="shared" si="20"/>
        <v>EMPTY</v>
      </c>
      <c r="D447" s="3" t="str">
        <f t="shared" si="22"/>
        <v/>
      </c>
      <c r="E447" s="22"/>
      <c r="F447" s="8" t="str">
        <f t="shared" si="21"/>
        <v/>
      </c>
    </row>
    <row r="448" spans="1:6" x14ac:dyDescent="0.25">
      <c r="A448" s="13" t="str">
        <f>IF(AND($E448="",MAX($A$8:$A447)=0),"",IF(AND($E448&lt;&gt;"",MAX($A$8:$A447)=0),1,IF(AND($E448&lt;&gt;"",MAX($A$8:$A447)&gt;0),MAX($A$8:$A447)+1,"")))</f>
        <v/>
      </c>
      <c r="B448" s="11">
        <v>441</v>
      </c>
      <c r="C448" s="19" t="str">
        <f t="shared" si="20"/>
        <v>EMPTY</v>
      </c>
      <c r="D448" s="3" t="str">
        <f t="shared" si="22"/>
        <v/>
      </c>
      <c r="E448" s="22"/>
      <c r="F448" s="8" t="str">
        <f t="shared" si="21"/>
        <v/>
      </c>
    </row>
    <row r="449" spans="1:6" x14ac:dyDescent="0.25">
      <c r="A449" s="13" t="str">
        <f>IF(AND($E449="",MAX($A$8:$A448)=0),"",IF(AND($E449&lt;&gt;"",MAX($A$8:$A448)=0),1,IF(AND($E449&lt;&gt;"",MAX($A$8:$A448)&gt;0),MAX($A$8:$A448)+1,"")))</f>
        <v/>
      </c>
      <c r="B449" s="11">
        <v>442</v>
      </c>
      <c r="C449" s="19" t="str">
        <f t="shared" si="20"/>
        <v>EMPTY</v>
      </c>
      <c r="D449" s="3" t="str">
        <f t="shared" si="22"/>
        <v/>
      </c>
      <c r="E449" s="22"/>
      <c r="F449" s="8" t="str">
        <f t="shared" si="21"/>
        <v/>
      </c>
    </row>
    <row r="450" spans="1:6" x14ac:dyDescent="0.25">
      <c r="A450" s="13" t="str">
        <f>IF(AND($E450="",MAX($A$8:$A449)=0),"",IF(AND($E450&lt;&gt;"",MAX($A$8:$A449)=0),1,IF(AND($E450&lt;&gt;"",MAX($A$8:$A449)&gt;0),MAX($A$8:$A449)+1,"")))</f>
        <v/>
      </c>
      <c r="B450" s="11">
        <v>443</v>
      </c>
      <c r="C450" s="19" t="str">
        <f t="shared" si="20"/>
        <v>EMPTY</v>
      </c>
      <c r="D450" s="3" t="str">
        <f t="shared" si="22"/>
        <v/>
      </c>
      <c r="E450" s="22"/>
      <c r="F450" s="8" t="str">
        <f t="shared" si="21"/>
        <v/>
      </c>
    </row>
    <row r="451" spans="1:6" x14ac:dyDescent="0.25">
      <c r="A451" s="13" t="str">
        <f>IF(AND($E451="",MAX($A$8:$A450)=0),"",IF(AND($E451&lt;&gt;"",MAX($A$8:$A450)=0),1,IF(AND($E451&lt;&gt;"",MAX($A$8:$A450)&gt;0),MAX($A$8:$A450)+1,"")))</f>
        <v/>
      </c>
      <c r="B451" s="11">
        <v>444</v>
      </c>
      <c r="C451" s="19" t="str">
        <f t="shared" si="20"/>
        <v>EMPTY</v>
      </c>
      <c r="D451" s="3" t="str">
        <f t="shared" si="22"/>
        <v/>
      </c>
      <c r="E451" s="22"/>
      <c r="F451" s="8" t="str">
        <f t="shared" si="21"/>
        <v/>
      </c>
    </row>
    <row r="452" spans="1:6" x14ac:dyDescent="0.25">
      <c r="A452" s="13" t="str">
        <f>IF(AND($E452="",MAX($A$8:$A451)=0),"",IF(AND($E452&lt;&gt;"",MAX($A$8:$A451)=0),1,IF(AND($E452&lt;&gt;"",MAX($A$8:$A451)&gt;0),MAX($A$8:$A451)+1,"")))</f>
        <v/>
      </c>
      <c r="B452" s="11">
        <v>445</v>
      </c>
      <c r="C452" s="19" t="str">
        <f t="shared" si="20"/>
        <v>EMPTY</v>
      </c>
      <c r="D452" s="3" t="str">
        <f t="shared" si="22"/>
        <v/>
      </c>
      <c r="E452" s="22"/>
      <c r="F452" s="8" t="str">
        <f t="shared" si="21"/>
        <v/>
      </c>
    </row>
    <row r="453" spans="1:6" x14ac:dyDescent="0.25">
      <c r="A453" s="13" t="str">
        <f>IF(AND($E453="",MAX($A$8:$A452)=0),"",IF(AND($E453&lt;&gt;"",MAX($A$8:$A452)=0),1,IF(AND($E453&lt;&gt;"",MAX($A$8:$A452)&gt;0),MAX($A$8:$A452)+1,"")))</f>
        <v/>
      </c>
      <c r="B453" s="11">
        <v>446</v>
      </c>
      <c r="C453" s="19" t="str">
        <f t="shared" si="20"/>
        <v>EMPTY</v>
      </c>
      <c r="D453" s="3" t="str">
        <f t="shared" si="22"/>
        <v/>
      </c>
      <c r="E453" s="22"/>
      <c r="F453" s="8" t="str">
        <f t="shared" si="21"/>
        <v/>
      </c>
    </row>
    <row r="454" spans="1:6" x14ac:dyDescent="0.25">
      <c r="A454" s="13" t="str">
        <f>IF(AND($E454="",MAX($A$8:$A453)=0),"",IF(AND($E454&lt;&gt;"",MAX($A$8:$A453)=0),1,IF(AND($E454&lt;&gt;"",MAX($A$8:$A453)&gt;0),MAX($A$8:$A453)+1,"")))</f>
        <v/>
      </c>
      <c r="B454" s="11">
        <v>447</v>
      </c>
      <c r="C454" s="19" t="str">
        <f t="shared" si="20"/>
        <v>EMPTY</v>
      </c>
      <c r="D454" s="3" t="str">
        <f t="shared" si="22"/>
        <v/>
      </c>
      <c r="E454" s="22"/>
      <c r="F454" s="8" t="str">
        <f t="shared" si="21"/>
        <v/>
      </c>
    </row>
    <row r="455" spans="1:6" x14ac:dyDescent="0.25">
      <c r="A455" s="13" t="str">
        <f>IF(AND($E455="",MAX($A$8:$A454)=0),"",IF(AND($E455&lt;&gt;"",MAX($A$8:$A454)=0),1,IF(AND($E455&lt;&gt;"",MAX($A$8:$A454)&gt;0),MAX($A$8:$A454)+1,"")))</f>
        <v/>
      </c>
      <c r="B455" s="11">
        <v>448</v>
      </c>
      <c r="C455" s="19" t="str">
        <f t="shared" si="20"/>
        <v>EMPTY</v>
      </c>
      <c r="D455" s="3" t="str">
        <f t="shared" si="22"/>
        <v/>
      </c>
      <c r="E455" s="22"/>
      <c r="F455" s="8" t="str">
        <f t="shared" si="21"/>
        <v/>
      </c>
    </row>
    <row r="456" spans="1:6" x14ac:dyDescent="0.25">
      <c r="A456" s="13" t="str">
        <f>IF(AND($E456="",MAX($A$8:$A455)=0),"",IF(AND($E456&lt;&gt;"",MAX($A$8:$A455)=0),1,IF(AND($E456&lt;&gt;"",MAX($A$8:$A455)&gt;0),MAX($A$8:$A455)+1,"")))</f>
        <v/>
      </c>
      <c r="B456" s="11">
        <v>449</v>
      </c>
      <c r="C456" s="19" t="str">
        <f t="shared" si="20"/>
        <v>EMPTY</v>
      </c>
      <c r="D456" s="3" t="str">
        <f t="shared" si="22"/>
        <v/>
      </c>
      <c r="E456" s="22"/>
      <c r="F456" s="8" t="str">
        <f t="shared" si="21"/>
        <v/>
      </c>
    </row>
    <row r="457" spans="1:6" x14ac:dyDescent="0.25">
      <c r="A457" s="13" t="str">
        <f>IF(AND($E457="",MAX($A$8:$A456)=0),"",IF(AND($E457&lt;&gt;"",MAX($A$8:$A456)=0),1,IF(AND($E457&lt;&gt;"",MAX($A$8:$A456)&gt;0),MAX($A$8:$A456)+1,"")))</f>
        <v/>
      </c>
      <c r="B457" s="11">
        <v>450</v>
      </c>
      <c r="C457" s="19" t="str">
        <f t="shared" ref="C457:C520" si="23">IF($E457="","EMPTY",IF(COUNT(MID($E457,2,1))=0,"HIDE",IF(COUNT(MID($E457,2,1))=1,"SHOW","")))</f>
        <v>EMPTY</v>
      </c>
      <c r="D457" s="3" t="str">
        <f t="shared" si="22"/>
        <v/>
      </c>
      <c r="E457" s="22"/>
      <c r="F457" s="8" t="str">
        <f t="shared" ref="F457:F520" si="24">$D457</f>
        <v/>
      </c>
    </row>
    <row r="458" spans="1:6" x14ac:dyDescent="0.25">
      <c r="A458" s="13" t="str">
        <f>IF(AND($E458="",MAX($A$8:$A457)=0),"",IF(AND($E458&lt;&gt;"",MAX($A$8:$A457)=0),1,IF(AND($E458&lt;&gt;"",MAX($A$8:$A457)&gt;0),MAX($A$8:$A457)+1,"")))</f>
        <v/>
      </c>
      <c r="B458" s="11">
        <v>451</v>
      </c>
      <c r="C458" s="19" t="str">
        <f t="shared" si="23"/>
        <v>EMPTY</v>
      </c>
      <c r="D458" s="3" t="str">
        <f t="shared" si="22"/>
        <v/>
      </c>
      <c r="E458" s="22"/>
      <c r="F458" s="8" t="str">
        <f t="shared" si="24"/>
        <v/>
      </c>
    </row>
    <row r="459" spans="1:6" x14ac:dyDescent="0.25">
      <c r="A459" s="13" t="str">
        <f>IF(AND($E459="",MAX($A$8:$A458)=0),"",IF(AND($E459&lt;&gt;"",MAX($A$8:$A458)=0),1,IF(AND($E459&lt;&gt;"",MAX($A$8:$A458)&gt;0),MAX($A$8:$A458)+1,"")))</f>
        <v/>
      </c>
      <c r="B459" s="11">
        <v>452</v>
      </c>
      <c r="C459" s="19" t="str">
        <f t="shared" si="23"/>
        <v>EMPTY</v>
      </c>
      <c r="D459" s="3" t="str">
        <f t="shared" si="22"/>
        <v/>
      </c>
      <c r="E459" s="22"/>
      <c r="F459" s="8" t="str">
        <f t="shared" si="24"/>
        <v/>
      </c>
    </row>
    <row r="460" spans="1:6" x14ac:dyDescent="0.25">
      <c r="A460" s="13" t="str">
        <f>IF(AND($E460="",MAX($A$8:$A459)=0),"",IF(AND($E460&lt;&gt;"",MAX($A$8:$A459)=0),1,IF(AND($E460&lt;&gt;"",MAX($A$8:$A459)&gt;0),MAX($A$8:$A459)+1,"")))</f>
        <v/>
      </c>
      <c r="B460" s="11">
        <v>453</v>
      </c>
      <c r="C460" s="19" t="str">
        <f t="shared" si="23"/>
        <v>EMPTY</v>
      </c>
      <c r="D460" s="3" t="str">
        <f t="shared" si="22"/>
        <v/>
      </c>
      <c r="E460" s="22"/>
      <c r="F460" s="8" t="str">
        <f t="shared" si="24"/>
        <v/>
      </c>
    </row>
    <row r="461" spans="1:6" x14ac:dyDescent="0.25">
      <c r="A461" s="13" t="str">
        <f>IF(AND($E461="",MAX($A$8:$A460)=0),"",IF(AND($E461&lt;&gt;"",MAX($A$8:$A460)=0),1,IF(AND($E461&lt;&gt;"",MAX($A$8:$A460)&gt;0),MAX($A$8:$A460)+1,"")))</f>
        <v/>
      </c>
      <c r="B461" s="11">
        <v>454</v>
      </c>
      <c r="C461" s="19" t="str">
        <f t="shared" si="23"/>
        <v>EMPTY</v>
      </c>
      <c r="D461" s="3" t="str">
        <f t="shared" si="22"/>
        <v/>
      </c>
      <c r="E461" s="22"/>
      <c r="F461" s="8" t="str">
        <f t="shared" si="24"/>
        <v/>
      </c>
    </row>
    <row r="462" spans="1:6" x14ac:dyDescent="0.25">
      <c r="A462" s="13" t="str">
        <f>IF(AND($E462="",MAX($A$8:$A461)=0),"",IF(AND($E462&lt;&gt;"",MAX($A$8:$A461)=0),1,IF(AND($E462&lt;&gt;"",MAX($A$8:$A461)&gt;0),MAX($A$8:$A461)+1,"")))</f>
        <v/>
      </c>
      <c r="B462" s="11">
        <v>455</v>
      </c>
      <c r="C462" s="19" t="str">
        <f t="shared" si="23"/>
        <v>EMPTY</v>
      </c>
      <c r="D462" s="3" t="str">
        <f t="shared" si="22"/>
        <v/>
      </c>
      <c r="E462" s="22"/>
      <c r="F462" s="8" t="str">
        <f t="shared" si="24"/>
        <v/>
      </c>
    </row>
    <row r="463" spans="1:6" x14ac:dyDescent="0.25">
      <c r="A463" s="13" t="str">
        <f>IF(AND($E463="",MAX($A$8:$A462)=0),"",IF(AND($E463&lt;&gt;"",MAX($A$8:$A462)=0),1,IF(AND($E463&lt;&gt;"",MAX($A$8:$A462)&gt;0),MAX($A$8:$A462)+1,"")))</f>
        <v/>
      </c>
      <c r="B463" s="11">
        <v>456</v>
      </c>
      <c r="C463" s="19" t="str">
        <f t="shared" si="23"/>
        <v>EMPTY</v>
      </c>
      <c r="D463" s="3" t="str">
        <f t="shared" si="22"/>
        <v/>
      </c>
      <c r="E463" s="22"/>
      <c r="F463" s="8" t="str">
        <f t="shared" si="24"/>
        <v/>
      </c>
    </row>
    <row r="464" spans="1:6" x14ac:dyDescent="0.25">
      <c r="A464" s="13" t="str">
        <f>IF(AND($E464="",MAX($A$8:$A463)=0),"",IF(AND($E464&lt;&gt;"",MAX($A$8:$A463)=0),1,IF(AND($E464&lt;&gt;"",MAX($A$8:$A463)&gt;0),MAX($A$8:$A463)+1,"")))</f>
        <v/>
      </c>
      <c r="B464" s="11">
        <v>457</v>
      </c>
      <c r="C464" s="19" t="str">
        <f t="shared" si="23"/>
        <v>EMPTY</v>
      </c>
      <c r="D464" s="3" t="str">
        <f t="shared" si="22"/>
        <v/>
      </c>
      <c r="E464" s="22"/>
      <c r="F464" s="8" t="str">
        <f t="shared" si="24"/>
        <v/>
      </c>
    </row>
    <row r="465" spans="1:6" x14ac:dyDescent="0.25">
      <c r="A465" s="13" t="str">
        <f>IF(AND($E465="",MAX($A$8:$A464)=0),"",IF(AND($E465&lt;&gt;"",MAX($A$8:$A464)=0),1,IF(AND($E465&lt;&gt;"",MAX($A$8:$A464)&gt;0),MAX($A$8:$A464)+1,"")))</f>
        <v/>
      </c>
      <c r="B465" s="11">
        <v>458</v>
      </c>
      <c r="C465" s="19" t="str">
        <f t="shared" si="23"/>
        <v>EMPTY</v>
      </c>
      <c r="D465" s="3" t="str">
        <f t="shared" ref="D465:D528" si="25">IF(AND(OR($C465="EMPTY",$C465="HIDE",$C465=""),OR($C466="EMPTY",$C466="HIDE",$C466="")),"",IF(AND($C465="SHOW",OR($C466="EMPTY",$C466="HIDE",$C466="")),CONCATENATE("Dialogue: 0,0:",MID($E465,2,8),",0:",MID($E465,2,8),",Default,,0,0,0,,",MID($E465,11,1000)),IF(AND($C465="SHOW",$C466="SHOW"),CONCATENATE("Dialogue: 0,0:",MID($E465,2,8),",0:",MID($E466,2,8),",Default,,0,0,0,,",MID($E465,11,1000)),"")))</f>
        <v/>
      </c>
      <c r="E465" s="22"/>
      <c r="F465" s="8" t="str">
        <f t="shared" si="24"/>
        <v/>
      </c>
    </row>
    <row r="466" spans="1:6" x14ac:dyDescent="0.25">
      <c r="A466" s="13" t="str">
        <f>IF(AND($E466="",MAX($A$8:$A465)=0),"",IF(AND($E466&lt;&gt;"",MAX($A$8:$A465)=0),1,IF(AND($E466&lt;&gt;"",MAX($A$8:$A465)&gt;0),MAX($A$8:$A465)+1,"")))</f>
        <v/>
      </c>
      <c r="B466" s="11">
        <v>459</v>
      </c>
      <c r="C466" s="19" t="str">
        <f t="shared" si="23"/>
        <v>EMPTY</v>
      </c>
      <c r="D466" s="3" t="str">
        <f t="shared" si="25"/>
        <v/>
      </c>
      <c r="E466" s="22"/>
      <c r="F466" s="8" t="str">
        <f t="shared" si="24"/>
        <v/>
      </c>
    </row>
    <row r="467" spans="1:6" x14ac:dyDescent="0.25">
      <c r="A467" s="13" t="str">
        <f>IF(AND($E467="",MAX($A$8:$A466)=0),"",IF(AND($E467&lt;&gt;"",MAX($A$8:$A466)=0),1,IF(AND($E467&lt;&gt;"",MAX($A$8:$A466)&gt;0),MAX($A$8:$A466)+1,"")))</f>
        <v/>
      </c>
      <c r="B467" s="11">
        <v>460</v>
      </c>
      <c r="C467" s="19" t="str">
        <f t="shared" si="23"/>
        <v>EMPTY</v>
      </c>
      <c r="D467" s="3" t="str">
        <f t="shared" si="25"/>
        <v/>
      </c>
      <c r="E467" s="22"/>
      <c r="F467" s="8" t="str">
        <f t="shared" si="24"/>
        <v/>
      </c>
    </row>
    <row r="468" spans="1:6" x14ac:dyDescent="0.25">
      <c r="A468" s="13" t="str">
        <f>IF(AND($E468="",MAX($A$8:$A467)=0),"",IF(AND($E468&lt;&gt;"",MAX($A$8:$A467)=0),1,IF(AND($E468&lt;&gt;"",MAX($A$8:$A467)&gt;0),MAX($A$8:$A467)+1,"")))</f>
        <v/>
      </c>
      <c r="B468" s="11">
        <v>461</v>
      </c>
      <c r="C468" s="19" t="str">
        <f t="shared" si="23"/>
        <v>EMPTY</v>
      </c>
      <c r="D468" s="3" t="str">
        <f t="shared" si="25"/>
        <v/>
      </c>
      <c r="E468" s="22"/>
      <c r="F468" s="8" t="str">
        <f t="shared" si="24"/>
        <v/>
      </c>
    </row>
    <row r="469" spans="1:6" x14ac:dyDescent="0.25">
      <c r="A469" s="13" t="str">
        <f>IF(AND($E469="",MAX($A$8:$A468)=0),"",IF(AND($E469&lt;&gt;"",MAX($A$8:$A468)=0),1,IF(AND($E469&lt;&gt;"",MAX($A$8:$A468)&gt;0),MAX($A$8:$A468)+1,"")))</f>
        <v/>
      </c>
      <c r="B469" s="11">
        <v>462</v>
      </c>
      <c r="C469" s="19" t="str">
        <f t="shared" si="23"/>
        <v>EMPTY</v>
      </c>
      <c r="D469" s="3" t="str">
        <f t="shared" si="25"/>
        <v/>
      </c>
      <c r="E469" s="22"/>
      <c r="F469" s="8" t="str">
        <f t="shared" si="24"/>
        <v/>
      </c>
    </row>
    <row r="470" spans="1:6" x14ac:dyDescent="0.25">
      <c r="A470" s="13" t="str">
        <f>IF(AND($E470="",MAX($A$8:$A469)=0),"",IF(AND($E470&lt;&gt;"",MAX($A$8:$A469)=0),1,IF(AND($E470&lt;&gt;"",MAX($A$8:$A469)&gt;0),MAX($A$8:$A469)+1,"")))</f>
        <v/>
      </c>
      <c r="B470" s="11">
        <v>463</v>
      </c>
      <c r="C470" s="19" t="str">
        <f t="shared" si="23"/>
        <v>EMPTY</v>
      </c>
      <c r="D470" s="3" t="str">
        <f t="shared" si="25"/>
        <v/>
      </c>
      <c r="E470" s="22"/>
      <c r="F470" s="8" t="str">
        <f t="shared" si="24"/>
        <v/>
      </c>
    </row>
    <row r="471" spans="1:6" x14ac:dyDescent="0.25">
      <c r="A471" s="13" t="str">
        <f>IF(AND($E471="",MAX($A$8:$A470)=0),"",IF(AND($E471&lt;&gt;"",MAX($A$8:$A470)=0),1,IF(AND($E471&lt;&gt;"",MAX($A$8:$A470)&gt;0),MAX($A$8:$A470)+1,"")))</f>
        <v/>
      </c>
      <c r="B471" s="11">
        <v>464</v>
      </c>
      <c r="C471" s="19" t="str">
        <f t="shared" si="23"/>
        <v>EMPTY</v>
      </c>
      <c r="D471" s="3" t="str">
        <f t="shared" si="25"/>
        <v/>
      </c>
      <c r="E471" s="22"/>
      <c r="F471" s="8" t="str">
        <f t="shared" si="24"/>
        <v/>
      </c>
    </row>
    <row r="472" spans="1:6" x14ac:dyDescent="0.25">
      <c r="A472" s="13" t="str">
        <f>IF(AND($E472="",MAX($A$8:$A471)=0),"",IF(AND($E472&lt;&gt;"",MAX($A$8:$A471)=0),1,IF(AND($E472&lt;&gt;"",MAX($A$8:$A471)&gt;0),MAX($A$8:$A471)+1,"")))</f>
        <v/>
      </c>
      <c r="B472" s="11">
        <v>465</v>
      </c>
      <c r="C472" s="19" t="str">
        <f t="shared" si="23"/>
        <v>EMPTY</v>
      </c>
      <c r="D472" s="3" t="str">
        <f t="shared" si="25"/>
        <v/>
      </c>
      <c r="E472" s="22"/>
      <c r="F472" s="8" t="str">
        <f t="shared" si="24"/>
        <v/>
      </c>
    </row>
    <row r="473" spans="1:6" x14ac:dyDescent="0.25">
      <c r="A473" s="13" t="str">
        <f>IF(AND($E473="",MAX($A$8:$A472)=0),"",IF(AND($E473&lt;&gt;"",MAX($A$8:$A472)=0),1,IF(AND($E473&lt;&gt;"",MAX($A$8:$A472)&gt;0),MAX($A$8:$A472)+1,"")))</f>
        <v/>
      </c>
      <c r="B473" s="11">
        <v>466</v>
      </c>
      <c r="C473" s="19" t="str">
        <f t="shared" si="23"/>
        <v>EMPTY</v>
      </c>
      <c r="D473" s="3" t="str">
        <f t="shared" si="25"/>
        <v/>
      </c>
      <c r="E473" s="22"/>
      <c r="F473" s="8" t="str">
        <f t="shared" si="24"/>
        <v/>
      </c>
    </row>
    <row r="474" spans="1:6" x14ac:dyDescent="0.25">
      <c r="A474" s="13" t="str">
        <f>IF(AND($E474="",MAX($A$8:$A473)=0),"",IF(AND($E474&lt;&gt;"",MAX($A$8:$A473)=0),1,IF(AND($E474&lt;&gt;"",MAX($A$8:$A473)&gt;0),MAX($A$8:$A473)+1,"")))</f>
        <v/>
      </c>
      <c r="B474" s="11">
        <v>467</v>
      </c>
      <c r="C474" s="19" t="str">
        <f t="shared" si="23"/>
        <v>EMPTY</v>
      </c>
      <c r="D474" s="3" t="str">
        <f t="shared" si="25"/>
        <v/>
      </c>
      <c r="E474" s="22"/>
      <c r="F474" s="8" t="str">
        <f t="shared" si="24"/>
        <v/>
      </c>
    </row>
    <row r="475" spans="1:6" x14ac:dyDescent="0.25">
      <c r="A475" s="13" t="str">
        <f>IF(AND($E475="",MAX($A$8:$A474)=0),"",IF(AND($E475&lt;&gt;"",MAX($A$8:$A474)=0),1,IF(AND($E475&lt;&gt;"",MAX($A$8:$A474)&gt;0),MAX($A$8:$A474)+1,"")))</f>
        <v/>
      </c>
      <c r="B475" s="11">
        <v>468</v>
      </c>
      <c r="C475" s="19" t="str">
        <f t="shared" si="23"/>
        <v>EMPTY</v>
      </c>
      <c r="D475" s="3" t="str">
        <f t="shared" si="25"/>
        <v/>
      </c>
      <c r="E475" s="22"/>
      <c r="F475" s="8" t="str">
        <f t="shared" si="24"/>
        <v/>
      </c>
    </row>
    <row r="476" spans="1:6" x14ac:dyDescent="0.25">
      <c r="A476" s="13" t="str">
        <f>IF(AND($E476="",MAX($A$8:$A475)=0),"",IF(AND($E476&lt;&gt;"",MAX($A$8:$A475)=0),1,IF(AND($E476&lt;&gt;"",MAX($A$8:$A475)&gt;0),MAX($A$8:$A475)+1,"")))</f>
        <v/>
      </c>
      <c r="B476" s="11">
        <v>469</v>
      </c>
      <c r="C476" s="19" t="str">
        <f t="shared" si="23"/>
        <v>EMPTY</v>
      </c>
      <c r="D476" s="3" t="str">
        <f t="shared" si="25"/>
        <v/>
      </c>
      <c r="E476" s="22"/>
      <c r="F476" s="8" t="str">
        <f t="shared" si="24"/>
        <v/>
      </c>
    </row>
    <row r="477" spans="1:6" x14ac:dyDescent="0.25">
      <c r="A477" s="13" t="str">
        <f>IF(AND($E477="",MAX($A$8:$A476)=0),"",IF(AND($E477&lt;&gt;"",MAX($A$8:$A476)=0),1,IF(AND($E477&lt;&gt;"",MAX($A$8:$A476)&gt;0),MAX($A$8:$A476)+1,"")))</f>
        <v/>
      </c>
      <c r="B477" s="11">
        <v>470</v>
      </c>
      <c r="C477" s="19" t="str">
        <f t="shared" si="23"/>
        <v>EMPTY</v>
      </c>
      <c r="D477" s="3" t="str">
        <f t="shared" si="25"/>
        <v/>
      </c>
      <c r="E477" s="22"/>
      <c r="F477" s="8" t="str">
        <f t="shared" si="24"/>
        <v/>
      </c>
    </row>
    <row r="478" spans="1:6" x14ac:dyDescent="0.25">
      <c r="A478" s="13" t="str">
        <f>IF(AND($E478="",MAX($A$8:$A477)=0),"",IF(AND($E478&lt;&gt;"",MAX($A$8:$A477)=0),1,IF(AND($E478&lt;&gt;"",MAX($A$8:$A477)&gt;0),MAX($A$8:$A477)+1,"")))</f>
        <v/>
      </c>
      <c r="B478" s="11">
        <v>471</v>
      </c>
      <c r="C478" s="19" t="str">
        <f t="shared" si="23"/>
        <v>EMPTY</v>
      </c>
      <c r="D478" s="3" t="str">
        <f t="shared" si="25"/>
        <v/>
      </c>
      <c r="E478" s="22"/>
      <c r="F478" s="8" t="str">
        <f t="shared" si="24"/>
        <v/>
      </c>
    </row>
    <row r="479" spans="1:6" x14ac:dyDescent="0.25">
      <c r="A479" s="13" t="str">
        <f>IF(AND($E479="",MAX($A$8:$A478)=0),"",IF(AND($E479&lt;&gt;"",MAX($A$8:$A478)=0),1,IF(AND($E479&lt;&gt;"",MAX($A$8:$A478)&gt;0),MAX($A$8:$A478)+1,"")))</f>
        <v/>
      </c>
      <c r="B479" s="11">
        <v>472</v>
      </c>
      <c r="C479" s="19" t="str">
        <f t="shared" si="23"/>
        <v>EMPTY</v>
      </c>
      <c r="D479" s="3" t="str">
        <f t="shared" si="25"/>
        <v/>
      </c>
      <c r="E479" s="22"/>
      <c r="F479" s="8" t="str">
        <f t="shared" si="24"/>
        <v/>
      </c>
    </row>
    <row r="480" spans="1:6" x14ac:dyDescent="0.25">
      <c r="A480" s="13" t="str">
        <f>IF(AND($E480="",MAX($A$8:$A479)=0),"",IF(AND($E480&lt;&gt;"",MAX($A$8:$A479)=0),1,IF(AND($E480&lt;&gt;"",MAX($A$8:$A479)&gt;0),MAX($A$8:$A479)+1,"")))</f>
        <v/>
      </c>
      <c r="B480" s="11">
        <v>473</v>
      </c>
      <c r="C480" s="19" t="str">
        <f t="shared" si="23"/>
        <v>EMPTY</v>
      </c>
      <c r="D480" s="3" t="str">
        <f t="shared" si="25"/>
        <v/>
      </c>
      <c r="E480" s="22"/>
      <c r="F480" s="8" t="str">
        <f t="shared" si="24"/>
        <v/>
      </c>
    </row>
    <row r="481" spans="1:6" x14ac:dyDescent="0.25">
      <c r="A481" s="13" t="str">
        <f>IF(AND($E481="",MAX($A$8:$A480)=0),"",IF(AND($E481&lt;&gt;"",MAX($A$8:$A480)=0),1,IF(AND($E481&lt;&gt;"",MAX($A$8:$A480)&gt;0),MAX($A$8:$A480)+1,"")))</f>
        <v/>
      </c>
      <c r="B481" s="11">
        <v>474</v>
      </c>
      <c r="C481" s="19" t="str">
        <f t="shared" si="23"/>
        <v>EMPTY</v>
      </c>
      <c r="D481" s="3" t="str">
        <f t="shared" si="25"/>
        <v/>
      </c>
      <c r="E481" s="22"/>
      <c r="F481" s="8" t="str">
        <f t="shared" si="24"/>
        <v/>
      </c>
    </row>
    <row r="482" spans="1:6" x14ac:dyDescent="0.25">
      <c r="A482" s="13" t="str">
        <f>IF(AND($E482="",MAX($A$8:$A481)=0),"",IF(AND($E482&lt;&gt;"",MAX($A$8:$A481)=0),1,IF(AND($E482&lt;&gt;"",MAX($A$8:$A481)&gt;0),MAX($A$8:$A481)+1,"")))</f>
        <v/>
      </c>
      <c r="B482" s="11">
        <v>475</v>
      </c>
      <c r="C482" s="19" t="str">
        <f t="shared" si="23"/>
        <v>EMPTY</v>
      </c>
      <c r="D482" s="3" t="str">
        <f t="shared" si="25"/>
        <v/>
      </c>
      <c r="E482" s="22"/>
      <c r="F482" s="8" t="str">
        <f t="shared" si="24"/>
        <v/>
      </c>
    </row>
    <row r="483" spans="1:6" x14ac:dyDescent="0.25">
      <c r="A483" s="13" t="str">
        <f>IF(AND($E483="",MAX($A$8:$A482)=0),"",IF(AND($E483&lt;&gt;"",MAX($A$8:$A482)=0),1,IF(AND($E483&lt;&gt;"",MAX($A$8:$A482)&gt;0),MAX($A$8:$A482)+1,"")))</f>
        <v/>
      </c>
      <c r="B483" s="11">
        <v>476</v>
      </c>
      <c r="C483" s="19" t="str">
        <f t="shared" si="23"/>
        <v>EMPTY</v>
      </c>
      <c r="D483" s="3" t="str">
        <f t="shared" si="25"/>
        <v/>
      </c>
      <c r="E483" s="22"/>
      <c r="F483" s="8" t="str">
        <f t="shared" si="24"/>
        <v/>
      </c>
    </row>
    <row r="484" spans="1:6" x14ac:dyDescent="0.25">
      <c r="A484" s="13" t="str">
        <f>IF(AND($E484="",MAX($A$8:$A483)=0),"",IF(AND($E484&lt;&gt;"",MAX($A$8:$A483)=0),1,IF(AND($E484&lt;&gt;"",MAX($A$8:$A483)&gt;0),MAX($A$8:$A483)+1,"")))</f>
        <v/>
      </c>
      <c r="B484" s="11">
        <v>477</v>
      </c>
      <c r="C484" s="19" t="str">
        <f t="shared" si="23"/>
        <v>EMPTY</v>
      </c>
      <c r="D484" s="3" t="str">
        <f t="shared" si="25"/>
        <v/>
      </c>
      <c r="E484" s="22"/>
      <c r="F484" s="8" t="str">
        <f t="shared" si="24"/>
        <v/>
      </c>
    </row>
    <row r="485" spans="1:6" x14ac:dyDescent="0.25">
      <c r="A485" s="13" t="str">
        <f>IF(AND($E485="",MAX($A$8:$A484)=0),"",IF(AND($E485&lt;&gt;"",MAX($A$8:$A484)=0),1,IF(AND($E485&lt;&gt;"",MAX($A$8:$A484)&gt;0),MAX($A$8:$A484)+1,"")))</f>
        <v/>
      </c>
      <c r="B485" s="11">
        <v>478</v>
      </c>
      <c r="C485" s="19" t="str">
        <f t="shared" si="23"/>
        <v>EMPTY</v>
      </c>
      <c r="D485" s="3" t="str">
        <f t="shared" si="25"/>
        <v/>
      </c>
      <c r="E485" s="22"/>
      <c r="F485" s="8" t="str">
        <f t="shared" si="24"/>
        <v/>
      </c>
    </row>
    <row r="486" spans="1:6" x14ac:dyDescent="0.25">
      <c r="A486" s="13" t="str">
        <f>IF(AND($E486="",MAX($A$8:$A485)=0),"",IF(AND($E486&lt;&gt;"",MAX($A$8:$A485)=0),1,IF(AND($E486&lt;&gt;"",MAX($A$8:$A485)&gt;0),MAX($A$8:$A485)+1,"")))</f>
        <v/>
      </c>
      <c r="B486" s="11">
        <v>479</v>
      </c>
      <c r="C486" s="19" t="str">
        <f t="shared" si="23"/>
        <v>EMPTY</v>
      </c>
      <c r="D486" s="3" t="str">
        <f t="shared" si="25"/>
        <v/>
      </c>
      <c r="E486" s="22"/>
      <c r="F486" s="8" t="str">
        <f t="shared" si="24"/>
        <v/>
      </c>
    </row>
    <row r="487" spans="1:6" x14ac:dyDescent="0.25">
      <c r="A487" s="13" t="str">
        <f>IF(AND($E487="",MAX($A$8:$A486)=0),"",IF(AND($E487&lt;&gt;"",MAX($A$8:$A486)=0),1,IF(AND($E487&lt;&gt;"",MAX($A$8:$A486)&gt;0),MAX($A$8:$A486)+1,"")))</f>
        <v/>
      </c>
      <c r="B487" s="11">
        <v>480</v>
      </c>
      <c r="C487" s="19" t="str">
        <f t="shared" si="23"/>
        <v>EMPTY</v>
      </c>
      <c r="D487" s="3" t="str">
        <f t="shared" si="25"/>
        <v/>
      </c>
      <c r="E487" s="22"/>
      <c r="F487" s="8" t="str">
        <f t="shared" si="24"/>
        <v/>
      </c>
    </row>
    <row r="488" spans="1:6" x14ac:dyDescent="0.25">
      <c r="A488" s="13" t="str">
        <f>IF(AND($E488="",MAX($A$8:$A487)=0),"",IF(AND($E488&lt;&gt;"",MAX($A$8:$A487)=0),1,IF(AND($E488&lt;&gt;"",MAX($A$8:$A487)&gt;0),MAX($A$8:$A487)+1,"")))</f>
        <v/>
      </c>
      <c r="B488" s="11">
        <v>481</v>
      </c>
      <c r="C488" s="19" t="str">
        <f t="shared" si="23"/>
        <v>EMPTY</v>
      </c>
      <c r="D488" s="3" t="str">
        <f t="shared" si="25"/>
        <v/>
      </c>
      <c r="E488" s="22"/>
      <c r="F488" s="8" t="str">
        <f t="shared" si="24"/>
        <v/>
      </c>
    </row>
    <row r="489" spans="1:6" x14ac:dyDescent="0.25">
      <c r="A489" s="13" t="str">
        <f>IF(AND($E489="",MAX($A$8:$A488)=0),"",IF(AND($E489&lt;&gt;"",MAX($A$8:$A488)=0),1,IF(AND($E489&lt;&gt;"",MAX($A$8:$A488)&gt;0),MAX($A$8:$A488)+1,"")))</f>
        <v/>
      </c>
      <c r="B489" s="11">
        <v>482</v>
      </c>
      <c r="C489" s="19" t="str">
        <f t="shared" si="23"/>
        <v>EMPTY</v>
      </c>
      <c r="D489" s="3" t="str">
        <f t="shared" si="25"/>
        <v/>
      </c>
      <c r="E489" s="22"/>
      <c r="F489" s="8" t="str">
        <f t="shared" si="24"/>
        <v/>
      </c>
    </row>
    <row r="490" spans="1:6" x14ac:dyDescent="0.25">
      <c r="A490" s="13" t="str">
        <f>IF(AND($E490="",MAX($A$8:$A489)=0),"",IF(AND($E490&lt;&gt;"",MAX($A$8:$A489)=0),1,IF(AND($E490&lt;&gt;"",MAX($A$8:$A489)&gt;0),MAX($A$8:$A489)+1,"")))</f>
        <v/>
      </c>
      <c r="B490" s="11">
        <v>483</v>
      </c>
      <c r="C490" s="19" t="str">
        <f t="shared" si="23"/>
        <v>EMPTY</v>
      </c>
      <c r="D490" s="3" t="str">
        <f t="shared" si="25"/>
        <v/>
      </c>
      <c r="E490" s="22"/>
      <c r="F490" s="8" t="str">
        <f t="shared" si="24"/>
        <v/>
      </c>
    </row>
    <row r="491" spans="1:6" x14ac:dyDescent="0.25">
      <c r="A491" s="13" t="str">
        <f>IF(AND($E491="",MAX($A$8:$A490)=0),"",IF(AND($E491&lt;&gt;"",MAX($A$8:$A490)=0),1,IF(AND($E491&lt;&gt;"",MAX($A$8:$A490)&gt;0),MAX($A$8:$A490)+1,"")))</f>
        <v/>
      </c>
      <c r="B491" s="11">
        <v>484</v>
      </c>
      <c r="C491" s="19" t="str">
        <f t="shared" si="23"/>
        <v>EMPTY</v>
      </c>
      <c r="D491" s="3" t="str">
        <f t="shared" si="25"/>
        <v/>
      </c>
      <c r="E491" s="22"/>
      <c r="F491" s="8" t="str">
        <f t="shared" si="24"/>
        <v/>
      </c>
    </row>
    <row r="492" spans="1:6" x14ac:dyDescent="0.25">
      <c r="A492" s="13" t="str">
        <f>IF(AND($E492="",MAX($A$8:$A491)=0),"",IF(AND($E492&lt;&gt;"",MAX($A$8:$A491)=0),1,IF(AND($E492&lt;&gt;"",MAX($A$8:$A491)&gt;0),MAX($A$8:$A491)+1,"")))</f>
        <v/>
      </c>
      <c r="B492" s="11">
        <v>485</v>
      </c>
      <c r="C492" s="19" t="str">
        <f t="shared" si="23"/>
        <v>EMPTY</v>
      </c>
      <c r="D492" s="3" t="str">
        <f t="shared" si="25"/>
        <v/>
      </c>
      <c r="E492" s="22"/>
      <c r="F492" s="8" t="str">
        <f t="shared" si="24"/>
        <v/>
      </c>
    </row>
    <row r="493" spans="1:6" x14ac:dyDescent="0.25">
      <c r="A493" s="13" t="str">
        <f>IF(AND($E493="",MAX($A$8:$A492)=0),"",IF(AND($E493&lt;&gt;"",MAX($A$8:$A492)=0),1,IF(AND($E493&lt;&gt;"",MAX($A$8:$A492)&gt;0),MAX($A$8:$A492)+1,"")))</f>
        <v/>
      </c>
      <c r="B493" s="11">
        <v>486</v>
      </c>
      <c r="C493" s="19" t="str">
        <f t="shared" si="23"/>
        <v>EMPTY</v>
      </c>
      <c r="D493" s="3" t="str">
        <f t="shared" si="25"/>
        <v/>
      </c>
      <c r="E493" s="22"/>
      <c r="F493" s="8" t="str">
        <f t="shared" si="24"/>
        <v/>
      </c>
    </row>
    <row r="494" spans="1:6" x14ac:dyDescent="0.25">
      <c r="A494" s="13" t="str">
        <f>IF(AND($E494="",MAX($A$8:$A493)=0),"",IF(AND($E494&lt;&gt;"",MAX($A$8:$A493)=0),1,IF(AND($E494&lt;&gt;"",MAX($A$8:$A493)&gt;0),MAX($A$8:$A493)+1,"")))</f>
        <v/>
      </c>
      <c r="B494" s="11">
        <v>487</v>
      </c>
      <c r="C494" s="19" t="str">
        <f t="shared" si="23"/>
        <v>EMPTY</v>
      </c>
      <c r="D494" s="3" t="str">
        <f t="shared" si="25"/>
        <v/>
      </c>
      <c r="E494" s="22"/>
      <c r="F494" s="8" t="str">
        <f t="shared" si="24"/>
        <v/>
      </c>
    </row>
    <row r="495" spans="1:6" x14ac:dyDescent="0.25">
      <c r="A495" s="13" t="str">
        <f>IF(AND($E495="",MAX($A$8:$A494)=0),"",IF(AND($E495&lt;&gt;"",MAX($A$8:$A494)=0),1,IF(AND($E495&lt;&gt;"",MAX($A$8:$A494)&gt;0),MAX($A$8:$A494)+1,"")))</f>
        <v/>
      </c>
      <c r="B495" s="11">
        <v>488</v>
      </c>
      <c r="C495" s="19" t="str">
        <f t="shared" si="23"/>
        <v>EMPTY</v>
      </c>
      <c r="D495" s="3" t="str">
        <f t="shared" si="25"/>
        <v/>
      </c>
      <c r="E495" s="22"/>
      <c r="F495" s="8" t="str">
        <f t="shared" si="24"/>
        <v/>
      </c>
    </row>
    <row r="496" spans="1:6" x14ac:dyDescent="0.25">
      <c r="A496" s="13" t="str">
        <f>IF(AND($E496="",MAX($A$8:$A495)=0),"",IF(AND($E496&lt;&gt;"",MAX($A$8:$A495)=0),1,IF(AND($E496&lt;&gt;"",MAX($A$8:$A495)&gt;0),MAX($A$8:$A495)+1,"")))</f>
        <v/>
      </c>
      <c r="B496" s="11">
        <v>489</v>
      </c>
      <c r="C496" s="19" t="str">
        <f t="shared" si="23"/>
        <v>EMPTY</v>
      </c>
      <c r="D496" s="3" t="str">
        <f t="shared" si="25"/>
        <v/>
      </c>
      <c r="E496" s="22"/>
      <c r="F496" s="8" t="str">
        <f t="shared" si="24"/>
        <v/>
      </c>
    </row>
    <row r="497" spans="1:6" x14ac:dyDescent="0.25">
      <c r="A497" s="13" t="str">
        <f>IF(AND($E497="",MAX($A$8:$A496)=0),"",IF(AND($E497&lt;&gt;"",MAX($A$8:$A496)=0),1,IF(AND($E497&lt;&gt;"",MAX($A$8:$A496)&gt;0),MAX($A$8:$A496)+1,"")))</f>
        <v/>
      </c>
      <c r="B497" s="11">
        <v>490</v>
      </c>
      <c r="C497" s="19" t="str">
        <f t="shared" si="23"/>
        <v>EMPTY</v>
      </c>
      <c r="D497" s="3" t="str">
        <f t="shared" si="25"/>
        <v/>
      </c>
      <c r="E497" s="22"/>
      <c r="F497" s="8" t="str">
        <f t="shared" si="24"/>
        <v/>
      </c>
    </row>
    <row r="498" spans="1:6" x14ac:dyDescent="0.25">
      <c r="A498" s="13" t="str">
        <f>IF(AND($E498="",MAX($A$8:$A497)=0),"",IF(AND($E498&lt;&gt;"",MAX($A$8:$A497)=0),1,IF(AND($E498&lt;&gt;"",MAX($A$8:$A497)&gt;0),MAX($A$8:$A497)+1,"")))</f>
        <v/>
      </c>
      <c r="B498" s="11">
        <v>491</v>
      </c>
      <c r="C498" s="19" t="str">
        <f t="shared" si="23"/>
        <v>EMPTY</v>
      </c>
      <c r="D498" s="3" t="str">
        <f t="shared" si="25"/>
        <v/>
      </c>
      <c r="E498" s="22"/>
      <c r="F498" s="8" t="str">
        <f t="shared" si="24"/>
        <v/>
      </c>
    </row>
    <row r="499" spans="1:6" x14ac:dyDescent="0.25">
      <c r="A499" s="13" t="str">
        <f>IF(AND($E499="",MAX($A$8:$A498)=0),"",IF(AND($E499&lt;&gt;"",MAX($A$8:$A498)=0),1,IF(AND($E499&lt;&gt;"",MAX($A$8:$A498)&gt;0),MAX($A$8:$A498)+1,"")))</f>
        <v/>
      </c>
      <c r="B499" s="11">
        <v>492</v>
      </c>
      <c r="C499" s="19" t="str">
        <f t="shared" si="23"/>
        <v>EMPTY</v>
      </c>
      <c r="D499" s="3" t="str">
        <f t="shared" si="25"/>
        <v/>
      </c>
      <c r="E499" s="22"/>
      <c r="F499" s="8" t="str">
        <f t="shared" si="24"/>
        <v/>
      </c>
    </row>
    <row r="500" spans="1:6" x14ac:dyDescent="0.25">
      <c r="A500" s="13" t="str">
        <f>IF(AND($E500="",MAX($A$8:$A499)=0),"",IF(AND($E500&lt;&gt;"",MAX($A$8:$A499)=0),1,IF(AND($E500&lt;&gt;"",MAX($A$8:$A499)&gt;0),MAX($A$8:$A499)+1,"")))</f>
        <v/>
      </c>
      <c r="B500" s="11">
        <v>493</v>
      </c>
      <c r="C500" s="19" t="str">
        <f t="shared" si="23"/>
        <v>EMPTY</v>
      </c>
      <c r="D500" s="3" t="str">
        <f t="shared" si="25"/>
        <v/>
      </c>
      <c r="E500" s="22"/>
      <c r="F500" s="8" t="str">
        <f t="shared" si="24"/>
        <v/>
      </c>
    </row>
    <row r="501" spans="1:6" x14ac:dyDescent="0.25">
      <c r="A501" s="13" t="str">
        <f>IF(AND($E501="",MAX($A$8:$A500)=0),"",IF(AND($E501&lt;&gt;"",MAX($A$8:$A500)=0),1,IF(AND($E501&lt;&gt;"",MAX($A$8:$A500)&gt;0),MAX($A$8:$A500)+1,"")))</f>
        <v/>
      </c>
      <c r="B501" s="11">
        <v>494</v>
      </c>
      <c r="C501" s="19" t="str">
        <f t="shared" si="23"/>
        <v>EMPTY</v>
      </c>
      <c r="D501" s="3" t="str">
        <f t="shared" si="25"/>
        <v/>
      </c>
      <c r="E501" s="22"/>
      <c r="F501" s="8" t="str">
        <f t="shared" si="24"/>
        <v/>
      </c>
    </row>
    <row r="502" spans="1:6" x14ac:dyDescent="0.25">
      <c r="A502" s="13" t="str">
        <f>IF(AND($E502="",MAX($A$8:$A501)=0),"",IF(AND($E502&lt;&gt;"",MAX($A$8:$A501)=0),1,IF(AND($E502&lt;&gt;"",MAX($A$8:$A501)&gt;0),MAX($A$8:$A501)+1,"")))</f>
        <v/>
      </c>
      <c r="B502" s="11">
        <v>495</v>
      </c>
      <c r="C502" s="19" t="str">
        <f t="shared" si="23"/>
        <v>EMPTY</v>
      </c>
      <c r="D502" s="3" t="str">
        <f t="shared" si="25"/>
        <v/>
      </c>
      <c r="E502" s="22"/>
      <c r="F502" s="8" t="str">
        <f t="shared" si="24"/>
        <v/>
      </c>
    </row>
    <row r="503" spans="1:6" x14ac:dyDescent="0.25">
      <c r="A503" s="13" t="str">
        <f>IF(AND($E503="",MAX($A$8:$A502)=0),"",IF(AND($E503&lt;&gt;"",MAX($A$8:$A502)=0),1,IF(AND($E503&lt;&gt;"",MAX($A$8:$A502)&gt;0),MAX($A$8:$A502)+1,"")))</f>
        <v/>
      </c>
      <c r="B503" s="11">
        <v>496</v>
      </c>
      <c r="C503" s="19" t="str">
        <f t="shared" si="23"/>
        <v>EMPTY</v>
      </c>
      <c r="D503" s="3" t="str">
        <f t="shared" si="25"/>
        <v/>
      </c>
      <c r="E503" s="22"/>
      <c r="F503" s="8" t="str">
        <f t="shared" si="24"/>
        <v/>
      </c>
    </row>
    <row r="504" spans="1:6" x14ac:dyDescent="0.25">
      <c r="A504" s="13" t="str">
        <f>IF(AND($E504="",MAX($A$8:$A503)=0),"",IF(AND($E504&lt;&gt;"",MAX($A$8:$A503)=0),1,IF(AND($E504&lt;&gt;"",MAX($A$8:$A503)&gt;0),MAX($A$8:$A503)+1,"")))</f>
        <v/>
      </c>
      <c r="B504" s="11">
        <v>497</v>
      </c>
      <c r="C504" s="19" t="str">
        <f t="shared" si="23"/>
        <v>EMPTY</v>
      </c>
      <c r="D504" s="3" t="str">
        <f t="shared" si="25"/>
        <v/>
      </c>
      <c r="E504" s="22"/>
      <c r="F504" s="8" t="str">
        <f t="shared" si="24"/>
        <v/>
      </c>
    </row>
    <row r="505" spans="1:6" x14ac:dyDescent="0.25">
      <c r="A505" s="13" t="str">
        <f>IF(AND($E505="",MAX($A$8:$A504)=0),"",IF(AND($E505&lt;&gt;"",MAX($A$8:$A504)=0),1,IF(AND($E505&lt;&gt;"",MAX($A$8:$A504)&gt;0),MAX($A$8:$A504)+1,"")))</f>
        <v/>
      </c>
      <c r="B505" s="11">
        <v>498</v>
      </c>
      <c r="C505" s="19" t="str">
        <f t="shared" si="23"/>
        <v>EMPTY</v>
      </c>
      <c r="D505" s="3" t="str">
        <f t="shared" si="25"/>
        <v/>
      </c>
      <c r="E505" s="22"/>
      <c r="F505" s="8" t="str">
        <f t="shared" si="24"/>
        <v/>
      </c>
    </row>
    <row r="506" spans="1:6" x14ac:dyDescent="0.25">
      <c r="A506" s="13" t="str">
        <f>IF(AND($E506="",MAX($A$8:$A505)=0),"",IF(AND($E506&lt;&gt;"",MAX($A$8:$A505)=0),1,IF(AND($E506&lt;&gt;"",MAX($A$8:$A505)&gt;0),MAX($A$8:$A505)+1,"")))</f>
        <v/>
      </c>
      <c r="B506" s="11">
        <v>499</v>
      </c>
      <c r="C506" s="19" t="str">
        <f t="shared" si="23"/>
        <v>EMPTY</v>
      </c>
      <c r="D506" s="3" t="str">
        <f t="shared" si="25"/>
        <v/>
      </c>
      <c r="E506" s="22"/>
      <c r="F506" s="8" t="str">
        <f t="shared" si="24"/>
        <v/>
      </c>
    </row>
    <row r="507" spans="1:6" x14ac:dyDescent="0.25">
      <c r="A507" s="13" t="str">
        <f>IF(AND($E507="",MAX($A$8:$A506)=0),"",IF(AND($E507&lt;&gt;"",MAX($A$8:$A506)=0),1,IF(AND($E507&lt;&gt;"",MAX($A$8:$A506)&gt;0),MAX($A$8:$A506)+1,"")))</f>
        <v/>
      </c>
      <c r="B507" s="11">
        <v>500</v>
      </c>
      <c r="C507" s="19" t="str">
        <f t="shared" si="23"/>
        <v>EMPTY</v>
      </c>
      <c r="D507" s="3" t="str">
        <f t="shared" si="25"/>
        <v/>
      </c>
      <c r="E507" s="22"/>
      <c r="F507" s="8" t="str">
        <f t="shared" si="24"/>
        <v/>
      </c>
    </row>
    <row r="508" spans="1:6" x14ac:dyDescent="0.25">
      <c r="A508" s="13" t="str">
        <f>IF(AND($E508="",MAX($A$8:$A507)=0),"",IF(AND($E508&lt;&gt;"",MAX($A$8:$A507)=0),1,IF(AND($E508&lt;&gt;"",MAX($A$8:$A507)&gt;0),MAX($A$8:$A507)+1,"")))</f>
        <v/>
      </c>
      <c r="B508" s="11">
        <v>501</v>
      </c>
      <c r="C508" s="19" t="str">
        <f t="shared" si="23"/>
        <v>EMPTY</v>
      </c>
      <c r="D508" s="3" t="str">
        <f t="shared" si="25"/>
        <v/>
      </c>
      <c r="E508" s="22"/>
      <c r="F508" s="8" t="str">
        <f t="shared" si="24"/>
        <v/>
      </c>
    </row>
    <row r="509" spans="1:6" x14ac:dyDescent="0.25">
      <c r="A509" s="13" t="str">
        <f>IF(AND($E509="",MAX($A$8:$A508)=0),"",IF(AND($E509&lt;&gt;"",MAX($A$8:$A508)=0),1,IF(AND($E509&lt;&gt;"",MAX($A$8:$A508)&gt;0),MAX($A$8:$A508)+1,"")))</f>
        <v/>
      </c>
      <c r="B509" s="11">
        <v>502</v>
      </c>
      <c r="C509" s="19" t="str">
        <f t="shared" si="23"/>
        <v>EMPTY</v>
      </c>
      <c r="D509" s="3" t="str">
        <f t="shared" si="25"/>
        <v/>
      </c>
      <c r="E509" s="22"/>
      <c r="F509" s="8" t="str">
        <f t="shared" si="24"/>
        <v/>
      </c>
    </row>
    <row r="510" spans="1:6" x14ac:dyDescent="0.25">
      <c r="A510" s="13" t="str">
        <f>IF(AND($E510="",MAX($A$8:$A509)=0),"",IF(AND($E510&lt;&gt;"",MAX($A$8:$A509)=0),1,IF(AND($E510&lt;&gt;"",MAX($A$8:$A509)&gt;0),MAX($A$8:$A509)+1,"")))</f>
        <v/>
      </c>
      <c r="B510" s="11">
        <v>503</v>
      </c>
      <c r="C510" s="19" t="str">
        <f t="shared" si="23"/>
        <v>EMPTY</v>
      </c>
      <c r="D510" s="3" t="str">
        <f t="shared" si="25"/>
        <v/>
      </c>
      <c r="E510" s="22"/>
      <c r="F510" s="8" t="str">
        <f t="shared" si="24"/>
        <v/>
      </c>
    </row>
    <row r="511" spans="1:6" x14ac:dyDescent="0.25">
      <c r="A511" s="13" t="str">
        <f>IF(AND($E511="",MAX($A$8:$A510)=0),"",IF(AND($E511&lt;&gt;"",MAX($A$8:$A510)=0),1,IF(AND($E511&lt;&gt;"",MAX($A$8:$A510)&gt;0),MAX($A$8:$A510)+1,"")))</f>
        <v/>
      </c>
      <c r="B511" s="11">
        <v>504</v>
      </c>
      <c r="C511" s="19" t="str">
        <f t="shared" si="23"/>
        <v>EMPTY</v>
      </c>
      <c r="D511" s="3" t="str">
        <f t="shared" si="25"/>
        <v/>
      </c>
      <c r="E511" s="22"/>
      <c r="F511" s="8" t="str">
        <f t="shared" si="24"/>
        <v/>
      </c>
    </row>
    <row r="512" spans="1:6" x14ac:dyDescent="0.25">
      <c r="A512" s="13" t="str">
        <f>IF(AND($E512="",MAX($A$8:$A511)=0),"",IF(AND($E512&lt;&gt;"",MAX($A$8:$A511)=0),1,IF(AND($E512&lt;&gt;"",MAX($A$8:$A511)&gt;0),MAX($A$8:$A511)+1,"")))</f>
        <v/>
      </c>
      <c r="B512" s="11">
        <v>505</v>
      </c>
      <c r="C512" s="19" t="str">
        <f t="shared" si="23"/>
        <v>EMPTY</v>
      </c>
      <c r="D512" s="3" t="str">
        <f t="shared" si="25"/>
        <v/>
      </c>
      <c r="E512" s="22"/>
      <c r="F512" s="8" t="str">
        <f t="shared" si="24"/>
        <v/>
      </c>
    </row>
    <row r="513" spans="1:6" x14ac:dyDescent="0.25">
      <c r="A513" s="13" t="str">
        <f>IF(AND($E513="",MAX($A$8:$A512)=0),"",IF(AND($E513&lt;&gt;"",MAX($A$8:$A512)=0),1,IF(AND($E513&lt;&gt;"",MAX($A$8:$A512)&gt;0),MAX($A$8:$A512)+1,"")))</f>
        <v/>
      </c>
      <c r="B513" s="11">
        <v>506</v>
      </c>
      <c r="C513" s="19" t="str">
        <f t="shared" si="23"/>
        <v>EMPTY</v>
      </c>
      <c r="D513" s="3" t="str">
        <f t="shared" si="25"/>
        <v/>
      </c>
      <c r="E513" s="22"/>
      <c r="F513" s="8" t="str">
        <f t="shared" si="24"/>
        <v/>
      </c>
    </row>
    <row r="514" spans="1:6" x14ac:dyDescent="0.25">
      <c r="A514" s="13" t="str">
        <f>IF(AND($E514="",MAX($A$8:$A513)=0),"",IF(AND($E514&lt;&gt;"",MAX($A$8:$A513)=0),1,IF(AND($E514&lt;&gt;"",MAX($A$8:$A513)&gt;0),MAX($A$8:$A513)+1,"")))</f>
        <v/>
      </c>
      <c r="B514" s="11">
        <v>507</v>
      </c>
      <c r="C514" s="19" t="str">
        <f t="shared" si="23"/>
        <v>EMPTY</v>
      </c>
      <c r="D514" s="3" t="str">
        <f t="shared" si="25"/>
        <v/>
      </c>
      <c r="E514" s="22"/>
      <c r="F514" s="8" t="str">
        <f t="shared" si="24"/>
        <v/>
      </c>
    </row>
    <row r="515" spans="1:6" x14ac:dyDescent="0.25">
      <c r="A515" s="13" t="str">
        <f>IF(AND($E515="",MAX($A$8:$A514)=0),"",IF(AND($E515&lt;&gt;"",MAX($A$8:$A514)=0),1,IF(AND($E515&lt;&gt;"",MAX($A$8:$A514)&gt;0),MAX($A$8:$A514)+1,"")))</f>
        <v/>
      </c>
      <c r="B515" s="11">
        <v>508</v>
      </c>
      <c r="C515" s="19" t="str">
        <f t="shared" si="23"/>
        <v>EMPTY</v>
      </c>
      <c r="D515" s="3" t="str">
        <f t="shared" si="25"/>
        <v/>
      </c>
      <c r="E515" s="22"/>
      <c r="F515" s="8" t="str">
        <f t="shared" si="24"/>
        <v/>
      </c>
    </row>
    <row r="516" spans="1:6" x14ac:dyDescent="0.25">
      <c r="A516" s="13" t="str">
        <f>IF(AND($E516="",MAX($A$8:$A515)=0),"",IF(AND($E516&lt;&gt;"",MAX($A$8:$A515)=0),1,IF(AND($E516&lt;&gt;"",MAX($A$8:$A515)&gt;0),MAX($A$8:$A515)+1,"")))</f>
        <v/>
      </c>
      <c r="B516" s="11">
        <v>509</v>
      </c>
      <c r="C516" s="19" t="str">
        <f t="shared" si="23"/>
        <v>EMPTY</v>
      </c>
      <c r="D516" s="3" t="str">
        <f t="shared" si="25"/>
        <v/>
      </c>
      <c r="E516" s="22"/>
      <c r="F516" s="8" t="str">
        <f t="shared" si="24"/>
        <v/>
      </c>
    </row>
    <row r="517" spans="1:6" x14ac:dyDescent="0.25">
      <c r="A517" s="13" t="str">
        <f>IF(AND($E517="",MAX($A$8:$A516)=0),"",IF(AND($E517&lt;&gt;"",MAX($A$8:$A516)=0),1,IF(AND($E517&lt;&gt;"",MAX($A$8:$A516)&gt;0),MAX($A$8:$A516)+1,"")))</f>
        <v/>
      </c>
      <c r="B517" s="11">
        <v>510</v>
      </c>
      <c r="C517" s="19" t="str">
        <f t="shared" si="23"/>
        <v>EMPTY</v>
      </c>
      <c r="D517" s="3" t="str">
        <f t="shared" si="25"/>
        <v/>
      </c>
      <c r="E517" s="22"/>
      <c r="F517" s="8" t="str">
        <f t="shared" si="24"/>
        <v/>
      </c>
    </row>
    <row r="518" spans="1:6" x14ac:dyDescent="0.25">
      <c r="A518" s="13" t="str">
        <f>IF(AND($E518="",MAX($A$8:$A517)=0),"",IF(AND($E518&lt;&gt;"",MAX($A$8:$A517)=0),1,IF(AND($E518&lt;&gt;"",MAX($A$8:$A517)&gt;0),MAX($A$8:$A517)+1,"")))</f>
        <v/>
      </c>
      <c r="B518" s="11">
        <v>511</v>
      </c>
      <c r="C518" s="19" t="str">
        <f t="shared" si="23"/>
        <v>EMPTY</v>
      </c>
      <c r="D518" s="3" t="str">
        <f t="shared" si="25"/>
        <v/>
      </c>
      <c r="E518" s="22"/>
      <c r="F518" s="8" t="str">
        <f t="shared" si="24"/>
        <v/>
      </c>
    </row>
    <row r="519" spans="1:6" x14ac:dyDescent="0.25">
      <c r="A519" s="13" t="str">
        <f>IF(AND($E519="",MAX($A$8:$A518)=0),"",IF(AND($E519&lt;&gt;"",MAX($A$8:$A518)=0),1,IF(AND($E519&lt;&gt;"",MAX($A$8:$A518)&gt;0),MAX($A$8:$A518)+1,"")))</f>
        <v/>
      </c>
      <c r="B519" s="11">
        <v>512</v>
      </c>
      <c r="C519" s="19" t="str">
        <f t="shared" si="23"/>
        <v>EMPTY</v>
      </c>
      <c r="D519" s="3" t="str">
        <f t="shared" si="25"/>
        <v/>
      </c>
      <c r="E519" s="22"/>
      <c r="F519" s="8" t="str">
        <f t="shared" si="24"/>
        <v/>
      </c>
    </row>
    <row r="520" spans="1:6" x14ac:dyDescent="0.25">
      <c r="A520" s="13" t="str">
        <f>IF(AND($E520="",MAX($A$8:$A519)=0),"",IF(AND($E520&lt;&gt;"",MAX($A$8:$A519)=0),1,IF(AND($E520&lt;&gt;"",MAX($A$8:$A519)&gt;0),MAX($A$8:$A519)+1,"")))</f>
        <v/>
      </c>
      <c r="B520" s="11">
        <v>513</v>
      </c>
      <c r="C520" s="19" t="str">
        <f t="shared" si="23"/>
        <v>EMPTY</v>
      </c>
      <c r="D520" s="3" t="str">
        <f t="shared" si="25"/>
        <v/>
      </c>
      <c r="E520" s="22"/>
      <c r="F520" s="8" t="str">
        <f t="shared" si="24"/>
        <v/>
      </c>
    </row>
    <row r="521" spans="1:6" x14ac:dyDescent="0.25">
      <c r="A521" s="13" t="str">
        <f>IF(AND($E521="",MAX($A$8:$A520)=0),"",IF(AND($E521&lt;&gt;"",MAX($A$8:$A520)=0),1,IF(AND($E521&lt;&gt;"",MAX($A$8:$A520)&gt;0),MAX($A$8:$A520)+1,"")))</f>
        <v/>
      </c>
      <c r="B521" s="11">
        <v>514</v>
      </c>
      <c r="C521" s="19" t="str">
        <f t="shared" ref="C521:C584" si="26">IF($E521="","EMPTY",IF(COUNT(MID($E521,2,1))=0,"HIDE",IF(COUNT(MID($E521,2,1))=1,"SHOW","")))</f>
        <v>EMPTY</v>
      </c>
      <c r="D521" s="3" t="str">
        <f t="shared" si="25"/>
        <v/>
      </c>
      <c r="E521" s="22"/>
      <c r="F521" s="8" t="str">
        <f t="shared" ref="F521:F584" si="27">$D521</f>
        <v/>
      </c>
    </row>
    <row r="522" spans="1:6" x14ac:dyDescent="0.25">
      <c r="A522" s="13" t="str">
        <f>IF(AND($E522="",MAX($A$8:$A521)=0),"",IF(AND($E522&lt;&gt;"",MAX($A$8:$A521)=0),1,IF(AND($E522&lt;&gt;"",MAX($A$8:$A521)&gt;0),MAX($A$8:$A521)+1,"")))</f>
        <v/>
      </c>
      <c r="B522" s="11">
        <v>515</v>
      </c>
      <c r="C522" s="19" t="str">
        <f t="shared" si="26"/>
        <v>EMPTY</v>
      </c>
      <c r="D522" s="3" t="str">
        <f t="shared" si="25"/>
        <v/>
      </c>
      <c r="E522" s="22"/>
      <c r="F522" s="8" t="str">
        <f t="shared" si="27"/>
        <v/>
      </c>
    </row>
    <row r="523" spans="1:6" x14ac:dyDescent="0.25">
      <c r="A523" s="13" t="str">
        <f>IF(AND($E523="",MAX($A$8:$A522)=0),"",IF(AND($E523&lt;&gt;"",MAX($A$8:$A522)=0),1,IF(AND($E523&lt;&gt;"",MAX($A$8:$A522)&gt;0),MAX($A$8:$A522)+1,"")))</f>
        <v/>
      </c>
      <c r="B523" s="11">
        <v>516</v>
      </c>
      <c r="C523" s="19" t="str">
        <f t="shared" si="26"/>
        <v>EMPTY</v>
      </c>
      <c r="D523" s="3" t="str">
        <f t="shared" si="25"/>
        <v/>
      </c>
      <c r="E523" s="22"/>
      <c r="F523" s="8" t="str">
        <f t="shared" si="27"/>
        <v/>
      </c>
    </row>
    <row r="524" spans="1:6" x14ac:dyDescent="0.25">
      <c r="A524" s="13" t="str">
        <f>IF(AND($E524="",MAX($A$8:$A523)=0),"",IF(AND($E524&lt;&gt;"",MAX($A$8:$A523)=0),1,IF(AND($E524&lt;&gt;"",MAX($A$8:$A523)&gt;0),MAX($A$8:$A523)+1,"")))</f>
        <v/>
      </c>
      <c r="B524" s="11">
        <v>517</v>
      </c>
      <c r="C524" s="19" t="str">
        <f t="shared" si="26"/>
        <v>EMPTY</v>
      </c>
      <c r="D524" s="3" t="str">
        <f t="shared" si="25"/>
        <v/>
      </c>
      <c r="E524" s="22"/>
      <c r="F524" s="8" t="str">
        <f t="shared" si="27"/>
        <v/>
      </c>
    </row>
    <row r="525" spans="1:6" x14ac:dyDescent="0.25">
      <c r="A525" s="13" t="str">
        <f>IF(AND($E525="",MAX($A$8:$A524)=0),"",IF(AND($E525&lt;&gt;"",MAX($A$8:$A524)=0),1,IF(AND($E525&lt;&gt;"",MAX($A$8:$A524)&gt;0),MAX($A$8:$A524)+1,"")))</f>
        <v/>
      </c>
      <c r="B525" s="11">
        <v>518</v>
      </c>
      <c r="C525" s="19" t="str">
        <f t="shared" si="26"/>
        <v>EMPTY</v>
      </c>
      <c r="D525" s="3" t="str">
        <f t="shared" si="25"/>
        <v/>
      </c>
      <c r="E525" s="22"/>
      <c r="F525" s="8" t="str">
        <f t="shared" si="27"/>
        <v/>
      </c>
    </row>
    <row r="526" spans="1:6" x14ac:dyDescent="0.25">
      <c r="A526" s="13" t="str">
        <f>IF(AND($E526="",MAX($A$8:$A525)=0),"",IF(AND($E526&lt;&gt;"",MAX($A$8:$A525)=0),1,IF(AND($E526&lt;&gt;"",MAX($A$8:$A525)&gt;0),MAX($A$8:$A525)+1,"")))</f>
        <v/>
      </c>
      <c r="B526" s="11">
        <v>519</v>
      </c>
      <c r="C526" s="19" t="str">
        <f t="shared" si="26"/>
        <v>EMPTY</v>
      </c>
      <c r="D526" s="3" t="str">
        <f t="shared" si="25"/>
        <v/>
      </c>
      <c r="E526" s="22"/>
      <c r="F526" s="8" t="str">
        <f t="shared" si="27"/>
        <v/>
      </c>
    </row>
    <row r="527" spans="1:6" x14ac:dyDescent="0.25">
      <c r="A527" s="13" t="str">
        <f>IF(AND($E527="",MAX($A$8:$A526)=0),"",IF(AND($E527&lt;&gt;"",MAX($A$8:$A526)=0),1,IF(AND($E527&lt;&gt;"",MAX($A$8:$A526)&gt;0),MAX($A$8:$A526)+1,"")))</f>
        <v/>
      </c>
      <c r="B527" s="11">
        <v>520</v>
      </c>
      <c r="C527" s="19" t="str">
        <f t="shared" si="26"/>
        <v>EMPTY</v>
      </c>
      <c r="D527" s="3" t="str">
        <f t="shared" si="25"/>
        <v/>
      </c>
      <c r="E527" s="22"/>
      <c r="F527" s="8" t="str">
        <f t="shared" si="27"/>
        <v/>
      </c>
    </row>
    <row r="528" spans="1:6" x14ac:dyDescent="0.25">
      <c r="A528" s="13" t="str">
        <f>IF(AND($E528="",MAX($A$8:$A527)=0),"",IF(AND($E528&lt;&gt;"",MAX($A$8:$A527)=0),1,IF(AND($E528&lt;&gt;"",MAX($A$8:$A527)&gt;0),MAX($A$8:$A527)+1,"")))</f>
        <v/>
      </c>
      <c r="B528" s="11">
        <v>521</v>
      </c>
      <c r="C528" s="19" t="str">
        <f t="shared" si="26"/>
        <v>EMPTY</v>
      </c>
      <c r="D528" s="3" t="str">
        <f t="shared" si="25"/>
        <v/>
      </c>
      <c r="E528" s="22"/>
      <c r="F528" s="8" t="str">
        <f t="shared" si="27"/>
        <v/>
      </c>
    </row>
    <row r="529" spans="1:6" x14ac:dyDescent="0.25">
      <c r="A529" s="13" t="str">
        <f>IF(AND($E529="",MAX($A$8:$A528)=0),"",IF(AND($E529&lt;&gt;"",MAX($A$8:$A528)=0),1,IF(AND($E529&lt;&gt;"",MAX($A$8:$A528)&gt;0),MAX($A$8:$A528)+1,"")))</f>
        <v/>
      </c>
      <c r="B529" s="11">
        <v>522</v>
      </c>
      <c r="C529" s="19" t="str">
        <f t="shared" si="26"/>
        <v>EMPTY</v>
      </c>
      <c r="D529" s="3" t="str">
        <f t="shared" ref="D529:D592" si="28">IF(AND(OR($C529="EMPTY",$C529="HIDE",$C529=""),OR($C530="EMPTY",$C530="HIDE",$C530="")),"",IF(AND($C529="SHOW",OR($C530="EMPTY",$C530="HIDE",$C530="")),CONCATENATE("Dialogue: 0,0:",MID($E529,2,8),",0:",MID($E529,2,8),",Default,,0,0,0,,",MID($E529,11,1000)),IF(AND($C529="SHOW",$C530="SHOW"),CONCATENATE("Dialogue: 0,0:",MID($E529,2,8),",0:",MID($E530,2,8),",Default,,0,0,0,,",MID($E529,11,1000)),"")))</f>
        <v/>
      </c>
      <c r="E529" s="22"/>
      <c r="F529" s="8" t="str">
        <f t="shared" si="27"/>
        <v/>
      </c>
    </row>
    <row r="530" spans="1:6" x14ac:dyDescent="0.25">
      <c r="A530" s="13" t="str">
        <f>IF(AND($E530="",MAX($A$8:$A529)=0),"",IF(AND($E530&lt;&gt;"",MAX($A$8:$A529)=0),1,IF(AND($E530&lt;&gt;"",MAX($A$8:$A529)&gt;0),MAX($A$8:$A529)+1,"")))</f>
        <v/>
      </c>
      <c r="B530" s="11">
        <v>523</v>
      </c>
      <c r="C530" s="19" t="str">
        <f t="shared" si="26"/>
        <v>EMPTY</v>
      </c>
      <c r="D530" s="3" t="str">
        <f t="shared" si="28"/>
        <v/>
      </c>
      <c r="E530" s="22"/>
      <c r="F530" s="8" t="str">
        <f t="shared" si="27"/>
        <v/>
      </c>
    </row>
    <row r="531" spans="1:6" x14ac:dyDescent="0.25">
      <c r="A531" s="13" t="str">
        <f>IF(AND($E531="",MAX($A$8:$A530)=0),"",IF(AND($E531&lt;&gt;"",MAX($A$8:$A530)=0),1,IF(AND($E531&lt;&gt;"",MAX($A$8:$A530)&gt;0),MAX($A$8:$A530)+1,"")))</f>
        <v/>
      </c>
      <c r="B531" s="11">
        <v>524</v>
      </c>
      <c r="C531" s="19" t="str">
        <f t="shared" si="26"/>
        <v>EMPTY</v>
      </c>
      <c r="D531" s="3" t="str">
        <f t="shared" si="28"/>
        <v/>
      </c>
      <c r="E531" s="22"/>
      <c r="F531" s="8" t="str">
        <f t="shared" si="27"/>
        <v/>
      </c>
    </row>
    <row r="532" spans="1:6" x14ac:dyDescent="0.25">
      <c r="A532" s="13" t="str">
        <f>IF(AND($E532="",MAX($A$8:$A531)=0),"",IF(AND($E532&lt;&gt;"",MAX($A$8:$A531)=0),1,IF(AND($E532&lt;&gt;"",MAX($A$8:$A531)&gt;0),MAX($A$8:$A531)+1,"")))</f>
        <v/>
      </c>
      <c r="B532" s="11">
        <v>525</v>
      </c>
      <c r="C532" s="19" t="str">
        <f t="shared" si="26"/>
        <v>EMPTY</v>
      </c>
      <c r="D532" s="3" t="str">
        <f t="shared" si="28"/>
        <v/>
      </c>
      <c r="E532" s="22"/>
      <c r="F532" s="8" t="str">
        <f t="shared" si="27"/>
        <v/>
      </c>
    </row>
    <row r="533" spans="1:6" x14ac:dyDescent="0.25">
      <c r="A533" s="13" t="str">
        <f>IF(AND($E533="",MAX($A$8:$A532)=0),"",IF(AND($E533&lt;&gt;"",MAX($A$8:$A532)=0),1,IF(AND($E533&lt;&gt;"",MAX($A$8:$A532)&gt;0),MAX($A$8:$A532)+1,"")))</f>
        <v/>
      </c>
      <c r="B533" s="11">
        <v>526</v>
      </c>
      <c r="C533" s="19" t="str">
        <f t="shared" si="26"/>
        <v>EMPTY</v>
      </c>
      <c r="D533" s="3" t="str">
        <f t="shared" si="28"/>
        <v/>
      </c>
      <c r="E533" s="22"/>
      <c r="F533" s="8" t="str">
        <f t="shared" si="27"/>
        <v/>
      </c>
    </row>
    <row r="534" spans="1:6" x14ac:dyDescent="0.25">
      <c r="A534" s="13" t="str">
        <f>IF(AND($E534="",MAX($A$8:$A533)=0),"",IF(AND($E534&lt;&gt;"",MAX($A$8:$A533)=0),1,IF(AND($E534&lt;&gt;"",MAX($A$8:$A533)&gt;0),MAX($A$8:$A533)+1,"")))</f>
        <v/>
      </c>
      <c r="B534" s="11">
        <v>527</v>
      </c>
      <c r="C534" s="19" t="str">
        <f t="shared" si="26"/>
        <v>EMPTY</v>
      </c>
      <c r="D534" s="3" t="str">
        <f t="shared" si="28"/>
        <v/>
      </c>
      <c r="E534" s="22"/>
      <c r="F534" s="8" t="str">
        <f t="shared" si="27"/>
        <v/>
      </c>
    </row>
    <row r="535" spans="1:6" x14ac:dyDescent="0.25">
      <c r="A535" s="13" t="str">
        <f>IF(AND($E535="",MAX($A$8:$A534)=0),"",IF(AND($E535&lt;&gt;"",MAX($A$8:$A534)=0),1,IF(AND($E535&lt;&gt;"",MAX($A$8:$A534)&gt;0),MAX($A$8:$A534)+1,"")))</f>
        <v/>
      </c>
      <c r="B535" s="11">
        <v>528</v>
      </c>
      <c r="C535" s="19" t="str">
        <f t="shared" si="26"/>
        <v>EMPTY</v>
      </c>
      <c r="D535" s="3" t="str">
        <f t="shared" si="28"/>
        <v/>
      </c>
      <c r="E535" s="22"/>
      <c r="F535" s="8" t="str">
        <f t="shared" si="27"/>
        <v/>
      </c>
    </row>
    <row r="536" spans="1:6" x14ac:dyDescent="0.25">
      <c r="A536" s="13" t="str">
        <f>IF(AND($E536="",MAX($A$8:$A535)=0),"",IF(AND($E536&lt;&gt;"",MAX($A$8:$A535)=0),1,IF(AND($E536&lt;&gt;"",MAX($A$8:$A535)&gt;0),MAX($A$8:$A535)+1,"")))</f>
        <v/>
      </c>
      <c r="B536" s="11">
        <v>529</v>
      </c>
      <c r="C536" s="19" t="str">
        <f t="shared" si="26"/>
        <v>EMPTY</v>
      </c>
      <c r="D536" s="3" t="str">
        <f t="shared" si="28"/>
        <v/>
      </c>
      <c r="E536" s="22"/>
      <c r="F536" s="8" t="str">
        <f t="shared" si="27"/>
        <v/>
      </c>
    </row>
    <row r="537" spans="1:6" x14ac:dyDescent="0.25">
      <c r="A537" s="13" t="str">
        <f>IF(AND($E537="",MAX($A$8:$A536)=0),"",IF(AND($E537&lt;&gt;"",MAX($A$8:$A536)=0),1,IF(AND($E537&lt;&gt;"",MAX($A$8:$A536)&gt;0),MAX($A$8:$A536)+1,"")))</f>
        <v/>
      </c>
      <c r="B537" s="11">
        <v>530</v>
      </c>
      <c r="C537" s="19" t="str">
        <f t="shared" si="26"/>
        <v>EMPTY</v>
      </c>
      <c r="D537" s="3" t="str">
        <f t="shared" si="28"/>
        <v/>
      </c>
      <c r="E537" s="22"/>
      <c r="F537" s="8" t="str">
        <f t="shared" si="27"/>
        <v/>
      </c>
    </row>
    <row r="538" spans="1:6" x14ac:dyDescent="0.25">
      <c r="A538" s="13" t="str">
        <f>IF(AND($E538="",MAX($A$8:$A537)=0),"",IF(AND($E538&lt;&gt;"",MAX($A$8:$A537)=0),1,IF(AND($E538&lt;&gt;"",MAX($A$8:$A537)&gt;0),MAX($A$8:$A537)+1,"")))</f>
        <v/>
      </c>
      <c r="B538" s="11">
        <v>531</v>
      </c>
      <c r="C538" s="19" t="str">
        <f t="shared" si="26"/>
        <v>EMPTY</v>
      </c>
      <c r="D538" s="3" t="str">
        <f t="shared" si="28"/>
        <v/>
      </c>
      <c r="E538" s="22"/>
      <c r="F538" s="8" t="str">
        <f t="shared" si="27"/>
        <v/>
      </c>
    </row>
    <row r="539" spans="1:6" x14ac:dyDescent="0.25">
      <c r="A539" s="13" t="str">
        <f>IF(AND($E539="",MAX($A$8:$A538)=0),"",IF(AND($E539&lt;&gt;"",MAX($A$8:$A538)=0),1,IF(AND($E539&lt;&gt;"",MAX($A$8:$A538)&gt;0),MAX($A$8:$A538)+1,"")))</f>
        <v/>
      </c>
      <c r="B539" s="11">
        <v>532</v>
      </c>
      <c r="C539" s="19" t="str">
        <f t="shared" si="26"/>
        <v>EMPTY</v>
      </c>
      <c r="D539" s="3" t="str">
        <f t="shared" si="28"/>
        <v/>
      </c>
      <c r="E539" s="22"/>
      <c r="F539" s="8" t="str">
        <f t="shared" si="27"/>
        <v/>
      </c>
    </row>
    <row r="540" spans="1:6" x14ac:dyDescent="0.25">
      <c r="A540" s="13" t="str">
        <f>IF(AND($E540="",MAX($A$8:$A539)=0),"",IF(AND($E540&lt;&gt;"",MAX($A$8:$A539)=0),1,IF(AND($E540&lt;&gt;"",MAX($A$8:$A539)&gt;0),MAX($A$8:$A539)+1,"")))</f>
        <v/>
      </c>
      <c r="B540" s="11">
        <v>533</v>
      </c>
      <c r="C540" s="19" t="str">
        <f t="shared" si="26"/>
        <v>EMPTY</v>
      </c>
      <c r="D540" s="3" t="str">
        <f t="shared" si="28"/>
        <v/>
      </c>
      <c r="E540" s="22"/>
      <c r="F540" s="8" t="str">
        <f t="shared" si="27"/>
        <v/>
      </c>
    </row>
    <row r="541" spans="1:6" x14ac:dyDescent="0.25">
      <c r="A541" s="13" t="str">
        <f>IF(AND($E541="",MAX($A$8:$A540)=0),"",IF(AND($E541&lt;&gt;"",MAX($A$8:$A540)=0),1,IF(AND($E541&lt;&gt;"",MAX($A$8:$A540)&gt;0),MAX($A$8:$A540)+1,"")))</f>
        <v/>
      </c>
      <c r="B541" s="11">
        <v>534</v>
      </c>
      <c r="C541" s="19" t="str">
        <f t="shared" si="26"/>
        <v>EMPTY</v>
      </c>
      <c r="D541" s="3" t="str">
        <f t="shared" si="28"/>
        <v/>
      </c>
      <c r="E541" s="22"/>
      <c r="F541" s="8" t="str">
        <f t="shared" si="27"/>
        <v/>
      </c>
    </row>
    <row r="542" spans="1:6" x14ac:dyDescent="0.25">
      <c r="A542" s="13" t="str">
        <f>IF(AND($E542="",MAX($A$8:$A541)=0),"",IF(AND($E542&lt;&gt;"",MAX($A$8:$A541)=0),1,IF(AND($E542&lt;&gt;"",MAX($A$8:$A541)&gt;0),MAX($A$8:$A541)+1,"")))</f>
        <v/>
      </c>
      <c r="B542" s="11">
        <v>535</v>
      </c>
      <c r="C542" s="19" t="str">
        <f t="shared" si="26"/>
        <v>EMPTY</v>
      </c>
      <c r="D542" s="3" t="str">
        <f t="shared" si="28"/>
        <v/>
      </c>
      <c r="E542" s="22"/>
      <c r="F542" s="8" t="str">
        <f t="shared" si="27"/>
        <v/>
      </c>
    </row>
    <row r="543" spans="1:6" x14ac:dyDescent="0.25">
      <c r="A543" s="13" t="str">
        <f>IF(AND($E543="",MAX($A$8:$A542)=0),"",IF(AND($E543&lt;&gt;"",MAX($A$8:$A542)=0),1,IF(AND($E543&lt;&gt;"",MAX($A$8:$A542)&gt;0),MAX($A$8:$A542)+1,"")))</f>
        <v/>
      </c>
      <c r="B543" s="11">
        <v>536</v>
      </c>
      <c r="C543" s="19" t="str">
        <f t="shared" si="26"/>
        <v>EMPTY</v>
      </c>
      <c r="D543" s="3" t="str">
        <f t="shared" si="28"/>
        <v/>
      </c>
      <c r="E543" s="22"/>
      <c r="F543" s="8" t="str">
        <f t="shared" si="27"/>
        <v/>
      </c>
    </row>
    <row r="544" spans="1:6" x14ac:dyDescent="0.25">
      <c r="A544" s="13" t="str">
        <f>IF(AND($E544="",MAX($A$8:$A543)=0),"",IF(AND($E544&lt;&gt;"",MAX($A$8:$A543)=0),1,IF(AND($E544&lt;&gt;"",MAX($A$8:$A543)&gt;0),MAX($A$8:$A543)+1,"")))</f>
        <v/>
      </c>
      <c r="B544" s="11">
        <v>537</v>
      </c>
      <c r="C544" s="19" t="str">
        <f t="shared" si="26"/>
        <v>EMPTY</v>
      </c>
      <c r="D544" s="3" t="str">
        <f t="shared" si="28"/>
        <v/>
      </c>
      <c r="E544" s="22"/>
      <c r="F544" s="8" t="str">
        <f t="shared" si="27"/>
        <v/>
      </c>
    </row>
    <row r="545" spans="1:6" x14ac:dyDescent="0.25">
      <c r="A545" s="13" t="str">
        <f>IF(AND($E545="",MAX($A$8:$A544)=0),"",IF(AND($E545&lt;&gt;"",MAX($A$8:$A544)=0),1,IF(AND($E545&lt;&gt;"",MAX($A$8:$A544)&gt;0),MAX($A$8:$A544)+1,"")))</f>
        <v/>
      </c>
      <c r="B545" s="11">
        <v>538</v>
      </c>
      <c r="C545" s="19" t="str">
        <f t="shared" si="26"/>
        <v>EMPTY</v>
      </c>
      <c r="D545" s="3" t="str">
        <f t="shared" si="28"/>
        <v/>
      </c>
      <c r="E545" s="22"/>
      <c r="F545" s="8" t="str">
        <f t="shared" si="27"/>
        <v/>
      </c>
    </row>
    <row r="546" spans="1:6" x14ac:dyDescent="0.25">
      <c r="A546" s="13" t="str">
        <f>IF(AND($E546="",MAX($A$8:$A545)=0),"",IF(AND($E546&lt;&gt;"",MAX($A$8:$A545)=0),1,IF(AND($E546&lt;&gt;"",MAX($A$8:$A545)&gt;0),MAX($A$8:$A545)+1,"")))</f>
        <v/>
      </c>
      <c r="B546" s="11">
        <v>539</v>
      </c>
      <c r="C546" s="19" t="str">
        <f t="shared" si="26"/>
        <v>EMPTY</v>
      </c>
      <c r="D546" s="3" t="str">
        <f t="shared" si="28"/>
        <v/>
      </c>
      <c r="E546" s="22"/>
      <c r="F546" s="8" t="str">
        <f t="shared" si="27"/>
        <v/>
      </c>
    </row>
    <row r="547" spans="1:6" x14ac:dyDescent="0.25">
      <c r="A547" s="13" t="str">
        <f>IF(AND($E547="",MAX($A$8:$A546)=0),"",IF(AND($E547&lt;&gt;"",MAX($A$8:$A546)=0),1,IF(AND($E547&lt;&gt;"",MAX($A$8:$A546)&gt;0),MAX($A$8:$A546)+1,"")))</f>
        <v/>
      </c>
      <c r="B547" s="11">
        <v>540</v>
      </c>
      <c r="C547" s="19" t="str">
        <f t="shared" si="26"/>
        <v>EMPTY</v>
      </c>
      <c r="D547" s="3" t="str">
        <f t="shared" si="28"/>
        <v/>
      </c>
      <c r="E547" s="22"/>
      <c r="F547" s="8" t="str">
        <f t="shared" si="27"/>
        <v/>
      </c>
    </row>
    <row r="548" spans="1:6" x14ac:dyDescent="0.25">
      <c r="A548" s="13" t="str">
        <f>IF(AND($E548="",MAX($A$8:$A547)=0),"",IF(AND($E548&lt;&gt;"",MAX($A$8:$A547)=0),1,IF(AND($E548&lt;&gt;"",MAX($A$8:$A547)&gt;0),MAX($A$8:$A547)+1,"")))</f>
        <v/>
      </c>
      <c r="B548" s="11">
        <v>541</v>
      </c>
      <c r="C548" s="19" t="str">
        <f t="shared" si="26"/>
        <v>EMPTY</v>
      </c>
      <c r="D548" s="3" t="str">
        <f t="shared" si="28"/>
        <v/>
      </c>
      <c r="E548" s="22"/>
      <c r="F548" s="8" t="str">
        <f t="shared" si="27"/>
        <v/>
      </c>
    </row>
    <row r="549" spans="1:6" x14ac:dyDescent="0.25">
      <c r="A549" s="13" t="str">
        <f>IF(AND($E549="",MAX($A$8:$A548)=0),"",IF(AND($E549&lt;&gt;"",MAX($A$8:$A548)=0),1,IF(AND($E549&lt;&gt;"",MAX($A$8:$A548)&gt;0),MAX($A$8:$A548)+1,"")))</f>
        <v/>
      </c>
      <c r="B549" s="11">
        <v>542</v>
      </c>
      <c r="C549" s="19" t="str">
        <f t="shared" si="26"/>
        <v>EMPTY</v>
      </c>
      <c r="D549" s="3" t="str">
        <f t="shared" si="28"/>
        <v/>
      </c>
      <c r="E549" s="22"/>
      <c r="F549" s="8" t="str">
        <f t="shared" si="27"/>
        <v/>
      </c>
    </row>
    <row r="550" spans="1:6" x14ac:dyDescent="0.25">
      <c r="A550" s="13" t="str">
        <f>IF(AND($E550="",MAX($A$8:$A549)=0),"",IF(AND($E550&lt;&gt;"",MAX($A$8:$A549)=0),1,IF(AND($E550&lt;&gt;"",MAX($A$8:$A549)&gt;0),MAX($A$8:$A549)+1,"")))</f>
        <v/>
      </c>
      <c r="B550" s="11">
        <v>543</v>
      </c>
      <c r="C550" s="19" t="str">
        <f t="shared" si="26"/>
        <v>EMPTY</v>
      </c>
      <c r="D550" s="3" t="str">
        <f t="shared" si="28"/>
        <v/>
      </c>
      <c r="E550" s="22"/>
      <c r="F550" s="8" t="str">
        <f t="shared" si="27"/>
        <v/>
      </c>
    </row>
    <row r="551" spans="1:6" x14ac:dyDescent="0.25">
      <c r="A551" s="13" t="str">
        <f>IF(AND($E551="",MAX($A$8:$A550)=0),"",IF(AND($E551&lt;&gt;"",MAX($A$8:$A550)=0),1,IF(AND($E551&lt;&gt;"",MAX($A$8:$A550)&gt;0),MAX($A$8:$A550)+1,"")))</f>
        <v/>
      </c>
      <c r="B551" s="11">
        <v>544</v>
      </c>
      <c r="C551" s="19" t="str">
        <f t="shared" si="26"/>
        <v>EMPTY</v>
      </c>
      <c r="D551" s="3" t="str">
        <f t="shared" si="28"/>
        <v/>
      </c>
      <c r="E551" s="22"/>
      <c r="F551" s="8" t="str">
        <f t="shared" si="27"/>
        <v/>
      </c>
    </row>
    <row r="552" spans="1:6" x14ac:dyDescent="0.25">
      <c r="A552" s="13" t="str">
        <f>IF(AND($E552="",MAX($A$8:$A551)=0),"",IF(AND($E552&lt;&gt;"",MAX($A$8:$A551)=0),1,IF(AND($E552&lt;&gt;"",MAX($A$8:$A551)&gt;0),MAX($A$8:$A551)+1,"")))</f>
        <v/>
      </c>
      <c r="B552" s="11">
        <v>545</v>
      </c>
      <c r="C552" s="19" t="str">
        <f t="shared" si="26"/>
        <v>EMPTY</v>
      </c>
      <c r="D552" s="3" t="str">
        <f t="shared" si="28"/>
        <v/>
      </c>
      <c r="E552" s="22"/>
      <c r="F552" s="8" t="str">
        <f t="shared" si="27"/>
        <v/>
      </c>
    </row>
    <row r="553" spans="1:6" x14ac:dyDescent="0.25">
      <c r="A553" s="13" t="str">
        <f>IF(AND($E553="",MAX($A$8:$A552)=0),"",IF(AND($E553&lt;&gt;"",MAX($A$8:$A552)=0),1,IF(AND($E553&lt;&gt;"",MAX($A$8:$A552)&gt;0),MAX($A$8:$A552)+1,"")))</f>
        <v/>
      </c>
      <c r="B553" s="11">
        <v>546</v>
      </c>
      <c r="C553" s="19" t="str">
        <f t="shared" si="26"/>
        <v>EMPTY</v>
      </c>
      <c r="D553" s="3" t="str">
        <f t="shared" si="28"/>
        <v/>
      </c>
      <c r="E553" s="22"/>
      <c r="F553" s="8" t="str">
        <f t="shared" si="27"/>
        <v/>
      </c>
    </row>
    <row r="554" spans="1:6" x14ac:dyDescent="0.25">
      <c r="A554" s="13" t="str">
        <f>IF(AND($E554="",MAX($A$8:$A553)=0),"",IF(AND($E554&lt;&gt;"",MAX($A$8:$A553)=0),1,IF(AND($E554&lt;&gt;"",MAX($A$8:$A553)&gt;0),MAX($A$8:$A553)+1,"")))</f>
        <v/>
      </c>
      <c r="B554" s="11">
        <v>547</v>
      </c>
      <c r="C554" s="19" t="str">
        <f t="shared" si="26"/>
        <v>EMPTY</v>
      </c>
      <c r="D554" s="3" t="str">
        <f t="shared" si="28"/>
        <v/>
      </c>
      <c r="E554" s="22"/>
      <c r="F554" s="8" t="str">
        <f t="shared" si="27"/>
        <v/>
      </c>
    </row>
    <row r="555" spans="1:6" x14ac:dyDescent="0.25">
      <c r="A555" s="13" t="str">
        <f>IF(AND($E555="",MAX($A$8:$A554)=0),"",IF(AND($E555&lt;&gt;"",MAX($A$8:$A554)=0),1,IF(AND($E555&lt;&gt;"",MAX($A$8:$A554)&gt;0),MAX($A$8:$A554)+1,"")))</f>
        <v/>
      </c>
      <c r="B555" s="11">
        <v>548</v>
      </c>
      <c r="C555" s="19" t="str">
        <f t="shared" si="26"/>
        <v>EMPTY</v>
      </c>
      <c r="D555" s="3" t="str">
        <f t="shared" si="28"/>
        <v/>
      </c>
      <c r="E555" s="22"/>
      <c r="F555" s="8" t="str">
        <f t="shared" si="27"/>
        <v/>
      </c>
    </row>
    <row r="556" spans="1:6" x14ac:dyDescent="0.25">
      <c r="A556" s="13" t="str">
        <f>IF(AND($E556="",MAX($A$8:$A555)=0),"",IF(AND($E556&lt;&gt;"",MAX($A$8:$A555)=0),1,IF(AND($E556&lt;&gt;"",MAX($A$8:$A555)&gt;0),MAX($A$8:$A555)+1,"")))</f>
        <v/>
      </c>
      <c r="B556" s="11">
        <v>549</v>
      </c>
      <c r="C556" s="19" t="str">
        <f t="shared" si="26"/>
        <v>EMPTY</v>
      </c>
      <c r="D556" s="3" t="str">
        <f t="shared" si="28"/>
        <v/>
      </c>
      <c r="E556" s="22"/>
      <c r="F556" s="8" t="str">
        <f t="shared" si="27"/>
        <v/>
      </c>
    </row>
    <row r="557" spans="1:6" x14ac:dyDescent="0.25">
      <c r="A557" s="13" t="str">
        <f>IF(AND($E557="",MAX($A$8:$A556)=0),"",IF(AND($E557&lt;&gt;"",MAX($A$8:$A556)=0),1,IF(AND($E557&lt;&gt;"",MAX($A$8:$A556)&gt;0),MAX($A$8:$A556)+1,"")))</f>
        <v/>
      </c>
      <c r="B557" s="11">
        <v>550</v>
      </c>
      <c r="C557" s="19" t="str">
        <f t="shared" si="26"/>
        <v>EMPTY</v>
      </c>
      <c r="D557" s="3" t="str">
        <f t="shared" si="28"/>
        <v/>
      </c>
      <c r="E557" s="22"/>
      <c r="F557" s="8" t="str">
        <f t="shared" si="27"/>
        <v/>
      </c>
    </row>
    <row r="558" spans="1:6" x14ac:dyDescent="0.25">
      <c r="A558" s="13" t="str">
        <f>IF(AND($E558="",MAX($A$8:$A557)=0),"",IF(AND($E558&lt;&gt;"",MAX($A$8:$A557)=0),1,IF(AND($E558&lt;&gt;"",MAX($A$8:$A557)&gt;0),MAX($A$8:$A557)+1,"")))</f>
        <v/>
      </c>
      <c r="B558" s="11">
        <v>551</v>
      </c>
      <c r="C558" s="19" t="str">
        <f t="shared" si="26"/>
        <v>EMPTY</v>
      </c>
      <c r="D558" s="3" t="str">
        <f t="shared" si="28"/>
        <v/>
      </c>
      <c r="E558" s="22"/>
      <c r="F558" s="8" t="str">
        <f t="shared" si="27"/>
        <v/>
      </c>
    </row>
    <row r="559" spans="1:6" x14ac:dyDescent="0.25">
      <c r="A559" s="13" t="str">
        <f>IF(AND($E559="",MAX($A$8:$A558)=0),"",IF(AND($E559&lt;&gt;"",MAX($A$8:$A558)=0),1,IF(AND($E559&lt;&gt;"",MAX($A$8:$A558)&gt;0),MAX($A$8:$A558)+1,"")))</f>
        <v/>
      </c>
      <c r="B559" s="11">
        <v>552</v>
      </c>
      <c r="C559" s="19" t="str">
        <f t="shared" si="26"/>
        <v>EMPTY</v>
      </c>
      <c r="D559" s="3" t="str">
        <f t="shared" si="28"/>
        <v/>
      </c>
      <c r="E559" s="22"/>
      <c r="F559" s="8" t="str">
        <f t="shared" si="27"/>
        <v/>
      </c>
    </row>
    <row r="560" spans="1:6" x14ac:dyDescent="0.25">
      <c r="A560" s="13" t="str">
        <f>IF(AND($E560="",MAX($A$8:$A559)=0),"",IF(AND($E560&lt;&gt;"",MAX($A$8:$A559)=0),1,IF(AND($E560&lt;&gt;"",MAX($A$8:$A559)&gt;0),MAX($A$8:$A559)+1,"")))</f>
        <v/>
      </c>
      <c r="B560" s="11">
        <v>553</v>
      </c>
      <c r="C560" s="19" t="str">
        <f t="shared" si="26"/>
        <v>EMPTY</v>
      </c>
      <c r="D560" s="3" t="str">
        <f t="shared" si="28"/>
        <v/>
      </c>
      <c r="E560" s="22"/>
      <c r="F560" s="8" t="str">
        <f t="shared" si="27"/>
        <v/>
      </c>
    </row>
    <row r="561" spans="1:6" x14ac:dyDescent="0.25">
      <c r="A561" s="13" t="str">
        <f>IF(AND($E561="",MAX($A$8:$A560)=0),"",IF(AND($E561&lt;&gt;"",MAX($A$8:$A560)=0),1,IF(AND($E561&lt;&gt;"",MAX($A$8:$A560)&gt;0),MAX($A$8:$A560)+1,"")))</f>
        <v/>
      </c>
      <c r="B561" s="11">
        <v>554</v>
      </c>
      <c r="C561" s="19" t="str">
        <f t="shared" si="26"/>
        <v>EMPTY</v>
      </c>
      <c r="D561" s="3" t="str">
        <f t="shared" si="28"/>
        <v/>
      </c>
      <c r="E561" s="22"/>
      <c r="F561" s="8" t="str">
        <f t="shared" si="27"/>
        <v/>
      </c>
    </row>
    <row r="562" spans="1:6" x14ac:dyDescent="0.25">
      <c r="A562" s="13" t="str">
        <f>IF(AND($E562="",MAX($A$8:$A561)=0),"",IF(AND($E562&lt;&gt;"",MAX($A$8:$A561)=0),1,IF(AND($E562&lt;&gt;"",MAX($A$8:$A561)&gt;0),MAX($A$8:$A561)+1,"")))</f>
        <v/>
      </c>
      <c r="B562" s="11">
        <v>555</v>
      </c>
      <c r="C562" s="19" t="str">
        <f t="shared" si="26"/>
        <v>EMPTY</v>
      </c>
      <c r="D562" s="3" t="str">
        <f t="shared" si="28"/>
        <v/>
      </c>
      <c r="E562" s="22"/>
      <c r="F562" s="8" t="str">
        <f t="shared" si="27"/>
        <v/>
      </c>
    </row>
    <row r="563" spans="1:6" x14ac:dyDescent="0.25">
      <c r="A563" s="13" t="str">
        <f>IF(AND($E563="",MAX($A$8:$A562)=0),"",IF(AND($E563&lt;&gt;"",MAX($A$8:$A562)=0),1,IF(AND($E563&lt;&gt;"",MAX($A$8:$A562)&gt;0),MAX($A$8:$A562)+1,"")))</f>
        <v/>
      </c>
      <c r="B563" s="11">
        <v>556</v>
      </c>
      <c r="C563" s="19" t="str">
        <f t="shared" si="26"/>
        <v>EMPTY</v>
      </c>
      <c r="D563" s="3" t="str">
        <f t="shared" si="28"/>
        <v/>
      </c>
      <c r="E563" s="22"/>
      <c r="F563" s="8" t="str">
        <f t="shared" si="27"/>
        <v/>
      </c>
    </row>
    <row r="564" spans="1:6" x14ac:dyDescent="0.25">
      <c r="A564" s="13" t="str">
        <f>IF(AND($E564="",MAX($A$8:$A563)=0),"",IF(AND($E564&lt;&gt;"",MAX($A$8:$A563)=0),1,IF(AND($E564&lt;&gt;"",MAX($A$8:$A563)&gt;0),MAX($A$8:$A563)+1,"")))</f>
        <v/>
      </c>
      <c r="B564" s="11">
        <v>557</v>
      </c>
      <c r="C564" s="19" t="str">
        <f t="shared" si="26"/>
        <v>EMPTY</v>
      </c>
      <c r="D564" s="3" t="str">
        <f t="shared" si="28"/>
        <v/>
      </c>
      <c r="E564" s="22"/>
      <c r="F564" s="8" t="str">
        <f t="shared" si="27"/>
        <v/>
      </c>
    </row>
    <row r="565" spans="1:6" x14ac:dyDescent="0.25">
      <c r="A565" s="13" t="str">
        <f>IF(AND($E565="",MAX($A$8:$A564)=0),"",IF(AND($E565&lt;&gt;"",MAX($A$8:$A564)=0),1,IF(AND($E565&lt;&gt;"",MAX($A$8:$A564)&gt;0),MAX($A$8:$A564)+1,"")))</f>
        <v/>
      </c>
      <c r="B565" s="11">
        <v>558</v>
      </c>
      <c r="C565" s="19" t="str">
        <f t="shared" si="26"/>
        <v>EMPTY</v>
      </c>
      <c r="D565" s="3" t="str">
        <f t="shared" si="28"/>
        <v/>
      </c>
      <c r="E565" s="22"/>
      <c r="F565" s="8" t="str">
        <f t="shared" si="27"/>
        <v/>
      </c>
    </row>
    <row r="566" spans="1:6" x14ac:dyDescent="0.25">
      <c r="A566" s="13" t="str">
        <f>IF(AND($E566="",MAX($A$8:$A565)=0),"",IF(AND($E566&lt;&gt;"",MAX($A$8:$A565)=0),1,IF(AND($E566&lt;&gt;"",MAX($A$8:$A565)&gt;0),MAX($A$8:$A565)+1,"")))</f>
        <v/>
      </c>
      <c r="B566" s="11">
        <v>559</v>
      </c>
      <c r="C566" s="19" t="str">
        <f t="shared" si="26"/>
        <v>EMPTY</v>
      </c>
      <c r="D566" s="3" t="str">
        <f t="shared" si="28"/>
        <v/>
      </c>
      <c r="E566" s="22"/>
      <c r="F566" s="8" t="str">
        <f t="shared" si="27"/>
        <v/>
      </c>
    </row>
    <row r="567" spans="1:6" x14ac:dyDescent="0.25">
      <c r="A567" s="13" t="str">
        <f>IF(AND($E567="",MAX($A$8:$A566)=0),"",IF(AND($E567&lt;&gt;"",MAX($A$8:$A566)=0),1,IF(AND($E567&lt;&gt;"",MAX($A$8:$A566)&gt;0),MAX($A$8:$A566)+1,"")))</f>
        <v/>
      </c>
      <c r="B567" s="11">
        <v>560</v>
      </c>
      <c r="C567" s="19" t="str">
        <f t="shared" si="26"/>
        <v>EMPTY</v>
      </c>
      <c r="D567" s="3" t="str">
        <f t="shared" si="28"/>
        <v/>
      </c>
      <c r="E567" s="22"/>
      <c r="F567" s="8" t="str">
        <f t="shared" si="27"/>
        <v/>
      </c>
    </row>
    <row r="568" spans="1:6" x14ac:dyDescent="0.25">
      <c r="A568" s="13" t="str">
        <f>IF(AND($E568="",MAX($A$8:$A567)=0),"",IF(AND($E568&lt;&gt;"",MAX($A$8:$A567)=0),1,IF(AND($E568&lt;&gt;"",MAX($A$8:$A567)&gt;0),MAX($A$8:$A567)+1,"")))</f>
        <v/>
      </c>
      <c r="B568" s="11">
        <v>561</v>
      </c>
      <c r="C568" s="19" t="str">
        <f t="shared" si="26"/>
        <v>EMPTY</v>
      </c>
      <c r="D568" s="3" t="str">
        <f t="shared" si="28"/>
        <v/>
      </c>
      <c r="E568" s="22"/>
      <c r="F568" s="8" t="str">
        <f t="shared" si="27"/>
        <v/>
      </c>
    </row>
    <row r="569" spans="1:6" x14ac:dyDescent="0.25">
      <c r="A569" s="13" t="str">
        <f>IF(AND($E569="",MAX($A$8:$A568)=0),"",IF(AND($E569&lt;&gt;"",MAX($A$8:$A568)=0),1,IF(AND($E569&lt;&gt;"",MAX($A$8:$A568)&gt;0),MAX($A$8:$A568)+1,"")))</f>
        <v/>
      </c>
      <c r="B569" s="11">
        <v>562</v>
      </c>
      <c r="C569" s="19" t="str">
        <f t="shared" si="26"/>
        <v>EMPTY</v>
      </c>
      <c r="D569" s="3" t="str">
        <f t="shared" si="28"/>
        <v/>
      </c>
      <c r="E569" s="22"/>
      <c r="F569" s="8" t="str">
        <f t="shared" si="27"/>
        <v/>
      </c>
    </row>
    <row r="570" spans="1:6" x14ac:dyDescent="0.25">
      <c r="A570" s="13" t="str">
        <f>IF(AND($E570="",MAX($A$8:$A569)=0),"",IF(AND($E570&lt;&gt;"",MAX($A$8:$A569)=0),1,IF(AND($E570&lt;&gt;"",MAX($A$8:$A569)&gt;0),MAX($A$8:$A569)+1,"")))</f>
        <v/>
      </c>
      <c r="B570" s="11">
        <v>563</v>
      </c>
      <c r="C570" s="19" t="str">
        <f t="shared" si="26"/>
        <v>EMPTY</v>
      </c>
      <c r="D570" s="3" t="str">
        <f t="shared" si="28"/>
        <v/>
      </c>
      <c r="E570" s="22"/>
      <c r="F570" s="8" t="str">
        <f t="shared" si="27"/>
        <v/>
      </c>
    </row>
    <row r="571" spans="1:6" x14ac:dyDescent="0.25">
      <c r="A571" s="13" t="str">
        <f>IF(AND($E571="",MAX($A$8:$A570)=0),"",IF(AND($E571&lt;&gt;"",MAX($A$8:$A570)=0),1,IF(AND($E571&lt;&gt;"",MAX($A$8:$A570)&gt;0),MAX($A$8:$A570)+1,"")))</f>
        <v/>
      </c>
      <c r="B571" s="11">
        <v>564</v>
      </c>
      <c r="C571" s="19" t="str">
        <f t="shared" si="26"/>
        <v>EMPTY</v>
      </c>
      <c r="D571" s="3" t="str">
        <f t="shared" si="28"/>
        <v/>
      </c>
      <c r="E571" s="22"/>
      <c r="F571" s="8" t="str">
        <f t="shared" si="27"/>
        <v/>
      </c>
    </row>
    <row r="572" spans="1:6" x14ac:dyDescent="0.25">
      <c r="A572" s="13" t="str">
        <f>IF(AND($E572="",MAX($A$8:$A571)=0),"",IF(AND($E572&lt;&gt;"",MAX($A$8:$A571)=0),1,IF(AND($E572&lt;&gt;"",MAX($A$8:$A571)&gt;0),MAX($A$8:$A571)+1,"")))</f>
        <v/>
      </c>
      <c r="B572" s="11">
        <v>565</v>
      </c>
      <c r="C572" s="19" t="str">
        <f t="shared" si="26"/>
        <v>EMPTY</v>
      </c>
      <c r="D572" s="3" t="str">
        <f t="shared" si="28"/>
        <v/>
      </c>
      <c r="E572" s="22"/>
      <c r="F572" s="8" t="str">
        <f t="shared" si="27"/>
        <v/>
      </c>
    </row>
    <row r="573" spans="1:6" x14ac:dyDescent="0.25">
      <c r="A573" s="13" t="str">
        <f>IF(AND($E573="",MAX($A$8:$A572)=0),"",IF(AND($E573&lt;&gt;"",MAX($A$8:$A572)=0),1,IF(AND($E573&lt;&gt;"",MAX($A$8:$A572)&gt;0),MAX($A$8:$A572)+1,"")))</f>
        <v/>
      </c>
      <c r="B573" s="11">
        <v>566</v>
      </c>
      <c r="C573" s="19" t="str">
        <f t="shared" si="26"/>
        <v>EMPTY</v>
      </c>
      <c r="D573" s="3" t="str">
        <f t="shared" si="28"/>
        <v/>
      </c>
      <c r="E573" s="22"/>
      <c r="F573" s="8" t="str">
        <f t="shared" si="27"/>
        <v/>
      </c>
    </row>
    <row r="574" spans="1:6" x14ac:dyDescent="0.25">
      <c r="A574" s="13" t="str">
        <f>IF(AND($E574="",MAX($A$8:$A573)=0),"",IF(AND($E574&lt;&gt;"",MAX($A$8:$A573)=0),1,IF(AND($E574&lt;&gt;"",MAX($A$8:$A573)&gt;0),MAX($A$8:$A573)+1,"")))</f>
        <v/>
      </c>
      <c r="B574" s="11">
        <v>567</v>
      </c>
      <c r="C574" s="19" t="str">
        <f t="shared" si="26"/>
        <v>EMPTY</v>
      </c>
      <c r="D574" s="3" t="str">
        <f t="shared" si="28"/>
        <v/>
      </c>
      <c r="E574" s="22"/>
      <c r="F574" s="8" t="str">
        <f t="shared" si="27"/>
        <v/>
      </c>
    </row>
    <row r="575" spans="1:6" x14ac:dyDescent="0.25">
      <c r="A575" s="13" t="str">
        <f>IF(AND($E575="",MAX($A$8:$A574)=0),"",IF(AND($E575&lt;&gt;"",MAX($A$8:$A574)=0),1,IF(AND($E575&lt;&gt;"",MAX($A$8:$A574)&gt;0),MAX($A$8:$A574)+1,"")))</f>
        <v/>
      </c>
      <c r="B575" s="11">
        <v>568</v>
      </c>
      <c r="C575" s="19" t="str">
        <f t="shared" si="26"/>
        <v>EMPTY</v>
      </c>
      <c r="D575" s="3" t="str">
        <f t="shared" si="28"/>
        <v/>
      </c>
      <c r="E575" s="22"/>
      <c r="F575" s="8" t="str">
        <f t="shared" si="27"/>
        <v/>
      </c>
    </row>
    <row r="576" spans="1:6" x14ac:dyDescent="0.25">
      <c r="A576" s="13" t="str">
        <f>IF(AND($E576="",MAX($A$8:$A575)=0),"",IF(AND($E576&lt;&gt;"",MAX($A$8:$A575)=0),1,IF(AND($E576&lt;&gt;"",MAX($A$8:$A575)&gt;0),MAX($A$8:$A575)+1,"")))</f>
        <v/>
      </c>
      <c r="B576" s="11">
        <v>569</v>
      </c>
      <c r="C576" s="19" t="str">
        <f t="shared" si="26"/>
        <v>EMPTY</v>
      </c>
      <c r="D576" s="3" t="str">
        <f t="shared" si="28"/>
        <v/>
      </c>
      <c r="E576" s="22"/>
      <c r="F576" s="8" t="str">
        <f t="shared" si="27"/>
        <v/>
      </c>
    </row>
    <row r="577" spans="1:6" x14ac:dyDescent="0.25">
      <c r="A577" s="13" t="str">
        <f>IF(AND($E577="",MAX($A$8:$A576)=0),"",IF(AND($E577&lt;&gt;"",MAX($A$8:$A576)=0),1,IF(AND($E577&lt;&gt;"",MAX($A$8:$A576)&gt;0),MAX($A$8:$A576)+1,"")))</f>
        <v/>
      </c>
      <c r="B577" s="11">
        <v>570</v>
      </c>
      <c r="C577" s="19" t="str">
        <f t="shared" si="26"/>
        <v>EMPTY</v>
      </c>
      <c r="D577" s="3" t="str">
        <f t="shared" si="28"/>
        <v/>
      </c>
      <c r="E577" s="22"/>
      <c r="F577" s="8" t="str">
        <f t="shared" si="27"/>
        <v/>
      </c>
    </row>
    <row r="578" spans="1:6" x14ac:dyDescent="0.25">
      <c r="A578" s="13" t="str">
        <f>IF(AND($E578="",MAX($A$8:$A577)=0),"",IF(AND($E578&lt;&gt;"",MAX($A$8:$A577)=0),1,IF(AND($E578&lt;&gt;"",MAX($A$8:$A577)&gt;0),MAX($A$8:$A577)+1,"")))</f>
        <v/>
      </c>
      <c r="B578" s="11">
        <v>571</v>
      </c>
      <c r="C578" s="19" t="str">
        <f t="shared" si="26"/>
        <v>EMPTY</v>
      </c>
      <c r="D578" s="3" t="str">
        <f t="shared" si="28"/>
        <v/>
      </c>
      <c r="E578" s="22"/>
      <c r="F578" s="8" t="str">
        <f t="shared" si="27"/>
        <v/>
      </c>
    </row>
    <row r="579" spans="1:6" x14ac:dyDescent="0.25">
      <c r="A579" s="13" t="str">
        <f>IF(AND($E579="",MAX($A$8:$A578)=0),"",IF(AND($E579&lt;&gt;"",MAX($A$8:$A578)=0),1,IF(AND($E579&lt;&gt;"",MAX($A$8:$A578)&gt;0),MAX($A$8:$A578)+1,"")))</f>
        <v/>
      </c>
      <c r="B579" s="11">
        <v>572</v>
      </c>
      <c r="C579" s="19" t="str">
        <f t="shared" si="26"/>
        <v>EMPTY</v>
      </c>
      <c r="D579" s="3" t="str">
        <f t="shared" si="28"/>
        <v/>
      </c>
      <c r="E579" s="22"/>
      <c r="F579" s="8" t="str">
        <f t="shared" si="27"/>
        <v/>
      </c>
    </row>
    <row r="580" spans="1:6" x14ac:dyDescent="0.25">
      <c r="A580" s="13" t="str">
        <f>IF(AND($E580="",MAX($A$8:$A579)=0),"",IF(AND($E580&lt;&gt;"",MAX($A$8:$A579)=0),1,IF(AND($E580&lt;&gt;"",MAX($A$8:$A579)&gt;0),MAX($A$8:$A579)+1,"")))</f>
        <v/>
      </c>
      <c r="B580" s="11">
        <v>573</v>
      </c>
      <c r="C580" s="19" t="str">
        <f t="shared" si="26"/>
        <v>EMPTY</v>
      </c>
      <c r="D580" s="3" t="str">
        <f t="shared" si="28"/>
        <v/>
      </c>
      <c r="E580" s="22"/>
      <c r="F580" s="8" t="str">
        <f t="shared" si="27"/>
        <v/>
      </c>
    </row>
    <row r="581" spans="1:6" x14ac:dyDescent="0.25">
      <c r="A581" s="13" t="str">
        <f>IF(AND($E581="",MAX($A$8:$A580)=0),"",IF(AND($E581&lt;&gt;"",MAX($A$8:$A580)=0),1,IF(AND($E581&lt;&gt;"",MAX($A$8:$A580)&gt;0),MAX($A$8:$A580)+1,"")))</f>
        <v/>
      </c>
      <c r="B581" s="11">
        <v>574</v>
      </c>
      <c r="C581" s="19" t="str">
        <f t="shared" si="26"/>
        <v>EMPTY</v>
      </c>
      <c r="D581" s="3" t="str">
        <f t="shared" si="28"/>
        <v/>
      </c>
      <c r="E581" s="22"/>
      <c r="F581" s="8" t="str">
        <f t="shared" si="27"/>
        <v/>
      </c>
    </row>
    <row r="582" spans="1:6" x14ac:dyDescent="0.25">
      <c r="A582" s="13" t="str">
        <f>IF(AND($E582="",MAX($A$8:$A581)=0),"",IF(AND($E582&lt;&gt;"",MAX($A$8:$A581)=0),1,IF(AND($E582&lt;&gt;"",MAX($A$8:$A581)&gt;0),MAX($A$8:$A581)+1,"")))</f>
        <v/>
      </c>
      <c r="B582" s="11">
        <v>575</v>
      </c>
      <c r="C582" s="19" t="str">
        <f t="shared" si="26"/>
        <v>EMPTY</v>
      </c>
      <c r="D582" s="3" t="str">
        <f t="shared" si="28"/>
        <v/>
      </c>
      <c r="E582" s="22"/>
      <c r="F582" s="8" t="str">
        <f t="shared" si="27"/>
        <v/>
      </c>
    </row>
    <row r="583" spans="1:6" x14ac:dyDescent="0.25">
      <c r="A583" s="13" t="str">
        <f>IF(AND($E583="",MAX($A$8:$A582)=0),"",IF(AND($E583&lt;&gt;"",MAX($A$8:$A582)=0),1,IF(AND($E583&lt;&gt;"",MAX($A$8:$A582)&gt;0),MAX($A$8:$A582)+1,"")))</f>
        <v/>
      </c>
      <c r="B583" s="11">
        <v>576</v>
      </c>
      <c r="C583" s="19" t="str">
        <f t="shared" si="26"/>
        <v>EMPTY</v>
      </c>
      <c r="D583" s="3" t="str">
        <f t="shared" si="28"/>
        <v/>
      </c>
      <c r="E583" s="22"/>
      <c r="F583" s="8" t="str">
        <f t="shared" si="27"/>
        <v/>
      </c>
    </row>
    <row r="584" spans="1:6" x14ac:dyDescent="0.25">
      <c r="A584" s="13" t="str">
        <f>IF(AND($E584="",MAX($A$8:$A583)=0),"",IF(AND($E584&lt;&gt;"",MAX($A$8:$A583)=0),1,IF(AND($E584&lt;&gt;"",MAX($A$8:$A583)&gt;0),MAX($A$8:$A583)+1,"")))</f>
        <v/>
      </c>
      <c r="B584" s="11">
        <v>577</v>
      </c>
      <c r="C584" s="19" t="str">
        <f t="shared" si="26"/>
        <v>EMPTY</v>
      </c>
      <c r="D584" s="3" t="str">
        <f t="shared" si="28"/>
        <v/>
      </c>
      <c r="E584" s="22"/>
      <c r="F584" s="8" t="str">
        <f t="shared" si="27"/>
        <v/>
      </c>
    </row>
    <row r="585" spans="1:6" x14ac:dyDescent="0.25">
      <c r="A585" s="13" t="str">
        <f>IF(AND($E585="",MAX($A$8:$A584)=0),"",IF(AND($E585&lt;&gt;"",MAX($A$8:$A584)=0),1,IF(AND($E585&lt;&gt;"",MAX($A$8:$A584)&gt;0),MAX($A$8:$A584)+1,"")))</f>
        <v/>
      </c>
      <c r="B585" s="11">
        <v>578</v>
      </c>
      <c r="C585" s="19" t="str">
        <f t="shared" ref="C585:C648" si="29">IF($E585="","EMPTY",IF(COUNT(MID($E585,2,1))=0,"HIDE",IF(COUNT(MID($E585,2,1))=1,"SHOW","")))</f>
        <v>EMPTY</v>
      </c>
      <c r="D585" s="3" t="str">
        <f t="shared" si="28"/>
        <v/>
      </c>
      <c r="E585" s="22"/>
      <c r="F585" s="8" t="str">
        <f t="shared" ref="F585:F648" si="30">$D585</f>
        <v/>
      </c>
    </row>
    <row r="586" spans="1:6" x14ac:dyDescent="0.25">
      <c r="A586" s="13" t="str">
        <f>IF(AND($E586="",MAX($A$8:$A585)=0),"",IF(AND($E586&lt;&gt;"",MAX($A$8:$A585)=0),1,IF(AND($E586&lt;&gt;"",MAX($A$8:$A585)&gt;0),MAX($A$8:$A585)+1,"")))</f>
        <v/>
      </c>
      <c r="B586" s="11">
        <v>579</v>
      </c>
      <c r="C586" s="19" t="str">
        <f t="shared" si="29"/>
        <v>EMPTY</v>
      </c>
      <c r="D586" s="3" t="str">
        <f t="shared" si="28"/>
        <v/>
      </c>
      <c r="E586" s="22"/>
      <c r="F586" s="8" t="str">
        <f t="shared" si="30"/>
        <v/>
      </c>
    </row>
    <row r="587" spans="1:6" x14ac:dyDescent="0.25">
      <c r="A587" s="13" t="str">
        <f>IF(AND($E587="",MAX($A$8:$A586)=0),"",IF(AND($E587&lt;&gt;"",MAX($A$8:$A586)=0),1,IF(AND($E587&lt;&gt;"",MAX($A$8:$A586)&gt;0),MAX($A$8:$A586)+1,"")))</f>
        <v/>
      </c>
      <c r="B587" s="11">
        <v>580</v>
      </c>
      <c r="C587" s="19" t="str">
        <f t="shared" si="29"/>
        <v>EMPTY</v>
      </c>
      <c r="D587" s="3" t="str">
        <f t="shared" si="28"/>
        <v/>
      </c>
      <c r="E587" s="22"/>
      <c r="F587" s="8" t="str">
        <f t="shared" si="30"/>
        <v/>
      </c>
    </row>
    <row r="588" spans="1:6" x14ac:dyDescent="0.25">
      <c r="A588" s="13" t="str">
        <f>IF(AND($E588="",MAX($A$8:$A587)=0),"",IF(AND($E588&lt;&gt;"",MAX($A$8:$A587)=0),1,IF(AND($E588&lt;&gt;"",MAX($A$8:$A587)&gt;0),MAX($A$8:$A587)+1,"")))</f>
        <v/>
      </c>
      <c r="B588" s="11">
        <v>581</v>
      </c>
      <c r="C588" s="19" t="str">
        <f t="shared" si="29"/>
        <v>EMPTY</v>
      </c>
      <c r="D588" s="3" t="str">
        <f t="shared" si="28"/>
        <v/>
      </c>
      <c r="E588" s="22"/>
      <c r="F588" s="8" t="str">
        <f t="shared" si="30"/>
        <v/>
      </c>
    </row>
    <row r="589" spans="1:6" x14ac:dyDescent="0.25">
      <c r="A589" s="13" t="str">
        <f>IF(AND($E589="",MAX($A$8:$A588)=0),"",IF(AND($E589&lt;&gt;"",MAX($A$8:$A588)=0),1,IF(AND($E589&lt;&gt;"",MAX($A$8:$A588)&gt;0),MAX($A$8:$A588)+1,"")))</f>
        <v/>
      </c>
      <c r="B589" s="11">
        <v>582</v>
      </c>
      <c r="C589" s="19" t="str">
        <f t="shared" si="29"/>
        <v>EMPTY</v>
      </c>
      <c r="D589" s="3" t="str">
        <f t="shared" si="28"/>
        <v/>
      </c>
      <c r="E589" s="22"/>
      <c r="F589" s="8" t="str">
        <f t="shared" si="30"/>
        <v/>
      </c>
    </row>
    <row r="590" spans="1:6" x14ac:dyDescent="0.25">
      <c r="A590" s="13" t="str">
        <f>IF(AND($E590="",MAX($A$8:$A589)=0),"",IF(AND($E590&lt;&gt;"",MAX($A$8:$A589)=0),1,IF(AND($E590&lt;&gt;"",MAX($A$8:$A589)&gt;0),MAX($A$8:$A589)+1,"")))</f>
        <v/>
      </c>
      <c r="B590" s="11">
        <v>583</v>
      </c>
      <c r="C590" s="19" t="str">
        <f t="shared" si="29"/>
        <v>EMPTY</v>
      </c>
      <c r="D590" s="3" t="str">
        <f t="shared" si="28"/>
        <v/>
      </c>
      <c r="E590" s="22"/>
      <c r="F590" s="8" t="str">
        <f t="shared" si="30"/>
        <v/>
      </c>
    </row>
    <row r="591" spans="1:6" x14ac:dyDescent="0.25">
      <c r="A591" s="13" t="str">
        <f>IF(AND($E591="",MAX($A$8:$A590)=0),"",IF(AND($E591&lt;&gt;"",MAX($A$8:$A590)=0),1,IF(AND($E591&lt;&gt;"",MAX($A$8:$A590)&gt;0),MAX($A$8:$A590)+1,"")))</f>
        <v/>
      </c>
      <c r="B591" s="11">
        <v>584</v>
      </c>
      <c r="C591" s="19" t="str">
        <f t="shared" si="29"/>
        <v>EMPTY</v>
      </c>
      <c r="D591" s="3" t="str">
        <f t="shared" si="28"/>
        <v/>
      </c>
      <c r="E591" s="22"/>
      <c r="F591" s="8" t="str">
        <f t="shared" si="30"/>
        <v/>
      </c>
    </row>
    <row r="592" spans="1:6" x14ac:dyDescent="0.25">
      <c r="A592" s="13" t="str">
        <f>IF(AND($E592="",MAX($A$8:$A591)=0),"",IF(AND($E592&lt;&gt;"",MAX($A$8:$A591)=0),1,IF(AND($E592&lt;&gt;"",MAX($A$8:$A591)&gt;0),MAX($A$8:$A591)+1,"")))</f>
        <v/>
      </c>
      <c r="B592" s="11">
        <v>585</v>
      </c>
      <c r="C592" s="19" t="str">
        <f t="shared" si="29"/>
        <v>EMPTY</v>
      </c>
      <c r="D592" s="3" t="str">
        <f t="shared" si="28"/>
        <v/>
      </c>
      <c r="E592" s="22"/>
      <c r="F592" s="8" t="str">
        <f t="shared" si="30"/>
        <v/>
      </c>
    </row>
    <row r="593" spans="1:6" x14ac:dyDescent="0.25">
      <c r="A593" s="13" t="str">
        <f>IF(AND($E593="",MAX($A$8:$A592)=0),"",IF(AND($E593&lt;&gt;"",MAX($A$8:$A592)=0),1,IF(AND($E593&lt;&gt;"",MAX($A$8:$A592)&gt;0),MAX($A$8:$A592)+1,"")))</f>
        <v/>
      </c>
      <c r="B593" s="11">
        <v>586</v>
      </c>
      <c r="C593" s="19" t="str">
        <f t="shared" si="29"/>
        <v>EMPTY</v>
      </c>
      <c r="D593" s="3" t="str">
        <f t="shared" ref="D593:D656" si="31">IF(AND(OR($C593="EMPTY",$C593="HIDE",$C593=""),OR($C594="EMPTY",$C594="HIDE",$C594="")),"",IF(AND($C593="SHOW",OR($C594="EMPTY",$C594="HIDE",$C594="")),CONCATENATE("Dialogue: 0,0:",MID($E593,2,8),",0:",MID($E593,2,8),",Default,,0,0,0,,",MID($E593,11,1000)),IF(AND($C593="SHOW",$C594="SHOW"),CONCATENATE("Dialogue: 0,0:",MID($E593,2,8),",0:",MID($E594,2,8),",Default,,0,0,0,,",MID($E593,11,1000)),"")))</f>
        <v/>
      </c>
      <c r="E593" s="22"/>
      <c r="F593" s="8" t="str">
        <f t="shared" si="30"/>
        <v/>
      </c>
    </row>
    <row r="594" spans="1:6" x14ac:dyDescent="0.25">
      <c r="A594" s="13" t="str">
        <f>IF(AND($E594="",MAX($A$8:$A593)=0),"",IF(AND($E594&lt;&gt;"",MAX($A$8:$A593)=0),1,IF(AND($E594&lt;&gt;"",MAX($A$8:$A593)&gt;0),MAX($A$8:$A593)+1,"")))</f>
        <v/>
      </c>
      <c r="B594" s="11">
        <v>587</v>
      </c>
      <c r="C594" s="19" t="str">
        <f t="shared" si="29"/>
        <v>EMPTY</v>
      </c>
      <c r="D594" s="3" t="str">
        <f t="shared" si="31"/>
        <v/>
      </c>
      <c r="E594" s="22"/>
      <c r="F594" s="8" t="str">
        <f t="shared" si="30"/>
        <v/>
      </c>
    </row>
    <row r="595" spans="1:6" x14ac:dyDescent="0.25">
      <c r="A595" s="13" t="str">
        <f>IF(AND($E595="",MAX($A$8:$A594)=0),"",IF(AND($E595&lt;&gt;"",MAX($A$8:$A594)=0),1,IF(AND($E595&lt;&gt;"",MAX($A$8:$A594)&gt;0),MAX($A$8:$A594)+1,"")))</f>
        <v/>
      </c>
      <c r="B595" s="11">
        <v>588</v>
      </c>
      <c r="C595" s="19" t="str">
        <f t="shared" si="29"/>
        <v>EMPTY</v>
      </c>
      <c r="D595" s="3" t="str">
        <f t="shared" si="31"/>
        <v/>
      </c>
      <c r="E595" s="22"/>
      <c r="F595" s="8" t="str">
        <f t="shared" si="30"/>
        <v/>
      </c>
    </row>
    <row r="596" spans="1:6" x14ac:dyDescent="0.25">
      <c r="A596" s="13" t="str">
        <f>IF(AND($E596="",MAX($A$8:$A595)=0),"",IF(AND($E596&lt;&gt;"",MAX($A$8:$A595)=0),1,IF(AND($E596&lt;&gt;"",MAX($A$8:$A595)&gt;0),MAX($A$8:$A595)+1,"")))</f>
        <v/>
      </c>
      <c r="B596" s="11">
        <v>589</v>
      </c>
      <c r="C596" s="19" t="str">
        <f t="shared" si="29"/>
        <v>EMPTY</v>
      </c>
      <c r="D596" s="3" t="str">
        <f t="shared" si="31"/>
        <v/>
      </c>
      <c r="E596" s="22"/>
      <c r="F596" s="8" t="str">
        <f t="shared" si="30"/>
        <v/>
      </c>
    </row>
    <row r="597" spans="1:6" x14ac:dyDescent="0.25">
      <c r="A597" s="13" t="str">
        <f>IF(AND($E597="",MAX($A$8:$A596)=0),"",IF(AND($E597&lt;&gt;"",MAX($A$8:$A596)=0),1,IF(AND($E597&lt;&gt;"",MAX($A$8:$A596)&gt;0),MAX($A$8:$A596)+1,"")))</f>
        <v/>
      </c>
      <c r="B597" s="11">
        <v>590</v>
      </c>
      <c r="C597" s="19" t="str">
        <f t="shared" si="29"/>
        <v>EMPTY</v>
      </c>
      <c r="D597" s="3" t="str">
        <f t="shared" si="31"/>
        <v/>
      </c>
      <c r="E597" s="22"/>
      <c r="F597" s="8" t="str">
        <f t="shared" si="30"/>
        <v/>
      </c>
    </row>
    <row r="598" spans="1:6" x14ac:dyDescent="0.25">
      <c r="A598" s="13" t="str">
        <f>IF(AND($E598="",MAX($A$8:$A597)=0),"",IF(AND($E598&lt;&gt;"",MAX($A$8:$A597)=0),1,IF(AND($E598&lt;&gt;"",MAX($A$8:$A597)&gt;0),MAX($A$8:$A597)+1,"")))</f>
        <v/>
      </c>
      <c r="B598" s="11">
        <v>591</v>
      </c>
      <c r="C598" s="19" t="str">
        <f t="shared" si="29"/>
        <v>EMPTY</v>
      </c>
      <c r="D598" s="3" t="str">
        <f t="shared" si="31"/>
        <v/>
      </c>
      <c r="E598" s="22"/>
      <c r="F598" s="8" t="str">
        <f t="shared" si="30"/>
        <v/>
      </c>
    </row>
    <row r="599" spans="1:6" x14ac:dyDescent="0.25">
      <c r="A599" s="13" t="str">
        <f>IF(AND($E599="",MAX($A$8:$A598)=0),"",IF(AND($E599&lt;&gt;"",MAX($A$8:$A598)=0),1,IF(AND($E599&lt;&gt;"",MAX($A$8:$A598)&gt;0),MAX($A$8:$A598)+1,"")))</f>
        <v/>
      </c>
      <c r="B599" s="11">
        <v>592</v>
      </c>
      <c r="C599" s="19" t="str">
        <f t="shared" si="29"/>
        <v>EMPTY</v>
      </c>
      <c r="D599" s="3" t="str">
        <f t="shared" si="31"/>
        <v/>
      </c>
      <c r="E599" s="22"/>
      <c r="F599" s="8" t="str">
        <f t="shared" si="30"/>
        <v/>
      </c>
    </row>
    <row r="600" spans="1:6" x14ac:dyDescent="0.25">
      <c r="A600" s="13" t="str">
        <f>IF(AND($E600="",MAX($A$8:$A599)=0),"",IF(AND($E600&lt;&gt;"",MAX($A$8:$A599)=0),1,IF(AND($E600&lt;&gt;"",MAX($A$8:$A599)&gt;0),MAX($A$8:$A599)+1,"")))</f>
        <v/>
      </c>
      <c r="B600" s="11">
        <v>593</v>
      </c>
      <c r="C600" s="19" t="str">
        <f t="shared" si="29"/>
        <v>EMPTY</v>
      </c>
      <c r="D600" s="3" t="str">
        <f t="shared" si="31"/>
        <v/>
      </c>
      <c r="E600" s="22"/>
      <c r="F600" s="8" t="str">
        <f t="shared" si="30"/>
        <v/>
      </c>
    </row>
    <row r="601" spans="1:6" x14ac:dyDescent="0.25">
      <c r="A601" s="13" t="str">
        <f>IF(AND($E601="",MAX($A$8:$A600)=0),"",IF(AND($E601&lt;&gt;"",MAX($A$8:$A600)=0),1,IF(AND($E601&lt;&gt;"",MAX($A$8:$A600)&gt;0),MAX($A$8:$A600)+1,"")))</f>
        <v/>
      </c>
      <c r="B601" s="11">
        <v>594</v>
      </c>
      <c r="C601" s="19" t="str">
        <f t="shared" si="29"/>
        <v>EMPTY</v>
      </c>
      <c r="D601" s="3" t="str">
        <f t="shared" si="31"/>
        <v/>
      </c>
      <c r="E601" s="22"/>
      <c r="F601" s="8" t="str">
        <f t="shared" si="30"/>
        <v/>
      </c>
    </row>
    <row r="602" spans="1:6" x14ac:dyDescent="0.25">
      <c r="A602" s="13" t="str">
        <f>IF(AND($E602="",MAX($A$8:$A601)=0),"",IF(AND($E602&lt;&gt;"",MAX($A$8:$A601)=0),1,IF(AND($E602&lt;&gt;"",MAX($A$8:$A601)&gt;0),MAX($A$8:$A601)+1,"")))</f>
        <v/>
      </c>
      <c r="B602" s="11">
        <v>595</v>
      </c>
      <c r="C602" s="19" t="str">
        <f t="shared" si="29"/>
        <v>EMPTY</v>
      </c>
      <c r="D602" s="3" t="str">
        <f t="shared" si="31"/>
        <v/>
      </c>
      <c r="E602" s="22"/>
      <c r="F602" s="8" t="str">
        <f t="shared" si="30"/>
        <v/>
      </c>
    </row>
    <row r="603" spans="1:6" x14ac:dyDescent="0.25">
      <c r="A603" s="13" t="str">
        <f>IF(AND($E603="",MAX($A$8:$A602)=0),"",IF(AND($E603&lt;&gt;"",MAX($A$8:$A602)=0),1,IF(AND($E603&lt;&gt;"",MAX($A$8:$A602)&gt;0),MAX($A$8:$A602)+1,"")))</f>
        <v/>
      </c>
      <c r="B603" s="11">
        <v>596</v>
      </c>
      <c r="C603" s="19" t="str">
        <f t="shared" si="29"/>
        <v>EMPTY</v>
      </c>
      <c r="D603" s="3" t="str">
        <f t="shared" si="31"/>
        <v/>
      </c>
      <c r="E603" s="22"/>
      <c r="F603" s="8" t="str">
        <f t="shared" si="30"/>
        <v/>
      </c>
    </row>
    <row r="604" spans="1:6" x14ac:dyDescent="0.25">
      <c r="A604" s="13" t="str">
        <f>IF(AND($E604="",MAX($A$8:$A603)=0),"",IF(AND($E604&lt;&gt;"",MAX($A$8:$A603)=0),1,IF(AND($E604&lt;&gt;"",MAX($A$8:$A603)&gt;0),MAX($A$8:$A603)+1,"")))</f>
        <v/>
      </c>
      <c r="B604" s="11">
        <v>597</v>
      </c>
      <c r="C604" s="19" t="str">
        <f t="shared" si="29"/>
        <v>EMPTY</v>
      </c>
      <c r="D604" s="3" t="str">
        <f t="shared" si="31"/>
        <v/>
      </c>
      <c r="E604" s="22"/>
      <c r="F604" s="8" t="str">
        <f t="shared" si="30"/>
        <v/>
      </c>
    </row>
    <row r="605" spans="1:6" x14ac:dyDescent="0.25">
      <c r="A605" s="13" t="str">
        <f>IF(AND($E605="",MAX($A$8:$A604)=0),"",IF(AND($E605&lt;&gt;"",MAX($A$8:$A604)=0),1,IF(AND($E605&lt;&gt;"",MAX($A$8:$A604)&gt;0),MAX($A$8:$A604)+1,"")))</f>
        <v/>
      </c>
      <c r="B605" s="11">
        <v>598</v>
      </c>
      <c r="C605" s="19" t="str">
        <f t="shared" si="29"/>
        <v>EMPTY</v>
      </c>
      <c r="D605" s="3" t="str">
        <f t="shared" si="31"/>
        <v/>
      </c>
      <c r="E605" s="22"/>
      <c r="F605" s="8" t="str">
        <f t="shared" si="30"/>
        <v/>
      </c>
    </row>
    <row r="606" spans="1:6" x14ac:dyDescent="0.25">
      <c r="A606" s="13" t="str">
        <f>IF(AND($E606="",MAX($A$8:$A605)=0),"",IF(AND($E606&lt;&gt;"",MAX($A$8:$A605)=0),1,IF(AND($E606&lt;&gt;"",MAX($A$8:$A605)&gt;0),MAX($A$8:$A605)+1,"")))</f>
        <v/>
      </c>
      <c r="B606" s="11">
        <v>599</v>
      </c>
      <c r="C606" s="19" t="str">
        <f t="shared" si="29"/>
        <v>EMPTY</v>
      </c>
      <c r="D606" s="3" t="str">
        <f t="shared" si="31"/>
        <v/>
      </c>
      <c r="E606" s="22"/>
      <c r="F606" s="8" t="str">
        <f t="shared" si="30"/>
        <v/>
      </c>
    </row>
    <row r="607" spans="1:6" x14ac:dyDescent="0.25">
      <c r="A607" s="13" t="str">
        <f>IF(AND($E607="",MAX($A$8:$A606)=0),"",IF(AND($E607&lt;&gt;"",MAX($A$8:$A606)=0),1,IF(AND($E607&lt;&gt;"",MAX($A$8:$A606)&gt;0),MAX($A$8:$A606)+1,"")))</f>
        <v/>
      </c>
      <c r="B607" s="11">
        <v>600</v>
      </c>
      <c r="C607" s="19" t="str">
        <f t="shared" si="29"/>
        <v>EMPTY</v>
      </c>
      <c r="D607" s="3" t="str">
        <f t="shared" si="31"/>
        <v/>
      </c>
      <c r="E607" s="22"/>
      <c r="F607" s="8" t="str">
        <f t="shared" si="30"/>
        <v/>
      </c>
    </row>
    <row r="608" spans="1:6" x14ac:dyDescent="0.25">
      <c r="A608" s="13" t="str">
        <f>IF(AND($E608="",MAX($A$8:$A607)=0),"",IF(AND($E608&lt;&gt;"",MAX($A$8:$A607)=0),1,IF(AND($E608&lt;&gt;"",MAX($A$8:$A607)&gt;0),MAX($A$8:$A607)+1,"")))</f>
        <v/>
      </c>
      <c r="B608" s="11">
        <v>601</v>
      </c>
      <c r="C608" s="19" t="str">
        <f t="shared" si="29"/>
        <v>EMPTY</v>
      </c>
      <c r="D608" s="3" t="str">
        <f t="shared" si="31"/>
        <v/>
      </c>
      <c r="E608" s="22"/>
      <c r="F608" s="8" t="str">
        <f t="shared" si="30"/>
        <v/>
      </c>
    </row>
    <row r="609" spans="1:6" x14ac:dyDescent="0.25">
      <c r="A609" s="13" t="str">
        <f>IF(AND($E609="",MAX($A$8:$A608)=0),"",IF(AND($E609&lt;&gt;"",MAX($A$8:$A608)=0),1,IF(AND($E609&lt;&gt;"",MAX($A$8:$A608)&gt;0),MAX($A$8:$A608)+1,"")))</f>
        <v/>
      </c>
      <c r="B609" s="11">
        <v>602</v>
      </c>
      <c r="C609" s="19" t="str">
        <f t="shared" si="29"/>
        <v>EMPTY</v>
      </c>
      <c r="D609" s="3" t="str">
        <f t="shared" si="31"/>
        <v/>
      </c>
      <c r="E609" s="22"/>
      <c r="F609" s="8" t="str">
        <f t="shared" si="30"/>
        <v/>
      </c>
    </row>
    <row r="610" spans="1:6" x14ac:dyDescent="0.25">
      <c r="A610" s="13" t="str">
        <f>IF(AND($E610="",MAX($A$8:$A609)=0),"",IF(AND($E610&lt;&gt;"",MAX($A$8:$A609)=0),1,IF(AND($E610&lt;&gt;"",MAX($A$8:$A609)&gt;0),MAX($A$8:$A609)+1,"")))</f>
        <v/>
      </c>
      <c r="B610" s="11">
        <v>603</v>
      </c>
      <c r="C610" s="19" t="str">
        <f t="shared" si="29"/>
        <v>EMPTY</v>
      </c>
      <c r="D610" s="3" t="str">
        <f t="shared" si="31"/>
        <v/>
      </c>
      <c r="E610" s="22"/>
      <c r="F610" s="8" t="str">
        <f t="shared" si="30"/>
        <v/>
      </c>
    </row>
    <row r="611" spans="1:6" x14ac:dyDescent="0.25">
      <c r="A611" s="13" t="str">
        <f>IF(AND($E611="",MAX($A$8:$A610)=0),"",IF(AND($E611&lt;&gt;"",MAX($A$8:$A610)=0),1,IF(AND($E611&lt;&gt;"",MAX($A$8:$A610)&gt;0),MAX($A$8:$A610)+1,"")))</f>
        <v/>
      </c>
      <c r="B611" s="11">
        <v>604</v>
      </c>
      <c r="C611" s="19" t="str">
        <f t="shared" si="29"/>
        <v>EMPTY</v>
      </c>
      <c r="D611" s="3" t="str">
        <f t="shared" si="31"/>
        <v/>
      </c>
      <c r="E611" s="22"/>
      <c r="F611" s="8" t="str">
        <f t="shared" si="30"/>
        <v/>
      </c>
    </row>
    <row r="612" spans="1:6" x14ac:dyDescent="0.25">
      <c r="A612" s="13" t="str">
        <f>IF(AND($E612="",MAX($A$8:$A611)=0),"",IF(AND($E612&lt;&gt;"",MAX($A$8:$A611)=0),1,IF(AND($E612&lt;&gt;"",MAX($A$8:$A611)&gt;0),MAX($A$8:$A611)+1,"")))</f>
        <v/>
      </c>
      <c r="B612" s="11">
        <v>605</v>
      </c>
      <c r="C612" s="19" t="str">
        <f t="shared" si="29"/>
        <v>EMPTY</v>
      </c>
      <c r="D612" s="3" t="str">
        <f t="shared" si="31"/>
        <v/>
      </c>
      <c r="E612" s="22"/>
      <c r="F612" s="8" t="str">
        <f t="shared" si="30"/>
        <v/>
      </c>
    </row>
    <row r="613" spans="1:6" x14ac:dyDescent="0.25">
      <c r="A613" s="13" t="str">
        <f>IF(AND($E613="",MAX($A$8:$A612)=0),"",IF(AND($E613&lt;&gt;"",MAX($A$8:$A612)=0),1,IF(AND($E613&lt;&gt;"",MAX($A$8:$A612)&gt;0),MAX($A$8:$A612)+1,"")))</f>
        <v/>
      </c>
      <c r="B613" s="11">
        <v>606</v>
      </c>
      <c r="C613" s="19" t="str">
        <f t="shared" si="29"/>
        <v>EMPTY</v>
      </c>
      <c r="D613" s="3" t="str">
        <f t="shared" si="31"/>
        <v/>
      </c>
      <c r="E613" s="22"/>
      <c r="F613" s="8" t="str">
        <f t="shared" si="30"/>
        <v/>
      </c>
    </row>
    <row r="614" spans="1:6" x14ac:dyDescent="0.25">
      <c r="A614" s="13" t="str">
        <f>IF(AND($E614="",MAX($A$8:$A613)=0),"",IF(AND($E614&lt;&gt;"",MAX($A$8:$A613)=0),1,IF(AND($E614&lt;&gt;"",MAX($A$8:$A613)&gt;0),MAX($A$8:$A613)+1,"")))</f>
        <v/>
      </c>
      <c r="B614" s="11">
        <v>607</v>
      </c>
      <c r="C614" s="19" t="str">
        <f t="shared" si="29"/>
        <v>EMPTY</v>
      </c>
      <c r="D614" s="3" t="str">
        <f t="shared" si="31"/>
        <v/>
      </c>
      <c r="E614" s="22"/>
      <c r="F614" s="8" t="str">
        <f t="shared" si="30"/>
        <v/>
      </c>
    </row>
    <row r="615" spans="1:6" x14ac:dyDescent="0.25">
      <c r="A615" s="13" t="str">
        <f>IF(AND($E615="",MAX($A$8:$A614)=0),"",IF(AND($E615&lt;&gt;"",MAX($A$8:$A614)=0),1,IF(AND($E615&lt;&gt;"",MAX($A$8:$A614)&gt;0),MAX($A$8:$A614)+1,"")))</f>
        <v/>
      </c>
      <c r="B615" s="11">
        <v>608</v>
      </c>
      <c r="C615" s="19" t="str">
        <f t="shared" si="29"/>
        <v>EMPTY</v>
      </c>
      <c r="D615" s="3" t="str">
        <f t="shared" si="31"/>
        <v/>
      </c>
      <c r="E615" s="22"/>
      <c r="F615" s="8" t="str">
        <f t="shared" si="30"/>
        <v/>
      </c>
    </row>
    <row r="616" spans="1:6" x14ac:dyDescent="0.25">
      <c r="A616" s="13" t="str">
        <f>IF(AND($E616="",MAX($A$8:$A615)=0),"",IF(AND($E616&lt;&gt;"",MAX($A$8:$A615)=0),1,IF(AND($E616&lt;&gt;"",MAX($A$8:$A615)&gt;0),MAX($A$8:$A615)+1,"")))</f>
        <v/>
      </c>
      <c r="B616" s="11">
        <v>609</v>
      </c>
      <c r="C616" s="19" t="str">
        <f t="shared" si="29"/>
        <v>EMPTY</v>
      </c>
      <c r="D616" s="3" t="str">
        <f t="shared" si="31"/>
        <v/>
      </c>
      <c r="E616" s="22"/>
      <c r="F616" s="8" t="str">
        <f t="shared" si="30"/>
        <v/>
      </c>
    </row>
    <row r="617" spans="1:6" x14ac:dyDescent="0.25">
      <c r="A617" s="13" t="str">
        <f>IF(AND($E617="",MAX($A$8:$A616)=0),"",IF(AND($E617&lt;&gt;"",MAX($A$8:$A616)=0),1,IF(AND($E617&lt;&gt;"",MAX($A$8:$A616)&gt;0),MAX($A$8:$A616)+1,"")))</f>
        <v/>
      </c>
      <c r="B617" s="11">
        <v>610</v>
      </c>
      <c r="C617" s="19" t="str">
        <f t="shared" si="29"/>
        <v>EMPTY</v>
      </c>
      <c r="D617" s="3" t="str">
        <f t="shared" si="31"/>
        <v/>
      </c>
      <c r="E617" s="22"/>
      <c r="F617" s="8" t="str">
        <f t="shared" si="30"/>
        <v/>
      </c>
    </row>
    <row r="618" spans="1:6" x14ac:dyDescent="0.25">
      <c r="A618" s="13" t="str">
        <f>IF(AND($E618="",MAX($A$8:$A617)=0),"",IF(AND($E618&lt;&gt;"",MAX($A$8:$A617)=0),1,IF(AND($E618&lt;&gt;"",MAX($A$8:$A617)&gt;0),MAX($A$8:$A617)+1,"")))</f>
        <v/>
      </c>
      <c r="B618" s="11">
        <v>611</v>
      </c>
      <c r="C618" s="19" t="str">
        <f t="shared" si="29"/>
        <v>EMPTY</v>
      </c>
      <c r="D618" s="3" t="str">
        <f t="shared" si="31"/>
        <v/>
      </c>
      <c r="E618" s="22"/>
      <c r="F618" s="8" t="str">
        <f t="shared" si="30"/>
        <v/>
      </c>
    </row>
    <row r="619" spans="1:6" x14ac:dyDescent="0.25">
      <c r="A619" s="13" t="str">
        <f>IF(AND($E619="",MAX($A$8:$A618)=0),"",IF(AND($E619&lt;&gt;"",MAX($A$8:$A618)=0),1,IF(AND($E619&lt;&gt;"",MAX($A$8:$A618)&gt;0),MAX($A$8:$A618)+1,"")))</f>
        <v/>
      </c>
      <c r="B619" s="11">
        <v>612</v>
      </c>
      <c r="C619" s="19" t="str">
        <f t="shared" si="29"/>
        <v>EMPTY</v>
      </c>
      <c r="D619" s="3" t="str">
        <f t="shared" si="31"/>
        <v/>
      </c>
      <c r="E619" s="22"/>
      <c r="F619" s="8" t="str">
        <f t="shared" si="30"/>
        <v/>
      </c>
    </row>
    <row r="620" spans="1:6" x14ac:dyDescent="0.25">
      <c r="A620" s="13" t="str">
        <f>IF(AND($E620="",MAX($A$8:$A619)=0),"",IF(AND($E620&lt;&gt;"",MAX($A$8:$A619)=0),1,IF(AND($E620&lt;&gt;"",MAX($A$8:$A619)&gt;0),MAX($A$8:$A619)+1,"")))</f>
        <v/>
      </c>
      <c r="B620" s="11">
        <v>613</v>
      </c>
      <c r="C620" s="19" t="str">
        <f t="shared" si="29"/>
        <v>EMPTY</v>
      </c>
      <c r="D620" s="3" t="str">
        <f t="shared" si="31"/>
        <v/>
      </c>
      <c r="E620" s="22"/>
      <c r="F620" s="8" t="str">
        <f t="shared" si="30"/>
        <v/>
      </c>
    </row>
    <row r="621" spans="1:6" x14ac:dyDescent="0.25">
      <c r="A621" s="13" t="str">
        <f>IF(AND($E621="",MAX($A$8:$A620)=0),"",IF(AND($E621&lt;&gt;"",MAX($A$8:$A620)=0),1,IF(AND($E621&lt;&gt;"",MAX($A$8:$A620)&gt;0),MAX($A$8:$A620)+1,"")))</f>
        <v/>
      </c>
      <c r="B621" s="11">
        <v>614</v>
      </c>
      <c r="C621" s="19" t="str">
        <f t="shared" si="29"/>
        <v>EMPTY</v>
      </c>
      <c r="D621" s="3" t="str">
        <f t="shared" si="31"/>
        <v/>
      </c>
      <c r="E621" s="22"/>
      <c r="F621" s="8" t="str">
        <f t="shared" si="30"/>
        <v/>
      </c>
    </row>
    <row r="622" spans="1:6" x14ac:dyDescent="0.25">
      <c r="A622" s="13" t="str">
        <f>IF(AND($E622="",MAX($A$8:$A621)=0),"",IF(AND($E622&lt;&gt;"",MAX($A$8:$A621)=0),1,IF(AND($E622&lt;&gt;"",MAX($A$8:$A621)&gt;0),MAX($A$8:$A621)+1,"")))</f>
        <v/>
      </c>
      <c r="B622" s="11">
        <v>615</v>
      </c>
      <c r="C622" s="19" t="str">
        <f t="shared" si="29"/>
        <v>EMPTY</v>
      </c>
      <c r="D622" s="3" t="str">
        <f t="shared" si="31"/>
        <v/>
      </c>
      <c r="E622" s="22"/>
      <c r="F622" s="8" t="str">
        <f t="shared" si="30"/>
        <v/>
      </c>
    </row>
    <row r="623" spans="1:6" x14ac:dyDescent="0.25">
      <c r="A623" s="13" t="str">
        <f>IF(AND($E623="",MAX($A$8:$A622)=0),"",IF(AND($E623&lt;&gt;"",MAX($A$8:$A622)=0),1,IF(AND($E623&lt;&gt;"",MAX($A$8:$A622)&gt;0),MAX($A$8:$A622)+1,"")))</f>
        <v/>
      </c>
      <c r="B623" s="11">
        <v>616</v>
      </c>
      <c r="C623" s="19" t="str">
        <f t="shared" si="29"/>
        <v>EMPTY</v>
      </c>
      <c r="D623" s="3" t="str">
        <f t="shared" si="31"/>
        <v/>
      </c>
      <c r="E623" s="22"/>
      <c r="F623" s="8" t="str">
        <f t="shared" si="30"/>
        <v/>
      </c>
    </row>
    <row r="624" spans="1:6" x14ac:dyDescent="0.25">
      <c r="A624" s="13" t="str">
        <f>IF(AND($E624="",MAX($A$8:$A623)=0),"",IF(AND($E624&lt;&gt;"",MAX($A$8:$A623)=0),1,IF(AND($E624&lt;&gt;"",MAX($A$8:$A623)&gt;0),MAX($A$8:$A623)+1,"")))</f>
        <v/>
      </c>
      <c r="B624" s="11">
        <v>617</v>
      </c>
      <c r="C624" s="19" t="str">
        <f t="shared" si="29"/>
        <v>EMPTY</v>
      </c>
      <c r="D624" s="3" t="str">
        <f t="shared" si="31"/>
        <v/>
      </c>
      <c r="E624" s="22"/>
      <c r="F624" s="8" t="str">
        <f t="shared" si="30"/>
        <v/>
      </c>
    </row>
    <row r="625" spans="1:6" x14ac:dyDescent="0.25">
      <c r="A625" s="13" t="str">
        <f>IF(AND($E625="",MAX($A$8:$A624)=0),"",IF(AND($E625&lt;&gt;"",MAX($A$8:$A624)=0),1,IF(AND($E625&lt;&gt;"",MAX($A$8:$A624)&gt;0),MAX($A$8:$A624)+1,"")))</f>
        <v/>
      </c>
      <c r="B625" s="11">
        <v>618</v>
      </c>
      <c r="C625" s="19" t="str">
        <f t="shared" si="29"/>
        <v>EMPTY</v>
      </c>
      <c r="D625" s="3" t="str">
        <f t="shared" si="31"/>
        <v/>
      </c>
      <c r="E625" s="22"/>
      <c r="F625" s="8" t="str">
        <f t="shared" si="30"/>
        <v/>
      </c>
    </row>
    <row r="626" spans="1:6" x14ac:dyDescent="0.25">
      <c r="A626" s="13" t="str">
        <f>IF(AND($E626="",MAX($A$8:$A625)=0),"",IF(AND($E626&lt;&gt;"",MAX($A$8:$A625)=0),1,IF(AND($E626&lt;&gt;"",MAX($A$8:$A625)&gt;0),MAX($A$8:$A625)+1,"")))</f>
        <v/>
      </c>
      <c r="B626" s="11">
        <v>619</v>
      </c>
      <c r="C626" s="19" t="str">
        <f t="shared" si="29"/>
        <v>EMPTY</v>
      </c>
      <c r="D626" s="3" t="str">
        <f t="shared" si="31"/>
        <v/>
      </c>
      <c r="E626" s="22"/>
      <c r="F626" s="8" t="str">
        <f t="shared" si="30"/>
        <v/>
      </c>
    </row>
    <row r="627" spans="1:6" x14ac:dyDescent="0.25">
      <c r="A627" s="13" t="str">
        <f>IF(AND($E627="",MAX($A$8:$A626)=0),"",IF(AND($E627&lt;&gt;"",MAX($A$8:$A626)=0),1,IF(AND($E627&lt;&gt;"",MAX($A$8:$A626)&gt;0),MAX($A$8:$A626)+1,"")))</f>
        <v/>
      </c>
      <c r="B627" s="11">
        <v>620</v>
      </c>
      <c r="C627" s="19" t="str">
        <f t="shared" si="29"/>
        <v>EMPTY</v>
      </c>
      <c r="D627" s="3" t="str">
        <f t="shared" si="31"/>
        <v/>
      </c>
      <c r="E627" s="22"/>
      <c r="F627" s="8" t="str">
        <f t="shared" si="30"/>
        <v/>
      </c>
    </row>
    <row r="628" spans="1:6" x14ac:dyDescent="0.25">
      <c r="A628" s="13" t="str">
        <f>IF(AND($E628="",MAX($A$8:$A627)=0),"",IF(AND($E628&lt;&gt;"",MAX($A$8:$A627)=0),1,IF(AND($E628&lt;&gt;"",MAX($A$8:$A627)&gt;0),MAX($A$8:$A627)+1,"")))</f>
        <v/>
      </c>
      <c r="B628" s="11">
        <v>621</v>
      </c>
      <c r="C628" s="19" t="str">
        <f t="shared" si="29"/>
        <v>EMPTY</v>
      </c>
      <c r="D628" s="3" t="str">
        <f t="shared" si="31"/>
        <v/>
      </c>
      <c r="E628" s="22"/>
      <c r="F628" s="8" t="str">
        <f t="shared" si="30"/>
        <v/>
      </c>
    </row>
    <row r="629" spans="1:6" x14ac:dyDescent="0.25">
      <c r="A629" s="13" t="str">
        <f>IF(AND($E629="",MAX($A$8:$A628)=0),"",IF(AND($E629&lt;&gt;"",MAX($A$8:$A628)=0),1,IF(AND($E629&lt;&gt;"",MAX($A$8:$A628)&gt;0),MAX($A$8:$A628)+1,"")))</f>
        <v/>
      </c>
      <c r="B629" s="11">
        <v>622</v>
      </c>
      <c r="C629" s="19" t="str">
        <f t="shared" si="29"/>
        <v>EMPTY</v>
      </c>
      <c r="D629" s="3" t="str">
        <f t="shared" si="31"/>
        <v/>
      </c>
      <c r="E629" s="22"/>
      <c r="F629" s="8" t="str">
        <f t="shared" si="30"/>
        <v/>
      </c>
    </row>
    <row r="630" spans="1:6" x14ac:dyDescent="0.25">
      <c r="A630" s="13" t="str">
        <f>IF(AND($E630="",MAX($A$8:$A629)=0),"",IF(AND($E630&lt;&gt;"",MAX($A$8:$A629)=0),1,IF(AND($E630&lt;&gt;"",MAX($A$8:$A629)&gt;0),MAX($A$8:$A629)+1,"")))</f>
        <v/>
      </c>
      <c r="B630" s="11">
        <v>623</v>
      </c>
      <c r="C630" s="19" t="str">
        <f t="shared" si="29"/>
        <v>EMPTY</v>
      </c>
      <c r="D630" s="3" t="str">
        <f t="shared" si="31"/>
        <v/>
      </c>
      <c r="E630" s="22"/>
      <c r="F630" s="8" t="str">
        <f t="shared" si="30"/>
        <v/>
      </c>
    </row>
    <row r="631" spans="1:6" x14ac:dyDescent="0.25">
      <c r="A631" s="13" t="str">
        <f>IF(AND($E631="",MAX($A$8:$A630)=0),"",IF(AND($E631&lt;&gt;"",MAX($A$8:$A630)=0),1,IF(AND($E631&lt;&gt;"",MAX($A$8:$A630)&gt;0),MAX($A$8:$A630)+1,"")))</f>
        <v/>
      </c>
      <c r="B631" s="11">
        <v>624</v>
      </c>
      <c r="C631" s="19" t="str">
        <f t="shared" si="29"/>
        <v>EMPTY</v>
      </c>
      <c r="D631" s="3" t="str">
        <f t="shared" si="31"/>
        <v/>
      </c>
      <c r="E631" s="22"/>
      <c r="F631" s="8" t="str">
        <f t="shared" si="30"/>
        <v/>
      </c>
    </row>
    <row r="632" spans="1:6" x14ac:dyDescent="0.25">
      <c r="A632" s="13" t="str">
        <f>IF(AND($E632="",MAX($A$8:$A631)=0),"",IF(AND($E632&lt;&gt;"",MAX($A$8:$A631)=0),1,IF(AND($E632&lt;&gt;"",MAX($A$8:$A631)&gt;0),MAX($A$8:$A631)+1,"")))</f>
        <v/>
      </c>
      <c r="B632" s="11">
        <v>625</v>
      </c>
      <c r="C632" s="19" t="str">
        <f t="shared" si="29"/>
        <v>EMPTY</v>
      </c>
      <c r="D632" s="3" t="str">
        <f t="shared" si="31"/>
        <v/>
      </c>
      <c r="E632" s="22"/>
      <c r="F632" s="8" t="str">
        <f t="shared" si="30"/>
        <v/>
      </c>
    </row>
    <row r="633" spans="1:6" x14ac:dyDescent="0.25">
      <c r="A633" s="13" t="str">
        <f>IF(AND($E633="",MAX($A$8:$A632)=0),"",IF(AND($E633&lt;&gt;"",MAX($A$8:$A632)=0),1,IF(AND($E633&lt;&gt;"",MAX($A$8:$A632)&gt;0),MAX($A$8:$A632)+1,"")))</f>
        <v/>
      </c>
      <c r="B633" s="11">
        <v>626</v>
      </c>
      <c r="C633" s="19" t="str">
        <f t="shared" si="29"/>
        <v>EMPTY</v>
      </c>
      <c r="D633" s="3" t="str">
        <f t="shared" si="31"/>
        <v/>
      </c>
      <c r="E633" s="22"/>
      <c r="F633" s="8" t="str">
        <f t="shared" si="30"/>
        <v/>
      </c>
    </row>
    <row r="634" spans="1:6" x14ac:dyDescent="0.25">
      <c r="A634" s="13" t="str">
        <f>IF(AND($E634="",MAX($A$8:$A633)=0),"",IF(AND($E634&lt;&gt;"",MAX($A$8:$A633)=0),1,IF(AND($E634&lt;&gt;"",MAX($A$8:$A633)&gt;0),MAX($A$8:$A633)+1,"")))</f>
        <v/>
      </c>
      <c r="B634" s="11">
        <v>627</v>
      </c>
      <c r="C634" s="19" t="str">
        <f t="shared" si="29"/>
        <v>EMPTY</v>
      </c>
      <c r="D634" s="3" t="str">
        <f t="shared" si="31"/>
        <v/>
      </c>
      <c r="E634" s="22"/>
      <c r="F634" s="8" t="str">
        <f t="shared" si="30"/>
        <v/>
      </c>
    </row>
    <row r="635" spans="1:6" x14ac:dyDescent="0.25">
      <c r="A635" s="13" t="str">
        <f>IF(AND($E635="",MAX($A$8:$A634)=0),"",IF(AND($E635&lt;&gt;"",MAX($A$8:$A634)=0),1,IF(AND($E635&lt;&gt;"",MAX($A$8:$A634)&gt;0),MAX($A$8:$A634)+1,"")))</f>
        <v/>
      </c>
      <c r="B635" s="11">
        <v>628</v>
      </c>
      <c r="C635" s="19" t="str">
        <f t="shared" si="29"/>
        <v>EMPTY</v>
      </c>
      <c r="D635" s="3" t="str">
        <f t="shared" si="31"/>
        <v/>
      </c>
      <c r="E635" s="22"/>
      <c r="F635" s="8" t="str">
        <f t="shared" si="30"/>
        <v/>
      </c>
    </row>
    <row r="636" spans="1:6" x14ac:dyDescent="0.25">
      <c r="A636" s="13" t="str">
        <f>IF(AND($E636="",MAX($A$8:$A635)=0),"",IF(AND($E636&lt;&gt;"",MAX($A$8:$A635)=0),1,IF(AND($E636&lt;&gt;"",MAX($A$8:$A635)&gt;0),MAX($A$8:$A635)+1,"")))</f>
        <v/>
      </c>
      <c r="B636" s="11">
        <v>629</v>
      </c>
      <c r="C636" s="19" t="str">
        <f t="shared" si="29"/>
        <v>EMPTY</v>
      </c>
      <c r="D636" s="3" t="str">
        <f t="shared" si="31"/>
        <v/>
      </c>
      <c r="E636" s="22"/>
      <c r="F636" s="8" t="str">
        <f t="shared" si="30"/>
        <v/>
      </c>
    </row>
    <row r="637" spans="1:6" x14ac:dyDescent="0.25">
      <c r="A637" s="13" t="str">
        <f>IF(AND($E637="",MAX($A$8:$A636)=0),"",IF(AND($E637&lt;&gt;"",MAX($A$8:$A636)=0),1,IF(AND($E637&lt;&gt;"",MAX($A$8:$A636)&gt;0),MAX($A$8:$A636)+1,"")))</f>
        <v/>
      </c>
      <c r="B637" s="11">
        <v>630</v>
      </c>
      <c r="C637" s="19" t="str">
        <f t="shared" si="29"/>
        <v>EMPTY</v>
      </c>
      <c r="D637" s="3" t="str">
        <f t="shared" si="31"/>
        <v/>
      </c>
      <c r="E637" s="22"/>
      <c r="F637" s="8" t="str">
        <f t="shared" si="30"/>
        <v/>
      </c>
    </row>
    <row r="638" spans="1:6" x14ac:dyDescent="0.25">
      <c r="A638" s="13" t="str">
        <f>IF(AND($E638="",MAX($A$8:$A637)=0),"",IF(AND($E638&lt;&gt;"",MAX($A$8:$A637)=0),1,IF(AND($E638&lt;&gt;"",MAX($A$8:$A637)&gt;0),MAX($A$8:$A637)+1,"")))</f>
        <v/>
      </c>
      <c r="B638" s="11">
        <v>631</v>
      </c>
      <c r="C638" s="19" t="str">
        <f t="shared" si="29"/>
        <v>EMPTY</v>
      </c>
      <c r="D638" s="3" t="str">
        <f t="shared" si="31"/>
        <v/>
      </c>
      <c r="E638" s="22"/>
      <c r="F638" s="8" t="str">
        <f t="shared" si="30"/>
        <v/>
      </c>
    </row>
    <row r="639" spans="1:6" x14ac:dyDescent="0.25">
      <c r="A639" s="13" t="str">
        <f>IF(AND($E639="",MAX($A$8:$A638)=0),"",IF(AND($E639&lt;&gt;"",MAX($A$8:$A638)=0),1,IF(AND($E639&lt;&gt;"",MAX($A$8:$A638)&gt;0),MAX($A$8:$A638)+1,"")))</f>
        <v/>
      </c>
      <c r="B639" s="11">
        <v>632</v>
      </c>
      <c r="C639" s="19" t="str">
        <f t="shared" si="29"/>
        <v>EMPTY</v>
      </c>
      <c r="D639" s="3" t="str">
        <f t="shared" si="31"/>
        <v/>
      </c>
      <c r="E639" s="22"/>
      <c r="F639" s="8" t="str">
        <f t="shared" si="30"/>
        <v/>
      </c>
    </row>
    <row r="640" spans="1:6" x14ac:dyDescent="0.25">
      <c r="A640" s="13" t="str">
        <f>IF(AND($E640="",MAX($A$8:$A639)=0),"",IF(AND($E640&lt;&gt;"",MAX($A$8:$A639)=0),1,IF(AND($E640&lt;&gt;"",MAX($A$8:$A639)&gt;0),MAX($A$8:$A639)+1,"")))</f>
        <v/>
      </c>
      <c r="B640" s="11">
        <v>633</v>
      </c>
      <c r="C640" s="19" t="str">
        <f t="shared" si="29"/>
        <v>EMPTY</v>
      </c>
      <c r="D640" s="3" t="str">
        <f t="shared" si="31"/>
        <v/>
      </c>
      <c r="E640" s="22"/>
      <c r="F640" s="8" t="str">
        <f t="shared" si="30"/>
        <v/>
      </c>
    </row>
    <row r="641" spans="1:6" x14ac:dyDescent="0.25">
      <c r="A641" s="13" t="str">
        <f>IF(AND($E641="",MAX($A$8:$A640)=0),"",IF(AND($E641&lt;&gt;"",MAX($A$8:$A640)=0),1,IF(AND($E641&lt;&gt;"",MAX($A$8:$A640)&gt;0),MAX($A$8:$A640)+1,"")))</f>
        <v/>
      </c>
      <c r="B641" s="11">
        <v>634</v>
      </c>
      <c r="C641" s="19" t="str">
        <f t="shared" si="29"/>
        <v>EMPTY</v>
      </c>
      <c r="D641" s="3" t="str">
        <f t="shared" si="31"/>
        <v/>
      </c>
      <c r="E641" s="22"/>
      <c r="F641" s="8" t="str">
        <f t="shared" si="30"/>
        <v/>
      </c>
    </row>
    <row r="642" spans="1:6" x14ac:dyDescent="0.25">
      <c r="A642" s="13" t="str">
        <f>IF(AND($E642="",MAX($A$8:$A641)=0),"",IF(AND($E642&lt;&gt;"",MAX($A$8:$A641)=0),1,IF(AND($E642&lt;&gt;"",MAX($A$8:$A641)&gt;0),MAX($A$8:$A641)+1,"")))</f>
        <v/>
      </c>
      <c r="B642" s="11">
        <v>635</v>
      </c>
      <c r="C642" s="19" t="str">
        <f t="shared" si="29"/>
        <v>EMPTY</v>
      </c>
      <c r="D642" s="3" t="str">
        <f t="shared" si="31"/>
        <v/>
      </c>
      <c r="E642" s="22"/>
      <c r="F642" s="8" t="str">
        <f t="shared" si="30"/>
        <v/>
      </c>
    </row>
    <row r="643" spans="1:6" x14ac:dyDescent="0.25">
      <c r="A643" s="13" t="str">
        <f>IF(AND($E643="",MAX($A$8:$A642)=0),"",IF(AND($E643&lt;&gt;"",MAX($A$8:$A642)=0),1,IF(AND($E643&lt;&gt;"",MAX($A$8:$A642)&gt;0),MAX($A$8:$A642)+1,"")))</f>
        <v/>
      </c>
      <c r="B643" s="11">
        <v>636</v>
      </c>
      <c r="C643" s="19" t="str">
        <f t="shared" si="29"/>
        <v>EMPTY</v>
      </c>
      <c r="D643" s="3" t="str">
        <f t="shared" si="31"/>
        <v/>
      </c>
      <c r="E643" s="22"/>
      <c r="F643" s="8" t="str">
        <f t="shared" si="30"/>
        <v/>
      </c>
    </row>
    <row r="644" spans="1:6" x14ac:dyDescent="0.25">
      <c r="A644" s="13" t="str">
        <f>IF(AND($E644="",MAX($A$8:$A643)=0),"",IF(AND($E644&lt;&gt;"",MAX($A$8:$A643)=0),1,IF(AND($E644&lt;&gt;"",MAX($A$8:$A643)&gt;0),MAX($A$8:$A643)+1,"")))</f>
        <v/>
      </c>
      <c r="B644" s="11">
        <v>637</v>
      </c>
      <c r="C644" s="19" t="str">
        <f t="shared" si="29"/>
        <v>EMPTY</v>
      </c>
      <c r="D644" s="3" t="str">
        <f t="shared" si="31"/>
        <v/>
      </c>
      <c r="E644" s="22"/>
      <c r="F644" s="8" t="str">
        <f t="shared" si="30"/>
        <v/>
      </c>
    </row>
    <row r="645" spans="1:6" x14ac:dyDescent="0.25">
      <c r="A645" s="13" t="str">
        <f>IF(AND($E645="",MAX($A$8:$A644)=0),"",IF(AND($E645&lt;&gt;"",MAX($A$8:$A644)=0),1,IF(AND($E645&lt;&gt;"",MAX($A$8:$A644)&gt;0),MAX($A$8:$A644)+1,"")))</f>
        <v/>
      </c>
      <c r="B645" s="11">
        <v>638</v>
      </c>
      <c r="C645" s="19" t="str">
        <f t="shared" si="29"/>
        <v>EMPTY</v>
      </c>
      <c r="D645" s="3" t="str">
        <f t="shared" si="31"/>
        <v/>
      </c>
      <c r="E645" s="22"/>
      <c r="F645" s="8" t="str">
        <f t="shared" si="30"/>
        <v/>
      </c>
    </row>
    <row r="646" spans="1:6" x14ac:dyDescent="0.25">
      <c r="A646" s="13" t="str">
        <f>IF(AND($E646="",MAX($A$8:$A645)=0),"",IF(AND($E646&lt;&gt;"",MAX($A$8:$A645)=0),1,IF(AND($E646&lt;&gt;"",MAX($A$8:$A645)&gt;0),MAX($A$8:$A645)+1,"")))</f>
        <v/>
      </c>
      <c r="B646" s="11">
        <v>639</v>
      </c>
      <c r="C646" s="19" t="str">
        <f t="shared" si="29"/>
        <v>EMPTY</v>
      </c>
      <c r="D646" s="3" t="str">
        <f t="shared" si="31"/>
        <v/>
      </c>
      <c r="E646" s="22"/>
      <c r="F646" s="8" t="str">
        <f t="shared" si="30"/>
        <v/>
      </c>
    </row>
    <row r="647" spans="1:6" x14ac:dyDescent="0.25">
      <c r="A647" s="13" t="str">
        <f>IF(AND($E647="",MAX($A$8:$A646)=0),"",IF(AND($E647&lt;&gt;"",MAX($A$8:$A646)=0),1,IF(AND($E647&lt;&gt;"",MAX($A$8:$A646)&gt;0),MAX($A$8:$A646)+1,"")))</f>
        <v/>
      </c>
      <c r="B647" s="11">
        <v>640</v>
      </c>
      <c r="C647" s="19" t="str">
        <f t="shared" si="29"/>
        <v>EMPTY</v>
      </c>
      <c r="D647" s="3" t="str">
        <f t="shared" si="31"/>
        <v/>
      </c>
      <c r="E647" s="22"/>
      <c r="F647" s="8" t="str">
        <f t="shared" si="30"/>
        <v/>
      </c>
    </row>
    <row r="648" spans="1:6" x14ac:dyDescent="0.25">
      <c r="A648" s="13" t="str">
        <f>IF(AND($E648="",MAX($A$8:$A647)=0),"",IF(AND($E648&lt;&gt;"",MAX($A$8:$A647)=0),1,IF(AND($E648&lt;&gt;"",MAX($A$8:$A647)&gt;0),MAX($A$8:$A647)+1,"")))</f>
        <v/>
      </c>
      <c r="B648" s="11">
        <v>641</v>
      </c>
      <c r="C648" s="19" t="str">
        <f t="shared" si="29"/>
        <v>EMPTY</v>
      </c>
      <c r="D648" s="3" t="str">
        <f t="shared" si="31"/>
        <v/>
      </c>
      <c r="E648" s="22"/>
      <c r="F648" s="8" t="str">
        <f t="shared" si="30"/>
        <v/>
      </c>
    </row>
    <row r="649" spans="1:6" x14ac:dyDescent="0.25">
      <c r="A649" s="13" t="str">
        <f>IF(AND($E649="",MAX($A$8:$A648)=0),"",IF(AND($E649&lt;&gt;"",MAX($A$8:$A648)=0),1,IF(AND($E649&lt;&gt;"",MAX($A$8:$A648)&gt;0),MAX($A$8:$A648)+1,"")))</f>
        <v/>
      </c>
      <c r="B649" s="11">
        <v>642</v>
      </c>
      <c r="C649" s="19" t="str">
        <f t="shared" ref="C649:C712" si="32">IF($E649="","EMPTY",IF(COUNT(MID($E649,2,1))=0,"HIDE",IF(COUNT(MID($E649,2,1))=1,"SHOW","")))</f>
        <v>EMPTY</v>
      </c>
      <c r="D649" s="3" t="str">
        <f t="shared" si="31"/>
        <v/>
      </c>
      <c r="E649" s="22"/>
      <c r="F649" s="8" t="str">
        <f t="shared" ref="F649:F712" si="33">$D649</f>
        <v/>
      </c>
    </row>
    <row r="650" spans="1:6" x14ac:dyDescent="0.25">
      <c r="A650" s="13" t="str">
        <f>IF(AND($E650="",MAX($A$8:$A649)=0),"",IF(AND($E650&lt;&gt;"",MAX($A$8:$A649)=0),1,IF(AND($E650&lt;&gt;"",MAX($A$8:$A649)&gt;0),MAX($A$8:$A649)+1,"")))</f>
        <v/>
      </c>
      <c r="B650" s="11">
        <v>643</v>
      </c>
      <c r="C650" s="19" t="str">
        <f t="shared" si="32"/>
        <v>EMPTY</v>
      </c>
      <c r="D650" s="3" t="str">
        <f t="shared" si="31"/>
        <v/>
      </c>
      <c r="E650" s="22"/>
      <c r="F650" s="8" t="str">
        <f t="shared" si="33"/>
        <v/>
      </c>
    </row>
    <row r="651" spans="1:6" x14ac:dyDescent="0.25">
      <c r="A651" s="13" t="str">
        <f>IF(AND($E651="",MAX($A$8:$A650)=0),"",IF(AND($E651&lt;&gt;"",MAX($A$8:$A650)=0),1,IF(AND($E651&lt;&gt;"",MAX($A$8:$A650)&gt;0),MAX($A$8:$A650)+1,"")))</f>
        <v/>
      </c>
      <c r="B651" s="11">
        <v>644</v>
      </c>
      <c r="C651" s="19" t="str">
        <f t="shared" si="32"/>
        <v>EMPTY</v>
      </c>
      <c r="D651" s="3" t="str">
        <f t="shared" si="31"/>
        <v/>
      </c>
      <c r="E651" s="22"/>
      <c r="F651" s="8" t="str">
        <f t="shared" si="33"/>
        <v/>
      </c>
    </row>
    <row r="652" spans="1:6" x14ac:dyDescent="0.25">
      <c r="A652" s="13" t="str">
        <f>IF(AND($E652="",MAX($A$8:$A651)=0),"",IF(AND($E652&lt;&gt;"",MAX($A$8:$A651)=0),1,IF(AND($E652&lt;&gt;"",MAX($A$8:$A651)&gt;0),MAX($A$8:$A651)+1,"")))</f>
        <v/>
      </c>
      <c r="B652" s="11">
        <v>645</v>
      </c>
      <c r="C652" s="19" t="str">
        <f t="shared" si="32"/>
        <v>EMPTY</v>
      </c>
      <c r="D652" s="3" t="str">
        <f t="shared" si="31"/>
        <v/>
      </c>
      <c r="E652" s="22"/>
      <c r="F652" s="8" t="str">
        <f t="shared" si="33"/>
        <v/>
      </c>
    </row>
    <row r="653" spans="1:6" x14ac:dyDescent="0.25">
      <c r="A653" s="13" t="str">
        <f>IF(AND($E653="",MAX($A$8:$A652)=0),"",IF(AND($E653&lt;&gt;"",MAX($A$8:$A652)=0),1,IF(AND($E653&lt;&gt;"",MAX($A$8:$A652)&gt;0),MAX($A$8:$A652)+1,"")))</f>
        <v/>
      </c>
      <c r="B653" s="11">
        <v>646</v>
      </c>
      <c r="C653" s="19" t="str">
        <f t="shared" si="32"/>
        <v>EMPTY</v>
      </c>
      <c r="D653" s="3" t="str">
        <f t="shared" si="31"/>
        <v/>
      </c>
      <c r="E653" s="22"/>
      <c r="F653" s="8" t="str">
        <f t="shared" si="33"/>
        <v/>
      </c>
    </row>
    <row r="654" spans="1:6" x14ac:dyDescent="0.25">
      <c r="A654" s="13" t="str">
        <f>IF(AND($E654="",MAX($A$8:$A653)=0),"",IF(AND($E654&lt;&gt;"",MAX($A$8:$A653)=0),1,IF(AND($E654&lt;&gt;"",MAX($A$8:$A653)&gt;0),MAX($A$8:$A653)+1,"")))</f>
        <v/>
      </c>
      <c r="B654" s="11">
        <v>647</v>
      </c>
      <c r="C654" s="19" t="str">
        <f t="shared" si="32"/>
        <v>EMPTY</v>
      </c>
      <c r="D654" s="3" t="str">
        <f t="shared" si="31"/>
        <v/>
      </c>
      <c r="E654" s="22"/>
      <c r="F654" s="8" t="str">
        <f t="shared" si="33"/>
        <v/>
      </c>
    </row>
    <row r="655" spans="1:6" x14ac:dyDescent="0.25">
      <c r="A655" s="13" t="str">
        <f>IF(AND($E655="",MAX($A$8:$A654)=0),"",IF(AND($E655&lt;&gt;"",MAX($A$8:$A654)=0),1,IF(AND($E655&lt;&gt;"",MAX($A$8:$A654)&gt;0),MAX($A$8:$A654)+1,"")))</f>
        <v/>
      </c>
      <c r="B655" s="11">
        <v>648</v>
      </c>
      <c r="C655" s="19" t="str">
        <f t="shared" si="32"/>
        <v>EMPTY</v>
      </c>
      <c r="D655" s="3" t="str">
        <f t="shared" si="31"/>
        <v/>
      </c>
      <c r="E655" s="22"/>
      <c r="F655" s="8" t="str">
        <f t="shared" si="33"/>
        <v/>
      </c>
    </row>
    <row r="656" spans="1:6" x14ac:dyDescent="0.25">
      <c r="A656" s="13" t="str">
        <f>IF(AND($E656="",MAX($A$8:$A655)=0),"",IF(AND($E656&lt;&gt;"",MAX($A$8:$A655)=0),1,IF(AND($E656&lt;&gt;"",MAX($A$8:$A655)&gt;0),MAX($A$8:$A655)+1,"")))</f>
        <v/>
      </c>
      <c r="B656" s="11">
        <v>649</v>
      </c>
      <c r="C656" s="19" t="str">
        <f t="shared" si="32"/>
        <v>EMPTY</v>
      </c>
      <c r="D656" s="3" t="str">
        <f t="shared" si="31"/>
        <v/>
      </c>
      <c r="E656" s="22"/>
      <c r="F656" s="8" t="str">
        <f t="shared" si="33"/>
        <v/>
      </c>
    </row>
    <row r="657" spans="1:6" x14ac:dyDescent="0.25">
      <c r="A657" s="13" t="str">
        <f>IF(AND($E657="",MAX($A$8:$A656)=0),"",IF(AND($E657&lt;&gt;"",MAX($A$8:$A656)=0),1,IF(AND($E657&lt;&gt;"",MAX($A$8:$A656)&gt;0),MAX($A$8:$A656)+1,"")))</f>
        <v/>
      </c>
      <c r="B657" s="11">
        <v>650</v>
      </c>
      <c r="C657" s="19" t="str">
        <f t="shared" si="32"/>
        <v>EMPTY</v>
      </c>
      <c r="D657" s="3" t="str">
        <f t="shared" ref="D657:D720" si="34">IF(AND(OR($C657="EMPTY",$C657="HIDE",$C657=""),OR($C658="EMPTY",$C658="HIDE",$C658="")),"",IF(AND($C657="SHOW",OR($C658="EMPTY",$C658="HIDE",$C658="")),CONCATENATE("Dialogue: 0,0:",MID($E657,2,8),",0:",MID($E657,2,8),",Default,,0,0,0,,",MID($E657,11,1000)),IF(AND($C657="SHOW",$C658="SHOW"),CONCATENATE("Dialogue: 0,0:",MID($E657,2,8),",0:",MID($E658,2,8),",Default,,0,0,0,,",MID($E657,11,1000)),"")))</f>
        <v/>
      </c>
      <c r="E657" s="22"/>
      <c r="F657" s="8" t="str">
        <f t="shared" si="33"/>
        <v/>
      </c>
    </row>
    <row r="658" spans="1:6" x14ac:dyDescent="0.25">
      <c r="A658" s="13" t="str">
        <f>IF(AND($E658="",MAX($A$8:$A657)=0),"",IF(AND($E658&lt;&gt;"",MAX($A$8:$A657)=0),1,IF(AND($E658&lt;&gt;"",MAX($A$8:$A657)&gt;0),MAX($A$8:$A657)+1,"")))</f>
        <v/>
      </c>
      <c r="B658" s="11">
        <v>651</v>
      </c>
      <c r="C658" s="19" t="str">
        <f t="shared" si="32"/>
        <v>EMPTY</v>
      </c>
      <c r="D658" s="3" t="str">
        <f t="shared" si="34"/>
        <v/>
      </c>
      <c r="E658" s="22"/>
      <c r="F658" s="8" t="str">
        <f t="shared" si="33"/>
        <v/>
      </c>
    </row>
    <row r="659" spans="1:6" x14ac:dyDescent="0.25">
      <c r="A659" s="13" t="str">
        <f>IF(AND($E659="",MAX($A$8:$A658)=0),"",IF(AND($E659&lt;&gt;"",MAX($A$8:$A658)=0),1,IF(AND($E659&lt;&gt;"",MAX($A$8:$A658)&gt;0),MAX($A$8:$A658)+1,"")))</f>
        <v/>
      </c>
      <c r="B659" s="11">
        <v>652</v>
      </c>
      <c r="C659" s="19" t="str">
        <f t="shared" si="32"/>
        <v>EMPTY</v>
      </c>
      <c r="D659" s="3" t="str">
        <f t="shared" si="34"/>
        <v/>
      </c>
      <c r="E659" s="22"/>
      <c r="F659" s="8" t="str">
        <f t="shared" si="33"/>
        <v/>
      </c>
    </row>
    <row r="660" spans="1:6" x14ac:dyDescent="0.25">
      <c r="A660" s="13" t="str">
        <f>IF(AND($E660="",MAX($A$8:$A659)=0),"",IF(AND($E660&lt;&gt;"",MAX($A$8:$A659)=0),1,IF(AND($E660&lt;&gt;"",MAX($A$8:$A659)&gt;0),MAX($A$8:$A659)+1,"")))</f>
        <v/>
      </c>
      <c r="B660" s="11">
        <v>653</v>
      </c>
      <c r="C660" s="19" t="str">
        <f t="shared" si="32"/>
        <v>EMPTY</v>
      </c>
      <c r="D660" s="3" t="str">
        <f t="shared" si="34"/>
        <v/>
      </c>
      <c r="E660" s="22"/>
      <c r="F660" s="8" t="str">
        <f t="shared" si="33"/>
        <v/>
      </c>
    </row>
    <row r="661" spans="1:6" x14ac:dyDescent="0.25">
      <c r="A661" s="13" t="str">
        <f>IF(AND($E661="",MAX($A$8:$A660)=0),"",IF(AND($E661&lt;&gt;"",MAX($A$8:$A660)=0),1,IF(AND($E661&lt;&gt;"",MAX($A$8:$A660)&gt;0),MAX($A$8:$A660)+1,"")))</f>
        <v/>
      </c>
      <c r="B661" s="11">
        <v>654</v>
      </c>
      <c r="C661" s="19" t="str">
        <f t="shared" si="32"/>
        <v>EMPTY</v>
      </c>
      <c r="D661" s="3" t="str">
        <f t="shared" si="34"/>
        <v/>
      </c>
      <c r="E661" s="22"/>
      <c r="F661" s="8" t="str">
        <f t="shared" si="33"/>
        <v/>
      </c>
    </row>
    <row r="662" spans="1:6" x14ac:dyDescent="0.25">
      <c r="A662" s="13" t="str">
        <f>IF(AND($E662="",MAX($A$8:$A661)=0),"",IF(AND($E662&lt;&gt;"",MAX($A$8:$A661)=0),1,IF(AND($E662&lt;&gt;"",MAX($A$8:$A661)&gt;0),MAX($A$8:$A661)+1,"")))</f>
        <v/>
      </c>
      <c r="B662" s="11">
        <v>655</v>
      </c>
      <c r="C662" s="19" t="str">
        <f t="shared" si="32"/>
        <v>EMPTY</v>
      </c>
      <c r="D662" s="3" t="str">
        <f t="shared" si="34"/>
        <v/>
      </c>
      <c r="E662" s="22"/>
      <c r="F662" s="8" t="str">
        <f t="shared" si="33"/>
        <v/>
      </c>
    </row>
    <row r="663" spans="1:6" x14ac:dyDescent="0.25">
      <c r="A663" s="13" t="str">
        <f>IF(AND($E663="",MAX($A$8:$A662)=0),"",IF(AND($E663&lt;&gt;"",MAX($A$8:$A662)=0),1,IF(AND($E663&lt;&gt;"",MAX($A$8:$A662)&gt;0),MAX($A$8:$A662)+1,"")))</f>
        <v/>
      </c>
      <c r="B663" s="11">
        <v>656</v>
      </c>
      <c r="C663" s="19" t="str">
        <f t="shared" si="32"/>
        <v>EMPTY</v>
      </c>
      <c r="D663" s="3" t="str">
        <f t="shared" si="34"/>
        <v/>
      </c>
      <c r="E663" s="22"/>
      <c r="F663" s="8" t="str">
        <f t="shared" si="33"/>
        <v/>
      </c>
    </row>
    <row r="664" spans="1:6" x14ac:dyDescent="0.25">
      <c r="A664" s="13" t="str">
        <f>IF(AND($E664="",MAX($A$8:$A663)=0),"",IF(AND($E664&lt;&gt;"",MAX($A$8:$A663)=0),1,IF(AND($E664&lt;&gt;"",MAX($A$8:$A663)&gt;0),MAX($A$8:$A663)+1,"")))</f>
        <v/>
      </c>
      <c r="B664" s="11">
        <v>657</v>
      </c>
      <c r="C664" s="19" t="str">
        <f t="shared" si="32"/>
        <v>EMPTY</v>
      </c>
      <c r="D664" s="3" t="str">
        <f t="shared" si="34"/>
        <v/>
      </c>
      <c r="E664" s="22"/>
      <c r="F664" s="8" t="str">
        <f t="shared" si="33"/>
        <v/>
      </c>
    </row>
    <row r="665" spans="1:6" x14ac:dyDescent="0.25">
      <c r="A665" s="13" t="str">
        <f>IF(AND($E665="",MAX($A$8:$A664)=0),"",IF(AND($E665&lt;&gt;"",MAX($A$8:$A664)=0),1,IF(AND($E665&lt;&gt;"",MAX($A$8:$A664)&gt;0),MAX($A$8:$A664)+1,"")))</f>
        <v/>
      </c>
      <c r="B665" s="11">
        <v>658</v>
      </c>
      <c r="C665" s="19" t="str">
        <f t="shared" si="32"/>
        <v>EMPTY</v>
      </c>
      <c r="D665" s="3" t="str">
        <f t="shared" si="34"/>
        <v/>
      </c>
      <c r="E665" s="22"/>
      <c r="F665" s="8" t="str">
        <f t="shared" si="33"/>
        <v/>
      </c>
    </row>
    <row r="666" spans="1:6" x14ac:dyDescent="0.25">
      <c r="A666" s="13" t="str">
        <f>IF(AND($E666="",MAX($A$8:$A665)=0),"",IF(AND($E666&lt;&gt;"",MAX($A$8:$A665)=0),1,IF(AND($E666&lt;&gt;"",MAX($A$8:$A665)&gt;0),MAX($A$8:$A665)+1,"")))</f>
        <v/>
      </c>
      <c r="B666" s="11">
        <v>659</v>
      </c>
      <c r="C666" s="19" t="str">
        <f t="shared" si="32"/>
        <v>EMPTY</v>
      </c>
      <c r="D666" s="3" t="str">
        <f t="shared" si="34"/>
        <v/>
      </c>
      <c r="E666" s="22"/>
      <c r="F666" s="8" t="str">
        <f t="shared" si="33"/>
        <v/>
      </c>
    </row>
    <row r="667" spans="1:6" x14ac:dyDescent="0.25">
      <c r="A667" s="13" t="str">
        <f>IF(AND($E667="",MAX($A$8:$A666)=0),"",IF(AND($E667&lt;&gt;"",MAX($A$8:$A666)=0),1,IF(AND($E667&lt;&gt;"",MAX($A$8:$A666)&gt;0),MAX($A$8:$A666)+1,"")))</f>
        <v/>
      </c>
      <c r="B667" s="11">
        <v>660</v>
      </c>
      <c r="C667" s="19" t="str">
        <f t="shared" si="32"/>
        <v>EMPTY</v>
      </c>
      <c r="D667" s="3" t="str">
        <f t="shared" si="34"/>
        <v/>
      </c>
      <c r="E667" s="22"/>
      <c r="F667" s="8" t="str">
        <f t="shared" si="33"/>
        <v/>
      </c>
    </row>
    <row r="668" spans="1:6" x14ac:dyDescent="0.25">
      <c r="A668" s="13" t="str">
        <f>IF(AND($E668="",MAX($A$8:$A667)=0),"",IF(AND($E668&lt;&gt;"",MAX($A$8:$A667)=0),1,IF(AND($E668&lt;&gt;"",MAX($A$8:$A667)&gt;0),MAX($A$8:$A667)+1,"")))</f>
        <v/>
      </c>
      <c r="B668" s="11">
        <v>661</v>
      </c>
      <c r="C668" s="19" t="str">
        <f t="shared" si="32"/>
        <v>EMPTY</v>
      </c>
      <c r="D668" s="3" t="str">
        <f t="shared" si="34"/>
        <v/>
      </c>
      <c r="E668" s="22"/>
      <c r="F668" s="8" t="str">
        <f t="shared" si="33"/>
        <v/>
      </c>
    </row>
    <row r="669" spans="1:6" x14ac:dyDescent="0.25">
      <c r="A669" s="13" t="str">
        <f>IF(AND($E669="",MAX($A$8:$A668)=0),"",IF(AND($E669&lt;&gt;"",MAX($A$8:$A668)=0),1,IF(AND($E669&lt;&gt;"",MAX($A$8:$A668)&gt;0),MAX($A$8:$A668)+1,"")))</f>
        <v/>
      </c>
      <c r="B669" s="11">
        <v>662</v>
      </c>
      <c r="C669" s="19" t="str">
        <f t="shared" si="32"/>
        <v>EMPTY</v>
      </c>
      <c r="D669" s="3" t="str">
        <f t="shared" si="34"/>
        <v/>
      </c>
      <c r="E669" s="22"/>
      <c r="F669" s="8" t="str">
        <f t="shared" si="33"/>
        <v/>
      </c>
    </row>
    <row r="670" spans="1:6" x14ac:dyDescent="0.25">
      <c r="A670" s="13" t="str">
        <f>IF(AND($E670="",MAX($A$8:$A669)=0),"",IF(AND($E670&lt;&gt;"",MAX($A$8:$A669)=0),1,IF(AND($E670&lt;&gt;"",MAX($A$8:$A669)&gt;0),MAX($A$8:$A669)+1,"")))</f>
        <v/>
      </c>
      <c r="B670" s="11">
        <v>663</v>
      </c>
      <c r="C670" s="19" t="str">
        <f t="shared" si="32"/>
        <v>EMPTY</v>
      </c>
      <c r="D670" s="3" t="str">
        <f t="shared" si="34"/>
        <v/>
      </c>
      <c r="E670" s="22"/>
      <c r="F670" s="8" t="str">
        <f t="shared" si="33"/>
        <v/>
      </c>
    </row>
    <row r="671" spans="1:6" x14ac:dyDescent="0.25">
      <c r="A671" s="13" t="str">
        <f>IF(AND($E671="",MAX($A$8:$A670)=0),"",IF(AND($E671&lt;&gt;"",MAX($A$8:$A670)=0),1,IF(AND($E671&lt;&gt;"",MAX($A$8:$A670)&gt;0),MAX($A$8:$A670)+1,"")))</f>
        <v/>
      </c>
      <c r="B671" s="11">
        <v>664</v>
      </c>
      <c r="C671" s="19" t="str">
        <f t="shared" si="32"/>
        <v>EMPTY</v>
      </c>
      <c r="D671" s="3" t="str">
        <f t="shared" si="34"/>
        <v/>
      </c>
      <c r="E671" s="22"/>
      <c r="F671" s="8" t="str">
        <f t="shared" si="33"/>
        <v/>
      </c>
    </row>
    <row r="672" spans="1:6" x14ac:dyDescent="0.25">
      <c r="A672" s="13" t="str">
        <f>IF(AND($E672="",MAX($A$8:$A671)=0),"",IF(AND($E672&lt;&gt;"",MAX($A$8:$A671)=0),1,IF(AND($E672&lt;&gt;"",MAX($A$8:$A671)&gt;0),MAX($A$8:$A671)+1,"")))</f>
        <v/>
      </c>
      <c r="B672" s="11">
        <v>665</v>
      </c>
      <c r="C672" s="19" t="str">
        <f t="shared" si="32"/>
        <v>EMPTY</v>
      </c>
      <c r="D672" s="3" t="str">
        <f t="shared" si="34"/>
        <v/>
      </c>
      <c r="E672" s="22"/>
      <c r="F672" s="8" t="str">
        <f t="shared" si="33"/>
        <v/>
      </c>
    </row>
    <row r="673" spans="1:6" x14ac:dyDescent="0.25">
      <c r="A673" s="13" t="str">
        <f>IF(AND($E673="",MAX($A$8:$A672)=0),"",IF(AND($E673&lt;&gt;"",MAX($A$8:$A672)=0),1,IF(AND($E673&lt;&gt;"",MAX($A$8:$A672)&gt;0),MAX($A$8:$A672)+1,"")))</f>
        <v/>
      </c>
      <c r="B673" s="11">
        <v>666</v>
      </c>
      <c r="C673" s="19" t="str">
        <f t="shared" si="32"/>
        <v>EMPTY</v>
      </c>
      <c r="D673" s="3" t="str">
        <f t="shared" si="34"/>
        <v/>
      </c>
      <c r="E673" s="22"/>
      <c r="F673" s="8" t="str">
        <f t="shared" si="33"/>
        <v/>
      </c>
    </row>
    <row r="674" spans="1:6" x14ac:dyDescent="0.25">
      <c r="A674" s="13" t="str">
        <f>IF(AND($E674="",MAX($A$8:$A673)=0),"",IF(AND($E674&lt;&gt;"",MAX($A$8:$A673)=0),1,IF(AND($E674&lt;&gt;"",MAX($A$8:$A673)&gt;0),MAX($A$8:$A673)+1,"")))</f>
        <v/>
      </c>
      <c r="B674" s="11">
        <v>667</v>
      </c>
      <c r="C674" s="19" t="str">
        <f t="shared" si="32"/>
        <v>EMPTY</v>
      </c>
      <c r="D674" s="3" t="str">
        <f t="shared" si="34"/>
        <v/>
      </c>
      <c r="E674" s="22"/>
      <c r="F674" s="8" t="str">
        <f t="shared" si="33"/>
        <v/>
      </c>
    </row>
    <row r="675" spans="1:6" x14ac:dyDescent="0.25">
      <c r="A675" s="13" t="str">
        <f>IF(AND($E675="",MAX($A$8:$A674)=0),"",IF(AND($E675&lt;&gt;"",MAX($A$8:$A674)=0),1,IF(AND($E675&lt;&gt;"",MAX($A$8:$A674)&gt;0),MAX($A$8:$A674)+1,"")))</f>
        <v/>
      </c>
      <c r="B675" s="11">
        <v>668</v>
      </c>
      <c r="C675" s="19" t="str">
        <f t="shared" si="32"/>
        <v>EMPTY</v>
      </c>
      <c r="D675" s="3" t="str">
        <f t="shared" si="34"/>
        <v/>
      </c>
      <c r="E675" s="22"/>
      <c r="F675" s="8" t="str">
        <f t="shared" si="33"/>
        <v/>
      </c>
    </row>
    <row r="676" spans="1:6" x14ac:dyDescent="0.25">
      <c r="A676" s="13" t="str">
        <f>IF(AND($E676="",MAX($A$8:$A675)=0),"",IF(AND($E676&lt;&gt;"",MAX($A$8:$A675)=0),1,IF(AND($E676&lt;&gt;"",MAX($A$8:$A675)&gt;0),MAX($A$8:$A675)+1,"")))</f>
        <v/>
      </c>
      <c r="B676" s="11">
        <v>669</v>
      </c>
      <c r="C676" s="19" t="str">
        <f t="shared" si="32"/>
        <v>EMPTY</v>
      </c>
      <c r="D676" s="3" t="str">
        <f t="shared" si="34"/>
        <v/>
      </c>
      <c r="E676" s="22"/>
      <c r="F676" s="8" t="str">
        <f t="shared" si="33"/>
        <v/>
      </c>
    </row>
    <row r="677" spans="1:6" x14ac:dyDescent="0.25">
      <c r="A677" s="13" t="str">
        <f>IF(AND($E677="",MAX($A$8:$A676)=0),"",IF(AND($E677&lt;&gt;"",MAX($A$8:$A676)=0),1,IF(AND($E677&lt;&gt;"",MAX($A$8:$A676)&gt;0),MAX($A$8:$A676)+1,"")))</f>
        <v/>
      </c>
      <c r="B677" s="11">
        <v>670</v>
      </c>
      <c r="C677" s="19" t="str">
        <f t="shared" si="32"/>
        <v>EMPTY</v>
      </c>
      <c r="D677" s="3" t="str">
        <f t="shared" si="34"/>
        <v/>
      </c>
      <c r="E677" s="22"/>
      <c r="F677" s="8" t="str">
        <f t="shared" si="33"/>
        <v/>
      </c>
    </row>
    <row r="678" spans="1:6" x14ac:dyDescent="0.25">
      <c r="A678" s="13" t="str">
        <f>IF(AND($E678="",MAX($A$8:$A677)=0),"",IF(AND($E678&lt;&gt;"",MAX($A$8:$A677)=0),1,IF(AND($E678&lt;&gt;"",MAX($A$8:$A677)&gt;0),MAX($A$8:$A677)+1,"")))</f>
        <v/>
      </c>
      <c r="B678" s="11">
        <v>671</v>
      </c>
      <c r="C678" s="19" t="str">
        <f t="shared" si="32"/>
        <v>EMPTY</v>
      </c>
      <c r="D678" s="3" t="str">
        <f t="shared" si="34"/>
        <v/>
      </c>
      <c r="E678" s="22"/>
      <c r="F678" s="8" t="str">
        <f t="shared" si="33"/>
        <v/>
      </c>
    </row>
    <row r="679" spans="1:6" x14ac:dyDescent="0.25">
      <c r="A679" s="13" t="str">
        <f>IF(AND($E679="",MAX($A$8:$A678)=0),"",IF(AND($E679&lt;&gt;"",MAX($A$8:$A678)=0),1,IF(AND($E679&lt;&gt;"",MAX($A$8:$A678)&gt;0),MAX($A$8:$A678)+1,"")))</f>
        <v/>
      </c>
      <c r="B679" s="11">
        <v>672</v>
      </c>
      <c r="C679" s="19" t="str">
        <f t="shared" si="32"/>
        <v>EMPTY</v>
      </c>
      <c r="D679" s="3" t="str">
        <f t="shared" si="34"/>
        <v/>
      </c>
      <c r="E679" s="22"/>
      <c r="F679" s="8" t="str">
        <f t="shared" si="33"/>
        <v/>
      </c>
    </row>
    <row r="680" spans="1:6" x14ac:dyDescent="0.25">
      <c r="A680" s="13" t="str">
        <f>IF(AND($E680="",MAX($A$8:$A679)=0),"",IF(AND($E680&lt;&gt;"",MAX($A$8:$A679)=0),1,IF(AND($E680&lt;&gt;"",MAX($A$8:$A679)&gt;0),MAX($A$8:$A679)+1,"")))</f>
        <v/>
      </c>
      <c r="B680" s="11">
        <v>673</v>
      </c>
      <c r="C680" s="19" t="str">
        <f t="shared" si="32"/>
        <v>EMPTY</v>
      </c>
      <c r="D680" s="3" t="str">
        <f t="shared" si="34"/>
        <v/>
      </c>
      <c r="E680" s="22"/>
      <c r="F680" s="8" t="str">
        <f t="shared" si="33"/>
        <v/>
      </c>
    </row>
    <row r="681" spans="1:6" x14ac:dyDescent="0.25">
      <c r="A681" s="13" t="str">
        <f>IF(AND($E681="",MAX($A$8:$A680)=0),"",IF(AND($E681&lt;&gt;"",MAX($A$8:$A680)=0),1,IF(AND($E681&lt;&gt;"",MAX($A$8:$A680)&gt;0),MAX($A$8:$A680)+1,"")))</f>
        <v/>
      </c>
      <c r="B681" s="11">
        <v>674</v>
      </c>
      <c r="C681" s="19" t="str">
        <f t="shared" si="32"/>
        <v>EMPTY</v>
      </c>
      <c r="D681" s="3" t="str">
        <f t="shared" si="34"/>
        <v/>
      </c>
      <c r="E681" s="22"/>
      <c r="F681" s="8" t="str">
        <f t="shared" si="33"/>
        <v/>
      </c>
    </row>
    <row r="682" spans="1:6" x14ac:dyDescent="0.25">
      <c r="A682" s="13" t="str">
        <f>IF(AND($E682="",MAX($A$8:$A681)=0),"",IF(AND($E682&lt;&gt;"",MAX($A$8:$A681)=0),1,IF(AND($E682&lt;&gt;"",MAX($A$8:$A681)&gt;0),MAX($A$8:$A681)+1,"")))</f>
        <v/>
      </c>
      <c r="B682" s="11">
        <v>675</v>
      </c>
      <c r="C682" s="19" t="str">
        <f t="shared" si="32"/>
        <v>EMPTY</v>
      </c>
      <c r="D682" s="3" t="str">
        <f t="shared" si="34"/>
        <v/>
      </c>
      <c r="E682" s="22"/>
      <c r="F682" s="8" t="str">
        <f t="shared" si="33"/>
        <v/>
      </c>
    </row>
    <row r="683" spans="1:6" x14ac:dyDescent="0.25">
      <c r="A683" s="13" t="str">
        <f>IF(AND($E683="",MAX($A$8:$A682)=0),"",IF(AND($E683&lt;&gt;"",MAX($A$8:$A682)=0),1,IF(AND($E683&lt;&gt;"",MAX($A$8:$A682)&gt;0),MAX($A$8:$A682)+1,"")))</f>
        <v/>
      </c>
      <c r="B683" s="11">
        <v>676</v>
      </c>
      <c r="C683" s="19" t="str">
        <f t="shared" si="32"/>
        <v>EMPTY</v>
      </c>
      <c r="D683" s="3" t="str">
        <f t="shared" si="34"/>
        <v/>
      </c>
      <c r="E683" s="22"/>
      <c r="F683" s="8" t="str">
        <f t="shared" si="33"/>
        <v/>
      </c>
    </row>
    <row r="684" spans="1:6" x14ac:dyDescent="0.25">
      <c r="A684" s="13" t="str">
        <f>IF(AND($E684="",MAX($A$8:$A683)=0),"",IF(AND($E684&lt;&gt;"",MAX($A$8:$A683)=0),1,IF(AND($E684&lt;&gt;"",MAX($A$8:$A683)&gt;0),MAX($A$8:$A683)+1,"")))</f>
        <v/>
      </c>
      <c r="B684" s="11">
        <v>677</v>
      </c>
      <c r="C684" s="19" t="str">
        <f t="shared" si="32"/>
        <v>EMPTY</v>
      </c>
      <c r="D684" s="3" t="str">
        <f t="shared" si="34"/>
        <v/>
      </c>
      <c r="E684" s="22"/>
      <c r="F684" s="8" t="str">
        <f t="shared" si="33"/>
        <v/>
      </c>
    </row>
    <row r="685" spans="1:6" x14ac:dyDescent="0.25">
      <c r="A685" s="13" t="str">
        <f>IF(AND($E685="",MAX($A$8:$A684)=0),"",IF(AND($E685&lt;&gt;"",MAX($A$8:$A684)=0),1,IF(AND($E685&lt;&gt;"",MAX($A$8:$A684)&gt;0),MAX($A$8:$A684)+1,"")))</f>
        <v/>
      </c>
      <c r="B685" s="11">
        <v>678</v>
      </c>
      <c r="C685" s="19" t="str">
        <f t="shared" si="32"/>
        <v>EMPTY</v>
      </c>
      <c r="D685" s="3" t="str">
        <f t="shared" si="34"/>
        <v/>
      </c>
      <c r="E685" s="22"/>
      <c r="F685" s="8" t="str">
        <f t="shared" si="33"/>
        <v/>
      </c>
    </row>
    <row r="686" spans="1:6" x14ac:dyDescent="0.25">
      <c r="A686" s="13" t="str">
        <f>IF(AND($E686="",MAX($A$8:$A685)=0),"",IF(AND($E686&lt;&gt;"",MAX($A$8:$A685)=0),1,IF(AND($E686&lt;&gt;"",MAX($A$8:$A685)&gt;0),MAX($A$8:$A685)+1,"")))</f>
        <v/>
      </c>
      <c r="B686" s="11">
        <v>679</v>
      </c>
      <c r="C686" s="19" t="str">
        <f t="shared" si="32"/>
        <v>EMPTY</v>
      </c>
      <c r="D686" s="3" t="str">
        <f t="shared" si="34"/>
        <v/>
      </c>
      <c r="E686" s="22"/>
      <c r="F686" s="8" t="str">
        <f t="shared" si="33"/>
        <v/>
      </c>
    </row>
    <row r="687" spans="1:6" x14ac:dyDescent="0.25">
      <c r="A687" s="13" t="str">
        <f>IF(AND($E687="",MAX($A$8:$A686)=0),"",IF(AND($E687&lt;&gt;"",MAX($A$8:$A686)=0),1,IF(AND($E687&lt;&gt;"",MAX($A$8:$A686)&gt;0),MAX($A$8:$A686)+1,"")))</f>
        <v/>
      </c>
      <c r="B687" s="11">
        <v>680</v>
      </c>
      <c r="C687" s="19" t="str">
        <f t="shared" si="32"/>
        <v>EMPTY</v>
      </c>
      <c r="D687" s="3" t="str">
        <f t="shared" si="34"/>
        <v/>
      </c>
      <c r="E687" s="22"/>
      <c r="F687" s="8" t="str">
        <f t="shared" si="33"/>
        <v/>
      </c>
    </row>
    <row r="688" spans="1:6" x14ac:dyDescent="0.25">
      <c r="A688" s="13" t="str">
        <f>IF(AND($E688="",MAX($A$8:$A687)=0),"",IF(AND($E688&lt;&gt;"",MAX($A$8:$A687)=0),1,IF(AND($E688&lt;&gt;"",MAX($A$8:$A687)&gt;0),MAX($A$8:$A687)+1,"")))</f>
        <v/>
      </c>
      <c r="B688" s="11">
        <v>681</v>
      </c>
      <c r="C688" s="19" t="str">
        <f t="shared" si="32"/>
        <v>EMPTY</v>
      </c>
      <c r="D688" s="3" t="str">
        <f t="shared" si="34"/>
        <v/>
      </c>
      <c r="E688" s="22"/>
      <c r="F688" s="8" t="str">
        <f t="shared" si="33"/>
        <v/>
      </c>
    </row>
    <row r="689" spans="1:6" x14ac:dyDescent="0.25">
      <c r="A689" s="13" t="str">
        <f>IF(AND($E689="",MAX($A$8:$A688)=0),"",IF(AND($E689&lt;&gt;"",MAX($A$8:$A688)=0),1,IF(AND($E689&lt;&gt;"",MAX($A$8:$A688)&gt;0),MAX($A$8:$A688)+1,"")))</f>
        <v/>
      </c>
      <c r="B689" s="11">
        <v>682</v>
      </c>
      <c r="C689" s="19" t="str">
        <f t="shared" si="32"/>
        <v>EMPTY</v>
      </c>
      <c r="D689" s="3" t="str">
        <f t="shared" si="34"/>
        <v/>
      </c>
      <c r="E689" s="22"/>
      <c r="F689" s="8" t="str">
        <f t="shared" si="33"/>
        <v/>
      </c>
    </row>
    <row r="690" spans="1:6" x14ac:dyDescent="0.25">
      <c r="A690" s="13" t="str">
        <f>IF(AND($E690="",MAX($A$8:$A689)=0),"",IF(AND($E690&lt;&gt;"",MAX($A$8:$A689)=0),1,IF(AND($E690&lt;&gt;"",MAX($A$8:$A689)&gt;0),MAX($A$8:$A689)+1,"")))</f>
        <v/>
      </c>
      <c r="B690" s="11">
        <v>683</v>
      </c>
      <c r="C690" s="19" t="str">
        <f t="shared" si="32"/>
        <v>EMPTY</v>
      </c>
      <c r="D690" s="3" t="str">
        <f t="shared" si="34"/>
        <v/>
      </c>
      <c r="E690" s="22"/>
      <c r="F690" s="8" t="str">
        <f t="shared" si="33"/>
        <v/>
      </c>
    </row>
    <row r="691" spans="1:6" x14ac:dyDescent="0.25">
      <c r="A691" s="13" t="str">
        <f>IF(AND($E691="",MAX($A$8:$A690)=0),"",IF(AND($E691&lt;&gt;"",MAX($A$8:$A690)=0),1,IF(AND($E691&lt;&gt;"",MAX($A$8:$A690)&gt;0),MAX($A$8:$A690)+1,"")))</f>
        <v/>
      </c>
      <c r="B691" s="11">
        <v>684</v>
      </c>
      <c r="C691" s="19" t="str">
        <f t="shared" si="32"/>
        <v>EMPTY</v>
      </c>
      <c r="D691" s="3" t="str">
        <f t="shared" si="34"/>
        <v/>
      </c>
      <c r="E691" s="22"/>
      <c r="F691" s="8" t="str">
        <f t="shared" si="33"/>
        <v/>
      </c>
    </row>
    <row r="692" spans="1:6" x14ac:dyDescent="0.25">
      <c r="A692" s="13" t="str">
        <f>IF(AND($E692="",MAX($A$8:$A691)=0),"",IF(AND($E692&lt;&gt;"",MAX($A$8:$A691)=0),1,IF(AND($E692&lt;&gt;"",MAX($A$8:$A691)&gt;0),MAX($A$8:$A691)+1,"")))</f>
        <v/>
      </c>
      <c r="B692" s="11">
        <v>685</v>
      </c>
      <c r="C692" s="19" t="str">
        <f t="shared" si="32"/>
        <v>EMPTY</v>
      </c>
      <c r="D692" s="3" t="str">
        <f t="shared" si="34"/>
        <v/>
      </c>
      <c r="E692" s="22"/>
      <c r="F692" s="8" t="str">
        <f t="shared" si="33"/>
        <v/>
      </c>
    </row>
    <row r="693" spans="1:6" x14ac:dyDescent="0.25">
      <c r="A693" s="13" t="str">
        <f>IF(AND($E693="",MAX($A$8:$A692)=0),"",IF(AND($E693&lt;&gt;"",MAX($A$8:$A692)=0),1,IF(AND($E693&lt;&gt;"",MAX($A$8:$A692)&gt;0),MAX($A$8:$A692)+1,"")))</f>
        <v/>
      </c>
      <c r="B693" s="11">
        <v>686</v>
      </c>
      <c r="C693" s="19" t="str">
        <f t="shared" si="32"/>
        <v>EMPTY</v>
      </c>
      <c r="D693" s="3" t="str">
        <f t="shared" si="34"/>
        <v/>
      </c>
      <c r="E693" s="22"/>
      <c r="F693" s="8" t="str">
        <f t="shared" si="33"/>
        <v/>
      </c>
    </row>
    <row r="694" spans="1:6" x14ac:dyDescent="0.25">
      <c r="A694" s="13" t="str">
        <f>IF(AND($E694="",MAX($A$8:$A693)=0),"",IF(AND($E694&lt;&gt;"",MAX($A$8:$A693)=0),1,IF(AND($E694&lt;&gt;"",MAX($A$8:$A693)&gt;0),MAX($A$8:$A693)+1,"")))</f>
        <v/>
      </c>
      <c r="B694" s="11">
        <v>687</v>
      </c>
      <c r="C694" s="19" t="str">
        <f t="shared" si="32"/>
        <v>EMPTY</v>
      </c>
      <c r="D694" s="3" t="str">
        <f t="shared" si="34"/>
        <v/>
      </c>
      <c r="E694" s="22"/>
      <c r="F694" s="8" t="str">
        <f t="shared" si="33"/>
        <v/>
      </c>
    </row>
    <row r="695" spans="1:6" x14ac:dyDescent="0.25">
      <c r="A695" s="13" t="str">
        <f>IF(AND($E695="",MAX($A$8:$A694)=0),"",IF(AND($E695&lt;&gt;"",MAX($A$8:$A694)=0),1,IF(AND($E695&lt;&gt;"",MAX($A$8:$A694)&gt;0),MAX($A$8:$A694)+1,"")))</f>
        <v/>
      </c>
      <c r="B695" s="11">
        <v>688</v>
      </c>
      <c r="C695" s="19" t="str">
        <f t="shared" si="32"/>
        <v>EMPTY</v>
      </c>
      <c r="D695" s="3" t="str">
        <f t="shared" si="34"/>
        <v/>
      </c>
      <c r="E695" s="22"/>
      <c r="F695" s="8" t="str">
        <f t="shared" si="33"/>
        <v/>
      </c>
    </row>
    <row r="696" spans="1:6" x14ac:dyDescent="0.25">
      <c r="A696" s="13" t="str">
        <f>IF(AND($E696="",MAX($A$8:$A695)=0),"",IF(AND($E696&lt;&gt;"",MAX($A$8:$A695)=0),1,IF(AND($E696&lt;&gt;"",MAX($A$8:$A695)&gt;0),MAX($A$8:$A695)+1,"")))</f>
        <v/>
      </c>
      <c r="B696" s="11">
        <v>689</v>
      </c>
      <c r="C696" s="19" t="str">
        <f t="shared" si="32"/>
        <v>EMPTY</v>
      </c>
      <c r="D696" s="3" t="str">
        <f t="shared" si="34"/>
        <v/>
      </c>
      <c r="E696" s="22"/>
      <c r="F696" s="8" t="str">
        <f t="shared" si="33"/>
        <v/>
      </c>
    </row>
    <row r="697" spans="1:6" x14ac:dyDescent="0.25">
      <c r="A697" s="13" t="str">
        <f>IF(AND($E697="",MAX($A$8:$A696)=0),"",IF(AND($E697&lt;&gt;"",MAX($A$8:$A696)=0),1,IF(AND($E697&lt;&gt;"",MAX($A$8:$A696)&gt;0),MAX($A$8:$A696)+1,"")))</f>
        <v/>
      </c>
      <c r="B697" s="11">
        <v>690</v>
      </c>
      <c r="C697" s="19" t="str">
        <f t="shared" si="32"/>
        <v>EMPTY</v>
      </c>
      <c r="D697" s="3" t="str">
        <f t="shared" si="34"/>
        <v/>
      </c>
      <c r="E697" s="22"/>
      <c r="F697" s="8" t="str">
        <f t="shared" si="33"/>
        <v/>
      </c>
    </row>
    <row r="698" spans="1:6" x14ac:dyDescent="0.25">
      <c r="A698" s="13" t="str">
        <f>IF(AND($E698="",MAX($A$8:$A697)=0),"",IF(AND($E698&lt;&gt;"",MAX($A$8:$A697)=0),1,IF(AND($E698&lt;&gt;"",MAX($A$8:$A697)&gt;0),MAX($A$8:$A697)+1,"")))</f>
        <v/>
      </c>
      <c r="B698" s="11">
        <v>691</v>
      </c>
      <c r="C698" s="19" t="str">
        <f t="shared" si="32"/>
        <v>EMPTY</v>
      </c>
      <c r="D698" s="3" t="str">
        <f t="shared" si="34"/>
        <v/>
      </c>
      <c r="E698" s="22"/>
      <c r="F698" s="8" t="str">
        <f t="shared" si="33"/>
        <v/>
      </c>
    </row>
    <row r="699" spans="1:6" x14ac:dyDescent="0.25">
      <c r="A699" s="13" t="str">
        <f>IF(AND($E699="",MAX($A$8:$A698)=0),"",IF(AND($E699&lt;&gt;"",MAX($A$8:$A698)=0),1,IF(AND($E699&lt;&gt;"",MAX($A$8:$A698)&gt;0),MAX($A$8:$A698)+1,"")))</f>
        <v/>
      </c>
      <c r="B699" s="11">
        <v>692</v>
      </c>
      <c r="C699" s="19" t="str">
        <f t="shared" si="32"/>
        <v>EMPTY</v>
      </c>
      <c r="D699" s="3" t="str">
        <f t="shared" si="34"/>
        <v/>
      </c>
      <c r="E699" s="22"/>
      <c r="F699" s="8" t="str">
        <f t="shared" si="33"/>
        <v/>
      </c>
    </row>
    <row r="700" spans="1:6" x14ac:dyDescent="0.25">
      <c r="A700" s="13" t="str">
        <f>IF(AND($E700="",MAX($A$8:$A699)=0),"",IF(AND($E700&lt;&gt;"",MAX($A$8:$A699)=0),1,IF(AND($E700&lt;&gt;"",MAX($A$8:$A699)&gt;0),MAX($A$8:$A699)+1,"")))</f>
        <v/>
      </c>
      <c r="B700" s="11">
        <v>693</v>
      </c>
      <c r="C700" s="19" t="str">
        <f t="shared" si="32"/>
        <v>EMPTY</v>
      </c>
      <c r="D700" s="3" t="str">
        <f t="shared" si="34"/>
        <v/>
      </c>
      <c r="E700" s="22"/>
      <c r="F700" s="8" t="str">
        <f t="shared" si="33"/>
        <v/>
      </c>
    </row>
    <row r="701" spans="1:6" x14ac:dyDescent="0.25">
      <c r="A701" s="13" t="str">
        <f>IF(AND($E701="",MAX($A$8:$A700)=0),"",IF(AND($E701&lt;&gt;"",MAX($A$8:$A700)=0),1,IF(AND($E701&lt;&gt;"",MAX($A$8:$A700)&gt;0),MAX($A$8:$A700)+1,"")))</f>
        <v/>
      </c>
      <c r="B701" s="11">
        <v>694</v>
      </c>
      <c r="C701" s="19" t="str">
        <f t="shared" si="32"/>
        <v>EMPTY</v>
      </c>
      <c r="D701" s="3" t="str">
        <f t="shared" si="34"/>
        <v/>
      </c>
      <c r="E701" s="22"/>
      <c r="F701" s="8" t="str">
        <f t="shared" si="33"/>
        <v/>
      </c>
    </row>
    <row r="702" spans="1:6" x14ac:dyDescent="0.25">
      <c r="A702" s="13" t="str">
        <f>IF(AND($E702="",MAX($A$8:$A701)=0),"",IF(AND($E702&lt;&gt;"",MAX($A$8:$A701)=0),1,IF(AND($E702&lt;&gt;"",MAX($A$8:$A701)&gt;0),MAX($A$8:$A701)+1,"")))</f>
        <v/>
      </c>
      <c r="B702" s="11">
        <v>695</v>
      </c>
      <c r="C702" s="19" t="str">
        <f t="shared" si="32"/>
        <v>EMPTY</v>
      </c>
      <c r="D702" s="3" t="str">
        <f t="shared" si="34"/>
        <v/>
      </c>
      <c r="E702" s="22"/>
      <c r="F702" s="8" t="str">
        <f t="shared" si="33"/>
        <v/>
      </c>
    </row>
    <row r="703" spans="1:6" x14ac:dyDescent="0.25">
      <c r="A703" s="13" t="str">
        <f>IF(AND($E703="",MAX($A$8:$A702)=0),"",IF(AND($E703&lt;&gt;"",MAX($A$8:$A702)=0),1,IF(AND($E703&lt;&gt;"",MAX($A$8:$A702)&gt;0),MAX($A$8:$A702)+1,"")))</f>
        <v/>
      </c>
      <c r="B703" s="11">
        <v>696</v>
      </c>
      <c r="C703" s="19" t="str">
        <f t="shared" si="32"/>
        <v>EMPTY</v>
      </c>
      <c r="D703" s="3" t="str">
        <f t="shared" si="34"/>
        <v/>
      </c>
      <c r="E703" s="22"/>
      <c r="F703" s="8" t="str">
        <f t="shared" si="33"/>
        <v/>
      </c>
    </row>
    <row r="704" spans="1:6" x14ac:dyDescent="0.25">
      <c r="A704" s="13" t="str">
        <f>IF(AND($E704="",MAX($A$8:$A703)=0),"",IF(AND($E704&lt;&gt;"",MAX($A$8:$A703)=0),1,IF(AND($E704&lt;&gt;"",MAX($A$8:$A703)&gt;0),MAX($A$8:$A703)+1,"")))</f>
        <v/>
      </c>
      <c r="B704" s="11">
        <v>697</v>
      </c>
      <c r="C704" s="19" t="str">
        <f t="shared" si="32"/>
        <v>EMPTY</v>
      </c>
      <c r="D704" s="3" t="str">
        <f t="shared" si="34"/>
        <v/>
      </c>
      <c r="E704" s="22"/>
      <c r="F704" s="8" t="str">
        <f t="shared" si="33"/>
        <v/>
      </c>
    </row>
    <row r="705" spans="1:6" x14ac:dyDescent="0.25">
      <c r="A705" s="13" t="str">
        <f>IF(AND($E705="",MAX($A$8:$A704)=0),"",IF(AND($E705&lt;&gt;"",MAX($A$8:$A704)=0),1,IF(AND($E705&lt;&gt;"",MAX($A$8:$A704)&gt;0),MAX($A$8:$A704)+1,"")))</f>
        <v/>
      </c>
      <c r="B705" s="11">
        <v>698</v>
      </c>
      <c r="C705" s="19" t="str">
        <f t="shared" si="32"/>
        <v>EMPTY</v>
      </c>
      <c r="D705" s="3" t="str">
        <f t="shared" si="34"/>
        <v/>
      </c>
      <c r="E705" s="22"/>
      <c r="F705" s="8" t="str">
        <f t="shared" si="33"/>
        <v/>
      </c>
    </row>
    <row r="706" spans="1:6" x14ac:dyDescent="0.25">
      <c r="A706" s="13" t="str">
        <f>IF(AND($E706="",MAX($A$8:$A705)=0),"",IF(AND($E706&lt;&gt;"",MAX($A$8:$A705)=0),1,IF(AND($E706&lt;&gt;"",MAX($A$8:$A705)&gt;0),MAX($A$8:$A705)+1,"")))</f>
        <v/>
      </c>
      <c r="B706" s="11">
        <v>699</v>
      </c>
      <c r="C706" s="19" t="str">
        <f t="shared" si="32"/>
        <v>EMPTY</v>
      </c>
      <c r="D706" s="3" t="str">
        <f t="shared" si="34"/>
        <v/>
      </c>
      <c r="E706" s="22"/>
      <c r="F706" s="8" t="str">
        <f t="shared" si="33"/>
        <v/>
      </c>
    </row>
    <row r="707" spans="1:6" x14ac:dyDescent="0.25">
      <c r="A707" s="13" t="str">
        <f>IF(AND($E707="",MAX($A$8:$A706)=0),"",IF(AND($E707&lt;&gt;"",MAX($A$8:$A706)=0),1,IF(AND($E707&lt;&gt;"",MAX($A$8:$A706)&gt;0),MAX($A$8:$A706)+1,"")))</f>
        <v/>
      </c>
      <c r="B707" s="11">
        <v>700</v>
      </c>
      <c r="C707" s="19" t="str">
        <f t="shared" si="32"/>
        <v>EMPTY</v>
      </c>
      <c r="D707" s="3" t="str">
        <f t="shared" si="34"/>
        <v/>
      </c>
      <c r="E707" s="22"/>
      <c r="F707" s="8" t="str">
        <f t="shared" si="33"/>
        <v/>
      </c>
    </row>
    <row r="708" spans="1:6" x14ac:dyDescent="0.25">
      <c r="A708" s="13" t="str">
        <f>IF(AND($E708="",MAX($A$8:$A707)=0),"",IF(AND($E708&lt;&gt;"",MAX($A$8:$A707)=0),1,IF(AND($E708&lt;&gt;"",MAX($A$8:$A707)&gt;0),MAX($A$8:$A707)+1,"")))</f>
        <v/>
      </c>
      <c r="B708" s="11">
        <v>701</v>
      </c>
      <c r="C708" s="19" t="str">
        <f t="shared" si="32"/>
        <v>EMPTY</v>
      </c>
      <c r="D708" s="3" t="str">
        <f t="shared" si="34"/>
        <v/>
      </c>
      <c r="E708" s="22"/>
      <c r="F708" s="8" t="str">
        <f t="shared" si="33"/>
        <v/>
      </c>
    </row>
    <row r="709" spans="1:6" x14ac:dyDescent="0.25">
      <c r="A709" s="13" t="str">
        <f>IF(AND($E709="",MAX($A$8:$A708)=0),"",IF(AND($E709&lt;&gt;"",MAX($A$8:$A708)=0),1,IF(AND($E709&lt;&gt;"",MAX($A$8:$A708)&gt;0),MAX($A$8:$A708)+1,"")))</f>
        <v/>
      </c>
      <c r="B709" s="11">
        <v>702</v>
      </c>
      <c r="C709" s="19" t="str">
        <f t="shared" si="32"/>
        <v>EMPTY</v>
      </c>
      <c r="D709" s="3" t="str">
        <f t="shared" si="34"/>
        <v/>
      </c>
      <c r="E709" s="22"/>
      <c r="F709" s="8" t="str">
        <f t="shared" si="33"/>
        <v/>
      </c>
    </row>
    <row r="710" spans="1:6" x14ac:dyDescent="0.25">
      <c r="A710" s="13" t="str">
        <f>IF(AND($E710="",MAX($A$8:$A709)=0),"",IF(AND($E710&lt;&gt;"",MAX($A$8:$A709)=0),1,IF(AND($E710&lt;&gt;"",MAX($A$8:$A709)&gt;0),MAX($A$8:$A709)+1,"")))</f>
        <v/>
      </c>
      <c r="B710" s="11">
        <v>703</v>
      </c>
      <c r="C710" s="19" t="str">
        <f t="shared" si="32"/>
        <v>EMPTY</v>
      </c>
      <c r="D710" s="3" t="str">
        <f t="shared" si="34"/>
        <v/>
      </c>
      <c r="E710" s="22"/>
      <c r="F710" s="8" t="str">
        <f t="shared" si="33"/>
        <v/>
      </c>
    </row>
    <row r="711" spans="1:6" x14ac:dyDescent="0.25">
      <c r="A711" s="13" t="str">
        <f>IF(AND($E711="",MAX($A$8:$A710)=0),"",IF(AND($E711&lt;&gt;"",MAX($A$8:$A710)=0),1,IF(AND($E711&lt;&gt;"",MAX($A$8:$A710)&gt;0),MAX($A$8:$A710)+1,"")))</f>
        <v/>
      </c>
      <c r="B711" s="11">
        <v>704</v>
      </c>
      <c r="C711" s="19" t="str">
        <f t="shared" si="32"/>
        <v>EMPTY</v>
      </c>
      <c r="D711" s="3" t="str">
        <f t="shared" si="34"/>
        <v/>
      </c>
      <c r="E711" s="22"/>
      <c r="F711" s="8" t="str">
        <f t="shared" si="33"/>
        <v/>
      </c>
    </row>
    <row r="712" spans="1:6" x14ac:dyDescent="0.25">
      <c r="A712" s="13" t="str">
        <f>IF(AND($E712="",MAX($A$8:$A711)=0),"",IF(AND($E712&lt;&gt;"",MAX($A$8:$A711)=0),1,IF(AND($E712&lt;&gt;"",MAX($A$8:$A711)&gt;0),MAX($A$8:$A711)+1,"")))</f>
        <v/>
      </c>
      <c r="B712" s="11">
        <v>705</v>
      </c>
      <c r="C712" s="19" t="str">
        <f t="shared" si="32"/>
        <v>EMPTY</v>
      </c>
      <c r="D712" s="3" t="str">
        <f t="shared" si="34"/>
        <v/>
      </c>
      <c r="E712" s="22"/>
      <c r="F712" s="8" t="str">
        <f t="shared" si="33"/>
        <v/>
      </c>
    </row>
    <row r="713" spans="1:6" x14ac:dyDescent="0.25">
      <c r="A713" s="13" t="str">
        <f>IF(AND($E713="",MAX($A$8:$A712)=0),"",IF(AND($E713&lt;&gt;"",MAX($A$8:$A712)=0),1,IF(AND($E713&lt;&gt;"",MAX($A$8:$A712)&gt;0),MAX($A$8:$A712)+1,"")))</f>
        <v/>
      </c>
      <c r="B713" s="11">
        <v>706</v>
      </c>
      <c r="C713" s="19" t="str">
        <f t="shared" ref="C713:C776" si="35">IF($E713="","EMPTY",IF(COUNT(MID($E713,2,1))=0,"HIDE",IF(COUNT(MID($E713,2,1))=1,"SHOW","")))</f>
        <v>EMPTY</v>
      </c>
      <c r="D713" s="3" t="str">
        <f t="shared" si="34"/>
        <v/>
      </c>
      <c r="E713" s="22"/>
      <c r="F713" s="8" t="str">
        <f t="shared" ref="F713:F776" si="36">$D713</f>
        <v/>
      </c>
    </row>
    <row r="714" spans="1:6" x14ac:dyDescent="0.25">
      <c r="A714" s="13" t="str">
        <f>IF(AND($E714="",MAX($A$8:$A713)=0),"",IF(AND($E714&lt;&gt;"",MAX($A$8:$A713)=0),1,IF(AND($E714&lt;&gt;"",MAX($A$8:$A713)&gt;0),MAX($A$8:$A713)+1,"")))</f>
        <v/>
      </c>
      <c r="B714" s="11">
        <v>707</v>
      </c>
      <c r="C714" s="19" t="str">
        <f t="shared" si="35"/>
        <v>EMPTY</v>
      </c>
      <c r="D714" s="3" t="str">
        <f t="shared" si="34"/>
        <v/>
      </c>
      <c r="E714" s="22"/>
      <c r="F714" s="8" t="str">
        <f t="shared" si="36"/>
        <v/>
      </c>
    </row>
    <row r="715" spans="1:6" x14ac:dyDescent="0.25">
      <c r="A715" s="13" t="str">
        <f>IF(AND($E715="",MAX($A$8:$A714)=0),"",IF(AND($E715&lt;&gt;"",MAX($A$8:$A714)=0),1,IF(AND($E715&lt;&gt;"",MAX($A$8:$A714)&gt;0),MAX($A$8:$A714)+1,"")))</f>
        <v/>
      </c>
      <c r="B715" s="11">
        <v>708</v>
      </c>
      <c r="C715" s="19" t="str">
        <f t="shared" si="35"/>
        <v>EMPTY</v>
      </c>
      <c r="D715" s="3" t="str">
        <f t="shared" si="34"/>
        <v/>
      </c>
      <c r="E715" s="22"/>
      <c r="F715" s="8" t="str">
        <f t="shared" si="36"/>
        <v/>
      </c>
    </row>
    <row r="716" spans="1:6" x14ac:dyDescent="0.25">
      <c r="A716" s="13" t="str">
        <f>IF(AND($E716="",MAX($A$8:$A715)=0),"",IF(AND($E716&lt;&gt;"",MAX($A$8:$A715)=0),1,IF(AND($E716&lt;&gt;"",MAX($A$8:$A715)&gt;0),MAX($A$8:$A715)+1,"")))</f>
        <v/>
      </c>
      <c r="B716" s="11">
        <v>709</v>
      </c>
      <c r="C716" s="19" t="str">
        <f t="shared" si="35"/>
        <v>EMPTY</v>
      </c>
      <c r="D716" s="3" t="str">
        <f t="shared" si="34"/>
        <v/>
      </c>
      <c r="E716" s="22"/>
      <c r="F716" s="8" t="str">
        <f t="shared" si="36"/>
        <v/>
      </c>
    </row>
    <row r="717" spans="1:6" x14ac:dyDescent="0.25">
      <c r="A717" s="13" t="str">
        <f>IF(AND($E717="",MAX($A$8:$A716)=0),"",IF(AND($E717&lt;&gt;"",MAX($A$8:$A716)=0),1,IF(AND($E717&lt;&gt;"",MAX($A$8:$A716)&gt;0),MAX($A$8:$A716)+1,"")))</f>
        <v/>
      </c>
      <c r="B717" s="11">
        <v>710</v>
      </c>
      <c r="C717" s="19" t="str">
        <f t="shared" si="35"/>
        <v>EMPTY</v>
      </c>
      <c r="D717" s="3" t="str">
        <f t="shared" si="34"/>
        <v/>
      </c>
      <c r="E717" s="22"/>
      <c r="F717" s="8" t="str">
        <f t="shared" si="36"/>
        <v/>
      </c>
    </row>
    <row r="718" spans="1:6" x14ac:dyDescent="0.25">
      <c r="A718" s="13" t="str">
        <f>IF(AND($E718="",MAX($A$8:$A717)=0),"",IF(AND($E718&lt;&gt;"",MAX($A$8:$A717)=0),1,IF(AND($E718&lt;&gt;"",MAX($A$8:$A717)&gt;0),MAX($A$8:$A717)+1,"")))</f>
        <v/>
      </c>
      <c r="B718" s="11">
        <v>711</v>
      </c>
      <c r="C718" s="19" t="str">
        <f t="shared" si="35"/>
        <v>EMPTY</v>
      </c>
      <c r="D718" s="3" t="str">
        <f t="shared" si="34"/>
        <v/>
      </c>
      <c r="E718" s="22"/>
      <c r="F718" s="8" t="str">
        <f t="shared" si="36"/>
        <v/>
      </c>
    </row>
    <row r="719" spans="1:6" x14ac:dyDescent="0.25">
      <c r="A719" s="13" t="str">
        <f>IF(AND($E719="",MAX($A$8:$A718)=0),"",IF(AND($E719&lt;&gt;"",MAX($A$8:$A718)=0),1,IF(AND($E719&lt;&gt;"",MAX($A$8:$A718)&gt;0),MAX($A$8:$A718)+1,"")))</f>
        <v/>
      </c>
      <c r="B719" s="11">
        <v>712</v>
      </c>
      <c r="C719" s="19" t="str">
        <f t="shared" si="35"/>
        <v>EMPTY</v>
      </c>
      <c r="D719" s="3" t="str">
        <f t="shared" si="34"/>
        <v/>
      </c>
      <c r="E719" s="22"/>
      <c r="F719" s="8" t="str">
        <f t="shared" si="36"/>
        <v/>
      </c>
    </row>
    <row r="720" spans="1:6" x14ac:dyDescent="0.25">
      <c r="A720" s="13" t="str">
        <f>IF(AND($E720="",MAX($A$8:$A719)=0),"",IF(AND($E720&lt;&gt;"",MAX($A$8:$A719)=0),1,IF(AND($E720&lt;&gt;"",MAX($A$8:$A719)&gt;0),MAX($A$8:$A719)+1,"")))</f>
        <v/>
      </c>
      <c r="B720" s="11">
        <v>713</v>
      </c>
      <c r="C720" s="19" t="str">
        <f t="shared" si="35"/>
        <v>EMPTY</v>
      </c>
      <c r="D720" s="3" t="str">
        <f t="shared" si="34"/>
        <v/>
      </c>
      <c r="E720" s="22"/>
      <c r="F720" s="8" t="str">
        <f t="shared" si="36"/>
        <v/>
      </c>
    </row>
    <row r="721" spans="1:6" x14ac:dyDescent="0.25">
      <c r="A721" s="13" t="str">
        <f>IF(AND($E721="",MAX($A$8:$A720)=0),"",IF(AND($E721&lt;&gt;"",MAX($A$8:$A720)=0),1,IF(AND($E721&lt;&gt;"",MAX($A$8:$A720)&gt;0),MAX($A$8:$A720)+1,"")))</f>
        <v/>
      </c>
      <c r="B721" s="11">
        <v>714</v>
      </c>
      <c r="C721" s="19" t="str">
        <f t="shared" si="35"/>
        <v>EMPTY</v>
      </c>
      <c r="D721" s="3" t="str">
        <f t="shared" ref="D721:D784" si="37">IF(AND(OR($C721="EMPTY",$C721="HIDE",$C721=""),OR($C722="EMPTY",$C722="HIDE",$C722="")),"",IF(AND($C721="SHOW",OR($C722="EMPTY",$C722="HIDE",$C722="")),CONCATENATE("Dialogue: 0,0:",MID($E721,2,8),",0:",MID($E721,2,8),",Default,,0,0,0,,",MID($E721,11,1000)),IF(AND($C721="SHOW",$C722="SHOW"),CONCATENATE("Dialogue: 0,0:",MID($E721,2,8),",0:",MID($E722,2,8),",Default,,0,0,0,,",MID($E721,11,1000)),"")))</f>
        <v/>
      </c>
      <c r="E721" s="22"/>
      <c r="F721" s="8" t="str">
        <f t="shared" si="36"/>
        <v/>
      </c>
    </row>
    <row r="722" spans="1:6" x14ac:dyDescent="0.25">
      <c r="A722" s="13" t="str">
        <f>IF(AND($E722="",MAX($A$8:$A721)=0),"",IF(AND($E722&lt;&gt;"",MAX($A$8:$A721)=0),1,IF(AND($E722&lt;&gt;"",MAX($A$8:$A721)&gt;0),MAX($A$8:$A721)+1,"")))</f>
        <v/>
      </c>
      <c r="B722" s="11">
        <v>715</v>
      </c>
      <c r="C722" s="19" t="str">
        <f t="shared" si="35"/>
        <v>EMPTY</v>
      </c>
      <c r="D722" s="3" t="str">
        <f t="shared" si="37"/>
        <v/>
      </c>
      <c r="E722" s="22"/>
      <c r="F722" s="8" t="str">
        <f t="shared" si="36"/>
        <v/>
      </c>
    </row>
    <row r="723" spans="1:6" x14ac:dyDescent="0.25">
      <c r="A723" s="13" t="str">
        <f>IF(AND($E723="",MAX($A$8:$A722)=0),"",IF(AND($E723&lt;&gt;"",MAX($A$8:$A722)=0),1,IF(AND($E723&lt;&gt;"",MAX($A$8:$A722)&gt;0),MAX($A$8:$A722)+1,"")))</f>
        <v/>
      </c>
      <c r="B723" s="11">
        <v>716</v>
      </c>
      <c r="C723" s="19" t="str">
        <f t="shared" si="35"/>
        <v>EMPTY</v>
      </c>
      <c r="D723" s="3" t="str">
        <f t="shared" si="37"/>
        <v/>
      </c>
      <c r="E723" s="22"/>
      <c r="F723" s="8" t="str">
        <f t="shared" si="36"/>
        <v/>
      </c>
    </row>
    <row r="724" spans="1:6" x14ac:dyDescent="0.25">
      <c r="A724" s="13" t="str">
        <f>IF(AND($E724="",MAX($A$8:$A723)=0),"",IF(AND($E724&lt;&gt;"",MAX($A$8:$A723)=0),1,IF(AND($E724&lt;&gt;"",MAX($A$8:$A723)&gt;0),MAX($A$8:$A723)+1,"")))</f>
        <v/>
      </c>
      <c r="B724" s="11">
        <v>717</v>
      </c>
      <c r="C724" s="19" t="str">
        <f t="shared" si="35"/>
        <v>EMPTY</v>
      </c>
      <c r="D724" s="3" t="str">
        <f t="shared" si="37"/>
        <v/>
      </c>
      <c r="E724" s="22"/>
      <c r="F724" s="8" t="str">
        <f t="shared" si="36"/>
        <v/>
      </c>
    </row>
    <row r="725" spans="1:6" x14ac:dyDescent="0.25">
      <c r="A725" s="13" t="str">
        <f>IF(AND($E725="",MAX($A$8:$A724)=0),"",IF(AND($E725&lt;&gt;"",MAX($A$8:$A724)=0),1,IF(AND($E725&lt;&gt;"",MAX($A$8:$A724)&gt;0),MAX($A$8:$A724)+1,"")))</f>
        <v/>
      </c>
      <c r="B725" s="11">
        <v>718</v>
      </c>
      <c r="C725" s="19" t="str">
        <f t="shared" si="35"/>
        <v>EMPTY</v>
      </c>
      <c r="D725" s="3" t="str">
        <f t="shared" si="37"/>
        <v/>
      </c>
      <c r="E725" s="22"/>
      <c r="F725" s="8" t="str">
        <f t="shared" si="36"/>
        <v/>
      </c>
    </row>
    <row r="726" spans="1:6" x14ac:dyDescent="0.25">
      <c r="A726" s="13" t="str">
        <f>IF(AND($E726="",MAX($A$8:$A725)=0),"",IF(AND($E726&lt;&gt;"",MAX($A$8:$A725)=0),1,IF(AND($E726&lt;&gt;"",MAX($A$8:$A725)&gt;0),MAX($A$8:$A725)+1,"")))</f>
        <v/>
      </c>
      <c r="B726" s="11">
        <v>719</v>
      </c>
      <c r="C726" s="19" t="str">
        <f t="shared" si="35"/>
        <v>EMPTY</v>
      </c>
      <c r="D726" s="3" t="str">
        <f t="shared" si="37"/>
        <v/>
      </c>
      <c r="E726" s="22"/>
      <c r="F726" s="8" t="str">
        <f t="shared" si="36"/>
        <v/>
      </c>
    </row>
    <row r="727" spans="1:6" x14ac:dyDescent="0.25">
      <c r="A727" s="13" t="str">
        <f>IF(AND($E727="",MAX($A$8:$A726)=0),"",IF(AND($E727&lt;&gt;"",MAX($A$8:$A726)=0),1,IF(AND($E727&lt;&gt;"",MAX($A$8:$A726)&gt;0),MAX($A$8:$A726)+1,"")))</f>
        <v/>
      </c>
      <c r="B727" s="11">
        <v>720</v>
      </c>
      <c r="C727" s="19" t="str">
        <f t="shared" si="35"/>
        <v>EMPTY</v>
      </c>
      <c r="D727" s="3" t="str">
        <f t="shared" si="37"/>
        <v/>
      </c>
      <c r="E727" s="22"/>
      <c r="F727" s="8" t="str">
        <f t="shared" si="36"/>
        <v/>
      </c>
    </row>
    <row r="728" spans="1:6" x14ac:dyDescent="0.25">
      <c r="A728" s="13" t="str">
        <f>IF(AND($E728="",MAX($A$8:$A727)=0),"",IF(AND($E728&lt;&gt;"",MAX($A$8:$A727)=0),1,IF(AND($E728&lt;&gt;"",MAX($A$8:$A727)&gt;0),MAX($A$8:$A727)+1,"")))</f>
        <v/>
      </c>
      <c r="B728" s="11">
        <v>721</v>
      </c>
      <c r="C728" s="19" t="str">
        <f t="shared" si="35"/>
        <v>EMPTY</v>
      </c>
      <c r="D728" s="3" t="str">
        <f t="shared" si="37"/>
        <v/>
      </c>
      <c r="E728" s="22"/>
      <c r="F728" s="8" t="str">
        <f t="shared" si="36"/>
        <v/>
      </c>
    </row>
    <row r="729" spans="1:6" x14ac:dyDescent="0.25">
      <c r="A729" s="13" t="str">
        <f>IF(AND($E729="",MAX($A$8:$A728)=0),"",IF(AND($E729&lt;&gt;"",MAX($A$8:$A728)=0),1,IF(AND($E729&lt;&gt;"",MAX($A$8:$A728)&gt;0),MAX($A$8:$A728)+1,"")))</f>
        <v/>
      </c>
      <c r="B729" s="11">
        <v>722</v>
      </c>
      <c r="C729" s="19" t="str">
        <f t="shared" si="35"/>
        <v>EMPTY</v>
      </c>
      <c r="D729" s="3" t="str">
        <f t="shared" si="37"/>
        <v/>
      </c>
      <c r="E729" s="22"/>
      <c r="F729" s="8" t="str">
        <f t="shared" si="36"/>
        <v/>
      </c>
    </row>
    <row r="730" spans="1:6" x14ac:dyDescent="0.25">
      <c r="A730" s="13" t="str">
        <f>IF(AND($E730="",MAX($A$8:$A729)=0),"",IF(AND($E730&lt;&gt;"",MAX($A$8:$A729)=0),1,IF(AND($E730&lt;&gt;"",MAX($A$8:$A729)&gt;0),MAX($A$8:$A729)+1,"")))</f>
        <v/>
      </c>
      <c r="B730" s="11">
        <v>723</v>
      </c>
      <c r="C730" s="19" t="str">
        <f t="shared" si="35"/>
        <v>EMPTY</v>
      </c>
      <c r="D730" s="3" t="str">
        <f t="shared" si="37"/>
        <v/>
      </c>
      <c r="E730" s="22"/>
      <c r="F730" s="8" t="str">
        <f t="shared" si="36"/>
        <v/>
      </c>
    </row>
    <row r="731" spans="1:6" x14ac:dyDescent="0.25">
      <c r="A731" s="13" t="str">
        <f>IF(AND($E731="",MAX($A$8:$A730)=0),"",IF(AND($E731&lt;&gt;"",MAX($A$8:$A730)=0),1,IF(AND($E731&lt;&gt;"",MAX($A$8:$A730)&gt;0),MAX($A$8:$A730)+1,"")))</f>
        <v/>
      </c>
      <c r="B731" s="11">
        <v>724</v>
      </c>
      <c r="C731" s="19" t="str">
        <f t="shared" si="35"/>
        <v>EMPTY</v>
      </c>
      <c r="D731" s="3" t="str">
        <f t="shared" si="37"/>
        <v/>
      </c>
      <c r="E731" s="22"/>
      <c r="F731" s="8" t="str">
        <f t="shared" si="36"/>
        <v/>
      </c>
    </row>
    <row r="732" spans="1:6" x14ac:dyDescent="0.25">
      <c r="A732" s="13" t="str">
        <f>IF(AND($E732="",MAX($A$8:$A731)=0),"",IF(AND($E732&lt;&gt;"",MAX($A$8:$A731)=0),1,IF(AND($E732&lt;&gt;"",MAX($A$8:$A731)&gt;0),MAX($A$8:$A731)+1,"")))</f>
        <v/>
      </c>
      <c r="B732" s="11">
        <v>725</v>
      </c>
      <c r="C732" s="19" t="str">
        <f t="shared" si="35"/>
        <v>EMPTY</v>
      </c>
      <c r="D732" s="3" t="str">
        <f t="shared" si="37"/>
        <v/>
      </c>
      <c r="E732" s="22"/>
      <c r="F732" s="8" t="str">
        <f t="shared" si="36"/>
        <v/>
      </c>
    </row>
    <row r="733" spans="1:6" x14ac:dyDescent="0.25">
      <c r="A733" s="13" t="str">
        <f>IF(AND($E733="",MAX($A$8:$A732)=0),"",IF(AND($E733&lt;&gt;"",MAX($A$8:$A732)=0),1,IF(AND($E733&lt;&gt;"",MAX($A$8:$A732)&gt;0),MAX($A$8:$A732)+1,"")))</f>
        <v/>
      </c>
      <c r="B733" s="11">
        <v>726</v>
      </c>
      <c r="C733" s="19" t="str">
        <f t="shared" si="35"/>
        <v>EMPTY</v>
      </c>
      <c r="D733" s="3" t="str">
        <f t="shared" si="37"/>
        <v/>
      </c>
      <c r="E733" s="22"/>
      <c r="F733" s="8" t="str">
        <f t="shared" si="36"/>
        <v/>
      </c>
    </row>
    <row r="734" spans="1:6" x14ac:dyDescent="0.25">
      <c r="A734" s="13" t="str">
        <f>IF(AND($E734="",MAX($A$8:$A733)=0),"",IF(AND($E734&lt;&gt;"",MAX($A$8:$A733)=0),1,IF(AND($E734&lt;&gt;"",MAX($A$8:$A733)&gt;0),MAX($A$8:$A733)+1,"")))</f>
        <v/>
      </c>
      <c r="B734" s="11">
        <v>727</v>
      </c>
      <c r="C734" s="19" t="str">
        <f t="shared" si="35"/>
        <v>EMPTY</v>
      </c>
      <c r="D734" s="3" t="str">
        <f t="shared" si="37"/>
        <v/>
      </c>
      <c r="E734" s="22"/>
      <c r="F734" s="8" t="str">
        <f t="shared" si="36"/>
        <v/>
      </c>
    </row>
    <row r="735" spans="1:6" x14ac:dyDescent="0.25">
      <c r="A735" s="13" t="str">
        <f>IF(AND($E735="",MAX($A$8:$A734)=0),"",IF(AND($E735&lt;&gt;"",MAX($A$8:$A734)=0),1,IF(AND($E735&lt;&gt;"",MAX($A$8:$A734)&gt;0),MAX($A$8:$A734)+1,"")))</f>
        <v/>
      </c>
      <c r="B735" s="11">
        <v>728</v>
      </c>
      <c r="C735" s="19" t="str">
        <f t="shared" si="35"/>
        <v>EMPTY</v>
      </c>
      <c r="D735" s="3" t="str">
        <f t="shared" si="37"/>
        <v/>
      </c>
      <c r="E735" s="22"/>
      <c r="F735" s="8" t="str">
        <f t="shared" si="36"/>
        <v/>
      </c>
    </row>
    <row r="736" spans="1:6" x14ac:dyDescent="0.25">
      <c r="A736" s="13" t="str">
        <f>IF(AND($E736="",MAX($A$8:$A735)=0),"",IF(AND($E736&lt;&gt;"",MAX($A$8:$A735)=0),1,IF(AND($E736&lt;&gt;"",MAX($A$8:$A735)&gt;0),MAX($A$8:$A735)+1,"")))</f>
        <v/>
      </c>
      <c r="B736" s="11">
        <v>729</v>
      </c>
      <c r="C736" s="19" t="str">
        <f t="shared" si="35"/>
        <v>EMPTY</v>
      </c>
      <c r="D736" s="3" t="str">
        <f t="shared" si="37"/>
        <v/>
      </c>
      <c r="E736" s="22"/>
      <c r="F736" s="8" t="str">
        <f t="shared" si="36"/>
        <v/>
      </c>
    </row>
    <row r="737" spans="1:6" x14ac:dyDescent="0.25">
      <c r="A737" s="13" t="str">
        <f>IF(AND($E737="",MAX($A$8:$A736)=0),"",IF(AND($E737&lt;&gt;"",MAX($A$8:$A736)=0),1,IF(AND($E737&lt;&gt;"",MAX($A$8:$A736)&gt;0),MAX($A$8:$A736)+1,"")))</f>
        <v/>
      </c>
      <c r="B737" s="11">
        <v>730</v>
      </c>
      <c r="C737" s="19" t="str">
        <f t="shared" si="35"/>
        <v>EMPTY</v>
      </c>
      <c r="D737" s="3" t="str">
        <f t="shared" si="37"/>
        <v/>
      </c>
      <c r="E737" s="22"/>
      <c r="F737" s="8" t="str">
        <f t="shared" si="36"/>
        <v/>
      </c>
    </row>
    <row r="738" spans="1:6" x14ac:dyDescent="0.25">
      <c r="A738" s="13" t="str">
        <f>IF(AND($E738="",MAX($A$8:$A737)=0),"",IF(AND($E738&lt;&gt;"",MAX($A$8:$A737)=0),1,IF(AND($E738&lt;&gt;"",MAX($A$8:$A737)&gt;0),MAX($A$8:$A737)+1,"")))</f>
        <v/>
      </c>
      <c r="B738" s="11">
        <v>731</v>
      </c>
      <c r="C738" s="19" t="str">
        <f t="shared" si="35"/>
        <v>EMPTY</v>
      </c>
      <c r="D738" s="3" t="str">
        <f t="shared" si="37"/>
        <v/>
      </c>
      <c r="E738" s="22"/>
      <c r="F738" s="8" t="str">
        <f t="shared" si="36"/>
        <v/>
      </c>
    </row>
    <row r="739" spans="1:6" x14ac:dyDescent="0.25">
      <c r="A739" s="13" t="str">
        <f>IF(AND($E739="",MAX($A$8:$A738)=0),"",IF(AND($E739&lt;&gt;"",MAX($A$8:$A738)=0),1,IF(AND($E739&lt;&gt;"",MAX($A$8:$A738)&gt;0),MAX($A$8:$A738)+1,"")))</f>
        <v/>
      </c>
      <c r="B739" s="11">
        <v>732</v>
      </c>
      <c r="C739" s="19" t="str">
        <f t="shared" si="35"/>
        <v>EMPTY</v>
      </c>
      <c r="D739" s="3" t="str">
        <f t="shared" si="37"/>
        <v/>
      </c>
      <c r="E739" s="22"/>
      <c r="F739" s="8" t="str">
        <f t="shared" si="36"/>
        <v/>
      </c>
    </row>
    <row r="740" spans="1:6" x14ac:dyDescent="0.25">
      <c r="A740" s="13" t="str">
        <f>IF(AND($E740="",MAX($A$8:$A739)=0),"",IF(AND($E740&lt;&gt;"",MAX($A$8:$A739)=0),1,IF(AND($E740&lt;&gt;"",MAX($A$8:$A739)&gt;0),MAX($A$8:$A739)+1,"")))</f>
        <v/>
      </c>
      <c r="B740" s="11">
        <v>733</v>
      </c>
      <c r="C740" s="19" t="str">
        <f t="shared" si="35"/>
        <v>EMPTY</v>
      </c>
      <c r="D740" s="3" t="str">
        <f t="shared" si="37"/>
        <v/>
      </c>
      <c r="E740" s="22"/>
      <c r="F740" s="8" t="str">
        <f t="shared" si="36"/>
        <v/>
      </c>
    </row>
    <row r="741" spans="1:6" x14ac:dyDescent="0.25">
      <c r="A741" s="13" t="str">
        <f>IF(AND($E741="",MAX($A$8:$A740)=0),"",IF(AND($E741&lt;&gt;"",MAX($A$8:$A740)=0),1,IF(AND($E741&lt;&gt;"",MAX($A$8:$A740)&gt;0),MAX($A$8:$A740)+1,"")))</f>
        <v/>
      </c>
      <c r="B741" s="11">
        <v>734</v>
      </c>
      <c r="C741" s="19" t="str">
        <f t="shared" si="35"/>
        <v>EMPTY</v>
      </c>
      <c r="D741" s="3" t="str">
        <f t="shared" si="37"/>
        <v/>
      </c>
      <c r="E741" s="22"/>
      <c r="F741" s="8" t="str">
        <f t="shared" si="36"/>
        <v/>
      </c>
    </row>
    <row r="742" spans="1:6" x14ac:dyDescent="0.25">
      <c r="A742" s="13" t="str">
        <f>IF(AND($E742="",MAX($A$8:$A741)=0),"",IF(AND($E742&lt;&gt;"",MAX($A$8:$A741)=0),1,IF(AND($E742&lt;&gt;"",MAX($A$8:$A741)&gt;0),MAX($A$8:$A741)+1,"")))</f>
        <v/>
      </c>
      <c r="B742" s="11">
        <v>735</v>
      </c>
      <c r="C742" s="19" t="str">
        <f t="shared" si="35"/>
        <v>EMPTY</v>
      </c>
      <c r="D742" s="3" t="str">
        <f t="shared" si="37"/>
        <v/>
      </c>
      <c r="E742" s="22"/>
      <c r="F742" s="8" t="str">
        <f t="shared" si="36"/>
        <v/>
      </c>
    </row>
    <row r="743" spans="1:6" x14ac:dyDescent="0.25">
      <c r="A743" s="13" t="str">
        <f>IF(AND($E743="",MAX($A$8:$A742)=0),"",IF(AND($E743&lt;&gt;"",MAX($A$8:$A742)=0),1,IF(AND($E743&lt;&gt;"",MAX($A$8:$A742)&gt;0),MAX($A$8:$A742)+1,"")))</f>
        <v/>
      </c>
      <c r="B743" s="11">
        <v>736</v>
      </c>
      <c r="C743" s="19" t="str">
        <f t="shared" si="35"/>
        <v>EMPTY</v>
      </c>
      <c r="D743" s="3" t="str">
        <f t="shared" si="37"/>
        <v/>
      </c>
      <c r="E743" s="22"/>
      <c r="F743" s="8" t="str">
        <f t="shared" si="36"/>
        <v/>
      </c>
    </row>
    <row r="744" spans="1:6" x14ac:dyDescent="0.25">
      <c r="A744" s="13" t="str">
        <f>IF(AND($E744="",MAX($A$8:$A743)=0),"",IF(AND($E744&lt;&gt;"",MAX($A$8:$A743)=0),1,IF(AND($E744&lt;&gt;"",MAX($A$8:$A743)&gt;0),MAX($A$8:$A743)+1,"")))</f>
        <v/>
      </c>
      <c r="B744" s="11">
        <v>737</v>
      </c>
      <c r="C744" s="19" t="str">
        <f t="shared" si="35"/>
        <v>EMPTY</v>
      </c>
      <c r="D744" s="3" t="str">
        <f t="shared" si="37"/>
        <v/>
      </c>
      <c r="E744" s="22"/>
      <c r="F744" s="8" t="str">
        <f t="shared" si="36"/>
        <v/>
      </c>
    </row>
    <row r="745" spans="1:6" x14ac:dyDescent="0.25">
      <c r="A745" s="13" t="str">
        <f>IF(AND($E745="",MAX($A$8:$A744)=0),"",IF(AND($E745&lt;&gt;"",MAX($A$8:$A744)=0),1,IF(AND($E745&lt;&gt;"",MAX($A$8:$A744)&gt;0),MAX($A$8:$A744)+1,"")))</f>
        <v/>
      </c>
      <c r="B745" s="11">
        <v>738</v>
      </c>
      <c r="C745" s="19" t="str">
        <f t="shared" si="35"/>
        <v>EMPTY</v>
      </c>
      <c r="D745" s="3" t="str">
        <f t="shared" si="37"/>
        <v/>
      </c>
      <c r="E745" s="22"/>
      <c r="F745" s="8" t="str">
        <f t="shared" si="36"/>
        <v/>
      </c>
    </row>
    <row r="746" spans="1:6" x14ac:dyDescent="0.25">
      <c r="A746" s="13" t="str">
        <f>IF(AND($E746="",MAX($A$8:$A745)=0),"",IF(AND($E746&lt;&gt;"",MAX($A$8:$A745)=0),1,IF(AND($E746&lt;&gt;"",MAX($A$8:$A745)&gt;0),MAX($A$8:$A745)+1,"")))</f>
        <v/>
      </c>
      <c r="B746" s="11">
        <v>739</v>
      </c>
      <c r="C746" s="19" t="str">
        <f t="shared" si="35"/>
        <v>EMPTY</v>
      </c>
      <c r="D746" s="3" t="str">
        <f t="shared" si="37"/>
        <v/>
      </c>
      <c r="E746" s="22"/>
      <c r="F746" s="8" t="str">
        <f t="shared" si="36"/>
        <v/>
      </c>
    </row>
    <row r="747" spans="1:6" x14ac:dyDescent="0.25">
      <c r="A747" s="13" t="str">
        <f>IF(AND($E747="",MAX($A$8:$A746)=0),"",IF(AND($E747&lt;&gt;"",MAX($A$8:$A746)=0),1,IF(AND($E747&lt;&gt;"",MAX($A$8:$A746)&gt;0),MAX($A$8:$A746)+1,"")))</f>
        <v/>
      </c>
      <c r="B747" s="11">
        <v>740</v>
      </c>
      <c r="C747" s="19" t="str">
        <f t="shared" si="35"/>
        <v>EMPTY</v>
      </c>
      <c r="D747" s="3" t="str">
        <f t="shared" si="37"/>
        <v/>
      </c>
      <c r="E747" s="22"/>
      <c r="F747" s="8" t="str">
        <f t="shared" si="36"/>
        <v/>
      </c>
    </row>
    <row r="748" spans="1:6" x14ac:dyDescent="0.25">
      <c r="A748" s="13" t="str">
        <f>IF(AND($E748="",MAX($A$8:$A747)=0),"",IF(AND($E748&lt;&gt;"",MAX($A$8:$A747)=0),1,IF(AND($E748&lt;&gt;"",MAX($A$8:$A747)&gt;0),MAX($A$8:$A747)+1,"")))</f>
        <v/>
      </c>
      <c r="B748" s="11">
        <v>741</v>
      </c>
      <c r="C748" s="19" t="str">
        <f t="shared" si="35"/>
        <v>EMPTY</v>
      </c>
      <c r="D748" s="3" t="str">
        <f t="shared" si="37"/>
        <v/>
      </c>
      <c r="E748" s="22"/>
      <c r="F748" s="8" t="str">
        <f t="shared" si="36"/>
        <v/>
      </c>
    </row>
    <row r="749" spans="1:6" x14ac:dyDescent="0.25">
      <c r="A749" s="13" t="str">
        <f>IF(AND($E749="",MAX($A$8:$A748)=0),"",IF(AND($E749&lt;&gt;"",MAX($A$8:$A748)=0),1,IF(AND($E749&lt;&gt;"",MAX($A$8:$A748)&gt;0),MAX($A$8:$A748)+1,"")))</f>
        <v/>
      </c>
      <c r="B749" s="11">
        <v>742</v>
      </c>
      <c r="C749" s="19" t="str">
        <f t="shared" si="35"/>
        <v>EMPTY</v>
      </c>
      <c r="D749" s="3" t="str">
        <f t="shared" si="37"/>
        <v/>
      </c>
      <c r="E749" s="22"/>
      <c r="F749" s="8" t="str">
        <f t="shared" si="36"/>
        <v/>
      </c>
    </row>
    <row r="750" spans="1:6" x14ac:dyDescent="0.25">
      <c r="A750" s="13" t="str">
        <f>IF(AND($E750="",MAX($A$8:$A749)=0),"",IF(AND($E750&lt;&gt;"",MAX($A$8:$A749)=0),1,IF(AND($E750&lt;&gt;"",MAX($A$8:$A749)&gt;0),MAX($A$8:$A749)+1,"")))</f>
        <v/>
      </c>
      <c r="B750" s="11">
        <v>743</v>
      </c>
      <c r="C750" s="19" t="str">
        <f t="shared" si="35"/>
        <v>EMPTY</v>
      </c>
      <c r="D750" s="3" t="str">
        <f t="shared" si="37"/>
        <v/>
      </c>
      <c r="E750" s="22"/>
      <c r="F750" s="8" t="str">
        <f t="shared" si="36"/>
        <v/>
      </c>
    </row>
    <row r="751" spans="1:6" x14ac:dyDescent="0.25">
      <c r="A751" s="13" t="str">
        <f>IF(AND($E751="",MAX($A$8:$A750)=0),"",IF(AND($E751&lt;&gt;"",MAX($A$8:$A750)=0),1,IF(AND($E751&lt;&gt;"",MAX($A$8:$A750)&gt;0),MAX($A$8:$A750)+1,"")))</f>
        <v/>
      </c>
      <c r="B751" s="11">
        <v>744</v>
      </c>
      <c r="C751" s="19" t="str">
        <f t="shared" si="35"/>
        <v>EMPTY</v>
      </c>
      <c r="D751" s="3" t="str">
        <f t="shared" si="37"/>
        <v/>
      </c>
      <c r="E751" s="22"/>
      <c r="F751" s="8" t="str">
        <f t="shared" si="36"/>
        <v/>
      </c>
    </row>
    <row r="752" spans="1:6" x14ac:dyDescent="0.25">
      <c r="A752" s="13" t="str">
        <f>IF(AND($E752="",MAX($A$8:$A751)=0),"",IF(AND($E752&lt;&gt;"",MAX($A$8:$A751)=0),1,IF(AND($E752&lt;&gt;"",MAX($A$8:$A751)&gt;0),MAX($A$8:$A751)+1,"")))</f>
        <v/>
      </c>
      <c r="B752" s="11">
        <v>745</v>
      </c>
      <c r="C752" s="19" t="str">
        <f t="shared" si="35"/>
        <v>EMPTY</v>
      </c>
      <c r="D752" s="3" t="str">
        <f t="shared" si="37"/>
        <v/>
      </c>
      <c r="E752" s="22"/>
      <c r="F752" s="8" t="str">
        <f t="shared" si="36"/>
        <v/>
      </c>
    </row>
    <row r="753" spans="1:6" x14ac:dyDescent="0.25">
      <c r="A753" s="13" t="str">
        <f>IF(AND($E753="",MAX($A$8:$A752)=0),"",IF(AND($E753&lt;&gt;"",MAX($A$8:$A752)=0),1,IF(AND($E753&lt;&gt;"",MAX($A$8:$A752)&gt;0),MAX($A$8:$A752)+1,"")))</f>
        <v/>
      </c>
      <c r="B753" s="11">
        <v>746</v>
      </c>
      <c r="C753" s="19" t="str">
        <f t="shared" si="35"/>
        <v>EMPTY</v>
      </c>
      <c r="D753" s="3" t="str">
        <f t="shared" si="37"/>
        <v/>
      </c>
      <c r="E753" s="22"/>
      <c r="F753" s="8" t="str">
        <f t="shared" si="36"/>
        <v/>
      </c>
    </row>
    <row r="754" spans="1:6" x14ac:dyDescent="0.25">
      <c r="A754" s="13" t="str">
        <f>IF(AND($E754="",MAX($A$8:$A753)=0),"",IF(AND($E754&lt;&gt;"",MAX($A$8:$A753)=0),1,IF(AND($E754&lt;&gt;"",MAX($A$8:$A753)&gt;0),MAX($A$8:$A753)+1,"")))</f>
        <v/>
      </c>
      <c r="B754" s="11">
        <v>747</v>
      </c>
      <c r="C754" s="19" t="str">
        <f t="shared" si="35"/>
        <v>EMPTY</v>
      </c>
      <c r="D754" s="3" t="str">
        <f t="shared" si="37"/>
        <v/>
      </c>
      <c r="E754" s="22"/>
      <c r="F754" s="8" t="str">
        <f t="shared" si="36"/>
        <v/>
      </c>
    </row>
    <row r="755" spans="1:6" x14ac:dyDescent="0.25">
      <c r="A755" s="13" t="str">
        <f>IF(AND($E755="",MAX($A$8:$A754)=0),"",IF(AND($E755&lt;&gt;"",MAX($A$8:$A754)=0),1,IF(AND($E755&lt;&gt;"",MAX($A$8:$A754)&gt;0),MAX($A$8:$A754)+1,"")))</f>
        <v/>
      </c>
      <c r="B755" s="11">
        <v>748</v>
      </c>
      <c r="C755" s="19" t="str">
        <f t="shared" si="35"/>
        <v>EMPTY</v>
      </c>
      <c r="D755" s="3" t="str">
        <f t="shared" si="37"/>
        <v/>
      </c>
      <c r="E755" s="22"/>
      <c r="F755" s="8" t="str">
        <f t="shared" si="36"/>
        <v/>
      </c>
    </row>
    <row r="756" spans="1:6" x14ac:dyDescent="0.25">
      <c r="A756" s="13" t="str">
        <f>IF(AND($E756="",MAX($A$8:$A755)=0),"",IF(AND($E756&lt;&gt;"",MAX($A$8:$A755)=0),1,IF(AND($E756&lt;&gt;"",MAX($A$8:$A755)&gt;0),MAX($A$8:$A755)+1,"")))</f>
        <v/>
      </c>
      <c r="B756" s="11">
        <v>749</v>
      </c>
      <c r="C756" s="19" t="str">
        <f t="shared" si="35"/>
        <v>EMPTY</v>
      </c>
      <c r="D756" s="3" t="str">
        <f t="shared" si="37"/>
        <v/>
      </c>
      <c r="E756" s="22"/>
      <c r="F756" s="8" t="str">
        <f t="shared" si="36"/>
        <v/>
      </c>
    </row>
    <row r="757" spans="1:6" x14ac:dyDescent="0.25">
      <c r="A757" s="13" t="str">
        <f>IF(AND($E757="",MAX($A$8:$A756)=0),"",IF(AND($E757&lt;&gt;"",MAX($A$8:$A756)=0),1,IF(AND($E757&lt;&gt;"",MAX($A$8:$A756)&gt;0),MAX($A$8:$A756)+1,"")))</f>
        <v/>
      </c>
      <c r="B757" s="11">
        <v>750</v>
      </c>
      <c r="C757" s="19" t="str">
        <f t="shared" si="35"/>
        <v>EMPTY</v>
      </c>
      <c r="D757" s="3" t="str">
        <f t="shared" si="37"/>
        <v/>
      </c>
      <c r="E757" s="22"/>
      <c r="F757" s="8" t="str">
        <f t="shared" si="36"/>
        <v/>
      </c>
    </row>
    <row r="758" spans="1:6" x14ac:dyDescent="0.25">
      <c r="A758" s="13" t="str">
        <f>IF(AND($E758="",MAX($A$8:$A757)=0),"",IF(AND($E758&lt;&gt;"",MAX($A$8:$A757)=0),1,IF(AND($E758&lt;&gt;"",MAX($A$8:$A757)&gt;0),MAX($A$8:$A757)+1,"")))</f>
        <v/>
      </c>
      <c r="B758" s="11">
        <v>751</v>
      </c>
      <c r="C758" s="19" t="str">
        <f t="shared" si="35"/>
        <v>EMPTY</v>
      </c>
      <c r="D758" s="3" t="str">
        <f t="shared" si="37"/>
        <v/>
      </c>
      <c r="E758" s="22"/>
      <c r="F758" s="8" t="str">
        <f t="shared" si="36"/>
        <v/>
      </c>
    </row>
    <row r="759" spans="1:6" x14ac:dyDescent="0.25">
      <c r="A759" s="13" t="str">
        <f>IF(AND($E759="",MAX($A$8:$A758)=0),"",IF(AND($E759&lt;&gt;"",MAX($A$8:$A758)=0),1,IF(AND($E759&lt;&gt;"",MAX($A$8:$A758)&gt;0),MAX($A$8:$A758)+1,"")))</f>
        <v/>
      </c>
      <c r="B759" s="11">
        <v>752</v>
      </c>
      <c r="C759" s="19" t="str">
        <f t="shared" si="35"/>
        <v>EMPTY</v>
      </c>
      <c r="D759" s="3" t="str">
        <f t="shared" si="37"/>
        <v/>
      </c>
      <c r="E759" s="22"/>
      <c r="F759" s="8" t="str">
        <f t="shared" si="36"/>
        <v/>
      </c>
    </row>
    <row r="760" spans="1:6" x14ac:dyDescent="0.25">
      <c r="A760" s="13" t="str">
        <f>IF(AND($E760="",MAX($A$8:$A759)=0),"",IF(AND($E760&lt;&gt;"",MAX($A$8:$A759)=0),1,IF(AND($E760&lt;&gt;"",MAX($A$8:$A759)&gt;0),MAX($A$8:$A759)+1,"")))</f>
        <v/>
      </c>
      <c r="B760" s="11">
        <v>753</v>
      </c>
      <c r="C760" s="19" t="str">
        <f t="shared" si="35"/>
        <v>EMPTY</v>
      </c>
      <c r="D760" s="3" t="str">
        <f t="shared" si="37"/>
        <v/>
      </c>
      <c r="E760" s="22"/>
      <c r="F760" s="8" t="str">
        <f t="shared" si="36"/>
        <v/>
      </c>
    </row>
    <row r="761" spans="1:6" x14ac:dyDescent="0.25">
      <c r="A761" s="13" t="str">
        <f>IF(AND($E761="",MAX($A$8:$A760)=0),"",IF(AND($E761&lt;&gt;"",MAX($A$8:$A760)=0),1,IF(AND($E761&lt;&gt;"",MAX($A$8:$A760)&gt;0),MAX($A$8:$A760)+1,"")))</f>
        <v/>
      </c>
      <c r="B761" s="11">
        <v>754</v>
      </c>
      <c r="C761" s="19" t="str">
        <f t="shared" si="35"/>
        <v>EMPTY</v>
      </c>
      <c r="D761" s="3" t="str">
        <f t="shared" si="37"/>
        <v/>
      </c>
      <c r="E761" s="22"/>
      <c r="F761" s="8" t="str">
        <f t="shared" si="36"/>
        <v/>
      </c>
    </row>
    <row r="762" spans="1:6" x14ac:dyDescent="0.25">
      <c r="A762" s="13" t="str">
        <f>IF(AND($E762="",MAX($A$8:$A761)=0),"",IF(AND($E762&lt;&gt;"",MAX($A$8:$A761)=0),1,IF(AND($E762&lt;&gt;"",MAX($A$8:$A761)&gt;0),MAX($A$8:$A761)+1,"")))</f>
        <v/>
      </c>
      <c r="B762" s="11">
        <v>755</v>
      </c>
      <c r="C762" s="19" t="str">
        <f t="shared" si="35"/>
        <v>EMPTY</v>
      </c>
      <c r="D762" s="3" t="str">
        <f t="shared" si="37"/>
        <v/>
      </c>
      <c r="E762" s="22"/>
      <c r="F762" s="8" t="str">
        <f t="shared" si="36"/>
        <v/>
      </c>
    </row>
    <row r="763" spans="1:6" x14ac:dyDescent="0.25">
      <c r="A763" s="13" t="str">
        <f>IF(AND($E763="",MAX($A$8:$A762)=0),"",IF(AND($E763&lt;&gt;"",MAX($A$8:$A762)=0),1,IF(AND($E763&lt;&gt;"",MAX($A$8:$A762)&gt;0),MAX($A$8:$A762)+1,"")))</f>
        <v/>
      </c>
      <c r="B763" s="11">
        <v>756</v>
      </c>
      <c r="C763" s="19" t="str">
        <f t="shared" si="35"/>
        <v>EMPTY</v>
      </c>
      <c r="D763" s="3" t="str">
        <f t="shared" si="37"/>
        <v/>
      </c>
      <c r="E763" s="22"/>
      <c r="F763" s="8" t="str">
        <f t="shared" si="36"/>
        <v/>
      </c>
    </row>
    <row r="764" spans="1:6" x14ac:dyDescent="0.25">
      <c r="A764" s="13" t="str">
        <f>IF(AND($E764="",MAX($A$8:$A763)=0),"",IF(AND($E764&lt;&gt;"",MAX($A$8:$A763)=0),1,IF(AND($E764&lt;&gt;"",MAX($A$8:$A763)&gt;0),MAX($A$8:$A763)+1,"")))</f>
        <v/>
      </c>
      <c r="B764" s="11">
        <v>757</v>
      </c>
      <c r="C764" s="19" t="str">
        <f t="shared" si="35"/>
        <v>EMPTY</v>
      </c>
      <c r="D764" s="3" t="str">
        <f t="shared" si="37"/>
        <v/>
      </c>
      <c r="E764" s="22"/>
      <c r="F764" s="8" t="str">
        <f t="shared" si="36"/>
        <v/>
      </c>
    </row>
    <row r="765" spans="1:6" x14ac:dyDescent="0.25">
      <c r="A765" s="13" t="str">
        <f>IF(AND($E765="",MAX($A$8:$A764)=0),"",IF(AND($E765&lt;&gt;"",MAX($A$8:$A764)=0),1,IF(AND($E765&lt;&gt;"",MAX($A$8:$A764)&gt;0),MAX($A$8:$A764)+1,"")))</f>
        <v/>
      </c>
      <c r="B765" s="11">
        <v>758</v>
      </c>
      <c r="C765" s="19" t="str">
        <f t="shared" si="35"/>
        <v>EMPTY</v>
      </c>
      <c r="D765" s="3" t="str">
        <f t="shared" si="37"/>
        <v/>
      </c>
      <c r="E765" s="22"/>
      <c r="F765" s="8" t="str">
        <f t="shared" si="36"/>
        <v/>
      </c>
    </row>
    <row r="766" spans="1:6" x14ac:dyDescent="0.25">
      <c r="A766" s="13" t="str">
        <f>IF(AND($E766="",MAX($A$8:$A765)=0),"",IF(AND($E766&lt;&gt;"",MAX($A$8:$A765)=0),1,IF(AND($E766&lt;&gt;"",MAX($A$8:$A765)&gt;0),MAX($A$8:$A765)+1,"")))</f>
        <v/>
      </c>
      <c r="B766" s="11">
        <v>759</v>
      </c>
      <c r="C766" s="19" t="str">
        <f t="shared" si="35"/>
        <v>EMPTY</v>
      </c>
      <c r="D766" s="3" t="str">
        <f t="shared" si="37"/>
        <v/>
      </c>
      <c r="E766" s="22"/>
      <c r="F766" s="8" t="str">
        <f t="shared" si="36"/>
        <v/>
      </c>
    </row>
    <row r="767" spans="1:6" x14ac:dyDescent="0.25">
      <c r="A767" s="13" t="str">
        <f>IF(AND($E767="",MAX($A$8:$A766)=0),"",IF(AND($E767&lt;&gt;"",MAX($A$8:$A766)=0),1,IF(AND($E767&lt;&gt;"",MAX($A$8:$A766)&gt;0),MAX($A$8:$A766)+1,"")))</f>
        <v/>
      </c>
      <c r="B767" s="11">
        <v>760</v>
      </c>
      <c r="C767" s="19" t="str">
        <f t="shared" si="35"/>
        <v>EMPTY</v>
      </c>
      <c r="D767" s="3" t="str">
        <f t="shared" si="37"/>
        <v/>
      </c>
      <c r="E767" s="22"/>
      <c r="F767" s="8" t="str">
        <f t="shared" si="36"/>
        <v/>
      </c>
    </row>
    <row r="768" spans="1:6" x14ac:dyDescent="0.25">
      <c r="A768" s="13" t="str">
        <f>IF(AND($E768="",MAX($A$8:$A767)=0),"",IF(AND($E768&lt;&gt;"",MAX($A$8:$A767)=0),1,IF(AND($E768&lt;&gt;"",MAX($A$8:$A767)&gt;0),MAX($A$8:$A767)+1,"")))</f>
        <v/>
      </c>
      <c r="B768" s="11">
        <v>761</v>
      </c>
      <c r="C768" s="19" t="str">
        <f t="shared" si="35"/>
        <v>EMPTY</v>
      </c>
      <c r="D768" s="3" t="str">
        <f t="shared" si="37"/>
        <v/>
      </c>
      <c r="E768" s="22"/>
      <c r="F768" s="8" t="str">
        <f t="shared" si="36"/>
        <v/>
      </c>
    </row>
    <row r="769" spans="1:6" x14ac:dyDescent="0.25">
      <c r="A769" s="13" t="str">
        <f>IF(AND($E769="",MAX($A$8:$A768)=0),"",IF(AND($E769&lt;&gt;"",MAX($A$8:$A768)=0),1,IF(AND($E769&lt;&gt;"",MAX($A$8:$A768)&gt;0),MAX($A$8:$A768)+1,"")))</f>
        <v/>
      </c>
      <c r="B769" s="11">
        <v>762</v>
      </c>
      <c r="C769" s="19" t="str">
        <f t="shared" si="35"/>
        <v>EMPTY</v>
      </c>
      <c r="D769" s="3" t="str">
        <f t="shared" si="37"/>
        <v/>
      </c>
      <c r="E769" s="22"/>
      <c r="F769" s="8" t="str">
        <f t="shared" si="36"/>
        <v/>
      </c>
    </row>
    <row r="770" spans="1:6" x14ac:dyDescent="0.25">
      <c r="A770" s="13" t="str">
        <f>IF(AND($E770="",MAX($A$8:$A769)=0),"",IF(AND($E770&lt;&gt;"",MAX($A$8:$A769)=0),1,IF(AND($E770&lt;&gt;"",MAX($A$8:$A769)&gt;0),MAX($A$8:$A769)+1,"")))</f>
        <v/>
      </c>
      <c r="B770" s="11">
        <v>763</v>
      </c>
      <c r="C770" s="19" t="str">
        <f t="shared" si="35"/>
        <v>EMPTY</v>
      </c>
      <c r="D770" s="3" t="str">
        <f t="shared" si="37"/>
        <v/>
      </c>
      <c r="E770" s="22"/>
      <c r="F770" s="8" t="str">
        <f t="shared" si="36"/>
        <v/>
      </c>
    </row>
    <row r="771" spans="1:6" x14ac:dyDescent="0.25">
      <c r="A771" s="13" t="str">
        <f>IF(AND($E771="",MAX($A$8:$A770)=0),"",IF(AND($E771&lt;&gt;"",MAX($A$8:$A770)=0),1,IF(AND($E771&lt;&gt;"",MAX($A$8:$A770)&gt;0),MAX($A$8:$A770)+1,"")))</f>
        <v/>
      </c>
      <c r="B771" s="11">
        <v>764</v>
      </c>
      <c r="C771" s="19" t="str">
        <f t="shared" si="35"/>
        <v>EMPTY</v>
      </c>
      <c r="D771" s="3" t="str">
        <f t="shared" si="37"/>
        <v/>
      </c>
      <c r="E771" s="22"/>
      <c r="F771" s="8" t="str">
        <f t="shared" si="36"/>
        <v/>
      </c>
    </row>
    <row r="772" spans="1:6" x14ac:dyDescent="0.25">
      <c r="A772" s="13" t="str">
        <f>IF(AND($E772="",MAX($A$8:$A771)=0),"",IF(AND($E772&lt;&gt;"",MAX($A$8:$A771)=0),1,IF(AND($E772&lt;&gt;"",MAX($A$8:$A771)&gt;0),MAX($A$8:$A771)+1,"")))</f>
        <v/>
      </c>
      <c r="B772" s="11">
        <v>765</v>
      </c>
      <c r="C772" s="19" t="str">
        <f t="shared" si="35"/>
        <v>EMPTY</v>
      </c>
      <c r="D772" s="3" t="str">
        <f t="shared" si="37"/>
        <v/>
      </c>
      <c r="E772" s="22"/>
      <c r="F772" s="8" t="str">
        <f t="shared" si="36"/>
        <v/>
      </c>
    </row>
    <row r="773" spans="1:6" x14ac:dyDescent="0.25">
      <c r="A773" s="13" t="str">
        <f>IF(AND($E773="",MAX($A$8:$A772)=0),"",IF(AND($E773&lt;&gt;"",MAX($A$8:$A772)=0),1,IF(AND($E773&lt;&gt;"",MAX($A$8:$A772)&gt;0),MAX($A$8:$A772)+1,"")))</f>
        <v/>
      </c>
      <c r="B773" s="11">
        <v>766</v>
      </c>
      <c r="C773" s="19" t="str">
        <f t="shared" si="35"/>
        <v>EMPTY</v>
      </c>
      <c r="D773" s="3" t="str">
        <f t="shared" si="37"/>
        <v/>
      </c>
      <c r="E773" s="22"/>
      <c r="F773" s="8" t="str">
        <f t="shared" si="36"/>
        <v/>
      </c>
    </row>
    <row r="774" spans="1:6" x14ac:dyDescent="0.25">
      <c r="A774" s="13" t="str">
        <f>IF(AND($E774="",MAX($A$8:$A773)=0),"",IF(AND($E774&lt;&gt;"",MAX($A$8:$A773)=0),1,IF(AND($E774&lt;&gt;"",MAX($A$8:$A773)&gt;0),MAX($A$8:$A773)+1,"")))</f>
        <v/>
      </c>
      <c r="B774" s="11">
        <v>767</v>
      </c>
      <c r="C774" s="19" t="str">
        <f t="shared" si="35"/>
        <v>EMPTY</v>
      </c>
      <c r="D774" s="3" t="str">
        <f t="shared" si="37"/>
        <v/>
      </c>
      <c r="E774" s="22"/>
      <c r="F774" s="8" t="str">
        <f t="shared" si="36"/>
        <v/>
      </c>
    </row>
    <row r="775" spans="1:6" x14ac:dyDescent="0.25">
      <c r="A775" s="13" t="str">
        <f>IF(AND($E775="",MAX($A$8:$A774)=0),"",IF(AND($E775&lt;&gt;"",MAX($A$8:$A774)=0),1,IF(AND($E775&lt;&gt;"",MAX($A$8:$A774)&gt;0),MAX($A$8:$A774)+1,"")))</f>
        <v/>
      </c>
      <c r="B775" s="11">
        <v>768</v>
      </c>
      <c r="C775" s="19" t="str">
        <f t="shared" si="35"/>
        <v>EMPTY</v>
      </c>
      <c r="D775" s="3" t="str">
        <f t="shared" si="37"/>
        <v/>
      </c>
      <c r="E775" s="22"/>
      <c r="F775" s="8" t="str">
        <f t="shared" si="36"/>
        <v/>
      </c>
    </row>
    <row r="776" spans="1:6" x14ac:dyDescent="0.25">
      <c r="A776" s="13" t="str">
        <f>IF(AND($E776="",MAX($A$8:$A775)=0),"",IF(AND($E776&lt;&gt;"",MAX($A$8:$A775)=0),1,IF(AND($E776&lt;&gt;"",MAX($A$8:$A775)&gt;0),MAX($A$8:$A775)+1,"")))</f>
        <v/>
      </c>
      <c r="B776" s="11">
        <v>769</v>
      </c>
      <c r="C776" s="19" t="str">
        <f t="shared" si="35"/>
        <v>EMPTY</v>
      </c>
      <c r="D776" s="3" t="str">
        <f t="shared" si="37"/>
        <v/>
      </c>
      <c r="E776" s="22"/>
      <c r="F776" s="8" t="str">
        <f t="shared" si="36"/>
        <v/>
      </c>
    </row>
    <row r="777" spans="1:6" x14ac:dyDescent="0.25">
      <c r="A777" s="13" t="str">
        <f>IF(AND($E777="",MAX($A$8:$A776)=0),"",IF(AND($E777&lt;&gt;"",MAX($A$8:$A776)=0),1,IF(AND($E777&lt;&gt;"",MAX($A$8:$A776)&gt;0),MAX($A$8:$A776)+1,"")))</f>
        <v/>
      </c>
      <c r="B777" s="11">
        <v>770</v>
      </c>
      <c r="C777" s="19" t="str">
        <f t="shared" ref="C777:C840" si="38">IF($E777="","EMPTY",IF(COUNT(MID($E777,2,1))=0,"HIDE",IF(COUNT(MID($E777,2,1))=1,"SHOW","")))</f>
        <v>EMPTY</v>
      </c>
      <c r="D777" s="3" t="str">
        <f t="shared" si="37"/>
        <v/>
      </c>
      <c r="E777" s="22"/>
      <c r="F777" s="8" t="str">
        <f t="shared" ref="F777:F840" si="39">$D777</f>
        <v/>
      </c>
    </row>
    <row r="778" spans="1:6" x14ac:dyDescent="0.25">
      <c r="A778" s="13" t="str">
        <f>IF(AND($E778="",MAX($A$8:$A777)=0),"",IF(AND($E778&lt;&gt;"",MAX($A$8:$A777)=0),1,IF(AND($E778&lt;&gt;"",MAX($A$8:$A777)&gt;0),MAX($A$8:$A777)+1,"")))</f>
        <v/>
      </c>
      <c r="B778" s="11">
        <v>771</v>
      </c>
      <c r="C778" s="19" t="str">
        <f t="shared" si="38"/>
        <v>EMPTY</v>
      </c>
      <c r="D778" s="3" t="str">
        <f t="shared" si="37"/>
        <v/>
      </c>
      <c r="E778" s="22"/>
      <c r="F778" s="8" t="str">
        <f t="shared" si="39"/>
        <v/>
      </c>
    </row>
    <row r="779" spans="1:6" x14ac:dyDescent="0.25">
      <c r="A779" s="13" t="str">
        <f>IF(AND($E779="",MAX($A$8:$A778)=0),"",IF(AND($E779&lt;&gt;"",MAX($A$8:$A778)=0),1,IF(AND($E779&lt;&gt;"",MAX($A$8:$A778)&gt;0),MAX($A$8:$A778)+1,"")))</f>
        <v/>
      </c>
      <c r="B779" s="11">
        <v>772</v>
      </c>
      <c r="C779" s="19" t="str">
        <f t="shared" si="38"/>
        <v>EMPTY</v>
      </c>
      <c r="D779" s="3" t="str">
        <f t="shared" si="37"/>
        <v/>
      </c>
      <c r="E779" s="22"/>
      <c r="F779" s="8" t="str">
        <f t="shared" si="39"/>
        <v/>
      </c>
    </row>
    <row r="780" spans="1:6" x14ac:dyDescent="0.25">
      <c r="A780" s="13" t="str">
        <f>IF(AND($E780="",MAX($A$8:$A779)=0),"",IF(AND($E780&lt;&gt;"",MAX($A$8:$A779)=0),1,IF(AND($E780&lt;&gt;"",MAX($A$8:$A779)&gt;0),MAX($A$8:$A779)+1,"")))</f>
        <v/>
      </c>
      <c r="B780" s="11">
        <v>773</v>
      </c>
      <c r="C780" s="19" t="str">
        <f t="shared" si="38"/>
        <v>EMPTY</v>
      </c>
      <c r="D780" s="3" t="str">
        <f t="shared" si="37"/>
        <v/>
      </c>
      <c r="E780" s="22"/>
      <c r="F780" s="8" t="str">
        <f t="shared" si="39"/>
        <v/>
      </c>
    </row>
    <row r="781" spans="1:6" x14ac:dyDescent="0.25">
      <c r="A781" s="13" t="str">
        <f>IF(AND($E781="",MAX($A$8:$A780)=0),"",IF(AND($E781&lt;&gt;"",MAX($A$8:$A780)=0),1,IF(AND($E781&lt;&gt;"",MAX($A$8:$A780)&gt;0),MAX($A$8:$A780)+1,"")))</f>
        <v/>
      </c>
      <c r="B781" s="11">
        <v>774</v>
      </c>
      <c r="C781" s="19" t="str">
        <f t="shared" si="38"/>
        <v>EMPTY</v>
      </c>
      <c r="D781" s="3" t="str">
        <f t="shared" si="37"/>
        <v/>
      </c>
      <c r="E781" s="22"/>
      <c r="F781" s="8" t="str">
        <f t="shared" si="39"/>
        <v/>
      </c>
    </row>
    <row r="782" spans="1:6" x14ac:dyDescent="0.25">
      <c r="A782" s="13" t="str">
        <f>IF(AND($E782="",MAX($A$8:$A781)=0),"",IF(AND($E782&lt;&gt;"",MAX($A$8:$A781)=0),1,IF(AND($E782&lt;&gt;"",MAX($A$8:$A781)&gt;0),MAX($A$8:$A781)+1,"")))</f>
        <v/>
      </c>
      <c r="B782" s="11">
        <v>775</v>
      </c>
      <c r="C782" s="19" t="str">
        <f t="shared" si="38"/>
        <v>EMPTY</v>
      </c>
      <c r="D782" s="3" t="str">
        <f t="shared" si="37"/>
        <v/>
      </c>
      <c r="E782" s="22"/>
      <c r="F782" s="8" t="str">
        <f t="shared" si="39"/>
        <v/>
      </c>
    </row>
    <row r="783" spans="1:6" x14ac:dyDescent="0.25">
      <c r="A783" s="13" t="str">
        <f>IF(AND($E783="",MAX($A$8:$A782)=0),"",IF(AND($E783&lt;&gt;"",MAX($A$8:$A782)=0),1,IF(AND($E783&lt;&gt;"",MAX($A$8:$A782)&gt;0),MAX($A$8:$A782)+1,"")))</f>
        <v/>
      </c>
      <c r="B783" s="11">
        <v>776</v>
      </c>
      <c r="C783" s="19" t="str">
        <f t="shared" si="38"/>
        <v>EMPTY</v>
      </c>
      <c r="D783" s="3" t="str">
        <f t="shared" si="37"/>
        <v/>
      </c>
      <c r="E783" s="22"/>
      <c r="F783" s="8" t="str">
        <f t="shared" si="39"/>
        <v/>
      </c>
    </row>
    <row r="784" spans="1:6" x14ac:dyDescent="0.25">
      <c r="A784" s="13" t="str">
        <f>IF(AND($E784="",MAX($A$8:$A783)=0),"",IF(AND($E784&lt;&gt;"",MAX($A$8:$A783)=0),1,IF(AND($E784&lt;&gt;"",MAX($A$8:$A783)&gt;0),MAX($A$8:$A783)+1,"")))</f>
        <v/>
      </c>
      <c r="B784" s="11">
        <v>777</v>
      </c>
      <c r="C784" s="19" t="str">
        <f t="shared" si="38"/>
        <v>EMPTY</v>
      </c>
      <c r="D784" s="3" t="str">
        <f t="shared" si="37"/>
        <v/>
      </c>
      <c r="E784" s="22"/>
      <c r="F784" s="8" t="str">
        <f t="shared" si="39"/>
        <v/>
      </c>
    </row>
    <row r="785" spans="1:6" x14ac:dyDescent="0.25">
      <c r="A785" s="13" t="str">
        <f>IF(AND($E785="",MAX($A$8:$A784)=0),"",IF(AND($E785&lt;&gt;"",MAX($A$8:$A784)=0),1,IF(AND($E785&lt;&gt;"",MAX($A$8:$A784)&gt;0),MAX($A$8:$A784)+1,"")))</f>
        <v/>
      </c>
      <c r="B785" s="11">
        <v>778</v>
      </c>
      <c r="C785" s="19" t="str">
        <f t="shared" si="38"/>
        <v>EMPTY</v>
      </c>
      <c r="D785" s="3" t="str">
        <f t="shared" ref="D785:D848" si="40">IF(AND(OR($C785="EMPTY",$C785="HIDE",$C785=""),OR($C786="EMPTY",$C786="HIDE",$C786="")),"",IF(AND($C785="SHOW",OR($C786="EMPTY",$C786="HIDE",$C786="")),CONCATENATE("Dialogue: 0,0:",MID($E785,2,8),",0:",MID($E785,2,8),",Default,,0,0,0,,",MID($E785,11,1000)),IF(AND($C785="SHOW",$C786="SHOW"),CONCATENATE("Dialogue: 0,0:",MID($E785,2,8),",0:",MID($E786,2,8),",Default,,0,0,0,,",MID($E785,11,1000)),"")))</f>
        <v/>
      </c>
      <c r="E785" s="22"/>
      <c r="F785" s="8" t="str">
        <f t="shared" si="39"/>
        <v/>
      </c>
    </row>
    <row r="786" spans="1:6" x14ac:dyDescent="0.25">
      <c r="A786" s="13" t="str">
        <f>IF(AND($E786="",MAX($A$8:$A785)=0),"",IF(AND($E786&lt;&gt;"",MAX($A$8:$A785)=0),1,IF(AND($E786&lt;&gt;"",MAX($A$8:$A785)&gt;0),MAX($A$8:$A785)+1,"")))</f>
        <v/>
      </c>
      <c r="B786" s="11">
        <v>779</v>
      </c>
      <c r="C786" s="19" t="str">
        <f t="shared" si="38"/>
        <v>EMPTY</v>
      </c>
      <c r="D786" s="3" t="str">
        <f t="shared" si="40"/>
        <v/>
      </c>
      <c r="E786" s="22"/>
      <c r="F786" s="8" t="str">
        <f t="shared" si="39"/>
        <v/>
      </c>
    </row>
    <row r="787" spans="1:6" x14ac:dyDescent="0.25">
      <c r="A787" s="13" t="str">
        <f>IF(AND($E787="",MAX($A$8:$A786)=0),"",IF(AND($E787&lt;&gt;"",MAX($A$8:$A786)=0),1,IF(AND($E787&lt;&gt;"",MAX($A$8:$A786)&gt;0),MAX($A$8:$A786)+1,"")))</f>
        <v/>
      </c>
      <c r="B787" s="11">
        <v>780</v>
      </c>
      <c r="C787" s="19" t="str">
        <f t="shared" si="38"/>
        <v>EMPTY</v>
      </c>
      <c r="D787" s="3" t="str">
        <f t="shared" si="40"/>
        <v/>
      </c>
      <c r="E787" s="22"/>
      <c r="F787" s="8" t="str">
        <f t="shared" si="39"/>
        <v/>
      </c>
    </row>
    <row r="788" spans="1:6" x14ac:dyDescent="0.25">
      <c r="A788" s="13" t="str">
        <f>IF(AND($E788="",MAX($A$8:$A787)=0),"",IF(AND($E788&lt;&gt;"",MAX($A$8:$A787)=0),1,IF(AND($E788&lt;&gt;"",MAX($A$8:$A787)&gt;0),MAX($A$8:$A787)+1,"")))</f>
        <v/>
      </c>
      <c r="B788" s="11">
        <v>781</v>
      </c>
      <c r="C788" s="19" t="str">
        <f t="shared" si="38"/>
        <v>EMPTY</v>
      </c>
      <c r="D788" s="3" t="str">
        <f t="shared" si="40"/>
        <v/>
      </c>
      <c r="E788" s="22"/>
      <c r="F788" s="8" t="str">
        <f t="shared" si="39"/>
        <v/>
      </c>
    </row>
    <row r="789" spans="1:6" x14ac:dyDescent="0.25">
      <c r="A789" s="13" t="str">
        <f>IF(AND($E789="",MAX($A$8:$A788)=0),"",IF(AND($E789&lt;&gt;"",MAX($A$8:$A788)=0),1,IF(AND($E789&lt;&gt;"",MAX($A$8:$A788)&gt;0),MAX($A$8:$A788)+1,"")))</f>
        <v/>
      </c>
      <c r="B789" s="11">
        <v>782</v>
      </c>
      <c r="C789" s="19" t="str">
        <f t="shared" si="38"/>
        <v>EMPTY</v>
      </c>
      <c r="D789" s="3" t="str">
        <f t="shared" si="40"/>
        <v/>
      </c>
      <c r="E789" s="22"/>
      <c r="F789" s="8" t="str">
        <f t="shared" si="39"/>
        <v/>
      </c>
    </row>
    <row r="790" spans="1:6" x14ac:dyDescent="0.25">
      <c r="A790" s="13" t="str">
        <f>IF(AND($E790="",MAX($A$8:$A789)=0),"",IF(AND($E790&lt;&gt;"",MAX($A$8:$A789)=0),1,IF(AND($E790&lt;&gt;"",MAX($A$8:$A789)&gt;0),MAX($A$8:$A789)+1,"")))</f>
        <v/>
      </c>
      <c r="B790" s="11">
        <v>783</v>
      </c>
      <c r="C790" s="19" t="str">
        <f t="shared" si="38"/>
        <v>EMPTY</v>
      </c>
      <c r="D790" s="3" t="str">
        <f t="shared" si="40"/>
        <v/>
      </c>
      <c r="E790" s="22"/>
      <c r="F790" s="8" t="str">
        <f t="shared" si="39"/>
        <v/>
      </c>
    </row>
    <row r="791" spans="1:6" x14ac:dyDescent="0.25">
      <c r="A791" s="13" t="str">
        <f>IF(AND($E791="",MAX($A$8:$A790)=0),"",IF(AND($E791&lt;&gt;"",MAX($A$8:$A790)=0),1,IF(AND($E791&lt;&gt;"",MAX($A$8:$A790)&gt;0),MAX($A$8:$A790)+1,"")))</f>
        <v/>
      </c>
      <c r="B791" s="11">
        <v>784</v>
      </c>
      <c r="C791" s="19" t="str">
        <f t="shared" si="38"/>
        <v>EMPTY</v>
      </c>
      <c r="D791" s="3" t="str">
        <f t="shared" si="40"/>
        <v/>
      </c>
      <c r="E791" s="22"/>
      <c r="F791" s="8" t="str">
        <f t="shared" si="39"/>
        <v/>
      </c>
    </row>
    <row r="792" spans="1:6" x14ac:dyDescent="0.25">
      <c r="A792" s="13" t="str">
        <f>IF(AND($E792="",MAX($A$8:$A791)=0),"",IF(AND($E792&lt;&gt;"",MAX($A$8:$A791)=0),1,IF(AND($E792&lt;&gt;"",MAX($A$8:$A791)&gt;0),MAX($A$8:$A791)+1,"")))</f>
        <v/>
      </c>
      <c r="B792" s="11">
        <v>785</v>
      </c>
      <c r="C792" s="19" t="str">
        <f t="shared" si="38"/>
        <v>EMPTY</v>
      </c>
      <c r="D792" s="3" t="str">
        <f t="shared" si="40"/>
        <v/>
      </c>
      <c r="E792" s="22"/>
      <c r="F792" s="8" t="str">
        <f t="shared" si="39"/>
        <v/>
      </c>
    </row>
    <row r="793" spans="1:6" x14ac:dyDescent="0.25">
      <c r="A793" s="13" t="str">
        <f>IF(AND($E793="",MAX($A$8:$A792)=0),"",IF(AND($E793&lt;&gt;"",MAX($A$8:$A792)=0),1,IF(AND($E793&lt;&gt;"",MAX($A$8:$A792)&gt;0),MAX($A$8:$A792)+1,"")))</f>
        <v/>
      </c>
      <c r="B793" s="11">
        <v>786</v>
      </c>
      <c r="C793" s="19" t="str">
        <f t="shared" si="38"/>
        <v>EMPTY</v>
      </c>
      <c r="D793" s="3" t="str">
        <f t="shared" si="40"/>
        <v/>
      </c>
      <c r="E793" s="22"/>
      <c r="F793" s="8" t="str">
        <f t="shared" si="39"/>
        <v/>
      </c>
    </row>
    <row r="794" spans="1:6" x14ac:dyDescent="0.25">
      <c r="A794" s="13" t="str">
        <f>IF(AND($E794="",MAX($A$8:$A793)=0),"",IF(AND($E794&lt;&gt;"",MAX($A$8:$A793)=0),1,IF(AND($E794&lt;&gt;"",MAX($A$8:$A793)&gt;0),MAX($A$8:$A793)+1,"")))</f>
        <v/>
      </c>
      <c r="B794" s="11">
        <v>787</v>
      </c>
      <c r="C794" s="19" t="str">
        <f t="shared" si="38"/>
        <v>EMPTY</v>
      </c>
      <c r="D794" s="3" t="str">
        <f t="shared" si="40"/>
        <v/>
      </c>
      <c r="E794" s="22"/>
      <c r="F794" s="8" t="str">
        <f t="shared" si="39"/>
        <v/>
      </c>
    </row>
    <row r="795" spans="1:6" x14ac:dyDescent="0.25">
      <c r="A795" s="13" t="str">
        <f>IF(AND($E795="",MAX($A$8:$A794)=0),"",IF(AND($E795&lt;&gt;"",MAX($A$8:$A794)=0),1,IF(AND($E795&lt;&gt;"",MAX($A$8:$A794)&gt;0),MAX($A$8:$A794)+1,"")))</f>
        <v/>
      </c>
      <c r="B795" s="11">
        <v>788</v>
      </c>
      <c r="C795" s="19" t="str">
        <f t="shared" si="38"/>
        <v>EMPTY</v>
      </c>
      <c r="D795" s="3" t="str">
        <f t="shared" si="40"/>
        <v/>
      </c>
      <c r="E795" s="22"/>
      <c r="F795" s="8" t="str">
        <f t="shared" si="39"/>
        <v/>
      </c>
    </row>
    <row r="796" spans="1:6" x14ac:dyDescent="0.25">
      <c r="A796" s="13" t="str">
        <f>IF(AND($E796="",MAX($A$8:$A795)=0),"",IF(AND($E796&lt;&gt;"",MAX($A$8:$A795)=0),1,IF(AND($E796&lt;&gt;"",MAX($A$8:$A795)&gt;0),MAX($A$8:$A795)+1,"")))</f>
        <v/>
      </c>
      <c r="B796" s="11">
        <v>789</v>
      </c>
      <c r="C796" s="19" t="str">
        <f t="shared" si="38"/>
        <v>EMPTY</v>
      </c>
      <c r="D796" s="3" t="str">
        <f t="shared" si="40"/>
        <v/>
      </c>
      <c r="E796" s="22"/>
      <c r="F796" s="8" t="str">
        <f t="shared" si="39"/>
        <v/>
      </c>
    </row>
    <row r="797" spans="1:6" x14ac:dyDescent="0.25">
      <c r="A797" s="13" t="str">
        <f>IF(AND($E797="",MAX($A$8:$A796)=0),"",IF(AND($E797&lt;&gt;"",MAX($A$8:$A796)=0),1,IF(AND($E797&lt;&gt;"",MAX($A$8:$A796)&gt;0),MAX($A$8:$A796)+1,"")))</f>
        <v/>
      </c>
      <c r="B797" s="11">
        <v>790</v>
      </c>
      <c r="C797" s="19" t="str">
        <f t="shared" si="38"/>
        <v>EMPTY</v>
      </c>
      <c r="D797" s="3" t="str">
        <f t="shared" si="40"/>
        <v/>
      </c>
      <c r="E797" s="22"/>
      <c r="F797" s="8" t="str">
        <f t="shared" si="39"/>
        <v/>
      </c>
    </row>
    <row r="798" spans="1:6" x14ac:dyDescent="0.25">
      <c r="A798" s="13" t="str">
        <f>IF(AND($E798="",MAX($A$8:$A797)=0),"",IF(AND($E798&lt;&gt;"",MAX($A$8:$A797)=0),1,IF(AND($E798&lt;&gt;"",MAX($A$8:$A797)&gt;0),MAX($A$8:$A797)+1,"")))</f>
        <v/>
      </c>
      <c r="B798" s="11">
        <v>791</v>
      </c>
      <c r="C798" s="19" t="str">
        <f t="shared" si="38"/>
        <v>EMPTY</v>
      </c>
      <c r="D798" s="3" t="str">
        <f t="shared" si="40"/>
        <v/>
      </c>
      <c r="E798" s="22"/>
      <c r="F798" s="8" t="str">
        <f t="shared" si="39"/>
        <v/>
      </c>
    </row>
    <row r="799" spans="1:6" x14ac:dyDescent="0.25">
      <c r="A799" s="13" t="str">
        <f>IF(AND($E799="",MAX($A$8:$A798)=0),"",IF(AND($E799&lt;&gt;"",MAX($A$8:$A798)=0),1,IF(AND($E799&lt;&gt;"",MAX($A$8:$A798)&gt;0),MAX($A$8:$A798)+1,"")))</f>
        <v/>
      </c>
      <c r="B799" s="11">
        <v>792</v>
      </c>
      <c r="C799" s="19" t="str">
        <f t="shared" si="38"/>
        <v>EMPTY</v>
      </c>
      <c r="D799" s="3" t="str">
        <f t="shared" si="40"/>
        <v/>
      </c>
      <c r="E799" s="22"/>
      <c r="F799" s="8" t="str">
        <f t="shared" si="39"/>
        <v/>
      </c>
    </row>
    <row r="800" spans="1:6" x14ac:dyDescent="0.25">
      <c r="A800" s="13" t="str">
        <f>IF(AND($E800="",MAX($A$8:$A799)=0),"",IF(AND($E800&lt;&gt;"",MAX($A$8:$A799)=0),1,IF(AND($E800&lt;&gt;"",MAX($A$8:$A799)&gt;0),MAX($A$8:$A799)+1,"")))</f>
        <v/>
      </c>
      <c r="B800" s="11">
        <v>793</v>
      </c>
      <c r="C800" s="19" t="str">
        <f t="shared" si="38"/>
        <v>EMPTY</v>
      </c>
      <c r="D800" s="3" t="str">
        <f t="shared" si="40"/>
        <v/>
      </c>
      <c r="E800" s="22"/>
      <c r="F800" s="8" t="str">
        <f t="shared" si="39"/>
        <v/>
      </c>
    </row>
    <row r="801" spans="1:6" x14ac:dyDescent="0.25">
      <c r="A801" s="13" t="str">
        <f>IF(AND($E801="",MAX($A$8:$A800)=0),"",IF(AND($E801&lt;&gt;"",MAX($A$8:$A800)=0),1,IF(AND($E801&lt;&gt;"",MAX($A$8:$A800)&gt;0),MAX($A$8:$A800)+1,"")))</f>
        <v/>
      </c>
      <c r="B801" s="11">
        <v>794</v>
      </c>
      <c r="C801" s="19" t="str">
        <f t="shared" si="38"/>
        <v>EMPTY</v>
      </c>
      <c r="D801" s="3" t="str">
        <f t="shared" si="40"/>
        <v/>
      </c>
      <c r="E801" s="22"/>
      <c r="F801" s="8" t="str">
        <f t="shared" si="39"/>
        <v/>
      </c>
    </row>
    <row r="802" spans="1:6" x14ac:dyDescent="0.25">
      <c r="A802" s="13" t="str">
        <f>IF(AND($E802="",MAX($A$8:$A801)=0),"",IF(AND($E802&lt;&gt;"",MAX($A$8:$A801)=0),1,IF(AND($E802&lt;&gt;"",MAX($A$8:$A801)&gt;0),MAX($A$8:$A801)+1,"")))</f>
        <v/>
      </c>
      <c r="B802" s="11">
        <v>795</v>
      </c>
      <c r="C802" s="19" t="str">
        <f t="shared" si="38"/>
        <v>EMPTY</v>
      </c>
      <c r="D802" s="3" t="str">
        <f t="shared" si="40"/>
        <v/>
      </c>
      <c r="E802" s="22"/>
      <c r="F802" s="8" t="str">
        <f t="shared" si="39"/>
        <v/>
      </c>
    </row>
    <row r="803" spans="1:6" x14ac:dyDescent="0.25">
      <c r="A803" s="13" t="str">
        <f>IF(AND($E803="",MAX($A$8:$A802)=0),"",IF(AND($E803&lt;&gt;"",MAX($A$8:$A802)=0),1,IF(AND($E803&lt;&gt;"",MAX($A$8:$A802)&gt;0),MAX($A$8:$A802)+1,"")))</f>
        <v/>
      </c>
      <c r="B803" s="11">
        <v>796</v>
      </c>
      <c r="C803" s="19" t="str">
        <f t="shared" si="38"/>
        <v>EMPTY</v>
      </c>
      <c r="D803" s="3" t="str">
        <f t="shared" si="40"/>
        <v/>
      </c>
      <c r="E803" s="22"/>
      <c r="F803" s="8" t="str">
        <f t="shared" si="39"/>
        <v/>
      </c>
    </row>
    <row r="804" spans="1:6" x14ac:dyDescent="0.25">
      <c r="A804" s="13" t="str">
        <f>IF(AND($E804="",MAX($A$8:$A803)=0),"",IF(AND($E804&lt;&gt;"",MAX($A$8:$A803)=0),1,IF(AND($E804&lt;&gt;"",MAX($A$8:$A803)&gt;0),MAX($A$8:$A803)+1,"")))</f>
        <v/>
      </c>
      <c r="B804" s="11">
        <v>797</v>
      </c>
      <c r="C804" s="19" t="str">
        <f t="shared" si="38"/>
        <v>EMPTY</v>
      </c>
      <c r="D804" s="3" t="str">
        <f t="shared" si="40"/>
        <v/>
      </c>
      <c r="E804" s="22"/>
      <c r="F804" s="8" t="str">
        <f t="shared" si="39"/>
        <v/>
      </c>
    </row>
    <row r="805" spans="1:6" x14ac:dyDescent="0.25">
      <c r="A805" s="13" t="str">
        <f>IF(AND($E805="",MAX($A$8:$A804)=0),"",IF(AND($E805&lt;&gt;"",MAX($A$8:$A804)=0),1,IF(AND($E805&lt;&gt;"",MAX($A$8:$A804)&gt;0),MAX($A$8:$A804)+1,"")))</f>
        <v/>
      </c>
      <c r="B805" s="11">
        <v>798</v>
      </c>
      <c r="C805" s="19" t="str">
        <f t="shared" si="38"/>
        <v>EMPTY</v>
      </c>
      <c r="D805" s="3" t="str">
        <f t="shared" si="40"/>
        <v/>
      </c>
      <c r="E805" s="22"/>
      <c r="F805" s="8" t="str">
        <f t="shared" si="39"/>
        <v/>
      </c>
    </row>
    <row r="806" spans="1:6" x14ac:dyDescent="0.25">
      <c r="A806" s="13" t="str">
        <f>IF(AND($E806="",MAX($A$8:$A805)=0),"",IF(AND($E806&lt;&gt;"",MAX($A$8:$A805)=0),1,IF(AND($E806&lt;&gt;"",MAX($A$8:$A805)&gt;0),MAX($A$8:$A805)+1,"")))</f>
        <v/>
      </c>
      <c r="B806" s="11">
        <v>799</v>
      </c>
      <c r="C806" s="19" t="str">
        <f t="shared" si="38"/>
        <v>EMPTY</v>
      </c>
      <c r="D806" s="3" t="str">
        <f t="shared" si="40"/>
        <v/>
      </c>
      <c r="E806" s="22"/>
      <c r="F806" s="8" t="str">
        <f t="shared" si="39"/>
        <v/>
      </c>
    </row>
    <row r="807" spans="1:6" x14ac:dyDescent="0.25">
      <c r="A807" s="13" t="str">
        <f>IF(AND($E807="",MAX($A$8:$A806)=0),"",IF(AND($E807&lt;&gt;"",MAX($A$8:$A806)=0),1,IF(AND($E807&lt;&gt;"",MAX($A$8:$A806)&gt;0),MAX($A$8:$A806)+1,"")))</f>
        <v/>
      </c>
      <c r="B807" s="11">
        <v>800</v>
      </c>
      <c r="C807" s="19" t="str">
        <f t="shared" si="38"/>
        <v>EMPTY</v>
      </c>
      <c r="D807" s="3" t="str">
        <f t="shared" si="40"/>
        <v/>
      </c>
      <c r="E807" s="22"/>
      <c r="F807" s="8" t="str">
        <f t="shared" si="39"/>
        <v/>
      </c>
    </row>
    <row r="808" spans="1:6" x14ac:dyDescent="0.25">
      <c r="A808" s="13" t="str">
        <f>IF(AND($E808="",MAX($A$8:$A807)=0),"",IF(AND($E808&lt;&gt;"",MAX($A$8:$A807)=0),1,IF(AND($E808&lt;&gt;"",MAX($A$8:$A807)&gt;0),MAX($A$8:$A807)+1,"")))</f>
        <v/>
      </c>
      <c r="B808" s="11">
        <v>801</v>
      </c>
      <c r="C808" s="19" t="str">
        <f t="shared" si="38"/>
        <v>EMPTY</v>
      </c>
      <c r="D808" s="3" t="str">
        <f t="shared" si="40"/>
        <v/>
      </c>
      <c r="E808" s="22"/>
      <c r="F808" s="8" t="str">
        <f t="shared" si="39"/>
        <v/>
      </c>
    </row>
    <row r="809" spans="1:6" x14ac:dyDescent="0.25">
      <c r="A809" s="13" t="str">
        <f>IF(AND($E809="",MAX($A$8:$A808)=0),"",IF(AND($E809&lt;&gt;"",MAX($A$8:$A808)=0),1,IF(AND($E809&lt;&gt;"",MAX($A$8:$A808)&gt;0),MAX($A$8:$A808)+1,"")))</f>
        <v/>
      </c>
      <c r="B809" s="11">
        <v>802</v>
      </c>
      <c r="C809" s="19" t="str">
        <f t="shared" si="38"/>
        <v>EMPTY</v>
      </c>
      <c r="D809" s="3" t="str">
        <f t="shared" si="40"/>
        <v/>
      </c>
      <c r="E809" s="22"/>
      <c r="F809" s="8" t="str">
        <f t="shared" si="39"/>
        <v/>
      </c>
    </row>
    <row r="810" spans="1:6" x14ac:dyDescent="0.25">
      <c r="A810" s="13" t="str">
        <f>IF(AND($E810="",MAX($A$8:$A809)=0),"",IF(AND($E810&lt;&gt;"",MAX($A$8:$A809)=0),1,IF(AND($E810&lt;&gt;"",MAX($A$8:$A809)&gt;0),MAX($A$8:$A809)+1,"")))</f>
        <v/>
      </c>
      <c r="B810" s="11">
        <v>803</v>
      </c>
      <c r="C810" s="19" t="str">
        <f t="shared" si="38"/>
        <v>EMPTY</v>
      </c>
      <c r="D810" s="3" t="str">
        <f t="shared" si="40"/>
        <v/>
      </c>
      <c r="E810" s="22"/>
      <c r="F810" s="8" t="str">
        <f t="shared" si="39"/>
        <v/>
      </c>
    </row>
    <row r="811" spans="1:6" x14ac:dyDescent="0.25">
      <c r="A811" s="13" t="str">
        <f>IF(AND($E811="",MAX($A$8:$A810)=0),"",IF(AND($E811&lt;&gt;"",MAX($A$8:$A810)=0),1,IF(AND($E811&lt;&gt;"",MAX($A$8:$A810)&gt;0),MAX($A$8:$A810)+1,"")))</f>
        <v/>
      </c>
      <c r="B811" s="11">
        <v>804</v>
      </c>
      <c r="C811" s="19" t="str">
        <f t="shared" si="38"/>
        <v>EMPTY</v>
      </c>
      <c r="D811" s="3" t="str">
        <f t="shared" si="40"/>
        <v/>
      </c>
      <c r="E811" s="22"/>
      <c r="F811" s="8" t="str">
        <f t="shared" si="39"/>
        <v/>
      </c>
    </row>
    <row r="812" spans="1:6" x14ac:dyDescent="0.25">
      <c r="A812" s="13" t="str">
        <f>IF(AND($E812="",MAX($A$8:$A811)=0),"",IF(AND($E812&lt;&gt;"",MAX($A$8:$A811)=0),1,IF(AND($E812&lt;&gt;"",MAX($A$8:$A811)&gt;0),MAX($A$8:$A811)+1,"")))</f>
        <v/>
      </c>
      <c r="B812" s="11">
        <v>805</v>
      </c>
      <c r="C812" s="19" t="str">
        <f t="shared" si="38"/>
        <v>EMPTY</v>
      </c>
      <c r="D812" s="3" t="str">
        <f t="shared" si="40"/>
        <v/>
      </c>
      <c r="E812" s="22"/>
      <c r="F812" s="8" t="str">
        <f t="shared" si="39"/>
        <v/>
      </c>
    </row>
    <row r="813" spans="1:6" x14ac:dyDescent="0.25">
      <c r="A813" s="13" t="str">
        <f>IF(AND($E813="",MAX($A$8:$A812)=0),"",IF(AND($E813&lt;&gt;"",MAX($A$8:$A812)=0),1,IF(AND($E813&lt;&gt;"",MAX($A$8:$A812)&gt;0),MAX($A$8:$A812)+1,"")))</f>
        <v/>
      </c>
      <c r="B813" s="11">
        <v>806</v>
      </c>
      <c r="C813" s="19" t="str">
        <f t="shared" si="38"/>
        <v>EMPTY</v>
      </c>
      <c r="D813" s="3" t="str">
        <f t="shared" si="40"/>
        <v/>
      </c>
      <c r="E813" s="22"/>
      <c r="F813" s="8" t="str">
        <f t="shared" si="39"/>
        <v/>
      </c>
    </row>
    <row r="814" spans="1:6" x14ac:dyDescent="0.25">
      <c r="A814" s="13" t="str">
        <f>IF(AND($E814="",MAX($A$8:$A813)=0),"",IF(AND($E814&lt;&gt;"",MAX($A$8:$A813)=0),1,IF(AND($E814&lt;&gt;"",MAX($A$8:$A813)&gt;0),MAX($A$8:$A813)+1,"")))</f>
        <v/>
      </c>
      <c r="B814" s="11">
        <v>807</v>
      </c>
      <c r="C814" s="19" t="str">
        <f t="shared" si="38"/>
        <v>EMPTY</v>
      </c>
      <c r="D814" s="3" t="str">
        <f t="shared" si="40"/>
        <v/>
      </c>
      <c r="E814" s="22"/>
      <c r="F814" s="8" t="str">
        <f t="shared" si="39"/>
        <v/>
      </c>
    </row>
    <row r="815" spans="1:6" x14ac:dyDescent="0.25">
      <c r="A815" s="13" t="str">
        <f>IF(AND($E815="",MAX($A$8:$A814)=0),"",IF(AND($E815&lt;&gt;"",MAX($A$8:$A814)=0),1,IF(AND($E815&lt;&gt;"",MAX($A$8:$A814)&gt;0),MAX($A$8:$A814)+1,"")))</f>
        <v/>
      </c>
      <c r="B815" s="11">
        <v>808</v>
      </c>
      <c r="C815" s="19" t="str">
        <f t="shared" si="38"/>
        <v>EMPTY</v>
      </c>
      <c r="D815" s="3" t="str">
        <f t="shared" si="40"/>
        <v/>
      </c>
      <c r="E815" s="22"/>
      <c r="F815" s="8" t="str">
        <f t="shared" si="39"/>
        <v/>
      </c>
    </row>
    <row r="816" spans="1:6" x14ac:dyDescent="0.25">
      <c r="A816" s="13" t="str">
        <f>IF(AND($E816="",MAX($A$8:$A815)=0),"",IF(AND($E816&lt;&gt;"",MAX($A$8:$A815)=0),1,IF(AND($E816&lt;&gt;"",MAX($A$8:$A815)&gt;0),MAX($A$8:$A815)+1,"")))</f>
        <v/>
      </c>
      <c r="B816" s="11">
        <v>809</v>
      </c>
      <c r="C816" s="19" t="str">
        <f t="shared" si="38"/>
        <v>EMPTY</v>
      </c>
      <c r="D816" s="3" t="str">
        <f t="shared" si="40"/>
        <v/>
      </c>
      <c r="E816" s="22"/>
      <c r="F816" s="8" t="str">
        <f t="shared" si="39"/>
        <v/>
      </c>
    </row>
    <row r="817" spans="1:6" x14ac:dyDescent="0.25">
      <c r="A817" s="13" t="str">
        <f>IF(AND($E817="",MAX($A$8:$A816)=0),"",IF(AND($E817&lt;&gt;"",MAX($A$8:$A816)=0),1,IF(AND($E817&lt;&gt;"",MAX($A$8:$A816)&gt;0),MAX($A$8:$A816)+1,"")))</f>
        <v/>
      </c>
      <c r="B817" s="11">
        <v>810</v>
      </c>
      <c r="C817" s="19" t="str">
        <f t="shared" si="38"/>
        <v>EMPTY</v>
      </c>
      <c r="D817" s="3" t="str">
        <f t="shared" si="40"/>
        <v/>
      </c>
      <c r="E817" s="22"/>
      <c r="F817" s="8" t="str">
        <f t="shared" si="39"/>
        <v/>
      </c>
    </row>
    <row r="818" spans="1:6" x14ac:dyDescent="0.25">
      <c r="A818" s="13" t="str">
        <f>IF(AND($E818="",MAX($A$8:$A817)=0),"",IF(AND($E818&lt;&gt;"",MAX($A$8:$A817)=0),1,IF(AND($E818&lt;&gt;"",MAX($A$8:$A817)&gt;0),MAX($A$8:$A817)+1,"")))</f>
        <v/>
      </c>
      <c r="B818" s="11">
        <v>811</v>
      </c>
      <c r="C818" s="19" t="str">
        <f t="shared" si="38"/>
        <v>EMPTY</v>
      </c>
      <c r="D818" s="3" t="str">
        <f t="shared" si="40"/>
        <v/>
      </c>
      <c r="E818" s="22"/>
      <c r="F818" s="8" t="str">
        <f t="shared" si="39"/>
        <v/>
      </c>
    </row>
    <row r="819" spans="1:6" x14ac:dyDescent="0.25">
      <c r="A819" s="13" t="str">
        <f>IF(AND($E819="",MAX($A$8:$A818)=0),"",IF(AND($E819&lt;&gt;"",MAX($A$8:$A818)=0),1,IF(AND($E819&lt;&gt;"",MAX($A$8:$A818)&gt;0),MAX($A$8:$A818)+1,"")))</f>
        <v/>
      </c>
      <c r="B819" s="11">
        <v>812</v>
      </c>
      <c r="C819" s="19" t="str">
        <f t="shared" si="38"/>
        <v>EMPTY</v>
      </c>
      <c r="D819" s="3" t="str">
        <f t="shared" si="40"/>
        <v/>
      </c>
      <c r="E819" s="22"/>
      <c r="F819" s="8" t="str">
        <f t="shared" si="39"/>
        <v/>
      </c>
    </row>
    <row r="820" spans="1:6" x14ac:dyDescent="0.25">
      <c r="A820" s="13" t="str">
        <f>IF(AND($E820="",MAX($A$8:$A819)=0),"",IF(AND($E820&lt;&gt;"",MAX($A$8:$A819)=0),1,IF(AND($E820&lt;&gt;"",MAX($A$8:$A819)&gt;0),MAX($A$8:$A819)+1,"")))</f>
        <v/>
      </c>
      <c r="B820" s="11">
        <v>813</v>
      </c>
      <c r="C820" s="19" t="str">
        <f t="shared" si="38"/>
        <v>EMPTY</v>
      </c>
      <c r="D820" s="3" t="str">
        <f t="shared" si="40"/>
        <v/>
      </c>
      <c r="E820" s="22"/>
      <c r="F820" s="8" t="str">
        <f t="shared" si="39"/>
        <v/>
      </c>
    </row>
    <row r="821" spans="1:6" x14ac:dyDescent="0.25">
      <c r="A821" s="13" t="str">
        <f>IF(AND($E821="",MAX($A$8:$A820)=0),"",IF(AND($E821&lt;&gt;"",MAX($A$8:$A820)=0),1,IF(AND($E821&lt;&gt;"",MAX($A$8:$A820)&gt;0),MAX($A$8:$A820)+1,"")))</f>
        <v/>
      </c>
      <c r="B821" s="11">
        <v>814</v>
      </c>
      <c r="C821" s="19" t="str">
        <f t="shared" si="38"/>
        <v>EMPTY</v>
      </c>
      <c r="D821" s="3" t="str">
        <f t="shared" si="40"/>
        <v/>
      </c>
      <c r="E821" s="22"/>
      <c r="F821" s="8" t="str">
        <f t="shared" si="39"/>
        <v/>
      </c>
    </row>
    <row r="822" spans="1:6" x14ac:dyDescent="0.25">
      <c r="A822" s="13" t="str">
        <f>IF(AND($E822="",MAX($A$8:$A821)=0),"",IF(AND($E822&lt;&gt;"",MAX($A$8:$A821)=0),1,IF(AND($E822&lt;&gt;"",MAX($A$8:$A821)&gt;0),MAX($A$8:$A821)+1,"")))</f>
        <v/>
      </c>
      <c r="B822" s="11">
        <v>815</v>
      </c>
      <c r="C822" s="19" t="str">
        <f t="shared" si="38"/>
        <v>EMPTY</v>
      </c>
      <c r="D822" s="3" t="str">
        <f t="shared" si="40"/>
        <v/>
      </c>
      <c r="E822" s="22"/>
      <c r="F822" s="8" t="str">
        <f t="shared" si="39"/>
        <v/>
      </c>
    </row>
    <row r="823" spans="1:6" x14ac:dyDescent="0.25">
      <c r="A823" s="13" t="str">
        <f>IF(AND($E823="",MAX($A$8:$A822)=0),"",IF(AND($E823&lt;&gt;"",MAX($A$8:$A822)=0),1,IF(AND($E823&lt;&gt;"",MAX($A$8:$A822)&gt;0),MAX($A$8:$A822)+1,"")))</f>
        <v/>
      </c>
      <c r="B823" s="11">
        <v>816</v>
      </c>
      <c r="C823" s="19" t="str">
        <f t="shared" si="38"/>
        <v>EMPTY</v>
      </c>
      <c r="D823" s="3" t="str">
        <f t="shared" si="40"/>
        <v/>
      </c>
      <c r="E823" s="22"/>
      <c r="F823" s="8" t="str">
        <f t="shared" si="39"/>
        <v/>
      </c>
    </row>
    <row r="824" spans="1:6" x14ac:dyDescent="0.25">
      <c r="A824" s="13" t="str">
        <f>IF(AND($E824="",MAX($A$8:$A823)=0),"",IF(AND($E824&lt;&gt;"",MAX($A$8:$A823)=0),1,IF(AND($E824&lt;&gt;"",MAX($A$8:$A823)&gt;0),MAX($A$8:$A823)+1,"")))</f>
        <v/>
      </c>
      <c r="B824" s="11">
        <v>817</v>
      </c>
      <c r="C824" s="19" t="str">
        <f t="shared" si="38"/>
        <v>EMPTY</v>
      </c>
      <c r="D824" s="3" t="str">
        <f t="shared" si="40"/>
        <v/>
      </c>
      <c r="E824" s="22"/>
      <c r="F824" s="8" t="str">
        <f t="shared" si="39"/>
        <v/>
      </c>
    </row>
    <row r="825" spans="1:6" x14ac:dyDescent="0.25">
      <c r="A825" s="13" t="str">
        <f>IF(AND($E825="",MAX($A$8:$A824)=0),"",IF(AND($E825&lt;&gt;"",MAX($A$8:$A824)=0),1,IF(AND($E825&lt;&gt;"",MAX($A$8:$A824)&gt;0),MAX($A$8:$A824)+1,"")))</f>
        <v/>
      </c>
      <c r="B825" s="11">
        <v>818</v>
      </c>
      <c r="C825" s="19" t="str">
        <f t="shared" si="38"/>
        <v>EMPTY</v>
      </c>
      <c r="D825" s="3" t="str">
        <f t="shared" si="40"/>
        <v/>
      </c>
      <c r="E825" s="22"/>
      <c r="F825" s="8" t="str">
        <f t="shared" si="39"/>
        <v/>
      </c>
    </row>
    <row r="826" spans="1:6" x14ac:dyDescent="0.25">
      <c r="A826" s="13" t="str">
        <f>IF(AND($E826="",MAX($A$8:$A825)=0),"",IF(AND($E826&lt;&gt;"",MAX($A$8:$A825)=0),1,IF(AND($E826&lt;&gt;"",MAX($A$8:$A825)&gt;0),MAX($A$8:$A825)+1,"")))</f>
        <v/>
      </c>
      <c r="B826" s="11">
        <v>819</v>
      </c>
      <c r="C826" s="19" t="str">
        <f t="shared" si="38"/>
        <v>EMPTY</v>
      </c>
      <c r="D826" s="3" t="str">
        <f t="shared" si="40"/>
        <v/>
      </c>
      <c r="E826" s="22"/>
      <c r="F826" s="8" t="str">
        <f t="shared" si="39"/>
        <v/>
      </c>
    </row>
    <row r="827" spans="1:6" x14ac:dyDescent="0.25">
      <c r="A827" s="13" t="str">
        <f>IF(AND($E827="",MAX($A$8:$A826)=0),"",IF(AND($E827&lt;&gt;"",MAX($A$8:$A826)=0),1,IF(AND($E827&lt;&gt;"",MAX($A$8:$A826)&gt;0),MAX($A$8:$A826)+1,"")))</f>
        <v/>
      </c>
      <c r="B827" s="11">
        <v>820</v>
      </c>
      <c r="C827" s="19" t="str">
        <f t="shared" si="38"/>
        <v>EMPTY</v>
      </c>
      <c r="D827" s="3" t="str">
        <f t="shared" si="40"/>
        <v/>
      </c>
      <c r="E827" s="22"/>
      <c r="F827" s="8" t="str">
        <f t="shared" si="39"/>
        <v/>
      </c>
    </row>
    <row r="828" spans="1:6" x14ac:dyDescent="0.25">
      <c r="A828" s="13" t="str">
        <f>IF(AND($E828="",MAX($A$8:$A827)=0),"",IF(AND($E828&lt;&gt;"",MAX($A$8:$A827)=0),1,IF(AND($E828&lt;&gt;"",MAX($A$8:$A827)&gt;0),MAX($A$8:$A827)+1,"")))</f>
        <v/>
      </c>
      <c r="B828" s="11">
        <v>821</v>
      </c>
      <c r="C828" s="19" t="str">
        <f t="shared" si="38"/>
        <v>EMPTY</v>
      </c>
      <c r="D828" s="3" t="str">
        <f t="shared" si="40"/>
        <v/>
      </c>
      <c r="E828" s="22"/>
      <c r="F828" s="8" t="str">
        <f t="shared" si="39"/>
        <v/>
      </c>
    </row>
    <row r="829" spans="1:6" x14ac:dyDescent="0.25">
      <c r="A829" s="13" t="str">
        <f>IF(AND($E829="",MAX($A$8:$A828)=0),"",IF(AND($E829&lt;&gt;"",MAX($A$8:$A828)=0),1,IF(AND($E829&lt;&gt;"",MAX($A$8:$A828)&gt;0),MAX($A$8:$A828)+1,"")))</f>
        <v/>
      </c>
      <c r="B829" s="11">
        <v>822</v>
      </c>
      <c r="C829" s="19" t="str">
        <f t="shared" si="38"/>
        <v>EMPTY</v>
      </c>
      <c r="D829" s="3" t="str">
        <f t="shared" si="40"/>
        <v/>
      </c>
      <c r="E829" s="22"/>
      <c r="F829" s="8" t="str">
        <f t="shared" si="39"/>
        <v/>
      </c>
    </row>
    <row r="830" spans="1:6" x14ac:dyDescent="0.25">
      <c r="A830" s="13" t="str">
        <f>IF(AND($E830="",MAX($A$8:$A829)=0),"",IF(AND($E830&lt;&gt;"",MAX($A$8:$A829)=0),1,IF(AND($E830&lt;&gt;"",MAX($A$8:$A829)&gt;0),MAX($A$8:$A829)+1,"")))</f>
        <v/>
      </c>
      <c r="B830" s="11">
        <v>823</v>
      </c>
      <c r="C830" s="19" t="str">
        <f t="shared" si="38"/>
        <v>EMPTY</v>
      </c>
      <c r="D830" s="3" t="str">
        <f t="shared" si="40"/>
        <v/>
      </c>
      <c r="E830" s="22"/>
      <c r="F830" s="8" t="str">
        <f t="shared" si="39"/>
        <v/>
      </c>
    </row>
    <row r="831" spans="1:6" x14ac:dyDescent="0.25">
      <c r="A831" s="13" t="str">
        <f>IF(AND($E831="",MAX($A$8:$A830)=0),"",IF(AND($E831&lt;&gt;"",MAX($A$8:$A830)=0),1,IF(AND($E831&lt;&gt;"",MAX($A$8:$A830)&gt;0),MAX($A$8:$A830)+1,"")))</f>
        <v/>
      </c>
      <c r="B831" s="11">
        <v>824</v>
      </c>
      <c r="C831" s="19" t="str">
        <f t="shared" si="38"/>
        <v>EMPTY</v>
      </c>
      <c r="D831" s="3" t="str">
        <f t="shared" si="40"/>
        <v/>
      </c>
      <c r="E831" s="22"/>
      <c r="F831" s="8" t="str">
        <f t="shared" si="39"/>
        <v/>
      </c>
    </row>
    <row r="832" spans="1:6" x14ac:dyDescent="0.25">
      <c r="A832" s="13" t="str">
        <f>IF(AND($E832="",MAX($A$8:$A831)=0),"",IF(AND($E832&lt;&gt;"",MAX($A$8:$A831)=0),1,IF(AND($E832&lt;&gt;"",MAX($A$8:$A831)&gt;0),MAX($A$8:$A831)+1,"")))</f>
        <v/>
      </c>
      <c r="B832" s="11">
        <v>825</v>
      </c>
      <c r="C832" s="19" t="str">
        <f t="shared" si="38"/>
        <v>EMPTY</v>
      </c>
      <c r="D832" s="3" t="str">
        <f t="shared" si="40"/>
        <v/>
      </c>
      <c r="E832" s="22"/>
      <c r="F832" s="8" t="str">
        <f t="shared" si="39"/>
        <v/>
      </c>
    </row>
    <row r="833" spans="1:6" x14ac:dyDescent="0.25">
      <c r="A833" s="13" t="str">
        <f>IF(AND($E833="",MAX($A$8:$A832)=0),"",IF(AND($E833&lt;&gt;"",MAX($A$8:$A832)=0),1,IF(AND($E833&lt;&gt;"",MAX($A$8:$A832)&gt;0),MAX($A$8:$A832)+1,"")))</f>
        <v/>
      </c>
      <c r="B833" s="11">
        <v>826</v>
      </c>
      <c r="C833" s="19" t="str">
        <f t="shared" si="38"/>
        <v>EMPTY</v>
      </c>
      <c r="D833" s="3" t="str">
        <f t="shared" si="40"/>
        <v/>
      </c>
      <c r="E833" s="22"/>
      <c r="F833" s="8" t="str">
        <f t="shared" si="39"/>
        <v/>
      </c>
    </row>
    <row r="834" spans="1:6" x14ac:dyDescent="0.25">
      <c r="A834" s="13" t="str">
        <f>IF(AND($E834="",MAX($A$8:$A833)=0),"",IF(AND($E834&lt;&gt;"",MAX($A$8:$A833)=0),1,IF(AND($E834&lt;&gt;"",MAX($A$8:$A833)&gt;0),MAX($A$8:$A833)+1,"")))</f>
        <v/>
      </c>
      <c r="B834" s="11">
        <v>827</v>
      </c>
      <c r="C834" s="19" t="str">
        <f t="shared" si="38"/>
        <v>EMPTY</v>
      </c>
      <c r="D834" s="3" t="str">
        <f t="shared" si="40"/>
        <v/>
      </c>
      <c r="E834" s="22"/>
      <c r="F834" s="8" t="str">
        <f t="shared" si="39"/>
        <v/>
      </c>
    </row>
    <row r="835" spans="1:6" x14ac:dyDescent="0.25">
      <c r="A835" s="13" t="str">
        <f>IF(AND($E835="",MAX($A$8:$A834)=0),"",IF(AND($E835&lt;&gt;"",MAX($A$8:$A834)=0),1,IF(AND($E835&lt;&gt;"",MAX($A$8:$A834)&gt;0),MAX($A$8:$A834)+1,"")))</f>
        <v/>
      </c>
      <c r="B835" s="11">
        <v>828</v>
      </c>
      <c r="C835" s="19" t="str">
        <f t="shared" si="38"/>
        <v>EMPTY</v>
      </c>
      <c r="D835" s="3" t="str">
        <f t="shared" si="40"/>
        <v/>
      </c>
      <c r="E835" s="22"/>
      <c r="F835" s="8" t="str">
        <f t="shared" si="39"/>
        <v/>
      </c>
    </row>
    <row r="836" spans="1:6" x14ac:dyDescent="0.25">
      <c r="A836" s="13" t="str">
        <f>IF(AND($E836="",MAX($A$8:$A835)=0),"",IF(AND($E836&lt;&gt;"",MAX($A$8:$A835)=0),1,IF(AND($E836&lt;&gt;"",MAX($A$8:$A835)&gt;0),MAX($A$8:$A835)+1,"")))</f>
        <v/>
      </c>
      <c r="B836" s="11">
        <v>829</v>
      </c>
      <c r="C836" s="19" t="str">
        <f t="shared" si="38"/>
        <v>EMPTY</v>
      </c>
      <c r="D836" s="3" t="str">
        <f t="shared" si="40"/>
        <v/>
      </c>
      <c r="E836" s="22"/>
      <c r="F836" s="8" t="str">
        <f t="shared" si="39"/>
        <v/>
      </c>
    </row>
    <row r="837" spans="1:6" x14ac:dyDescent="0.25">
      <c r="A837" s="13" t="str">
        <f>IF(AND($E837="",MAX($A$8:$A836)=0),"",IF(AND($E837&lt;&gt;"",MAX($A$8:$A836)=0),1,IF(AND($E837&lt;&gt;"",MAX($A$8:$A836)&gt;0),MAX($A$8:$A836)+1,"")))</f>
        <v/>
      </c>
      <c r="B837" s="11">
        <v>830</v>
      </c>
      <c r="C837" s="19" t="str">
        <f t="shared" si="38"/>
        <v>EMPTY</v>
      </c>
      <c r="D837" s="3" t="str">
        <f t="shared" si="40"/>
        <v/>
      </c>
      <c r="E837" s="22"/>
      <c r="F837" s="8" t="str">
        <f t="shared" si="39"/>
        <v/>
      </c>
    </row>
    <row r="838" spans="1:6" x14ac:dyDescent="0.25">
      <c r="A838" s="13" t="str">
        <f>IF(AND($E838="",MAX($A$8:$A837)=0),"",IF(AND($E838&lt;&gt;"",MAX($A$8:$A837)=0),1,IF(AND($E838&lt;&gt;"",MAX($A$8:$A837)&gt;0),MAX($A$8:$A837)+1,"")))</f>
        <v/>
      </c>
      <c r="B838" s="11">
        <v>831</v>
      </c>
      <c r="C838" s="19" t="str">
        <f t="shared" si="38"/>
        <v>EMPTY</v>
      </c>
      <c r="D838" s="3" t="str">
        <f t="shared" si="40"/>
        <v/>
      </c>
      <c r="E838" s="22"/>
      <c r="F838" s="8" t="str">
        <f t="shared" si="39"/>
        <v/>
      </c>
    </row>
    <row r="839" spans="1:6" x14ac:dyDescent="0.25">
      <c r="A839" s="13" t="str">
        <f>IF(AND($E839="",MAX($A$8:$A838)=0),"",IF(AND($E839&lt;&gt;"",MAX($A$8:$A838)=0),1,IF(AND($E839&lt;&gt;"",MAX($A$8:$A838)&gt;0),MAX($A$8:$A838)+1,"")))</f>
        <v/>
      </c>
      <c r="B839" s="11">
        <v>832</v>
      </c>
      <c r="C839" s="19" t="str">
        <f t="shared" si="38"/>
        <v>EMPTY</v>
      </c>
      <c r="D839" s="3" t="str">
        <f t="shared" si="40"/>
        <v/>
      </c>
      <c r="E839" s="22"/>
      <c r="F839" s="8" t="str">
        <f t="shared" si="39"/>
        <v/>
      </c>
    </row>
    <row r="840" spans="1:6" x14ac:dyDescent="0.25">
      <c r="A840" s="13" t="str">
        <f>IF(AND($E840="",MAX($A$8:$A839)=0),"",IF(AND($E840&lt;&gt;"",MAX($A$8:$A839)=0),1,IF(AND($E840&lt;&gt;"",MAX($A$8:$A839)&gt;0),MAX($A$8:$A839)+1,"")))</f>
        <v/>
      </c>
      <c r="B840" s="11">
        <v>833</v>
      </c>
      <c r="C840" s="19" t="str">
        <f t="shared" si="38"/>
        <v>EMPTY</v>
      </c>
      <c r="D840" s="3" t="str">
        <f t="shared" si="40"/>
        <v/>
      </c>
      <c r="E840" s="22"/>
      <c r="F840" s="8" t="str">
        <f t="shared" si="39"/>
        <v/>
      </c>
    </row>
    <row r="841" spans="1:6" x14ac:dyDescent="0.25">
      <c r="A841" s="13" t="str">
        <f>IF(AND($E841="",MAX($A$8:$A840)=0),"",IF(AND($E841&lt;&gt;"",MAX($A$8:$A840)=0),1,IF(AND($E841&lt;&gt;"",MAX($A$8:$A840)&gt;0),MAX($A$8:$A840)+1,"")))</f>
        <v/>
      </c>
      <c r="B841" s="11">
        <v>834</v>
      </c>
      <c r="C841" s="19" t="str">
        <f t="shared" ref="C841:C904" si="41">IF($E841="","EMPTY",IF(COUNT(MID($E841,2,1))=0,"HIDE",IF(COUNT(MID($E841,2,1))=1,"SHOW","")))</f>
        <v>EMPTY</v>
      </c>
      <c r="D841" s="3" t="str">
        <f t="shared" si="40"/>
        <v/>
      </c>
      <c r="E841" s="22"/>
      <c r="F841" s="8" t="str">
        <f t="shared" ref="F841:F904" si="42">$D841</f>
        <v/>
      </c>
    </row>
    <row r="842" spans="1:6" x14ac:dyDescent="0.25">
      <c r="A842" s="13" t="str">
        <f>IF(AND($E842="",MAX($A$8:$A841)=0),"",IF(AND($E842&lt;&gt;"",MAX($A$8:$A841)=0),1,IF(AND($E842&lt;&gt;"",MAX($A$8:$A841)&gt;0),MAX($A$8:$A841)+1,"")))</f>
        <v/>
      </c>
      <c r="B842" s="11">
        <v>835</v>
      </c>
      <c r="C842" s="19" t="str">
        <f t="shared" si="41"/>
        <v>EMPTY</v>
      </c>
      <c r="D842" s="3" t="str">
        <f t="shared" si="40"/>
        <v/>
      </c>
      <c r="E842" s="22"/>
      <c r="F842" s="8" t="str">
        <f t="shared" si="42"/>
        <v/>
      </c>
    </row>
    <row r="843" spans="1:6" x14ac:dyDescent="0.25">
      <c r="A843" s="13" t="str">
        <f>IF(AND($E843="",MAX($A$8:$A842)=0),"",IF(AND($E843&lt;&gt;"",MAX($A$8:$A842)=0),1,IF(AND($E843&lt;&gt;"",MAX($A$8:$A842)&gt;0),MAX($A$8:$A842)+1,"")))</f>
        <v/>
      </c>
      <c r="B843" s="11">
        <v>836</v>
      </c>
      <c r="C843" s="19" t="str">
        <f t="shared" si="41"/>
        <v>EMPTY</v>
      </c>
      <c r="D843" s="3" t="str">
        <f t="shared" si="40"/>
        <v/>
      </c>
      <c r="E843" s="22"/>
      <c r="F843" s="8" t="str">
        <f t="shared" si="42"/>
        <v/>
      </c>
    </row>
    <row r="844" spans="1:6" x14ac:dyDescent="0.25">
      <c r="A844" s="13" t="str">
        <f>IF(AND($E844="",MAX($A$8:$A843)=0),"",IF(AND($E844&lt;&gt;"",MAX($A$8:$A843)=0),1,IF(AND($E844&lt;&gt;"",MAX($A$8:$A843)&gt;0),MAX($A$8:$A843)+1,"")))</f>
        <v/>
      </c>
      <c r="B844" s="11">
        <v>837</v>
      </c>
      <c r="C844" s="19" t="str">
        <f t="shared" si="41"/>
        <v>EMPTY</v>
      </c>
      <c r="D844" s="3" t="str">
        <f t="shared" si="40"/>
        <v/>
      </c>
      <c r="E844" s="22"/>
      <c r="F844" s="8" t="str">
        <f t="shared" si="42"/>
        <v/>
      </c>
    </row>
    <row r="845" spans="1:6" x14ac:dyDescent="0.25">
      <c r="A845" s="13" t="str">
        <f>IF(AND($E845="",MAX($A$8:$A844)=0),"",IF(AND($E845&lt;&gt;"",MAX($A$8:$A844)=0),1,IF(AND($E845&lt;&gt;"",MAX($A$8:$A844)&gt;0),MAX($A$8:$A844)+1,"")))</f>
        <v/>
      </c>
      <c r="B845" s="11">
        <v>838</v>
      </c>
      <c r="C845" s="19" t="str">
        <f t="shared" si="41"/>
        <v>EMPTY</v>
      </c>
      <c r="D845" s="3" t="str">
        <f t="shared" si="40"/>
        <v/>
      </c>
      <c r="E845" s="22"/>
      <c r="F845" s="8" t="str">
        <f t="shared" si="42"/>
        <v/>
      </c>
    </row>
    <row r="846" spans="1:6" x14ac:dyDescent="0.25">
      <c r="A846" s="13" t="str">
        <f>IF(AND($E846="",MAX($A$8:$A845)=0),"",IF(AND($E846&lt;&gt;"",MAX($A$8:$A845)=0),1,IF(AND($E846&lt;&gt;"",MAX($A$8:$A845)&gt;0),MAX($A$8:$A845)+1,"")))</f>
        <v/>
      </c>
      <c r="B846" s="11">
        <v>839</v>
      </c>
      <c r="C846" s="19" t="str">
        <f t="shared" si="41"/>
        <v>EMPTY</v>
      </c>
      <c r="D846" s="3" t="str">
        <f t="shared" si="40"/>
        <v/>
      </c>
      <c r="E846" s="22"/>
      <c r="F846" s="8" t="str">
        <f t="shared" si="42"/>
        <v/>
      </c>
    </row>
    <row r="847" spans="1:6" x14ac:dyDescent="0.25">
      <c r="A847" s="13" t="str">
        <f>IF(AND($E847="",MAX($A$8:$A846)=0),"",IF(AND($E847&lt;&gt;"",MAX($A$8:$A846)=0),1,IF(AND($E847&lt;&gt;"",MAX($A$8:$A846)&gt;0),MAX($A$8:$A846)+1,"")))</f>
        <v/>
      </c>
      <c r="B847" s="11">
        <v>840</v>
      </c>
      <c r="C847" s="19" t="str">
        <f t="shared" si="41"/>
        <v>EMPTY</v>
      </c>
      <c r="D847" s="3" t="str">
        <f t="shared" si="40"/>
        <v/>
      </c>
      <c r="E847" s="22"/>
      <c r="F847" s="8" t="str">
        <f t="shared" si="42"/>
        <v/>
      </c>
    </row>
    <row r="848" spans="1:6" x14ac:dyDescent="0.25">
      <c r="A848" s="13" t="str">
        <f>IF(AND($E848="",MAX($A$8:$A847)=0),"",IF(AND($E848&lt;&gt;"",MAX($A$8:$A847)=0),1,IF(AND($E848&lt;&gt;"",MAX($A$8:$A847)&gt;0),MAX($A$8:$A847)+1,"")))</f>
        <v/>
      </c>
      <c r="B848" s="11">
        <v>841</v>
      </c>
      <c r="C848" s="19" t="str">
        <f t="shared" si="41"/>
        <v>EMPTY</v>
      </c>
      <c r="D848" s="3" t="str">
        <f t="shared" si="40"/>
        <v/>
      </c>
      <c r="E848" s="22"/>
      <c r="F848" s="8" t="str">
        <f t="shared" si="42"/>
        <v/>
      </c>
    </row>
    <row r="849" spans="1:6" x14ac:dyDescent="0.25">
      <c r="A849" s="13" t="str">
        <f>IF(AND($E849="",MAX($A$8:$A848)=0),"",IF(AND($E849&lt;&gt;"",MAX($A$8:$A848)=0),1,IF(AND($E849&lt;&gt;"",MAX($A$8:$A848)&gt;0),MAX($A$8:$A848)+1,"")))</f>
        <v/>
      </c>
      <c r="B849" s="11">
        <v>842</v>
      </c>
      <c r="C849" s="19" t="str">
        <f t="shared" si="41"/>
        <v>EMPTY</v>
      </c>
      <c r="D849" s="3" t="str">
        <f t="shared" ref="D849:D912" si="43">IF(AND(OR($C849="EMPTY",$C849="HIDE",$C849=""),OR($C850="EMPTY",$C850="HIDE",$C850="")),"",IF(AND($C849="SHOW",OR($C850="EMPTY",$C850="HIDE",$C850="")),CONCATENATE("Dialogue: 0,0:",MID($E849,2,8),",0:",MID($E849,2,8),",Default,,0,0,0,,",MID($E849,11,1000)),IF(AND($C849="SHOW",$C850="SHOW"),CONCATENATE("Dialogue: 0,0:",MID($E849,2,8),",0:",MID($E850,2,8),",Default,,0,0,0,,",MID($E849,11,1000)),"")))</f>
        <v/>
      </c>
      <c r="E849" s="22"/>
      <c r="F849" s="8" t="str">
        <f t="shared" si="42"/>
        <v/>
      </c>
    </row>
    <row r="850" spans="1:6" x14ac:dyDescent="0.25">
      <c r="A850" s="13" t="str">
        <f>IF(AND($E850="",MAX($A$8:$A849)=0),"",IF(AND($E850&lt;&gt;"",MAX($A$8:$A849)=0),1,IF(AND($E850&lt;&gt;"",MAX($A$8:$A849)&gt;0),MAX($A$8:$A849)+1,"")))</f>
        <v/>
      </c>
      <c r="B850" s="11">
        <v>843</v>
      </c>
      <c r="C850" s="19" t="str">
        <f t="shared" si="41"/>
        <v>EMPTY</v>
      </c>
      <c r="D850" s="3" t="str">
        <f t="shared" si="43"/>
        <v/>
      </c>
      <c r="E850" s="22"/>
      <c r="F850" s="8" t="str">
        <f t="shared" si="42"/>
        <v/>
      </c>
    </row>
    <row r="851" spans="1:6" x14ac:dyDescent="0.25">
      <c r="A851" s="13" t="str">
        <f>IF(AND($E851="",MAX($A$8:$A850)=0),"",IF(AND($E851&lt;&gt;"",MAX($A$8:$A850)=0),1,IF(AND($E851&lt;&gt;"",MAX($A$8:$A850)&gt;0),MAX($A$8:$A850)+1,"")))</f>
        <v/>
      </c>
      <c r="B851" s="11">
        <v>844</v>
      </c>
      <c r="C851" s="19" t="str">
        <f t="shared" si="41"/>
        <v>EMPTY</v>
      </c>
      <c r="D851" s="3" t="str">
        <f t="shared" si="43"/>
        <v/>
      </c>
      <c r="E851" s="22"/>
      <c r="F851" s="8" t="str">
        <f t="shared" si="42"/>
        <v/>
      </c>
    </row>
    <row r="852" spans="1:6" x14ac:dyDescent="0.25">
      <c r="A852" s="13" t="str">
        <f>IF(AND($E852="",MAX($A$8:$A851)=0),"",IF(AND($E852&lt;&gt;"",MAX($A$8:$A851)=0),1,IF(AND($E852&lt;&gt;"",MAX($A$8:$A851)&gt;0),MAX($A$8:$A851)+1,"")))</f>
        <v/>
      </c>
      <c r="B852" s="11">
        <v>845</v>
      </c>
      <c r="C852" s="19" t="str">
        <f t="shared" si="41"/>
        <v>EMPTY</v>
      </c>
      <c r="D852" s="3" t="str">
        <f t="shared" si="43"/>
        <v/>
      </c>
      <c r="E852" s="22"/>
      <c r="F852" s="8" t="str">
        <f t="shared" si="42"/>
        <v/>
      </c>
    </row>
    <row r="853" spans="1:6" x14ac:dyDescent="0.25">
      <c r="A853" s="13" t="str">
        <f>IF(AND($E853="",MAX($A$8:$A852)=0),"",IF(AND($E853&lt;&gt;"",MAX($A$8:$A852)=0),1,IF(AND($E853&lt;&gt;"",MAX($A$8:$A852)&gt;0),MAX($A$8:$A852)+1,"")))</f>
        <v/>
      </c>
      <c r="B853" s="11">
        <v>846</v>
      </c>
      <c r="C853" s="19" t="str">
        <f t="shared" si="41"/>
        <v>EMPTY</v>
      </c>
      <c r="D853" s="3" t="str">
        <f t="shared" si="43"/>
        <v/>
      </c>
      <c r="E853" s="22"/>
      <c r="F853" s="8" t="str">
        <f t="shared" si="42"/>
        <v/>
      </c>
    </row>
    <row r="854" spans="1:6" x14ac:dyDescent="0.25">
      <c r="A854" s="13" t="str">
        <f>IF(AND($E854="",MAX($A$8:$A853)=0),"",IF(AND($E854&lt;&gt;"",MAX($A$8:$A853)=0),1,IF(AND($E854&lt;&gt;"",MAX($A$8:$A853)&gt;0),MAX($A$8:$A853)+1,"")))</f>
        <v/>
      </c>
      <c r="B854" s="11">
        <v>847</v>
      </c>
      <c r="C854" s="19" t="str">
        <f t="shared" si="41"/>
        <v>EMPTY</v>
      </c>
      <c r="D854" s="3" t="str">
        <f t="shared" si="43"/>
        <v/>
      </c>
      <c r="E854" s="22"/>
      <c r="F854" s="8" t="str">
        <f t="shared" si="42"/>
        <v/>
      </c>
    </row>
    <row r="855" spans="1:6" x14ac:dyDescent="0.25">
      <c r="A855" s="13" t="str">
        <f>IF(AND($E855="",MAX($A$8:$A854)=0),"",IF(AND($E855&lt;&gt;"",MAX($A$8:$A854)=0),1,IF(AND($E855&lt;&gt;"",MAX($A$8:$A854)&gt;0),MAX($A$8:$A854)+1,"")))</f>
        <v/>
      </c>
      <c r="B855" s="11">
        <v>848</v>
      </c>
      <c r="C855" s="19" t="str">
        <f t="shared" si="41"/>
        <v>EMPTY</v>
      </c>
      <c r="D855" s="3" t="str">
        <f t="shared" si="43"/>
        <v/>
      </c>
      <c r="E855" s="22"/>
      <c r="F855" s="8" t="str">
        <f t="shared" si="42"/>
        <v/>
      </c>
    </row>
    <row r="856" spans="1:6" x14ac:dyDescent="0.25">
      <c r="A856" s="13" t="str">
        <f>IF(AND($E856="",MAX($A$8:$A855)=0),"",IF(AND($E856&lt;&gt;"",MAX($A$8:$A855)=0),1,IF(AND($E856&lt;&gt;"",MAX($A$8:$A855)&gt;0),MAX($A$8:$A855)+1,"")))</f>
        <v/>
      </c>
      <c r="B856" s="11">
        <v>849</v>
      </c>
      <c r="C856" s="19" t="str">
        <f t="shared" si="41"/>
        <v>EMPTY</v>
      </c>
      <c r="D856" s="3" t="str">
        <f t="shared" si="43"/>
        <v/>
      </c>
      <c r="E856" s="22"/>
      <c r="F856" s="8" t="str">
        <f t="shared" si="42"/>
        <v/>
      </c>
    </row>
    <row r="857" spans="1:6" x14ac:dyDescent="0.25">
      <c r="A857" s="13" t="str">
        <f>IF(AND($E857="",MAX($A$8:$A856)=0),"",IF(AND($E857&lt;&gt;"",MAX($A$8:$A856)=0),1,IF(AND($E857&lt;&gt;"",MAX($A$8:$A856)&gt;0),MAX($A$8:$A856)+1,"")))</f>
        <v/>
      </c>
      <c r="B857" s="11">
        <v>850</v>
      </c>
      <c r="C857" s="19" t="str">
        <f t="shared" si="41"/>
        <v>EMPTY</v>
      </c>
      <c r="D857" s="3" t="str">
        <f t="shared" si="43"/>
        <v/>
      </c>
      <c r="E857" s="22"/>
      <c r="F857" s="8" t="str">
        <f t="shared" si="42"/>
        <v/>
      </c>
    </row>
    <row r="858" spans="1:6" x14ac:dyDescent="0.25">
      <c r="A858" s="13" t="str">
        <f>IF(AND($E858="",MAX($A$8:$A857)=0),"",IF(AND($E858&lt;&gt;"",MAX($A$8:$A857)=0),1,IF(AND($E858&lt;&gt;"",MAX($A$8:$A857)&gt;0),MAX($A$8:$A857)+1,"")))</f>
        <v/>
      </c>
      <c r="B858" s="11">
        <v>851</v>
      </c>
      <c r="C858" s="19" t="str">
        <f t="shared" si="41"/>
        <v>EMPTY</v>
      </c>
      <c r="D858" s="3" t="str">
        <f t="shared" si="43"/>
        <v/>
      </c>
      <c r="E858" s="22"/>
      <c r="F858" s="8" t="str">
        <f t="shared" si="42"/>
        <v/>
      </c>
    </row>
    <row r="859" spans="1:6" x14ac:dyDescent="0.25">
      <c r="A859" s="13" t="str">
        <f>IF(AND($E859="",MAX($A$8:$A858)=0),"",IF(AND($E859&lt;&gt;"",MAX($A$8:$A858)=0),1,IF(AND($E859&lt;&gt;"",MAX($A$8:$A858)&gt;0),MAX($A$8:$A858)+1,"")))</f>
        <v/>
      </c>
      <c r="B859" s="11">
        <v>852</v>
      </c>
      <c r="C859" s="19" t="str">
        <f t="shared" si="41"/>
        <v>EMPTY</v>
      </c>
      <c r="D859" s="3" t="str">
        <f t="shared" si="43"/>
        <v/>
      </c>
      <c r="E859" s="22"/>
      <c r="F859" s="8" t="str">
        <f t="shared" si="42"/>
        <v/>
      </c>
    </row>
    <row r="860" spans="1:6" x14ac:dyDescent="0.25">
      <c r="A860" s="13" t="str">
        <f>IF(AND($E860="",MAX($A$8:$A859)=0),"",IF(AND($E860&lt;&gt;"",MAX($A$8:$A859)=0),1,IF(AND($E860&lt;&gt;"",MAX($A$8:$A859)&gt;0),MAX($A$8:$A859)+1,"")))</f>
        <v/>
      </c>
      <c r="B860" s="11">
        <v>853</v>
      </c>
      <c r="C860" s="19" t="str">
        <f t="shared" si="41"/>
        <v>EMPTY</v>
      </c>
      <c r="D860" s="3" t="str">
        <f t="shared" si="43"/>
        <v/>
      </c>
      <c r="E860" s="22"/>
      <c r="F860" s="8" t="str">
        <f t="shared" si="42"/>
        <v/>
      </c>
    </row>
    <row r="861" spans="1:6" x14ac:dyDescent="0.25">
      <c r="A861" s="13" t="str">
        <f>IF(AND($E861="",MAX($A$8:$A860)=0),"",IF(AND($E861&lt;&gt;"",MAX($A$8:$A860)=0),1,IF(AND($E861&lt;&gt;"",MAX($A$8:$A860)&gt;0),MAX($A$8:$A860)+1,"")))</f>
        <v/>
      </c>
      <c r="B861" s="11">
        <v>854</v>
      </c>
      <c r="C861" s="19" t="str">
        <f t="shared" si="41"/>
        <v>EMPTY</v>
      </c>
      <c r="D861" s="3" t="str">
        <f t="shared" si="43"/>
        <v/>
      </c>
      <c r="E861" s="22"/>
      <c r="F861" s="8" t="str">
        <f t="shared" si="42"/>
        <v/>
      </c>
    </row>
    <row r="862" spans="1:6" x14ac:dyDescent="0.25">
      <c r="A862" s="13" t="str">
        <f>IF(AND($E862="",MAX($A$8:$A861)=0),"",IF(AND($E862&lt;&gt;"",MAX($A$8:$A861)=0),1,IF(AND($E862&lt;&gt;"",MAX($A$8:$A861)&gt;0),MAX($A$8:$A861)+1,"")))</f>
        <v/>
      </c>
      <c r="B862" s="11">
        <v>855</v>
      </c>
      <c r="C862" s="19" t="str">
        <f t="shared" si="41"/>
        <v>EMPTY</v>
      </c>
      <c r="D862" s="3" t="str">
        <f t="shared" si="43"/>
        <v/>
      </c>
      <c r="E862" s="22"/>
      <c r="F862" s="8" t="str">
        <f t="shared" si="42"/>
        <v/>
      </c>
    </row>
    <row r="863" spans="1:6" x14ac:dyDescent="0.25">
      <c r="A863" s="13" t="str">
        <f>IF(AND($E863="",MAX($A$8:$A862)=0),"",IF(AND($E863&lt;&gt;"",MAX($A$8:$A862)=0),1,IF(AND($E863&lt;&gt;"",MAX($A$8:$A862)&gt;0),MAX($A$8:$A862)+1,"")))</f>
        <v/>
      </c>
      <c r="B863" s="11">
        <v>856</v>
      </c>
      <c r="C863" s="19" t="str">
        <f t="shared" si="41"/>
        <v>EMPTY</v>
      </c>
      <c r="D863" s="3" t="str">
        <f t="shared" si="43"/>
        <v/>
      </c>
      <c r="E863" s="22"/>
      <c r="F863" s="8" t="str">
        <f t="shared" si="42"/>
        <v/>
      </c>
    </row>
    <row r="864" spans="1:6" x14ac:dyDescent="0.25">
      <c r="A864" s="13" t="str">
        <f>IF(AND($E864="",MAX($A$8:$A863)=0),"",IF(AND($E864&lt;&gt;"",MAX($A$8:$A863)=0),1,IF(AND($E864&lt;&gt;"",MAX($A$8:$A863)&gt;0),MAX($A$8:$A863)+1,"")))</f>
        <v/>
      </c>
      <c r="B864" s="11">
        <v>857</v>
      </c>
      <c r="C864" s="19" t="str">
        <f t="shared" si="41"/>
        <v>EMPTY</v>
      </c>
      <c r="D864" s="3" t="str">
        <f t="shared" si="43"/>
        <v/>
      </c>
      <c r="E864" s="22"/>
      <c r="F864" s="8" t="str">
        <f t="shared" si="42"/>
        <v/>
      </c>
    </row>
    <row r="865" spans="1:6" x14ac:dyDescent="0.25">
      <c r="A865" s="13" t="str">
        <f>IF(AND($E865="",MAX($A$8:$A864)=0),"",IF(AND($E865&lt;&gt;"",MAX($A$8:$A864)=0),1,IF(AND($E865&lt;&gt;"",MAX($A$8:$A864)&gt;0),MAX($A$8:$A864)+1,"")))</f>
        <v/>
      </c>
      <c r="B865" s="11">
        <v>858</v>
      </c>
      <c r="C865" s="19" t="str">
        <f t="shared" si="41"/>
        <v>EMPTY</v>
      </c>
      <c r="D865" s="3" t="str">
        <f t="shared" si="43"/>
        <v/>
      </c>
      <c r="E865" s="22"/>
      <c r="F865" s="8" t="str">
        <f t="shared" si="42"/>
        <v/>
      </c>
    </row>
    <row r="866" spans="1:6" x14ac:dyDescent="0.25">
      <c r="A866" s="13" t="str">
        <f>IF(AND($E866="",MAX($A$8:$A865)=0),"",IF(AND($E866&lt;&gt;"",MAX($A$8:$A865)=0),1,IF(AND($E866&lt;&gt;"",MAX($A$8:$A865)&gt;0),MAX($A$8:$A865)+1,"")))</f>
        <v/>
      </c>
      <c r="B866" s="11">
        <v>859</v>
      </c>
      <c r="C866" s="19" t="str">
        <f t="shared" si="41"/>
        <v>EMPTY</v>
      </c>
      <c r="D866" s="3" t="str">
        <f t="shared" si="43"/>
        <v/>
      </c>
      <c r="E866" s="22"/>
      <c r="F866" s="8" t="str">
        <f t="shared" si="42"/>
        <v/>
      </c>
    </row>
    <row r="867" spans="1:6" x14ac:dyDescent="0.25">
      <c r="A867" s="13" t="str">
        <f>IF(AND($E867="",MAX($A$8:$A866)=0),"",IF(AND($E867&lt;&gt;"",MAX($A$8:$A866)=0),1,IF(AND($E867&lt;&gt;"",MAX($A$8:$A866)&gt;0),MAX($A$8:$A866)+1,"")))</f>
        <v/>
      </c>
      <c r="B867" s="11">
        <v>860</v>
      </c>
      <c r="C867" s="19" t="str">
        <f t="shared" si="41"/>
        <v>EMPTY</v>
      </c>
      <c r="D867" s="3" t="str">
        <f t="shared" si="43"/>
        <v/>
      </c>
      <c r="E867" s="22"/>
      <c r="F867" s="8" t="str">
        <f t="shared" si="42"/>
        <v/>
      </c>
    </row>
    <row r="868" spans="1:6" x14ac:dyDescent="0.25">
      <c r="A868" s="13" t="str">
        <f>IF(AND($E868="",MAX($A$8:$A867)=0),"",IF(AND($E868&lt;&gt;"",MAX($A$8:$A867)=0),1,IF(AND($E868&lt;&gt;"",MAX($A$8:$A867)&gt;0),MAX($A$8:$A867)+1,"")))</f>
        <v/>
      </c>
      <c r="B868" s="11">
        <v>861</v>
      </c>
      <c r="C868" s="19" t="str">
        <f t="shared" si="41"/>
        <v>EMPTY</v>
      </c>
      <c r="D868" s="3" t="str">
        <f t="shared" si="43"/>
        <v/>
      </c>
      <c r="E868" s="22"/>
      <c r="F868" s="8" t="str">
        <f t="shared" si="42"/>
        <v/>
      </c>
    </row>
    <row r="869" spans="1:6" x14ac:dyDescent="0.25">
      <c r="A869" s="13" t="str">
        <f>IF(AND($E869="",MAX($A$8:$A868)=0),"",IF(AND($E869&lt;&gt;"",MAX($A$8:$A868)=0),1,IF(AND($E869&lt;&gt;"",MAX($A$8:$A868)&gt;0),MAX($A$8:$A868)+1,"")))</f>
        <v/>
      </c>
      <c r="B869" s="11">
        <v>862</v>
      </c>
      <c r="C869" s="19" t="str">
        <f t="shared" si="41"/>
        <v>EMPTY</v>
      </c>
      <c r="D869" s="3" t="str">
        <f t="shared" si="43"/>
        <v/>
      </c>
      <c r="E869" s="22"/>
      <c r="F869" s="8" t="str">
        <f t="shared" si="42"/>
        <v/>
      </c>
    </row>
    <row r="870" spans="1:6" x14ac:dyDescent="0.25">
      <c r="A870" s="13" t="str">
        <f>IF(AND($E870="",MAX($A$8:$A869)=0),"",IF(AND($E870&lt;&gt;"",MAX($A$8:$A869)=0),1,IF(AND($E870&lt;&gt;"",MAX($A$8:$A869)&gt;0),MAX($A$8:$A869)+1,"")))</f>
        <v/>
      </c>
      <c r="B870" s="11">
        <v>863</v>
      </c>
      <c r="C870" s="19" t="str">
        <f t="shared" si="41"/>
        <v>EMPTY</v>
      </c>
      <c r="D870" s="3" t="str">
        <f t="shared" si="43"/>
        <v/>
      </c>
      <c r="E870" s="22"/>
      <c r="F870" s="8" t="str">
        <f t="shared" si="42"/>
        <v/>
      </c>
    </row>
    <row r="871" spans="1:6" x14ac:dyDescent="0.25">
      <c r="A871" s="13" t="str">
        <f>IF(AND($E871="",MAX($A$8:$A870)=0),"",IF(AND($E871&lt;&gt;"",MAX($A$8:$A870)=0),1,IF(AND($E871&lt;&gt;"",MAX($A$8:$A870)&gt;0),MAX($A$8:$A870)+1,"")))</f>
        <v/>
      </c>
      <c r="B871" s="11">
        <v>864</v>
      </c>
      <c r="C871" s="19" t="str">
        <f t="shared" si="41"/>
        <v>EMPTY</v>
      </c>
      <c r="D871" s="3" t="str">
        <f t="shared" si="43"/>
        <v/>
      </c>
      <c r="E871" s="22"/>
      <c r="F871" s="8" t="str">
        <f t="shared" si="42"/>
        <v/>
      </c>
    </row>
    <row r="872" spans="1:6" x14ac:dyDescent="0.25">
      <c r="A872" s="13" t="str">
        <f>IF(AND($E872="",MAX($A$8:$A871)=0),"",IF(AND($E872&lt;&gt;"",MAX($A$8:$A871)=0),1,IF(AND($E872&lt;&gt;"",MAX($A$8:$A871)&gt;0),MAX($A$8:$A871)+1,"")))</f>
        <v/>
      </c>
      <c r="B872" s="11">
        <v>865</v>
      </c>
      <c r="C872" s="19" t="str">
        <f t="shared" si="41"/>
        <v>EMPTY</v>
      </c>
      <c r="D872" s="3" t="str">
        <f t="shared" si="43"/>
        <v/>
      </c>
      <c r="E872" s="22"/>
      <c r="F872" s="8" t="str">
        <f t="shared" si="42"/>
        <v/>
      </c>
    </row>
    <row r="873" spans="1:6" x14ac:dyDescent="0.25">
      <c r="A873" s="13" t="str">
        <f>IF(AND($E873="",MAX($A$8:$A872)=0),"",IF(AND($E873&lt;&gt;"",MAX($A$8:$A872)=0),1,IF(AND($E873&lt;&gt;"",MAX($A$8:$A872)&gt;0),MAX($A$8:$A872)+1,"")))</f>
        <v/>
      </c>
      <c r="B873" s="11">
        <v>866</v>
      </c>
      <c r="C873" s="19" t="str">
        <f t="shared" si="41"/>
        <v>EMPTY</v>
      </c>
      <c r="D873" s="3" t="str">
        <f t="shared" si="43"/>
        <v/>
      </c>
      <c r="E873" s="22"/>
      <c r="F873" s="8" t="str">
        <f t="shared" si="42"/>
        <v/>
      </c>
    </row>
    <row r="874" spans="1:6" x14ac:dyDescent="0.25">
      <c r="A874" s="13" t="str">
        <f>IF(AND($E874="",MAX($A$8:$A873)=0),"",IF(AND($E874&lt;&gt;"",MAX($A$8:$A873)=0),1,IF(AND($E874&lt;&gt;"",MAX($A$8:$A873)&gt;0),MAX($A$8:$A873)+1,"")))</f>
        <v/>
      </c>
      <c r="B874" s="11">
        <v>867</v>
      </c>
      <c r="C874" s="19" t="str">
        <f t="shared" si="41"/>
        <v>EMPTY</v>
      </c>
      <c r="D874" s="3" t="str">
        <f t="shared" si="43"/>
        <v/>
      </c>
      <c r="E874" s="22"/>
      <c r="F874" s="8" t="str">
        <f t="shared" si="42"/>
        <v/>
      </c>
    </row>
    <row r="875" spans="1:6" x14ac:dyDescent="0.25">
      <c r="A875" s="13" t="str">
        <f>IF(AND($E875="",MAX($A$8:$A874)=0),"",IF(AND($E875&lt;&gt;"",MAX($A$8:$A874)=0),1,IF(AND($E875&lt;&gt;"",MAX($A$8:$A874)&gt;0),MAX($A$8:$A874)+1,"")))</f>
        <v/>
      </c>
      <c r="B875" s="11">
        <v>868</v>
      </c>
      <c r="C875" s="19" t="str">
        <f t="shared" si="41"/>
        <v>EMPTY</v>
      </c>
      <c r="D875" s="3" t="str">
        <f t="shared" si="43"/>
        <v/>
      </c>
      <c r="E875" s="22"/>
      <c r="F875" s="8" t="str">
        <f t="shared" si="42"/>
        <v/>
      </c>
    </row>
    <row r="876" spans="1:6" x14ac:dyDescent="0.25">
      <c r="A876" s="13" t="str">
        <f>IF(AND($E876="",MAX($A$8:$A875)=0),"",IF(AND($E876&lt;&gt;"",MAX($A$8:$A875)=0),1,IF(AND($E876&lt;&gt;"",MAX($A$8:$A875)&gt;0),MAX($A$8:$A875)+1,"")))</f>
        <v/>
      </c>
      <c r="B876" s="11">
        <v>869</v>
      </c>
      <c r="C876" s="19" t="str">
        <f t="shared" si="41"/>
        <v>EMPTY</v>
      </c>
      <c r="D876" s="3" t="str">
        <f t="shared" si="43"/>
        <v/>
      </c>
      <c r="E876" s="22"/>
      <c r="F876" s="8" t="str">
        <f t="shared" si="42"/>
        <v/>
      </c>
    </row>
    <row r="877" spans="1:6" x14ac:dyDescent="0.25">
      <c r="A877" s="13" t="str">
        <f>IF(AND($E877="",MAX($A$8:$A876)=0),"",IF(AND($E877&lt;&gt;"",MAX($A$8:$A876)=0),1,IF(AND($E877&lt;&gt;"",MAX($A$8:$A876)&gt;0),MAX($A$8:$A876)+1,"")))</f>
        <v/>
      </c>
      <c r="B877" s="11">
        <v>870</v>
      </c>
      <c r="C877" s="19" t="str">
        <f t="shared" si="41"/>
        <v>EMPTY</v>
      </c>
      <c r="D877" s="3" t="str">
        <f t="shared" si="43"/>
        <v/>
      </c>
      <c r="E877" s="22"/>
      <c r="F877" s="8" t="str">
        <f t="shared" si="42"/>
        <v/>
      </c>
    </row>
    <row r="878" spans="1:6" x14ac:dyDescent="0.25">
      <c r="A878" s="13" t="str">
        <f>IF(AND($E878="",MAX($A$8:$A877)=0),"",IF(AND($E878&lt;&gt;"",MAX($A$8:$A877)=0),1,IF(AND($E878&lt;&gt;"",MAX($A$8:$A877)&gt;0),MAX($A$8:$A877)+1,"")))</f>
        <v/>
      </c>
      <c r="B878" s="11">
        <v>871</v>
      </c>
      <c r="C878" s="19" t="str">
        <f t="shared" si="41"/>
        <v>EMPTY</v>
      </c>
      <c r="D878" s="3" t="str">
        <f t="shared" si="43"/>
        <v/>
      </c>
      <c r="E878" s="22"/>
      <c r="F878" s="8" t="str">
        <f t="shared" si="42"/>
        <v/>
      </c>
    </row>
    <row r="879" spans="1:6" x14ac:dyDescent="0.25">
      <c r="A879" s="13" t="str">
        <f>IF(AND($E879="",MAX($A$8:$A878)=0),"",IF(AND($E879&lt;&gt;"",MAX($A$8:$A878)=0),1,IF(AND($E879&lt;&gt;"",MAX($A$8:$A878)&gt;0),MAX($A$8:$A878)+1,"")))</f>
        <v/>
      </c>
      <c r="B879" s="11">
        <v>872</v>
      </c>
      <c r="C879" s="19" t="str">
        <f t="shared" si="41"/>
        <v>EMPTY</v>
      </c>
      <c r="D879" s="3" t="str">
        <f t="shared" si="43"/>
        <v/>
      </c>
      <c r="E879" s="22"/>
      <c r="F879" s="8" t="str">
        <f t="shared" si="42"/>
        <v/>
      </c>
    </row>
    <row r="880" spans="1:6" x14ac:dyDescent="0.25">
      <c r="A880" s="13" t="str">
        <f>IF(AND($E880="",MAX($A$8:$A879)=0),"",IF(AND($E880&lt;&gt;"",MAX($A$8:$A879)=0),1,IF(AND($E880&lt;&gt;"",MAX($A$8:$A879)&gt;0),MAX($A$8:$A879)+1,"")))</f>
        <v/>
      </c>
      <c r="B880" s="11">
        <v>873</v>
      </c>
      <c r="C880" s="19" t="str">
        <f t="shared" si="41"/>
        <v>EMPTY</v>
      </c>
      <c r="D880" s="3" t="str">
        <f t="shared" si="43"/>
        <v/>
      </c>
      <c r="E880" s="22"/>
      <c r="F880" s="8" t="str">
        <f t="shared" si="42"/>
        <v/>
      </c>
    </row>
    <row r="881" spans="1:6" x14ac:dyDescent="0.25">
      <c r="A881" s="13" t="str">
        <f>IF(AND($E881="",MAX($A$8:$A880)=0),"",IF(AND($E881&lt;&gt;"",MAX($A$8:$A880)=0),1,IF(AND($E881&lt;&gt;"",MAX($A$8:$A880)&gt;0),MAX($A$8:$A880)+1,"")))</f>
        <v/>
      </c>
      <c r="B881" s="11">
        <v>874</v>
      </c>
      <c r="C881" s="19" t="str">
        <f t="shared" si="41"/>
        <v>EMPTY</v>
      </c>
      <c r="D881" s="3" t="str">
        <f t="shared" si="43"/>
        <v/>
      </c>
      <c r="E881" s="22"/>
      <c r="F881" s="8" t="str">
        <f t="shared" si="42"/>
        <v/>
      </c>
    </row>
    <row r="882" spans="1:6" x14ac:dyDescent="0.25">
      <c r="A882" s="13" t="str">
        <f>IF(AND($E882="",MAX($A$8:$A881)=0),"",IF(AND($E882&lt;&gt;"",MAX($A$8:$A881)=0),1,IF(AND($E882&lt;&gt;"",MAX($A$8:$A881)&gt;0),MAX($A$8:$A881)+1,"")))</f>
        <v/>
      </c>
      <c r="B882" s="11">
        <v>875</v>
      </c>
      <c r="C882" s="19" t="str">
        <f t="shared" si="41"/>
        <v>EMPTY</v>
      </c>
      <c r="D882" s="3" t="str">
        <f t="shared" si="43"/>
        <v/>
      </c>
      <c r="E882" s="22"/>
      <c r="F882" s="8" t="str">
        <f t="shared" si="42"/>
        <v/>
      </c>
    </row>
    <row r="883" spans="1:6" x14ac:dyDescent="0.25">
      <c r="A883" s="13" t="str">
        <f>IF(AND($E883="",MAX($A$8:$A882)=0),"",IF(AND($E883&lt;&gt;"",MAX($A$8:$A882)=0),1,IF(AND($E883&lt;&gt;"",MAX($A$8:$A882)&gt;0),MAX($A$8:$A882)+1,"")))</f>
        <v/>
      </c>
      <c r="B883" s="11">
        <v>876</v>
      </c>
      <c r="C883" s="19" t="str">
        <f t="shared" si="41"/>
        <v>EMPTY</v>
      </c>
      <c r="D883" s="3" t="str">
        <f t="shared" si="43"/>
        <v/>
      </c>
      <c r="E883" s="22"/>
      <c r="F883" s="8" t="str">
        <f t="shared" si="42"/>
        <v/>
      </c>
    </row>
    <row r="884" spans="1:6" x14ac:dyDescent="0.25">
      <c r="A884" s="13" t="str">
        <f>IF(AND($E884="",MAX($A$8:$A883)=0),"",IF(AND($E884&lt;&gt;"",MAX($A$8:$A883)=0),1,IF(AND($E884&lt;&gt;"",MAX($A$8:$A883)&gt;0),MAX($A$8:$A883)+1,"")))</f>
        <v/>
      </c>
      <c r="B884" s="11">
        <v>877</v>
      </c>
      <c r="C884" s="19" t="str">
        <f t="shared" si="41"/>
        <v>EMPTY</v>
      </c>
      <c r="D884" s="3" t="str">
        <f t="shared" si="43"/>
        <v/>
      </c>
      <c r="E884" s="22"/>
      <c r="F884" s="8" t="str">
        <f t="shared" si="42"/>
        <v/>
      </c>
    </row>
    <row r="885" spans="1:6" x14ac:dyDescent="0.25">
      <c r="A885" s="13" t="str">
        <f>IF(AND($E885="",MAX($A$8:$A884)=0),"",IF(AND($E885&lt;&gt;"",MAX($A$8:$A884)=0),1,IF(AND($E885&lt;&gt;"",MAX($A$8:$A884)&gt;0),MAX($A$8:$A884)+1,"")))</f>
        <v/>
      </c>
      <c r="B885" s="11">
        <v>878</v>
      </c>
      <c r="C885" s="19" t="str">
        <f t="shared" si="41"/>
        <v>EMPTY</v>
      </c>
      <c r="D885" s="3" t="str">
        <f t="shared" si="43"/>
        <v/>
      </c>
      <c r="E885" s="22"/>
      <c r="F885" s="8" t="str">
        <f t="shared" si="42"/>
        <v/>
      </c>
    </row>
    <row r="886" spans="1:6" x14ac:dyDescent="0.25">
      <c r="A886" s="13" t="str">
        <f>IF(AND($E886="",MAX($A$8:$A885)=0),"",IF(AND($E886&lt;&gt;"",MAX($A$8:$A885)=0),1,IF(AND($E886&lt;&gt;"",MAX($A$8:$A885)&gt;0),MAX($A$8:$A885)+1,"")))</f>
        <v/>
      </c>
      <c r="B886" s="11">
        <v>879</v>
      </c>
      <c r="C886" s="19" t="str">
        <f t="shared" si="41"/>
        <v>EMPTY</v>
      </c>
      <c r="D886" s="3" t="str">
        <f t="shared" si="43"/>
        <v/>
      </c>
      <c r="E886" s="22"/>
      <c r="F886" s="8" t="str">
        <f t="shared" si="42"/>
        <v/>
      </c>
    </row>
    <row r="887" spans="1:6" x14ac:dyDescent="0.25">
      <c r="A887" s="13" t="str">
        <f>IF(AND($E887="",MAX($A$8:$A886)=0),"",IF(AND($E887&lt;&gt;"",MAX($A$8:$A886)=0),1,IF(AND($E887&lt;&gt;"",MAX($A$8:$A886)&gt;0),MAX($A$8:$A886)+1,"")))</f>
        <v/>
      </c>
      <c r="B887" s="11">
        <v>880</v>
      </c>
      <c r="C887" s="19" t="str">
        <f t="shared" si="41"/>
        <v>EMPTY</v>
      </c>
      <c r="D887" s="3" t="str">
        <f t="shared" si="43"/>
        <v/>
      </c>
      <c r="E887" s="22"/>
      <c r="F887" s="8" t="str">
        <f t="shared" si="42"/>
        <v/>
      </c>
    </row>
    <row r="888" spans="1:6" x14ac:dyDescent="0.25">
      <c r="A888" s="13" t="str">
        <f>IF(AND($E888="",MAX($A$8:$A887)=0),"",IF(AND($E888&lt;&gt;"",MAX($A$8:$A887)=0),1,IF(AND($E888&lt;&gt;"",MAX($A$8:$A887)&gt;0),MAX($A$8:$A887)+1,"")))</f>
        <v/>
      </c>
      <c r="B888" s="11">
        <v>881</v>
      </c>
      <c r="C888" s="19" t="str">
        <f t="shared" si="41"/>
        <v>EMPTY</v>
      </c>
      <c r="D888" s="3" t="str">
        <f t="shared" si="43"/>
        <v/>
      </c>
      <c r="E888" s="22"/>
      <c r="F888" s="8" t="str">
        <f t="shared" si="42"/>
        <v/>
      </c>
    </row>
    <row r="889" spans="1:6" x14ac:dyDescent="0.25">
      <c r="A889" s="13" t="str">
        <f>IF(AND($E889="",MAX($A$8:$A888)=0),"",IF(AND($E889&lt;&gt;"",MAX($A$8:$A888)=0),1,IF(AND($E889&lt;&gt;"",MAX($A$8:$A888)&gt;0),MAX($A$8:$A888)+1,"")))</f>
        <v/>
      </c>
      <c r="B889" s="11">
        <v>882</v>
      </c>
      <c r="C889" s="19" t="str">
        <f t="shared" si="41"/>
        <v>EMPTY</v>
      </c>
      <c r="D889" s="3" t="str">
        <f t="shared" si="43"/>
        <v/>
      </c>
      <c r="E889" s="22"/>
      <c r="F889" s="8" t="str">
        <f t="shared" si="42"/>
        <v/>
      </c>
    </row>
    <row r="890" spans="1:6" x14ac:dyDescent="0.25">
      <c r="A890" s="13" t="str">
        <f>IF(AND($E890="",MAX($A$8:$A889)=0),"",IF(AND($E890&lt;&gt;"",MAX($A$8:$A889)=0),1,IF(AND($E890&lt;&gt;"",MAX($A$8:$A889)&gt;0),MAX($A$8:$A889)+1,"")))</f>
        <v/>
      </c>
      <c r="B890" s="11">
        <v>883</v>
      </c>
      <c r="C890" s="19" t="str">
        <f t="shared" si="41"/>
        <v>EMPTY</v>
      </c>
      <c r="D890" s="3" t="str">
        <f t="shared" si="43"/>
        <v/>
      </c>
      <c r="E890" s="22"/>
      <c r="F890" s="8" t="str">
        <f t="shared" si="42"/>
        <v/>
      </c>
    </row>
    <row r="891" spans="1:6" x14ac:dyDescent="0.25">
      <c r="A891" s="13" t="str">
        <f>IF(AND($E891="",MAX($A$8:$A890)=0),"",IF(AND($E891&lt;&gt;"",MAX($A$8:$A890)=0),1,IF(AND($E891&lt;&gt;"",MAX($A$8:$A890)&gt;0),MAX($A$8:$A890)+1,"")))</f>
        <v/>
      </c>
      <c r="B891" s="11">
        <v>884</v>
      </c>
      <c r="C891" s="19" t="str">
        <f t="shared" si="41"/>
        <v>EMPTY</v>
      </c>
      <c r="D891" s="3" t="str">
        <f t="shared" si="43"/>
        <v/>
      </c>
      <c r="E891" s="22"/>
      <c r="F891" s="8" t="str">
        <f t="shared" si="42"/>
        <v/>
      </c>
    </row>
    <row r="892" spans="1:6" x14ac:dyDescent="0.25">
      <c r="A892" s="13" t="str">
        <f>IF(AND($E892="",MAX($A$8:$A891)=0),"",IF(AND($E892&lt;&gt;"",MAX($A$8:$A891)=0),1,IF(AND($E892&lt;&gt;"",MAX($A$8:$A891)&gt;0),MAX($A$8:$A891)+1,"")))</f>
        <v/>
      </c>
      <c r="B892" s="11">
        <v>885</v>
      </c>
      <c r="C892" s="19" t="str">
        <f t="shared" si="41"/>
        <v>EMPTY</v>
      </c>
      <c r="D892" s="3" t="str">
        <f t="shared" si="43"/>
        <v/>
      </c>
      <c r="E892" s="22"/>
      <c r="F892" s="8" t="str">
        <f t="shared" si="42"/>
        <v/>
      </c>
    </row>
    <row r="893" spans="1:6" x14ac:dyDescent="0.25">
      <c r="A893" s="13" t="str">
        <f>IF(AND($E893="",MAX($A$8:$A892)=0),"",IF(AND($E893&lt;&gt;"",MAX($A$8:$A892)=0),1,IF(AND($E893&lt;&gt;"",MAX($A$8:$A892)&gt;0),MAX($A$8:$A892)+1,"")))</f>
        <v/>
      </c>
      <c r="B893" s="11">
        <v>886</v>
      </c>
      <c r="C893" s="19" t="str">
        <f t="shared" si="41"/>
        <v>EMPTY</v>
      </c>
      <c r="D893" s="3" t="str">
        <f t="shared" si="43"/>
        <v/>
      </c>
      <c r="E893" s="22"/>
      <c r="F893" s="8" t="str">
        <f t="shared" si="42"/>
        <v/>
      </c>
    </row>
    <row r="894" spans="1:6" x14ac:dyDescent="0.25">
      <c r="A894" s="13" t="str">
        <f>IF(AND($E894="",MAX($A$8:$A893)=0),"",IF(AND($E894&lt;&gt;"",MAX($A$8:$A893)=0),1,IF(AND($E894&lt;&gt;"",MAX($A$8:$A893)&gt;0),MAX($A$8:$A893)+1,"")))</f>
        <v/>
      </c>
      <c r="B894" s="11">
        <v>887</v>
      </c>
      <c r="C894" s="19" t="str">
        <f t="shared" si="41"/>
        <v>EMPTY</v>
      </c>
      <c r="D894" s="3" t="str">
        <f t="shared" si="43"/>
        <v/>
      </c>
      <c r="E894" s="22"/>
      <c r="F894" s="8" t="str">
        <f t="shared" si="42"/>
        <v/>
      </c>
    </row>
    <row r="895" spans="1:6" x14ac:dyDescent="0.25">
      <c r="A895" s="13" t="str">
        <f>IF(AND($E895="",MAX($A$8:$A894)=0),"",IF(AND($E895&lt;&gt;"",MAX($A$8:$A894)=0),1,IF(AND($E895&lt;&gt;"",MAX($A$8:$A894)&gt;0),MAX($A$8:$A894)+1,"")))</f>
        <v/>
      </c>
      <c r="B895" s="11">
        <v>888</v>
      </c>
      <c r="C895" s="19" t="str">
        <f t="shared" si="41"/>
        <v>EMPTY</v>
      </c>
      <c r="D895" s="3" t="str">
        <f t="shared" si="43"/>
        <v/>
      </c>
      <c r="E895" s="22"/>
      <c r="F895" s="8" t="str">
        <f t="shared" si="42"/>
        <v/>
      </c>
    </row>
    <row r="896" spans="1:6" x14ac:dyDescent="0.25">
      <c r="A896" s="13" t="str">
        <f>IF(AND($E896="",MAX($A$8:$A895)=0),"",IF(AND($E896&lt;&gt;"",MAX($A$8:$A895)=0),1,IF(AND($E896&lt;&gt;"",MAX($A$8:$A895)&gt;0),MAX($A$8:$A895)+1,"")))</f>
        <v/>
      </c>
      <c r="B896" s="11">
        <v>889</v>
      </c>
      <c r="C896" s="19" t="str">
        <f t="shared" si="41"/>
        <v>EMPTY</v>
      </c>
      <c r="D896" s="3" t="str">
        <f t="shared" si="43"/>
        <v/>
      </c>
      <c r="E896" s="22"/>
      <c r="F896" s="8" t="str">
        <f t="shared" si="42"/>
        <v/>
      </c>
    </row>
    <row r="897" spans="1:6" x14ac:dyDescent="0.25">
      <c r="A897" s="13" t="str">
        <f>IF(AND($E897="",MAX($A$8:$A896)=0),"",IF(AND($E897&lt;&gt;"",MAX($A$8:$A896)=0),1,IF(AND($E897&lt;&gt;"",MAX($A$8:$A896)&gt;0),MAX($A$8:$A896)+1,"")))</f>
        <v/>
      </c>
      <c r="B897" s="11">
        <v>890</v>
      </c>
      <c r="C897" s="19" t="str">
        <f t="shared" si="41"/>
        <v>EMPTY</v>
      </c>
      <c r="D897" s="3" t="str">
        <f t="shared" si="43"/>
        <v/>
      </c>
      <c r="E897" s="22"/>
      <c r="F897" s="8" t="str">
        <f t="shared" si="42"/>
        <v/>
      </c>
    </row>
    <row r="898" spans="1:6" x14ac:dyDescent="0.25">
      <c r="A898" s="13" t="str">
        <f>IF(AND($E898="",MAX($A$8:$A897)=0),"",IF(AND($E898&lt;&gt;"",MAX($A$8:$A897)=0),1,IF(AND($E898&lt;&gt;"",MAX($A$8:$A897)&gt;0),MAX($A$8:$A897)+1,"")))</f>
        <v/>
      </c>
      <c r="B898" s="11">
        <v>891</v>
      </c>
      <c r="C898" s="19" t="str">
        <f t="shared" si="41"/>
        <v>EMPTY</v>
      </c>
      <c r="D898" s="3" t="str">
        <f t="shared" si="43"/>
        <v/>
      </c>
      <c r="E898" s="22"/>
      <c r="F898" s="8" t="str">
        <f t="shared" si="42"/>
        <v/>
      </c>
    </row>
    <row r="899" spans="1:6" x14ac:dyDescent="0.25">
      <c r="A899" s="13" t="str">
        <f>IF(AND($E899="",MAX($A$8:$A898)=0),"",IF(AND($E899&lt;&gt;"",MAX($A$8:$A898)=0),1,IF(AND($E899&lt;&gt;"",MAX($A$8:$A898)&gt;0),MAX($A$8:$A898)+1,"")))</f>
        <v/>
      </c>
      <c r="B899" s="11">
        <v>892</v>
      </c>
      <c r="C899" s="19" t="str">
        <f t="shared" si="41"/>
        <v>EMPTY</v>
      </c>
      <c r="D899" s="3" t="str">
        <f t="shared" si="43"/>
        <v/>
      </c>
      <c r="E899" s="22"/>
      <c r="F899" s="8" t="str">
        <f t="shared" si="42"/>
        <v/>
      </c>
    </row>
    <row r="900" spans="1:6" x14ac:dyDescent="0.25">
      <c r="A900" s="13" t="str">
        <f>IF(AND($E900="",MAX($A$8:$A899)=0),"",IF(AND($E900&lt;&gt;"",MAX($A$8:$A899)=0),1,IF(AND($E900&lt;&gt;"",MAX($A$8:$A899)&gt;0),MAX($A$8:$A899)+1,"")))</f>
        <v/>
      </c>
      <c r="B900" s="11">
        <v>893</v>
      </c>
      <c r="C900" s="19" t="str">
        <f t="shared" si="41"/>
        <v>EMPTY</v>
      </c>
      <c r="D900" s="3" t="str">
        <f t="shared" si="43"/>
        <v/>
      </c>
      <c r="E900" s="22"/>
      <c r="F900" s="8" t="str">
        <f t="shared" si="42"/>
        <v/>
      </c>
    </row>
    <row r="901" spans="1:6" x14ac:dyDescent="0.25">
      <c r="A901" s="13" t="str">
        <f>IF(AND($E901="",MAX($A$8:$A900)=0),"",IF(AND($E901&lt;&gt;"",MAX($A$8:$A900)=0),1,IF(AND($E901&lt;&gt;"",MAX($A$8:$A900)&gt;0),MAX($A$8:$A900)+1,"")))</f>
        <v/>
      </c>
      <c r="B901" s="11">
        <v>894</v>
      </c>
      <c r="C901" s="19" t="str">
        <f t="shared" si="41"/>
        <v>EMPTY</v>
      </c>
      <c r="D901" s="3" t="str">
        <f t="shared" si="43"/>
        <v/>
      </c>
      <c r="E901" s="22"/>
      <c r="F901" s="8" t="str">
        <f t="shared" si="42"/>
        <v/>
      </c>
    </row>
    <row r="902" spans="1:6" x14ac:dyDescent="0.25">
      <c r="A902" s="13" t="str">
        <f>IF(AND($E902="",MAX($A$8:$A901)=0),"",IF(AND($E902&lt;&gt;"",MAX($A$8:$A901)=0),1,IF(AND($E902&lt;&gt;"",MAX($A$8:$A901)&gt;0),MAX($A$8:$A901)+1,"")))</f>
        <v/>
      </c>
      <c r="B902" s="11">
        <v>895</v>
      </c>
      <c r="C902" s="19" t="str">
        <f t="shared" si="41"/>
        <v>EMPTY</v>
      </c>
      <c r="D902" s="3" t="str">
        <f t="shared" si="43"/>
        <v/>
      </c>
      <c r="E902" s="22"/>
      <c r="F902" s="8" t="str">
        <f t="shared" si="42"/>
        <v/>
      </c>
    </row>
    <row r="903" spans="1:6" x14ac:dyDescent="0.25">
      <c r="A903" s="13" t="str">
        <f>IF(AND($E903="",MAX($A$8:$A902)=0),"",IF(AND($E903&lt;&gt;"",MAX($A$8:$A902)=0),1,IF(AND($E903&lt;&gt;"",MAX($A$8:$A902)&gt;0),MAX($A$8:$A902)+1,"")))</f>
        <v/>
      </c>
      <c r="B903" s="11">
        <v>896</v>
      </c>
      <c r="C903" s="19" t="str">
        <f t="shared" si="41"/>
        <v>EMPTY</v>
      </c>
      <c r="D903" s="3" t="str">
        <f t="shared" si="43"/>
        <v/>
      </c>
      <c r="E903" s="22"/>
      <c r="F903" s="8" t="str">
        <f t="shared" si="42"/>
        <v/>
      </c>
    </row>
    <row r="904" spans="1:6" x14ac:dyDescent="0.25">
      <c r="A904" s="13" t="str">
        <f>IF(AND($E904="",MAX($A$8:$A903)=0),"",IF(AND($E904&lt;&gt;"",MAX($A$8:$A903)=0),1,IF(AND($E904&lt;&gt;"",MAX($A$8:$A903)&gt;0),MAX($A$8:$A903)+1,"")))</f>
        <v/>
      </c>
      <c r="B904" s="11">
        <v>897</v>
      </c>
      <c r="C904" s="19" t="str">
        <f t="shared" si="41"/>
        <v>EMPTY</v>
      </c>
      <c r="D904" s="3" t="str">
        <f t="shared" si="43"/>
        <v/>
      </c>
      <c r="E904" s="22"/>
      <c r="F904" s="8" t="str">
        <f t="shared" si="42"/>
        <v/>
      </c>
    </row>
    <row r="905" spans="1:6" x14ac:dyDescent="0.25">
      <c r="A905" s="13" t="str">
        <f>IF(AND($E905="",MAX($A$8:$A904)=0),"",IF(AND($E905&lt;&gt;"",MAX($A$8:$A904)=0),1,IF(AND($E905&lt;&gt;"",MAX($A$8:$A904)&gt;0),MAX($A$8:$A904)+1,"")))</f>
        <v/>
      </c>
      <c r="B905" s="11">
        <v>898</v>
      </c>
      <c r="C905" s="19" t="str">
        <f t="shared" ref="C905:C968" si="44">IF($E905="","EMPTY",IF(COUNT(MID($E905,2,1))=0,"HIDE",IF(COUNT(MID($E905,2,1))=1,"SHOW","")))</f>
        <v>EMPTY</v>
      </c>
      <c r="D905" s="3" t="str">
        <f t="shared" si="43"/>
        <v/>
      </c>
      <c r="E905" s="22"/>
      <c r="F905" s="8" t="str">
        <f t="shared" ref="F905:F968" si="45">$D905</f>
        <v/>
      </c>
    </row>
    <row r="906" spans="1:6" x14ac:dyDescent="0.25">
      <c r="A906" s="13" t="str">
        <f>IF(AND($E906="",MAX($A$8:$A905)=0),"",IF(AND($E906&lt;&gt;"",MAX($A$8:$A905)=0),1,IF(AND($E906&lt;&gt;"",MAX($A$8:$A905)&gt;0),MAX($A$8:$A905)+1,"")))</f>
        <v/>
      </c>
      <c r="B906" s="11">
        <v>899</v>
      </c>
      <c r="C906" s="19" t="str">
        <f t="shared" si="44"/>
        <v>EMPTY</v>
      </c>
      <c r="D906" s="3" t="str">
        <f t="shared" si="43"/>
        <v/>
      </c>
      <c r="E906" s="22"/>
      <c r="F906" s="8" t="str">
        <f t="shared" si="45"/>
        <v/>
      </c>
    </row>
    <row r="907" spans="1:6" x14ac:dyDescent="0.25">
      <c r="A907" s="13" t="str">
        <f>IF(AND($E907="",MAX($A$8:$A906)=0),"",IF(AND($E907&lt;&gt;"",MAX($A$8:$A906)=0),1,IF(AND($E907&lt;&gt;"",MAX($A$8:$A906)&gt;0),MAX($A$8:$A906)+1,"")))</f>
        <v/>
      </c>
      <c r="B907" s="11">
        <v>900</v>
      </c>
      <c r="C907" s="19" t="str">
        <f t="shared" si="44"/>
        <v>EMPTY</v>
      </c>
      <c r="D907" s="3" t="str">
        <f t="shared" si="43"/>
        <v/>
      </c>
      <c r="E907" s="22"/>
      <c r="F907" s="8" t="str">
        <f t="shared" si="45"/>
        <v/>
      </c>
    </row>
    <row r="908" spans="1:6" x14ac:dyDescent="0.25">
      <c r="A908" s="13" t="str">
        <f>IF(AND($E908="",MAX($A$8:$A907)=0),"",IF(AND($E908&lt;&gt;"",MAX($A$8:$A907)=0),1,IF(AND($E908&lt;&gt;"",MAX($A$8:$A907)&gt;0),MAX($A$8:$A907)+1,"")))</f>
        <v/>
      </c>
      <c r="B908" s="11">
        <v>901</v>
      </c>
      <c r="C908" s="19" t="str">
        <f t="shared" si="44"/>
        <v>EMPTY</v>
      </c>
      <c r="D908" s="3" t="str">
        <f t="shared" si="43"/>
        <v/>
      </c>
      <c r="E908" s="22"/>
      <c r="F908" s="8" t="str">
        <f t="shared" si="45"/>
        <v/>
      </c>
    </row>
    <row r="909" spans="1:6" x14ac:dyDescent="0.25">
      <c r="A909" s="13" t="str">
        <f>IF(AND($E909="",MAX($A$8:$A908)=0),"",IF(AND($E909&lt;&gt;"",MAX($A$8:$A908)=0),1,IF(AND($E909&lt;&gt;"",MAX($A$8:$A908)&gt;0),MAX($A$8:$A908)+1,"")))</f>
        <v/>
      </c>
      <c r="B909" s="11">
        <v>902</v>
      </c>
      <c r="C909" s="19" t="str">
        <f t="shared" si="44"/>
        <v>EMPTY</v>
      </c>
      <c r="D909" s="3" t="str">
        <f t="shared" si="43"/>
        <v/>
      </c>
      <c r="E909" s="22"/>
      <c r="F909" s="8" t="str">
        <f t="shared" si="45"/>
        <v/>
      </c>
    </row>
    <row r="910" spans="1:6" x14ac:dyDescent="0.25">
      <c r="A910" s="13" t="str">
        <f>IF(AND($E910="",MAX($A$8:$A909)=0),"",IF(AND($E910&lt;&gt;"",MAX($A$8:$A909)=0),1,IF(AND($E910&lt;&gt;"",MAX($A$8:$A909)&gt;0),MAX($A$8:$A909)+1,"")))</f>
        <v/>
      </c>
      <c r="B910" s="11">
        <v>903</v>
      </c>
      <c r="C910" s="19" t="str">
        <f t="shared" si="44"/>
        <v>EMPTY</v>
      </c>
      <c r="D910" s="3" t="str">
        <f t="shared" si="43"/>
        <v/>
      </c>
      <c r="E910" s="22"/>
      <c r="F910" s="8" t="str">
        <f t="shared" si="45"/>
        <v/>
      </c>
    </row>
    <row r="911" spans="1:6" x14ac:dyDescent="0.25">
      <c r="A911" s="13" t="str">
        <f>IF(AND($E911="",MAX($A$8:$A910)=0),"",IF(AND($E911&lt;&gt;"",MAX($A$8:$A910)=0),1,IF(AND($E911&lt;&gt;"",MAX($A$8:$A910)&gt;0),MAX($A$8:$A910)+1,"")))</f>
        <v/>
      </c>
      <c r="B911" s="11">
        <v>904</v>
      </c>
      <c r="C911" s="19" t="str">
        <f t="shared" si="44"/>
        <v>EMPTY</v>
      </c>
      <c r="D911" s="3" t="str">
        <f t="shared" si="43"/>
        <v/>
      </c>
      <c r="E911" s="22"/>
      <c r="F911" s="8" t="str">
        <f t="shared" si="45"/>
        <v/>
      </c>
    </row>
    <row r="912" spans="1:6" x14ac:dyDescent="0.25">
      <c r="A912" s="13" t="str">
        <f>IF(AND($E912="",MAX($A$8:$A911)=0),"",IF(AND($E912&lt;&gt;"",MAX($A$8:$A911)=0),1,IF(AND($E912&lt;&gt;"",MAX($A$8:$A911)&gt;0),MAX($A$8:$A911)+1,"")))</f>
        <v/>
      </c>
      <c r="B912" s="11">
        <v>905</v>
      </c>
      <c r="C912" s="19" t="str">
        <f t="shared" si="44"/>
        <v>EMPTY</v>
      </c>
      <c r="D912" s="3" t="str">
        <f t="shared" si="43"/>
        <v/>
      </c>
      <c r="E912" s="22"/>
      <c r="F912" s="8" t="str">
        <f t="shared" si="45"/>
        <v/>
      </c>
    </row>
    <row r="913" spans="1:6" x14ac:dyDescent="0.25">
      <c r="A913" s="13" t="str">
        <f>IF(AND($E913="",MAX($A$8:$A912)=0),"",IF(AND($E913&lt;&gt;"",MAX($A$8:$A912)=0),1,IF(AND($E913&lt;&gt;"",MAX($A$8:$A912)&gt;0),MAX($A$8:$A912)+1,"")))</f>
        <v/>
      </c>
      <c r="B913" s="11">
        <v>906</v>
      </c>
      <c r="C913" s="19" t="str">
        <f t="shared" si="44"/>
        <v>EMPTY</v>
      </c>
      <c r="D913" s="3" t="str">
        <f t="shared" ref="D913:D976" si="46">IF(AND(OR($C913="EMPTY",$C913="HIDE",$C913=""),OR($C914="EMPTY",$C914="HIDE",$C914="")),"",IF(AND($C913="SHOW",OR($C914="EMPTY",$C914="HIDE",$C914="")),CONCATENATE("Dialogue: 0,0:",MID($E913,2,8),",0:",MID($E913,2,8),",Default,,0,0,0,,",MID($E913,11,1000)),IF(AND($C913="SHOW",$C914="SHOW"),CONCATENATE("Dialogue: 0,0:",MID($E913,2,8),",0:",MID($E914,2,8),",Default,,0,0,0,,",MID($E913,11,1000)),"")))</f>
        <v/>
      </c>
      <c r="E913" s="22"/>
      <c r="F913" s="8" t="str">
        <f t="shared" si="45"/>
        <v/>
      </c>
    </row>
    <row r="914" spans="1:6" x14ac:dyDescent="0.25">
      <c r="A914" s="13" t="str">
        <f>IF(AND($E914="",MAX($A$8:$A913)=0),"",IF(AND($E914&lt;&gt;"",MAX($A$8:$A913)=0),1,IF(AND($E914&lt;&gt;"",MAX($A$8:$A913)&gt;0),MAX($A$8:$A913)+1,"")))</f>
        <v/>
      </c>
      <c r="B914" s="11">
        <v>907</v>
      </c>
      <c r="C914" s="19" t="str">
        <f t="shared" si="44"/>
        <v>EMPTY</v>
      </c>
      <c r="D914" s="3" t="str">
        <f t="shared" si="46"/>
        <v/>
      </c>
      <c r="E914" s="22"/>
      <c r="F914" s="8" t="str">
        <f t="shared" si="45"/>
        <v/>
      </c>
    </row>
    <row r="915" spans="1:6" x14ac:dyDescent="0.25">
      <c r="A915" s="13" t="str">
        <f>IF(AND($E915="",MAX($A$8:$A914)=0),"",IF(AND($E915&lt;&gt;"",MAX($A$8:$A914)=0),1,IF(AND($E915&lt;&gt;"",MAX($A$8:$A914)&gt;0),MAX($A$8:$A914)+1,"")))</f>
        <v/>
      </c>
      <c r="B915" s="11">
        <v>908</v>
      </c>
      <c r="C915" s="19" t="str">
        <f t="shared" si="44"/>
        <v>EMPTY</v>
      </c>
      <c r="D915" s="3" t="str">
        <f t="shared" si="46"/>
        <v/>
      </c>
      <c r="E915" s="22"/>
      <c r="F915" s="8" t="str">
        <f t="shared" si="45"/>
        <v/>
      </c>
    </row>
    <row r="916" spans="1:6" x14ac:dyDescent="0.25">
      <c r="A916" s="13" t="str">
        <f>IF(AND($E916="",MAX($A$8:$A915)=0),"",IF(AND($E916&lt;&gt;"",MAX($A$8:$A915)=0),1,IF(AND($E916&lt;&gt;"",MAX($A$8:$A915)&gt;0),MAX($A$8:$A915)+1,"")))</f>
        <v/>
      </c>
      <c r="B916" s="11">
        <v>909</v>
      </c>
      <c r="C916" s="19" t="str">
        <f t="shared" si="44"/>
        <v>EMPTY</v>
      </c>
      <c r="D916" s="3" t="str">
        <f t="shared" si="46"/>
        <v/>
      </c>
      <c r="E916" s="22"/>
      <c r="F916" s="8" t="str">
        <f t="shared" si="45"/>
        <v/>
      </c>
    </row>
    <row r="917" spans="1:6" x14ac:dyDescent="0.25">
      <c r="A917" s="13" t="str">
        <f>IF(AND($E917="",MAX($A$8:$A916)=0),"",IF(AND($E917&lt;&gt;"",MAX($A$8:$A916)=0),1,IF(AND($E917&lt;&gt;"",MAX($A$8:$A916)&gt;0),MAX($A$8:$A916)+1,"")))</f>
        <v/>
      </c>
      <c r="B917" s="11">
        <v>910</v>
      </c>
      <c r="C917" s="19" t="str">
        <f t="shared" si="44"/>
        <v>EMPTY</v>
      </c>
      <c r="D917" s="3" t="str">
        <f t="shared" si="46"/>
        <v/>
      </c>
      <c r="E917" s="22"/>
      <c r="F917" s="8" t="str">
        <f t="shared" si="45"/>
        <v/>
      </c>
    </row>
    <row r="918" spans="1:6" x14ac:dyDescent="0.25">
      <c r="A918" s="13" t="str">
        <f>IF(AND($E918="",MAX($A$8:$A917)=0),"",IF(AND($E918&lt;&gt;"",MAX($A$8:$A917)=0),1,IF(AND($E918&lt;&gt;"",MAX($A$8:$A917)&gt;0),MAX($A$8:$A917)+1,"")))</f>
        <v/>
      </c>
      <c r="B918" s="11">
        <v>911</v>
      </c>
      <c r="C918" s="19" t="str">
        <f t="shared" si="44"/>
        <v>EMPTY</v>
      </c>
      <c r="D918" s="3" t="str">
        <f t="shared" si="46"/>
        <v/>
      </c>
      <c r="E918" s="22"/>
      <c r="F918" s="8" t="str">
        <f t="shared" si="45"/>
        <v/>
      </c>
    </row>
    <row r="919" spans="1:6" x14ac:dyDescent="0.25">
      <c r="A919" s="13" t="str">
        <f>IF(AND($E919="",MAX($A$8:$A918)=0),"",IF(AND($E919&lt;&gt;"",MAX($A$8:$A918)=0),1,IF(AND($E919&lt;&gt;"",MAX($A$8:$A918)&gt;0),MAX($A$8:$A918)+1,"")))</f>
        <v/>
      </c>
      <c r="B919" s="11">
        <v>912</v>
      </c>
      <c r="C919" s="19" t="str">
        <f t="shared" si="44"/>
        <v>EMPTY</v>
      </c>
      <c r="D919" s="3" t="str">
        <f t="shared" si="46"/>
        <v/>
      </c>
      <c r="E919" s="22"/>
      <c r="F919" s="8" t="str">
        <f t="shared" si="45"/>
        <v/>
      </c>
    </row>
    <row r="920" spans="1:6" x14ac:dyDescent="0.25">
      <c r="A920" s="13" t="str">
        <f>IF(AND($E920="",MAX($A$8:$A919)=0),"",IF(AND($E920&lt;&gt;"",MAX($A$8:$A919)=0),1,IF(AND($E920&lt;&gt;"",MAX($A$8:$A919)&gt;0),MAX($A$8:$A919)+1,"")))</f>
        <v/>
      </c>
      <c r="B920" s="11">
        <v>913</v>
      </c>
      <c r="C920" s="19" t="str">
        <f t="shared" si="44"/>
        <v>EMPTY</v>
      </c>
      <c r="D920" s="3" t="str">
        <f t="shared" si="46"/>
        <v/>
      </c>
      <c r="E920" s="22"/>
      <c r="F920" s="8" t="str">
        <f t="shared" si="45"/>
        <v/>
      </c>
    </row>
    <row r="921" spans="1:6" x14ac:dyDescent="0.25">
      <c r="A921" s="13" t="str">
        <f>IF(AND($E921="",MAX($A$8:$A920)=0),"",IF(AND($E921&lt;&gt;"",MAX($A$8:$A920)=0),1,IF(AND($E921&lt;&gt;"",MAX($A$8:$A920)&gt;0),MAX($A$8:$A920)+1,"")))</f>
        <v/>
      </c>
      <c r="B921" s="11">
        <v>914</v>
      </c>
      <c r="C921" s="19" t="str">
        <f t="shared" si="44"/>
        <v>EMPTY</v>
      </c>
      <c r="D921" s="3" t="str">
        <f t="shared" si="46"/>
        <v/>
      </c>
      <c r="E921" s="22"/>
      <c r="F921" s="8" t="str">
        <f t="shared" si="45"/>
        <v/>
      </c>
    </row>
    <row r="922" spans="1:6" x14ac:dyDescent="0.25">
      <c r="A922" s="13" t="str">
        <f>IF(AND($E922="",MAX($A$8:$A921)=0),"",IF(AND($E922&lt;&gt;"",MAX($A$8:$A921)=0),1,IF(AND($E922&lt;&gt;"",MAX($A$8:$A921)&gt;0),MAX($A$8:$A921)+1,"")))</f>
        <v/>
      </c>
      <c r="B922" s="11">
        <v>915</v>
      </c>
      <c r="C922" s="19" t="str">
        <f t="shared" si="44"/>
        <v>EMPTY</v>
      </c>
      <c r="D922" s="3" t="str">
        <f t="shared" si="46"/>
        <v/>
      </c>
      <c r="E922" s="22"/>
      <c r="F922" s="8" t="str">
        <f t="shared" si="45"/>
        <v/>
      </c>
    </row>
    <row r="923" spans="1:6" x14ac:dyDescent="0.25">
      <c r="A923" s="13" t="str">
        <f>IF(AND($E923="",MAX($A$8:$A922)=0),"",IF(AND($E923&lt;&gt;"",MAX($A$8:$A922)=0),1,IF(AND($E923&lt;&gt;"",MAX($A$8:$A922)&gt;0),MAX($A$8:$A922)+1,"")))</f>
        <v/>
      </c>
      <c r="B923" s="11">
        <v>916</v>
      </c>
      <c r="C923" s="19" t="str">
        <f t="shared" si="44"/>
        <v>EMPTY</v>
      </c>
      <c r="D923" s="3" t="str">
        <f t="shared" si="46"/>
        <v/>
      </c>
      <c r="E923" s="22"/>
      <c r="F923" s="8" t="str">
        <f t="shared" si="45"/>
        <v/>
      </c>
    </row>
    <row r="924" spans="1:6" x14ac:dyDescent="0.25">
      <c r="A924" s="13" t="str">
        <f>IF(AND($E924="",MAX($A$8:$A923)=0),"",IF(AND($E924&lt;&gt;"",MAX($A$8:$A923)=0),1,IF(AND($E924&lt;&gt;"",MAX($A$8:$A923)&gt;0),MAX($A$8:$A923)+1,"")))</f>
        <v/>
      </c>
      <c r="B924" s="11">
        <v>917</v>
      </c>
      <c r="C924" s="19" t="str">
        <f t="shared" si="44"/>
        <v>EMPTY</v>
      </c>
      <c r="D924" s="3" t="str">
        <f t="shared" si="46"/>
        <v/>
      </c>
      <c r="E924" s="22"/>
      <c r="F924" s="8" t="str">
        <f t="shared" si="45"/>
        <v/>
      </c>
    </row>
    <row r="925" spans="1:6" x14ac:dyDescent="0.25">
      <c r="A925" s="13" t="str">
        <f>IF(AND($E925="",MAX($A$8:$A924)=0),"",IF(AND($E925&lt;&gt;"",MAX($A$8:$A924)=0),1,IF(AND($E925&lt;&gt;"",MAX($A$8:$A924)&gt;0),MAX($A$8:$A924)+1,"")))</f>
        <v/>
      </c>
      <c r="B925" s="11">
        <v>918</v>
      </c>
      <c r="C925" s="19" t="str">
        <f t="shared" si="44"/>
        <v>EMPTY</v>
      </c>
      <c r="D925" s="3" t="str">
        <f t="shared" si="46"/>
        <v/>
      </c>
      <c r="E925" s="22"/>
      <c r="F925" s="8" t="str">
        <f t="shared" si="45"/>
        <v/>
      </c>
    </row>
    <row r="926" spans="1:6" x14ac:dyDescent="0.25">
      <c r="A926" s="13" t="str">
        <f>IF(AND($E926="",MAX($A$8:$A925)=0),"",IF(AND($E926&lt;&gt;"",MAX($A$8:$A925)=0),1,IF(AND($E926&lt;&gt;"",MAX($A$8:$A925)&gt;0),MAX($A$8:$A925)+1,"")))</f>
        <v/>
      </c>
      <c r="B926" s="11">
        <v>919</v>
      </c>
      <c r="C926" s="19" t="str">
        <f t="shared" si="44"/>
        <v>EMPTY</v>
      </c>
      <c r="D926" s="3" t="str">
        <f t="shared" si="46"/>
        <v/>
      </c>
      <c r="E926" s="22"/>
      <c r="F926" s="8" t="str">
        <f t="shared" si="45"/>
        <v/>
      </c>
    </row>
    <row r="927" spans="1:6" x14ac:dyDescent="0.25">
      <c r="A927" s="13" t="str">
        <f>IF(AND($E927="",MAX($A$8:$A926)=0),"",IF(AND($E927&lt;&gt;"",MAX($A$8:$A926)=0),1,IF(AND($E927&lt;&gt;"",MAX($A$8:$A926)&gt;0),MAX($A$8:$A926)+1,"")))</f>
        <v/>
      </c>
      <c r="B927" s="11">
        <v>920</v>
      </c>
      <c r="C927" s="19" t="str">
        <f t="shared" si="44"/>
        <v>EMPTY</v>
      </c>
      <c r="D927" s="3" t="str">
        <f t="shared" si="46"/>
        <v/>
      </c>
      <c r="E927" s="22"/>
      <c r="F927" s="8" t="str">
        <f t="shared" si="45"/>
        <v/>
      </c>
    </row>
    <row r="928" spans="1:6" x14ac:dyDescent="0.25">
      <c r="A928" s="13" t="str">
        <f>IF(AND($E928="",MAX($A$8:$A927)=0),"",IF(AND($E928&lt;&gt;"",MAX($A$8:$A927)=0),1,IF(AND($E928&lt;&gt;"",MAX($A$8:$A927)&gt;0),MAX($A$8:$A927)+1,"")))</f>
        <v/>
      </c>
      <c r="B928" s="11">
        <v>921</v>
      </c>
      <c r="C928" s="19" t="str">
        <f t="shared" si="44"/>
        <v>EMPTY</v>
      </c>
      <c r="D928" s="3" t="str">
        <f t="shared" si="46"/>
        <v/>
      </c>
      <c r="E928" s="22"/>
      <c r="F928" s="8" t="str">
        <f t="shared" si="45"/>
        <v/>
      </c>
    </row>
    <row r="929" spans="1:6" x14ac:dyDescent="0.25">
      <c r="A929" s="13" t="str">
        <f>IF(AND($E929="",MAX($A$8:$A928)=0),"",IF(AND($E929&lt;&gt;"",MAX($A$8:$A928)=0),1,IF(AND($E929&lt;&gt;"",MAX($A$8:$A928)&gt;0),MAX($A$8:$A928)+1,"")))</f>
        <v/>
      </c>
      <c r="B929" s="11">
        <v>922</v>
      </c>
      <c r="C929" s="19" t="str">
        <f t="shared" si="44"/>
        <v>EMPTY</v>
      </c>
      <c r="D929" s="3" t="str">
        <f t="shared" si="46"/>
        <v/>
      </c>
      <c r="E929" s="22"/>
      <c r="F929" s="8" t="str">
        <f t="shared" si="45"/>
        <v/>
      </c>
    </row>
    <row r="930" spans="1:6" x14ac:dyDescent="0.25">
      <c r="A930" s="13" t="str">
        <f>IF(AND($E930="",MAX($A$8:$A929)=0),"",IF(AND($E930&lt;&gt;"",MAX($A$8:$A929)=0),1,IF(AND($E930&lt;&gt;"",MAX($A$8:$A929)&gt;0),MAX($A$8:$A929)+1,"")))</f>
        <v/>
      </c>
      <c r="B930" s="11">
        <v>923</v>
      </c>
      <c r="C930" s="19" t="str">
        <f t="shared" si="44"/>
        <v>EMPTY</v>
      </c>
      <c r="D930" s="3" t="str">
        <f t="shared" si="46"/>
        <v/>
      </c>
      <c r="E930" s="22"/>
      <c r="F930" s="8" t="str">
        <f t="shared" si="45"/>
        <v/>
      </c>
    </row>
    <row r="931" spans="1:6" x14ac:dyDescent="0.25">
      <c r="A931" s="13" t="str">
        <f>IF(AND($E931="",MAX($A$8:$A930)=0),"",IF(AND($E931&lt;&gt;"",MAX($A$8:$A930)=0),1,IF(AND($E931&lt;&gt;"",MAX($A$8:$A930)&gt;0),MAX($A$8:$A930)+1,"")))</f>
        <v/>
      </c>
      <c r="B931" s="11">
        <v>924</v>
      </c>
      <c r="C931" s="19" t="str">
        <f t="shared" si="44"/>
        <v>EMPTY</v>
      </c>
      <c r="D931" s="3" t="str">
        <f t="shared" si="46"/>
        <v/>
      </c>
      <c r="E931" s="22"/>
      <c r="F931" s="8" t="str">
        <f t="shared" si="45"/>
        <v/>
      </c>
    </row>
    <row r="932" spans="1:6" x14ac:dyDescent="0.25">
      <c r="A932" s="13" t="str">
        <f>IF(AND($E932="",MAX($A$8:$A931)=0),"",IF(AND($E932&lt;&gt;"",MAX($A$8:$A931)=0),1,IF(AND($E932&lt;&gt;"",MAX($A$8:$A931)&gt;0),MAX($A$8:$A931)+1,"")))</f>
        <v/>
      </c>
      <c r="B932" s="11">
        <v>925</v>
      </c>
      <c r="C932" s="19" t="str">
        <f t="shared" si="44"/>
        <v>EMPTY</v>
      </c>
      <c r="D932" s="3" t="str">
        <f t="shared" si="46"/>
        <v/>
      </c>
      <c r="E932" s="22"/>
      <c r="F932" s="8" t="str">
        <f t="shared" si="45"/>
        <v/>
      </c>
    </row>
    <row r="933" spans="1:6" x14ac:dyDescent="0.25">
      <c r="A933" s="13" t="str">
        <f>IF(AND($E933="",MAX($A$8:$A932)=0),"",IF(AND($E933&lt;&gt;"",MAX($A$8:$A932)=0),1,IF(AND($E933&lt;&gt;"",MAX($A$8:$A932)&gt;0),MAX($A$8:$A932)+1,"")))</f>
        <v/>
      </c>
      <c r="B933" s="11">
        <v>926</v>
      </c>
      <c r="C933" s="19" t="str">
        <f t="shared" si="44"/>
        <v>EMPTY</v>
      </c>
      <c r="D933" s="3" t="str">
        <f t="shared" si="46"/>
        <v/>
      </c>
      <c r="E933" s="22"/>
      <c r="F933" s="8" t="str">
        <f t="shared" si="45"/>
        <v/>
      </c>
    </row>
    <row r="934" spans="1:6" x14ac:dyDescent="0.25">
      <c r="A934" s="13" t="str">
        <f>IF(AND($E934="",MAX($A$8:$A933)=0),"",IF(AND($E934&lt;&gt;"",MAX($A$8:$A933)=0),1,IF(AND($E934&lt;&gt;"",MAX($A$8:$A933)&gt;0),MAX($A$8:$A933)+1,"")))</f>
        <v/>
      </c>
      <c r="B934" s="11">
        <v>927</v>
      </c>
      <c r="C934" s="19" t="str">
        <f t="shared" si="44"/>
        <v>EMPTY</v>
      </c>
      <c r="D934" s="3" t="str">
        <f t="shared" si="46"/>
        <v/>
      </c>
      <c r="E934" s="22"/>
      <c r="F934" s="8" t="str">
        <f t="shared" si="45"/>
        <v/>
      </c>
    </row>
    <row r="935" spans="1:6" x14ac:dyDescent="0.25">
      <c r="A935" s="13" t="str">
        <f>IF(AND($E935="",MAX($A$8:$A934)=0),"",IF(AND($E935&lt;&gt;"",MAX($A$8:$A934)=0),1,IF(AND($E935&lt;&gt;"",MAX($A$8:$A934)&gt;0),MAX($A$8:$A934)+1,"")))</f>
        <v/>
      </c>
      <c r="B935" s="11">
        <v>928</v>
      </c>
      <c r="C935" s="19" t="str">
        <f t="shared" si="44"/>
        <v>EMPTY</v>
      </c>
      <c r="D935" s="3" t="str">
        <f t="shared" si="46"/>
        <v/>
      </c>
      <c r="E935" s="22"/>
      <c r="F935" s="8" t="str">
        <f t="shared" si="45"/>
        <v/>
      </c>
    </row>
    <row r="936" spans="1:6" x14ac:dyDescent="0.25">
      <c r="A936" s="13" t="str">
        <f>IF(AND($E936="",MAX($A$8:$A935)=0),"",IF(AND($E936&lt;&gt;"",MAX($A$8:$A935)=0),1,IF(AND($E936&lt;&gt;"",MAX($A$8:$A935)&gt;0),MAX($A$8:$A935)+1,"")))</f>
        <v/>
      </c>
      <c r="B936" s="11">
        <v>929</v>
      </c>
      <c r="C936" s="19" t="str">
        <f t="shared" si="44"/>
        <v>EMPTY</v>
      </c>
      <c r="D936" s="3" t="str">
        <f t="shared" si="46"/>
        <v/>
      </c>
      <c r="E936" s="22"/>
      <c r="F936" s="8" t="str">
        <f t="shared" si="45"/>
        <v/>
      </c>
    </row>
    <row r="937" spans="1:6" x14ac:dyDescent="0.25">
      <c r="A937" s="13" t="str">
        <f>IF(AND($E937="",MAX($A$8:$A936)=0),"",IF(AND($E937&lt;&gt;"",MAX($A$8:$A936)=0),1,IF(AND($E937&lt;&gt;"",MAX($A$8:$A936)&gt;0),MAX($A$8:$A936)+1,"")))</f>
        <v/>
      </c>
      <c r="B937" s="11">
        <v>930</v>
      </c>
      <c r="C937" s="19" t="str">
        <f t="shared" si="44"/>
        <v>EMPTY</v>
      </c>
      <c r="D937" s="3" t="str">
        <f t="shared" si="46"/>
        <v/>
      </c>
      <c r="E937" s="22"/>
      <c r="F937" s="8" t="str">
        <f t="shared" si="45"/>
        <v/>
      </c>
    </row>
    <row r="938" spans="1:6" x14ac:dyDescent="0.25">
      <c r="A938" s="13" t="str">
        <f>IF(AND($E938="",MAX($A$8:$A937)=0),"",IF(AND($E938&lt;&gt;"",MAX($A$8:$A937)=0),1,IF(AND($E938&lt;&gt;"",MAX($A$8:$A937)&gt;0),MAX($A$8:$A937)+1,"")))</f>
        <v/>
      </c>
      <c r="B938" s="11">
        <v>931</v>
      </c>
      <c r="C938" s="19" t="str">
        <f t="shared" si="44"/>
        <v>EMPTY</v>
      </c>
      <c r="D938" s="3" t="str">
        <f t="shared" si="46"/>
        <v/>
      </c>
      <c r="E938" s="22"/>
      <c r="F938" s="8" t="str">
        <f t="shared" si="45"/>
        <v/>
      </c>
    </row>
    <row r="939" spans="1:6" x14ac:dyDescent="0.25">
      <c r="A939" s="13" t="str">
        <f>IF(AND($E939="",MAX($A$8:$A938)=0),"",IF(AND($E939&lt;&gt;"",MAX($A$8:$A938)=0),1,IF(AND($E939&lt;&gt;"",MAX($A$8:$A938)&gt;0),MAX($A$8:$A938)+1,"")))</f>
        <v/>
      </c>
      <c r="B939" s="11">
        <v>932</v>
      </c>
      <c r="C939" s="19" t="str">
        <f t="shared" si="44"/>
        <v>EMPTY</v>
      </c>
      <c r="D939" s="3" t="str">
        <f t="shared" si="46"/>
        <v/>
      </c>
      <c r="E939" s="22"/>
      <c r="F939" s="8" t="str">
        <f t="shared" si="45"/>
        <v/>
      </c>
    </row>
    <row r="940" spans="1:6" x14ac:dyDescent="0.25">
      <c r="A940" s="13" t="str">
        <f>IF(AND($E940="",MAX($A$8:$A939)=0),"",IF(AND($E940&lt;&gt;"",MAX($A$8:$A939)=0),1,IF(AND($E940&lt;&gt;"",MAX($A$8:$A939)&gt;0),MAX($A$8:$A939)+1,"")))</f>
        <v/>
      </c>
      <c r="B940" s="11">
        <v>933</v>
      </c>
      <c r="C940" s="19" t="str">
        <f t="shared" si="44"/>
        <v>EMPTY</v>
      </c>
      <c r="D940" s="3" t="str">
        <f t="shared" si="46"/>
        <v/>
      </c>
      <c r="E940" s="22"/>
      <c r="F940" s="8" t="str">
        <f t="shared" si="45"/>
        <v/>
      </c>
    </row>
    <row r="941" spans="1:6" x14ac:dyDescent="0.25">
      <c r="A941" s="13" t="str">
        <f>IF(AND($E941="",MAX($A$8:$A940)=0),"",IF(AND($E941&lt;&gt;"",MAX($A$8:$A940)=0),1,IF(AND($E941&lt;&gt;"",MAX($A$8:$A940)&gt;0),MAX($A$8:$A940)+1,"")))</f>
        <v/>
      </c>
      <c r="B941" s="11">
        <v>934</v>
      </c>
      <c r="C941" s="19" t="str">
        <f t="shared" si="44"/>
        <v>EMPTY</v>
      </c>
      <c r="D941" s="3" t="str">
        <f t="shared" si="46"/>
        <v/>
      </c>
      <c r="E941" s="22"/>
      <c r="F941" s="8" t="str">
        <f t="shared" si="45"/>
        <v/>
      </c>
    </row>
    <row r="942" spans="1:6" x14ac:dyDescent="0.25">
      <c r="A942" s="13" t="str">
        <f>IF(AND($E942="",MAX($A$8:$A941)=0),"",IF(AND($E942&lt;&gt;"",MAX($A$8:$A941)=0),1,IF(AND($E942&lt;&gt;"",MAX($A$8:$A941)&gt;0),MAX($A$8:$A941)+1,"")))</f>
        <v/>
      </c>
      <c r="B942" s="11">
        <v>935</v>
      </c>
      <c r="C942" s="19" t="str">
        <f t="shared" si="44"/>
        <v>EMPTY</v>
      </c>
      <c r="D942" s="3" t="str">
        <f t="shared" si="46"/>
        <v/>
      </c>
      <c r="E942" s="22"/>
      <c r="F942" s="8" t="str">
        <f t="shared" si="45"/>
        <v/>
      </c>
    </row>
    <row r="943" spans="1:6" x14ac:dyDescent="0.25">
      <c r="A943" s="13" t="str">
        <f>IF(AND($E943="",MAX($A$8:$A942)=0),"",IF(AND($E943&lt;&gt;"",MAX($A$8:$A942)=0),1,IF(AND($E943&lt;&gt;"",MAX($A$8:$A942)&gt;0),MAX($A$8:$A942)+1,"")))</f>
        <v/>
      </c>
      <c r="B943" s="11">
        <v>936</v>
      </c>
      <c r="C943" s="19" t="str">
        <f t="shared" si="44"/>
        <v>EMPTY</v>
      </c>
      <c r="D943" s="3" t="str">
        <f t="shared" si="46"/>
        <v/>
      </c>
      <c r="E943" s="22"/>
      <c r="F943" s="8" t="str">
        <f t="shared" si="45"/>
        <v/>
      </c>
    </row>
    <row r="944" spans="1:6" x14ac:dyDescent="0.25">
      <c r="A944" s="13" t="str">
        <f>IF(AND($E944="",MAX($A$8:$A943)=0),"",IF(AND($E944&lt;&gt;"",MAX($A$8:$A943)=0),1,IF(AND($E944&lt;&gt;"",MAX($A$8:$A943)&gt;0),MAX($A$8:$A943)+1,"")))</f>
        <v/>
      </c>
      <c r="B944" s="11">
        <v>937</v>
      </c>
      <c r="C944" s="19" t="str">
        <f t="shared" si="44"/>
        <v>EMPTY</v>
      </c>
      <c r="D944" s="3" t="str">
        <f t="shared" si="46"/>
        <v/>
      </c>
      <c r="E944" s="22"/>
      <c r="F944" s="8" t="str">
        <f t="shared" si="45"/>
        <v/>
      </c>
    </row>
    <row r="945" spans="1:6" x14ac:dyDescent="0.25">
      <c r="A945" s="13" t="str">
        <f>IF(AND($E945="",MAX($A$8:$A944)=0),"",IF(AND($E945&lt;&gt;"",MAX($A$8:$A944)=0),1,IF(AND($E945&lt;&gt;"",MAX($A$8:$A944)&gt;0),MAX($A$8:$A944)+1,"")))</f>
        <v/>
      </c>
      <c r="B945" s="11">
        <v>938</v>
      </c>
      <c r="C945" s="19" t="str">
        <f t="shared" si="44"/>
        <v>EMPTY</v>
      </c>
      <c r="D945" s="3" t="str">
        <f t="shared" si="46"/>
        <v/>
      </c>
      <c r="E945" s="22"/>
      <c r="F945" s="8" t="str">
        <f t="shared" si="45"/>
        <v/>
      </c>
    </row>
    <row r="946" spans="1:6" x14ac:dyDescent="0.25">
      <c r="A946" s="13" t="str">
        <f>IF(AND($E946="",MAX($A$8:$A945)=0),"",IF(AND($E946&lt;&gt;"",MAX($A$8:$A945)=0),1,IF(AND($E946&lt;&gt;"",MAX($A$8:$A945)&gt;0),MAX($A$8:$A945)+1,"")))</f>
        <v/>
      </c>
      <c r="B946" s="11">
        <v>939</v>
      </c>
      <c r="C946" s="19" t="str">
        <f t="shared" si="44"/>
        <v>EMPTY</v>
      </c>
      <c r="D946" s="3" t="str">
        <f t="shared" si="46"/>
        <v/>
      </c>
      <c r="E946" s="22"/>
      <c r="F946" s="8" t="str">
        <f t="shared" si="45"/>
        <v/>
      </c>
    </row>
    <row r="947" spans="1:6" x14ac:dyDescent="0.25">
      <c r="A947" s="13" t="str">
        <f>IF(AND($E947="",MAX($A$8:$A946)=0),"",IF(AND($E947&lt;&gt;"",MAX($A$8:$A946)=0),1,IF(AND($E947&lt;&gt;"",MAX($A$8:$A946)&gt;0),MAX($A$8:$A946)+1,"")))</f>
        <v/>
      </c>
      <c r="B947" s="11">
        <v>940</v>
      </c>
      <c r="C947" s="19" t="str">
        <f t="shared" si="44"/>
        <v>EMPTY</v>
      </c>
      <c r="D947" s="3" t="str">
        <f t="shared" si="46"/>
        <v/>
      </c>
      <c r="E947" s="22"/>
      <c r="F947" s="8" t="str">
        <f t="shared" si="45"/>
        <v/>
      </c>
    </row>
    <row r="948" spans="1:6" x14ac:dyDescent="0.25">
      <c r="A948" s="13" t="str">
        <f>IF(AND($E948="",MAX($A$8:$A947)=0),"",IF(AND($E948&lt;&gt;"",MAX($A$8:$A947)=0),1,IF(AND($E948&lt;&gt;"",MAX($A$8:$A947)&gt;0),MAX($A$8:$A947)+1,"")))</f>
        <v/>
      </c>
      <c r="B948" s="11">
        <v>941</v>
      </c>
      <c r="C948" s="19" t="str">
        <f t="shared" si="44"/>
        <v>EMPTY</v>
      </c>
      <c r="D948" s="3" t="str">
        <f t="shared" si="46"/>
        <v/>
      </c>
      <c r="E948" s="22"/>
      <c r="F948" s="8" t="str">
        <f t="shared" si="45"/>
        <v/>
      </c>
    </row>
    <row r="949" spans="1:6" x14ac:dyDescent="0.25">
      <c r="A949" s="13" t="str">
        <f>IF(AND($E949="",MAX($A$8:$A948)=0),"",IF(AND($E949&lt;&gt;"",MAX($A$8:$A948)=0),1,IF(AND($E949&lt;&gt;"",MAX($A$8:$A948)&gt;0),MAX($A$8:$A948)+1,"")))</f>
        <v/>
      </c>
      <c r="B949" s="11">
        <v>942</v>
      </c>
      <c r="C949" s="19" t="str">
        <f t="shared" si="44"/>
        <v>EMPTY</v>
      </c>
      <c r="D949" s="3" t="str">
        <f t="shared" si="46"/>
        <v/>
      </c>
      <c r="E949" s="22"/>
      <c r="F949" s="8" t="str">
        <f t="shared" si="45"/>
        <v/>
      </c>
    </row>
    <row r="950" spans="1:6" x14ac:dyDescent="0.25">
      <c r="A950" s="13" t="str">
        <f>IF(AND($E950="",MAX($A$8:$A949)=0),"",IF(AND($E950&lt;&gt;"",MAX($A$8:$A949)=0),1,IF(AND($E950&lt;&gt;"",MAX($A$8:$A949)&gt;0),MAX($A$8:$A949)+1,"")))</f>
        <v/>
      </c>
      <c r="B950" s="11">
        <v>943</v>
      </c>
      <c r="C950" s="19" t="str">
        <f t="shared" si="44"/>
        <v>EMPTY</v>
      </c>
      <c r="D950" s="3" t="str">
        <f t="shared" si="46"/>
        <v/>
      </c>
      <c r="E950" s="22"/>
      <c r="F950" s="8" t="str">
        <f t="shared" si="45"/>
        <v/>
      </c>
    </row>
    <row r="951" spans="1:6" x14ac:dyDescent="0.25">
      <c r="A951" s="13" t="str">
        <f>IF(AND($E951="",MAX($A$8:$A950)=0),"",IF(AND($E951&lt;&gt;"",MAX($A$8:$A950)=0),1,IF(AND($E951&lt;&gt;"",MAX($A$8:$A950)&gt;0),MAX($A$8:$A950)+1,"")))</f>
        <v/>
      </c>
      <c r="B951" s="11">
        <v>944</v>
      </c>
      <c r="C951" s="19" t="str">
        <f t="shared" si="44"/>
        <v>EMPTY</v>
      </c>
      <c r="D951" s="3" t="str">
        <f t="shared" si="46"/>
        <v/>
      </c>
      <c r="E951" s="22"/>
      <c r="F951" s="8" t="str">
        <f t="shared" si="45"/>
        <v/>
      </c>
    </row>
    <row r="952" spans="1:6" x14ac:dyDescent="0.25">
      <c r="A952" s="13" t="str">
        <f>IF(AND($E952="",MAX($A$8:$A951)=0),"",IF(AND($E952&lt;&gt;"",MAX($A$8:$A951)=0),1,IF(AND($E952&lt;&gt;"",MAX($A$8:$A951)&gt;0),MAX($A$8:$A951)+1,"")))</f>
        <v/>
      </c>
      <c r="B952" s="11">
        <v>945</v>
      </c>
      <c r="C952" s="19" t="str">
        <f t="shared" si="44"/>
        <v>EMPTY</v>
      </c>
      <c r="D952" s="3" t="str">
        <f t="shared" si="46"/>
        <v/>
      </c>
      <c r="E952" s="22"/>
      <c r="F952" s="8" t="str">
        <f t="shared" si="45"/>
        <v/>
      </c>
    </row>
    <row r="953" spans="1:6" x14ac:dyDescent="0.25">
      <c r="A953" s="13" t="str">
        <f>IF(AND($E953="",MAX($A$8:$A952)=0),"",IF(AND($E953&lt;&gt;"",MAX($A$8:$A952)=0),1,IF(AND($E953&lt;&gt;"",MAX($A$8:$A952)&gt;0),MAX($A$8:$A952)+1,"")))</f>
        <v/>
      </c>
      <c r="B953" s="11">
        <v>946</v>
      </c>
      <c r="C953" s="19" t="str">
        <f t="shared" si="44"/>
        <v>EMPTY</v>
      </c>
      <c r="D953" s="3" t="str">
        <f t="shared" si="46"/>
        <v/>
      </c>
      <c r="E953" s="22"/>
      <c r="F953" s="8" t="str">
        <f t="shared" si="45"/>
        <v/>
      </c>
    </row>
    <row r="954" spans="1:6" x14ac:dyDescent="0.25">
      <c r="A954" s="13" t="str">
        <f>IF(AND($E954="",MAX($A$8:$A953)=0),"",IF(AND($E954&lt;&gt;"",MAX($A$8:$A953)=0),1,IF(AND($E954&lt;&gt;"",MAX($A$8:$A953)&gt;0),MAX($A$8:$A953)+1,"")))</f>
        <v/>
      </c>
      <c r="B954" s="11">
        <v>947</v>
      </c>
      <c r="C954" s="19" t="str">
        <f t="shared" si="44"/>
        <v>EMPTY</v>
      </c>
      <c r="D954" s="3" t="str">
        <f t="shared" si="46"/>
        <v/>
      </c>
      <c r="E954" s="22"/>
      <c r="F954" s="8" t="str">
        <f t="shared" si="45"/>
        <v/>
      </c>
    </row>
    <row r="955" spans="1:6" x14ac:dyDescent="0.25">
      <c r="A955" s="13" t="str">
        <f>IF(AND($E955="",MAX($A$8:$A954)=0),"",IF(AND($E955&lt;&gt;"",MAX($A$8:$A954)=0),1,IF(AND($E955&lt;&gt;"",MAX($A$8:$A954)&gt;0),MAX($A$8:$A954)+1,"")))</f>
        <v/>
      </c>
      <c r="B955" s="11">
        <v>948</v>
      </c>
      <c r="C955" s="19" t="str">
        <f t="shared" si="44"/>
        <v>EMPTY</v>
      </c>
      <c r="D955" s="3" t="str">
        <f t="shared" si="46"/>
        <v/>
      </c>
      <c r="E955" s="22"/>
      <c r="F955" s="8" t="str">
        <f t="shared" si="45"/>
        <v/>
      </c>
    </row>
    <row r="956" spans="1:6" x14ac:dyDescent="0.25">
      <c r="A956" s="13" t="str">
        <f>IF(AND($E956="",MAX($A$8:$A955)=0),"",IF(AND($E956&lt;&gt;"",MAX($A$8:$A955)=0),1,IF(AND($E956&lt;&gt;"",MAX($A$8:$A955)&gt;0),MAX($A$8:$A955)+1,"")))</f>
        <v/>
      </c>
      <c r="B956" s="11">
        <v>949</v>
      </c>
      <c r="C956" s="19" t="str">
        <f t="shared" si="44"/>
        <v>EMPTY</v>
      </c>
      <c r="D956" s="3" t="str">
        <f t="shared" si="46"/>
        <v/>
      </c>
      <c r="E956" s="22"/>
      <c r="F956" s="8" t="str">
        <f t="shared" si="45"/>
        <v/>
      </c>
    </row>
    <row r="957" spans="1:6" x14ac:dyDescent="0.25">
      <c r="A957" s="13" t="str">
        <f>IF(AND($E957="",MAX($A$8:$A956)=0),"",IF(AND($E957&lt;&gt;"",MAX($A$8:$A956)=0),1,IF(AND($E957&lt;&gt;"",MAX($A$8:$A956)&gt;0),MAX($A$8:$A956)+1,"")))</f>
        <v/>
      </c>
      <c r="B957" s="11">
        <v>950</v>
      </c>
      <c r="C957" s="19" t="str">
        <f t="shared" si="44"/>
        <v>EMPTY</v>
      </c>
      <c r="D957" s="3" t="str">
        <f t="shared" si="46"/>
        <v/>
      </c>
      <c r="E957" s="22"/>
      <c r="F957" s="8" t="str">
        <f t="shared" si="45"/>
        <v/>
      </c>
    </row>
    <row r="958" spans="1:6" x14ac:dyDescent="0.25">
      <c r="A958" s="13" t="str">
        <f>IF(AND($E958="",MAX($A$8:$A957)=0),"",IF(AND($E958&lt;&gt;"",MAX($A$8:$A957)=0),1,IF(AND($E958&lt;&gt;"",MAX($A$8:$A957)&gt;0),MAX($A$8:$A957)+1,"")))</f>
        <v/>
      </c>
      <c r="B958" s="11">
        <v>951</v>
      </c>
      <c r="C958" s="19" t="str">
        <f t="shared" si="44"/>
        <v>EMPTY</v>
      </c>
      <c r="D958" s="3" t="str">
        <f t="shared" si="46"/>
        <v/>
      </c>
      <c r="E958" s="22"/>
      <c r="F958" s="8" t="str">
        <f t="shared" si="45"/>
        <v/>
      </c>
    </row>
    <row r="959" spans="1:6" x14ac:dyDescent="0.25">
      <c r="A959" s="13" t="str">
        <f>IF(AND($E959="",MAX($A$8:$A958)=0),"",IF(AND($E959&lt;&gt;"",MAX($A$8:$A958)=0),1,IF(AND($E959&lt;&gt;"",MAX($A$8:$A958)&gt;0),MAX($A$8:$A958)+1,"")))</f>
        <v/>
      </c>
      <c r="B959" s="11">
        <v>952</v>
      </c>
      <c r="C959" s="19" t="str">
        <f t="shared" si="44"/>
        <v>EMPTY</v>
      </c>
      <c r="D959" s="3" t="str">
        <f t="shared" si="46"/>
        <v/>
      </c>
      <c r="E959" s="22"/>
      <c r="F959" s="8" t="str">
        <f t="shared" si="45"/>
        <v/>
      </c>
    </row>
    <row r="960" spans="1:6" x14ac:dyDescent="0.25">
      <c r="A960" s="13" t="str">
        <f>IF(AND($E960="",MAX($A$8:$A959)=0),"",IF(AND($E960&lt;&gt;"",MAX($A$8:$A959)=0),1,IF(AND($E960&lt;&gt;"",MAX($A$8:$A959)&gt;0),MAX($A$8:$A959)+1,"")))</f>
        <v/>
      </c>
      <c r="B960" s="11">
        <v>953</v>
      </c>
      <c r="C960" s="19" t="str">
        <f t="shared" si="44"/>
        <v>EMPTY</v>
      </c>
      <c r="D960" s="3" t="str">
        <f t="shared" si="46"/>
        <v/>
      </c>
      <c r="E960" s="22"/>
      <c r="F960" s="8" t="str">
        <f t="shared" si="45"/>
        <v/>
      </c>
    </row>
    <row r="961" spans="1:6" x14ac:dyDescent="0.25">
      <c r="A961" s="13" t="str">
        <f>IF(AND($E961="",MAX($A$8:$A960)=0),"",IF(AND($E961&lt;&gt;"",MAX($A$8:$A960)=0),1,IF(AND($E961&lt;&gt;"",MAX($A$8:$A960)&gt;0),MAX($A$8:$A960)+1,"")))</f>
        <v/>
      </c>
      <c r="B961" s="11">
        <v>954</v>
      </c>
      <c r="C961" s="19" t="str">
        <f t="shared" si="44"/>
        <v>EMPTY</v>
      </c>
      <c r="D961" s="3" t="str">
        <f t="shared" si="46"/>
        <v/>
      </c>
      <c r="E961" s="22"/>
      <c r="F961" s="8" t="str">
        <f t="shared" si="45"/>
        <v/>
      </c>
    </row>
    <row r="962" spans="1:6" x14ac:dyDescent="0.25">
      <c r="A962" s="13" t="str">
        <f>IF(AND($E962="",MAX($A$8:$A961)=0),"",IF(AND($E962&lt;&gt;"",MAX($A$8:$A961)=0),1,IF(AND($E962&lt;&gt;"",MAX($A$8:$A961)&gt;0),MAX($A$8:$A961)+1,"")))</f>
        <v/>
      </c>
      <c r="B962" s="11">
        <v>955</v>
      </c>
      <c r="C962" s="19" t="str">
        <f t="shared" si="44"/>
        <v>EMPTY</v>
      </c>
      <c r="D962" s="3" t="str">
        <f t="shared" si="46"/>
        <v/>
      </c>
      <c r="E962" s="22"/>
      <c r="F962" s="8" t="str">
        <f t="shared" si="45"/>
        <v/>
      </c>
    </row>
    <row r="963" spans="1:6" x14ac:dyDescent="0.25">
      <c r="A963" s="13" t="str">
        <f>IF(AND($E963="",MAX($A$8:$A962)=0),"",IF(AND($E963&lt;&gt;"",MAX($A$8:$A962)=0),1,IF(AND($E963&lt;&gt;"",MAX($A$8:$A962)&gt;0),MAX($A$8:$A962)+1,"")))</f>
        <v/>
      </c>
      <c r="B963" s="11">
        <v>956</v>
      </c>
      <c r="C963" s="19" t="str">
        <f t="shared" si="44"/>
        <v>EMPTY</v>
      </c>
      <c r="D963" s="3" t="str">
        <f t="shared" si="46"/>
        <v/>
      </c>
      <c r="E963" s="22"/>
      <c r="F963" s="8" t="str">
        <f t="shared" si="45"/>
        <v/>
      </c>
    </row>
    <row r="964" spans="1:6" x14ac:dyDescent="0.25">
      <c r="A964" s="13" t="str">
        <f>IF(AND($E964="",MAX($A$8:$A963)=0),"",IF(AND($E964&lt;&gt;"",MAX($A$8:$A963)=0),1,IF(AND($E964&lt;&gt;"",MAX($A$8:$A963)&gt;0),MAX($A$8:$A963)+1,"")))</f>
        <v/>
      </c>
      <c r="B964" s="11">
        <v>957</v>
      </c>
      <c r="C964" s="19" t="str">
        <f t="shared" si="44"/>
        <v>EMPTY</v>
      </c>
      <c r="D964" s="3" t="str">
        <f t="shared" si="46"/>
        <v/>
      </c>
      <c r="E964" s="22"/>
      <c r="F964" s="8" t="str">
        <f t="shared" si="45"/>
        <v/>
      </c>
    </row>
    <row r="965" spans="1:6" x14ac:dyDescent="0.25">
      <c r="A965" s="13" t="str">
        <f>IF(AND($E965="",MAX($A$8:$A964)=0),"",IF(AND($E965&lt;&gt;"",MAX($A$8:$A964)=0),1,IF(AND($E965&lt;&gt;"",MAX($A$8:$A964)&gt;0),MAX($A$8:$A964)+1,"")))</f>
        <v/>
      </c>
      <c r="B965" s="11">
        <v>958</v>
      </c>
      <c r="C965" s="19" t="str">
        <f t="shared" si="44"/>
        <v>EMPTY</v>
      </c>
      <c r="D965" s="3" t="str">
        <f t="shared" si="46"/>
        <v/>
      </c>
      <c r="E965" s="22"/>
      <c r="F965" s="8" t="str">
        <f t="shared" si="45"/>
        <v/>
      </c>
    </row>
    <row r="966" spans="1:6" x14ac:dyDescent="0.25">
      <c r="A966" s="13" t="str">
        <f>IF(AND($E966="",MAX($A$8:$A965)=0),"",IF(AND($E966&lt;&gt;"",MAX($A$8:$A965)=0),1,IF(AND($E966&lt;&gt;"",MAX($A$8:$A965)&gt;0),MAX($A$8:$A965)+1,"")))</f>
        <v/>
      </c>
      <c r="B966" s="11">
        <v>959</v>
      </c>
      <c r="C966" s="19" t="str">
        <f t="shared" si="44"/>
        <v>EMPTY</v>
      </c>
      <c r="D966" s="3" t="str">
        <f t="shared" si="46"/>
        <v/>
      </c>
      <c r="E966" s="22"/>
      <c r="F966" s="8" t="str">
        <f t="shared" si="45"/>
        <v/>
      </c>
    </row>
    <row r="967" spans="1:6" x14ac:dyDescent="0.25">
      <c r="A967" s="13" t="str">
        <f>IF(AND($E967="",MAX($A$8:$A966)=0),"",IF(AND($E967&lt;&gt;"",MAX($A$8:$A966)=0),1,IF(AND($E967&lt;&gt;"",MAX($A$8:$A966)&gt;0),MAX($A$8:$A966)+1,"")))</f>
        <v/>
      </c>
      <c r="B967" s="11">
        <v>960</v>
      </c>
      <c r="C967" s="19" t="str">
        <f t="shared" si="44"/>
        <v>EMPTY</v>
      </c>
      <c r="D967" s="3" t="str">
        <f t="shared" si="46"/>
        <v/>
      </c>
      <c r="E967" s="22"/>
      <c r="F967" s="8" t="str">
        <f t="shared" si="45"/>
        <v/>
      </c>
    </row>
    <row r="968" spans="1:6" x14ac:dyDescent="0.25">
      <c r="A968" s="13" t="str">
        <f>IF(AND($E968="",MAX($A$8:$A967)=0),"",IF(AND($E968&lt;&gt;"",MAX($A$8:$A967)=0),1,IF(AND($E968&lt;&gt;"",MAX($A$8:$A967)&gt;0),MAX($A$8:$A967)+1,"")))</f>
        <v/>
      </c>
      <c r="B968" s="11">
        <v>961</v>
      </c>
      <c r="C968" s="19" t="str">
        <f t="shared" si="44"/>
        <v>EMPTY</v>
      </c>
      <c r="D968" s="3" t="str">
        <f t="shared" si="46"/>
        <v/>
      </c>
      <c r="E968" s="22"/>
      <c r="F968" s="8" t="str">
        <f t="shared" si="45"/>
        <v/>
      </c>
    </row>
    <row r="969" spans="1:6" x14ac:dyDescent="0.25">
      <c r="A969" s="13" t="str">
        <f>IF(AND($E969="",MAX($A$8:$A968)=0),"",IF(AND($E969&lt;&gt;"",MAX($A$8:$A968)=0),1,IF(AND($E969&lt;&gt;"",MAX($A$8:$A968)&gt;0),MAX($A$8:$A968)+1,"")))</f>
        <v/>
      </c>
      <c r="B969" s="11">
        <v>962</v>
      </c>
      <c r="C969" s="19" t="str">
        <f t="shared" ref="C969:C1007" si="47">IF($E969="","EMPTY",IF(COUNT(MID($E969,2,1))=0,"HIDE",IF(COUNT(MID($E969,2,1))=1,"SHOW","")))</f>
        <v>EMPTY</v>
      </c>
      <c r="D969" s="3" t="str">
        <f t="shared" si="46"/>
        <v/>
      </c>
      <c r="E969" s="22"/>
      <c r="F969" s="8" t="str">
        <f t="shared" ref="F969:F1007" si="48">$D969</f>
        <v/>
      </c>
    </row>
    <row r="970" spans="1:6" x14ac:dyDescent="0.25">
      <c r="A970" s="13" t="str">
        <f>IF(AND($E970="",MAX($A$8:$A969)=0),"",IF(AND($E970&lt;&gt;"",MAX($A$8:$A969)=0),1,IF(AND($E970&lt;&gt;"",MAX($A$8:$A969)&gt;0),MAX($A$8:$A969)+1,"")))</f>
        <v/>
      </c>
      <c r="B970" s="11">
        <v>963</v>
      </c>
      <c r="C970" s="19" t="str">
        <f t="shared" si="47"/>
        <v>EMPTY</v>
      </c>
      <c r="D970" s="3" t="str">
        <f t="shared" si="46"/>
        <v/>
      </c>
      <c r="E970" s="22"/>
      <c r="F970" s="8" t="str">
        <f t="shared" si="48"/>
        <v/>
      </c>
    </row>
    <row r="971" spans="1:6" x14ac:dyDescent="0.25">
      <c r="A971" s="13" t="str">
        <f>IF(AND($E971="",MAX($A$8:$A970)=0),"",IF(AND($E971&lt;&gt;"",MAX($A$8:$A970)=0),1,IF(AND($E971&lt;&gt;"",MAX($A$8:$A970)&gt;0),MAX($A$8:$A970)+1,"")))</f>
        <v/>
      </c>
      <c r="B971" s="11">
        <v>964</v>
      </c>
      <c r="C971" s="19" t="str">
        <f t="shared" si="47"/>
        <v>EMPTY</v>
      </c>
      <c r="D971" s="3" t="str">
        <f t="shared" si="46"/>
        <v/>
      </c>
      <c r="E971" s="22"/>
      <c r="F971" s="8" t="str">
        <f t="shared" si="48"/>
        <v/>
      </c>
    </row>
    <row r="972" spans="1:6" x14ac:dyDescent="0.25">
      <c r="A972" s="13" t="str">
        <f>IF(AND($E972="",MAX($A$8:$A971)=0),"",IF(AND($E972&lt;&gt;"",MAX($A$8:$A971)=0),1,IF(AND($E972&lt;&gt;"",MAX($A$8:$A971)&gt;0),MAX($A$8:$A971)+1,"")))</f>
        <v/>
      </c>
      <c r="B972" s="11">
        <v>965</v>
      </c>
      <c r="C972" s="19" t="str">
        <f t="shared" si="47"/>
        <v>EMPTY</v>
      </c>
      <c r="D972" s="3" t="str">
        <f t="shared" si="46"/>
        <v/>
      </c>
      <c r="E972" s="22"/>
      <c r="F972" s="8" t="str">
        <f t="shared" si="48"/>
        <v/>
      </c>
    </row>
    <row r="973" spans="1:6" x14ac:dyDescent="0.25">
      <c r="A973" s="13" t="str">
        <f>IF(AND($E973="",MAX($A$8:$A972)=0),"",IF(AND($E973&lt;&gt;"",MAX($A$8:$A972)=0),1,IF(AND($E973&lt;&gt;"",MAX($A$8:$A972)&gt;0),MAX($A$8:$A972)+1,"")))</f>
        <v/>
      </c>
      <c r="B973" s="11">
        <v>966</v>
      </c>
      <c r="C973" s="19" t="str">
        <f t="shared" si="47"/>
        <v>EMPTY</v>
      </c>
      <c r="D973" s="3" t="str">
        <f t="shared" si="46"/>
        <v/>
      </c>
      <c r="E973" s="22"/>
      <c r="F973" s="8" t="str">
        <f t="shared" si="48"/>
        <v/>
      </c>
    </row>
    <row r="974" spans="1:6" x14ac:dyDescent="0.25">
      <c r="A974" s="13" t="str">
        <f>IF(AND($E974="",MAX($A$8:$A973)=0),"",IF(AND($E974&lt;&gt;"",MAX($A$8:$A973)=0),1,IF(AND($E974&lt;&gt;"",MAX($A$8:$A973)&gt;0),MAX($A$8:$A973)+1,"")))</f>
        <v/>
      </c>
      <c r="B974" s="11">
        <v>967</v>
      </c>
      <c r="C974" s="19" t="str">
        <f t="shared" si="47"/>
        <v>EMPTY</v>
      </c>
      <c r="D974" s="3" t="str">
        <f t="shared" si="46"/>
        <v/>
      </c>
      <c r="E974" s="22"/>
      <c r="F974" s="8" t="str">
        <f t="shared" si="48"/>
        <v/>
      </c>
    </row>
    <row r="975" spans="1:6" x14ac:dyDescent="0.25">
      <c r="A975" s="13" t="str">
        <f>IF(AND($E975="",MAX($A$8:$A974)=0),"",IF(AND($E975&lt;&gt;"",MAX($A$8:$A974)=0),1,IF(AND($E975&lt;&gt;"",MAX($A$8:$A974)&gt;0),MAX($A$8:$A974)+1,"")))</f>
        <v/>
      </c>
      <c r="B975" s="11">
        <v>968</v>
      </c>
      <c r="C975" s="19" t="str">
        <f t="shared" si="47"/>
        <v>EMPTY</v>
      </c>
      <c r="D975" s="3" t="str">
        <f t="shared" si="46"/>
        <v/>
      </c>
      <c r="E975" s="22"/>
      <c r="F975" s="8" t="str">
        <f t="shared" si="48"/>
        <v/>
      </c>
    </row>
    <row r="976" spans="1:6" x14ac:dyDescent="0.25">
      <c r="A976" s="13" t="str">
        <f>IF(AND($E976="",MAX($A$8:$A975)=0),"",IF(AND($E976&lt;&gt;"",MAX($A$8:$A975)=0),1,IF(AND($E976&lt;&gt;"",MAX($A$8:$A975)&gt;0),MAX($A$8:$A975)+1,"")))</f>
        <v/>
      </c>
      <c r="B976" s="11">
        <v>969</v>
      </c>
      <c r="C976" s="19" t="str">
        <f t="shared" si="47"/>
        <v>EMPTY</v>
      </c>
      <c r="D976" s="3" t="str">
        <f t="shared" si="46"/>
        <v/>
      </c>
      <c r="E976" s="22"/>
      <c r="F976" s="8" t="str">
        <f t="shared" si="48"/>
        <v/>
      </c>
    </row>
    <row r="977" spans="1:6" x14ac:dyDescent="0.25">
      <c r="A977" s="13" t="str">
        <f>IF(AND($E977="",MAX($A$8:$A976)=0),"",IF(AND($E977&lt;&gt;"",MAX($A$8:$A976)=0),1,IF(AND($E977&lt;&gt;"",MAX($A$8:$A976)&gt;0),MAX($A$8:$A976)+1,"")))</f>
        <v/>
      </c>
      <c r="B977" s="11">
        <v>970</v>
      </c>
      <c r="C977" s="19" t="str">
        <f t="shared" si="47"/>
        <v>EMPTY</v>
      </c>
      <c r="D977" s="3" t="str">
        <f t="shared" ref="D977:D1007" si="49">IF(AND(OR($C977="EMPTY",$C977="HIDE",$C977=""),OR($C978="EMPTY",$C978="HIDE",$C978="")),"",IF(AND($C977="SHOW",OR($C978="EMPTY",$C978="HIDE",$C978="")),CONCATENATE("Dialogue: 0,0:",MID($E977,2,8),",0:",MID($E977,2,8),",Default,,0,0,0,,",MID($E977,11,1000)),IF(AND($C977="SHOW",$C978="SHOW"),CONCATENATE("Dialogue: 0,0:",MID($E977,2,8),",0:",MID($E978,2,8),",Default,,0,0,0,,",MID($E977,11,1000)),"")))</f>
        <v/>
      </c>
      <c r="E977" s="22"/>
      <c r="F977" s="8" t="str">
        <f t="shared" si="48"/>
        <v/>
      </c>
    </row>
    <row r="978" spans="1:6" x14ac:dyDescent="0.25">
      <c r="A978" s="13" t="str">
        <f>IF(AND($E978="",MAX($A$8:$A977)=0),"",IF(AND($E978&lt;&gt;"",MAX($A$8:$A977)=0),1,IF(AND($E978&lt;&gt;"",MAX($A$8:$A977)&gt;0),MAX($A$8:$A977)+1,"")))</f>
        <v/>
      </c>
      <c r="B978" s="11">
        <v>971</v>
      </c>
      <c r="C978" s="19" t="str">
        <f t="shared" si="47"/>
        <v>EMPTY</v>
      </c>
      <c r="D978" s="3" t="str">
        <f t="shared" si="49"/>
        <v/>
      </c>
      <c r="E978" s="22"/>
      <c r="F978" s="8" t="str">
        <f t="shared" si="48"/>
        <v/>
      </c>
    </row>
    <row r="979" spans="1:6" x14ac:dyDescent="0.25">
      <c r="A979" s="13" t="str">
        <f>IF(AND($E979="",MAX($A$8:$A978)=0),"",IF(AND($E979&lt;&gt;"",MAX($A$8:$A978)=0),1,IF(AND($E979&lt;&gt;"",MAX($A$8:$A978)&gt;0),MAX($A$8:$A978)+1,"")))</f>
        <v/>
      </c>
      <c r="B979" s="11">
        <v>972</v>
      </c>
      <c r="C979" s="19" t="str">
        <f t="shared" si="47"/>
        <v>EMPTY</v>
      </c>
      <c r="D979" s="3" t="str">
        <f t="shared" si="49"/>
        <v/>
      </c>
      <c r="E979" s="22"/>
      <c r="F979" s="8" t="str">
        <f t="shared" si="48"/>
        <v/>
      </c>
    </row>
    <row r="980" spans="1:6" x14ac:dyDescent="0.25">
      <c r="A980" s="13" t="str">
        <f>IF(AND($E980="",MAX($A$8:$A979)=0),"",IF(AND($E980&lt;&gt;"",MAX($A$8:$A979)=0),1,IF(AND($E980&lt;&gt;"",MAX($A$8:$A979)&gt;0),MAX($A$8:$A979)+1,"")))</f>
        <v/>
      </c>
      <c r="B980" s="11">
        <v>973</v>
      </c>
      <c r="C980" s="19" t="str">
        <f t="shared" si="47"/>
        <v>EMPTY</v>
      </c>
      <c r="D980" s="3" t="str">
        <f t="shared" si="49"/>
        <v/>
      </c>
      <c r="E980" s="22"/>
      <c r="F980" s="8" t="str">
        <f t="shared" si="48"/>
        <v/>
      </c>
    </row>
    <row r="981" spans="1:6" x14ac:dyDescent="0.25">
      <c r="A981" s="13" t="str">
        <f>IF(AND($E981="",MAX($A$8:$A980)=0),"",IF(AND($E981&lt;&gt;"",MAX($A$8:$A980)=0),1,IF(AND($E981&lt;&gt;"",MAX($A$8:$A980)&gt;0),MAX($A$8:$A980)+1,"")))</f>
        <v/>
      </c>
      <c r="B981" s="11">
        <v>974</v>
      </c>
      <c r="C981" s="19" t="str">
        <f t="shared" si="47"/>
        <v>EMPTY</v>
      </c>
      <c r="D981" s="3" t="str">
        <f t="shared" si="49"/>
        <v/>
      </c>
      <c r="E981" s="22"/>
      <c r="F981" s="8" t="str">
        <f t="shared" si="48"/>
        <v/>
      </c>
    </row>
    <row r="982" spans="1:6" x14ac:dyDescent="0.25">
      <c r="A982" s="13" t="str">
        <f>IF(AND($E982="",MAX($A$8:$A981)=0),"",IF(AND($E982&lt;&gt;"",MAX($A$8:$A981)=0),1,IF(AND($E982&lt;&gt;"",MAX($A$8:$A981)&gt;0),MAX($A$8:$A981)+1,"")))</f>
        <v/>
      </c>
      <c r="B982" s="11">
        <v>975</v>
      </c>
      <c r="C982" s="19" t="str">
        <f t="shared" si="47"/>
        <v>EMPTY</v>
      </c>
      <c r="D982" s="3" t="str">
        <f t="shared" si="49"/>
        <v/>
      </c>
      <c r="E982" s="22"/>
      <c r="F982" s="8" t="str">
        <f t="shared" si="48"/>
        <v/>
      </c>
    </row>
    <row r="983" spans="1:6" x14ac:dyDescent="0.25">
      <c r="A983" s="13" t="str">
        <f>IF(AND($E983="",MAX($A$8:$A982)=0),"",IF(AND($E983&lt;&gt;"",MAX($A$8:$A982)=0),1,IF(AND($E983&lt;&gt;"",MAX($A$8:$A982)&gt;0),MAX($A$8:$A982)+1,"")))</f>
        <v/>
      </c>
      <c r="B983" s="11">
        <v>976</v>
      </c>
      <c r="C983" s="19" t="str">
        <f t="shared" si="47"/>
        <v>EMPTY</v>
      </c>
      <c r="D983" s="3" t="str">
        <f t="shared" si="49"/>
        <v/>
      </c>
      <c r="E983" s="22"/>
      <c r="F983" s="8" t="str">
        <f t="shared" si="48"/>
        <v/>
      </c>
    </row>
    <row r="984" spans="1:6" x14ac:dyDescent="0.25">
      <c r="A984" s="13" t="str">
        <f>IF(AND($E984="",MAX($A$8:$A983)=0),"",IF(AND($E984&lt;&gt;"",MAX($A$8:$A983)=0),1,IF(AND($E984&lt;&gt;"",MAX($A$8:$A983)&gt;0),MAX($A$8:$A983)+1,"")))</f>
        <v/>
      </c>
      <c r="B984" s="11">
        <v>977</v>
      </c>
      <c r="C984" s="19" t="str">
        <f t="shared" si="47"/>
        <v>EMPTY</v>
      </c>
      <c r="D984" s="3" t="str">
        <f t="shared" si="49"/>
        <v/>
      </c>
      <c r="E984" s="22"/>
      <c r="F984" s="8" t="str">
        <f t="shared" si="48"/>
        <v/>
      </c>
    </row>
    <row r="985" spans="1:6" x14ac:dyDescent="0.25">
      <c r="A985" s="13" t="str">
        <f>IF(AND($E985="",MAX($A$8:$A984)=0),"",IF(AND($E985&lt;&gt;"",MAX($A$8:$A984)=0),1,IF(AND($E985&lt;&gt;"",MAX($A$8:$A984)&gt;0),MAX($A$8:$A984)+1,"")))</f>
        <v/>
      </c>
      <c r="B985" s="11">
        <v>978</v>
      </c>
      <c r="C985" s="19" t="str">
        <f t="shared" si="47"/>
        <v>EMPTY</v>
      </c>
      <c r="D985" s="3" t="str">
        <f t="shared" si="49"/>
        <v/>
      </c>
      <c r="E985" s="22"/>
      <c r="F985" s="8" t="str">
        <f t="shared" si="48"/>
        <v/>
      </c>
    </row>
    <row r="986" spans="1:6" x14ac:dyDescent="0.25">
      <c r="A986" s="13" t="str">
        <f>IF(AND($E986="",MAX($A$8:$A985)=0),"",IF(AND($E986&lt;&gt;"",MAX($A$8:$A985)=0),1,IF(AND($E986&lt;&gt;"",MAX($A$8:$A985)&gt;0),MAX($A$8:$A985)+1,"")))</f>
        <v/>
      </c>
      <c r="B986" s="11">
        <v>979</v>
      </c>
      <c r="C986" s="19" t="str">
        <f t="shared" si="47"/>
        <v>EMPTY</v>
      </c>
      <c r="D986" s="3" t="str">
        <f t="shared" si="49"/>
        <v/>
      </c>
      <c r="E986" s="22"/>
      <c r="F986" s="8" t="str">
        <f t="shared" si="48"/>
        <v/>
      </c>
    </row>
    <row r="987" spans="1:6" x14ac:dyDescent="0.25">
      <c r="A987" s="13" t="str">
        <f>IF(AND($E987="",MAX($A$8:$A986)=0),"",IF(AND($E987&lt;&gt;"",MAX($A$8:$A986)=0),1,IF(AND($E987&lt;&gt;"",MAX($A$8:$A986)&gt;0),MAX($A$8:$A986)+1,"")))</f>
        <v/>
      </c>
      <c r="B987" s="11">
        <v>980</v>
      </c>
      <c r="C987" s="19" t="str">
        <f t="shared" si="47"/>
        <v>EMPTY</v>
      </c>
      <c r="D987" s="3" t="str">
        <f t="shared" si="49"/>
        <v/>
      </c>
      <c r="E987" s="22"/>
      <c r="F987" s="8" t="str">
        <f t="shared" si="48"/>
        <v/>
      </c>
    </row>
    <row r="988" spans="1:6" x14ac:dyDescent="0.25">
      <c r="A988" s="13" t="str">
        <f>IF(AND($E988="",MAX($A$8:$A987)=0),"",IF(AND($E988&lt;&gt;"",MAX($A$8:$A987)=0),1,IF(AND($E988&lt;&gt;"",MAX($A$8:$A987)&gt;0),MAX($A$8:$A987)+1,"")))</f>
        <v/>
      </c>
      <c r="B988" s="11">
        <v>981</v>
      </c>
      <c r="C988" s="19" t="str">
        <f t="shared" si="47"/>
        <v>EMPTY</v>
      </c>
      <c r="D988" s="3" t="str">
        <f t="shared" si="49"/>
        <v/>
      </c>
      <c r="E988" s="22"/>
      <c r="F988" s="8" t="str">
        <f t="shared" si="48"/>
        <v/>
      </c>
    </row>
    <row r="989" spans="1:6" x14ac:dyDescent="0.25">
      <c r="A989" s="13" t="str">
        <f>IF(AND($E989="",MAX($A$8:$A988)=0),"",IF(AND($E989&lt;&gt;"",MAX($A$8:$A988)=0),1,IF(AND($E989&lt;&gt;"",MAX($A$8:$A988)&gt;0),MAX($A$8:$A988)+1,"")))</f>
        <v/>
      </c>
      <c r="B989" s="11">
        <v>982</v>
      </c>
      <c r="C989" s="19" t="str">
        <f t="shared" si="47"/>
        <v>EMPTY</v>
      </c>
      <c r="D989" s="3" t="str">
        <f t="shared" si="49"/>
        <v/>
      </c>
      <c r="E989" s="22"/>
      <c r="F989" s="8" t="str">
        <f t="shared" si="48"/>
        <v/>
      </c>
    </row>
    <row r="990" spans="1:6" x14ac:dyDescent="0.25">
      <c r="A990" s="13" t="str">
        <f>IF(AND($E990="",MAX($A$8:$A989)=0),"",IF(AND($E990&lt;&gt;"",MAX($A$8:$A989)=0),1,IF(AND($E990&lt;&gt;"",MAX($A$8:$A989)&gt;0),MAX($A$8:$A989)+1,"")))</f>
        <v/>
      </c>
      <c r="B990" s="11">
        <v>983</v>
      </c>
      <c r="C990" s="19" t="str">
        <f t="shared" si="47"/>
        <v>EMPTY</v>
      </c>
      <c r="D990" s="3" t="str">
        <f t="shared" si="49"/>
        <v/>
      </c>
      <c r="E990" s="22"/>
      <c r="F990" s="8" t="str">
        <f t="shared" si="48"/>
        <v/>
      </c>
    </row>
    <row r="991" spans="1:6" x14ac:dyDescent="0.25">
      <c r="A991" s="13" t="str">
        <f>IF(AND($E991="",MAX($A$8:$A990)=0),"",IF(AND($E991&lt;&gt;"",MAX($A$8:$A990)=0),1,IF(AND($E991&lt;&gt;"",MAX($A$8:$A990)&gt;0),MAX($A$8:$A990)+1,"")))</f>
        <v/>
      </c>
      <c r="B991" s="11">
        <v>984</v>
      </c>
      <c r="C991" s="19" t="str">
        <f t="shared" si="47"/>
        <v>EMPTY</v>
      </c>
      <c r="D991" s="3" t="str">
        <f t="shared" si="49"/>
        <v/>
      </c>
      <c r="E991" s="22"/>
      <c r="F991" s="8" t="str">
        <f t="shared" si="48"/>
        <v/>
      </c>
    </row>
    <row r="992" spans="1:6" x14ac:dyDescent="0.25">
      <c r="A992" s="13" t="str">
        <f>IF(AND($E992="",MAX($A$8:$A991)=0),"",IF(AND($E992&lt;&gt;"",MAX($A$8:$A991)=0),1,IF(AND($E992&lt;&gt;"",MAX($A$8:$A991)&gt;0),MAX($A$8:$A991)+1,"")))</f>
        <v/>
      </c>
      <c r="B992" s="11">
        <v>985</v>
      </c>
      <c r="C992" s="19" t="str">
        <f t="shared" si="47"/>
        <v>EMPTY</v>
      </c>
      <c r="D992" s="3" t="str">
        <f t="shared" si="49"/>
        <v/>
      </c>
      <c r="E992" s="22"/>
      <c r="F992" s="8" t="str">
        <f t="shared" si="48"/>
        <v/>
      </c>
    </row>
    <row r="993" spans="1:6" x14ac:dyDescent="0.25">
      <c r="A993" s="13" t="str">
        <f>IF(AND($E993="",MAX($A$8:$A992)=0),"",IF(AND($E993&lt;&gt;"",MAX($A$8:$A992)=0),1,IF(AND($E993&lt;&gt;"",MAX($A$8:$A992)&gt;0),MAX($A$8:$A992)+1,"")))</f>
        <v/>
      </c>
      <c r="B993" s="11">
        <v>986</v>
      </c>
      <c r="C993" s="19" t="str">
        <f t="shared" si="47"/>
        <v>EMPTY</v>
      </c>
      <c r="D993" s="3" t="str">
        <f t="shared" si="49"/>
        <v/>
      </c>
      <c r="E993" s="22"/>
      <c r="F993" s="8" t="str">
        <f t="shared" si="48"/>
        <v/>
      </c>
    </row>
    <row r="994" spans="1:6" x14ac:dyDescent="0.25">
      <c r="A994" s="13" t="str">
        <f>IF(AND($E994="",MAX($A$8:$A993)=0),"",IF(AND($E994&lt;&gt;"",MAX($A$8:$A993)=0),1,IF(AND($E994&lt;&gt;"",MAX($A$8:$A993)&gt;0),MAX($A$8:$A993)+1,"")))</f>
        <v/>
      </c>
      <c r="B994" s="11">
        <v>987</v>
      </c>
      <c r="C994" s="19" t="str">
        <f t="shared" si="47"/>
        <v>EMPTY</v>
      </c>
      <c r="D994" s="3" t="str">
        <f t="shared" si="49"/>
        <v/>
      </c>
      <c r="E994" s="22"/>
      <c r="F994" s="8" t="str">
        <f t="shared" si="48"/>
        <v/>
      </c>
    </row>
    <row r="995" spans="1:6" x14ac:dyDescent="0.25">
      <c r="A995" s="13" t="str">
        <f>IF(AND($E995="",MAX($A$8:$A994)=0),"",IF(AND($E995&lt;&gt;"",MAX($A$8:$A994)=0),1,IF(AND($E995&lt;&gt;"",MAX($A$8:$A994)&gt;0),MAX($A$8:$A994)+1,"")))</f>
        <v/>
      </c>
      <c r="B995" s="11">
        <v>988</v>
      </c>
      <c r="C995" s="19" t="str">
        <f t="shared" si="47"/>
        <v>EMPTY</v>
      </c>
      <c r="D995" s="3" t="str">
        <f t="shared" si="49"/>
        <v/>
      </c>
      <c r="E995" s="22"/>
      <c r="F995" s="8" t="str">
        <f t="shared" si="48"/>
        <v/>
      </c>
    </row>
    <row r="996" spans="1:6" x14ac:dyDescent="0.25">
      <c r="A996" s="13" t="str">
        <f>IF(AND($E996="",MAX($A$8:$A995)=0),"",IF(AND($E996&lt;&gt;"",MAX($A$8:$A995)=0),1,IF(AND($E996&lt;&gt;"",MAX($A$8:$A995)&gt;0),MAX($A$8:$A995)+1,"")))</f>
        <v/>
      </c>
      <c r="B996" s="11">
        <v>989</v>
      </c>
      <c r="C996" s="19" t="str">
        <f t="shared" si="47"/>
        <v>EMPTY</v>
      </c>
      <c r="D996" s="3" t="str">
        <f t="shared" si="49"/>
        <v/>
      </c>
      <c r="E996" s="22"/>
      <c r="F996" s="8" t="str">
        <f t="shared" si="48"/>
        <v/>
      </c>
    </row>
    <row r="997" spans="1:6" x14ac:dyDescent="0.25">
      <c r="A997" s="13" t="str">
        <f>IF(AND($E997="",MAX($A$8:$A996)=0),"",IF(AND($E997&lt;&gt;"",MAX($A$8:$A996)=0),1,IF(AND($E997&lt;&gt;"",MAX($A$8:$A996)&gt;0),MAX($A$8:$A996)+1,"")))</f>
        <v/>
      </c>
      <c r="B997" s="11">
        <v>990</v>
      </c>
      <c r="C997" s="19" t="str">
        <f t="shared" si="47"/>
        <v>EMPTY</v>
      </c>
      <c r="D997" s="3" t="str">
        <f t="shared" si="49"/>
        <v/>
      </c>
      <c r="E997" s="22"/>
      <c r="F997" s="8" t="str">
        <f t="shared" si="48"/>
        <v/>
      </c>
    </row>
    <row r="998" spans="1:6" x14ac:dyDescent="0.25">
      <c r="A998" s="13" t="str">
        <f>IF(AND($E998="",MAX($A$8:$A997)=0),"",IF(AND($E998&lt;&gt;"",MAX($A$8:$A997)=0),1,IF(AND($E998&lt;&gt;"",MAX($A$8:$A997)&gt;0),MAX($A$8:$A997)+1,"")))</f>
        <v/>
      </c>
      <c r="B998" s="11">
        <v>991</v>
      </c>
      <c r="C998" s="19" t="str">
        <f t="shared" si="47"/>
        <v>EMPTY</v>
      </c>
      <c r="D998" s="3" t="str">
        <f t="shared" si="49"/>
        <v/>
      </c>
      <c r="E998" s="22"/>
      <c r="F998" s="8" t="str">
        <f t="shared" si="48"/>
        <v/>
      </c>
    </row>
    <row r="999" spans="1:6" x14ac:dyDescent="0.25">
      <c r="A999" s="13" t="str">
        <f>IF(AND($E999="",MAX($A$8:$A998)=0),"",IF(AND($E999&lt;&gt;"",MAX($A$8:$A998)=0),1,IF(AND($E999&lt;&gt;"",MAX($A$8:$A998)&gt;0),MAX($A$8:$A998)+1,"")))</f>
        <v/>
      </c>
      <c r="B999" s="11">
        <v>992</v>
      </c>
      <c r="C999" s="19" t="str">
        <f t="shared" si="47"/>
        <v>EMPTY</v>
      </c>
      <c r="D999" s="3" t="str">
        <f t="shared" si="49"/>
        <v/>
      </c>
      <c r="E999" s="22"/>
      <c r="F999" s="8" t="str">
        <f t="shared" si="48"/>
        <v/>
      </c>
    </row>
    <row r="1000" spans="1:6" x14ac:dyDescent="0.25">
      <c r="A1000" s="13" t="str">
        <f>IF(AND($E1000="",MAX($A$8:$A999)=0),"",IF(AND($E1000&lt;&gt;"",MAX($A$8:$A999)=0),1,IF(AND($E1000&lt;&gt;"",MAX($A$8:$A999)&gt;0),MAX($A$8:$A999)+1,"")))</f>
        <v/>
      </c>
      <c r="B1000" s="11">
        <v>993</v>
      </c>
      <c r="C1000" s="19" t="str">
        <f t="shared" si="47"/>
        <v>EMPTY</v>
      </c>
      <c r="D1000" s="3" t="str">
        <f t="shared" si="49"/>
        <v/>
      </c>
      <c r="E1000" s="22"/>
      <c r="F1000" s="8" t="str">
        <f t="shared" si="48"/>
        <v/>
      </c>
    </row>
    <row r="1001" spans="1:6" x14ac:dyDescent="0.25">
      <c r="A1001" s="13" t="str">
        <f>IF(AND($E1001="",MAX($A$8:$A1000)=0),"",IF(AND($E1001&lt;&gt;"",MAX($A$8:$A1000)=0),1,IF(AND($E1001&lt;&gt;"",MAX($A$8:$A1000)&gt;0),MAX($A$8:$A1000)+1,"")))</f>
        <v/>
      </c>
      <c r="B1001" s="11">
        <v>994</v>
      </c>
      <c r="C1001" s="19" t="str">
        <f t="shared" si="47"/>
        <v>EMPTY</v>
      </c>
      <c r="D1001" s="3" t="str">
        <f t="shared" si="49"/>
        <v/>
      </c>
      <c r="E1001" s="22"/>
      <c r="F1001" s="8" t="str">
        <f t="shared" si="48"/>
        <v/>
      </c>
    </row>
    <row r="1002" spans="1:6" x14ac:dyDescent="0.25">
      <c r="A1002" s="13" t="str">
        <f>IF(AND($E1002="",MAX($A$8:$A1001)=0),"",IF(AND($E1002&lt;&gt;"",MAX($A$8:$A1001)=0),1,IF(AND($E1002&lt;&gt;"",MAX($A$8:$A1001)&gt;0),MAX($A$8:$A1001)+1,"")))</f>
        <v/>
      </c>
      <c r="B1002" s="11">
        <v>995</v>
      </c>
      <c r="C1002" s="19" t="str">
        <f t="shared" si="47"/>
        <v>EMPTY</v>
      </c>
      <c r="D1002" s="3" t="str">
        <f t="shared" si="49"/>
        <v/>
      </c>
      <c r="E1002" s="22"/>
      <c r="F1002" s="8" t="str">
        <f t="shared" si="48"/>
        <v/>
      </c>
    </row>
    <row r="1003" spans="1:6" x14ac:dyDescent="0.25">
      <c r="A1003" s="13" t="str">
        <f>IF(AND($E1003="",MAX($A$8:$A1002)=0),"",IF(AND($E1003&lt;&gt;"",MAX($A$8:$A1002)=0),1,IF(AND($E1003&lt;&gt;"",MAX($A$8:$A1002)&gt;0),MAX($A$8:$A1002)+1,"")))</f>
        <v/>
      </c>
      <c r="B1003" s="11">
        <v>996</v>
      </c>
      <c r="C1003" s="19" t="str">
        <f t="shared" si="47"/>
        <v>EMPTY</v>
      </c>
      <c r="D1003" s="3" t="str">
        <f t="shared" si="49"/>
        <v/>
      </c>
      <c r="E1003" s="22"/>
      <c r="F1003" s="8" t="str">
        <f t="shared" si="48"/>
        <v/>
      </c>
    </row>
    <row r="1004" spans="1:6" x14ac:dyDescent="0.25">
      <c r="A1004" s="13" t="str">
        <f>IF(AND($E1004="",MAX($A$8:$A1003)=0),"",IF(AND($E1004&lt;&gt;"",MAX($A$8:$A1003)=0),1,IF(AND($E1004&lt;&gt;"",MAX($A$8:$A1003)&gt;0),MAX($A$8:$A1003)+1,"")))</f>
        <v/>
      </c>
      <c r="B1004" s="11">
        <v>997</v>
      </c>
      <c r="C1004" s="19" t="str">
        <f t="shared" si="47"/>
        <v>EMPTY</v>
      </c>
      <c r="D1004" s="3" t="str">
        <f t="shared" si="49"/>
        <v/>
      </c>
      <c r="E1004" s="22"/>
      <c r="F1004" s="8" t="str">
        <f t="shared" si="48"/>
        <v/>
      </c>
    </row>
    <row r="1005" spans="1:6" x14ac:dyDescent="0.25">
      <c r="A1005" s="13" t="str">
        <f>IF(AND($E1005="",MAX($A$8:$A1004)=0),"",IF(AND($E1005&lt;&gt;"",MAX($A$8:$A1004)=0),1,IF(AND($E1005&lt;&gt;"",MAX($A$8:$A1004)&gt;0),MAX($A$8:$A1004)+1,"")))</f>
        <v/>
      </c>
      <c r="B1005" s="11">
        <v>998</v>
      </c>
      <c r="C1005" s="19" t="str">
        <f t="shared" si="47"/>
        <v>EMPTY</v>
      </c>
      <c r="D1005" s="3" t="str">
        <f t="shared" si="49"/>
        <v/>
      </c>
      <c r="E1005" s="22"/>
      <c r="F1005" s="8" t="str">
        <f t="shared" si="48"/>
        <v/>
      </c>
    </row>
    <row r="1006" spans="1:6" x14ac:dyDescent="0.25">
      <c r="A1006" s="13" t="str">
        <f>IF(AND($E1006="",MAX($A$8:$A1005)=0),"",IF(AND($E1006&lt;&gt;"",MAX($A$8:$A1005)=0),1,IF(AND($E1006&lt;&gt;"",MAX($A$8:$A1005)&gt;0),MAX($A$8:$A1005)+1,"")))</f>
        <v/>
      </c>
      <c r="B1006" s="11">
        <v>999</v>
      </c>
      <c r="C1006" s="19" t="str">
        <f t="shared" si="47"/>
        <v>EMPTY</v>
      </c>
      <c r="D1006" s="3" t="str">
        <f t="shared" si="49"/>
        <v/>
      </c>
      <c r="E1006" s="22"/>
      <c r="F1006" s="8" t="str">
        <f t="shared" si="48"/>
        <v/>
      </c>
    </row>
    <row r="1007" spans="1:6" x14ac:dyDescent="0.25">
      <c r="A1007" s="13" t="str">
        <f>IF(AND($E1007="",MAX($A$8:$A1006)=0),"",IF(AND($E1007&lt;&gt;"",MAX($A$8:$A1006)=0),1,IF(AND($E1007&lt;&gt;"",MAX($A$8:$A1006)&gt;0),MAX($A$8:$A1006)+1,"")))</f>
        <v/>
      </c>
      <c r="B1007" s="11">
        <v>1000</v>
      </c>
      <c r="C1007" s="19" t="str">
        <f t="shared" si="47"/>
        <v>EMPTY</v>
      </c>
      <c r="D1007" s="3" t="str">
        <f t="shared" si="49"/>
        <v/>
      </c>
      <c r="E1007" s="22"/>
      <c r="F1007" s="8" t="str">
        <f t="shared" si="48"/>
        <v/>
      </c>
    </row>
    <row r="1008" spans="1:6" x14ac:dyDescent="0.25">
      <c r="A1008" s="52" t="s">
        <v>18</v>
      </c>
      <c r="B1008" s="52"/>
      <c r="C1008" s="52"/>
      <c r="D1008" s="52"/>
      <c r="E1008" s="52"/>
      <c r="F1008" s="52"/>
    </row>
    <row r="1009" spans="1:6" x14ac:dyDescent="0.25">
      <c r="A1009" s="52"/>
      <c r="B1009" s="52"/>
      <c r="C1009" s="52"/>
      <c r="D1009" s="52"/>
      <c r="E1009" s="52"/>
      <c r="F1009" s="52"/>
    </row>
    <row r="1010" spans="1:6" hidden="1" x14ac:dyDescent="0.25">
      <c r="A1010" s="10"/>
      <c r="B1010" s="10"/>
      <c r="C1010" s="21"/>
      <c r="D1010" s="6"/>
      <c r="E1010" s="6"/>
    </row>
    <row r="1011" spans="1:6" hidden="1" x14ac:dyDescent="0.25">
      <c r="A1011" s="10"/>
      <c r="B1011" s="10"/>
      <c r="C1011" s="21"/>
      <c r="D1011" s="6"/>
      <c r="E1011" s="6"/>
    </row>
    <row r="1012" spans="1:6" hidden="1" x14ac:dyDescent="0.25">
      <c r="A1012" s="10"/>
      <c r="B1012" s="10"/>
      <c r="C1012" s="21"/>
      <c r="D1012" s="6"/>
      <c r="E1012" s="6"/>
    </row>
    <row r="1013" spans="1:6" hidden="1" x14ac:dyDescent="0.25">
      <c r="A1013" s="10"/>
      <c r="B1013" s="10"/>
      <c r="C1013" s="21"/>
      <c r="D1013" s="6"/>
      <c r="E1013" s="6"/>
    </row>
    <row r="1014" spans="1:6" hidden="1" x14ac:dyDescent="0.25">
      <c r="A1014" s="10"/>
      <c r="B1014" s="10"/>
      <c r="C1014" s="21"/>
      <c r="D1014" s="6"/>
      <c r="E1014" s="6"/>
    </row>
    <row r="1015" spans="1:6" hidden="1" x14ac:dyDescent="0.25">
      <c r="A1015" s="10"/>
      <c r="B1015" s="10"/>
      <c r="C1015" s="21"/>
      <c r="D1015" s="6"/>
      <c r="E1015" s="6"/>
    </row>
  </sheetData>
  <mergeCells count="2">
    <mergeCell ref="A6:F6"/>
    <mergeCell ref="A1008:F1009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FB1015"/>
  <sheetViews>
    <sheetView showGridLines="0"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 customHeight="1" zeroHeight="1" x14ac:dyDescent="0.25"/>
  <cols>
    <col min="1" max="1" width="5.7109375" style="5" customWidth="1"/>
    <col min="2" max="2" width="12.5703125" style="5" hidden="1" customWidth="1"/>
    <col min="3" max="3" width="11.5703125" style="20" hidden="1" customWidth="1"/>
    <col min="4" max="4" width="21.42578125" style="3" hidden="1" customWidth="1"/>
    <col min="5" max="5" width="92.7109375" style="3" customWidth="1"/>
    <col min="6" max="6" width="92.7109375" style="6" customWidth="1"/>
    <col min="7" max="7" width="9.140625" hidden="1"/>
    <col min="8" max="16382" width="9.140625" style="4" hidden="1"/>
    <col min="16383" max="16384" width="8.42578125" style="4" hidden="1"/>
  </cols>
  <sheetData>
    <row r="1" spans="1:85" x14ac:dyDescent="0.25">
      <c r="A1" s="17"/>
      <c r="B1" s="17"/>
      <c r="C1" s="19"/>
      <c r="D1" s="17"/>
      <c r="E1" s="17"/>
      <c r="F1" s="17"/>
    </row>
    <row r="2" spans="1:85" ht="15.75" customHeight="1" x14ac:dyDescent="0.25">
      <c r="A2" s="17"/>
      <c r="B2" s="17"/>
      <c r="C2" s="19"/>
      <c r="D2" s="17"/>
      <c r="E2" s="17"/>
      <c r="F2" s="17"/>
    </row>
    <row r="3" spans="1:85" ht="15.75" customHeight="1" x14ac:dyDescent="0.25">
      <c r="A3" s="17"/>
      <c r="B3" s="17"/>
      <c r="C3" s="19"/>
      <c r="D3" s="17"/>
      <c r="E3" s="17"/>
      <c r="F3" s="17"/>
    </row>
    <row r="4" spans="1:85" x14ac:dyDescent="0.25">
      <c r="A4" s="17"/>
      <c r="B4" s="17"/>
      <c r="C4" s="19"/>
      <c r="D4" s="17"/>
      <c r="E4" s="17"/>
      <c r="F4" s="17"/>
    </row>
    <row r="5" spans="1:85" x14ac:dyDescent="0.25">
      <c r="A5" s="17"/>
      <c r="B5" s="17"/>
      <c r="C5" s="19"/>
      <c r="D5" s="17"/>
      <c r="E5" s="17"/>
      <c r="F5" s="17"/>
    </row>
    <row r="6" spans="1:85" x14ac:dyDescent="0.25">
      <c r="A6" s="51" t="str">
        <f>IF(COUNTIF($C$8:$C$1007,"SHOW")&gt;0,"Paste copied text to notepad then save as LRC, or paste directly to LRC editor such as Minilyrics.","")</f>
        <v/>
      </c>
      <c r="B6" s="51"/>
      <c r="C6" s="51"/>
      <c r="D6" s="51"/>
      <c r="E6" s="51"/>
      <c r="F6" s="51"/>
    </row>
    <row r="7" spans="1:85" x14ac:dyDescent="0.25">
      <c r="A7" s="14"/>
      <c r="B7" s="12" t="s">
        <v>4</v>
      </c>
      <c r="C7" s="12" t="s">
        <v>3</v>
      </c>
      <c r="D7" s="9" t="s">
        <v>0</v>
      </c>
      <c r="E7" s="15" t="s">
        <v>1</v>
      </c>
      <c r="F7" s="16" t="s">
        <v>2</v>
      </c>
    </row>
    <row r="8" spans="1:85" x14ac:dyDescent="0.25">
      <c r="A8" s="13" t="str">
        <f>IF($E8&lt;&gt;"",1,"")</f>
        <v/>
      </c>
      <c r="B8" s="11"/>
      <c r="C8" s="19" t="str">
        <f>IF($E8="","EMPTY",IF(MID($E8,1,9)&lt;&gt;"Dialogue:","HIDE",IF(MID($E8,1,9)="Dialogue:","SHOW","")))</f>
        <v>EMPTY</v>
      </c>
      <c r="D8" s="3" t="str">
        <f>IF($C8="SHOW",CONCATENATE("[",MID($E8,FIND(",",$E8,1)+3,8),"]",MID($E8,FIND("0,,",$E8,1)+3,1000)),"")</f>
        <v/>
      </c>
      <c r="E8" s="7"/>
      <c r="F8" s="8" t="str">
        <f>$D8</f>
        <v/>
      </c>
      <c r="G8" t="s">
        <v>5</v>
      </c>
      <c r="H8" s="4" t="s">
        <v>5</v>
      </c>
      <c r="I8" s="4" t="s">
        <v>5</v>
      </c>
      <c r="J8" s="4" t="s">
        <v>5</v>
      </c>
      <c r="K8" s="4" t="s">
        <v>5</v>
      </c>
      <c r="L8" s="4" t="s">
        <v>5</v>
      </c>
      <c r="M8" s="4" t="s">
        <v>5</v>
      </c>
      <c r="N8" s="4" t="s">
        <v>5</v>
      </c>
      <c r="O8" s="4" t="s">
        <v>5</v>
      </c>
      <c r="P8" s="4" t="s">
        <v>5</v>
      </c>
      <c r="Q8" s="4" t="s">
        <v>5</v>
      </c>
      <c r="R8" s="4" t="s">
        <v>5</v>
      </c>
      <c r="S8" s="4" t="s">
        <v>5</v>
      </c>
      <c r="T8" s="4" t="s">
        <v>5</v>
      </c>
      <c r="U8" s="4" t="s">
        <v>5</v>
      </c>
      <c r="V8" s="4" t="s">
        <v>5</v>
      </c>
      <c r="W8" s="4" t="s">
        <v>5</v>
      </c>
      <c r="X8" s="4" t="s">
        <v>5</v>
      </c>
      <c r="Y8" s="4" t="s">
        <v>5</v>
      </c>
      <c r="Z8" s="4" t="s">
        <v>5</v>
      </c>
      <c r="AA8" s="4" t="s">
        <v>5</v>
      </c>
      <c r="AB8" s="4" t="s">
        <v>5</v>
      </c>
      <c r="AC8" s="4" t="s">
        <v>5</v>
      </c>
      <c r="AD8" s="4" t="s">
        <v>5</v>
      </c>
      <c r="AE8" s="4" t="s">
        <v>5</v>
      </c>
      <c r="AF8" s="4" t="s">
        <v>5</v>
      </c>
      <c r="AG8" s="4" t="s">
        <v>5</v>
      </c>
      <c r="AH8" s="4" t="s">
        <v>5</v>
      </c>
      <c r="AI8" s="4" t="s">
        <v>5</v>
      </c>
      <c r="AJ8" s="4" t="s">
        <v>5</v>
      </c>
      <c r="AK8" s="4" t="s">
        <v>5</v>
      </c>
      <c r="AL8" s="4" t="s">
        <v>5</v>
      </c>
      <c r="AM8" s="4" t="s">
        <v>5</v>
      </c>
      <c r="AN8" s="4" t="s">
        <v>5</v>
      </c>
      <c r="AO8" s="4" t="s">
        <v>5</v>
      </c>
      <c r="AP8" s="4" t="s">
        <v>5</v>
      </c>
      <c r="AQ8" s="4" t="s">
        <v>5</v>
      </c>
      <c r="AR8" s="4" t="s">
        <v>5</v>
      </c>
      <c r="AS8" s="4" t="s">
        <v>5</v>
      </c>
      <c r="AT8" s="4" t="s">
        <v>5</v>
      </c>
      <c r="AU8" s="4" t="s">
        <v>5</v>
      </c>
      <c r="AV8" s="4" t="s">
        <v>5</v>
      </c>
      <c r="AW8" s="4" t="s">
        <v>5</v>
      </c>
      <c r="AX8" s="4" t="s">
        <v>5</v>
      </c>
      <c r="AY8" s="4" t="s">
        <v>5</v>
      </c>
      <c r="AZ8" s="4" t="s">
        <v>5</v>
      </c>
      <c r="BA8" s="4" t="s">
        <v>5</v>
      </c>
      <c r="BB8" s="4" t="s">
        <v>5</v>
      </c>
      <c r="BC8" s="4" t="s">
        <v>5</v>
      </c>
      <c r="BD8" s="4" t="s">
        <v>5</v>
      </c>
      <c r="BE8" s="4" t="s">
        <v>5</v>
      </c>
      <c r="BF8" s="4" t="s">
        <v>5</v>
      </c>
      <c r="BG8" s="4" t="s">
        <v>5</v>
      </c>
      <c r="BH8" s="4" t="s">
        <v>5</v>
      </c>
      <c r="BI8" s="4" t="s">
        <v>5</v>
      </c>
      <c r="BJ8" s="4" t="s">
        <v>5</v>
      </c>
      <c r="BK8" s="4" t="s">
        <v>5</v>
      </c>
      <c r="BL8" s="4" t="s">
        <v>5</v>
      </c>
      <c r="BM8" s="4" t="s">
        <v>5</v>
      </c>
      <c r="BN8" s="4" t="s">
        <v>5</v>
      </c>
      <c r="BO8" s="4" t="s">
        <v>5</v>
      </c>
      <c r="BP8" s="4" t="s">
        <v>5</v>
      </c>
      <c r="BQ8" s="4" t="s">
        <v>5</v>
      </c>
      <c r="BR8" s="4" t="s">
        <v>5</v>
      </c>
      <c r="BS8" s="4" t="s">
        <v>5</v>
      </c>
      <c r="BT8" s="4" t="s">
        <v>5</v>
      </c>
      <c r="BU8" s="4" t="s">
        <v>5</v>
      </c>
      <c r="BV8" s="4" t="s">
        <v>5</v>
      </c>
      <c r="BW8" s="4" t="s">
        <v>5</v>
      </c>
      <c r="BX8" s="4" t="s">
        <v>5</v>
      </c>
      <c r="BY8" s="4" t="s">
        <v>5</v>
      </c>
      <c r="BZ8" s="4" t="s">
        <v>5</v>
      </c>
      <c r="CA8" s="4" t="s">
        <v>5</v>
      </c>
      <c r="CB8" s="4" t="s">
        <v>5</v>
      </c>
      <c r="CC8" s="4" t="s">
        <v>5</v>
      </c>
      <c r="CD8" s="4" t="s">
        <v>5</v>
      </c>
      <c r="CE8" s="4" t="s">
        <v>5</v>
      </c>
      <c r="CF8" s="4" t="s">
        <v>5</v>
      </c>
      <c r="CG8" s="4" t="s">
        <v>5</v>
      </c>
    </row>
    <row r="9" spans="1:85" x14ac:dyDescent="0.25">
      <c r="A9" s="13" t="str">
        <f>IF(AND($E9="",MAX($A$8:$A8)=0),"",IF(AND($E9&lt;&gt;"",MAX($A$8:$A8)=0),1,IF(AND($E9&lt;&gt;"",MAX($A$8:$A8)&gt;0),MAX($A$8:$A8)+1,"")))</f>
        <v/>
      </c>
      <c r="B9" s="11"/>
      <c r="C9" s="19" t="str">
        <f t="shared" ref="C9:C72" si="0">IF($E9="","EMPTY",IF(MID($E9,1,9)&lt;&gt;"Dialogue:","HIDE",IF(MID($E9,1,9)="Dialogue:","SHOW","")))</f>
        <v>EMPTY</v>
      </c>
      <c r="D9" s="3" t="str">
        <f t="shared" ref="D9:D72" si="1">IF($C9="SHOW",CONCATENATE("[",MID($E9,FIND(",",$E9,1)+3,8),"]",MID($E9,FIND("0,,",$E9,1)+3,1000)),"")</f>
        <v/>
      </c>
      <c r="E9" s="7"/>
      <c r="F9" s="8" t="str">
        <f t="shared" ref="F9:F72" si="2">$D9</f>
        <v/>
      </c>
      <c r="I9" s="4" t="s">
        <v>5</v>
      </c>
      <c r="J9" s="4" t="s">
        <v>5</v>
      </c>
      <c r="K9" s="4" t="s">
        <v>5</v>
      </c>
      <c r="L9" s="4" t="s">
        <v>5</v>
      </c>
      <c r="M9" s="4" t="s">
        <v>5</v>
      </c>
      <c r="N9" s="4" t="s">
        <v>5</v>
      </c>
      <c r="O9" s="4" t="s">
        <v>5</v>
      </c>
      <c r="P9" s="4" t="s">
        <v>5</v>
      </c>
      <c r="Q9" s="4" t="s">
        <v>5</v>
      </c>
      <c r="R9" s="4" t="s">
        <v>5</v>
      </c>
      <c r="S9" s="4" t="s">
        <v>5</v>
      </c>
      <c r="T9" s="4" t="s">
        <v>5</v>
      </c>
      <c r="U9" s="4" t="s">
        <v>5</v>
      </c>
      <c r="V9" s="4" t="s">
        <v>5</v>
      </c>
      <c r="W9" s="4" t="s">
        <v>5</v>
      </c>
      <c r="X9" s="4" t="s">
        <v>5</v>
      </c>
      <c r="Y9" s="4" t="s">
        <v>5</v>
      </c>
      <c r="Z9" s="4" t="s">
        <v>5</v>
      </c>
      <c r="AA9" s="4" t="s">
        <v>5</v>
      </c>
      <c r="AB9" s="4" t="s">
        <v>5</v>
      </c>
      <c r="AC9" s="4" t="s">
        <v>5</v>
      </c>
      <c r="AD9" s="4" t="s">
        <v>5</v>
      </c>
      <c r="AE9" s="4" t="s">
        <v>5</v>
      </c>
      <c r="AF9" s="4" t="s">
        <v>5</v>
      </c>
      <c r="AG9" s="4" t="s">
        <v>5</v>
      </c>
      <c r="AH9" s="4" t="s">
        <v>5</v>
      </c>
      <c r="AI9" s="4" t="s">
        <v>5</v>
      </c>
      <c r="AJ9" s="4" t="s">
        <v>5</v>
      </c>
      <c r="AK9" s="4" t="s">
        <v>5</v>
      </c>
      <c r="AL9" s="4" t="s">
        <v>5</v>
      </c>
      <c r="AM9" s="4" t="s">
        <v>5</v>
      </c>
      <c r="AN9" s="4" t="s">
        <v>5</v>
      </c>
      <c r="AO9" s="4" t="s">
        <v>5</v>
      </c>
      <c r="AP9" s="4" t="s">
        <v>5</v>
      </c>
      <c r="AQ9" s="4" t="s">
        <v>5</v>
      </c>
      <c r="AR9" s="4" t="s">
        <v>5</v>
      </c>
      <c r="AS9" s="4" t="s">
        <v>5</v>
      </c>
      <c r="AT9" s="4" t="s">
        <v>5</v>
      </c>
      <c r="AU9" s="4" t="s">
        <v>5</v>
      </c>
      <c r="AV9" s="4" t="s">
        <v>5</v>
      </c>
      <c r="AW9" s="4" t="s">
        <v>5</v>
      </c>
      <c r="AX9" s="4" t="s">
        <v>5</v>
      </c>
      <c r="AY9" s="4" t="s">
        <v>5</v>
      </c>
      <c r="AZ9" s="4" t="s">
        <v>5</v>
      </c>
      <c r="BA9" s="4" t="s">
        <v>5</v>
      </c>
      <c r="BB9" s="4" t="s">
        <v>5</v>
      </c>
      <c r="BC9" s="4" t="s">
        <v>5</v>
      </c>
      <c r="BD9" s="4" t="s">
        <v>5</v>
      </c>
      <c r="BE9" s="4" t="s">
        <v>5</v>
      </c>
      <c r="BF9" s="4" t="s">
        <v>5</v>
      </c>
      <c r="BG9" s="4" t="s">
        <v>5</v>
      </c>
      <c r="BH9" s="4" t="s">
        <v>5</v>
      </c>
      <c r="BI9" s="4" t="s">
        <v>5</v>
      </c>
      <c r="BJ9" s="4" t="s">
        <v>5</v>
      </c>
      <c r="BK9" s="4" t="s">
        <v>5</v>
      </c>
      <c r="BL9" s="4" t="s">
        <v>5</v>
      </c>
      <c r="BM9" s="4" t="s">
        <v>5</v>
      </c>
      <c r="BN9" s="4" t="s">
        <v>5</v>
      </c>
      <c r="BO9" s="4" t="s">
        <v>5</v>
      </c>
      <c r="BP9" s="4" t="s">
        <v>5</v>
      </c>
      <c r="BQ9" s="4" t="s">
        <v>5</v>
      </c>
      <c r="BR9" s="4" t="s">
        <v>5</v>
      </c>
      <c r="BS9" s="4" t="s">
        <v>5</v>
      </c>
      <c r="BT9" s="4" t="s">
        <v>5</v>
      </c>
      <c r="BU9" s="4" t="s">
        <v>5</v>
      </c>
      <c r="BV9" s="4" t="s">
        <v>5</v>
      </c>
      <c r="BW9" s="4" t="s">
        <v>5</v>
      </c>
      <c r="BX9" s="4" t="s">
        <v>5</v>
      </c>
      <c r="BY9" s="4" t="s">
        <v>5</v>
      </c>
      <c r="BZ9" s="4" t="s">
        <v>5</v>
      </c>
      <c r="CA9" s="4" t="s">
        <v>5</v>
      </c>
      <c r="CB9" s="4" t="s">
        <v>5</v>
      </c>
      <c r="CC9" s="4" t="s">
        <v>5</v>
      </c>
      <c r="CD9" s="4" t="s">
        <v>5</v>
      </c>
      <c r="CE9" s="4" t="s">
        <v>5</v>
      </c>
      <c r="CF9" s="4" t="s">
        <v>5</v>
      </c>
      <c r="CG9" s="4" t="s">
        <v>5</v>
      </c>
    </row>
    <row r="10" spans="1:85" x14ac:dyDescent="0.25">
      <c r="A10" s="13" t="str">
        <f>IF(AND($E10="",MAX($A$8:$A9)=0),"",IF(AND($E10&lt;&gt;"",MAX($A$8:$A9)=0),1,IF(AND($E10&lt;&gt;"",MAX($A$8:$A9)&gt;0),MAX($A$8:$A9)+1,"")))</f>
        <v/>
      </c>
      <c r="B10" s="11"/>
      <c r="C10" s="19" t="str">
        <f t="shared" si="0"/>
        <v>EMPTY</v>
      </c>
      <c r="D10" s="3" t="str">
        <f t="shared" si="1"/>
        <v/>
      </c>
      <c r="E10" s="7"/>
      <c r="F10" s="8" t="str">
        <f t="shared" si="2"/>
        <v/>
      </c>
      <c r="I10" s="4" t="s">
        <v>5</v>
      </c>
      <c r="J10" s="4" t="s">
        <v>5</v>
      </c>
      <c r="K10" s="4" t="s">
        <v>5</v>
      </c>
      <c r="L10" s="4" t="s">
        <v>5</v>
      </c>
      <c r="M10" s="4" t="s">
        <v>5</v>
      </c>
      <c r="N10" s="4" t="s">
        <v>5</v>
      </c>
      <c r="O10" s="4" t="s">
        <v>5</v>
      </c>
      <c r="P10" s="4" t="s">
        <v>5</v>
      </c>
      <c r="Q10" s="4" t="s">
        <v>5</v>
      </c>
      <c r="R10" s="4" t="s">
        <v>5</v>
      </c>
      <c r="S10" s="4" t="s">
        <v>5</v>
      </c>
      <c r="T10" s="4" t="s">
        <v>5</v>
      </c>
      <c r="U10" s="4" t="s">
        <v>5</v>
      </c>
      <c r="V10" s="4" t="s">
        <v>5</v>
      </c>
      <c r="W10" s="4" t="s">
        <v>5</v>
      </c>
      <c r="X10" s="4" t="s">
        <v>5</v>
      </c>
      <c r="Y10" s="4" t="s">
        <v>5</v>
      </c>
      <c r="Z10" s="4" t="s">
        <v>5</v>
      </c>
      <c r="AA10" s="4" t="s">
        <v>5</v>
      </c>
      <c r="AB10" s="4" t="s">
        <v>5</v>
      </c>
      <c r="AC10" s="4" t="s">
        <v>5</v>
      </c>
      <c r="AD10" s="4" t="s">
        <v>5</v>
      </c>
      <c r="AE10" s="4" t="s">
        <v>5</v>
      </c>
      <c r="AF10" s="4" t="s">
        <v>5</v>
      </c>
      <c r="AG10" s="4" t="s">
        <v>5</v>
      </c>
      <c r="AH10" s="4" t="s">
        <v>5</v>
      </c>
      <c r="AI10" s="4" t="s">
        <v>5</v>
      </c>
      <c r="AJ10" s="4" t="s">
        <v>5</v>
      </c>
      <c r="AK10" s="4" t="s">
        <v>5</v>
      </c>
      <c r="AL10" s="4" t="s">
        <v>5</v>
      </c>
      <c r="AM10" s="4" t="s">
        <v>5</v>
      </c>
      <c r="AN10" s="4" t="s">
        <v>5</v>
      </c>
      <c r="AO10" s="4" t="s">
        <v>5</v>
      </c>
      <c r="AP10" s="4" t="s">
        <v>5</v>
      </c>
      <c r="AQ10" s="4" t="s">
        <v>5</v>
      </c>
      <c r="AR10" s="4" t="s">
        <v>5</v>
      </c>
      <c r="AS10" s="4" t="s">
        <v>5</v>
      </c>
      <c r="AT10" s="4" t="s">
        <v>5</v>
      </c>
      <c r="AU10" s="4" t="s">
        <v>5</v>
      </c>
      <c r="AV10" s="4" t="s">
        <v>5</v>
      </c>
      <c r="AW10" s="4" t="s">
        <v>5</v>
      </c>
      <c r="AX10" s="4" t="s">
        <v>5</v>
      </c>
      <c r="AY10" s="4" t="s">
        <v>5</v>
      </c>
      <c r="AZ10" s="4" t="s">
        <v>5</v>
      </c>
      <c r="BA10" s="4" t="s">
        <v>5</v>
      </c>
      <c r="BB10" s="4" t="s">
        <v>5</v>
      </c>
      <c r="BC10" s="4" t="s">
        <v>5</v>
      </c>
      <c r="BD10" s="4" t="s">
        <v>5</v>
      </c>
      <c r="BE10" s="4" t="s">
        <v>5</v>
      </c>
      <c r="BF10" s="4" t="s">
        <v>5</v>
      </c>
      <c r="BG10" s="4" t="s">
        <v>5</v>
      </c>
      <c r="BH10" s="4" t="s">
        <v>5</v>
      </c>
      <c r="BI10" s="4" t="s">
        <v>5</v>
      </c>
      <c r="BJ10" s="4" t="s">
        <v>5</v>
      </c>
      <c r="BK10" s="4" t="s">
        <v>5</v>
      </c>
      <c r="BL10" s="4" t="s">
        <v>5</v>
      </c>
      <c r="BM10" s="4" t="s">
        <v>5</v>
      </c>
      <c r="BN10" s="4" t="s">
        <v>5</v>
      </c>
      <c r="BO10" s="4" t="s">
        <v>5</v>
      </c>
      <c r="BP10" s="4" t="s">
        <v>5</v>
      </c>
      <c r="BQ10" s="4" t="s">
        <v>5</v>
      </c>
      <c r="BR10" s="4" t="s">
        <v>5</v>
      </c>
      <c r="BS10" s="4" t="s">
        <v>5</v>
      </c>
      <c r="BT10" s="4" t="s">
        <v>5</v>
      </c>
      <c r="BU10" s="4" t="s">
        <v>5</v>
      </c>
      <c r="BV10" s="4" t="s">
        <v>5</v>
      </c>
      <c r="BW10" s="4" t="s">
        <v>5</v>
      </c>
      <c r="BX10" s="4" t="s">
        <v>5</v>
      </c>
      <c r="BY10" s="4" t="s">
        <v>5</v>
      </c>
      <c r="BZ10" s="4" t="s">
        <v>5</v>
      </c>
      <c r="CA10" s="4" t="s">
        <v>5</v>
      </c>
      <c r="CB10" s="4" t="s">
        <v>5</v>
      </c>
      <c r="CC10" s="4" t="s">
        <v>5</v>
      </c>
      <c r="CD10" s="4" t="s">
        <v>5</v>
      </c>
      <c r="CE10" s="4" t="s">
        <v>5</v>
      </c>
      <c r="CF10" s="4" t="s">
        <v>5</v>
      </c>
      <c r="CG10" s="4" t="s">
        <v>5</v>
      </c>
    </row>
    <row r="11" spans="1:85" x14ac:dyDescent="0.25">
      <c r="A11" s="13" t="str">
        <f>IF(AND($E11="",MAX($A$8:$A10)=0),"",IF(AND($E11&lt;&gt;"",MAX($A$8:$A10)=0),1,IF(AND($E11&lt;&gt;"",MAX($A$8:$A10)&gt;0),MAX($A$8:$A10)+1,"")))</f>
        <v/>
      </c>
      <c r="B11" s="11"/>
      <c r="C11" s="19" t="str">
        <f t="shared" si="0"/>
        <v>EMPTY</v>
      </c>
      <c r="D11" s="3" t="str">
        <f t="shared" si="1"/>
        <v/>
      </c>
      <c r="E11" s="7"/>
      <c r="F11" s="8" t="str">
        <f t="shared" si="2"/>
        <v/>
      </c>
      <c r="I11" s="4" t="s">
        <v>5</v>
      </c>
      <c r="J11" s="4" t="s">
        <v>5</v>
      </c>
      <c r="K11" s="4" t="s">
        <v>5</v>
      </c>
      <c r="L11" s="4" t="s">
        <v>5</v>
      </c>
      <c r="M11" s="4" t="s">
        <v>5</v>
      </c>
      <c r="N11" s="4" t="s">
        <v>5</v>
      </c>
      <c r="O11" s="4" t="s">
        <v>5</v>
      </c>
      <c r="P11" s="4" t="s">
        <v>5</v>
      </c>
      <c r="Q11" s="4" t="s">
        <v>5</v>
      </c>
      <c r="R11" s="4" t="s">
        <v>5</v>
      </c>
      <c r="S11" s="4" t="s">
        <v>5</v>
      </c>
      <c r="T11" s="4" t="s">
        <v>5</v>
      </c>
      <c r="U11" s="4" t="s">
        <v>5</v>
      </c>
      <c r="V11" s="4" t="s">
        <v>5</v>
      </c>
      <c r="W11" s="4" t="s">
        <v>5</v>
      </c>
      <c r="X11" s="4" t="s">
        <v>5</v>
      </c>
      <c r="Y11" s="4" t="s">
        <v>5</v>
      </c>
      <c r="Z11" s="4" t="s">
        <v>5</v>
      </c>
      <c r="AA11" s="4" t="s">
        <v>5</v>
      </c>
      <c r="AB11" s="4" t="s">
        <v>5</v>
      </c>
      <c r="AC11" s="4" t="s">
        <v>5</v>
      </c>
      <c r="AD11" s="4" t="s">
        <v>5</v>
      </c>
      <c r="AE11" s="4" t="s">
        <v>5</v>
      </c>
      <c r="AF11" s="4" t="s">
        <v>5</v>
      </c>
      <c r="AG11" s="4" t="s">
        <v>5</v>
      </c>
      <c r="AH11" s="4" t="s">
        <v>5</v>
      </c>
      <c r="AI11" s="4" t="s">
        <v>5</v>
      </c>
      <c r="AJ11" s="4" t="s">
        <v>5</v>
      </c>
      <c r="AK11" s="4" t="s">
        <v>5</v>
      </c>
      <c r="AL11" s="4" t="s">
        <v>5</v>
      </c>
      <c r="AM11" s="4" t="s">
        <v>5</v>
      </c>
      <c r="AN11" s="4" t="s">
        <v>5</v>
      </c>
      <c r="AO11" s="4" t="s">
        <v>5</v>
      </c>
      <c r="AP11" s="4" t="s">
        <v>5</v>
      </c>
      <c r="AQ11" s="4" t="s">
        <v>5</v>
      </c>
      <c r="AR11" s="4" t="s">
        <v>5</v>
      </c>
      <c r="AS11" s="4" t="s">
        <v>5</v>
      </c>
      <c r="AT11" s="4" t="s">
        <v>5</v>
      </c>
      <c r="AU11" s="4" t="s">
        <v>5</v>
      </c>
      <c r="AV11" s="4" t="s">
        <v>5</v>
      </c>
      <c r="AW11" s="4" t="s">
        <v>5</v>
      </c>
      <c r="AX11" s="4" t="s">
        <v>5</v>
      </c>
      <c r="AY11" s="4" t="s">
        <v>5</v>
      </c>
      <c r="AZ11" s="4" t="s">
        <v>5</v>
      </c>
      <c r="BA11" s="4" t="s">
        <v>5</v>
      </c>
      <c r="BB11" s="4" t="s">
        <v>5</v>
      </c>
      <c r="BC11" s="4" t="s">
        <v>5</v>
      </c>
      <c r="BD11" s="4" t="s">
        <v>5</v>
      </c>
      <c r="BE11" s="4" t="s">
        <v>5</v>
      </c>
      <c r="BF11" s="4" t="s">
        <v>5</v>
      </c>
      <c r="BG11" s="4" t="s">
        <v>5</v>
      </c>
      <c r="BH11" s="4" t="s">
        <v>5</v>
      </c>
      <c r="BI11" s="4" t="s">
        <v>5</v>
      </c>
      <c r="BJ11" s="4" t="s">
        <v>5</v>
      </c>
      <c r="BK11" s="4" t="s">
        <v>5</v>
      </c>
      <c r="BL11" s="4" t="s">
        <v>5</v>
      </c>
      <c r="BM11" s="4" t="s">
        <v>5</v>
      </c>
      <c r="BN11" s="4" t="s">
        <v>5</v>
      </c>
      <c r="BO11" s="4" t="s">
        <v>5</v>
      </c>
      <c r="BP11" s="4" t="s">
        <v>5</v>
      </c>
      <c r="BQ11" s="4" t="s">
        <v>5</v>
      </c>
      <c r="BR11" s="4" t="s">
        <v>5</v>
      </c>
      <c r="BS11" s="4" t="s">
        <v>5</v>
      </c>
      <c r="BT11" s="4" t="s">
        <v>5</v>
      </c>
      <c r="BU11" s="4" t="s">
        <v>5</v>
      </c>
      <c r="BV11" s="4" t="s">
        <v>5</v>
      </c>
      <c r="BW11" s="4" t="s">
        <v>5</v>
      </c>
      <c r="BX11" s="4" t="s">
        <v>5</v>
      </c>
      <c r="BY11" s="4" t="s">
        <v>5</v>
      </c>
      <c r="BZ11" s="4" t="s">
        <v>5</v>
      </c>
      <c r="CA11" s="4" t="s">
        <v>5</v>
      </c>
      <c r="CB11" s="4" t="s">
        <v>5</v>
      </c>
      <c r="CC11" s="4" t="s">
        <v>5</v>
      </c>
      <c r="CD11" s="4" t="s">
        <v>5</v>
      </c>
      <c r="CE11" s="4" t="s">
        <v>5</v>
      </c>
      <c r="CF11" s="4" t="s">
        <v>5</v>
      </c>
      <c r="CG11" s="4" t="s">
        <v>5</v>
      </c>
    </row>
    <row r="12" spans="1:85" x14ac:dyDescent="0.25">
      <c r="A12" s="13" t="str">
        <f>IF(AND($E12="",MAX($A$8:$A11)=0),"",IF(AND($E12&lt;&gt;"",MAX($A$8:$A11)=0),1,IF(AND($E12&lt;&gt;"",MAX($A$8:$A11)&gt;0),MAX($A$8:$A11)+1,"")))</f>
        <v/>
      </c>
      <c r="B12" s="11"/>
      <c r="C12" s="19" t="str">
        <f t="shared" si="0"/>
        <v>EMPTY</v>
      </c>
      <c r="D12" s="3" t="str">
        <f t="shared" si="1"/>
        <v/>
      </c>
      <c r="E12" s="7"/>
      <c r="F12" s="8" t="str">
        <f t="shared" si="2"/>
        <v/>
      </c>
      <c r="G12" t="s">
        <v>5</v>
      </c>
      <c r="H12" s="4" t="s">
        <v>5</v>
      </c>
      <c r="I12" s="4" t="s">
        <v>5</v>
      </c>
      <c r="J12" s="4" t="s">
        <v>5</v>
      </c>
      <c r="K12" s="4" t="s">
        <v>5</v>
      </c>
      <c r="L12" s="4" t="s">
        <v>5</v>
      </c>
      <c r="M12" s="4" t="s">
        <v>5</v>
      </c>
      <c r="N12" s="4" t="s">
        <v>5</v>
      </c>
      <c r="O12" s="4" t="s">
        <v>5</v>
      </c>
      <c r="P12" s="4" t="s">
        <v>5</v>
      </c>
      <c r="Q12" s="4" t="s">
        <v>5</v>
      </c>
      <c r="R12" s="4" t="s">
        <v>5</v>
      </c>
      <c r="S12" s="4" t="s">
        <v>5</v>
      </c>
      <c r="T12" s="4" t="s">
        <v>5</v>
      </c>
      <c r="U12" s="4" t="s">
        <v>5</v>
      </c>
      <c r="V12" s="4" t="s">
        <v>5</v>
      </c>
      <c r="W12" s="4" t="s">
        <v>5</v>
      </c>
      <c r="X12" s="4" t="s">
        <v>5</v>
      </c>
      <c r="Y12" s="4" t="s">
        <v>5</v>
      </c>
      <c r="Z12" s="4" t="s">
        <v>5</v>
      </c>
      <c r="AA12" s="4" t="s">
        <v>5</v>
      </c>
      <c r="AB12" s="4" t="s">
        <v>5</v>
      </c>
      <c r="AC12" s="4" t="s">
        <v>5</v>
      </c>
      <c r="AD12" s="4" t="s">
        <v>5</v>
      </c>
      <c r="AE12" s="4" t="s">
        <v>5</v>
      </c>
      <c r="AF12" s="4" t="s">
        <v>5</v>
      </c>
      <c r="AG12" s="4" t="s">
        <v>5</v>
      </c>
      <c r="AH12" s="4" t="s">
        <v>5</v>
      </c>
      <c r="AI12" s="4" t="s">
        <v>5</v>
      </c>
      <c r="AJ12" s="4" t="s">
        <v>5</v>
      </c>
      <c r="AK12" s="4" t="s">
        <v>5</v>
      </c>
      <c r="AL12" s="4" t="s">
        <v>5</v>
      </c>
      <c r="AM12" s="4" t="s">
        <v>5</v>
      </c>
      <c r="AN12" s="4" t="s">
        <v>5</v>
      </c>
      <c r="AO12" s="4" t="s">
        <v>5</v>
      </c>
      <c r="AP12" s="4" t="s">
        <v>5</v>
      </c>
      <c r="AQ12" s="4" t="s">
        <v>5</v>
      </c>
      <c r="AR12" s="4" t="s">
        <v>5</v>
      </c>
      <c r="AS12" s="4" t="s">
        <v>5</v>
      </c>
      <c r="AT12" s="4" t="s">
        <v>5</v>
      </c>
      <c r="AU12" s="4" t="s">
        <v>5</v>
      </c>
      <c r="AV12" s="4" t="s">
        <v>5</v>
      </c>
      <c r="AW12" s="4" t="s">
        <v>5</v>
      </c>
      <c r="AX12" s="4" t="s">
        <v>5</v>
      </c>
      <c r="AY12" s="4" t="s">
        <v>5</v>
      </c>
      <c r="AZ12" s="4" t="s">
        <v>5</v>
      </c>
      <c r="BA12" s="4" t="s">
        <v>5</v>
      </c>
      <c r="BB12" s="4" t="s">
        <v>5</v>
      </c>
      <c r="BC12" s="4" t="s">
        <v>5</v>
      </c>
      <c r="BD12" s="4" t="s">
        <v>5</v>
      </c>
      <c r="BE12" s="4" t="s">
        <v>5</v>
      </c>
      <c r="BF12" s="4" t="s">
        <v>5</v>
      </c>
      <c r="BG12" s="4" t="s">
        <v>5</v>
      </c>
      <c r="BH12" s="4" t="s">
        <v>5</v>
      </c>
      <c r="BI12" s="4" t="s">
        <v>5</v>
      </c>
      <c r="BJ12" s="4" t="s">
        <v>5</v>
      </c>
      <c r="BK12" s="4" t="s">
        <v>5</v>
      </c>
      <c r="BL12" s="4" t="s">
        <v>5</v>
      </c>
      <c r="BM12" s="4" t="s">
        <v>5</v>
      </c>
      <c r="BN12" s="4" t="s">
        <v>5</v>
      </c>
      <c r="BO12" s="4" t="s">
        <v>5</v>
      </c>
      <c r="BP12" s="4" t="s">
        <v>5</v>
      </c>
      <c r="BQ12" s="4" t="s">
        <v>5</v>
      </c>
      <c r="BR12" s="4" t="s">
        <v>5</v>
      </c>
      <c r="BS12" s="4" t="s">
        <v>5</v>
      </c>
      <c r="BT12" s="4" t="s">
        <v>5</v>
      </c>
      <c r="BU12" s="4" t="s">
        <v>5</v>
      </c>
      <c r="BV12" s="4" t="s">
        <v>5</v>
      </c>
      <c r="BW12" s="4" t="s">
        <v>5</v>
      </c>
      <c r="BX12" s="4" t="s">
        <v>5</v>
      </c>
      <c r="BY12" s="4" t="s">
        <v>5</v>
      </c>
      <c r="BZ12" s="4" t="s">
        <v>5</v>
      </c>
      <c r="CA12" s="4" t="s">
        <v>5</v>
      </c>
      <c r="CB12" s="4" t="s">
        <v>5</v>
      </c>
      <c r="CC12" s="4" t="s">
        <v>5</v>
      </c>
      <c r="CD12" s="4" t="s">
        <v>5</v>
      </c>
      <c r="CE12" s="4" t="s">
        <v>5</v>
      </c>
      <c r="CF12" s="4" t="s">
        <v>5</v>
      </c>
      <c r="CG12" s="4" t="s">
        <v>5</v>
      </c>
    </row>
    <row r="13" spans="1:85" x14ac:dyDescent="0.25">
      <c r="A13" s="13" t="str">
        <f>IF(AND($E13="",MAX($A$8:$A12)=0),"",IF(AND($E13&lt;&gt;"",MAX($A$8:$A12)=0),1,IF(AND($E13&lt;&gt;"",MAX($A$8:$A12)&gt;0),MAX($A$8:$A12)+1,"")))</f>
        <v/>
      </c>
      <c r="B13" s="11"/>
      <c r="C13" s="19" t="str">
        <f t="shared" si="0"/>
        <v>EMPTY</v>
      </c>
      <c r="D13" s="3" t="str">
        <f t="shared" si="1"/>
        <v/>
      </c>
      <c r="E13" s="7"/>
      <c r="F13" s="8" t="str">
        <f t="shared" si="2"/>
        <v/>
      </c>
      <c r="I13" s="4" t="s">
        <v>5</v>
      </c>
      <c r="J13" s="4" t="s">
        <v>5</v>
      </c>
      <c r="K13" s="4" t="s">
        <v>5</v>
      </c>
      <c r="L13" s="4" t="s">
        <v>5</v>
      </c>
      <c r="M13" s="4" t="s">
        <v>5</v>
      </c>
      <c r="N13" s="4" t="s">
        <v>5</v>
      </c>
      <c r="O13" s="4" t="s">
        <v>5</v>
      </c>
      <c r="P13" s="4" t="s">
        <v>5</v>
      </c>
      <c r="Q13" s="4" t="s">
        <v>5</v>
      </c>
      <c r="R13" s="4" t="s">
        <v>5</v>
      </c>
      <c r="S13" s="4" t="s">
        <v>5</v>
      </c>
      <c r="T13" s="4" t="s">
        <v>5</v>
      </c>
      <c r="U13" s="4" t="s">
        <v>5</v>
      </c>
      <c r="V13" s="4" t="s">
        <v>5</v>
      </c>
      <c r="W13" s="4" t="s">
        <v>5</v>
      </c>
      <c r="X13" s="4" t="s">
        <v>5</v>
      </c>
      <c r="Y13" s="4" t="s">
        <v>5</v>
      </c>
      <c r="Z13" s="4" t="s">
        <v>5</v>
      </c>
      <c r="AA13" s="4" t="s">
        <v>5</v>
      </c>
      <c r="AB13" s="4" t="s">
        <v>5</v>
      </c>
      <c r="AC13" s="4" t="s">
        <v>5</v>
      </c>
      <c r="AD13" s="4" t="s">
        <v>5</v>
      </c>
      <c r="AE13" s="4" t="s">
        <v>5</v>
      </c>
      <c r="AF13" s="4" t="s">
        <v>5</v>
      </c>
      <c r="AG13" s="4" t="s">
        <v>5</v>
      </c>
      <c r="AH13" s="4" t="s">
        <v>5</v>
      </c>
      <c r="AI13" s="4" t="s">
        <v>5</v>
      </c>
      <c r="AJ13" s="4" t="s">
        <v>5</v>
      </c>
      <c r="AK13" s="4" t="s">
        <v>5</v>
      </c>
      <c r="AL13" s="4" t="s">
        <v>5</v>
      </c>
      <c r="AM13" s="4" t="s">
        <v>5</v>
      </c>
      <c r="AN13" s="4" t="s">
        <v>5</v>
      </c>
      <c r="AO13" s="4" t="s">
        <v>5</v>
      </c>
      <c r="AP13" s="4" t="s">
        <v>5</v>
      </c>
      <c r="AQ13" s="4" t="s">
        <v>5</v>
      </c>
      <c r="AR13" s="4" t="s">
        <v>5</v>
      </c>
      <c r="AS13" s="4" t="s">
        <v>5</v>
      </c>
      <c r="AT13" s="4" t="s">
        <v>5</v>
      </c>
      <c r="AU13" s="4" t="s">
        <v>5</v>
      </c>
      <c r="AV13" s="4" t="s">
        <v>5</v>
      </c>
      <c r="AW13" s="4" t="s">
        <v>5</v>
      </c>
      <c r="AX13" s="4" t="s">
        <v>5</v>
      </c>
      <c r="AY13" s="4" t="s">
        <v>5</v>
      </c>
      <c r="AZ13" s="4" t="s">
        <v>5</v>
      </c>
      <c r="BA13" s="4" t="s">
        <v>5</v>
      </c>
      <c r="BB13" s="4" t="s">
        <v>5</v>
      </c>
      <c r="BC13" s="4" t="s">
        <v>5</v>
      </c>
      <c r="BD13" s="4" t="s">
        <v>5</v>
      </c>
      <c r="BE13" s="4" t="s">
        <v>5</v>
      </c>
      <c r="BF13" s="4" t="s">
        <v>5</v>
      </c>
      <c r="BG13" s="4" t="s">
        <v>5</v>
      </c>
      <c r="BH13" s="4" t="s">
        <v>5</v>
      </c>
      <c r="BI13" s="4" t="s">
        <v>5</v>
      </c>
      <c r="BJ13" s="4" t="s">
        <v>5</v>
      </c>
      <c r="BK13" s="4" t="s">
        <v>5</v>
      </c>
      <c r="BL13" s="4" t="s">
        <v>5</v>
      </c>
      <c r="BM13" s="4" t="s">
        <v>5</v>
      </c>
      <c r="BN13" s="4" t="s">
        <v>5</v>
      </c>
      <c r="BO13" s="4" t="s">
        <v>5</v>
      </c>
      <c r="BP13" s="4" t="s">
        <v>5</v>
      </c>
      <c r="BQ13" s="4" t="s">
        <v>5</v>
      </c>
      <c r="BR13" s="4" t="s">
        <v>5</v>
      </c>
      <c r="BS13" s="4" t="s">
        <v>5</v>
      </c>
      <c r="BT13" s="4" t="s">
        <v>5</v>
      </c>
      <c r="BU13" s="4" t="s">
        <v>5</v>
      </c>
      <c r="BV13" s="4" t="s">
        <v>5</v>
      </c>
      <c r="BW13" s="4" t="s">
        <v>5</v>
      </c>
      <c r="BX13" s="4" t="s">
        <v>5</v>
      </c>
      <c r="BY13" s="4" t="s">
        <v>5</v>
      </c>
      <c r="BZ13" s="4" t="s">
        <v>5</v>
      </c>
      <c r="CA13" s="4" t="s">
        <v>5</v>
      </c>
      <c r="CB13" s="4" t="s">
        <v>5</v>
      </c>
      <c r="CC13" s="4" t="s">
        <v>5</v>
      </c>
      <c r="CD13" s="4" t="s">
        <v>5</v>
      </c>
      <c r="CE13" s="4" t="s">
        <v>5</v>
      </c>
      <c r="CF13" s="4" t="s">
        <v>5</v>
      </c>
      <c r="CG13" s="4" t="s">
        <v>5</v>
      </c>
    </row>
    <row r="14" spans="1:85" x14ac:dyDescent="0.25">
      <c r="A14" s="13" t="str">
        <f>IF(AND($E14="",MAX($A$8:$A13)=0),"",IF(AND($E14&lt;&gt;"",MAX($A$8:$A13)=0),1,IF(AND($E14&lt;&gt;"",MAX($A$8:$A13)&gt;0),MAX($A$8:$A13)+1,"")))</f>
        <v/>
      </c>
      <c r="B14" s="11"/>
      <c r="C14" s="19" t="str">
        <f t="shared" si="0"/>
        <v>EMPTY</v>
      </c>
      <c r="D14" s="3" t="str">
        <f t="shared" si="1"/>
        <v/>
      </c>
      <c r="E14" s="7"/>
      <c r="F14" s="8" t="str">
        <f t="shared" si="2"/>
        <v/>
      </c>
      <c r="G14" t="s">
        <v>5</v>
      </c>
      <c r="H14" s="4" t="s">
        <v>5</v>
      </c>
      <c r="I14" s="4" t="s">
        <v>5</v>
      </c>
      <c r="J14" s="4" t="s">
        <v>5</v>
      </c>
      <c r="K14" s="4" t="s">
        <v>5</v>
      </c>
      <c r="L14" s="4" t="s">
        <v>5</v>
      </c>
      <c r="M14" s="4" t="s">
        <v>5</v>
      </c>
      <c r="N14" s="4" t="s">
        <v>5</v>
      </c>
      <c r="O14" s="4" t="s">
        <v>5</v>
      </c>
      <c r="P14" s="4" t="s">
        <v>5</v>
      </c>
      <c r="Q14" s="4" t="s">
        <v>5</v>
      </c>
      <c r="R14" s="4" t="s">
        <v>5</v>
      </c>
      <c r="S14" s="4" t="s">
        <v>5</v>
      </c>
      <c r="T14" s="4" t="s">
        <v>5</v>
      </c>
      <c r="U14" s="4" t="s">
        <v>5</v>
      </c>
      <c r="V14" s="4" t="s">
        <v>5</v>
      </c>
      <c r="W14" s="4" t="s">
        <v>5</v>
      </c>
      <c r="X14" s="4" t="s">
        <v>5</v>
      </c>
      <c r="Y14" s="4" t="s">
        <v>5</v>
      </c>
      <c r="Z14" s="4" t="s">
        <v>5</v>
      </c>
      <c r="AA14" s="4" t="s">
        <v>5</v>
      </c>
      <c r="AB14" s="4" t="s">
        <v>5</v>
      </c>
      <c r="AC14" s="4" t="s">
        <v>5</v>
      </c>
      <c r="AD14" s="4" t="s">
        <v>5</v>
      </c>
      <c r="AE14" s="4" t="s">
        <v>5</v>
      </c>
      <c r="AF14" s="4" t="s">
        <v>5</v>
      </c>
      <c r="AG14" s="4" t="s">
        <v>5</v>
      </c>
      <c r="AH14" s="4" t="s">
        <v>5</v>
      </c>
      <c r="AI14" s="4" t="s">
        <v>5</v>
      </c>
      <c r="AJ14" s="4" t="s">
        <v>5</v>
      </c>
      <c r="AK14" s="4" t="s">
        <v>5</v>
      </c>
      <c r="AL14" s="4" t="s">
        <v>5</v>
      </c>
      <c r="AM14" s="4" t="s">
        <v>5</v>
      </c>
      <c r="AN14" s="4" t="s">
        <v>5</v>
      </c>
      <c r="AO14" s="4" t="s">
        <v>5</v>
      </c>
      <c r="AP14" s="4" t="s">
        <v>5</v>
      </c>
      <c r="AQ14" s="4" t="s">
        <v>5</v>
      </c>
      <c r="AR14" s="4" t="s">
        <v>5</v>
      </c>
      <c r="AS14" s="4" t="s">
        <v>5</v>
      </c>
      <c r="AT14" s="4" t="s">
        <v>5</v>
      </c>
      <c r="AU14" s="4" t="s">
        <v>5</v>
      </c>
      <c r="AV14" s="4" t="s">
        <v>5</v>
      </c>
      <c r="AW14" s="4" t="s">
        <v>5</v>
      </c>
      <c r="AX14" s="4" t="s">
        <v>5</v>
      </c>
      <c r="AY14" s="4" t="s">
        <v>5</v>
      </c>
      <c r="AZ14" s="4" t="s">
        <v>5</v>
      </c>
      <c r="BA14" s="4" t="s">
        <v>5</v>
      </c>
      <c r="BB14" s="4" t="s">
        <v>5</v>
      </c>
      <c r="BC14" s="4" t="s">
        <v>5</v>
      </c>
      <c r="BD14" s="4" t="s">
        <v>5</v>
      </c>
      <c r="BE14" s="4" t="s">
        <v>5</v>
      </c>
      <c r="BF14" s="4" t="s">
        <v>5</v>
      </c>
      <c r="BG14" s="4" t="s">
        <v>5</v>
      </c>
      <c r="BH14" s="4" t="s">
        <v>5</v>
      </c>
      <c r="BI14" s="4" t="s">
        <v>5</v>
      </c>
      <c r="BJ14" s="4" t="s">
        <v>5</v>
      </c>
      <c r="BK14" s="4" t="s">
        <v>5</v>
      </c>
      <c r="BL14" s="4" t="s">
        <v>5</v>
      </c>
      <c r="BM14" s="4" t="s">
        <v>5</v>
      </c>
      <c r="BN14" s="4" t="s">
        <v>5</v>
      </c>
      <c r="BO14" s="4" t="s">
        <v>5</v>
      </c>
      <c r="BP14" s="4" t="s">
        <v>5</v>
      </c>
      <c r="BQ14" s="4" t="s">
        <v>5</v>
      </c>
      <c r="BR14" s="4" t="s">
        <v>5</v>
      </c>
      <c r="BS14" s="4" t="s">
        <v>5</v>
      </c>
      <c r="BT14" s="4" t="s">
        <v>5</v>
      </c>
      <c r="BU14" s="4" t="s">
        <v>5</v>
      </c>
      <c r="BV14" s="4" t="s">
        <v>5</v>
      </c>
      <c r="BW14" s="4" t="s">
        <v>5</v>
      </c>
      <c r="BX14" s="4" t="s">
        <v>5</v>
      </c>
      <c r="BY14" s="4" t="s">
        <v>5</v>
      </c>
      <c r="BZ14" s="4" t="s">
        <v>5</v>
      </c>
      <c r="CA14" s="4" t="s">
        <v>5</v>
      </c>
      <c r="CB14" s="4" t="s">
        <v>5</v>
      </c>
      <c r="CC14" s="4" t="s">
        <v>5</v>
      </c>
      <c r="CD14" s="4" t="s">
        <v>5</v>
      </c>
      <c r="CE14" s="4" t="s">
        <v>5</v>
      </c>
      <c r="CF14" s="4" t="s">
        <v>5</v>
      </c>
      <c r="CG14" s="4" t="s">
        <v>5</v>
      </c>
    </row>
    <row r="15" spans="1:85" x14ac:dyDescent="0.25">
      <c r="A15" s="13" t="str">
        <f>IF(AND($E15="",MAX($A$8:$A14)=0),"",IF(AND($E15&lt;&gt;"",MAX($A$8:$A14)=0),1,IF(AND($E15&lt;&gt;"",MAX($A$8:$A14)&gt;0),MAX($A$8:$A14)+1,"")))</f>
        <v/>
      </c>
      <c r="B15" s="11"/>
      <c r="C15" s="19" t="str">
        <f t="shared" si="0"/>
        <v>EMPTY</v>
      </c>
      <c r="D15" s="3" t="str">
        <f t="shared" si="1"/>
        <v/>
      </c>
      <c r="E15" s="7"/>
      <c r="F15" s="8" t="str">
        <f t="shared" si="2"/>
        <v/>
      </c>
      <c r="I15" s="4" t="s">
        <v>5</v>
      </c>
      <c r="J15" s="4" t="s">
        <v>5</v>
      </c>
      <c r="K15" s="4" t="s">
        <v>5</v>
      </c>
      <c r="L15" s="4" t="s">
        <v>5</v>
      </c>
      <c r="M15" s="4" t="s">
        <v>5</v>
      </c>
      <c r="N15" s="4" t="s">
        <v>5</v>
      </c>
      <c r="O15" s="4" t="s">
        <v>5</v>
      </c>
      <c r="P15" s="4" t="s">
        <v>5</v>
      </c>
      <c r="Q15" s="4" t="s">
        <v>5</v>
      </c>
      <c r="R15" s="4" t="s">
        <v>5</v>
      </c>
      <c r="S15" s="4" t="s">
        <v>5</v>
      </c>
      <c r="T15" s="4" t="s">
        <v>5</v>
      </c>
      <c r="U15" s="4" t="s">
        <v>5</v>
      </c>
      <c r="V15" s="4" t="s">
        <v>5</v>
      </c>
      <c r="W15" s="4" t="s">
        <v>5</v>
      </c>
      <c r="X15" s="4" t="s">
        <v>5</v>
      </c>
      <c r="Y15" s="4" t="s">
        <v>5</v>
      </c>
      <c r="Z15" s="4" t="s">
        <v>5</v>
      </c>
      <c r="AA15" s="4" t="s">
        <v>5</v>
      </c>
      <c r="AB15" s="4" t="s">
        <v>5</v>
      </c>
      <c r="AC15" s="4" t="s">
        <v>5</v>
      </c>
      <c r="AD15" s="4" t="s">
        <v>5</v>
      </c>
      <c r="AE15" s="4" t="s">
        <v>5</v>
      </c>
      <c r="AF15" s="4" t="s">
        <v>5</v>
      </c>
      <c r="AG15" s="4" t="s">
        <v>5</v>
      </c>
      <c r="AH15" s="4" t="s">
        <v>5</v>
      </c>
      <c r="AI15" s="4" t="s">
        <v>5</v>
      </c>
      <c r="AJ15" s="4" t="s">
        <v>5</v>
      </c>
      <c r="AK15" s="4" t="s">
        <v>5</v>
      </c>
      <c r="AL15" s="4" t="s">
        <v>5</v>
      </c>
      <c r="AM15" s="4" t="s">
        <v>5</v>
      </c>
      <c r="AN15" s="4" t="s">
        <v>5</v>
      </c>
      <c r="AO15" s="4" t="s">
        <v>5</v>
      </c>
      <c r="AP15" s="4" t="s">
        <v>5</v>
      </c>
      <c r="AQ15" s="4" t="s">
        <v>5</v>
      </c>
      <c r="AR15" s="4" t="s">
        <v>5</v>
      </c>
      <c r="AS15" s="4" t="s">
        <v>5</v>
      </c>
      <c r="AT15" s="4" t="s">
        <v>5</v>
      </c>
      <c r="AU15" s="4" t="s">
        <v>5</v>
      </c>
      <c r="AV15" s="4" t="s">
        <v>5</v>
      </c>
      <c r="AW15" s="4" t="s">
        <v>5</v>
      </c>
      <c r="AX15" s="4" t="s">
        <v>5</v>
      </c>
      <c r="AY15" s="4" t="s">
        <v>5</v>
      </c>
      <c r="AZ15" s="4" t="s">
        <v>5</v>
      </c>
      <c r="BA15" s="4" t="s">
        <v>5</v>
      </c>
      <c r="BB15" s="4" t="s">
        <v>5</v>
      </c>
      <c r="BC15" s="4" t="s">
        <v>5</v>
      </c>
      <c r="BD15" s="4" t="s">
        <v>5</v>
      </c>
      <c r="BE15" s="4" t="s">
        <v>5</v>
      </c>
      <c r="BF15" s="4" t="s">
        <v>5</v>
      </c>
      <c r="BG15" s="4" t="s">
        <v>5</v>
      </c>
      <c r="BH15" s="4" t="s">
        <v>5</v>
      </c>
      <c r="BI15" s="4" t="s">
        <v>5</v>
      </c>
      <c r="BJ15" s="4" t="s">
        <v>5</v>
      </c>
      <c r="BK15" s="4" t="s">
        <v>5</v>
      </c>
      <c r="BL15" s="4" t="s">
        <v>5</v>
      </c>
      <c r="BM15" s="4" t="s">
        <v>5</v>
      </c>
      <c r="BN15" s="4" t="s">
        <v>5</v>
      </c>
      <c r="BO15" s="4" t="s">
        <v>5</v>
      </c>
      <c r="BP15" s="4" t="s">
        <v>5</v>
      </c>
      <c r="BQ15" s="4" t="s">
        <v>5</v>
      </c>
      <c r="BR15" s="4" t="s">
        <v>5</v>
      </c>
      <c r="BS15" s="4" t="s">
        <v>5</v>
      </c>
      <c r="BT15" s="4" t="s">
        <v>5</v>
      </c>
      <c r="BU15" s="4" t="s">
        <v>5</v>
      </c>
      <c r="BV15" s="4" t="s">
        <v>5</v>
      </c>
      <c r="BW15" s="4" t="s">
        <v>5</v>
      </c>
      <c r="BX15" s="4" t="s">
        <v>5</v>
      </c>
      <c r="BY15" s="4" t="s">
        <v>5</v>
      </c>
      <c r="BZ15" s="4" t="s">
        <v>5</v>
      </c>
      <c r="CA15" s="4" t="s">
        <v>5</v>
      </c>
      <c r="CB15" s="4" t="s">
        <v>5</v>
      </c>
      <c r="CC15" s="4" t="s">
        <v>5</v>
      </c>
      <c r="CD15" s="4" t="s">
        <v>5</v>
      </c>
      <c r="CE15" s="4" t="s">
        <v>5</v>
      </c>
      <c r="CF15" s="4" t="s">
        <v>5</v>
      </c>
      <c r="CG15" s="4" t="s">
        <v>5</v>
      </c>
    </row>
    <row r="16" spans="1:85" x14ac:dyDescent="0.25">
      <c r="A16" s="13" t="str">
        <f>IF(AND($E16="",MAX($A$8:$A15)=0),"",IF(AND($E16&lt;&gt;"",MAX($A$8:$A15)=0),1,IF(AND($E16&lt;&gt;"",MAX($A$8:$A15)&gt;0),MAX($A$8:$A15)+1,"")))</f>
        <v/>
      </c>
      <c r="B16" s="11"/>
      <c r="C16" s="19" t="str">
        <f t="shared" si="0"/>
        <v>EMPTY</v>
      </c>
      <c r="D16" s="3" t="str">
        <f t="shared" si="1"/>
        <v/>
      </c>
      <c r="E16" s="7"/>
      <c r="F16" s="8" t="str">
        <f t="shared" si="2"/>
        <v/>
      </c>
      <c r="I16" s="4" t="s">
        <v>5</v>
      </c>
      <c r="J16" s="4" t="s">
        <v>5</v>
      </c>
      <c r="K16" s="4" t="s">
        <v>5</v>
      </c>
      <c r="L16" s="4" t="s">
        <v>5</v>
      </c>
      <c r="M16" s="4" t="s">
        <v>5</v>
      </c>
      <c r="N16" s="4" t="s">
        <v>5</v>
      </c>
      <c r="O16" s="4" t="s">
        <v>5</v>
      </c>
      <c r="P16" s="4" t="s">
        <v>5</v>
      </c>
      <c r="Q16" s="4" t="s">
        <v>5</v>
      </c>
      <c r="R16" s="4" t="s">
        <v>5</v>
      </c>
      <c r="S16" s="4" t="s">
        <v>5</v>
      </c>
      <c r="T16" s="4" t="s">
        <v>5</v>
      </c>
      <c r="U16" s="4" t="s">
        <v>5</v>
      </c>
      <c r="V16" s="4" t="s">
        <v>5</v>
      </c>
      <c r="W16" s="4" t="s">
        <v>5</v>
      </c>
      <c r="X16" s="4" t="s">
        <v>5</v>
      </c>
      <c r="Y16" s="4" t="s">
        <v>5</v>
      </c>
      <c r="Z16" s="4" t="s">
        <v>5</v>
      </c>
      <c r="AA16" s="4" t="s">
        <v>5</v>
      </c>
      <c r="AB16" s="4" t="s">
        <v>5</v>
      </c>
      <c r="AC16" s="4" t="s">
        <v>5</v>
      </c>
      <c r="AD16" s="4" t="s">
        <v>5</v>
      </c>
      <c r="AE16" s="4" t="s">
        <v>5</v>
      </c>
      <c r="AF16" s="4" t="s">
        <v>5</v>
      </c>
      <c r="AG16" s="4" t="s">
        <v>5</v>
      </c>
      <c r="AH16" s="4" t="s">
        <v>5</v>
      </c>
      <c r="AI16" s="4" t="s">
        <v>5</v>
      </c>
      <c r="AJ16" s="4" t="s">
        <v>5</v>
      </c>
      <c r="AK16" s="4" t="s">
        <v>5</v>
      </c>
      <c r="AL16" s="4" t="s">
        <v>5</v>
      </c>
      <c r="AM16" s="4" t="s">
        <v>5</v>
      </c>
      <c r="AN16" s="4" t="s">
        <v>5</v>
      </c>
      <c r="AO16" s="4" t="s">
        <v>5</v>
      </c>
      <c r="AP16" s="4" t="s">
        <v>5</v>
      </c>
      <c r="AQ16" s="4" t="s">
        <v>5</v>
      </c>
      <c r="AR16" s="4" t="s">
        <v>5</v>
      </c>
      <c r="AS16" s="4" t="s">
        <v>5</v>
      </c>
      <c r="AT16" s="4" t="s">
        <v>5</v>
      </c>
      <c r="AU16" s="4" t="s">
        <v>5</v>
      </c>
      <c r="AV16" s="4" t="s">
        <v>5</v>
      </c>
      <c r="AW16" s="4" t="s">
        <v>5</v>
      </c>
      <c r="AX16" s="4" t="s">
        <v>5</v>
      </c>
      <c r="AY16" s="4" t="s">
        <v>5</v>
      </c>
      <c r="AZ16" s="4" t="s">
        <v>5</v>
      </c>
      <c r="BA16" s="4" t="s">
        <v>5</v>
      </c>
      <c r="BB16" s="4" t="s">
        <v>5</v>
      </c>
      <c r="BC16" s="4" t="s">
        <v>5</v>
      </c>
      <c r="BD16" s="4" t="s">
        <v>5</v>
      </c>
      <c r="BE16" s="4" t="s">
        <v>5</v>
      </c>
      <c r="BF16" s="4" t="s">
        <v>5</v>
      </c>
      <c r="BG16" s="4" t="s">
        <v>5</v>
      </c>
      <c r="BH16" s="4" t="s">
        <v>5</v>
      </c>
      <c r="BI16" s="4" t="s">
        <v>5</v>
      </c>
      <c r="BJ16" s="4" t="s">
        <v>5</v>
      </c>
      <c r="BK16" s="4" t="s">
        <v>5</v>
      </c>
      <c r="BL16" s="4" t="s">
        <v>5</v>
      </c>
      <c r="BM16" s="4" t="s">
        <v>5</v>
      </c>
      <c r="BN16" s="4" t="s">
        <v>5</v>
      </c>
      <c r="BO16" s="4" t="s">
        <v>5</v>
      </c>
      <c r="BP16" s="4" t="s">
        <v>5</v>
      </c>
      <c r="BQ16" s="4" t="s">
        <v>5</v>
      </c>
      <c r="BR16" s="4" t="s">
        <v>5</v>
      </c>
      <c r="BS16" s="4" t="s">
        <v>5</v>
      </c>
      <c r="BT16" s="4" t="s">
        <v>5</v>
      </c>
      <c r="BU16" s="4" t="s">
        <v>5</v>
      </c>
      <c r="BV16" s="4" t="s">
        <v>5</v>
      </c>
      <c r="BW16" s="4" t="s">
        <v>5</v>
      </c>
      <c r="BX16" s="4" t="s">
        <v>5</v>
      </c>
      <c r="BY16" s="4" t="s">
        <v>5</v>
      </c>
      <c r="BZ16" s="4" t="s">
        <v>5</v>
      </c>
      <c r="CA16" s="4" t="s">
        <v>5</v>
      </c>
      <c r="CB16" s="4" t="s">
        <v>5</v>
      </c>
      <c r="CC16" s="4" t="s">
        <v>5</v>
      </c>
      <c r="CD16" s="4" t="s">
        <v>5</v>
      </c>
      <c r="CE16" s="4" t="s">
        <v>5</v>
      </c>
      <c r="CF16" s="4" t="s">
        <v>5</v>
      </c>
      <c r="CG16" s="4" t="s">
        <v>5</v>
      </c>
    </row>
    <row r="17" spans="1:85" x14ac:dyDescent="0.25">
      <c r="A17" s="13" t="str">
        <f>IF(AND($E17="",MAX($A$8:$A16)=0),"",IF(AND($E17&lt;&gt;"",MAX($A$8:$A16)=0),1,IF(AND($E17&lt;&gt;"",MAX($A$8:$A16)&gt;0),MAX($A$8:$A16)+1,"")))</f>
        <v/>
      </c>
      <c r="B17" s="11"/>
      <c r="C17" s="19" t="str">
        <f t="shared" si="0"/>
        <v>EMPTY</v>
      </c>
      <c r="D17" s="3" t="str">
        <f t="shared" si="1"/>
        <v/>
      </c>
      <c r="E17" s="7"/>
      <c r="F17" s="8" t="str">
        <f t="shared" si="2"/>
        <v/>
      </c>
      <c r="I17" s="4" t="s">
        <v>5</v>
      </c>
      <c r="J17" s="4" t="s">
        <v>5</v>
      </c>
      <c r="K17" s="4" t="s">
        <v>5</v>
      </c>
      <c r="L17" s="4" t="s">
        <v>5</v>
      </c>
      <c r="M17" s="4" t="s">
        <v>5</v>
      </c>
      <c r="N17" s="4" t="s">
        <v>5</v>
      </c>
      <c r="O17" s="4" t="s">
        <v>5</v>
      </c>
      <c r="P17" s="4" t="s">
        <v>5</v>
      </c>
      <c r="Q17" s="4" t="s">
        <v>5</v>
      </c>
      <c r="R17" s="4" t="s">
        <v>5</v>
      </c>
      <c r="S17" s="4" t="s">
        <v>5</v>
      </c>
      <c r="T17" s="4" t="s">
        <v>5</v>
      </c>
      <c r="U17" s="4" t="s">
        <v>5</v>
      </c>
      <c r="V17" s="4" t="s">
        <v>5</v>
      </c>
      <c r="W17" s="4" t="s">
        <v>5</v>
      </c>
      <c r="X17" s="4" t="s">
        <v>5</v>
      </c>
      <c r="Y17" s="4" t="s">
        <v>5</v>
      </c>
      <c r="Z17" s="4" t="s">
        <v>5</v>
      </c>
      <c r="AA17" s="4" t="s">
        <v>5</v>
      </c>
      <c r="AB17" s="4" t="s">
        <v>5</v>
      </c>
      <c r="AC17" s="4" t="s">
        <v>5</v>
      </c>
      <c r="AD17" s="4" t="s">
        <v>5</v>
      </c>
      <c r="AE17" s="4" t="s">
        <v>5</v>
      </c>
      <c r="AF17" s="4" t="s">
        <v>5</v>
      </c>
      <c r="AG17" s="4" t="s">
        <v>5</v>
      </c>
      <c r="AH17" s="4" t="s">
        <v>5</v>
      </c>
      <c r="AI17" s="4" t="s">
        <v>5</v>
      </c>
      <c r="AJ17" s="4" t="s">
        <v>5</v>
      </c>
      <c r="AK17" s="4" t="s">
        <v>5</v>
      </c>
      <c r="AL17" s="4" t="s">
        <v>5</v>
      </c>
      <c r="AM17" s="4" t="s">
        <v>5</v>
      </c>
      <c r="AN17" s="4" t="s">
        <v>5</v>
      </c>
      <c r="AO17" s="4" t="s">
        <v>5</v>
      </c>
      <c r="AP17" s="4" t="s">
        <v>5</v>
      </c>
      <c r="AQ17" s="4" t="s">
        <v>5</v>
      </c>
      <c r="AR17" s="4" t="s">
        <v>5</v>
      </c>
      <c r="AS17" s="4" t="s">
        <v>5</v>
      </c>
      <c r="AT17" s="4" t="s">
        <v>5</v>
      </c>
      <c r="AU17" s="4" t="s">
        <v>5</v>
      </c>
      <c r="AV17" s="4" t="s">
        <v>5</v>
      </c>
      <c r="AW17" s="4" t="s">
        <v>5</v>
      </c>
      <c r="AX17" s="4" t="s">
        <v>5</v>
      </c>
      <c r="AY17" s="4" t="s">
        <v>5</v>
      </c>
      <c r="AZ17" s="4" t="s">
        <v>5</v>
      </c>
      <c r="BA17" s="4" t="s">
        <v>5</v>
      </c>
      <c r="BB17" s="4" t="s">
        <v>5</v>
      </c>
      <c r="BC17" s="4" t="s">
        <v>5</v>
      </c>
      <c r="BD17" s="4" t="s">
        <v>5</v>
      </c>
      <c r="BE17" s="4" t="s">
        <v>5</v>
      </c>
      <c r="BF17" s="4" t="s">
        <v>5</v>
      </c>
      <c r="BG17" s="4" t="s">
        <v>5</v>
      </c>
      <c r="BH17" s="4" t="s">
        <v>5</v>
      </c>
      <c r="BI17" s="4" t="s">
        <v>5</v>
      </c>
      <c r="BJ17" s="4" t="s">
        <v>5</v>
      </c>
      <c r="BK17" s="4" t="s">
        <v>5</v>
      </c>
      <c r="BL17" s="4" t="s">
        <v>5</v>
      </c>
      <c r="BM17" s="4" t="s">
        <v>5</v>
      </c>
      <c r="BN17" s="4" t="s">
        <v>5</v>
      </c>
      <c r="BO17" s="4" t="s">
        <v>5</v>
      </c>
      <c r="BP17" s="4" t="s">
        <v>5</v>
      </c>
      <c r="BQ17" s="4" t="s">
        <v>5</v>
      </c>
      <c r="BR17" s="4" t="s">
        <v>5</v>
      </c>
      <c r="BS17" s="4" t="s">
        <v>5</v>
      </c>
      <c r="BT17" s="4" t="s">
        <v>5</v>
      </c>
      <c r="BU17" s="4" t="s">
        <v>5</v>
      </c>
      <c r="BV17" s="4" t="s">
        <v>5</v>
      </c>
      <c r="BW17" s="4" t="s">
        <v>5</v>
      </c>
      <c r="BX17" s="4" t="s">
        <v>5</v>
      </c>
      <c r="BY17" s="4" t="s">
        <v>5</v>
      </c>
      <c r="BZ17" s="4" t="s">
        <v>5</v>
      </c>
      <c r="CA17" s="4" t="s">
        <v>5</v>
      </c>
      <c r="CB17" s="4" t="s">
        <v>5</v>
      </c>
      <c r="CC17" s="4" t="s">
        <v>5</v>
      </c>
      <c r="CD17" s="4" t="s">
        <v>5</v>
      </c>
      <c r="CE17" s="4" t="s">
        <v>5</v>
      </c>
      <c r="CF17" s="4" t="s">
        <v>5</v>
      </c>
      <c r="CG17" s="4" t="s">
        <v>5</v>
      </c>
    </row>
    <row r="18" spans="1:85" x14ac:dyDescent="0.25">
      <c r="A18" s="13" t="str">
        <f>IF(AND($E18="",MAX($A$8:$A17)=0),"",IF(AND($E18&lt;&gt;"",MAX($A$8:$A17)=0),1,IF(AND($E18&lt;&gt;"",MAX($A$8:$A17)&gt;0),MAX($A$8:$A17)+1,"")))</f>
        <v/>
      </c>
      <c r="B18" s="11">
        <v>11</v>
      </c>
      <c r="C18" s="19" t="str">
        <f t="shared" si="0"/>
        <v>EMPTY</v>
      </c>
      <c r="D18" s="3" t="str">
        <f t="shared" si="1"/>
        <v/>
      </c>
      <c r="E18" s="7"/>
      <c r="F18" s="8" t="str">
        <f t="shared" si="2"/>
        <v/>
      </c>
      <c r="I18" s="4" t="s">
        <v>5</v>
      </c>
      <c r="J18" s="4" t="s">
        <v>5</v>
      </c>
      <c r="K18" s="4" t="s">
        <v>5</v>
      </c>
      <c r="L18" s="4" t="s">
        <v>5</v>
      </c>
      <c r="M18" s="4" t="s">
        <v>5</v>
      </c>
      <c r="N18" s="4" t="s">
        <v>5</v>
      </c>
      <c r="O18" s="4" t="s">
        <v>5</v>
      </c>
      <c r="P18" s="4" t="s">
        <v>5</v>
      </c>
      <c r="Q18" s="4" t="s">
        <v>5</v>
      </c>
      <c r="R18" s="4" t="s">
        <v>5</v>
      </c>
      <c r="S18" s="4" t="s">
        <v>5</v>
      </c>
      <c r="T18" s="4" t="s">
        <v>5</v>
      </c>
      <c r="U18" s="4" t="s">
        <v>5</v>
      </c>
      <c r="V18" s="4" t="s">
        <v>5</v>
      </c>
      <c r="W18" s="4" t="s">
        <v>5</v>
      </c>
      <c r="X18" s="4" t="s">
        <v>5</v>
      </c>
      <c r="Y18" s="4" t="s">
        <v>5</v>
      </c>
      <c r="Z18" s="4" t="s">
        <v>5</v>
      </c>
      <c r="AA18" s="4" t="s">
        <v>5</v>
      </c>
      <c r="AB18" s="4" t="s">
        <v>5</v>
      </c>
      <c r="AC18" s="4" t="s">
        <v>5</v>
      </c>
      <c r="AD18" s="4" t="s">
        <v>5</v>
      </c>
      <c r="AE18" s="4" t="s">
        <v>5</v>
      </c>
      <c r="AF18" s="4" t="s">
        <v>5</v>
      </c>
      <c r="AG18" s="4" t="s">
        <v>5</v>
      </c>
      <c r="AH18" s="4" t="s">
        <v>5</v>
      </c>
      <c r="AI18" s="4" t="s">
        <v>5</v>
      </c>
      <c r="AJ18" s="4" t="s">
        <v>5</v>
      </c>
      <c r="AK18" s="4" t="s">
        <v>5</v>
      </c>
      <c r="AL18" s="4" t="s">
        <v>5</v>
      </c>
      <c r="AM18" s="4" t="s">
        <v>5</v>
      </c>
      <c r="AN18" s="4" t="s">
        <v>5</v>
      </c>
      <c r="AO18" s="4" t="s">
        <v>5</v>
      </c>
      <c r="AP18" s="4" t="s">
        <v>5</v>
      </c>
      <c r="AQ18" s="4" t="s">
        <v>5</v>
      </c>
      <c r="AR18" s="4" t="s">
        <v>5</v>
      </c>
      <c r="AS18" s="4" t="s">
        <v>5</v>
      </c>
      <c r="AT18" s="4" t="s">
        <v>5</v>
      </c>
      <c r="AU18" s="4" t="s">
        <v>5</v>
      </c>
      <c r="AV18" s="4" t="s">
        <v>5</v>
      </c>
      <c r="AW18" s="4" t="s">
        <v>5</v>
      </c>
      <c r="AX18" s="4" t="s">
        <v>5</v>
      </c>
      <c r="AY18" s="4" t="s">
        <v>5</v>
      </c>
      <c r="AZ18" s="4" t="s">
        <v>5</v>
      </c>
      <c r="BA18" s="4" t="s">
        <v>5</v>
      </c>
      <c r="BB18" s="4" t="s">
        <v>5</v>
      </c>
      <c r="BC18" s="4" t="s">
        <v>5</v>
      </c>
      <c r="BD18" s="4" t="s">
        <v>5</v>
      </c>
      <c r="BE18" s="4" t="s">
        <v>5</v>
      </c>
      <c r="BF18" s="4" t="s">
        <v>5</v>
      </c>
      <c r="BG18" s="4" t="s">
        <v>5</v>
      </c>
      <c r="BH18" s="4" t="s">
        <v>5</v>
      </c>
      <c r="BI18" s="4" t="s">
        <v>5</v>
      </c>
      <c r="BJ18" s="4" t="s">
        <v>5</v>
      </c>
      <c r="BK18" s="4" t="s">
        <v>5</v>
      </c>
      <c r="BL18" s="4" t="s">
        <v>5</v>
      </c>
      <c r="BM18" s="4" t="s">
        <v>5</v>
      </c>
      <c r="BN18" s="4" t="s">
        <v>5</v>
      </c>
      <c r="BO18" s="4" t="s">
        <v>5</v>
      </c>
      <c r="BP18" s="4" t="s">
        <v>5</v>
      </c>
      <c r="BQ18" s="4" t="s">
        <v>5</v>
      </c>
      <c r="BR18" s="4" t="s">
        <v>5</v>
      </c>
      <c r="BS18" s="4" t="s">
        <v>5</v>
      </c>
      <c r="BT18" s="4" t="s">
        <v>5</v>
      </c>
      <c r="BU18" s="4" t="s">
        <v>5</v>
      </c>
      <c r="BV18" s="4" t="s">
        <v>5</v>
      </c>
      <c r="BW18" s="4" t="s">
        <v>5</v>
      </c>
      <c r="BX18" s="4" t="s">
        <v>5</v>
      </c>
      <c r="BY18" s="4" t="s">
        <v>5</v>
      </c>
      <c r="BZ18" s="4" t="s">
        <v>5</v>
      </c>
      <c r="CA18" s="4" t="s">
        <v>5</v>
      </c>
      <c r="CB18" s="4" t="s">
        <v>5</v>
      </c>
      <c r="CC18" s="4" t="s">
        <v>5</v>
      </c>
      <c r="CD18" s="4" t="s">
        <v>5</v>
      </c>
      <c r="CE18" s="4" t="s">
        <v>5</v>
      </c>
      <c r="CF18" s="4" t="s">
        <v>5</v>
      </c>
      <c r="CG18" s="4" t="s">
        <v>5</v>
      </c>
    </row>
    <row r="19" spans="1:85" x14ac:dyDescent="0.25">
      <c r="A19" s="13" t="str">
        <f>IF(AND($E19="",MAX($A$8:$A18)=0),"",IF(AND($E19&lt;&gt;"",MAX($A$8:$A18)=0),1,IF(AND($E19&lt;&gt;"",MAX($A$8:$A18)&gt;0),MAX($A$8:$A18)+1,"")))</f>
        <v/>
      </c>
      <c r="B19" s="11">
        <v>12</v>
      </c>
      <c r="C19" s="19" t="str">
        <f t="shared" si="0"/>
        <v>EMPTY</v>
      </c>
      <c r="D19" s="3" t="str">
        <f t="shared" si="1"/>
        <v/>
      </c>
      <c r="E19" s="7"/>
      <c r="F19" s="8" t="str">
        <f t="shared" si="2"/>
        <v/>
      </c>
      <c r="I19" s="4" t="s">
        <v>5</v>
      </c>
      <c r="J19" s="4" t="s">
        <v>5</v>
      </c>
      <c r="K19" s="4" t="s">
        <v>5</v>
      </c>
      <c r="L19" s="4" t="s">
        <v>5</v>
      </c>
      <c r="M19" s="4" t="s">
        <v>5</v>
      </c>
      <c r="N19" s="4" t="s">
        <v>5</v>
      </c>
      <c r="O19" s="4" t="s">
        <v>5</v>
      </c>
      <c r="P19" s="4" t="s">
        <v>5</v>
      </c>
      <c r="Q19" s="4" t="s">
        <v>5</v>
      </c>
      <c r="R19" s="4" t="s">
        <v>5</v>
      </c>
      <c r="S19" s="4" t="s">
        <v>5</v>
      </c>
      <c r="T19" s="4" t="s">
        <v>5</v>
      </c>
      <c r="U19" s="4" t="s">
        <v>5</v>
      </c>
      <c r="V19" s="4" t="s">
        <v>5</v>
      </c>
      <c r="W19" s="4" t="s">
        <v>5</v>
      </c>
      <c r="X19" s="4" t="s">
        <v>5</v>
      </c>
      <c r="Y19" s="4" t="s">
        <v>5</v>
      </c>
      <c r="Z19" s="4" t="s">
        <v>5</v>
      </c>
      <c r="AA19" s="4" t="s">
        <v>5</v>
      </c>
      <c r="AB19" s="4" t="s">
        <v>5</v>
      </c>
      <c r="AC19" s="4" t="s">
        <v>5</v>
      </c>
      <c r="AD19" s="4" t="s">
        <v>5</v>
      </c>
      <c r="AE19" s="4" t="s">
        <v>5</v>
      </c>
      <c r="AF19" s="4" t="s">
        <v>5</v>
      </c>
      <c r="AG19" s="4" t="s">
        <v>5</v>
      </c>
      <c r="AH19" s="4" t="s">
        <v>5</v>
      </c>
      <c r="AI19" s="4" t="s">
        <v>5</v>
      </c>
      <c r="AJ19" s="4" t="s">
        <v>5</v>
      </c>
      <c r="AK19" s="4" t="s">
        <v>5</v>
      </c>
      <c r="AL19" s="4" t="s">
        <v>5</v>
      </c>
      <c r="AM19" s="4" t="s">
        <v>5</v>
      </c>
      <c r="AN19" s="4" t="s">
        <v>5</v>
      </c>
      <c r="AO19" s="4" t="s">
        <v>5</v>
      </c>
      <c r="AP19" s="4" t="s">
        <v>5</v>
      </c>
      <c r="AQ19" s="4" t="s">
        <v>5</v>
      </c>
      <c r="AR19" s="4" t="s">
        <v>5</v>
      </c>
      <c r="AS19" s="4" t="s">
        <v>5</v>
      </c>
      <c r="AT19" s="4" t="s">
        <v>5</v>
      </c>
      <c r="AU19" s="4" t="s">
        <v>5</v>
      </c>
      <c r="AV19" s="4" t="s">
        <v>5</v>
      </c>
      <c r="AW19" s="4" t="s">
        <v>5</v>
      </c>
      <c r="AX19" s="4" t="s">
        <v>5</v>
      </c>
      <c r="AY19" s="4" t="s">
        <v>5</v>
      </c>
      <c r="AZ19" s="4" t="s">
        <v>5</v>
      </c>
      <c r="BA19" s="4" t="s">
        <v>5</v>
      </c>
      <c r="BB19" s="4" t="s">
        <v>5</v>
      </c>
      <c r="BC19" s="4" t="s">
        <v>5</v>
      </c>
      <c r="BD19" s="4" t="s">
        <v>5</v>
      </c>
      <c r="BE19" s="4" t="s">
        <v>5</v>
      </c>
      <c r="BF19" s="4" t="s">
        <v>5</v>
      </c>
      <c r="BG19" s="4" t="s">
        <v>5</v>
      </c>
      <c r="BH19" s="4" t="s">
        <v>5</v>
      </c>
      <c r="BI19" s="4" t="s">
        <v>5</v>
      </c>
      <c r="BJ19" s="4" t="s">
        <v>5</v>
      </c>
      <c r="BK19" s="4" t="s">
        <v>5</v>
      </c>
      <c r="BL19" s="4" t="s">
        <v>5</v>
      </c>
      <c r="BM19" s="4" t="s">
        <v>5</v>
      </c>
      <c r="BN19" s="4" t="s">
        <v>5</v>
      </c>
      <c r="BO19" s="4" t="s">
        <v>5</v>
      </c>
      <c r="BP19" s="4" t="s">
        <v>5</v>
      </c>
      <c r="BQ19" s="4" t="s">
        <v>5</v>
      </c>
      <c r="BR19" s="4" t="s">
        <v>5</v>
      </c>
      <c r="BS19" s="4" t="s">
        <v>5</v>
      </c>
      <c r="BT19" s="4" t="s">
        <v>5</v>
      </c>
      <c r="BU19" s="4" t="s">
        <v>5</v>
      </c>
      <c r="BV19" s="4" t="s">
        <v>5</v>
      </c>
      <c r="BW19" s="4" t="s">
        <v>5</v>
      </c>
      <c r="BX19" s="4" t="s">
        <v>5</v>
      </c>
      <c r="BY19" s="4" t="s">
        <v>5</v>
      </c>
      <c r="BZ19" s="4" t="s">
        <v>5</v>
      </c>
      <c r="CA19" s="4" t="s">
        <v>5</v>
      </c>
      <c r="CB19" s="4" t="s">
        <v>5</v>
      </c>
      <c r="CC19" s="4" t="s">
        <v>5</v>
      </c>
      <c r="CD19" s="4" t="s">
        <v>5</v>
      </c>
      <c r="CE19" s="4" t="s">
        <v>5</v>
      </c>
      <c r="CF19" s="4" t="s">
        <v>5</v>
      </c>
      <c r="CG19" s="4" t="s">
        <v>5</v>
      </c>
    </row>
    <row r="20" spans="1:85" x14ac:dyDescent="0.25">
      <c r="A20" s="13" t="str">
        <f>IF(AND($E20="",MAX($A$8:$A19)=0),"",IF(AND($E20&lt;&gt;"",MAX($A$8:$A19)=0),1,IF(AND($E20&lt;&gt;"",MAX($A$8:$A19)&gt;0),MAX($A$8:$A19)+1,"")))</f>
        <v/>
      </c>
      <c r="B20" s="11">
        <v>13</v>
      </c>
      <c r="C20" s="19" t="str">
        <f t="shared" si="0"/>
        <v>EMPTY</v>
      </c>
      <c r="D20" s="3" t="str">
        <f t="shared" si="1"/>
        <v/>
      </c>
      <c r="E20" s="7"/>
      <c r="F20" s="8" t="str">
        <f t="shared" si="2"/>
        <v/>
      </c>
      <c r="I20" s="4" t="s">
        <v>5</v>
      </c>
      <c r="J20" s="4" t="s">
        <v>5</v>
      </c>
      <c r="K20" s="4" t="s">
        <v>5</v>
      </c>
      <c r="L20" s="4" t="s">
        <v>5</v>
      </c>
      <c r="M20" s="4" t="s">
        <v>5</v>
      </c>
      <c r="N20" s="4" t="s">
        <v>5</v>
      </c>
      <c r="O20" s="4" t="s">
        <v>5</v>
      </c>
      <c r="P20" s="4" t="s">
        <v>5</v>
      </c>
      <c r="Q20" s="4" t="s">
        <v>5</v>
      </c>
      <c r="R20" s="4" t="s">
        <v>5</v>
      </c>
      <c r="S20" s="4" t="s">
        <v>5</v>
      </c>
      <c r="T20" s="4" t="s">
        <v>5</v>
      </c>
      <c r="U20" s="4" t="s">
        <v>5</v>
      </c>
      <c r="V20" s="4" t="s">
        <v>5</v>
      </c>
      <c r="W20" s="4" t="s">
        <v>5</v>
      </c>
      <c r="X20" s="4" t="s">
        <v>5</v>
      </c>
      <c r="Y20" s="4" t="s">
        <v>5</v>
      </c>
      <c r="Z20" s="4" t="s">
        <v>5</v>
      </c>
      <c r="AA20" s="4" t="s">
        <v>5</v>
      </c>
      <c r="AB20" s="4" t="s">
        <v>5</v>
      </c>
      <c r="AC20" s="4" t="s">
        <v>5</v>
      </c>
      <c r="AD20" s="4" t="s">
        <v>5</v>
      </c>
      <c r="AE20" s="4" t="s">
        <v>5</v>
      </c>
      <c r="AF20" s="4" t="s">
        <v>5</v>
      </c>
      <c r="AG20" s="4" t="s">
        <v>5</v>
      </c>
      <c r="AH20" s="4" t="s">
        <v>5</v>
      </c>
      <c r="AI20" s="4" t="s">
        <v>5</v>
      </c>
      <c r="AJ20" s="4" t="s">
        <v>5</v>
      </c>
      <c r="AK20" s="4" t="s">
        <v>5</v>
      </c>
      <c r="AL20" s="4" t="s">
        <v>5</v>
      </c>
      <c r="AM20" s="4" t="s">
        <v>5</v>
      </c>
      <c r="AN20" s="4" t="s">
        <v>5</v>
      </c>
      <c r="AO20" s="4" t="s">
        <v>5</v>
      </c>
      <c r="AP20" s="4" t="s">
        <v>5</v>
      </c>
      <c r="AQ20" s="4" t="s">
        <v>5</v>
      </c>
      <c r="AR20" s="4" t="s">
        <v>5</v>
      </c>
      <c r="AS20" s="4" t="s">
        <v>5</v>
      </c>
      <c r="AT20" s="4" t="s">
        <v>5</v>
      </c>
      <c r="AU20" s="4" t="s">
        <v>5</v>
      </c>
      <c r="AV20" s="4" t="s">
        <v>5</v>
      </c>
      <c r="AW20" s="4" t="s">
        <v>5</v>
      </c>
      <c r="AX20" s="4" t="s">
        <v>5</v>
      </c>
      <c r="AY20" s="4" t="s">
        <v>5</v>
      </c>
      <c r="AZ20" s="4" t="s">
        <v>5</v>
      </c>
      <c r="BA20" s="4" t="s">
        <v>5</v>
      </c>
      <c r="BB20" s="4" t="s">
        <v>5</v>
      </c>
      <c r="BC20" s="4" t="s">
        <v>5</v>
      </c>
      <c r="BD20" s="4" t="s">
        <v>5</v>
      </c>
      <c r="BE20" s="4" t="s">
        <v>5</v>
      </c>
      <c r="BF20" s="4" t="s">
        <v>5</v>
      </c>
      <c r="BG20" s="4" t="s">
        <v>5</v>
      </c>
      <c r="BH20" s="4" t="s">
        <v>5</v>
      </c>
      <c r="BI20" s="4" t="s">
        <v>5</v>
      </c>
      <c r="BJ20" s="4" t="s">
        <v>5</v>
      </c>
      <c r="BK20" s="4" t="s">
        <v>5</v>
      </c>
      <c r="BL20" s="4" t="s">
        <v>5</v>
      </c>
      <c r="BM20" s="4" t="s">
        <v>5</v>
      </c>
      <c r="BN20" s="4" t="s">
        <v>5</v>
      </c>
      <c r="BO20" s="4" t="s">
        <v>5</v>
      </c>
      <c r="BP20" s="4" t="s">
        <v>5</v>
      </c>
      <c r="BQ20" s="4" t="s">
        <v>5</v>
      </c>
      <c r="BR20" s="4" t="s">
        <v>5</v>
      </c>
      <c r="BS20" s="4" t="s">
        <v>5</v>
      </c>
      <c r="BT20" s="4" t="s">
        <v>5</v>
      </c>
      <c r="BU20" s="4" t="s">
        <v>5</v>
      </c>
      <c r="BV20" s="4" t="s">
        <v>5</v>
      </c>
      <c r="BW20" s="4" t="s">
        <v>5</v>
      </c>
      <c r="BX20" s="4" t="s">
        <v>5</v>
      </c>
      <c r="BY20" s="4" t="s">
        <v>5</v>
      </c>
      <c r="BZ20" s="4" t="s">
        <v>5</v>
      </c>
      <c r="CA20" s="4" t="s">
        <v>5</v>
      </c>
      <c r="CB20" s="4" t="s">
        <v>5</v>
      </c>
      <c r="CC20" s="4" t="s">
        <v>5</v>
      </c>
      <c r="CD20" s="4" t="s">
        <v>5</v>
      </c>
      <c r="CE20" s="4" t="s">
        <v>5</v>
      </c>
      <c r="CF20" s="4" t="s">
        <v>5</v>
      </c>
      <c r="CG20" s="4" t="s">
        <v>5</v>
      </c>
    </row>
    <row r="21" spans="1:85" x14ac:dyDescent="0.25">
      <c r="A21" s="13" t="str">
        <f>IF(AND($E21="",MAX($A$8:$A20)=0),"",IF(AND($E21&lt;&gt;"",MAX($A$8:$A20)=0),1,IF(AND($E21&lt;&gt;"",MAX($A$8:$A20)&gt;0),MAX($A$8:$A20)+1,"")))</f>
        <v/>
      </c>
      <c r="B21" s="11">
        <v>14</v>
      </c>
      <c r="C21" s="19" t="str">
        <f t="shared" si="0"/>
        <v>EMPTY</v>
      </c>
      <c r="D21" s="3" t="str">
        <f t="shared" si="1"/>
        <v/>
      </c>
      <c r="E21" s="7"/>
      <c r="F21" s="8" t="str">
        <f t="shared" si="2"/>
        <v/>
      </c>
      <c r="I21" s="4" t="s">
        <v>5</v>
      </c>
      <c r="J21" s="4" t="s">
        <v>5</v>
      </c>
      <c r="K21" s="4" t="s">
        <v>5</v>
      </c>
      <c r="L21" s="4" t="s">
        <v>5</v>
      </c>
      <c r="M21" s="4" t="s">
        <v>5</v>
      </c>
      <c r="N21" s="4" t="s">
        <v>5</v>
      </c>
      <c r="O21" s="4" t="s">
        <v>5</v>
      </c>
      <c r="P21" s="4" t="s">
        <v>5</v>
      </c>
      <c r="Q21" s="4" t="s">
        <v>5</v>
      </c>
      <c r="R21" s="4" t="s">
        <v>5</v>
      </c>
      <c r="S21" s="4" t="s">
        <v>5</v>
      </c>
      <c r="T21" s="4" t="s">
        <v>5</v>
      </c>
      <c r="U21" s="4" t="s">
        <v>5</v>
      </c>
      <c r="V21" s="4" t="s">
        <v>5</v>
      </c>
      <c r="W21" s="4" t="s">
        <v>5</v>
      </c>
      <c r="X21" s="4" t="s">
        <v>5</v>
      </c>
      <c r="Y21" s="4" t="s">
        <v>5</v>
      </c>
      <c r="Z21" s="4" t="s">
        <v>5</v>
      </c>
      <c r="AA21" s="4" t="s">
        <v>5</v>
      </c>
      <c r="AB21" s="4" t="s">
        <v>5</v>
      </c>
      <c r="AC21" s="4" t="s">
        <v>5</v>
      </c>
      <c r="AD21" s="4" t="s">
        <v>5</v>
      </c>
      <c r="AE21" s="4" t="s">
        <v>5</v>
      </c>
      <c r="AF21" s="4" t="s">
        <v>5</v>
      </c>
      <c r="AG21" s="4" t="s">
        <v>5</v>
      </c>
      <c r="AH21" s="4" t="s">
        <v>5</v>
      </c>
      <c r="AI21" s="4" t="s">
        <v>5</v>
      </c>
      <c r="AJ21" s="4" t="s">
        <v>5</v>
      </c>
      <c r="AK21" s="4" t="s">
        <v>5</v>
      </c>
      <c r="AL21" s="4" t="s">
        <v>5</v>
      </c>
      <c r="AM21" s="4" t="s">
        <v>5</v>
      </c>
      <c r="AN21" s="4" t="s">
        <v>5</v>
      </c>
      <c r="AO21" s="4" t="s">
        <v>5</v>
      </c>
      <c r="AP21" s="4" t="s">
        <v>5</v>
      </c>
      <c r="AQ21" s="4" t="s">
        <v>5</v>
      </c>
      <c r="AR21" s="4" t="s">
        <v>5</v>
      </c>
      <c r="AS21" s="4" t="s">
        <v>5</v>
      </c>
      <c r="AT21" s="4" t="s">
        <v>5</v>
      </c>
      <c r="AU21" s="4" t="s">
        <v>5</v>
      </c>
      <c r="AV21" s="4" t="s">
        <v>5</v>
      </c>
      <c r="AW21" s="4" t="s">
        <v>5</v>
      </c>
      <c r="AX21" s="4" t="s">
        <v>5</v>
      </c>
      <c r="AY21" s="4" t="s">
        <v>5</v>
      </c>
      <c r="AZ21" s="4" t="s">
        <v>5</v>
      </c>
      <c r="BA21" s="4" t="s">
        <v>5</v>
      </c>
      <c r="BB21" s="4" t="s">
        <v>5</v>
      </c>
      <c r="BC21" s="4" t="s">
        <v>5</v>
      </c>
      <c r="BD21" s="4" t="s">
        <v>5</v>
      </c>
      <c r="BE21" s="4" t="s">
        <v>5</v>
      </c>
      <c r="BF21" s="4" t="s">
        <v>5</v>
      </c>
      <c r="BG21" s="4" t="s">
        <v>5</v>
      </c>
      <c r="BH21" s="4" t="s">
        <v>5</v>
      </c>
      <c r="BI21" s="4" t="s">
        <v>5</v>
      </c>
      <c r="BJ21" s="4" t="s">
        <v>5</v>
      </c>
      <c r="BK21" s="4" t="s">
        <v>5</v>
      </c>
      <c r="BL21" s="4" t="s">
        <v>5</v>
      </c>
      <c r="BM21" s="4" t="s">
        <v>5</v>
      </c>
      <c r="BN21" s="4" t="s">
        <v>5</v>
      </c>
      <c r="BO21" s="4" t="s">
        <v>5</v>
      </c>
      <c r="BP21" s="4" t="s">
        <v>5</v>
      </c>
      <c r="BQ21" s="4" t="s">
        <v>5</v>
      </c>
      <c r="BR21" s="4" t="s">
        <v>5</v>
      </c>
      <c r="BS21" s="4" t="s">
        <v>5</v>
      </c>
      <c r="BT21" s="4" t="s">
        <v>5</v>
      </c>
      <c r="BU21" s="4" t="s">
        <v>5</v>
      </c>
      <c r="BV21" s="4" t="s">
        <v>5</v>
      </c>
      <c r="BW21" s="4" t="s">
        <v>5</v>
      </c>
      <c r="BX21" s="4" t="s">
        <v>5</v>
      </c>
      <c r="BY21" s="4" t="s">
        <v>5</v>
      </c>
      <c r="BZ21" s="4" t="s">
        <v>5</v>
      </c>
      <c r="CA21" s="4" t="s">
        <v>5</v>
      </c>
      <c r="CB21" s="4" t="s">
        <v>5</v>
      </c>
      <c r="CC21" s="4" t="s">
        <v>5</v>
      </c>
      <c r="CD21" s="4" t="s">
        <v>5</v>
      </c>
      <c r="CE21" s="4" t="s">
        <v>5</v>
      </c>
      <c r="CF21" s="4" t="s">
        <v>5</v>
      </c>
      <c r="CG21" s="4" t="s">
        <v>5</v>
      </c>
    </row>
    <row r="22" spans="1:85" x14ac:dyDescent="0.25">
      <c r="A22" s="13" t="str">
        <f>IF(AND($E22="",MAX($A$8:$A21)=0),"",IF(AND($E22&lt;&gt;"",MAX($A$8:$A21)=0),1,IF(AND($E22&lt;&gt;"",MAX($A$8:$A21)&gt;0),MAX($A$8:$A21)+1,"")))</f>
        <v/>
      </c>
      <c r="B22" s="11">
        <v>15</v>
      </c>
      <c r="C22" s="19" t="str">
        <f t="shared" si="0"/>
        <v>EMPTY</v>
      </c>
      <c r="D22" s="3" t="str">
        <f t="shared" si="1"/>
        <v/>
      </c>
      <c r="E22" s="7"/>
      <c r="F22" s="8" t="str">
        <f t="shared" si="2"/>
        <v/>
      </c>
      <c r="I22" s="4" t="s">
        <v>5</v>
      </c>
      <c r="J22" s="4" t="s">
        <v>5</v>
      </c>
      <c r="K22" s="4" t="s">
        <v>5</v>
      </c>
      <c r="L22" s="4" t="s">
        <v>5</v>
      </c>
      <c r="M22" s="4" t="s">
        <v>5</v>
      </c>
      <c r="N22" s="4" t="s">
        <v>5</v>
      </c>
      <c r="O22" s="4" t="s">
        <v>5</v>
      </c>
      <c r="P22" s="4" t="s">
        <v>5</v>
      </c>
      <c r="Q22" s="4" t="s">
        <v>5</v>
      </c>
      <c r="R22" s="4" t="s">
        <v>5</v>
      </c>
      <c r="S22" s="4" t="s">
        <v>5</v>
      </c>
      <c r="T22" s="4" t="s">
        <v>5</v>
      </c>
      <c r="U22" s="4" t="s">
        <v>5</v>
      </c>
      <c r="V22" s="4" t="s">
        <v>5</v>
      </c>
      <c r="W22" s="4" t="s">
        <v>5</v>
      </c>
      <c r="X22" s="4" t="s">
        <v>5</v>
      </c>
      <c r="Y22" s="4" t="s">
        <v>5</v>
      </c>
      <c r="Z22" s="4" t="s">
        <v>5</v>
      </c>
      <c r="AA22" s="4" t="s">
        <v>5</v>
      </c>
      <c r="AB22" s="4" t="s">
        <v>5</v>
      </c>
      <c r="AC22" s="4" t="s">
        <v>5</v>
      </c>
      <c r="AD22" s="4" t="s">
        <v>5</v>
      </c>
      <c r="AE22" s="4" t="s">
        <v>5</v>
      </c>
      <c r="AF22" s="4" t="s">
        <v>5</v>
      </c>
      <c r="AG22" s="4" t="s">
        <v>5</v>
      </c>
      <c r="AH22" s="4" t="s">
        <v>5</v>
      </c>
      <c r="AI22" s="4" t="s">
        <v>5</v>
      </c>
      <c r="AJ22" s="4" t="s">
        <v>5</v>
      </c>
      <c r="AK22" s="4" t="s">
        <v>5</v>
      </c>
      <c r="AL22" s="4" t="s">
        <v>5</v>
      </c>
      <c r="AM22" s="4" t="s">
        <v>5</v>
      </c>
      <c r="AN22" s="4" t="s">
        <v>5</v>
      </c>
      <c r="AO22" s="4" t="s">
        <v>5</v>
      </c>
      <c r="AP22" s="4" t="s">
        <v>5</v>
      </c>
      <c r="AQ22" s="4" t="s">
        <v>5</v>
      </c>
      <c r="AR22" s="4" t="s">
        <v>5</v>
      </c>
      <c r="AS22" s="4" t="s">
        <v>5</v>
      </c>
      <c r="AT22" s="4" t="s">
        <v>5</v>
      </c>
      <c r="AU22" s="4" t="s">
        <v>5</v>
      </c>
      <c r="AV22" s="4" t="s">
        <v>5</v>
      </c>
      <c r="AW22" s="4" t="s">
        <v>5</v>
      </c>
      <c r="AX22" s="4" t="s">
        <v>5</v>
      </c>
      <c r="AY22" s="4" t="s">
        <v>5</v>
      </c>
      <c r="AZ22" s="4" t="s">
        <v>5</v>
      </c>
      <c r="BA22" s="4" t="s">
        <v>5</v>
      </c>
      <c r="BB22" s="4" t="s">
        <v>5</v>
      </c>
      <c r="BC22" s="4" t="s">
        <v>5</v>
      </c>
      <c r="BD22" s="4" t="s">
        <v>5</v>
      </c>
      <c r="BE22" s="4" t="s">
        <v>5</v>
      </c>
      <c r="BF22" s="4" t="s">
        <v>5</v>
      </c>
      <c r="BG22" s="4" t="s">
        <v>5</v>
      </c>
      <c r="BH22" s="4" t="s">
        <v>5</v>
      </c>
      <c r="BI22" s="4" t="s">
        <v>5</v>
      </c>
      <c r="BJ22" s="4" t="s">
        <v>5</v>
      </c>
      <c r="BK22" s="4" t="s">
        <v>5</v>
      </c>
      <c r="BL22" s="4" t="s">
        <v>5</v>
      </c>
      <c r="BM22" s="4" t="s">
        <v>5</v>
      </c>
      <c r="BN22" s="4" t="s">
        <v>5</v>
      </c>
      <c r="BO22" s="4" t="s">
        <v>5</v>
      </c>
      <c r="BP22" s="4" t="s">
        <v>5</v>
      </c>
      <c r="BQ22" s="4" t="s">
        <v>5</v>
      </c>
      <c r="BR22" s="4" t="s">
        <v>5</v>
      </c>
      <c r="BS22" s="4" t="s">
        <v>5</v>
      </c>
      <c r="BT22" s="4" t="s">
        <v>5</v>
      </c>
      <c r="BU22" s="4" t="s">
        <v>5</v>
      </c>
      <c r="BV22" s="4" t="s">
        <v>5</v>
      </c>
      <c r="BW22" s="4" t="s">
        <v>5</v>
      </c>
      <c r="BX22" s="4" t="s">
        <v>5</v>
      </c>
      <c r="BY22" s="4" t="s">
        <v>5</v>
      </c>
      <c r="BZ22" s="4" t="s">
        <v>5</v>
      </c>
      <c r="CA22" s="4" t="s">
        <v>5</v>
      </c>
      <c r="CB22" s="4" t="s">
        <v>5</v>
      </c>
      <c r="CC22" s="4" t="s">
        <v>5</v>
      </c>
      <c r="CD22" s="4" t="s">
        <v>5</v>
      </c>
      <c r="CE22" s="4" t="s">
        <v>5</v>
      </c>
      <c r="CF22" s="4" t="s">
        <v>5</v>
      </c>
      <c r="CG22" s="4" t="s">
        <v>5</v>
      </c>
    </row>
    <row r="23" spans="1:85" x14ac:dyDescent="0.25">
      <c r="A23" s="13" t="str">
        <f>IF(AND($E23="",MAX($A$8:$A22)=0),"",IF(AND($E23&lt;&gt;"",MAX($A$8:$A22)=0),1,IF(AND($E23&lt;&gt;"",MAX($A$8:$A22)&gt;0),MAX($A$8:$A22)+1,"")))</f>
        <v/>
      </c>
      <c r="B23" s="11">
        <v>16</v>
      </c>
      <c r="C23" s="19" t="str">
        <f t="shared" si="0"/>
        <v>EMPTY</v>
      </c>
      <c r="D23" s="3" t="str">
        <f t="shared" si="1"/>
        <v/>
      </c>
      <c r="E23" s="7"/>
      <c r="F23" s="8" t="str">
        <f t="shared" si="2"/>
        <v/>
      </c>
      <c r="I23" s="4" t="s">
        <v>5</v>
      </c>
      <c r="J23" s="4" t="s">
        <v>5</v>
      </c>
      <c r="K23" s="4" t="s">
        <v>5</v>
      </c>
      <c r="L23" s="4" t="s">
        <v>5</v>
      </c>
      <c r="M23" s="4" t="s">
        <v>5</v>
      </c>
      <c r="N23" s="4" t="s">
        <v>5</v>
      </c>
      <c r="O23" s="4" t="s">
        <v>5</v>
      </c>
      <c r="P23" s="4" t="s">
        <v>5</v>
      </c>
      <c r="Q23" s="4" t="s">
        <v>5</v>
      </c>
      <c r="R23" s="4" t="s">
        <v>5</v>
      </c>
      <c r="S23" s="4" t="s">
        <v>5</v>
      </c>
      <c r="T23" s="4" t="s">
        <v>5</v>
      </c>
      <c r="U23" s="4" t="s">
        <v>5</v>
      </c>
      <c r="V23" s="4" t="s">
        <v>5</v>
      </c>
      <c r="W23" s="4" t="s">
        <v>5</v>
      </c>
      <c r="X23" s="4" t="s">
        <v>5</v>
      </c>
      <c r="Y23" s="4" t="s">
        <v>5</v>
      </c>
      <c r="Z23" s="4" t="s">
        <v>5</v>
      </c>
      <c r="AA23" s="4" t="s">
        <v>5</v>
      </c>
      <c r="AB23" s="4" t="s">
        <v>5</v>
      </c>
      <c r="AC23" s="4" t="s">
        <v>5</v>
      </c>
      <c r="AD23" s="4" t="s">
        <v>5</v>
      </c>
      <c r="AE23" s="4" t="s">
        <v>5</v>
      </c>
      <c r="AF23" s="4" t="s">
        <v>5</v>
      </c>
      <c r="AG23" s="4" t="s">
        <v>5</v>
      </c>
      <c r="AH23" s="4" t="s">
        <v>5</v>
      </c>
      <c r="AI23" s="4" t="s">
        <v>5</v>
      </c>
      <c r="AJ23" s="4" t="s">
        <v>5</v>
      </c>
      <c r="AK23" s="4" t="s">
        <v>5</v>
      </c>
      <c r="AL23" s="4" t="s">
        <v>5</v>
      </c>
      <c r="AM23" s="4" t="s">
        <v>5</v>
      </c>
      <c r="AN23" s="4" t="s">
        <v>5</v>
      </c>
      <c r="AO23" s="4" t="s">
        <v>5</v>
      </c>
      <c r="AP23" s="4" t="s">
        <v>5</v>
      </c>
      <c r="AQ23" s="4" t="s">
        <v>5</v>
      </c>
      <c r="AR23" s="4" t="s">
        <v>5</v>
      </c>
      <c r="AS23" s="4" t="s">
        <v>5</v>
      </c>
      <c r="AT23" s="4" t="s">
        <v>5</v>
      </c>
      <c r="AU23" s="4" t="s">
        <v>5</v>
      </c>
      <c r="AV23" s="4" t="s">
        <v>5</v>
      </c>
      <c r="AW23" s="4" t="s">
        <v>5</v>
      </c>
      <c r="AX23" s="4" t="s">
        <v>5</v>
      </c>
      <c r="AY23" s="4" t="s">
        <v>5</v>
      </c>
      <c r="AZ23" s="4" t="s">
        <v>5</v>
      </c>
      <c r="BA23" s="4" t="s">
        <v>5</v>
      </c>
      <c r="BB23" s="4" t="s">
        <v>5</v>
      </c>
      <c r="BC23" s="4" t="s">
        <v>5</v>
      </c>
      <c r="BD23" s="4" t="s">
        <v>5</v>
      </c>
      <c r="BE23" s="4" t="s">
        <v>5</v>
      </c>
      <c r="BF23" s="4" t="s">
        <v>5</v>
      </c>
      <c r="BG23" s="4" t="s">
        <v>5</v>
      </c>
      <c r="BH23" s="4" t="s">
        <v>5</v>
      </c>
      <c r="BI23" s="4" t="s">
        <v>5</v>
      </c>
      <c r="BJ23" s="4" t="s">
        <v>5</v>
      </c>
      <c r="BK23" s="4" t="s">
        <v>5</v>
      </c>
      <c r="BL23" s="4" t="s">
        <v>5</v>
      </c>
      <c r="BM23" s="4" t="s">
        <v>5</v>
      </c>
      <c r="BN23" s="4" t="s">
        <v>5</v>
      </c>
      <c r="BO23" s="4" t="s">
        <v>5</v>
      </c>
      <c r="BP23" s="4" t="s">
        <v>5</v>
      </c>
      <c r="BQ23" s="4" t="s">
        <v>5</v>
      </c>
      <c r="BR23" s="4" t="s">
        <v>5</v>
      </c>
      <c r="BS23" s="4" t="s">
        <v>5</v>
      </c>
      <c r="BT23" s="4" t="s">
        <v>5</v>
      </c>
      <c r="BU23" s="4" t="s">
        <v>5</v>
      </c>
      <c r="BV23" s="4" t="s">
        <v>5</v>
      </c>
      <c r="BW23" s="4" t="s">
        <v>5</v>
      </c>
      <c r="BX23" s="4" t="s">
        <v>5</v>
      </c>
      <c r="BY23" s="4" t="s">
        <v>5</v>
      </c>
      <c r="BZ23" s="4" t="s">
        <v>5</v>
      </c>
      <c r="CA23" s="4" t="s">
        <v>5</v>
      </c>
      <c r="CB23" s="4" t="s">
        <v>5</v>
      </c>
      <c r="CC23" s="4" t="s">
        <v>5</v>
      </c>
      <c r="CD23" s="4" t="s">
        <v>5</v>
      </c>
      <c r="CE23" s="4" t="s">
        <v>5</v>
      </c>
      <c r="CF23" s="4" t="s">
        <v>5</v>
      </c>
      <c r="CG23" s="4" t="s">
        <v>5</v>
      </c>
    </row>
    <row r="24" spans="1:85" x14ac:dyDescent="0.25">
      <c r="A24" s="13" t="str">
        <f>IF(AND($E24="",MAX($A$8:$A23)=0),"",IF(AND($E24&lt;&gt;"",MAX($A$8:$A23)=0),1,IF(AND($E24&lt;&gt;"",MAX($A$8:$A23)&gt;0),MAX($A$8:$A23)+1,"")))</f>
        <v/>
      </c>
      <c r="B24" s="11">
        <v>17</v>
      </c>
      <c r="C24" s="19" t="str">
        <f t="shared" si="0"/>
        <v>EMPTY</v>
      </c>
      <c r="D24" s="3" t="str">
        <f t="shared" si="1"/>
        <v/>
      </c>
      <c r="E24" s="7"/>
      <c r="F24" s="8" t="str">
        <f t="shared" si="2"/>
        <v/>
      </c>
      <c r="I24" s="4" t="s">
        <v>5</v>
      </c>
      <c r="J24" s="4" t="s">
        <v>5</v>
      </c>
      <c r="K24" s="4" t="s">
        <v>5</v>
      </c>
      <c r="L24" s="4" t="s">
        <v>5</v>
      </c>
      <c r="M24" s="4" t="s">
        <v>5</v>
      </c>
      <c r="N24" s="4" t="s">
        <v>5</v>
      </c>
      <c r="O24" s="4" t="s">
        <v>5</v>
      </c>
      <c r="P24" s="4" t="s">
        <v>5</v>
      </c>
      <c r="Q24" s="4" t="s">
        <v>5</v>
      </c>
      <c r="R24" s="4" t="s">
        <v>5</v>
      </c>
      <c r="S24" s="4" t="s">
        <v>5</v>
      </c>
      <c r="T24" s="4" t="s">
        <v>5</v>
      </c>
      <c r="U24" s="4" t="s">
        <v>5</v>
      </c>
      <c r="V24" s="4" t="s">
        <v>5</v>
      </c>
      <c r="W24" s="4" t="s">
        <v>5</v>
      </c>
      <c r="X24" s="4" t="s">
        <v>5</v>
      </c>
      <c r="Y24" s="4" t="s">
        <v>5</v>
      </c>
      <c r="Z24" s="4" t="s">
        <v>5</v>
      </c>
      <c r="AA24" s="4" t="s">
        <v>5</v>
      </c>
      <c r="AB24" s="4" t="s">
        <v>5</v>
      </c>
      <c r="AC24" s="4" t="s">
        <v>5</v>
      </c>
      <c r="AD24" s="4" t="s">
        <v>5</v>
      </c>
      <c r="AE24" s="4" t="s">
        <v>5</v>
      </c>
      <c r="AF24" s="4" t="s">
        <v>5</v>
      </c>
      <c r="AG24" s="4" t="s">
        <v>5</v>
      </c>
      <c r="AH24" s="4" t="s">
        <v>5</v>
      </c>
      <c r="AI24" s="4" t="s">
        <v>5</v>
      </c>
      <c r="AJ24" s="4" t="s">
        <v>5</v>
      </c>
      <c r="AK24" s="4" t="s">
        <v>5</v>
      </c>
      <c r="AL24" s="4" t="s">
        <v>5</v>
      </c>
      <c r="AM24" s="4" t="s">
        <v>5</v>
      </c>
      <c r="AN24" s="4" t="s">
        <v>5</v>
      </c>
      <c r="AO24" s="4" t="s">
        <v>5</v>
      </c>
      <c r="AP24" s="4" t="s">
        <v>5</v>
      </c>
      <c r="AQ24" s="4" t="s">
        <v>5</v>
      </c>
      <c r="AR24" s="4" t="s">
        <v>5</v>
      </c>
      <c r="AS24" s="4" t="s">
        <v>5</v>
      </c>
      <c r="AT24" s="4" t="s">
        <v>5</v>
      </c>
      <c r="AU24" s="4" t="s">
        <v>5</v>
      </c>
      <c r="AV24" s="4" t="s">
        <v>5</v>
      </c>
      <c r="AW24" s="4" t="s">
        <v>5</v>
      </c>
      <c r="AX24" s="4" t="s">
        <v>5</v>
      </c>
      <c r="AY24" s="4" t="s">
        <v>5</v>
      </c>
      <c r="AZ24" s="4" t="s">
        <v>5</v>
      </c>
      <c r="BA24" s="4" t="s">
        <v>5</v>
      </c>
      <c r="BB24" s="4" t="s">
        <v>5</v>
      </c>
      <c r="BC24" s="4" t="s">
        <v>5</v>
      </c>
      <c r="BD24" s="4" t="s">
        <v>5</v>
      </c>
      <c r="BE24" s="4" t="s">
        <v>5</v>
      </c>
      <c r="BF24" s="4" t="s">
        <v>5</v>
      </c>
      <c r="BG24" s="4" t="s">
        <v>5</v>
      </c>
      <c r="BH24" s="4" t="s">
        <v>5</v>
      </c>
      <c r="BI24" s="4" t="s">
        <v>5</v>
      </c>
      <c r="BJ24" s="4" t="s">
        <v>5</v>
      </c>
      <c r="BK24" s="4" t="s">
        <v>5</v>
      </c>
      <c r="BL24" s="4" t="s">
        <v>5</v>
      </c>
      <c r="BM24" s="4" t="s">
        <v>5</v>
      </c>
      <c r="BN24" s="4" t="s">
        <v>5</v>
      </c>
      <c r="BO24" s="4" t="s">
        <v>5</v>
      </c>
      <c r="BP24" s="4" t="s">
        <v>5</v>
      </c>
      <c r="BQ24" s="4" t="s">
        <v>5</v>
      </c>
      <c r="BR24" s="4" t="s">
        <v>5</v>
      </c>
      <c r="BS24" s="4" t="s">
        <v>5</v>
      </c>
      <c r="BT24" s="4" t="s">
        <v>5</v>
      </c>
      <c r="BU24" s="4" t="s">
        <v>5</v>
      </c>
      <c r="BV24" s="4" t="s">
        <v>5</v>
      </c>
      <c r="BW24" s="4" t="s">
        <v>5</v>
      </c>
      <c r="BX24" s="4" t="s">
        <v>5</v>
      </c>
      <c r="BY24" s="4" t="s">
        <v>5</v>
      </c>
      <c r="BZ24" s="4" t="s">
        <v>5</v>
      </c>
      <c r="CA24" s="4" t="s">
        <v>5</v>
      </c>
      <c r="CB24" s="4" t="s">
        <v>5</v>
      </c>
      <c r="CC24" s="4" t="s">
        <v>5</v>
      </c>
      <c r="CD24" s="4" t="s">
        <v>5</v>
      </c>
      <c r="CE24" s="4" t="s">
        <v>5</v>
      </c>
      <c r="CF24" s="4" t="s">
        <v>5</v>
      </c>
      <c r="CG24" s="4" t="s">
        <v>5</v>
      </c>
    </row>
    <row r="25" spans="1:85" x14ac:dyDescent="0.25">
      <c r="A25" s="13" t="str">
        <f>IF(AND($E25="",MAX($A$8:$A24)=0),"",IF(AND($E25&lt;&gt;"",MAX($A$8:$A24)=0),1,IF(AND($E25&lt;&gt;"",MAX($A$8:$A24)&gt;0),MAX($A$8:$A24)+1,"")))</f>
        <v/>
      </c>
      <c r="B25" s="11">
        <v>18</v>
      </c>
      <c r="C25" s="19" t="str">
        <f t="shared" si="0"/>
        <v>EMPTY</v>
      </c>
      <c r="D25" s="3" t="str">
        <f t="shared" si="1"/>
        <v/>
      </c>
      <c r="E25" s="7"/>
      <c r="F25" s="8" t="str">
        <f t="shared" si="2"/>
        <v/>
      </c>
      <c r="I25" s="4" t="s">
        <v>5</v>
      </c>
      <c r="J25" s="4" t="s">
        <v>5</v>
      </c>
      <c r="K25" s="4" t="s">
        <v>5</v>
      </c>
      <c r="L25" s="4" t="s">
        <v>5</v>
      </c>
      <c r="M25" s="4" t="s">
        <v>5</v>
      </c>
      <c r="N25" s="4" t="s">
        <v>5</v>
      </c>
      <c r="O25" s="4" t="s">
        <v>5</v>
      </c>
      <c r="P25" s="4" t="s">
        <v>5</v>
      </c>
      <c r="Q25" s="4" t="s">
        <v>5</v>
      </c>
      <c r="R25" s="4" t="s">
        <v>5</v>
      </c>
      <c r="S25" s="4" t="s">
        <v>5</v>
      </c>
      <c r="T25" s="4" t="s">
        <v>5</v>
      </c>
      <c r="U25" s="4" t="s">
        <v>5</v>
      </c>
      <c r="V25" s="4" t="s">
        <v>5</v>
      </c>
      <c r="W25" s="4" t="s">
        <v>5</v>
      </c>
      <c r="X25" s="4" t="s">
        <v>5</v>
      </c>
      <c r="Y25" s="4" t="s">
        <v>5</v>
      </c>
      <c r="Z25" s="4" t="s">
        <v>5</v>
      </c>
      <c r="AA25" s="4" t="s">
        <v>5</v>
      </c>
      <c r="AB25" s="4" t="s">
        <v>5</v>
      </c>
      <c r="AC25" s="4" t="s">
        <v>5</v>
      </c>
      <c r="AD25" s="4" t="s">
        <v>5</v>
      </c>
      <c r="AE25" s="4" t="s">
        <v>5</v>
      </c>
      <c r="AF25" s="4" t="s">
        <v>5</v>
      </c>
      <c r="AG25" s="4" t="s">
        <v>5</v>
      </c>
      <c r="AH25" s="4" t="s">
        <v>5</v>
      </c>
      <c r="AI25" s="4" t="s">
        <v>5</v>
      </c>
      <c r="AJ25" s="4" t="s">
        <v>5</v>
      </c>
      <c r="AK25" s="4" t="s">
        <v>5</v>
      </c>
      <c r="AL25" s="4" t="s">
        <v>5</v>
      </c>
      <c r="AM25" s="4" t="s">
        <v>5</v>
      </c>
      <c r="AN25" s="4" t="s">
        <v>5</v>
      </c>
      <c r="AO25" s="4" t="s">
        <v>5</v>
      </c>
      <c r="AP25" s="4" t="s">
        <v>5</v>
      </c>
      <c r="AQ25" s="4" t="s">
        <v>5</v>
      </c>
      <c r="AR25" s="4" t="s">
        <v>5</v>
      </c>
      <c r="AS25" s="4" t="s">
        <v>5</v>
      </c>
      <c r="AT25" s="4" t="s">
        <v>5</v>
      </c>
      <c r="AU25" s="4" t="s">
        <v>5</v>
      </c>
      <c r="AV25" s="4" t="s">
        <v>5</v>
      </c>
      <c r="AW25" s="4" t="s">
        <v>5</v>
      </c>
      <c r="AX25" s="4" t="s">
        <v>5</v>
      </c>
      <c r="AY25" s="4" t="s">
        <v>5</v>
      </c>
      <c r="AZ25" s="4" t="s">
        <v>5</v>
      </c>
      <c r="BA25" s="4" t="s">
        <v>5</v>
      </c>
      <c r="BB25" s="4" t="s">
        <v>5</v>
      </c>
      <c r="BC25" s="4" t="s">
        <v>5</v>
      </c>
      <c r="BD25" s="4" t="s">
        <v>5</v>
      </c>
      <c r="BE25" s="4" t="s">
        <v>5</v>
      </c>
      <c r="BF25" s="4" t="s">
        <v>5</v>
      </c>
      <c r="BG25" s="4" t="s">
        <v>5</v>
      </c>
      <c r="BH25" s="4" t="s">
        <v>5</v>
      </c>
      <c r="BI25" s="4" t="s">
        <v>5</v>
      </c>
      <c r="BJ25" s="4" t="s">
        <v>5</v>
      </c>
      <c r="BK25" s="4" t="s">
        <v>5</v>
      </c>
      <c r="BL25" s="4" t="s">
        <v>5</v>
      </c>
      <c r="BM25" s="4" t="s">
        <v>5</v>
      </c>
      <c r="BN25" s="4" t="s">
        <v>5</v>
      </c>
      <c r="BO25" s="4" t="s">
        <v>5</v>
      </c>
      <c r="BP25" s="4" t="s">
        <v>5</v>
      </c>
      <c r="BQ25" s="4" t="s">
        <v>5</v>
      </c>
      <c r="BR25" s="4" t="s">
        <v>5</v>
      </c>
      <c r="BS25" s="4" t="s">
        <v>5</v>
      </c>
      <c r="BT25" s="4" t="s">
        <v>5</v>
      </c>
      <c r="BU25" s="4" t="s">
        <v>5</v>
      </c>
      <c r="BV25" s="4" t="s">
        <v>5</v>
      </c>
      <c r="BW25" s="4" t="s">
        <v>5</v>
      </c>
      <c r="BX25" s="4" t="s">
        <v>5</v>
      </c>
      <c r="BY25" s="4" t="s">
        <v>5</v>
      </c>
      <c r="BZ25" s="4" t="s">
        <v>5</v>
      </c>
      <c r="CA25" s="4" t="s">
        <v>5</v>
      </c>
      <c r="CB25" s="4" t="s">
        <v>5</v>
      </c>
      <c r="CC25" s="4" t="s">
        <v>5</v>
      </c>
      <c r="CD25" s="4" t="s">
        <v>5</v>
      </c>
      <c r="CE25" s="4" t="s">
        <v>5</v>
      </c>
      <c r="CF25" s="4" t="s">
        <v>5</v>
      </c>
      <c r="CG25" s="4" t="s">
        <v>5</v>
      </c>
    </row>
    <row r="26" spans="1:85" x14ac:dyDescent="0.25">
      <c r="A26" s="13" t="str">
        <f>IF(AND($E26="",MAX($A$8:$A25)=0),"",IF(AND($E26&lt;&gt;"",MAX($A$8:$A25)=0),1,IF(AND($E26&lt;&gt;"",MAX($A$8:$A25)&gt;0),MAX($A$8:$A25)+1,"")))</f>
        <v/>
      </c>
      <c r="B26" s="11">
        <v>19</v>
      </c>
      <c r="C26" s="19" t="str">
        <f t="shared" si="0"/>
        <v>EMPTY</v>
      </c>
      <c r="D26" s="3" t="str">
        <f t="shared" si="1"/>
        <v/>
      </c>
      <c r="E26" s="7"/>
      <c r="F26" s="8" t="str">
        <f t="shared" si="2"/>
        <v/>
      </c>
      <c r="I26" s="4" t="s">
        <v>5</v>
      </c>
      <c r="J26" s="4" t="s">
        <v>5</v>
      </c>
      <c r="K26" s="4" t="s">
        <v>5</v>
      </c>
      <c r="L26" s="4" t="s">
        <v>5</v>
      </c>
      <c r="M26" s="4" t="s">
        <v>5</v>
      </c>
      <c r="N26" s="4" t="s">
        <v>5</v>
      </c>
      <c r="O26" s="4" t="s">
        <v>5</v>
      </c>
      <c r="P26" s="4" t="s">
        <v>5</v>
      </c>
      <c r="Q26" s="4" t="s">
        <v>5</v>
      </c>
      <c r="R26" s="4" t="s">
        <v>5</v>
      </c>
      <c r="S26" s="4" t="s">
        <v>5</v>
      </c>
      <c r="T26" s="4" t="s">
        <v>5</v>
      </c>
      <c r="U26" s="4" t="s">
        <v>5</v>
      </c>
      <c r="V26" s="4" t="s">
        <v>5</v>
      </c>
      <c r="W26" s="4" t="s">
        <v>5</v>
      </c>
      <c r="X26" s="4" t="s">
        <v>5</v>
      </c>
      <c r="Y26" s="4" t="s">
        <v>5</v>
      </c>
      <c r="Z26" s="4" t="s">
        <v>5</v>
      </c>
      <c r="AA26" s="4" t="s">
        <v>5</v>
      </c>
      <c r="AB26" s="4" t="s">
        <v>5</v>
      </c>
      <c r="AC26" s="4" t="s">
        <v>5</v>
      </c>
      <c r="AD26" s="4" t="s">
        <v>5</v>
      </c>
      <c r="AE26" s="4" t="s">
        <v>5</v>
      </c>
      <c r="AF26" s="4" t="s">
        <v>5</v>
      </c>
      <c r="AG26" s="4" t="s">
        <v>5</v>
      </c>
      <c r="AH26" s="4" t="s">
        <v>5</v>
      </c>
      <c r="AI26" s="4" t="s">
        <v>5</v>
      </c>
      <c r="AJ26" s="4" t="s">
        <v>5</v>
      </c>
      <c r="AK26" s="4" t="s">
        <v>5</v>
      </c>
      <c r="AL26" s="4" t="s">
        <v>5</v>
      </c>
      <c r="AM26" s="4" t="s">
        <v>5</v>
      </c>
      <c r="AN26" s="4" t="s">
        <v>5</v>
      </c>
      <c r="AO26" s="4" t="s">
        <v>5</v>
      </c>
      <c r="AP26" s="4" t="s">
        <v>5</v>
      </c>
      <c r="AQ26" s="4" t="s">
        <v>5</v>
      </c>
      <c r="AR26" s="4" t="s">
        <v>5</v>
      </c>
      <c r="AS26" s="4" t="s">
        <v>5</v>
      </c>
      <c r="AT26" s="4" t="s">
        <v>5</v>
      </c>
      <c r="AU26" s="4" t="s">
        <v>5</v>
      </c>
      <c r="AV26" s="4" t="s">
        <v>5</v>
      </c>
      <c r="AW26" s="4" t="s">
        <v>5</v>
      </c>
      <c r="AX26" s="4" t="s">
        <v>5</v>
      </c>
      <c r="AY26" s="4" t="s">
        <v>5</v>
      </c>
      <c r="AZ26" s="4" t="s">
        <v>5</v>
      </c>
      <c r="BA26" s="4" t="s">
        <v>5</v>
      </c>
      <c r="BB26" s="4" t="s">
        <v>5</v>
      </c>
      <c r="BC26" s="4" t="s">
        <v>5</v>
      </c>
      <c r="BD26" s="4" t="s">
        <v>5</v>
      </c>
      <c r="BE26" s="4" t="s">
        <v>5</v>
      </c>
      <c r="BF26" s="4" t="s">
        <v>5</v>
      </c>
      <c r="BG26" s="4" t="s">
        <v>5</v>
      </c>
      <c r="BH26" s="4" t="s">
        <v>5</v>
      </c>
      <c r="BI26" s="4" t="s">
        <v>5</v>
      </c>
      <c r="BJ26" s="4" t="s">
        <v>5</v>
      </c>
      <c r="BK26" s="4" t="s">
        <v>5</v>
      </c>
      <c r="BL26" s="4" t="s">
        <v>5</v>
      </c>
      <c r="BM26" s="4" t="s">
        <v>5</v>
      </c>
      <c r="BN26" s="4" t="s">
        <v>5</v>
      </c>
      <c r="BO26" s="4" t="s">
        <v>5</v>
      </c>
      <c r="BP26" s="4" t="s">
        <v>5</v>
      </c>
      <c r="BQ26" s="4" t="s">
        <v>5</v>
      </c>
      <c r="BR26" s="4" t="s">
        <v>5</v>
      </c>
      <c r="BS26" s="4" t="s">
        <v>5</v>
      </c>
      <c r="BT26" s="4" t="s">
        <v>5</v>
      </c>
      <c r="BU26" s="4" t="s">
        <v>5</v>
      </c>
      <c r="BV26" s="4" t="s">
        <v>5</v>
      </c>
      <c r="BW26" s="4" t="s">
        <v>5</v>
      </c>
      <c r="BX26" s="4" t="s">
        <v>5</v>
      </c>
      <c r="BY26" s="4" t="s">
        <v>5</v>
      </c>
      <c r="BZ26" s="4" t="s">
        <v>5</v>
      </c>
      <c r="CA26" s="4" t="s">
        <v>5</v>
      </c>
      <c r="CB26" s="4" t="s">
        <v>5</v>
      </c>
      <c r="CC26" s="4" t="s">
        <v>5</v>
      </c>
      <c r="CD26" s="4" t="s">
        <v>5</v>
      </c>
      <c r="CE26" s="4" t="s">
        <v>5</v>
      </c>
      <c r="CF26" s="4" t="s">
        <v>5</v>
      </c>
      <c r="CG26" s="4" t="s">
        <v>5</v>
      </c>
    </row>
    <row r="27" spans="1:85" x14ac:dyDescent="0.25">
      <c r="A27" s="13" t="str">
        <f>IF(AND($E27="",MAX($A$8:$A26)=0),"",IF(AND($E27&lt;&gt;"",MAX($A$8:$A26)=0),1,IF(AND($E27&lt;&gt;"",MAX($A$8:$A26)&gt;0),MAX($A$8:$A26)+1,"")))</f>
        <v/>
      </c>
      <c r="B27" s="11">
        <v>20</v>
      </c>
      <c r="C27" s="19" t="str">
        <f t="shared" si="0"/>
        <v>EMPTY</v>
      </c>
      <c r="D27" s="3" t="str">
        <f t="shared" si="1"/>
        <v/>
      </c>
      <c r="E27" s="7"/>
      <c r="F27" s="8" t="str">
        <f t="shared" si="2"/>
        <v/>
      </c>
      <c r="I27" s="4" t="s">
        <v>5</v>
      </c>
      <c r="J27" s="4" t="s">
        <v>5</v>
      </c>
      <c r="K27" s="4" t="s">
        <v>5</v>
      </c>
      <c r="L27" s="4" t="s">
        <v>5</v>
      </c>
      <c r="M27" s="4" t="s">
        <v>5</v>
      </c>
      <c r="N27" s="4" t="s">
        <v>5</v>
      </c>
      <c r="O27" s="4" t="s">
        <v>5</v>
      </c>
      <c r="P27" s="4" t="s">
        <v>5</v>
      </c>
      <c r="Q27" s="4" t="s">
        <v>5</v>
      </c>
      <c r="R27" s="4" t="s">
        <v>5</v>
      </c>
      <c r="S27" s="4" t="s">
        <v>5</v>
      </c>
      <c r="T27" s="4" t="s">
        <v>5</v>
      </c>
      <c r="U27" s="4" t="s">
        <v>5</v>
      </c>
      <c r="V27" s="4" t="s">
        <v>5</v>
      </c>
      <c r="W27" s="4" t="s">
        <v>5</v>
      </c>
      <c r="X27" s="4" t="s">
        <v>5</v>
      </c>
      <c r="Y27" s="4" t="s">
        <v>5</v>
      </c>
      <c r="Z27" s="4" t="s">
        <v>5</v>
      </c>
      <c r="AA27" s="4" t="s">
        <v>5</v>
      </c>
      <c r="AB27" s="4" t="s">
        <v>5</v>
      </c>
      <c r="AC27" s="4" t="s">
        <v>5</v>
      </c>
      <c r="AD27" s="4" t="s">
        <v>5</v>
      </c>
      <c r="AE27" s="4" t="s">
        <v>5</v>
      </c>
      <c r="AF27" s="4" t="s">
        <v>5</v>
      </c>
      <c r="AG27" s="4" t="s">
        <v>5</v>
      </c>
      <c r="AH27" s="4" t="s">
        <v>5</v>
      </c>
      <c r="AI27" s="4" t="s">
        <v>5</v>
      </c>
      <c r="AJ27" s="4" t="s">
        <v>5</v>
      </c>
      <c r="AK27" s="4" t="s">
        <v>5</v>
      </c>
      <c r="AL27" s="4" t="s">
        <v>5</v>
      </c>
      <c r="AM27" s="4" t="s">
        <v>5</v>
      </c>
      <c r="AN27" s="4" t="s">
        <v>5</v>
      </c>
      <c r="AO27" s="4" t="s">
        <v>5</v>
      </c>
      <c r="AP27" s="4" t="s">
        <v>5</v>
      </c>
      <c r="AQ27" s="4" t="s">
        <v>5</v>
      </c>
      <c r="AR27" s="4" t="s">
        <v>5</v>
      </c>
      <c r="AS27" s="4" t="s">
        <v>5</v>
      </c>
      <c r="AT27" s="4" t="s">
        <v>5</v>
      </c>
      <c r="AU27" s="4" t="s">
        <v>5</v>
      </c>
      <c r="AV27" s="4" t="s">
        <v>5</v>
      </c>
      <c r="AW27" s="4" t="s">
        <v>5</v>
      </c>
      <c r="AX27" s="4" t="s">
        <v>5</v>
      </c>
      <c r="AY27" s="4" t="s">
        <v>5</v>
      </c>
      <c r="AZ27" s="4" t="s">
        <v>5</v>
      </c>
      <c r="BA27" s="4" t="s">
        <v>5</v>
      </c>
      <c r="BB27" s="4" t="s">
        <v>5</v>
      </c>
      <c r="BC27" s="4" t="s">
        <v>5</v>
      </c>
      <c r="BD27" s="4" t="s">
        <v>5</v>
      </c>
      <c r="BE27" s="4" t="s">
        <v>5</v>
      </c>
      <c r="BF27" s="4" t="s">
        <v>5</v>
      </c>
      <c r="BG27" s="4" t="s">
        <v>5</v>
      </c>
      <c r="BH27" s="4" t="s">
        <v>5</v>
      </c>
      <c r="BI27" s="4" t="s">
        <v>5</v>
      </c>
      <c r="BJ27" s="4" t="s">
        <v>5</v>
      </c>
      <c r="BK27" s="4" t="s">
        <v>5</v>
      </c>
      <c r="BL27" s="4" t="s">
        <v>5</v>
      </c>
      <c r="BM27" s="4" t="s">
        <v>5</v>
      </c>
      <c r="BN27" s="4" t="s">
        <v>5</v>
      </c>
      <c r="BO27" s="4" t="s">
        <v>5</v>
      </c>
      <c r="BP27" s="4" t="s">
        <v>5</v>
      </c>
      <c r="BQ27" s="4" t="s">
        <v>5</v>
      </c>
      <c r="BR27" s="4" t="s">
        <v>5</v>
      </c>
      <c r="BS27" s="4" t="s">
        <v>5</v>
      </c>
      <c r="BT27" s="4" t="s">
        <v>5</v>
      </c>
      <c r="BU27" s="4" t="s">
        <v>5</v>
      </c>
      <c r="BV27" s="4" t="s">
        <v>5</v>
      </c>
      <c r="BW27" s="4" t="s">
        <v>5</v>
      </c>
      <c r="BX27" s="4" t="s">
        <v>5</v>
      </c>
      <c r="BY27" s="4" t="s">
        <v>5</v>
      </c>
      <c r="BZ27" s="4" t="s">
        <v>5</v>
      </c>
      <c r="CA27" s="4" t="s">
        <v>5</v>
      </c>
      <c r="CB27" s="4" t="s">
        <v>5</v>
      </c>
      <c r="CC27" s="4" t="s">
        <v>5</v>
      </c>
      <c r="CD27" s="4" t="s">
        <v>5</v>
      </c>
      <c r="CE27" s="4" t="s">
        <v>5</v>
      </c>
      <c r="CF27" s="4" t="s">
        <v>5</v>
      </c>
      <c r="CG27" s="4" t="s">
        <v>5</v>
      </c>
    </row>
    <row r="28" spans="1:85" x14ac:dyDescent="0.25">
      <c r="A28" s="13" t="str">
        <f>IF(AND($E28="",MAX($A$8:$A27)=0),"",IF(AND($E28&lt;&gt;"",MAX($A$8:$A27)=0),1,IF(AND($E28&lt;&gt;"",MAX($A$8:$A27)&gt;0),MAX($A$8:$A27)+1,"")))</f>
        <v/>
      </c>
      <c r="B28" s="11">
        <v>21</v>
      </c>
      <c r="C28" s="19" t="str">
        <f t="shared" si="0"/>
        <v>EMPTY</v>
      </c>
      <c r="D28" s="3" t="str">
        <f t="shared" si="1"/>
        <v/>
      </c>
      <c r="E28" s="7"/>
      <c r="F28" s="8" t="str">
        <f t="shared" si="2"/>
        <v/>
      </c>
      <c r="I28" s="4" t="s">
        <v>5</v>
      </c>
      <c r="J28" s="4" t="s">
        <v>5</v>
      </c>
      <c r="K28" s="4" t="s">
        <v>5</v>
      </c>
      <c r="L28" s="4" t="s">
        <v>5</v>
      </c>
      <c r="M28" s="4" t="s">
        <v>5</v>
      </c>
      <c r="N28" s="4" t="s">
        <v>5</v>
      </c>
      <c r="O28" s="4" t="s">
        <v>5</v>
      </c>
      <c r="P28" s="4" t="s">
        <v>5</v>
      </c>
      <c r="Q28" s="4" t="s">
        <v>5</v>
      </c>
      <c r="R28" s="4" t="s">
        <v>5</v>
      </c>
      <c r="S28" s="4" t="s">
        <v>5</v>
      </c>
      <c r="T28" s="4" t="s">
        <v>5</v>
      </c>
      <c r="U28" s="4" t="s">
        <v>5</v>
      </c>
      <c r="V28" s="4" t="s">
        <v>5</v>
      </c>
      <c r="W28" s="4" t="s">
        <v>5</v>
      </c>
      <c r="X28" s="4" t="s">
        <v>5</v>
      </c>
      <c r="Y28" s="4" t="s">
        <v>5</v>
      </c>
      <c r="Z28" s="4" t="s">
        <v>5</v>
      </c>
      <c r="AA28" s="4" t="s">
        <v>5</v>
      </c>
      <c r="AB28" s="4" t="s">
        <v>5</v>
      </c>
      <c r="AC28" s="4" t="s">
        <v>5</v>
      </c>
      <c r="AD28" s="4" t="s">
        <v>5</v>
      </c>
      <c r="AE28" s="4" t="s">
        <v>5</v>
      </c>
      <c r="AF28" s="4" t="s">
        <v>5</v>
      </c>
      <c r="AG28" s="4" t="s">
        <v>5</v>
      </c>
      <c r="AH28" s="4" t="s">
        <v>5</v>
      </c>
      <c r="AI28" s="4" t="s">
        <v>5</v>
      </c>
      <c r="AJ28" s="4" t="s">
        <v>5</v>
      </c>
      <c r="AK28" s="4" t="s">
        <v>5</v>
      </c>
      <c r="AL28" s="4" t="s">
        <v>5</v>
      </c>
      <c r="AM28" s="4" t="s">
        <v>5</v>
      </c>
      <c r="AN28" s="4" t="s">
        <v>5</v>
      </c>
      <c r="AO28" s="4" t="s">
        <v>5</v>
      </c>
      <c r="AP28" s="4" t="s">
        <v>5</v>
      </c>
      <c r="AQ28" s="4" t="s">
        <v>5</v>
      </c>
      <c r="AR28" s="4" t="s">
        <v>5</v>
      </c>
      <c r="AS28" s="4" t="s">
        <v>5</v>
      </c>
      <c r="AT28" s="4" t="s">
        <v>5</v>
      </c>
      <c r="AU28" s="4" t="s">
        <v>5</v>
      </c>
      <c r="AV28" s="4" t="s">
        <v>5</v>
      </c>
      <c r="AW28" s="4" t="s">
        <v>5</v>
      </c>
      <c r="AX28" s="4" t="s">
        <v>5</v>
      </c>
      <c r="AY28" s="4" t="s">
        <v>5</v>
      </c>
      <c r="AZ28" s="4" t="s">
        <v>5</v>
      </c>
      <c r="BA28" s="4" t="s">
        <v>5</v>
      </c>
      <c r="BB28" s="4" t="s">
        <v>5</v>
      </c>
      <c r="BC28" s="4" t="s">
        <v>5</v>
      </c>
      <c r="BD28" s="4" t="s">
        <v>5</v>
      </c>
      <c r="BE28" s="4" t="s">
        <v>5</v>
      </c>
      <c r="BF28" s="4" t="s">
        <v>5</v>
      </c>
      <c r="BG28" s="4" t="s">
        <v>5</v>
      </c>
      <c r="BH28" s="4" t="s">
        <v>5</v>
      </c>
      <c r="BI28" s="4" t="s">
        <v>5</v>
      </c>
      <c r="BJ28" s="4" t="s">
        <v>5</v>
      </c>
      <c r="BK28" s="4" t="s">
        <v>5</v>
      </c>
      <c r="BL28" s="4" t="s">
        <v>5</v>
      </c>
      <c r="BM28" s="4" t="s">
        <v>5</v>
      </c>
      <c r="BN28" s="4" t="s">
        <v>5</v>
      </c>
      <c r="BO28" s="4" t="s">
        <v>5</v>
      </c>
      <c r="BP28" s="4" t="s">
        <v>5</v>
      </c>
      <c r="BQ28" s="4" t="s">
        <v>5</v>
      </c>
      <c r="BR28" s="4" t="s">
        <v>5</v>
      </c>
      <c r="BS28" s="4" t="s">
        <v>5</v>
      </c>
      <c r="BT28" s="4" t="s">
        <v>5</v>
      </c>
      <c r="BU28" s="4" t="s">
        <v>5</v>
      </c>
      <c r="BV28" s="4" t="s">
        <v>5</v>
      </c>
      <c r="BW28" s="4" t="s">
        <v>5</v>
      </c>
      <c r="BX28" s="4" t="s">
        <v>5</v>
      </c>
      <c r="BY28" s="4" t="s">
        <v>5</v>
      </c>
      <c r="BZ28" s="4" t="s">
        <v>5</v>
      </c>
      <c r="CA28" s="4" t="s">
        <v>5</v>
      </c>
      <c r="CB28" s="4" t="s">
        <v>5</v>
      </c>
      <c r="CC28" s="4" t="s">
        <v>5</v>
      </c>
      <c r="CD28" s="4" t="s">
        <v>5</v>
      </c>
      <c r="CE28" s="4" t="s">
        <v>5</v>
      </c>
      <c r="CF28" s="4" t="s">
        <v>5</v>
      </c>
      <c r="CG28" s="4" t="s">
        <v>5</v>
      </c>
    </row>
    <row r="29" spans="1:85" x14ac:dyDescent="0.25">
      <c r="A29" s="13" t="str">
        <f>IF(AND($E29="",MAX($A$8:$A28)=0),"",IF(AND($E29&lt;&gt;"",MAX($A$8:$A28)=0),1,IF(AND($E29&lt;&gt;"",MAX($A$8:$A28)&gt;0),MAX($A$8:$A28)+1,"")))</f>
        <v/>
      </c>
      <c r="B29" s="11">
        <v>22</v>
      </c>
      <c r="C29" s="19" t="str">
        <f t="shared" si="0"/>
        <v>EMPTY</v>
      </c>
      <c r="D29" s="3" t="str">
        <f t="shared" si="1"/>
        <v/>
      </c>
      <c r="E29" s="7"/>
      <c r="F29" s="8" t="str">
        <f t="shared" si="2"/>
        <v/>
      </c>
      <c r="I29" s="4" t="s">
        <v>5</v>
      </c>
      <c r="J29" s="4" t="s">
        <v>5</v>
      </c>
      <c r="K29" s="4" t="s">
        <v>5</v>
      </c>
      <c r="L29" s="4" t="s">
        <v>5</v>
      </c>
      <c r="M29" s="4" t="s">
        <v>5</v>
      </c>
      <c r="N29" s="4" t="s">
        <v>5</v>
      </c>
      <c r="O29" s="4" t="s">
        <v>5</v>
      </c>
      <c r="P29" s="4" t="s">
        <v>5</v>
      </c>
      <c r="Q29" s="4" t="s">
        <v>5</v>
      </c>
      <c r="R29" s="4" t="s">
        <v>5</v>
      </c>
      <c r="S29" s="4" t="s">
        <v>5</v>
      </c>
      <c r="T29" s="4" t="s">
        <v>5</v>
      </c>
      <c r="U29" s="4" t="s">
        <v>5</v>
      </c>
      <c r="V29" s="4" t="s">
        <v>5</v>
      </c>
      <c r="W29" s="4" t="s">
        <v>5</v>
      </c>
      <c r="X29" s="4" t="s">
        <v>5</v>
      </c>
      <c r="Y29" s="4" t="s">
        <v>5</v>
      </c>
      <c r="Z29" s="4" t="s">
        <v>5</v>
      </c>
      <c r="AA29" s="4" t="s">
        <v>5</v>
      </c>
      <c r="AB29" s="4" t="s">
        <v>5</v>
      </c>
      <c r="AC29" s="4" t="s">
        <v>5</v>
      </c>
      <c r="AD29" s="4" t="s">
        <v>5</v>
      </c>
      <c r="AE29" s="4" t="s">
        <v>5</v>
      </c>
      <c r="AF29" s="4" t="s">
        <v>5</v>
      </c>
      <c r="AG29" s="4" t="s">
        <v>5</v>
      </c>
      <c r="AH29" s="4" t="s">
        <v>5</v>
      </c>
      <c r="AI29" s="4" t="s">
        <v>5</v>
      </c>
      <c r="AJ29" s="4" t="s">
        <v>5</v>
      </c>
      <c r="AK29" s="4" t="s">
        <v>5</v>
      </c>
      <c r="AL29" s="4" t="s">
        <v>5</v>
      </c>
      <c r="AM29" s="4" t="s">
        <v>5</v>
      </c>
      <c r="AN29" s="4" t="s">
        <v>5</v>
      </c>
      <c r="AO29" s="4" t="s">
        <v>5</v>
      </c>
      <c r="AP29" s="4" t="s">
        <v>5</v>
      </c>
      <c r="AQ29" s="4" t="s">
        <v>5</v>
      </c>
      <c r="AR29" s="4" t="s">
        <v>5</v>
      </c>
      <c r="AS29" s="4" t="s">
        <v>5</v>
      </c>
      <c r="AT29" s="4" t="s">
        <v>5</v>
      </c>
      <c r="AU29" s="4" t="s">
        <v>5</v>
      </c>
      <c r="AV29" s="4" t="s">
        <v>5</v>
      </c>
      <c r="AW29" s="4" t="s">
        <v>5</v>
      </c>
      <c r="AX29" s="4" t="s">
        <v>5</v>
      </c>
      <c r="AY29" s="4" t="s">
        <v>5</v>
      </c>
      <c r="AZ29" s="4" t="s">
        <v>5</v>
      </c>
      <c r="BA29" s="4" t="s">
        <v>5</v>
      </c>
      <c r="BB29" s="4" t="s">
        <v>5</v>
      </c>
      <c r="BC29" s="4" t="s">
        <v>5</v>
      </c>
      <c r="BD29" s="4" t="s">
        <v>5</v>
      </c>
      <c r="BE29" s="4" t="s">
        <v>5</v>
      </c>
      <c r="BF29" s="4" t="s">
        <v>5</v>
      </c>
      <c r="BG29" s="4" t="s">
        <v>5</v>
      </c>
      <c r="BH29" s="4" t="s">
        <v>5</v>
      </c>
      <c r="BI29" s="4" t="s">
        <v>5</v>
      </c>
      <c r="BJ29" s="4" t="s">
        <v>5</v>
      </c>
      <c r="BK29" s="4" t="s">
        <v>5</v>
      </c>
      <c r="BL29" s="4" t="s">
        <v>5</v>
      </c>
      <c r="BM29" s="4" t="s">
        <v>5</v>
      </c>
      <c r="BN29" s="4" t="s">
        <v>5</v>
      </c>
      <c r="BO29" s="4" t="s">
        <v>5</v>
      </c>
      <c r="BP29" s="4" t="s">
        <v>5</v>
      </c>
      <c r="BQ29" s="4" t="s">
        <v>5</v>
      </c>
      <c r="BR29" s="4" t="s">
        <v>5</v>
      </c>
      <c r="BS29" s="4" t="s">
        <v>5</v>
      </c>
      <c r="BT29" s="4" t="s">
        <v>5</v>
      </c>
      <c r="BU29" s="4" t="s">
        <v>5</v>
      </c>
      <c r="BV29" s="4" t="s">
        <v>5</v>
      </c>
      <c r="BW29" s="4" t="s">
        <v>5</v>
      </c>
      <c r="BX29" s="4" t="s">
        <v>5</v>
      </c>
      <c r="BY29" s="4" t="s">
        <v>5</v>
      </c>
      <c r="BZ29" s="4" t="s">
        <v>5</v>
      </c>
      <c r="CA29" s="4" t="s">
        <v>5</v>
      </c>
      <c r="CB29" s="4" t="s">
        <v>5</v>
      </c>
      <c r="CC29" s="4" t="s">
        <v>5</v>
      </c>
      <c r="CD29" s="4" t="s">
        <v>5</v>
      </c>
      <c r="CE29" s="4" t="s">
        <v>5</v>
      </c>
      <c r="CF29" s="4" t="s">
        <v>5</v>
      </c>
      <c r="CG29" s="4" t="s">
        <v>5</v>
      </c>
    </row>
    <row r="30" spans="1:85" x14ac:dyDescent="0.25">
      <c r="A30" s="13" t="str">
        <f>IF(AND($E30="",MAX($A$8:$A29)=0),"",IF(AND($E30&lt;&gt;"",MAX($A$8:$A29)=0),1,IF(AND($E30&lt;&gt;"",MAX($A$8:$A29)&gt;0),MAX($A$8:$A29)+1,"")))</f>
        <v/>
      </c>
      <c r="B30" s="11">
        <v>23</v>
      </c>
      <c r="C30" s="19" t="str">
        <f t="shared" si="0"/>
        <v>EMPTY</v>
      </c>
      <c r="D30" s="3" t="str">
        <f t="shared" si="1"/>
        <v/>
      </c>
      <c r="E30" s="7"/>
      <c r="F30" s="8" t="str">
        <f t="shared" si="2"/>
        <v/>
      </c>
      <c r="I30" s="4" t="s">
        <v>5</v>
      </c>
      <c r="J30" s="4" t="s">
        <v>5</v>
      </c>
      <c r="K30" s="4" t="s">
        <v>5</v>
      </c>
      <c r="L30" s="4" t="s">
        <v>5</v>
      </c>
      <c r="M30" s="4" t="s">
        <v>5</v>
      </c>
      <c r="N30" s="4" t="s">
        <v>5</v>
      </c>
      <c r="O30" s="4" t="s">
        <v>5</v>
      </c>
      <c r="P30" s="4" t="s">
        <v>5</v>
      </c>
      <c r="Q30" s="4" t="s">
        <v>5</v>
      </c>
      <c r="R30" s="4" t="s">
        <v>5</v>
      </c>
      <c r="S30" s="4" t="s">
        <v>5</v>
      </c>
      <c r="T30" s="4" t="s">
        <v>5</v>
      </c>
      <c r="U30" s="4" t="s">
        <v>5</v>
      </c>
      <c r="V30" s="4" t="s">
        <v>5</v>
      </c>
      <c r="W30" s="4" t="s">
        <v>5</v>
      </c>
      <c r="X30" s="4" t="s">
        <v>5</v>
      </c>
      <c r="Y30" s="4" t="s">
        <v>5</v>
      </c>
      <c r="Z30" s="4" t="s">
        <v>5</v>
      </c>
      <c r="AA30" s="4" t="s">
        <v>5</v>
      </c>
      <c r="AB30" s="4" t="s">
        <v>5</v>
      </c>
      <c r="AC30" s="4" t="s">
        <v>5</v>
      </c>
      <c r="AD30" s="4" t="s">
        <v>5</v>
      </c>
      <c r="AE30" s="4" t="s">
        <v>5</v>
      </c>
      <c r="AF30" s="4" t="s">
        <v>5</v>
      </c>
      <c r="AG30" s="4" t="s">
        <v>5</v>
      </c>
      <c r="AH30" s="4" t="s">
        <v>5</v>
      </c>
      <c r="AI30" s="4" t="s">
        <v>5</v>
      </c>
      <c r="AJ30" s="4" t="s">
        <v>5</v>
      </c>
      <c r="AK30" s="4" t="s">
        <v>5</v>
      </c>
      <c r="AL30" s="4" t="s">
        <v>5</v>
      </c>
      <c r="AM30" s="4" t="s">
        <v>5</v>
      </c>
      <c r="AN30" s="4" t="s">
        <v>5</v>
      </c>
      <c r="AO30" s="4" t="s">
        <v>5</v>
      </c>
      <c r="AP30" s="4" t="s">
        <v>5</v>
      </c>
      <c r="AQ30" s="4" t="s">
        <v>5</v>
      </c>
      <c r="AR30" s="4" t="s">
        <v>5</v>
      </c>
      <c r="AS30" s="4" t="s">
        <v>5</v>
      </c>
      <c r="AT30" s="4" t="s">
        <v>5</v>
      </c>
      <c r="AU30" s="4" t="s">
        <v>5</v>
      </c>
      <c r="AV30" s="4" t="s">
        <v>5</v>
      </c>
      <c r="AW30" s="4" t="s">
        <v>5</v>
      </c>
      <c r="AX30" s="4" t="s">
        <v>5</v>
      </c>
      <c r="AY30" s="4" t="s">
        <v>5</v>
      </c>
      <c r="AZ30" s="4" t="s">
        <v>5</v>
      </c>
      <c r="BA30" s="4" t="s">
        <v>5</v>
      </c>
      <c r="BB30" s="4" t="s">
        <v>5</v>
      </c>
      <c r="BC30" s="4" t="s">
        <v>5</v>
      </c>
      <c r="BD30" s="4" t="s">
        <v>5</v>
      </c>
      <c r="BE30" s="4" t="s">
        <v>5</v>
      </c>
      <c r="BF30" s="4" t="s">
        <v>5</v>
      </c>
      <c r="BG30" s="4" t="s">
        <v>5</v>
      </c>
      <c r="BH30" s="4" t="s">
        <v>5</v>
      </c>
      <c r="BI30" s="4" t="s">
        <v>5</v>
      </c>
      <c r="BJ30" s="4" t="s">
        <v>5</v>
      </c>
      <c r="BK30" s="4" t="s">
        <v>5</v>
      </c>
      <c r="BL30" s="4" t="s">
        <v>5</v>
      </c>
      <c r="BM30" s="4" t="s">
        <v>5</v>
      </c>
      <c r="BN30" s="4" t="s">
        <v>5</v>
      </c>
      <c r="BO30" s="4" t="s">
        <v>5</v>
      </c>
      <c r="BP30" s="4" t="s">
        <v>5</v>
      </c>
      <c r="BQ30" s="4" t="s">
        <v>5</v>
      </c>
      <c r="BR30" s="4" t="s">
        <v>5</v>
      </c>
      <c r="BS30" s="4" t="s">
        <v>5</v>
      </c>
      <c r="BT30" s="4" t="s">
        <v>5</v>
      </c>
      <c r="BU30" s="4" t="s">
        <v>5</v>
      </c>
      <c r="BV30" s="4" t="s">
        <v>5</v>
      </c>
      <c r="BW30" s="4" t="s">
        <v>5</v>
      </c>
      <c r="BX30" s="4" t="s">
        <v>5</v>
      </c>
      <c r="BY30" s="4" t="s">
        <v>5</v>
      </c>
      <c r="BZ30" s="4" t="s">
        <v>5</v>
      </c>
      <c r="CA30" s="4" t="s">
        <v>5</v>
      </c>
      <c r="CB30" s="4" t="s">
        <v>5</v>
      </c>
      <c r="CC30" s="4" t="s">
        <v>5</v>
      </c>
      <c r="CD30" s="4" t="s">
        <v>5</v>
      </c>
      <c r="CE30" s="4" t="s">
        <v>5</v>
      </c>
      <c r="CF30" s="4" t="s">
        <v>5</v>
      </c>
      <c r="CG30" s="4" t="s">
        <v>5</v>
      </c>
    </row>
    <row r="31" spans="1:85" x14ac:dyDescent="0.25">
      <c r="A31" s="13" t="str">
        <f>IF(AND($E31="",MAX($A$8:$A30)=0),"",IF(AND($E31&lt;&gt;"",MAX($A$8:$A30)=0),1,IF(AND($E31&lt;&gt;"",MAX($A$8:$A30)&gt;0),MAX($A$8:$A30)+1,"")))</f>
        <v/>
      </c>
      <c r="B31" s="11">
        <v>24</v>
      </c>
      <c r="C31" s="19" t="str">
        <f t="shared" si="0"/>
        <v>EMPTY</v>
      </c>
      <c r="D31" s="3" t="str">
        <f t="shared" si="1"/>
        <v/>
      </c>
      <c r="E31" s="7"/>
      <c r="F31" s="8" t="str">
        <f t="shared" si="2"/>
        <v/>
      </c>
      <c r="I31" s="4" t="s">
        <v>5</v>
      </c>
      <c r="J31" s="4" t="s">
        <v>5</v>
      </c>
      <c r="K31" s="4" t="s">
        <v>5</v>
      </c>
      <c r="L31" s="4" t="s">
        <v>5</v>
      </c>
      <c r="M31" s="4" t="s">
        <v>5</v>
      </c>
      <c r="N31" s="4" t="s">
        <v>5</v>
      </c>
      <c r="O31" s="4" t="s">
        <v>5</v>
      </c>
      <c r="P31" s="4" t="s">
        <v>5</v>
      </c>
      <c r="Q31" s="4" t="s">
        <v>5</v>
      </c>
      <c r="R31" s="4" t="s">
        <v>5</v>
      </c>
      <c r="S31" s="4" t="s">
        <v>5</v>
      </c>
      <c r="T31" s="4" t="s">
        <v>5</v>
      </c>
      <c r="U31" s="4" t="s">
        <v>5</v>
      </c>
      <c r="V31" s="4" t="s">
        <v>5</v>
      </c>
      <c r="W31" s="4" t="s">
        <v>5</v>
      </c>
      <c r="X31" s="4" t="s">
        <v>5</v>
      </c>
      <c r="Y31" s="4" t="s">
        <v>5</v>
      </c>
      <c r="Z31" s="4" t="s">
        <v>5</v>
      </c>
      <c r="AA31" s="4" t="s">
        <v>5</v>
      </c>
      <c r="AB31" s="4" t="s">
        <v>5</v>
      </c>
      <c r="AC31" s="4" t="s">
        <v>5</v>
      </c>
      <c r="AD31" s="4" t="s">
        <v>5</v>
      </c>
      <c r="AE31" s="4" t="s">
        <v>5</v>
      </c>
      <c r="AF31" s="4" t="s">
        <v>5</v>
      </c>
      <c r="AG31" s="4" t="s">
        <v>5</v>
      </c>
      <c r="AH31" s="4" t="s">
        <v>5</v>
      </c>
      <c r="AI31" s="4" t="s">
        <v>5</v>
      </c>
      <c r="AJ31" s="4" t="s">
        <v>5</v>
      </c>
      <c r="AK31" s="4" t="s">
        <v>5</v>
      </c>
      <c r="AL31" s="4" t="s">
        <v>5</v>
      </c>
      <c r="AM31" s="4" t="s">
        <v>5</v>
      </c>
      <c r="AN31" s="4" t="s">
        <v>5</v>
      </c>
      <c r="AO31" s="4" t="s">
        <v>5</v>
      </c>
      <c r="AP31" s="4" t="s">
        <v>5</v>
      </c>
      <c r="AQ31" s="4" t="s">
        <v>5</v>
      </c>
      <c r="AR31" s="4" t="s">
        <v>5</v>
      </c>
      <c r="AS31" s="4" t="s">
        <v>5</v>
      </c>
      <c r="AT31" s="4" t="s">
        <v>5</v>
      </c>
      <c r="AU31" s="4" t="s">
        <v>5</v>
      </c>
      <c r="AV31" s="4" t="s">
        <v>5</v>
      </c>
      <c r="AW31" s="4" t="s">
        <v>5</v>
      </c>
      <c r="AX31" s="4" t="s">
        <v>5</v>
      </c>
      <c r="AY31" s="4" t="s">
        <v>5</v>
      </c>
      <c r="AZ31" s="4" t="s">
        <v>5</v>
      </c>
      <c r="BA31" s="4" t="s">
        <v>5</v>
      </c>
      <c r="BB31" s="4" t="s">
        <v>5</v>
      </c>
      <c r="BC31" s="4" t="s">
        <v>5</v>
      </c>
      <c r="BD31" s="4" t="s">
        <v>5</v>
      </c>
      <c r="BE31" s="4" t="s">
        <v>5</v>
      </c>
      <c r="BF31" s="4" t="s">
        <v>5</v>
      </c>
      <c r="BG31" s="4" t="s">
        <v>5</v>
      </c>
      <c r="BH31" s="4" t="s">
        <v>5</v>
      </c>
      <c r="BI31" s="4" t="s">
        <v>5</v>
      </c>
      <c r="BJ31" s="4" t="s">
        <v>5</v>
      </c>
      <c r="BK31" s="4" t="s">
        <v>5</v>
      </c>
      <c r="BL31" s="4" t="s">
        <v>5</v>
      </c>
      <c r="BM31" s="4" t="s">
        <v>5</v>
      </c>
      <c r="BN31" s="4" t="s">
        <v>5</v>
      </c>
      <c r="BO31" s="4" t="s">
        <v>5</v>
      </c>
      <c r="BP31" s="4" t="s">
        <v>5</v>
      </c>
      <c r="BQ31" s="4" t="s">
        <v>5</v>
      </c>
      <c r="BR31" s="4" t="s">
        <v>5</v>
      </c>
      <c r="BS31" s="4" t="s">
        <v>5</v>
      </c>
      <c r="BT31" s="4" t="s">
        <v>5</v>
      </c>
      <c r="BU31" s="4" t="s">
        <v>5</v>
      </c>
      <c r="BV31" s="4" t="s">
        <v>5</v>
      </c>
      <c r="BW31" s="4" t="s">
        <v>5</v>
      </c>
      <c r="BX31" s="4" t="s">
        <v>5</v>
      </c>
      <c r="BY31" s="4" t="s">
        <v>5</v>
      </c>
      <c r="BZ31" s="4" t="s">
        <v>5</v>
      </c>
      <c r="CA31" s="4" t="s">
        <v>5</v>
      </c>
      <c r="CB31" s="4" t="s">
        <v>5</v>
      </c>
      <c r="CC31" s="4" t="s">
        <v>5</v>
      </c>
      <c r="CD31" s="4" t="s">
        <v>5</v>
      </c>
      <c r="CE31" s="4" t="s">
        <v>5</v>
      </c>
      <c r="CF31" s="4" t="s">
        <v>5</v>
      </c>
      <c r="CG31" s="4" t="s">
        <v>5</v>
      </c>
    </row>
    <row r="32" spans="1:85" x14ac:dyDescent="0.25">
      <c r="A32" s="13" t="str">
        <f>IF(AND($E32="",MAX($A$8:$A31)=0),"",IF(AND($E32&lt;&gt;"",MAX($A$8:$A31)=0),1,IF(AND($E32&lt;&gt;"",MAX($A$8:$A31)&gt;0),MAX($A$8:$A31)+1,"")))</f>
        <v/>
      </c>
      <c r="B32" s="11">
        <v>25</v>
      </c>
      <c r="C32" s="19" t="str">
        <f t="shared" si="0"/>
        <v>EMPTY</v>
      </c>
      <c r="D32" s="3" t="str">
        <f t="shared" si="1"/>
        <v/>
      </c>
      <c r="E32" s="7"/>
      <c r="F32" s="8" t="str">
        <f t="shared" si="2"/>
        <v/>
      </c>
      <c r="I32" s="4" t="s">
        <v>5</v>
      </c>
      <c r="J32" s="4" t="s">
        <v>5</v>
      </c>
      <c r="K32" s="4" t="s">
        <v>5</v>
      </c>
      <c r="L32" s="4" t="s">
        <v>5</v>
      </c>
      <c r="M32" s="4" t="s">
        <v>5</v>
      </c>
      <c r="N32" s="4" t="s">
        <v>5</v>
      </c>
      <c r="O32" s="4" t="s">
        <v>5</v>
      </c>
      <c r="P32" s="4" t="s">
        <v>5</v>
      </c>
      <c r="Q32" s="4" t="s">
        <v>5</v>
      </c>
      <c r="R32" s="4" t="s">
        <v>5</v>
      </c>
      <c r="S32" s="4" t="s">
        <v>5</v>
      </c>
      <c r="T32" s="4" t="s">
        <v>5</v>
      </c>
      <c r="U32" s="4" t="s">
        <v>5</v>
      </c>
      <c r="V32" s="4" t="s">
        <v>5</v>
      </c>
      <c r="W32" s="4" t="s">
        <v>5</v>
      </c>
      <c r="X32" s="4" t="s">
        <v>5</v>
      </c>
      <c r="Y32" s="4" t="s">
        <v>5</v>
      </c>
      <c r="Z32" s="4" t="s">
        <v>5</v>
      </c>
      <c r="AA32" s="4" t="s">
        <v>5</v>
      </c>
      <c r="AB32" s="4" t="s">
        <v>5</v>
      </c>
      <c r="AC32" s="4" t="s">
        <v>5</v>
      </c>
      <c r="AD32" s="4" t="s">
        <v>5</v>
      </c>
      <c r="AE32" s="4" t="s">
        <v>5</v>
      </c>
      <c r="AF32" s="4" t="s">
        <v>5</v>
      </c>
      <c r="AG32" s="4" t="s">
        <v>5</v>
      </c>
      <c r="AH32" s="4" t="s">
        <v>5</v>
      </c>
      <c r="AI32" s="4" t="s">
        <v>5</v>
      </c>
      <c r="AJ32" s="4" t="s">
        <v>5</v>
      </c>
      <c r="AK32" s="4" t="s">
        <v>5</v>
      </c>
      <c r="AL32" s="4" t="s">
        <v>5</v>
      </c>
      <c r="AM32" s="4" t="s">
        <v>5</v>
      </c>
      <c r="AN32" s="4" t="s">
        <v>5</v>
      </c>
      <c r="AO32" s="4" t="s">
        <v>5</v>
      </c>
      <c r="AP32" s="4" t="s">
        <v>5</v>
      </c>
      <c r="AQ32" s="4" t="s">
        <v>5</v>
      </c>
      <c r="AR32" s="4" t="s">
        <v>5</v>
      </c>
      <c r="AS32" s="4" t="s">
        <v>5</v>
      </c>
      <c r="AT32" s="4" t="s">
        <v>5</v>
      </c>
      <c r="AU32" s="4" t="s">
        <v>5</v>
      </c>
      <c r="AV32" s="4" t="s">
        <v>5</v>
      </c>
      <c r="AW32" s="4" t="s">
        <v>5</v>
      </c>
      <c r="AX32" s="4" t="s">
        <v>5</v>
      </c>
      <c r="AY32" s="4" t="s">
        <v>5</v>
      </c>
      <c r="AZ32" s="4" t="s">
        <v>5</v>
      </c>
      <c r="BA32" s="4" t="s">
        <v>5</v>
      </c>
      <c r="BB32" s="4" t="s">
        <v>5</v>
      </c>
      <c r="BC32" s="4" t="s">
        <v>5</v>
      </c>
      <c r="BD32" s="4" t="s">
        <v>5</v>
      </c>
      <c r="BE32" s="4" t="s">
        <v>5</v>
      </c>
      <c r="BF32" s="4" t="s">
        <v>5</v>
      </c>
      <c r="BG32" s="4" t="s">
        <v>5</v>
      </c>
      <c r="BH32" s="4" t="s">
        <v>5</v>
      </c>
      <c r="BI32" s="4" t="s">
        <v>5</v>
      </c>
      <c r="BJ32" s="4" t="s">
        <v>5</v>
      </c>
      <c r="BK32" s="4" t="s">
        <v>5</v>
      </c>
      <c r="BL32" s="4" t="s">
        <v>5</v>
      </c>
      <c r="BM32" s="4" t="s">
        <v>5</v>
      </c>
      <c r="BN32" s="4" t="s">
        <v>5</v>
      </c>
      <c r="BO32" s="4" t="s">
        <v>5</v>
      </c>
      <c r="BP32" s="4" t="s">
        <v>5</v>
      </c>
      <c r="BQ32" s="4" t="s">
        <v>5</v>
      </c>
      <c r="BR32" s="4" t="s">
        <v>5</v>
      </c>
      <c r="BS32" s="4" t="s">
        <v>5</v>
      </c>
      <c r="BT32" s="4" t="s">
        <v>5</v>
      </c>
      <c r="BU32" s="4" t="s">
        <v>5</v>
      </c>
      <c r="BV32" s="4" t="s">
        <v>5</v>
      </c>
      <c r="BW32" s="4" t="s">
        <v>5</v>
      </c>
      <c r="BX32" s="4" t="s">
        <v>5</v>
      </c>
      <c r="BY32" s="4" t="s">
        <v>5</v>
      </c>
      <c r="BZ32" s="4" t="s">
        <v>5</v>
      </c>
      <c r="CA32" s="4" t="s">
        <v>5</v>
      </c>
      <c r="CB32" s="4" t="s">
        <v>5</v>
      </c>
      <c r="CC32" s="4" t="s">
        <v>5</v>
      </c>
      <c r="CD32" s="4" t="s">
        <v>5</v>
      </c>
      <c r="CE32" s="4" t="s">
        <v>5</v>
      </c>
      <c r="CF32" s="4" t="s">
        <v>5</v>
      </c>
      <c r="CG32" s="4" t="s">
        <v>5</v>
      </c>
    </row>
    <row r="33" spans="1:85" x14ac:dyDescent="0.25">
      <c r="A33" s="13" t="str">
        <f>IF(AND($E33="",MAX($A$8:$A32)=0),"",IF(AND($E33&lt;&gt;"",MAX($A$8:$A32)=0),1,IF(AND($E33&lt;&gt;"",MAX($A$8:$A32)&gt;0),MAX($A$8:$A32)+1,"")))</f>
        <v/>
      </c>
      <c r="B33" s="11">
        <v>26</v>
      </c>
      <c r="C33" s="19" t="str">
        <f t="shared" si="0"/>
        <v>EMPTY</v>
      </c>
      <c r="D33" s="3" t="str">
        <f t="shared" si="1"/>
        <v/>
      </c>
      <c r="E33" s="7"/>
      <c r="F33" s="8" t="str">
        <f t="shared" si="2"/>
        <v/>
      </c>
      <c r="I33" s="4" t="s">
        <v>5</v>
      </c>
      <c r="J33" s="4" t="s">
        <v>5</v>
      </c>
      <c r="K33" s="4" t="s">
        <v>5</v>
      </c>
      <c r="L33" s="4" t="s">
        <v>5</v>
      </c>
      <c r="M33" s="4" t="s">
        <v>5</v>
      </c>
      <c r="N33" s="4" t="s">
        <v>5</v>
      </c>
      <c r="O33" s="4" t="s">
        <v>5</v>
      </c>
      <c r="P33" s="4" t="s">
        <v>5</v>
      </c>
      <c r="Q33" s="4" t="s">
        <v>5</v>
      </c>
      <c r="R33" s="4" t="s">
        <v>5</v>
      </c>
      <c r="S33" s="4" t="s">
        <v>5</v>
      </c>
      <c r="T33" s="4" t="s">
        <v>5</v>
      </c>
      <c r="U33" s="4" t="s">
        <v>5</v>
      </c>
      <c r="V33" s="4" t="s">
        <v>5</v>
      </c>
      <c r="W33" s="4" t="s">
        <v>5</v>
      </c>
      <c r="X33" s="4" t="s">
        <v>5</v>
      </c>
      <c r="Y33" s="4" t="s">
        <v>5</v>
      </c>
      <c r="Z33" s="4" t="s">
        <v>5</v>
      </c>
      <c r="AA33" s="4" t="s">
        <v>5</v>
      </c>
      <c r="AB33" s="4" t="s">
        <v>5</v>
      </c>
      <c r="AC33" s="4" t="s">
        <v>5</v>
      </c>
      <c r="AD33" s="4" t="s">
        <v>5</v>
      </c>
      <c r="AE33" s="4" t="s">
        <v>5</v>
      </c>
      <c r="AF33" s="4" t="s">
        <v>5</v>
      </c>
      <c r="AG33" s="4" t="s">
        <v>5</v>
      </c>
      <c r="AH33" s="4" t="s">
        <v>5</v>
      </c>
      <c r="AI33" s="4" t="s">
        <v>5</v>
      </c>
      <c r="AJ33" s="4" t="s">
        <v>5</v>
      </c>
      <c r="AK33" s="4" t="s">
        <v>5</v>
      </c>
      <c r="AL33" s="4" t="s">
        <v>5</v>
      </c>
      <c r="AM33" s="4" t="s">
        <v>5</v>
      </c>
      <c r="AN33" s="4" t="s">
        <v>5</v>
      </c>
      <c r="AO33" s="4" t="s">
        <v>5</v>
      </c>
      <c r="AP33" s="4" t="s">
        <v>5</v>
      </c>
      <c r="AQ33" s="4" t="s">
        <v>5</v>
      </c>
      <c r="AR33" s="4" t="s">
        <v>5</v>
      </c>
      <c r="AS33" s="4" t="s">
        <v>5</v>
      </c>
      <c r="AT33" s="4" t="s">
        <v>5</v>
      </c>
      <c r="AU33" s="4" t="s">
        <v>5</v>
      </c>
      <c r="AV33" s="4" t="s">
        <v>5</v>
      </c>
      <c r="AW33" s="4" t="s">
        <v>5</v>
      </c>
      <c r="AX33" s="4" t="s">
        <v>5</v>
      </c>
      <c r="AY33" s="4" t="s">
        <v>5</v>
      </c>
      <c r="AZ33" s="4" t="s">
        <v>5</v>
      </c>
      <c r="BA33" s="4" t="s">
        <v>5</v>
      </c>
      <c r="BB33" s="4" t="s">
        <v>5</v>
      </c>
      <c r="BC33" s="4" t="s">
        <v>5</v>
      </c>
      <c r="BD33" s="4" t="s">
        <v>5</v>
      </c>
      <c r="BE33" s="4" t="s">
        <v>5</v>
      </c>
      <c r="BF33" s="4" t="s">
        <v>5</v>
      </c>
      <c r="BG33" s="4" t="s">
        <v>5</v>
      </c>
      <c r="BH33" s="4" t="s">
        <v>5</v>
      </c>
      <c r="BI33" s="4" t="s">
        <v>5</v>
      </c>
      <c r="BJ33" s="4" t="s">
        <v>5</v>
      </c>
      <c r="BK33" s="4" t="s">
        <v>5</v>
      </c>
      <c r="BL33" s="4" t="s">
        <v>5</v>
      </c>
      <c r="BM33" s="4" t="s">
        <v>5</v>
      </c>
      <c r="BN33" s="4" t="s">
        <v>5</v>
      </c>
      <c r="BO33" s="4" t="s">
        <v>5</v>
      </c>
      <c r="BP33" s="4" t="s">
        <v>5</v>
      </c>
      <c r="BQ33" s="4" t="s">
        <v>5</v>
      </c>
      <c r="BR33" s="4" t="s">
        <v>5</v>
      </c>
      <c r="BS33" s="4" t="s">
        <v>5</v>
      </c>
      <c r="BT33" s="4" t="s">
        <v>5</v>
      </c>
      <c r="BU33" s="4" t="s">
        <v>5</v>
      </c>
      <c r="BV33" s="4" t="s">
        <v>5</v>
      </c>
      <c r="BW33" s="4" t="s">
        <v>5</v>
      </c>
      <c r="BX33" s="4" t="s">
        <v>5</v>
      </c>
      <c r="BY33" s="4" t="s">
        <v>5</v>
      </c>
      <c r="BZ33" s="4" t="s">
        <v>5</v>
      </c>
      <c r="CA33" s="4" t="s">
        <v>5</v>
      </c>
      <c r="CB33" s="4" t="s">
        <v>5</v>
      </c>
      <c r="CC33" s="4" t="s">
        <v>5</v>
      </c>
      <c r="CD33" s="4" t="s">
        <v>5</v>
      </c>
      <c r="CE33" s="4" t="s">
        <v>5</v>
      </c>
      <c r="CF33" s="4" t="s">
        <v>5</v>
      </c>
      <c r="CG33" s="4" t="s">
        <v>5</v>
      </c>
    </row>
    <row r="34" spans="1:85" x14ac:dyDescent="0.25">
      <c r="A34" s="13" t="str">
        <f>IF(AND($E34="",MAX($A$8:$A33)=0),"",IF(AND($E34&lt;&gt;"",MAX($A$8:$A33)=0),1,IF(AND($E34&lt;&gt;"",MAX($A$8:$A33)&gt;0),MAX($A$8:$A33)+1,"")))</f>
        <v/>
      </c>
      <c r="B34" s="11">
        <v>27</v>
      </c>
      <c r="C34" s="19" t="str">
        <f t="shared" si="0"/>
        <v>EMPTY</v>
      </c>
      <c r="D34" s="3" t="str">
        <f t="shared" si="1"/>
        <v/>
      </c>
      <c r="E34" s="7"/>
      <c r="F34" s="8" t="str">
        <f t="shared" si="2"/>
        <v/>
      </c>
      <c r="I34" s="4" t="s">
        <v>5</v>
      </c>
      <c r="J34" s="4" t="s">
        <v>5</v>
      </c>
      <c r="K34" s="4" t="s">
        <v>5</v>
      </c>
      <c r="L34" s="4" t="s">
        <v>5</v>
      </c>
      <c r="M34" s="4" t="s">
        <v>5</v>
      </c>
      <c r="N34" s="4" t="s">
        <v>5</v>
      </c>
      <c r="O34" s="4" t="s">
        <v>5</v>
      </c>
      <c r="P34" s="4" t="s">
        <v>5</v>
      </c>
      <c r="Q34" s="4" t="s">
        <v>5</v>
      </c>
      <c r="R34" s="4" t="s">
        <v>5</v>
      </c>
      <c r="S34" s="4" t="s">
        <v>5</v>
      </c>
      <c r="T34" s="4" t="s">
        <v>5</v>
      </c>
      <c r="U34" s="4" t="s">
        <v>5</v>
      </c>
      <c r="V34" s="4" t="s">
        <v>5</v>
      </c>
      <c r="W34" s="4" t="s">
        <v>5</v>
      </c>
      <c r="X34" s="4" t="s">
        <v>5</v>
      </c>
      <c r="Y34" s="4" t="s">
        <v>5</v>
      </c>
      <c r="Z34" s="4" t="s">
        <v>5</v>
      </c>
      <c r="AA34" s="4" t="s">
        <v>5</v>
      </c>
      <c r="AB34" s="4" t="s">
        <v>5</v>
      </c>
      <c r="AC34" s="4" t="s">
        <v>5</v>
      </c>
      <c r="AD34" s="4" t="s">
        <v>5</v>
      </c>
      <c r="AE34" s="4" t="s">
        <v>5</v>
      </c>
      <c r="AF34" s="4" t="s">
        <v>5</v>
      </c>
      <c r="AG34" s="4" t="s">
        <v>5</v>
      </c>
      <c r="AH34" s="4" t="s">
        <v>5</v>
      </c>
      <c r="AI34" s="4" t="s">
        <v>5</v>
      </c>
      <c r="AJ34" s="4" t="s">
        <v>5</v>
      </c>
      <c r="AK34" s="4" t="s">
        <v>5</v>
      </c>
      <c r="AL34" s="4" t="s">
        <v>5</v>
      </c>
      <c r="AM34" s="4" t="s">
        <v>5</v>
      </c>
      <c r="AN34" s="4" t="s">
        <v>5</v>
      </c>
      <c r="AO34" s="4" t="s">
        <v>5</v>
      </c>
      <c r="AP34" s="4" t="s">
        <v>5</v>
      </c>
      <c r="AQ34" s="4" t="s">
        <v>5</v>
      </c>
      <c r="AR34" s="4" t="s">
        <v>5</v>
      </c>
      <c r="AS34" s="4" t="s">
        <v>5</v>
      </c>
      <c r="AT34" s="4" t="s">
        <v>5</v>
      </c>
      <c r="AU34" s="4" t="s">
        <v>5</v>
      </c>
      <c r="AV34" s="4" t="s">
        <v>5</v>
      </c>
      <c r="AW34" s="4" t="s">
        <v>5</v>
      </c>
      <c r="AX34" s="4" t="s">
        <v>5</v>
      </c>
      <c r="AY34" s="4" t="s">
        <v>5</v>
      </c>
      <c r="AZ34" s="4" t="s">
        <v>5</v>
      </c>
      <c r="BA34" s="4" t="s">
        <v>5</v>
      </c>
      <c r="BB34" s="4" t="s">
        <v>5</v>
      </c>
      <c r="BC34" s="4" t="s">
        <v>5</v>
      </c>
      <c r="BD34" s="4" t="s">
        <v>5</v>
      </c>
      <c r="BE34" s="4" t="s">
        <v>5</v>
      </c>
      <c r="BF34" s="4" t="s">
        <v>5</v>
      </c>
      <c r="BG34" s="4" t="s">
        <v>5</v>
      </c>
      <c r="BH34" s="4" t="s">
        <v>5</v>
      </c>
      <c r="BI34" s="4" t="s">
        <v>5</v>
      </c>
      <c r="BJ34" s="4" t="s">
        <v>5</v>
      </c>
      <c r="BK34" s="4" t="s">
        <v>5</v>
      </c>
      <c r="BL34" s="4" t="s">
        <v>5</v>
      </c>
      <c r="BM34" s="4" t="s">
        <v>5</v>
      </c>
      <c r="BN34" s="4" t="s">
        <v>5</v>
      </c>
      <c r="BO34" s="4" t="s">
        <v>5</v>
      </c>
      <c r="BP34" s="4" t="s">
        <v>5</v>
      </c>
      <c r="BQ34" s="4" t="s">
        <v>5</v>
      </c>
      <c r="BR34" s="4" t="s">
        <v>5</v>
      </c>
      <c r="BS34" s="4" t="s">
        <v>5</v>
      </c>
      <c r="BT34" s="4" t="s">
        <v>5</v>
      </c>
      <c r="BU34" s="4" t="s">
        <v>5</v>
      </c>
      <c r="BV34" s="4" t="s">
        <v>5</v>
      </c>
      <c r="BW34" s="4" t="s">
        <v>5</v>
      </c>
      <c r="BX34" s="4" t="s">
        <v>5</v>
      </c>
      <c r="BY34" s="4" t="s">
        <v>5</v>
      </c>
      <c r="BZ34" s="4" t="s">
        <v>5</v>
      </c>
      <c r="CA34" s="4" t="s">
        <v>5</v>
      </c>
      <c r="CB34" s="4" t="s">
        <v>5</v>
      </c>
      <c r="CC34" s="4" t="s">
        <v>5</v>
      </c>
      <c r="CD34" s="4" t="s">
        <v>5</v>
      </c>
      <c r="CE34" s="4" t="s">
        <v>5</v>
      </c>
      <c r="CF34" s="4" t="s">
        <v>5</v>
      </c>
      <c r="CG34" s="4" t="s">
        <v>5</v>
      </c>
    </row>
    <row r="35" spans="1:85" x14ac:dyDescent="0.25">
      <c r="A35" s="13" t="str">
        <f>IF(AND($E35="",MAX($A$8:$A34)=0),"",IF(AND($E35&lt;&gt;"",MAX($A$8:$A34)=0),1,IF(AND($E35&lt;&gt;"",MAX($A$8:$A34)&gt;0),MAX($A$8:$A34)+1,"")))</f>
        <v/>
      </c>
      <c r="B35" s="11">
        <v>28</v>
      </c>
      <c r="C35" s="19" t="str">
        <f t="shared" si="0"/>
        <v>EMPTY</v>
      </c>
      <c r="D35" s="3" t="str">
        <f t="shared" si="1"/>
        <v/>
      </c>
      <c r="E35" s="7"/>
      <c r="F35" s="8" t="str">
        <f t="shared" si="2"/>
        <v/>
      </c>
      <c r="I35" s="4" t="s">
        <v>5</v>
      </c>
      <c r="J35" s="4" t="s">
        <v>5</v>
      </c>
      <c r="K35" s="4" t="s">
        <v>5</v>
      </c>
      <c r="L35" s="4" t="s">
        <v>5</v>
      </c>
      <c r="M35" s="4" t="s">
        <v>5</v>
      </c>
      <c r="N35" s="4" t="s">
        <v>5</v>
      </c>
      <c r="O35" s="4" t="s">
        <v>5</v>
      </c>
      <c r="P35" s="4" t="s">
        <v>5</v>
      </c>
      <c r="Q35" s="4" t="s">
        <v>5</v>
      </c>
      <c r="R35" s="4" t="s">
        <v>5</v>
      </c>
      <c r="S35" s="4" t="s">
        <v>5</v>
      </c>
      <c r="T35" s="4" t="s">
        <v>5</v>
      </c>
      <c r="U35" s="4" t="s">
        <v>5</v>
      </c>
      <c r="V35" s="4" t="s">
        <v>5</v>
      </c>
      <c r="W35" s="4" t="s">
        <v>5</v>
      </c>
      <c r="X35" s="4" t="s">
        <v>5</v>
      </c>
      <c r="Y35" s="4" t="s">
        <v>5</v>
      </c>
      <c r="Z35" s="4" t="s">
        <v>5</v>
      </c>
      <c r="AA35" s="4" t="s">
        <v>5</v>
      </c>
      <c r="AB35" s="4" t="s">
        <v>5</v>
      </c>
      <c r="AC35" s="4" t="s">
        <v>5</v>
      </c>
      <c r="AD35" s="4" t="s">
        <v>5</v>
      </c>
      <c r="AE35" s="4" t="s">
        <v>5</v>
      </c>
      <c r="AF35" s="4" t="s">
        <v>5</v>
      </c>
      <c r="AG35" s="4" t="s">
        <v>5</v>
      </c>
      <c r="AH35" s="4" t="s">
        <v>5</v>
      </c>
      <c r="AI35" s="4" t="s">
        <v>5</v>
      </c>
      <c r="AJ35" s="4" t="s">
        <v>5</v>
      </c>
      <c r="AK35" s="4" t="s">
        <v>5</v>
      </c>
      <c r="AL35" s="4" t="s">
        <v>5</v>
      </c>
      <c r="AM35" s="4" t="s">
        <v>5</v>
      </c>
      <c r="AN35" s="4" t="s">
        <v>5</v>
      </c>
      <c r="AO35" s="4" t="s">
        <v>5</v>
      </c>
      <c r="AP35" s="4" t="s">
        <v>5</v>
      </c>
      <c r="AQ35" s="4" t="s">
        <v>5</v>
      </c>
      <c r="AR35" s="4" t="s">
        <v>5</v>
      </c>
      <c r="AS35" s="4" t="s">
        <v>5</v>
      </c>
      <c r="AT35" s="4" t="s">
        <v>5</v>
      </c>
      <c r="AU35" s="4" t="s">
        <v>5</v>
      </c>
      <c r="AV35" s="4" t="s">
        <v>5</v>
      </c>
      <c r="AW35" s="4" t="s">
        <v>5</v>
      </c>
      <c r="AX35" s="4" t="s">
        <v>5</v>
      </c>
      <c r="AY35" s="4" t="s">
        <v>5</v>
      </c>
      <c r="AZ35" s="4" t="s">
        <v>5</v>
      </c>
      <c r="BA35" s="4" t="s">
        <v>5</v>
      </c>
      <c r="BB35" s="4" t="s">
        <v>5</v>
      </c>
      <c r="BC35" s="4" t="s">
        <v>5</v>
      </c>
      <c r="BD35" s="4" t="s">
        <v>5</v>
      </c>
      <c r="BE35" s="4" t="s">
        <v>5</v>
      </c>
      <c r="BF35" s="4" t="s">
        <v>5</v>
      </c>
      <c r="BG35" s="4" t="s">
        <v>5</v>
      </c>
      <c r="BH35" s="4" t="s">
        <v>5</v>
      </c>
      <c r="BI35" s="4" t="s">
        <v>5</v>
      </c>
      <c r="BJ35" s="4" t="s">
        <v>5</v>
      </c>
      <c r="BK35" s="4" t="s">
        <v>5</v>
      </c>
      <c r="BL35" s="4" t="s">
        <v>5</v>
      </c>
      <c r="BM35" s="4" t="s">
        <v>5</v>
      </c>
      <c r="BN35" s="4" t="s">
        <v>5</v>
      </c>
      <c r="BO35" s="4" t="s">
        <v>5</v>
      </c>
      <c r="BP35" s="4" t="s">
        <v>5</v>
      </c>
      <c r="BQ35" s="4" t="s">
        <v>5</v>
      </c>
      <c r="BR35" s="4" t="s">
        <v>5</v>
      </c>
      <c r="BS35" s="4" t="s">
        <v>5</v>
      </c>
      <c r="BT35" s="4" t="s">
        <v>5</v>
      </c>
      <c r="BU35" s="4" t="s">
        <v>5</v>
      </c>
      <c r="BV35" s="4" t="s">
        <v>5</v>
      </c>
      <c r="BW35" s="4" t="s">
        <v>5</v>
      </c>
      <c r="BX35" s="4" t="s">
        <v>5</v>
      </c>
      <c r="BY35" s="4" t="s">
        <v>5</v>
      </c>
      <c r="BZ35" s="4" t="s">
        <v>5</v>
      </c>
      <c r="CA35" s="4" t="s">
        <v>5</v>
      </c>
      <c r="CB35" s="4" t="s">
        <v>5</v>
      </c>
      <c r="CC35" s="4" t="s">
        <v>5</v>
      </c>
      <c r="CD35" s="4" t="s">
        <v>5</v>
      </c>
      <c r="CE35" s="4" t="s">
        <v>5</v>
      </c>
      <c r="CF35" s="4" t="s">
        <v>5</v>
      </c>
      <c r="CG35" s="4" t="s">
        <v>5</v>
      </c>
    </row>
    <row r="36" spans="1:85" x14ac:dyDescent="0.25">
      <c r="A36" s="13" t="str">
        <f>IF(AND($E36="",MAX($A$8:$A35)=0),"",IF(AND($E36&lt;&gt;"",MAX($A$8:$A35)=0),1,IF(AND($E36&lt;&gt;"",MAX($A$8:$A35)&gt;0),MAX($A$8:$A35)+1,"")))</f>
        <v/>
      </c>
      <c r="B36" s="11">
        <v>29</v>
      </c>
      <c r="C36" s="19" t="str">
        <f t="shared" si="0"/>
        <v>EMPTY</v>
      </c>
      <c r="D36" s="3" t="str">
        <f t="shared" si="1"/>
        <v/>
      </c>
      <c r="E36" s="7"/>
      <c r="F36" s="8" t="str">
        <f t="shared" si="2"/>
        <v/>
      </c>
      <c r="I36" s="4" t="s">
        <v>5</v>
      </c>
      <c r="J36" s="4" t="s">
        <v>5</v>
      </c>
      <c r="K36" s="4" t="s">
        <v>5</v>
      </c>
      <c r="L36" s="4" t="s">
        <v>5</v>
      </c>
      <c r="M36" s="4" t="s">
        <v>5</v>
      </c>
      <c r="N36" s="4" t="s">
        <v>5</v>
      </c>
      <c r="O36" s="4" t="s">
        <v>5</v>
      </c>
      <c r="P36" s="4" t="s">
        <v>5</v>
      </c>
      <c r="Q36" s="4" t="s">
        <v>5</v>
      </c>
      <c r="R36" s="4" t="s">
        <v>5</v>
      </c>
      <c r="S36" s="4" t="s">
        <v>5</v>
      </c>
      <c r="T36" s="4" t="s">
        <v>5</v>
      </c>
      <c r="U36" s="4" t="s">
        <v>5</v>
      </c>
      <c r="V36" s="4" t="s">
        <v>5</v>
      </c>
      <c r="W36" s="4" t="s">
        <v>5</v>
      </c>
      <c r="X36" s="4" t="s">
        <v>5</v>
      </c>
      <c r="Y36" s="4" t="s">
        <v>5</v>
      </c>
      <c r="Z36" s="4" t="s">
        <v>5</v>
      </c>
      <c r="AA36" s="4" t="s">
        <v>5</v>
      </c>
      <c r="AB36" s="4" t="s">
        <v>5</v>
      </c>
      <c r="AC36" s="4" t="s">
        <v>5</v>
      </c>
      <c r="AD36" s="4" t="s">
        <v>5</v>
      </c>
      <c r="AE36" s="4" t="s">
        <v>5</v>
      </c>
      <c r="AF36" s="4" t="s">
        <v>5</v>
      </c>
      <c r="AG36" s="4" t="s">
        <v>5</v>
      </c>
      <c r="AH36" s="4" t="s">
        <v>5</v>
      </c>
      <c r="AI36" s="4" t="s">
        <v>5</v>
      </c>
      <c r="AJ36" s="4" t="s">
        <v>5</v>
      </c>
      <c r="AK36" s="4" t="s">
        <v>5</v>
      </c>
      <c r="AL36" s="4" t="s">
        <v>5</v>
      </c>
      <c r="AM36" s="4" t="s">
        <v>5</v>
      </c>
      <c r="AN36" s="4" t="s">
        <v>5</v>
      </c>
      <c r="AO36" s="4" t="s">
        <v>5</v>
      </c>
      <c r="AP36" s="4" t="s">
        <v>5</v>
      </c>
      <c r="AQ36" s="4" t="s">
        <v>5</v>
      </c>
      <c r="AR36" s="4" t="s">
        <v>5</v>
      </c>
      <c r="AS36" s="4" t="s">
        <v>5</v>
      </c>
      <c r="AT36" s="4" t="s">
        <v>5</v>
      </c>
      <c r="AU36" s="4" t="s">
        <v>5</v>
      </c>
      <c r="AV36" s="4" t="s">
        <v>5</v>
      </c>
      <c r="AW36" s="4" t="s">
        <v>5</v>
      </c>
      <c r="AX36" s="4" t="s">
        <v>5</v>
      </c>
      <c r="AY36" s="4" t="s">
        <v>5</v>
      </c>
      <c r="AZ36" s="4" t="s">
        <v>5</v>
      </c>
      <c r="BA36" s="4" t="s">
        <v>5</v>
      </c>
      <c r="BB36" s="4" t="s">
        <v>5</v>
      </c>
      <c r="BC36" s="4" t="s">
        <v>5</v>
      </c>
      <c r="BD36" s="4" t="s">
        <v>5</v>
      </c>
      <c r="BE36" s="4" t="s">
        <v>5</v>
      </c>
      <c r="BF36" s="4" t="s">
        <v>5</v>
      </c>
      <c r="BG36" s="4" t="s">
        <v>5</v>
      </c>
      <c r="BH36" s="4" t="s">
        <v>5</v>
      </c>
      <c r="BI36" s="4" t="s">
        <v>5</v>
      </c>
      <c r="BJ36" s="4" t="s">
        <v>5</v>
      </c>
      <c r="BK36" s="4" t="s">
        <v>5</v>
      </c>
      <c r="BL36" s="4" t="s">
        <v>5</v>
      </c>
      <c r="BM36" s="4" t="s">
        <v>5</v>
      </c>
      <c r="BN36" s="4" t="s">
        <v>5</v>
      </c>
      <c r="BO36" s="4" t="s">
        <v>5</v>
      </c>
      <c r="BP36" s="4" t="s">
        <v>5</v>
      </c>
      <c r="BQ36" s="4" t="s">
        <v>5</v>
      </c>
      <c r="BR36" s="4" t="s">
        <v>5</v>
      </c>
      <c r="BS36" s="4" t="s">
        <v>5</v>
      </c>
      <c r="BT36" s="4" t="s">
        <v>5</v>
      </c>
      <c r="BU36" s="4" t="s">
        <v>5</v>
      </c>
      <c r="BV36" s="4" t="s">
        <v>5</v>
      </c>
      <c r="BW36" s="4" t="s">
        <v>5</v>
      </c>
      <c r="BX36" s="4" t="s">
        <v>5</v>
      </c>
      <c r="BY36" s="4" t="s">
        <v>5</v>
      </c>
      <c r="BZ36" s="4" t="s">
        <v>5</v>
      </c>
      <c r="CA36" s="4" t="s">
        <v>5</v>
      </c>
      <c r="CB36" s="4" t="s">
        <v>5</v>
      </c>
      <c r="CC36" s="4" t="s">
        <v>5</v>
      </c>
      <c r="CD36" s="4" t="s">
        <v>5</v>
      </c>
      <c r="CE36" s="4" t="s">
        <v>5</v>
      </c>
      <c r="CF36" s="4" t="s">
        <v>5</v>
      </c>
      <c r="CG36" s="4" t="s">
        <v>5</v>
      </c>
    </row>
    <row r="37" spans="1:85" x14ac:dyDescent="0.25">
      <c r="A37" s="13" t="str">
        <f>IF(AND($E37="",MAX($A$8:$A36)=0),"",IF(AND($E37&lt;&gt;"",MAX($A$8:$A36)=0),1,IF(AND($E37&lt;&gt;"",MAX($A$8:$A36)&gt;0),MAX($A$8:$A36)+1,"")))</f>
        <v/>
      </c>
      <c r="B37" s="11">
        <v>30</v>
      </c>
      <c r="C37" s="19" t="str">
        <f t="shared" si="0"/>
        <v>EMPTY</v>
      </c>
      <c r="D37" s="3" t="str">
        <f t="shared" si="1"/>
        <v/>
      </c>
      <c r="E37" s="7"/>
      <c r="F37" s="8" t="str">
        <f t="shared" si="2"/>
        <v/>
      </c>
      <c r="I37" s="4" t="s">
        <v>5</v>
      </c>
      <c r="J37" s="4" t="s">
        <v>5</v>
      </c>
      <c r="K37" s="4" t="s">
        <v>5</v>
      </c>
      <c r="L37" s="4" t="s">
        <v>5</v>
      </c>
      <c r="M37" s="4" t="s">
        <v>5</v>
      </c>
      <c r="N37" s="4" t="s">
        <v>5</v>
      </c>
      <c r="O37" s="4" t="s">
        <v>5</v>
      </c>
      <c r="P37" s="4" t="s">
        <v>5</v>
      </c>
      <c r="Q37" s="4" t="s">
        <v>5</v>
      </c>
      <c r="R37" s="4" t="s">
        <v>5</v>
      </c>
      <c r="S37" s="4" t="s">
        <v>5</v>
      </c>
      <c r="T37" s="4" t="s">
        <v>5</v>
      </c>
      <c r="U37" s="4" t="s">
        <v>5</v>
      </c>
      <c r="V37" s="4" t="s">
        <v>5</v>
      </c>
      <c r="W37" s="4" t="s">
        <v>5</v>
      </c>
      <c r="X37" s="4" t="s">
        <v>5</v>
      </c>
      <c r="Y37" s="4" t="s">
        <v>5</v>
      </c>
      <c r="Z37" s="4" t="s">
        <v>5</v>
      </c>
      <c r="AA37" s="4" t="s">
        <v>5</v>
      </c>
      <c r="AB37" s="4" t="s">
        <v>5</v>
      </c>
      <c r="AC37" s="4" t="s">
        <v>5</v>
      </c>
      <c r="AD37" s="4" t="s">
        <v>5</v>
      </c>
      <c r="AE37" s="4" t="s">
        <v>5</v>
      </c>
      <c r="AF37" s="4" t="s">
        <v>5</v>
      </c>
      <c r="AG37" s="4" t="s">
        <v>5</v>
      </c>
      <c r="AH37" s="4" t="s">
        <v>5</v>
      </c>
      <c r="AI37" s="4" t="s">
        <v>5</v>
      </c>
      <c r="AJ37" s="4" t="s">
        <v>5</v>
      </c>
      <c r="AK37" s="4" t="s">
        <v>5</v>
      </c>
      <c r="AL37" s="4" t="s">
        <v>5</v>
      </c>
      <c r="AM37" s="4" t="s">
        <v>5</v>
      </c>
      <c r="AN37" s="4" t="s">
        <v>5</v>
      </c>
      <c r="AO37" s="4" t="s">
        <v>5</v>
      </c>
      <c r="AP37" s="4" t="s">
        <v>5</v>
      </c>
      <c r="AQ37" s="4" t="s">
        <v>5</v>
      </c>
      <c r="AR37" s="4" t="s">
        <v>5</v>
      </c>
      <c r="AS37" s="4" t="s">
        <v>5</v>
      </c>
      <c r="AT37" s="4" t="s">
        <v>5</v>
      </c>
      <c r="AU37" s="4" t="s">
        <v>5</v>
      </c>
      <c r="AV37" s="4" t="s">
        <v>5</v>
      </c>
      <c r="AW37" s="4" t="s">
        <v>5</v>
      </c>
      <c r="AX37" s="4" t="s">
        <v>5</v>
      </c>
      <c r="AY37" s="4" t="s">
        <v>5</v>
      </c>
      <c r="AZ37" s="4" t="s">
        <v>5</v>
      </c>
      <c r="BA37" s="4" t="s">
        <v>5</v>
      </c>
      <c r="BB37" s="4" t="s">
        <v>5</v>
      </c>
      <c r="BC37" s="4" t="s">
        <v>5</v>
      </c>
      <c r="BD37" s="4" t="s">
        <v>5</v>
      </c>
      <c r="BE37" s="4" t="s">
        <v>5</v>
      </c>
      <c r="BF37" s="4" t="s">
        <v>5</v>
      </c>
      <c r="BG37" s="4" t="s">
        <v>5</v>
      </c>
      <c r="BH37" s="4" t="s">
        <v>5</v>
      </c>
      <c r="BI37" s="4" t="s">
        <v>5</v>
      </c>
      <c r="BJ37" s="4" t="s">
        <v>5</v>
      </c>
      <c r="BK37" s="4" t="s">
        <v>5</v>
      </c>
      <c r="BL37" s="4" t="s">
        <v>5</v>
      </c>
      <c r="BM37" s="4" t="s">
        <v>5</v>
      </c>
      <c r="BN37" s="4" t="s">
        <v>5</v>
      </c>
      <c r="BO37" s="4" t="s">
        <v>5</v>
      </c>
      <c r="BP37" s="4" t="s">
        <v>5</v>
      </c>
      <c r="BQ37" s="4" t="s">
        <v>5</v>
      </c>
      <c r="BR37" s="4" t="s">
        <v>5</v>
      </c>
      <c r="BS37" s="4" t="s">
        <v>5</v>
      </c>
      <c r="BT37" s="4" t="s">
        <v>5</v>
      </c>
      <c r="BU37" s="4" t="s">
        <v>5</v>
      </c>
      <c r="BV37" s="4" t="s">
        <v>5</v>
      </c>
      <c r="BW37" s="4" t="s">
        <v>5</v>
      </c>
      <c r="BX37" s="4" t="s">
        <v>5</v>
      </c>
      <c r="BY37" s="4" t="s">
        <v>5</v>
      </c>
      <c r="BZ37" s="4" t="s">
        <v>5</v>
      </c>
      <c r="CA37" s="4" t="s">
        <v>5</v>
      </c>
      <c r="CB37" s="4" t="s">
        <v>5</v>
      </c>
      <c r="CC37" s="4" t="s">
        <v>5</v>
      </c>
      <c r="CD37" s="4" t="s">
        <v>5</v>
      </c>
      <c r="CE37" s="4" t="s">
        <v>5</v>
      </c>
      <c r="CF37" s="4" t="s">
        <v>5</v>
      </c>
      <c r="CG37" s="4" t="s">
        <v>5</v>
      </c>
    </row>
    <row r="38" spans="1:85" x14ac:dyDescent="0.25">
      <c r="A38" s="13" t="str">
        <f>IF(AND($E38="",MAX($A$8:$A37)=0),"",IF(AND($E38&lt;&gt;"",MAX($A$8:$A37)=0),1,IF(AND($E38&lt;&gt;"",MAX($A$8:$A37)&gt;0),MAX($A$8:$A37)+1,"")))</f>
        <v/>
      </c>
      <c r="B38" s="11">
        <v>31</v>
      </c>
      <c r="C38" s="19" t="str">
        <f t="shared" si="0"/>
        <v>EMPTY</v>
      </c>
      <c r="D38" s="3" t="str">
        <f t="shared" si="1"/>
        <v/>
      </c>
      <c r="E38" s="7"/>
      <c r="F38" s="8" t="str">
        <f t="shared" si="2"/>
        <v/>
      </c>
      <c r="I38" s="4" t="s">
        <v>5</v>
      </c>
      <c r="J38" s="4" t="s">
        <v>5</v>
      </c>
      <c r="K38" s="4" t="s">
        <v>5</v>
      </c>
      <c r="L38" s="4" t="s">
        <v>5</v>
      </c>
      <c r="M38" s="4" t="s">
        <v>5</v>
      </c>
      <c r="N38" s="4" t="s">
        <v>5</v>
      </c>
      <c r="O38" s="4" t="s">
        <v>5</v>
      </c>
      <c r="P38" s="4" t="s">
        <v>5</v>
      </c>
      <c r="Q38" s="4" t="s">
        <v>5</v>
      </c>
      <c r="R38" s="4" t="s">
        <v>5</v>
      </c>
      <c r="S38" s="4" t="s">
        <v>5</v>
      </c>
      <c r="T38" s="4" t="s">
        <v>5</v>
      </c>
      <c r="U38" s="4" t="s">
        <v>5</v>
      </c>
      <c r="V38" s="4" t="s">
        <v>5</v>
      </c>
      <c r="W38" s="4" t="s">
        <v>5</v>
      </c>
      <c r="X38" s="4" t="s">
        <v>5</v>
      </c>
      <c r="Y38" s="4" t="s">
        <v>5</v>
      </c>
      <c r="Z38" s="4" t="s">
        <v>5</v>
      </c>
      <c r="AA38" s="4" t="s">
        <v>5</v>
      </c>
      <c r="AB38" s="4" t="s">
        <v>5</v>
      </c>
      <c r="AC38" s="4" t="s">
        <v>5</v>
      </c>
      <c r="AD38" s="4" t="s">
        <v>5</v>
      </c>
      <c r="AE38" s="4" t="s">
        <v>5</v>
      </c>
      <c r="AF38" s="4" t="s">
        <v>5</v>
      </c>
      <c r="AG38" s="4" t="s">
        <v>5</v>
      </c>
      <c r="AH38" s="4" t="s">
        <v>5</v>
      </c>
      <c r="AI38" s="4" t="s">
        <v>5</v>
      </c>
      <c r="AJ38" s="4" t="s">
        <v>5</v>
      </c>
      <c r="AK38" s="4" t="s">
        <v>5</v>
      </c>
      <c r="AL38" s="4" t="s">
        <v>5</v>
      </c>
      <c r="AM38" s="4" t="s">
        <v>5</v>
      </c>
      <c r="AN38" s="4" t="s">
        <v>5</v>
      </c>
      <c r="AO38" s="4" t="s">
        <v>5</v>
      </c>
      <c r="AP38" s="4" t="s">
        <v>5</v>
      </c>
      <c r="AQ38" s="4" t="s">
        <v>5</v>
      </c>
      <c r="AR38" s="4" t="s">
        <v>5</v>
      </c>
      <c r="AS38" s="4" t="s">
        <v>5</v>
      </c>
      <c r="AT38" s="4" t="s">
        <v>5</v>
      </c>
      <c r="AU38" s="4" t="s">
        <v>5</v>
      </c>
      <c r="AV38" s="4" t="s">
        <v>5</v>
      </c>
      <c r="AW38" s="4" t="s">
        <v>5</v>
      </c>
      <c r="AX38" s="4" t="s">
        <v>5</v>
      </c>
      <c r="AY38" s="4" t="s">
        <v>5</v>
      </c>
      <c r="BA38" s="4" t="s">
        <v>5</v>
      </c>
      <c r="BB38" s="4" t="s">
        <v>5</v>
      </c>
      <c r="BC38" s="4" t="s">
        <v>5</v>
      </c>
      <c r="BD38" s="4" t="s">
        <v>5</v>
      </c>
      <c r="BE38" s="4" t="s">
        <v>5</v>
      </c>
      <c r="BF38" s="4" t="s">
        <v>5</v>
      </c>
      <c r="BG38" s="4" t="s">
        <v>5</v>
      </c>
      <c r="BH38" s="4" t="s">
        <v>5</v>
      </c>
      <c r="BI38" s="4" t="s">
        <v>5</v>
      </c>
      <c r="BJ38" s="4" t="s">
        <v>5</v>
      </c>
      <c r="BK38" s="4" t="s">
        <v>5</v>
      </c>
      <c r="BL38" s="4" t="s">
        <v>5</v>
      </c>
      <c r="BM38" s="4" t="s">
        <v>5</v>
      </c>
      <c r="BN38" s="4" t="s">
        <v>5</v>
      </c>
      <c r="BO38" s="4" t="s">
        <v>5</v>
      </c>
      <c r="BP38" s="4" t="s">
        <v>5</v>
      </c>
      <c r="BQ38" s="4" t="s">
        <v>5</v>
      </c>
      <c r="BR38" s="4" t="s">
        <v>5</v>
      </c>
      <c r="BS38" s="4" t="s">
        <v>5</v>
      </c>
      <c r="BT38" s="4" t="s">
        <v>5</v>
      </c>
      <c r="BU38" s="4" t="s">
        <v>5</v>
      </c>
      <c r="BV38" s="4" t="s">
        <v>5</v>
      </c>
      <c r="BW38" s="4" t="s">
        <v>5</v>
      </c>
      <c r="BX38" s="4" t="s">
        <v>5</v>
      </c>
      <c r="BY38" s="4" t="s">
        <v>5</v>
      </c>
      <c r="BZ38" s="4" t="s">
        <v>5</v>
      </c>
      <c r="CA38" s="4" t="s">
        <v>5</v>
      </c>
      <c r="CB38" s="4" t="s">
        <v>5</v>
      </c>
      <c r="CC38" s="4" t="s">
        <v>5</v>
      </c>
      <c r="CD38" s="4" t="s">
        <v>5</v>
      </c>
      <c r="CE38" s="4" t="s">
        <v>5</v>
      </c>
      <c r="CF38" s="4" t="s">
        <v>5</v>
      </c>
      <c r="CG38" s="4" t="s">
        <v>5</v>
      </c>
    </row>
    <row r="39" spans="1:85" x14ac:dyDescent="0.25">
      <c r="A39" s="13" t="str">
        <f>IF(AND($E39="",MAX($A$8:$A38)=0),"",IF(AND($E39&lt;&gt;"",MAX($A$8:$A38)=0),1,IF(AND($E39&lt;&gt;"",MAX($A$8:$A38)&gt;0),MAX($A$8:$A38)+1,"")))</f>
        <v/>
      </c>
      <c r="B39" s="11">
        <v>32</v>
      </c>
      <c r="C39" s="19" t="str">
        <f t="shared" si="0"/>
        <v>EMPTY</v>
      </c>
      <c r="D39" s="3" t="str">
        <f t="shared" si="1"/>
        <v/>
      </c>
      <c r="E39" s="7"/>
      <c r="F39" s="8" t="str">
        <f t="shared" si="2"/>
        <v/>
      </c>
      <c r="I39" s="4" t="s">
        <v>5</v>
      </c>
      <c r="J39" s="4" t="s">
        <v>5</v>
      </c>
      <c r="K39" s="4" t="s">
        <v>5</v>
      </c>
      <c r="L39" s="4" t="s">
        <v>5</v>
      </c>
      <c r="M39" s="4" t="s">
        <v>5</v>
      </c>
      <c r="N39" s="4" t="s">
        <v>5</v>
      </c>
      <c r="O39" s="4" t="s">
        <v>5</v>
      </c>
      <c r="P39" s="4" t="s">
        <v>5</v>
      </c>
      <c r="Q39" s="4" t="s">
        <v>5</v>
      </c>
      <c r="R39" s="4" t="s">
        <v>5</v>
      </c>
      <c r="S39" s="4" t="s">
        <v>5</v>
      </c>
      <c r="T39" s="4" t="s">
        <v>5</v>
      </c>
      <c r="U39" s="4" t="s">
        <v>5</v>
      </c>
      <c r="V39" s="4" t="s">
        <v>5</v>
      </c>
      <c r="W39" s="4" t="s">
        <v>5</v>
      </c>
      <c r="X39" s="4" t="s">
        <v>5</v>
      </c>
      <c r="Y39" s="4" t="s">
        <v>5</v>
      </c>
      <c r="Z39" s="4" t="s">
        <v>5</v>
      </c>
      <c r="AA39" s="4" t="s">
        <v>5</v>
      </c>
      <c r="AB39" s="4" t="s">
        <v>5</v>
      </c>
      <c r="AC39" s="4" t="s">
        <v>5</v>
      </c>
      <c r="AD39" s="4" t="s">
        <v>5</v>
      </c>
      <c r="AE39" s="4" t="s">
        <v>5</v>
      </c>
      <c r="AF39" s="4" t="s">
        <v>5</v>
      </c>
      <c r="AG39" s="4" t="s">
        <v>5</v>
      </c>
      <c r="AH39" s="4" t="s">
        <v>5</v>
      </c>
      <c r="AI39" s="4" t="s">
        <v>5</v>
      </c>
      <c r="AJ39" s="4" t="s">
        <v>5</v>
      </c>
      <c r="AK39" s="4" t="s">
        <v>5</v>
      </c>
      <c r="AL39" s="4" t="s">
        <v>5</v>
      </c>
      <c r="AM39" s="4" t="s">
        <v>5</v>
      </c>
      <c r="AN39" s="4" t="s">
        <v>5</v>
      </c>
      <c r="AO39" s="4" t="s">
        <v>5</v>
      </c>
      <c r="AP39" s="4" t="s">
        <v>5</v>
      </c>
      <c r="AQ39" s="4" t="s">
        <v>5</v>
      </c>
      <c r="AR39" s="4" t="s">
        <v>5</v>
      </c>
      <c r="AS39" s="4" t="s">
        <v>5</v>
      </c>
      <c r="AT39" s="4" t="s">
        <v>5</v>
      </c>
      <c r="AU39" s="4" t="s">
        <v>5</v>
      </c>
      <c r="AV39" s="4" t="s">
        <v>5</v>
      </c>
      <c r="AW39" s="4" t="s">
        <v>5</v>
      </c>
      <c r="AX39" s="4" t="s">
        <v>5</v>
      </c>
      <c r="AY39" s="4" t="s">
        <v>5</v>
      </c>
      <c r="BA39" s="4" t="s">
        <v>5</v>
      </c>
      <c r="BB39" s="4" t="s">
        <v>5</v>
      </c>
      <c r="BC39" s="4" t="s">
        <v>5</v>
      </c>
      <c r="BD39" s="4" t="s">
        <v>5</v>
      </c>
      <c r="BE39" s="4" t="s">
        <v>5</v>
      </c>
      <c r="BF39" s="4" t="s">
        <v>5</v>
      </c>
      <c r="BG39" s="4" t="s">
        <v>5</v>
      </c>
      <c r="BH39" s="4" t="s">
        <v>5</v>
      </c>
      <c r="BI39" s="4" t="s">
        <v>5</v>
      </c>
      <c r="BJ39" s="4" t="s">
        <v>5</v>
      </c>
      <c r="BK39" s="4" t="s">
        <v>5</v>
      </c>
      <c r="BL39" s="4" t="s">
        <v>5</v>
      </c>
      <c r="BM39" s="4" t="s">
        <v>5</v>
      </c>
      <c r="BN39" s="4" t="s">
        <v>5</v>
      </c>
      <c r="BO39" s="4" t="s">
        <v>5</v>
      </c>
      <c r="BP39" s="4" t="s">
        <v>5</v>
      </c>
      <c r="BQ39" s="4" t="s">
        <v>5</v>
      </c>
      <c r="BR39" s="4" t="s">
        <v>5</v>
      </c>
      <c r="BS39" s="4" t="s">
        <v>5</v>
      </c>
      <c r="BT39" s="4" t="s">
        <v>5</v>
      </c>
      <c r="BU39" s="4" t="s">
        <v>5</v>
      </c>
      <c r="BV39" s="4" t="s">
        <v>5</v>
      </c>
      <c r="BW39" s="4" t="s">
        <v>5</v>
      </c>
      <c r="BX39" s="4" t="s">
        <v>5</v>
      </c>
      <c r="BY39" s="4" t="s">
        <v>5</v>
      </c>
      <c r="BZ39" s="4" t="s">
        <v>5</v>
      </c>
      <c r="CA39" s="4" t="s">
        <v>5</v>
      </c>
      <c r="CB39" s="4" t="s">
        <v>5</v>
      </c>
      <c r="CC39" s="4" t="s">
        <v>5</v>
      </c>
      <c r="CD39" s="4" t="s">
        <v>5</v>
      </c>
      <c r="CE39" s="4" t="s">
        <v>5</v>
      </c>
      <c r="CF39" s="4" t="s">
        <v>5</v>
      </c>
      <c r="CG39" s="4" t="s">
        <v>5</v>
      </c>
    </row>
    <row r="40" spans="1:85" x14ac:dyDescent="0.25">
      <c r="A40" s="13" t="str">
        <f>IF(AND($E40="",MAX($A$8:$A39)=0),"",IF(AND($E40&lt;&gt;"",MAX($A$8:$A39)=0),1,IF(AND($E40&lt;&gt;"",MAX($A$8:$A39)&gt;0),MAX($A$8:$A39)+1,"")))</f>
        <v/>
      </c>
      <c r="B40" s="11">
        <v>33</v>
      </c>
      <c r="C40" s="19" t="str">
        <f t="shared" si="0"/>
        <v>EMPTY</v>
      </c>
      <c r="D40" s="3" t="str">
        <f t="shared" si="1"/>
        <v/>
      </c>
      <c r="E40" s="7"/>
      <c r="F40" s="8" t="str">
        <f t="shared" si="2"/>
        <v/>
      </c>
      <c r="I40" s="4" t="s">
        <v>5</v>
      </c>
      <c r="J40" s="4" t="s">
        <v>5</v>
      </c>
      <c r="K40" s="4" t="s">
        <v>5</v>
      </c>
      <c r="L40" s="4" t="s">
        <v>5</v>
      </c>
      <c r="M40" s="4" t="s">
        <v>5</v>
      </c>
      <c r="N40" s="4" t="s">
        <v>5</v>
      </c>
      <c r="O40" s="4" t="s">
        <v>5</v>
      </c>
      <c r="P40" s="4" t="s">
        <v>5</v>
      </c>
      <c r="Q40" s="4" t="s">
        <v>5</v>
      </c>
      <c r="R40" s="4" t="s">
        <v>5</v>
      </c>
      <c r="S40" s="4" t="s">
        <v>5</v>
      </c>
      <c r="T40" s="4" t="s">
        <v>5</v>
      </c>
      <c r="U40" s="4" t="s">
        <v>5</v>
      </c>
      <c r="V40" s="4" t="s">
        <v>5</v>
      </c>
      <c r="W40" s="4" t="s">
        <v>5</v>
      </c>
      <c r="X40" s="4" t="s">
        <v>5</v>
      </c>
      <c r="Y40" s="4" t="s">
        <v>5</v>
      </c>
      <c r="Z40" s="4" t="s">
        <v>5</v>
      </c>
      <c r="AA40" s="4" t="s">
        <v>5</v>
      </c>
      <c r="AB40" s="4" t="s">
        <v>5</v>
      </c>
      <c r="AC40" s="4" t="s">
        <v>5</v>
      </c>
      <c r="AD40" s="4" t="s">
        <v>5</v>
      </c>
      <c r="AE40" s="4" t="s">
        <v>5</v>
      </c>
      <c r="AF40" s="4" t="s">
        <v>5</v>
      </c>
      <c r="AG40" s="4" t="s">
        <v>5</v>
      </c>
      <c r="AH40" s="4" t="s">
        <v>5</v>
      </c>
      <c r="AI40" s="4" t="s">
        <v>5</v>
      </c>
      <c r="AJ40" s="4" t="s">
        <v>5</v>
      </c>
      <c r="AK40" s="4" t="s">
        <v>5</v>
      </c>
      <c r="AL40" s="4" t="s">
        <v>5</v>
      </c>
      <c r="AM40" s="4" t="s">
        <v>5</v>
      </c>
      <c r="AN40" s="4" t="s">
        <v>5</v>
      </c>
      <c r="AO40" s="4" t="s">
        <v>5</v>
      </c>
      <c r="AP40" s="4" t="s">
        <v>5</v>
      </c>
      <c r="AQ40" s="4" t="s">
        <v>5</v>
      </c>
      <c r="AR40" s="4" t="s">
        <v>5</v>
      </c>
      <c r="AS40" s="4" t="s">
        <v>5</v>
      </c>
      <c r="AT40" s="4" t="s">
        <v>5</v>
      </c>
      <c r="AU40" s="4" t="s">
        <v>5</v>
      </c>
      <c r="AV40" s="4" t="s">
        <v>5</v>
      </c>
      <c r="AW40" s="4" t="s">
        <v>5</v>
      </c>
      <c r="AX40" s="4" t="s">
        <v>5</v>
      </c>
      <c r="AY40" s="4" t="s">
        <v>5</v>
      </c>
      <c r="BA40" s="4" t="s">
        <v>5</v>
      </c>
      <c r="BB40" s="4" t="s">
        <v>5</v>
      </c>
      <c r="BC40" s="4" t="s">
        <v>5</v>
      </c>
      <c r="BD40" s="4" t="s">
        <v>5</v>
      </c>
      <c r="BE40" s="4" t="s">
        <v>5</v>
      </c>
      <c r="BF40" s="4" t="s">
        <v>5</v>
      </c>
      <c r="BG40" s="4" t="s">
        <v>5</v>
      </c>
      <c r="BH40" s="4" t="s">
        <v>5</v>
      </c>
      <c r="BI40" s="4" t="s">
        <v>5</v>
      </c>
      <c r="BJ40" s="4" t="s">
        <v>5</v>
      </c>
      <c r="BK40" s="4" t="s">
        <v>5</v>
      </c>
      <c r="BL40" s="4" t="s">
        <v>5</v>
      </c>
      <c r="BM40" s="4" t="s">
        <v>5</v>
      </c>
      <c r="BN40" s="4" t="s">
        <v>5</v>
      </c>
      <c r="BO40" s="4" t="s">
        <v>5</v>
      </c>
      <c r="BP40" s="4" t="s">
        <v>5</v>
      </c>
      <c r="BQ40" s="4" t="s">
        <v>5</v>
      </c>
      <c r="BR40" s="4" t="s">
        <v>5</v>
      </c>
      <c r="BS40" s="4" t="s">
        <v>5</v>
      </c>
      <c r="BT40" s="4" t="s">
        <v>5</v>
      </c>
      <c r="BU40" s="4" t="s">
        <v>5</v>
      </c>
      <c r="BV40" s="4" t="s">
        <v>5</v>
      </c>
      <c r="BW40" s="4" t="s">
        <v>5</v>
      </c>
      <c r="BX40" s="4" t="s">
        <v>5</v>
      </c>
      <c r="BY40" s="4" t="s">
        <v>5</v>
      </c>
      <c r="BZ40" s="4" t="s">
        <v>5</v>
      </c>
      <c r="CA40" s="4" t="s">
        <v>5</v>
      </c>
      <c r="CB40" s="4" t="s">
        <v>5</v>
      </c>
      <c r="CC40" s="4" t="s">
        <v>5</v>
      </c>
      <c r="CD40" s="4" t="s">
        <v>5</v>
      </c>
      <c r="CE40" s="4" t="s">
        <v>5</v>
      </c>
      <c r="CF40" s="4" t="s">
        <v>5</v>
      </c>
      <c r="CG40" s="4" t="s">
        <v>5</v>
      </c>
    </row>
    <row r="41" spans="1:85" x14ac:dyDescent="0.25">
      <c r="A41" s="13" t="str">
        <f>IF(AND($E41="",MAX($A$8:$A40)=0),"",IF(AND($E41&lt;&gt;"",MAX($A$8:$A40)=0),1,IF(AND($E41&lt;&gt;"",MAX($A$8:$A40)&gt;0),MAX($A$8:$A40)+1,"")))</f>
        <v/>
      </c>
      <c r="B41" s="11">
        <v>34</v>
      </c>
      <c r="C41" s="19" t="str">
        <f t="shared" si="0"/>
        <v>EMPTY</v>
      </c>
      <c r="D41" s="3" t="str">
        <f t="shared" si="1"/>
        <v/>
      </c>
      <c r="E41" s="7"/>
      <c r="F41" s="8" t="str">
        <f t="shared" si="2"/>
        <v/>
      </c>
      <c r="I41" s="4" t="s">
        <v>5</v>
      </c>
      <c r="J41" s="4" t="s">
        <v>5</v>
      </c>
      <c r="K41" s="4" t="s">
        <v>5</v>
      </c>
      <c r="L41" s="4" t="s">
        <v>5</v>
      </c>
      <c r="M41" s="4" t="s">
        <v>5</v>
      </c>
      <c r="N41" s="4" t="s">
        <v>5</v>
      </c>
      <c r="O41" s="4" t="s">
        <v>5</v>
      </c>
      <c r="P41" s="4" t="s">
        <v>5</v>
      </c>
      <c r="Q41" s="4" t="s">
        <v>5</v>
      </c>
      <c r="R41" s="4" t="s">
        <v>5</v>
      </c>
      <c r="S41" s="4" t="s">
        <v>5</v>
      </c>
      <c r="T41" s="4" t="s">
        <v>5</v>
      </c>
      <c r="U41" s="4" t="s">
        <v>5</v>
      </c>
      <c r="V41" s="4" t="s">
        <v>5</v>
      </c>
      <c r="W41" s="4" t="s">
        <v>5</v>
      </c>
      <c r="X41" s="4" t="s">
        <v>5</v>
      </c>
      <c r="Y41" s="4" t="s">
        <v>5</v>
      </c>
      <c r="Z41" s="4" t="s">
        <v>5</v>
      </c>
      <c r="AA41" s="4" t="s">
        <v>5</v>
      </c>
      <c r="AB41" s="4" t="s">
        <v>5</v>
      </c>
      <c r="AC41" s="4" t="s">
        <v>5</v>
      </c>
      <c r="AD41" s="4" t="s">
        <v>5</v>
      </c>
      <c r="AE41" s="4" t="s">
        <v>5</v>
      </c>
      <c r="AF41" s="4" t="s">
        <v>5</v>
      </c>
      <c r="AG41" s="4" t="s">
        <v>5</v>
      </c>
      <c r="AH41" s="4" t="s">
        <v>5</v>
      </c>
      <c r="AI41" s="4" t="s">
        <v>5</v>
      </c>
      <c r="AJ41" s="4" t="s">
        <v>5</v>
      </c>
      <c r="AK41" s="4" t="s">
        <v>5</v>
      </c>
      <c r="AL41" s="4" t="s">
        <v>5</v>
      </c>
      <c r="AM41" s="4" t="s">
        <v>5</v>
      </c>
      <c r="AN41" s="4" t="s">
        <v>5</v>
      </c>
      <c r="AO41" s="4" t="s">
        <v>5</v>
      </c>
      <c r="AP41" s="4" t="s">
        <v>5</v>
      </c>
      <c r="AQ41" s="4" t="s">
        <v>5</v>
      </c>
      <c r="AR41" s="4" t="s">
        <v>5</v>
      </c>
      <c r="AS41" s="4" t="s">
        <v>5</v>
      </c>
      <c r="AT41" s="4" t="s">
        <v>5</v>
      </c>
      <c r="AU41" s="4" t="s">
        <v>5</v>
      </c>
      <c r="AV41" s="4" t="s">
        <v>5</v>
      </c>
      <c r="AW41" s="4" t="s">
        <v>5</v>
      </c>
      <c r="AX41" s="4" t="s">
        <v>5</v>
      </c>
      <c r="AY41" s="4" t="s">
        <v>5</v>
      </c>
      <c r="BA41" s="4" t="s">
        <v>5</v>
      </c>
      <c r="BB41" s="4" t="s">
        <v>5</v>
      </c>
      <c r="BC41" s="4" t="s">
        <v>5</v>
      </c>
      <c r="BD41" s="4" t="s">
        <v>5</v>
      </c>
      <c r="BE41" s="4" t="s">
        <v>5</v>
      </c>
      <c r="BF41" s="4" t="s">
        <v>5</v>
      </c>
      <c r="BG41" s="4" t="s">
        <v>5</v>
      </c>
      <c r="BH41" s="4" t="s">
        <v>5</v>
      </c>
      <c r="BI41" s="4" t="s">
        <v>5</v>
      </c>
      <c r="BJ41" s="4" t="s">
        <v>5</v>
      </c>
      <c r="BK41" s="4" t="s">
        <v>5</v>
      </c>
      <c r="BL41" s="4" t="s">
        <v>5</v>
      </c>
      <c r="BM41" s="4" t="s">
        <v>5</v>
      </c>
      <c r="BN41" s="4" t="s">
        <v>5</v>
      </c>
      <c r="BO41" s="4" t="s">
        <v>5</v>
      </c>
      <c r="BP41" s="4" t="s">
        <v>5</v>
      </c>
      <c r="BQ41" s="4" t="s">
        <v>5</v>
      </c>
      <c r="BR41" s="4" t="s">
        <v>5</v>
      </c>
      <c r="BS41" s="4" t="s">
        <v>5</v>
      </c>
      <c r="BT41" s="4" t="s">
        <v>5</v>
      </c>
      <c r="BU41" s="4" t="s">
        <v>5</v>
      </c>
      <c r="BV41" s="4" t="s">
        <v>5</v>
      </c>
      <c r="BW41" s="4" t="s">
        <v>5</v>
      </c>
      <c r="BX41" s="4" t="s">
        <v>5</v>
      </c>
      <c r="BY41" s="4" t="s">
        <v>5</v>
      </c>
      <c r="BZ41" s="4" t="s">
        <v>5</v>
      </c>
      <c r="CA41" s="4" t="s">
        <v>5</v>
      </c>
      <c r="CB41" s="4" t="s">
        <v>5</v>
      </c>
      <c r="CC41" s="4" t="s">
        <v>5</v>
      </c>
      <c r="CD41" s="4" t="s">
        <v>5</v>
      </c>
      <c r="CE41" s="4" t="s">
        <v>5</v>
      </c>
      <c r="CF41" s="4" t="s">
        <v>5</v>
      </c>
      <c r="CG41" s="4" t="s">
        <v>5</v>
      </c>
    </row>
    <row r="42" spans="1:85" x14ac:dyDescent="0.25">
      <c r="A42" s="13" t="str">
        <f>IF(AND($E42="",MAX($A$8:$A41)=0),"",IF(AND($E42&lt;&gt;"",MAX($A$8:$A41)=0),1,IF(AND($E42&lt;&gt;"",MAX($A$8:$A41)&gt;0),MAX($A$8:$A41)+1,"")))</f>
        <v/>
      </c>
      <c r="B42" s="11">
        <v>35</v>
      </c>
      <c r="C42" s="19" t="str">
        <f t="shared" si="0"/>
        <v>EMPTY</v>
      </c>
      <c r="D42" s="3" t="str">
        <f t="shared" si="1"/>
        <v/>
      </c>
      <c r="E42" s="7"/>
      <c r="F42" s="8" t="str">
        <f t="shared" si="2"/>
        <v/>
      </c>
      <c r="I42" s="4" t="s">
        <v>5</v>
      </c>
      <c r="J42" s="4" t="s">
        <v>5</v>
      </c>
      <c r="K42" s="4" t="s">
        <v>5</v>
      </c>
      <c r="L42" s="4" t="s">
        <v>5</v>
      </c>
      <c r="M42" s="4" t="s">
        <v>5</v>
      </c>
      <c r="N42" s="4" t="s">
        <v>5</v>
      </c>
      <c r="O42" s="4" t="s">
        <v>5</v>
      </c>
      <c r="P42" s="4" t="s">
        <v>5</v>
      </c>
      <c r="Q42" s="4" t="s">
        <v>5</v>
      </c>
      <c r="R42" s="4" t="s">
        <v>5</v>
      </c>
      <c r="S42" s="4" t="s">
        <v>5</v>
      </c>
      <c r="T42" s="4" t="s">
        <v>5</v>
      </c>
      <c r="U42" s="4" t="s">
        <v>5</v>
      </c>
      <c r="V42" s="4" t="s">
        <v>5</v>
      </c>
      <c r="W42" s="4" t="s">
        <v>5</v>
      </c>
      <c r="X42" s="4" t="s">
        <v>5</v>
      </c>
      <c r="Y42" s="4" t="s">
        <v>5</v>
      </c>
      <c r="Z42" s="4" t="s">
        <v>5</v>
      </c>
      <c r="AA42" s="4" t="s">
        <v>5</v>
      </c>
      <c r="AB42" s="4" t="s">
        <v>5</v>
      </c>
      <c r="AC42" s="4" t="s">
        <v>5</v>
      </c>
      <c r="AD42" s="4" t="s">
        <v>5</v>
      </c>
      <c r="AE42" s="4" t="s">
        <v>5</v>
      </c>
      <c r="AF42" s="4" t="s">
        <v>5</v>
      </c>
      <c r="AG42" s="4" t="s">
        <v>5</v>
      </c>
      <c r="AH42" s="4" t="s">
        <v>5</v>
      </c>
      <c r="AI42" s="4" t="s">
        <v>5</v>
      </c>
      <c r="AJ42" s="4" t="s">
        <v>5</v>
      </c>
      <c r="AK42" s="4" t="s">
        <v>5</v>
      </c>
      <c r="AL42" s="4" t="s">
        <v>5</v>
      </c>
      <c r="AM42" s="4" t="s">
        <v>5</v>
      </c>
      <c r="AN42" s="4" t="s">
        <v>5</v>
      </c>
      <c r="AO42" s="4" t="s">
        <v>5</v>
      </c>
      <c r="AP42" s="4" t="s">
        <v>5</v>
      </c>
      <c r="AQ42" s="4" t="s">
        <v>5</v>
      </c>
      <c r="AR42" s="4" t="s">
        <v>5</v>
      </c>
      <c r="AS42" s="4" t="s">
        <v>5</v>
      </c>
      <c r="AT42" s="4" t="s">
        <v>5</v>
      </c>
      <c r="AU42" s="4" t="s">
        <v>5</v>
      </c>
      <c r="AV42" s="4" t="s">
        <v>5</v>
      </c>
      <c r="AW42" s="4" t="s">
        <v>5</v>
      </c>
      <c r="AX42" s="4" t="s">
        <v>5</v>
      </c>
      <c r="AY42" s="4" t="s">
        <v>5</v>
      </c>
      <c r="BA42" s="4" t="s">
        <v>5</v>
      </c>
      <c r="BB42" s="4" t="s">
        <v>5</v>
      </c>
      <c r="BC42" s="4" t="s">
        <v>5</v>
      </c>
      <c r="BD42" s="4" t="s">
        <v>5</v>
      </c>
      <c r="BE42" s="4" t="s">
        <v>5</v>
      </c>
      <c r="BF42" s="4" t="s">
        <v>5</v>
      </c>
      <c r="BG42" s="4" t="s">
        <v>5</v>
      </c>
      <c r="BH42" s="4" t="s">
        <v>5</v>
      </c>
      <c r="BI42" s="4" t="s">
        <v>5</v>
      </c>
      <c r="BJ42" s="4" t="s">
        <v>5</v>
      </c>
      <c r="BK42" s="4" t="s">
        <v>5</v>
      </c>
      <c r="BL42" s="4" t="s">
        <v>5</v>
      </c>
      <c r="BM42" s="4" t="s">
        <v>5</v>
      </c>
      <c r="BN42" s="4" t="s">
        <v>5</v>
      </c>
      <c r="BO42" s="4" t="s">
        <v>5</v>
      </c>
      <c r="BP42" s="4" t="s">
        <v>5</v>
      </c>
      <c r="BQ42" s="4" t="s">
        <v>5</v>
      </c>
      <c r="BR42" s="4" t="s">
        <v>5</v>
      </c>
      <c r="BS42" s="4" t="s">
        <v>5</v>
      </c>
      <c r="BT42" s="4" t="s">
        <v>5</v>
      </c>
      <c r="BU42" s="4" t="s">
        <v>5</v>
      </c>
      <c r="BV42" s="4" t="s">
        <v>5</v>
      </c>
      <c r="BW42" s="4" t="s">
        <v>5</v>
      </c>
      <c r="BX42" s="4" t="s">
        <v>5</v>
      </c>
      <c r="BY42" s="4" t="s">
        <v>5</v>
      </c>
      <c r="BZ42" s="4" t="s">
        <v>5</v>
      </c>
      <c r="CA42" s="4" t="s">
        <v>5</v>
      </c>
      <c r="CB42" s="4" t="s">
        <v>5</v>
      </c>
      <c r="CC42" s="4" t="s">
        <v>5</v>
      </c>
      <c r="CD42" s="4" t="s">
        <v>5</v>
      </c>
      <c r="CE42" s="4" t="s">
        <v>5</v>
      </c>
      <c r="CF42" s="4" t="s">
        <v>5</v>
      </c>
      <c r="CG42" s="4" t="s">
        <v>5</v>
      </c>
    </row>
    <row r="43" spans="1:85" x14ac:dyDescent="0.25">
      <c r="A43" s="13" t="str">
        <f>IF(AND($E43="",MAX($A$8:$A42)=0),"",IF(AND($E43&lt;&gt;"",MAX($A$8:$A42)=0),1,IF(AND($E43&lt;&gt;"",MAX($A$8:$A42)&gt;0),MAX($A$8:$A42)+1,"")))</f>
        <v/>
      </c>
      <c r="B43" s="11">
        <v>36</v>
      </c>
      <c r="C43" s="19" t="str">
        <f t="shared" si="0"/>
        <v>EMPTY</v>
      </c>
      <c r="D43" s="3" t="str">
        <f t="shared" si="1"/>
        <v/>
      </c>
      <c r="E43" s="7"/>
      <c r="F43" s="8" t="str">
        <f t="shared" si="2"/>
        <v/>
      </c>
      <c r="I43" s="4" t="s">
        <v>5</v>
      </c>
      <c r="J43" s="4" t="s">
        <v>5</v>
      </c>
      <c r="K43" s="4" t="s">
        <v>5</v>
      </c>
      <c r="L43" s="4" t="s">
        <v>5</v>
      </c>
      <c r="M43" s="4" t="s">
        <v>5</v>
      </c>
      <c r="N43" s="4" t="s">
        <v>5</v>
      </c>
      <c r="O43" s="4" t="s">
        <v>5</v>
      </c>
      <c r="P43" s="4" t="s">
        <v>5</v>
      </c>
      <c r="Q43" s="4" t="s">
        <v>5</v>
      </c>
      <c r="R43" s="4" t="s">
        <v>5</v>
      </c>
      <c r="S43" s="4" t="s">
        <v>5</v>
      </c>
      <c r="T43" s="4" t="s">
        <v>5</v>
      </c>
      <c r="U43" s="4" t="s">
        <v>5</v>
      </c>
      <c r="V43" s="4" t="s">
        <v>5</v>
      </c>
      <c r="W43" s="4" t="s">
        <v>5</v>
      </c>
      <c r="X43" s="4" t="s">
        <v>5</v>
      </c>
      <c r="Y43" s="4" t="s">
        <v>5</v>
      </c>
      <c r="Z43" s="4" t="s">
        <v>5</v>
      </c>
      <c r="AA43" s="4" t="s">
        <v>5</v>
      </c>
      <c r="AB43" s="4" t="s">
        <v>5</v>
      </c>
      <c r="AC43" s="4" t="s">
        <v>5</v>
      </c>
      <c r="AD43" s="4" t="s">
        <v>5</v>
      </c>
      <c r="AE43" s="4" t="s">
        <v>5</v>
      </c>
      <c r="AF43" s="4" t="s">
        <v>5</v>
      </c>
      <c r="AG43" s="4" t="s">
        <v>5</v>
      </c>
      <c r="AH43" s="4" t="s">
        <v>5</v>
      </c>
      <c r="AI43" s="4" t="s">
        <v>5</v>
      </c>
      <c r="AJ43" s="4" t="s">
        <v>5</v>
      </c>
      <c r="AK43" s="4" t="s">
        <v>5</v>
      </c>
      <c r="AL43" s="4" t="s">
        <v>5</v>
      </c>
      <c r="AM43" s="4" t="s">
        <v>5</v>
      </c>
      <c r="AN43" s="4" t="s">
        <v>5</v>
      </c>
      <c r="AO43" s="4" t="s">
        <v>5</v>
      </c>
      <c r="AP43" s="4" t="s">
        <v>5</v>
      </c>
      <c r="AQ43" s="4" t="s">
        <v>5</v>
      </c>
      <c r="AR43" s="4" t="s">
        <v>5</v>
      </c>
      <c r="AS43" s="4" t="s">
        <v>5</v>
      </c>
      <c r="AT43" s="4" t="s">
        <v>5</v>
      </c>
      <c r="AU43" s="4" t="s">
        <v>5</v>
      </c>
      <c r="AV43" s="4" t="s">
        <v>5</v>
      </c>
      <c r="AW43" s="4" t="s">
        <v>5</v>
      </c>
      <c r="AX43" s="4" t="s">
        <v>5</v>
      </c>
      <c r="AY43" s="4" t="s">
        <v>5</v>
      </c>
      <c r="BA43" s="4" t="s">
        <v>5</v>
      </c>
      <c r="BB43" s="4" t="s">
        <v>5</v>
      </c>
      <c r="BC43" s="4" t="s">
        <v>5</v>
      </c>
      <c r="BD43" s="4" t="s">
        <v>5</v>
      </c>
      <c r="BE43" s="4" t="s">
        <v>5</v>
      </c>
      <c r="BF43" s="4" t="s">
        <v>5</v>
      </c>
      <c r="BG43" s="4" t="s">
        <v>5</v>
      </c>
      <c r="BH43" s="4" t="s">
        <v>5</v>
      </c>
      <c r="BI43" s="4" t="s">
        <v>5</v>
      </c>
      <c r="BJ43" s="4" t="s">
        <v>5</v>
      </c>
      <c r="BK43" s="4" t="s">
        <v>5</v>
      </c>
      <c r="BL43" s="4" t="s">
        <v>5</v>
      </c>
      <c r="BM43" s="4" t="s">
        <v>5</v>
      </c>
      <c r="BN43" s="4" t="s">
        <v>5</v>
      </c>
      <c r="BO43" s="4" t="s">
        <v>5</v>
      </c>
      <c r="BP43" s="4" t="s">
        <v>5</v>
      </c>
      <c r="BQ43" s="4" t="s">
        <v>5</v>
      </c>
      <c r="BR43" s="4" t="s">
        <v>5</v>
      </c>
      <c r="BS43" s="4" t="s">
        <v>5</v>
      </c>
      <c r="BT43" s="4" t="s">
        <v>5</v>
      </c>
      <c r="BU43" s="4" t="s">
        <v>5</v>
      </c>
      <c r="BV43" s="4" t="s">
        <v>5</v>
      </c>
      <c r="BW43" s="4" t="s">
        <v>5</v>
      </c>
      <c r="BX43" s="4" t="s">
        <v>5</v>
      </c>
      <c r="BY43" s="4" t="s">
        <v>5</v>
      </c>
      <c r="BZ43" s="4" t="s">
        <v>5</v>
      </c>
      <c r="CA43" s="4" t="s">
        <v>5</v>
      </c>
      <c r="CB43" s="4" t="s">
        <v>5</v>
      </c>
      <c r="CC43" s="4" t="s">
        <v>5</v>
      </c>
      <c r="CD43" s="4" t="s">
        <v>5</v>
      </c>
      <c r="CE43" s="4" t="s">
        <v>5</v>
      </c>
      <c r="CF43" s="4" t="s">
        <v>5</v>
      </c>
      <c r="CG43" s="4" t="s">
        <v>5</v>
      </c>
    </row>
    <row r="44" spans="1:85" x14ac:dyDescent="0.25">
      <c r="A44" s="13" t="str">
        <f>IF(AND($E44="",MAX($A$8:$A43)=0),"",IF(AND($E44&lt;&gt;"",MAX($A$8:$A43)=0),1,IF(AND($E44&lt;&gt;"",MAX($A$8:$A43)&gt;0),MAX($A$8:$A43)+1,"")))</f>
        <v/>
      </c>
      <c r="B44" s="11">
        <v>37</v>
      </c>
      <c r="C44" s="19" t="str">
        <f t="shared" si="0"/>
        <v>EMPTY</v>
      </c>
      <c r="D44" s="3" t="str">
        <f t="shared" si="1"/>
        <v/>
      </c>
      <c r="E44" s="7"/>
      <c r="F44" s="8" t="str">
        <f t="shared" si="2"/>
        <v/>
      </c>
      <c r="I44" s="4" t="s">
        <v>5</v>
      </c>
      <c r="J44" s="4" t="s">
        <v>5</v>
      </c>
      <c r="K44" s="4" t="s">
        <v>5</v>
      </c>
      <c r="L44" s="4" t="s">
        <v>5</v>
      </c>
      <c r="M44" s="4" t="s">
        <v>5</v>
      </c>
      <c r="N44" s="4" t="s">
        <v>5</v>
      </c>
      <c r="O44" s="4" t="s">
        <v>5</v>
      </c>
      <c r="P44" s="4" t="s">
        <v>5</v>
      </c>
      <c r="Q44" s="4" t="s">
        <v>5</v>
      </c>
      <c r="R44" s="4" t="s">
        <v>5</v>
      </c>
      <c r="S44" s="4" t="s">
        <v>5</v>
      </c>
      <c r="T44" s="4" t="s">
        <v>5</v>
      </c>
      <c r="U44" s="4" t="s">
        <v>5</v>
      </c>
      <c r="V44" s="4" t="s">
        <v>5</v>
      </c>
      <c r="W44" s="4" t="s">
        <v>5</v>
      </c>
      <c r="X44" s="4" t="s">
        <v>5</v>
      </c>
      <c r="Y44" s="4" t="s">
        <v>5</v>
      </c>
      <c r="Z44" s="4" t="s">
        <v>5</v>
      </c>
      <c r="AA44" s="4" t="s">
        <v>5</v>
      </c>
      <c r="AB44" s="4" t="s">
        <v>5</v>
      </c>
      <c r="AC44" s="4" t="s">
        <v>5</v>
      </c>
      <c r="AD44" s="4" t="s">
        <v>5</v>
      </c>
      <c r="AE44" s="4" t="s">
        <v>5</v>
      </c>
      <c r="AF44" s="4" t="s">
        <v>5</v>
      </c>
      <c r="AG44" s="4" t="s">
        <v>5</v>
      </c>
      <c r="AH44" s="4" t="s">
        <v>5</v>
      </c>
      <c r="AI44" s="4" t="s">
        <v>5</v>
      </c>
      <c r="AJ44" s="4" t="s">
        <v>5</v>
      </c>
      <c r="AK44" s="4" t="s">
        <v>5</v>
      </c>
      <c r="AL44" s="4" t="s">
        <v>5</v>
      </c>
      <c r="AM44" s="4" t="s">
        <v>5</v>
      </c>
      <c r="AN44" s="4" t="s">
        <v>5</v>
      </c>
      <c r="AO44" s="4" t="s">
        <v>5</v>
      </c>
      <c r="AP44" s="4" t="s">
        <v>5</v>
      </c>
      <c r="AQ44" s="4" t="s">
        <v>5</v>
      </c>
      <c r="AR44" s="4" t="s">
        <v>5</v>
      </c>
      <c r="AS44" s="4" t="s">
        <v>5</v>
      </c>
      <c r="AT44" s="4" t="s">
        <v>5</v>
      </c>
      <c r="AU44" s="4" t="s">
        <v>5</v>
      </c>
      <c r="AV44" s="4" t="s">
        <v>5</v>
      </c>
      <c r="AW44" s="4" t="s">
        <v>5</v>
      </c>
      <c r="AX44" s="4" t="s">
        <v>5</v>
      </c>
      <c r="AY44" s="4" t="s">
        <v>5</v>
      </c>
      <c r="BA44" s="4" t="s">
        <v>5</v>
      </c>
      <c r="BB44" s="4" t="s">
        <v>5</v>
      </c>
      <c r="BC44" s="4" t="s">
        <v>5</v>
      </c>
      <c r="BD44" s="4" t="s">
        <v>5</v>
      </c>
      <c r="BE44" s="4" t="s">
        <v>5</v>
      </c>
      <c r="BF44" s="4" t="s">
        <v>5</v>
      </c>
      <c r="BG44" s="4" t="s">
        <v>5</v>
      </c>
      <c r="BH44" s="4" t="s">
        <v>5</v>
      </c>
      <c r="BI44" s="4" t="s">
        <v>5</v>
      </c>
      <c r="BJ44" s="4" t="s">
        <v>5</v>
      </c>
      <c r="BK44" s="4" t="s">
        <v>5</v>
      </c>
      <c r="BL44" s="4" t="s">
        <v>5</v>
      </c>
      <c r="BM44" s="4" t="s">
        <v>5</v>
      </c>
      <c r="BN44" s="4" t="s">
        <v>5</v>
      </c>
      <c r="BO44" s="4" t="s">
        <v>5</v>
      </c>
      <c r="BP44" s="4" t="s">
        <v>5</v>
      </c>
      <c r="BQ44" s="4" t="s">
        <v>5</v>
      </c>
      <c r="BR44" s="4" t="s">
        <v>5</v>
      </c>
      <c r="BS44" s="4" t="s">
        <v>5</v>
      </c>
      <c r="BT44" s="4" t="s">
        <v>5</v>
      </c>
      <c r="BU44" s="4" t="s">
        <v>5</v>
      </c>
      <c r="BV44" s="4" t="s">
        <v>5</v>
      </c>
      <c r="BW44" s="4" t="s">
        <v>5</v>
      </c>
      <c r="BX44" s="4" t="s">
        <v>5</v>
      </c>
      <c r="BY44" s="4" t="s">
        <v>5</v>
      </c>
      <c r="BZ44" s="4" t="s">
        <v>5</v>
      </c>
      <c r="CA44" s="4" t="s">
        <v>5</v>
      </c>
      <c r="CB44" s="4" t="s">
        <v>5</v>
      </c>
      <c r="CC44" s="4" t="s">
        <v>5</v>
      </c>
      <c r="CD44" s="4" t="s">
        <v>5</v>
      </c>
      <c r="CE44" s="4" t="s">
        <v>5</v>
      </c>
      <c r="CF44" s="4" t="s">
        <v>5</v>
      </c>
      <c r="CG44" s="4" t="s">
        <v>5</v>
      </c>
    </row>
    <row r="45" spans="1:85" x14ac:dyDescent="0.25">
      <c r="A45" s="13" t="str">
        <f>IF(AND($E45="",MAX($A$8:$A44)=0),"",IF(AND($E45&lt;&gt;"",MAX($A$8:$A44)=0),1,IF(AND($E45&lt;&gt;"",MAX($A$8:$A44)&gt;0),MAX($A$8:$A44)+1,"")))</f>
        <v/>
      </c>
      <c r="B45" s="11">
        <v>38</v>
      </c>
      <c r="C45" s="19" t="str">
        <f t="shared" si="0"/>
        <v>EMPTY</v>
      </c>
      <c r="D45" s="3" t="str">
        <f t="shared" si="1"/>
        <v/>
      </c>
      <c r="E45" s="7"/>
      <c r="F45" s="8" t="str">
        <f t="shared" si="2"/>
        <v/>
      </c>
      <c r="I45" s="4" t="s">
        <v>5</v>
      </c>
      <c r="J45" s="4" t="s">
        <v>5</v>
      </c>
      <c r="K45" s="4" t="s">
        <v>5</v>
      </c>
      <c r="L45" s="4" t="s">
        <v>5</v>
      </c>
      <c r="M45" s="4" t="s">
        <v>5</v>
      </c>
      <c r="N45" s="4" t="s">
        <v>5</v>
      </c>
      <c r="O45" s="4" t="s">
        <v>5</v>
      </c>
      <c r="P45" s="4" t="s">
        <v>5</v>
      </c>
      <c r="Q45" s="4" t="s">
        <v>5</v>
      </c>
      <c r="R45" s="4" t="s">
        <v>5</v>
      </c>
      <c r="S45" s="4" t="s">
        <v>5</v>
      </c>
      <c r="T45" s="4" t="s">
        <v>5</v>
      </c>
      <c r="U45" s="4" t="s">
        <v>5</v>
      </c>
      <c r="V45" s="4" t="s">
        <v>5</v>
      </c>
      <c r="W45" s="4" t="s">
        <v>5</v>
      </c>
      <c r="X45" s="4" t="s">
        <v>5</v>
      </c>
      <c r="Y45" s="4" t="s">
        <v>5</v>
      </c>
      <c r="Z45" s="4" t="s">
        <v>5</v>
      </c>
      <c r="AA45" s="4" t="s">
        <v>5</v>
      </c>
      <c r="AB45" s="4" t="s">
        <v>5</v>
      </c>
      <c r="AC45" s="4" t="s">
        <v>5</v>
      </c>
      <c r="AD45" s="4" t="s">
        <v>5</v>
      </c>
      <c r="AE45" s="4" t="s">
        <v>5</v>
      </c>
      <c r="AF45" s="4" t="s">
        <v>5</v>
      </c>
      <c r="AG45" s="4" t="s">
        <v>5</v>
      </c>
      <c r="AH45" s="4" t="s">
        <v>5</v>
      </c>
      <c r="AI45" s="4" t="s">
        <v>5</v>
      </c>
      <c r="AJ45" s="4" t="s">
        <v>5</v>
      </c>
      <c r="AK45" s="4" t="s">
        <v>5</v>
      </c>
      <c r="AL45" s="4" t="s">
        <v>5</v>
      </c>
      <c r="AM45" s="4" t="s">
        <v>5</v>
      </c>
      <c r="AN45" s="4" t="s">
        <v>5</v>
      </c>
      <c r="AO45" s="4" t="s">
        <v>5</v>
      </c>
      <c r="AP45" s="4" t="s">
        <v>5</v>
      </c>
      <c r="AQ45" s="4" t="s">
        <v>5</v>
      </c>
      <c r="AR45" s="4" t="s">
        <v>5</v>
      </c>
      <c r="AS45" s="4" t="s">
        <v>5</v>
      </c>
      <c r="AT45" s="4" t="s">
        <v>5</v>
      </c>
      <c r="AU45" s="4" t="s">
        <v>5</v>
      </c>
      <c r="AV45" s="4" t="s">
        <v>5</v>
      </c>
      <c r="AW45" s="4" t="s">
        <v>5</v>
      </c>
      <c r="AX45" s="4" t="s">
        <v>5</v>
      </c>
      <c r="AY45" s="4" t="s">
        <v>5</v>
      </c>
      <c r="BA45" s="4" t="s">
        <v>5</v>
      </c>
      <c r="BB45" s="4" t="s">
        <v>5</v>
      </c>
      <c r="BC45" s="4" t="s">
        <v>5</v>
      </c>
      <c r="BD45" s="4" t="s">
        <v>5</v>
      </c>
      <c r="BE45" s="4" t="s">
        <v>5</v>
      </c>
      <c r="BF45" s="4" t="s">
        <v>5</v>
      </c>
      <c r="BG45" s="4" t="s">
        <v>5</v>
      </c>
      <c r="BH45" s="4" t="s">
        <v>5</v>
      </c>
      <c r="BI45" s="4" t="s">
        <v>5</v>
      </c>
      <c r="BJ45" s="4" t="s">
        <v>5</v>
      </c>
      <c r="BK45" s="4" t="s">
        <v>5</v>
      </c>
      <c r="BL45" s="4" t="s">
        <v>5</v>
      </c>
      <c r="BM45" s="4" t="s">
        <v>5</v>
      </c>
      <c r="BN45" s="4" t="s">
        <v>5</v>
      </c>
      <c r="BO45" s="4" t="s">
        <v>5</v>
      </c>
      <c r="BP45" s="4" t="s">
        <v>5</v>
      </c>
      <c r="BQ45" s="4" t="s">
        <v>5</v>
      </c>
      <c r="BR45" s="4" t="s">
        <v>5</v>
      </c>
      <c r="BS45" s="4" t="s">
        <v>5</v>
      </c>
      <c r="BT45" s="4" t="s">
        <v>5</v>
      </c>
      <c r="BU45" s="4" t="s">
        <v>5</v>
      </c>
      <c r="BV45" s="4" t="s">
        <v>5</v>
      </c>
      <c r="BW45" s="4" t="s">
        <v>5</v>
      </c>
      <c r="BX45" s="4" t="s">
        <v>5</v>
      </c>
      <c r="BY45" s="4" t="s">
        <v>5</v>
      </c>
      <c r="BZ45" s="4" t="s">
        <v>5</v>
      </c>
      <c r="CA45" s="4" t="s">
        <v>5</v>
      </c>
      <c r="CB45" s="4" t="s">
        <v>5</v>
      </c>
      <c r="CC45" s="4" t="s">
        <v>5</v>
      </c>
      <c r="CD45" s="4" t="s">
        <v>5</v>
      </c>
      <c r="CE45" s="4" t="s">
        <v>5</v>
      </c>
      <c r="CF45" s="4" t="s">
        <v>5</v>
      </c>
      <c r="CG45" s="4" t="s">
        <v>5</v>
      </c>
    </row>
    <row r="46" spans="1:85" x14ac:dyDescent="0.25">
      <c r="A46" s="13" t="str">
        <f>IF(AND($E46="",MAX($A$8:$A45)=0),"",IF(AND($E46&lt;&gt;"",MAX($A$8:$A45)=0),1,IF(AND($E46&lt;&gt;"",MAX($A$8:$A45)&gt;0),MAX($A$8:$A45)+1,"")))</f>
        <v/>
      </c>
      <c r="B46" s="11">
        <v>39</v>
      </c>
      <c r="C46" s="19" t="str">
        <f t="shared" si="0"/>
        <v>EMPTY</v>
      </c>
      <c r="D46" s="3" t="str">
        <f t="shared" si="1"/>
        <v/>
      </c>
      <c r="E46" s="7"/>
      <c r="F46" s="8" t="str">
        <f t="shared" si="2"/>
        <v/>
      </c>
      <c r="I46" s="4" t="s">
        <v>5</v>
      </c>
      <c r="J46" s="4" t="s">
        <v>5</v>
      </c>
      <c r="K46" s="4" t="s">
        <v>5</v>
      </c>
      <c r="L46" s="4" t="s">
        <v>5</v>
      </c>
      <c r="M46" s="4" t="s">
        <v>5</v>
      </c>
      <c r="N46" s="4" t="s">
        <v>5</v>
      </c>
      <c r="O46" s="4" t="s">
        <v>5</v>
      </c>
      <c r="P46" s="4" t="s">
        <v>5</v>
      </c>
      <c r="Q46" s="4" t="s">
        <v>5</v>
      </c>
      <c r="R46" s="4" t="s">
        <v>5</v>
      </c>
      <c r="S46" s="4" t="s">
        <v>5</v>
      </c>
      <c r="T46" s="4" t="s">
        <v>5</v>
      </c>
      <c r="U46" s="4" t="s">
        <v>5</v>
      </c>
      <c r="V46" s="4" t="s">
        <v>5</v>
      </c>
      <c r="W46" s="4" t="s">
        <v>5</v>
      </c>
      <c r="X46" s="4" t="s">
        <v>5</v>
      </c>
      <c r="Y46" s="4" t="s">
        <v>5</v>
      </c>
      <c r="Z46" s="4" t="s">
        <v>5</v>
      </c>
      <c r="AA46" s="4" t="s">
        <v>5</v>
      </c>
      <c r="AB46" s="4" t="s">
        <v>5</v>
      </c>
      <c r="AC46" s="4" t="s">
        <v>5</v>
      </c>
      <c r="AD46" s="4" t="s">
        <v>5</v>
      </c>
      <c r="AE46" s="4" t="s">
        <v>5</v>
      </c>
      <c r="AF46" s="4" t="s">
        <v>5</v>
      </c>
      <c r="AG46" s="4" t="s">
        <v>5</v>
      </c>
      <c r="AH46" s="4" t="s">
        <v>5</v>
      </c>
      <c r="AI46" s="4" t="s">
        <v>5</v>
      </c>
      <c r="AJ46" s="4" t="s">
        <v>5</v>
      </c>
      <c r="AK46" s="4" t="s">
        <v>5</v>
      </c>
      <c r="AL46" s="4" t="s">
        <v>5</v>
      </c>
      <c r="AM46" s="4" t="s">
        <v>5</v>
      </c>
      <c r="AN46" s="4" t="s">
        <v>5</v>
      </c>
      <c r="AO46" s="4" t="s">
        <v>5</v>
      </c>
      <c r="AP46" s="4" t="s">
        <v>5</v>
      </c>
      <c r="AQ46" s="4" t="s">
        <v>5</v>
      </c>
      <c r="AR46" s="4" t="s">
        <v>5</v>
      </c>
      <c r="AS46" s="4" t="s">
        <v>5</v>
      </c>
      <c r="AT46" s="4" t="s">
        <v>5</v>
      </c>
      <c r="AU46" s="4" t="s">
        <v>5</v>
      </c>
      <c r="AV46" s="4" t="s">
        <v>5</v>
      </c>
      <c r="AW46" s="4" t="s">
        <v>5</v>
      </c>
      <c r="AX46" s="4" t="s">
        <v>5</v>
      </c>
      <c r="AY46" s="4" t="s">
        <v>5</v>
      </c>
      <c r="BA46" s="4" t="s">
        <v>5</v>
      </c>
      <c r="BB46" s="4" t="s">
        <v>5</v>
      </c>
      <c r="BC46" s="4" t="s">
        <v>5</v>
      </c>
      <c r="BD46" s="4" t="s">
        <v>5</v>
      </c>
      <c r="BE46" s="4" t="s">
        <v>5</v>
      </c>
      <c r="BF46" s="4" t="s">
        <v>5</v>
      </c>
      <c r="BH46" s="4" t="s">
        <v>5</v>
      </c>
      <c r="BI46" s="4" t="s">
        <v>5</v>
      </c>
      <c r="BJ46" s="4" t="s">
        <v>5</v>
      </c>
      <c r="BK46" s="4" t="s">
        <v>5</v>
      </c>
      <c r="BL46" s="4" t="s">
        <v>5</v>
      </c>
      <c r="BM46" s="4" t="s">
        <v>5</v>
      </c>
      <c r="BN46" s="4" t="s">
        <v>5</v>
      </c>
      <c r="BO46" s="4" t="s">
        <v>5</v>
      </c>
      <c r="BP46" s="4" t="s">
        <v>5</v>
      </c>
      <c r="BQ46" s="4" t="s">
        <v>5</v>
      </c>
      <c r="BR46" s="4" t="s">
        <v>5</v>
      </c>
      <c r="BS46" s="4" t="s">
        <v>5</v>
      </c>
      <c r="BT46" s="4" t="s">
        <v>5</v>
      </c>
      <c r="BU46" s="4" t="s">
        <v>5</v>
      </c>
      <c r="BV46" s="4" t="s">
        <v>5</v>
      </c>
      <c r="BW46" s="4" t="s">
        <v>5</v>
      </c>
      <c r="BX46" s="4" t="s">
        <v>5</v>
      </c>
      <c r="BY46" s="4" t="s">
        <v>5</v>
      </c>
      <c r="BZ46" s="4" t="s">
        <v>5</v>
      </c>
      <c r="CA46" s="4" t="s">
        <v>5</v>
      </c>
      <c r="CB46" s="4" t="s">
        <v>5</v>
      </c>
      <c r="CC46" s="4" t="s">
        <v>5</v>
      </c>
      <c r="CD46" s="4" t="s">
        <v>5</v>
      </c>
      <c r="CE46" s="4" t="s">
        <v>5</v>
      </c>
      <c r="CF46" s="4" t="s">
        <v>5</v>
      </c>
      <c r="CG46" s="4" t="s">
        <v>5</v>
      </c>
    </row>
    <row r="47" spans="1:85" x14ac:dyDescent="0.25">
      <c r="A47" s="13" t="str">
        <f>IF(AND($E47="",MAX($A$8:$A46)=0),"",IF(AND($E47&lt;&gt;"",MAX($A$8:$A46)=0),1,IF(AND($E47&lt;&gt;"",MAX($A$8:$A46)&gt;0),MAX($A$8:$A46)+1,"")))</f>
        <v/>
      </c>
      <c r="B47" s="11">
        <v>40</v>
      </c>
      <c r="C47" s="19" t="str">
        <f t="shared" si="0"/>
        <v>EMPTY</v>
      </c>
      <c r="D47" s="3" t="str">
        <f t="shared" si="1"/>
        <v/>
      </c>
      <c r="E47" s="7"/>
      <c r="F47" s="8" t="str">
        <f t="shared" si="2"/>
        <v/>
      </c>
      <c r="I47" s="4" t="s">
        <v>5</v>
      </c>
      <c r="J47" s="4" t="s">
        <v>5</v>
      </c>
      <c r="K47" s="4" t="s">
        <v>5</v>
      </c>
      <c r="L47" s="4" t="s">
        <v>5</v>
      </c>
      <c r="M47" s="4" t="s">
        <v>5</v>
      </c>
      <c r="N47" s="4" t="s">
        <v>5</v>
      </c>
      <c r="O47" s="4" t="s">
        <v>5</v>
      </c>
      <c r="P47" s="4" t="s">
        <v>5</v>
      </c>
      <c r="Q47" s="4" t="s">
        <v>5</v>
      </c>
      <c r="R47" s="4" t="s">
        <v>5</v>
      </c>
      <c r="S47" s="4" t="s">
        <v>5</v>
      </c>
      <c r="T47" s="4" t="s">
        <v>5</v>
      </c>
      <c r="U47" s="4" t="s">
        <v>5</v>
      </c>
      <c r="V47" s="4" t="s">
        <v>5</v>
      </c>
      <c r="W47" s="4" t="s">
        <v>5</v>
      </c>
      <c r="X47" s="4" t="s">
        <v>5</v>
      </c>
      <c r="Y47" s="4" t="s">
        <v>5</v>
      </c>
      <c r="Z47" s="4" t="s">
        <v>5</v>
      </c>
      <c r="AA47" s="4" t="s">
        <v>5</v>
      </c>
      <c r="AB47" s="4" t="s">
        <v>5</v>
      </c>
      <c r="AC47" s="4" t="s">
        <v>5</v>
      </c>
      <c r="AD47" s="4" t="s">
        <v>5</v>
      </c>
      <c r="AE47" s="4" t="s">
        <v>5</v>
      </c>
      <c r="AF47" s="4" t="s">
        <v>5</v>
      </c>
      <c r="AG47" s="4" t="s">
        <v>5</v>
      </c>
      <c r="AH47" s="4" t="s">
        <v>5</v>
      </c>
      <c r="AI47" s="4" t="s">
        <v>5</v>
      </c>
      <c r="AJ47" s="4" t="s">
        <v>5</v>
      </c>
      <c r="AK47" s="4" t="s">
        <v>5</v>
      </c>
      <c r="AL47" s="4" t="s">
        <v>5</v>
      </c>
      <c r="AM47" s="4" t="s">
        <v>5</v>
      </c>
      <c r="AN47" s="4" t="s">
        <v>5</v>
      </c>
      <c r="AO47" s="4" t="s">
        <v>5</v>
      </c>
      <c r="AP47" s="4" t="s">
        <v>5</v>
      </c>
      <c r="AQ47" s="4" t="s">
        <v>5</v>
      </c>
      <c r="AR47" s="4" t="s">
        <v>5</v>
      </c>
      <c r="AS47" s="4" t="s">
        <v>5</v>
      </c>
      <c r="AT47" s="4" t="s">
        <v>5</v>
      </c>
      <c r="AU47" s="4" t="s">
        <v>5</v>
      </c>
      <c r="AV47" s="4" t="s">
        <v>5</v>
      </c>
      <c r="AW47" s="4" t="s">
        <v>5</v>
      </c>
      <c r="AX47" s="4" t="s">
        <v>5</v>
      </c>
      <c r="AY47" s="4" t="s">
        <v>5</v>
      </c>
      <c r="BB47" s="4" t="s">
        <v>5</v>
      </c>
      <c r="BC47" s="4" t="s">
        <v>5</v>
      </c>
      <c r="BD47" s="4" t="s">
        <v>5</v>
      </c>
      <c r="BE47" s="4" t="s">
        <v>5</v>
      </c>
      <c r="BF47" s="4" t="s">
        <v>5</v>
      </c>
      <c r="BH47" s="4" t="s">
        <v>5</v>
      </c>
      <c r="BI47" s="4" t="s">
        <v>5</v>
      </c>
      <c r="BJ47" s="4" t="s">
        <v>5</v>
      </c>
      <c r="BK47" s="4" t="s">
        <v>5</v>
      </c>
      <c r="BL47" s="4" t="s">
        <v>5</v>
      </c>
      <c r="BM47" s="4" t="s">
        <v>5</v>
      </c>
      <c r="BN47" s="4" t="s">
        <v>5</v>
      </c>
      <c r="BO47" s="4" t="s">
        <v>5</v>
      </c>
      <c r="BP47" s="4" t="s">
        <v>5</v>
      </c>
      <c r="BQ47" s="4" t="s">
        <v>5</v>
      </c>
      <c r="BR47" s="4" t="s">
        <v>5</v>
      </c>
      <c r="BS47" s="4" t="s">
        <v>5</v>
      </c>
      <c r="BT47" s="4" t="s">
        <v>5</v>
      </c>
      <c r="BU47" s="4" t="s">
        <v>5</v>
      </c>
      <c r="BV47" s="4" t="s">
        <v>5</v>
      </c>
      <c r="BW47" s="4" t="s">
        <v>5</v>
      </c>
      <c r="BX47" s="4" t="s">
        <v>5</v>
      </c>
      <c r="BY47" s="4" t="s">
        <v>5</v>
      </c>
      <c r="BZ47" s="4" t="s">
        <v>5</v>
      </c>
      <c r="CA47" s="4" t="s">
        <v>5</v>
      </c>
      <c r="CB47" s="4" t="s">
        <v>5</v>
      </c>
      <c r="CC47" s="4" t="s">
        <v>5</v>
      </c>
      <c r="CD47" s="4" t="s">
        <v>5</v>
      </c>
      <c r="CE47" s="4" t="s">
        <v>5</v>
      </c>
      <c r="CF47" s="4" t="s">
        <v>5</v>
      </c>
      <c r="CG47" s="4" t="s">
        <v>5</v>
      </c>
    </row>
    <row r="48" spans="1:85" x14ac:dyDescent="0.25">
      <c r="A48" s="13" t="str">
        <f>IF(AND($E48="",MAX($A$8:$A47)=0),"",IF(AND($E48&lt;&gt;"",MAX($A$8:$A47)=0),1,IF(AND($E48&lt;&gt;"",MAX($A$8:$A47)&gt;0),MAX($A$8:$A47)+1,"")))</f>
        <v/>
      </c>
      <c r="B48" s="11">
        <v>41</v>
      </c>
      <c r="C48" s="19" t="str">
        <f t="shared" si="0"/>
        <v>EMPTY</v>
      </c>
      <c r="D48" s="3" t="str">
        <f t="shared" si="1"/>
        <v/>
      </c>
      <c r="E48" s="7"/>
      <c r="F48" s="8" t="str">
        <f t="shared" si="2"/>
        <v/>
      </c>
      <c r="I48" s="4" t="s">
        <v>5</v>
      </c>
      <c r="J48" s="4" t="s">
        <v>5</v>
      </c>
      <c r="K48" s="4" t="s">
        <v>5</v>
      </c>
      <c r="L48" s="4" t="s">
        <v>5</v>
      </c>
      <c r="M48" s="4" t="s">
        <v>5</v>
      </c>
      <c r="N48" s="4" t="s">
        <v>5</v>
      </c>
      <c r="O48" s="4" t="s">
        <v>5</v>
      </c>
      <c r="P48" s="4" t="s">
        <v>5</v>
      </c>
      <c r="Q48" s="4" t="s">
        <v>5</v>
      </c>
      <c r="R48" s="4" t="s">
        <v>5</v>
      </c>
      <c r="S48" s="4" t="s">
        <v>5</v>
      </c>
      <c r="T48" s="4" t="s">
        <v>5</v>
      </c>
      <c r="U48" s="4" t="s">
        <v>5</v>
      </c>
      <c r="V48" s="4" t="s">
        <v>5</v>
      </c>
      <c r="W48" s="4" t="s">
        <v>5</v>
      </c>
      <c r="X48" s="4" t="s">
        <v>5</v>
      </c>
      <c r="Y48" s="4" t="s">
        <v>5</v>
      </c>
      <c r="Z48" s="4" t="s">
        <v>5</v>
      </c>
      <c r="AA48" s="4" t="s">
        <v>5</v>
      </c>
      <c r="AB48" s="4" t="s">
        <v>5</v>
      </c>
      <c r="AC48" s="4" t="s">
        <v>5</v>
      </c>
      <c r="AD48" s="4" t="s">
        <v>5</v>
      </c>
      <c r="AE48" s="4" t="s">
        <v>5</v>
      </c>
      <c r="AF48" s="4" t="s">
        <v>5</v>
      </c>
      <c r="AG48" s="4" t="s">
        <v>5</v>
      </c>
      <c r="AH48" s="4" t="s">
        <v>5</v>
      </c>
      <c r="AI48" s="4" t="s">
        <v>5</v>
      </c>
      <c r="AJ48" s="4" t="s">
        <v>5</v>
      </c>
      <c r="AK48" s="4" t="s">
        <v>5</v>
      </c>
      <c r="AL48" s="4" t="s">
        <v>5</v>
      </c>
      <c r="AM48" s="4" t="s">
        <v>5</v>
      </c>
      <c r="AN48" s="4" t="s">
        <v>5</v>
      </c>
      <c r="AO48" s="4" t="s">
        <v>5</v>
      </c>
      <c r="AP48" s="4" t="s">
        <v>5</v>
      </c>
      <c r="AQ48" s="4" t="s">
        <v>5</v>
      </c>
      <c r="AR48" s="4" t="s">
        <v>5</v>
      </c>
      <c r="AS48" s="4" t="s">
        <v>5</v>
      </c>
      <c r="AU48" s="4" t="s">
        <v>5</v>
      </c>
      <c r="AV48" s="4" t="s">
        <v>5</v>
      </c>
      <c r="AW48" s="4" t="s">
        <v>5</v>
      </c>
      <c r="AX48" s="4" t="s">
        <v>5</v>
      </c>
      <c r="AY48" s="4" t="s">
        <v>5</v>
      </c>
      <c r="BB48" s="4" t="s">
        <v>5</v>
      </c>
      <c r="BC48" s="4" t="s">
        <v>5</v>
      </c>
      <c r="BD48" s="4" t="s">
        <v>5</v>
      </c>
      <c r="BF48" s="4" t="s">
        <v>5</v>
      </c>
      <c r="BH48" s="4" t="s">
        <v>5</v>
      </c>
      <c r="BI48" s="4" t="s">
        <v>5</v>
      </c>
      <c r="BJ48" s="4" t="s">
        <v>5</v>
      </c>
      <c r="BK48" s="4" t="s">
        <v>5</v>
      </c>
      <c r="BL48" s="4" t="s">
        <v>5</v>
      </c>
      <c r="BM48" s="4" t="s">
        <v>5</v>
      </c>
      <c r="BN48" s="4" t="s">
        <v>5</v>
      </c>
      <c r="BO48" s="4" t="s">
        <v>5</v>
      </c>
      <c r="BP48" s="4" t="s">
        <v>5</v>
      </c>
      <c r="BQ48" s="4" t="s">
        <v>5</v>
      </c>
      <c r="BR48" s="4" t="s">
        <v>5</v>
      </c>
      <c r="BS48" s="4" t="s">
        <v>5</v>
      </c>
      <c r="BT48" s="4" t="s">
        <v>5</v>
      </c>
      <c r="BU48" s="4" t="s">
        <v>5</v>
      </c>
      <c r="BV48" s="4" t="s">
        <v>5</v>
      </c>
      <c r="BW48" s="4" t="s">
        <v>5</v>
      </c>
      <c r="BX48" s="4" t="s">
        <v>5</v>
      </c>
      <c r="BY48" s="4" t="s">
        <v>5</v>
      </c>
      <c r="BZ48" s="4" t="s">
        <v>5</v>
      </c>
      <c r="CA48" s="4" t="s">
        <v>5</v>
      </c>
      <c r="CB48" s="4" t="s">
        <v>5</v>
      </c>
      <c r="CC48" s="4" t="s">
        <v>5</v>
      </c>
      <c r="CD48" s="4" t="s">
        <v>5</v>
      </c>
      <c r="CE48" s="4" t="s">
        <v>5</v>
      </c>
      <c r="CF48" s="4" t="s">
        <v>5</v>
      </c>
      <c r="CG48" s="4" t="s">
        <v>5</v>
      </c>
    </row>
    <row r="49" spans="1:85" x14ac:dyDescent="0.25">
      <c r="A49" s="13" t="str">
        <f>IF(AND($E49="",MAX($A$8:$A48)=0),"",IF(AND($E49&lt;&gt;"",MAX($A$8:$A48)=0),1,IF(AND($E49&lt;&gt;"",MAX($A$8:$A48)&gt;0),MAX($A$8:$A48)+1,"")))</f>
        <v/>
      </c>
      <c r="B49" s="11">
        <v>42</v>
      </c>
      <c r="C49" s="19" t="str">
        <f t="shared" si="0"/>
        <v>EMPTY</v>
      </c>
      <c r="D49" s="3" t="str">
        <f t="shared" si="1"/>
        <v/>
      </c>
      <c r="E49" s="7"/>
      <c r="F49" s="8" t="str">
        <f t="shared" si="2"/>
        <v/>
      </c>
      <c r="I49" s="4" t="s">
        <v>5</v>
      </c>
      <c r="J49" s="4" t="s">
        <v>5</v>
      </c>
      <c r="K49" s="4" t="s">
        <v>5</v>
      </c>
      <c r="L49" s="4" t="s">
        <v>5</v>
      </c>
      <c r="M49" s="4" t="s">
        <v>5</v>
      </c>
      <c r="N49" s="4" t="s">
        <v>5</v>
      </c>
      <c r="O49" s="4" t="s">
        <v>5</v>
      </c>
      <c r="P49" s="4" t="s">
        <v>5</v>
      </c>
      <c r="Q49" s="4" t="s">
        <v>5</v>
      </c>
      <c r="R49" s="4" t="s">
        <v>5</v>
      </c>
      <c r="S49" s="4" t="s">
        <v>5</v>
      </c>
      <c r="T49" s="4" t="s">
        <v>5</v>
      </c>
      <c r="U49" s="4" t="s">
        <v>5</v>
      </c>
      <c r="V49" s="4" t="s">
        <v>5</v>
      </c>
      <c r="W49" s="4" t="s">
        <v>5</v>
      </c>
      <c r="X49" s="4" t="s">
        <v>5</v>
      </c>
      <c r="Y49" s="4" t="s">
        <v>5</v>
      </c>
      <c r="Z49" s="4" t="s">
        <v>5</v>
      </c>
      <c r="AA49" s="4" t="s">
        <v>5</v>
      </c>
      <c r="AB49" s="4" t="s">
        <v>5</v>
      </c>
      <c r="AC49" s="4" t="s">
        <v>5</v>
      </c>
      <c r="AD49" s="4" t="s">
        <v>5</v>
      </c>
      <c r="AE49" s="4" t="s">
        <v>5</v>
      </c>
      <c r="AF49" s="4" t="s">
        <v>5</v>
      </c>
      <c r="AG49" s="4" t="s">
        <v>5</v>
      </c>
      <c r="AH49" s="4" t="s">
        <v>5</v>
      </c>
      <c r="AI49" s="4" t="s">
        <v>5</v>
      </c>
      <c r="AJ49" s="4" t="s">
        <v>5</v>
      </c>
      <c r="AK49" s="4" t="s">
        <v>5</v>
      </c>
      <c r="AL49" s="4" t="s">
        <v>5</v>
      </c>
      <c r="AM49" s="4" t="s">
        <v>5</v>
      </c>
      <c r="AN49" s="4" t="s">
        <v>5</v>
      </c>
      <c r="AO49" s="4" t="s">
        <v>5</v>
      </c>
      <c r="AP49" s="4" t="s">
        <v>5</v>
      </c>
      <c r="AQ49" s="4" t="s">
        <v>5</v>
      </c>
      <c r="AR49" s="4" t="s">
        <v>5</v>
      </c>
      <c r="AS49" s="4" t="s">
        <v>5</v>
      </c>
      <c r="AU49" s="4" t="s">
        <v>5</v>
      </c>
      <c r="AV49" s="4" t="s">
        <v>5</v>
      </c>
      <c r="AW49" s="4" t="s">
        <v>5</v>
      </c>
      <c r="AX49" s="4" t="s">
        <v>5</v>
      </c>
      <c r="AY49" s="4" t="s">
        <v>5</v>
      </c>
      <c r="BB49" s="4" t="s">
        <v>5</v>
      </c>
      <c r="BC49" s="4" t="s">
        <v>5</v>
      </c>
      <c r="BD49" s="4" t="s">
        <v>5</v>
      </c>
      <c r="BF49" s="4" t="s">
        <v>5</v>
      </c>
      <c r="BH49" s="4" t="s">
        <v>5</v>
      </c>
      <c r="BI49" s="4" t="s">
        <v>5</v>
      </c>
      <c r="BJ49" s="4" t="s">
        <v>5</v>
      </c>
      <c r="BK49" s="4" t="s">
        <v>5</v>
      </c>
      <c r="BL49" s="4" t="s">
        <v>5</v>
      </c>
      <c r="BM49" s="4" t="s">
        <v>5</v>
      </c>
      <c r="BN49" s="4" t="s">
        <v>5</v>
      </c>
      <c r="BO49" s="4" t="s">
        <v>5</v>
      </c>
      <c r="BP49" s="4" t="s">
        <v>5</v>
      </c>
      <c r="BQ49" s="4" t="s">
        <v>5</v>
      </c>
      <c r="BR49" s="4" t="s">
        <v>5</v>
      </c>
      <c r="BS49" s="4" t="s">
        <v>5</v>
      </c>
      <c r="BT49" s="4" t="s">
        <v>5</v>
      </c>
      <c r="BU49" s="4" t="s">
        <v>5</v>
      </c>
      <c r="BV49" s="4" t="s">
        <v>5</v>
      </c>
      <c r="BW49" s="4" t="s">
        <v>5</v>
      </c>
      <c r="BX49" s="4" t="s">
        <v>5</v>
      </c>
      <c r="BY49" s="4" t="s">
        <v>5</v>
      </c>
      <c r="BZ49" s="4" t="s">
        <v>5</v>
      </c>
      <c r="CA49" s="4" t="s">
        <v>5</v>
      </c>
      <c r="CB49" s="4" t="s">
        <v>5</v>
      </c>
      <c r="CC49" s="4" t="s">
        <v>5</v>
      </c>
      <c r="CD49" s="4" t="s">
        <v>5</v>
      </c>
      <c r="CE49" s="4" t="s">
        <v>5</v>
      </c>
      <c r="CF49" s="4" t="s">
        <v>5</v>
      </c>
      <c r="CG49" s="4" t="s">
        <v>5</v>
      </c>
    </row>
    <row r="50" spans="1:85" x14ac:dyDescent="0.25">
      <c r="A50" s="13" t="str">
        <f>IF(AND($E50="",MAX($A$8:$A49)=0),"",IF(AND($E50&lt;&gt;"",MAX($A$8:$A49)=0),1,IF(AND($E50&lt;&gt;"",MAX($A$8:$A49)&gt;0),MAX($A$8:$A49)+1,"")))</f>
        <v/>
      </c>
      <c r="B50" s="11">
        <v>43</v>
      </c>
      <c r="C50" s="19" t="str">
        <f t="shared" si="0"/>
        <v>EMPTY</v>
      </c>
      <c r="D50" s="3" t="str">
        <f t="shared" si="1"/>
        <v/>
      </c>
      <c r="E50" s="7"/>
      <c r="F50" s="8" t="str">
        <f t="shared" si="2"/>
        <v/>
      </c>
      <c r="I50" s="4" t="s">
        <v>5</v>
      </c>
      <c r="J50" s="4" t="s">
        <v>5</v>
      </c>
      <c r="K50" s="4" t="s">
        <v>5</v>
      </c>
      <c r="L50" s="4" t="s">
        <v>5</v>
      </c>
      <c r="M50" s="4" t="s">
        <v>5</v>
      </c>
      <c r="N50" s="4" t="s">
        <v>5</v>
      </c>
      <c r="O50" s="4" t="s">
        <v>5</v>
      </c>
      <c r="P50" s="4" t="s">
        <v>5</v>
      </c>
      <c r="Q50" s="4" t="s">
        <v>5</v>
      </c>
      <c r="R50" s="4" t="s">
        <v>5</v>
      </c>
      <c r="S50" s="4" t="s">
        <v>5</v>
      </c>
      <c r="T50" s="4" t="s">
        <v>5</v>
      </c>
      <c r="U50" s="4" t="s">
        <v>5</v>
      </c>
      <c r="V50" s="4" t="s">
        <v>5</v>
      </c>
      <c r="W50" s="4" t="s">
        <v>5</v>
      </c>
      <c r="X50" s="4" t="s">
        <v>5</v>
      </c>
      <c r="Y50" s="4" t="s">
        <v>5</v>
      </c>
      <c r="Z50" s="4" t="s">
        <v>5</v>
      </c>
      <c r="AA50" s="4" t="s">
        <v>5</v>
      </c>
      <c r="AB50" s="4" t="s">
        <v>5</v>
      </c>
      <c r="AC50" s="4" t="s">
        <v>5</v>
      </c>
      <c r="AD50" s="4" t="s">
        <v>5</v>
      </c>
      <c r="AE50" s="4" t="s">
        <v>5</v>
      </c>
      <c r="AF50" s="4" t="s">
        <v>5</v>
      </c>
      <c r="AG50" s="4" t="s">
        <v>5</v>
      </c>
      <c r="AH50" s="4" t="s">
        <v>5</v>
      </c>
      <c r="AI50" s="4" t="s">
        <v>5</v>
      </c>
      <c r="AJ50" s="4" t="s">
        <v>5</v>
      </c>
      <c r="AK50" s="4" t="s">
        <v>5</v>
      </c>
      <c r="AL50" s="4" t="s">
        <v>5</v>
      </c>
      <c r="AM50" s="4" t="s">
        <v>5</v>
      </c>
      <c r="AN50" s="4" t="s">
        <v>5</v>
      </c>
      <c r="AO50" s="4" t="s">
        <v>5</v>
      </c>
      <c r="AP50" s="4" t="s">
        <v>5</v>
      </c>
      <c r="AQ50" s="4" t="s">
        <v>5</v>
      </c>
      <c r="AR50" s="4" t="s">
        <v>5</v>
      </c>
      <c r="AS50" s="4" t="s">
        <v>5</v>
      </c>
      <c r="AU50" s="4" t="s">
        <v>5</v>
      </c>
      <c r="AV50" s="4" t="s">
        <v>5</v>
      </c>
      <c r="AW50" s="4" t="s">
        <v>5</v>
      </c>
      <c r="AX50" s="4" t="s">
        <v>5</v>
      </c>
      <c r="AY50" s="4" t="s">
        <v>5</v>
      </c>
      <c r="BB50" s="4" t="s">
        <v>5</v>
      </c>
      <c r="BC50" s="4" t="s">
        <v>5</v>
      </c>
      <c r="BD50" s="4" t="s">
        <v>5</v>
      </c>
      <c r="BF50" s="4" t="s">
        <v>5</v>
      </c>
      <c r="BH50" s="4" t="s">
        <v>5</v>
      </c>
      <c r="BI50" s="4" t="s">
        <v>5</v>
      </c>
      <c r="BJ50" s="4" t="s">
        <v>5</v>
      </c>
      <c r="BK50" s="4" t="s">
        <v>5</v>
      </c>
      <c r="BL50" s="4" t="s">
        <v>5</v>
      </c>
      <c r="BM50" s="4" t="s">
        <v>5</v>
      </c>
      <c r="BN50" s="4" t="s">
        <v>5</v>
      </c>
      <c r="BO50" s="4" t="s">
        <v>5</v>
      </c>
      <c r="BP50" s="4" t="s">
        <v>5</v>
      </c>
      <c r="BQ50" s="4" t="s">
        <v>5</v>
      </c>
      <c r="BR50" s="4" t="s">
        <v>5</v>
      </c>
      <c r="BS50" s="4" t="s">
        <v>5</v>
      </c>
      <c r="BT50" s="4" t="s">
        <v>5</v>
      </c>
      <c r="BU50" s="4" t="s">
        <v>5</v>
      </c>
      <c r="BV50" s="4" t="s">
        <v>5</v>
      </c>
      <c r="BW50" s="4" t="s">
        <v>5</v>
      </c>
      <c r="BX50" s="4" t="s">
        <v>5</v>
      </c>
      <c r="BY50" s="4" t="s">
        <v>5</v>
      </c>
      <c r="BZ50" s="4" t="s">
        <v>5</v>
      </c>
      <c r="CA50" s="4" t="s">
        <v>5</v>
      </c>
      <c r="CB50" s="4" t="s">
        <v>5</v>
      </c>
      <c r="CC50" s="4" t="s">
        <v>5</v>
      </c>
      <c r="CD50" s="4" t="s">
        <v>5</v>
      </c>
      <c r="CE50" s="4" t="s">
        <v>5</v>
      </c>
      <c r="CF50" s="4" t="s">
        <v>5</v>
      </c>
      <c r="CG50" s="4" t="s">
        <v>5</v>
      </c>
    </row>
    <row r="51" spans="1:85" x14ac:dyDescent="0.25">
      <c r="A51" s="13" t="str">
        <f>IF(AND($E51="",MAX($A$8:$A50)=0),"",IF(AND($E51&lt;&gt;"",MAX($A$8:$A50)=0),1,IF(AND($E51&lt;&gt;"",MAX($A$8:$A50)&gt;0),MAX($A$8:$A50)+1,"")))</f>
        <v/>
      </c>
      <c r="B51" s="11">
        <v>44</v>
      </c>
      <c r="C51" s="19" t="str">
        <f t="shared" si="0"/>
        <v>EMPTY</v>
      </c>
      <c r="D51" s="3" t="str">
        <f t="shared" si="1"/>
        <v/>
      </c>
      <c r="E51" s="7"/>
      <c r="F51" s="8" t="str">
        <f t="shared" si="2"/>
        <v/>
      </c>
      <c r="I51" s="4" t="s">
        <v>5</v>
      </c>
      <c r="J51" s="4" t="s">
        <v>5</v>
      </c>
      <c r="K51" s="4" t="s">
        <v>5</v>
      </c>
      <c r="L51" s="4" t="s">
        <v>5</v>
      </c>
      <c r="N51" s="4" t="s">
        <v>5</v>
      </c>
      <c r="O51" s="4" t="s">
        <v>5</v>
      </c>
      <c r="P51" s="4" t="s">
        <v>5</v>
      </c>
      <c r="Q51" s="4" t="s">
        <v>5</v>
      </c>
      <c r="R51" s="4" t="s">
        <v>5</v>
      </c>
      <c r="S51" s="4" t="s">
        <v>5</v>
      </c>
      <c r="T51" s="4" t="s">
        <v>5</v>
      </c>
      <c r="U51" s="4" t="s">
        <v>5</v>
      </c>
      <c r="V51" s="4" t="s">
        <v>5</v>
      </c>
      <c r="W51" s="4" t="s">
        <v>5</v>
      </c>
      <c r="X51" s="4" t="s">
        <v>5</v>
      </c>
      <c r="Y51" s="4" t="s">
        <v>5</v>
      </c>
      <c r="Z51" s="4" t="s">
        <v>5</v>
      </c>
      <c r="AA51" s="4" t="s">
        <v>5</v>
      </c>
      <c r="AB51" s="4" t="s">
        <v>5</v>
      </c>
      <c r="AC51" s="4" t="s">
        <v>5</v>
      </c>
      <c r="AD51" s="4" t="s">
        <v>5</v>
      </c>
      <c r="AE51" s="4" t="s">
        <v>5</v>
      </c>
      <c r="AF51" s="4" t="s">
        <v>5</v>
      </c>
      <c r="AG51" s="4" t="s">
        <v>5</v>
      </c>
      <c r="AH51" s="4" t="s">
        <v>5</v>
      </c>
      <c r="AI51" s="4" t="s">
        <v>5</v>
      </c>
      <c r="AJ51" s="4" t="s">
        <v>5</v>
      </c>
      <c r="AK51" s="4" t="s">
        <v>5</v>
      </c>
      <c r="AL51" s="4" t="s">
        <v>5</v>
      </c>
      <c r="AM51" s="4" t="s">
        <v>5</v>
      </c>
      <c r="AN51" s="4" t="s">
        <v>5</v>
      </c>
      <c r="AO51" s="4" t="s">
        <v>5</v>
      </c>
      <c r="AP51" s="4" t="s">
        <v>5</v>
      </c>
      <c r="AQ51" s="4" t="s">
        <v>5</v>
      </c>
      <c r="AR51" s="4" t="s">
        <v>5</v>
      </c>
      <c r="AS51" s="4" t="s">
        <v>5</v>
      </c>
      <c r="AU51" s="4" t="s">
        <v>5</v>
      </c>
      <c r="AV51" s="4" t="s">
        <v>5</v>
      </c>
      <c r="AW51" s="4" t="s">
        <v>5</v>
      </c>
      <c r="AX51" s="4" t="s">
        <v>5</v>
      </c>
      <c r="AY51" s="4" t="s">
        <v>5</v>
      </c>
      <c r="BB51" s="4" t="s">
        <v>5</v>
      </c>
      <c r="BC51" s="4" t="s">
        <v>5</v>
      </c>
      <c r="BD51" s="4" t="s">
        <v>5</v>
      </c>
      <c r="BF51" s="4" t="s">
        <v>5</v>
      </c>
      <c r="BH51" s="4" t="s">
        <v>5</v>
      </c>
      <c r="BI51" s="4" t="s">
        <v>5</v>
      </c>
      <c r="BJ51" s="4" t="s">
        <v>5</v>
      </c>
      <c r="BK51" s="4" t="s">
        <v>5</v>
      </c>
      <c r="BL51" s="4" t="s">
        <v>5</v>
      </c>
      <c r="BM51" s="4" t="s">
        <v>5</v>
      </c>
      <c r="BN51" s="4" t="s">
        <v>5</v>
      </c>
      <c r="BO51" s="4" t="s">
        <v>5</v>
      </c>
      <c r="BP51" s="4" t="s">
        <v>5</v>
      </c>
      <c r="BQ51" s="4" t="s">
        <v>5</v>
      </c>
      <c r="BR51" s="4" t="s">
        <v>5</v>
      </c>
      <c r="BS51" s="4" t="s">
        <v>5</v>
      </c>
      <c r="BT51" s="4" t="s">
        <v>5</v>
      </c>
      <c r="BU51" s="4" t="s">
        <v>5</v>
      </c>
      <c r="BV51" s="4" t="s">
        <v>5</v>
      </c>
      <c r="BW51" s="4" t="s">
        <v>5</v>
      </c>
      <c r="BX51" s="4" t="s">
        <v>5</v>
      </c>
      <c r="BY51" s="4" t="s">
        <v>5</v>
      </c>
      <c r="BZ51" s="4" t="s">
        <v>5</v>
      </c>
      <c r="CA51" s="4" t="s">
        <v>5</v>
      </c>
      <c r="CB51" s="4" t="s">
        <v>5</v>
      </c>
      <c r="CC51" s="4" t="s">
        <v>5</v>
      </c>
      <c r="CD51" s="4" t="s">
        <v>5</v>
      </c>
      <c r="CE51" s="4" t="s">
        <v>5</v>
      </c>
      <c r="CF51" s="4" t="s">
        <v>5</v>
      </c>
      <c r="CG51" s="4" t="s">
        <v>5</v>
      </c>
    </row>
    <row r="52" spans="1:85" x14ac:dyDescent="0.25">
      <c r="A52" s="13" t="str">
        <f>IF(AND($E52="",MAX($A$8:$A51)=0),"",IF(AND($E52&lt;&gt;"",MAX($A$8:$A51)=0),1,IF(AND($E52&lt;&gt;"",MAX($A$8:$A51)&gt;0),MAX($A$8:$A51)+1,"")))</f>
        <v/>
      </c>
      <c r="B52" s="11">
        <v>45</v>
      </c>
      <c r="C52" s="19" t="str">
        <f t="shared" si="0"/>
        <v>EMPTY</v>
      </c>
      <c r="D52" s="3" t="str">
        <f t="shared" si="1"/>
        <v/>
      </c>
      <c r="E52" s="7"/>
      <c r="F52" s="8" t="str">
        <f t="shared" si="2"/>
        <v/>
      </c>
      <c r="I52" s="4" t="s">
        <v>5</v>
      </c>
      <c r="J52" s="4" t="s">
        <v>5</v>
      </c>
      <c r="K52" s="4" t="s">
        <v>5</v>
      </c>
      <c r="L52" s="4" t="s">
        <v>5</v>
      </c>
      <c r="N52" s="4" t="s">
        <v>5</v>
      </c>
      <c r="O52" s="4" t="s">
        <v>5</v>
      </c>
      <c r="P52" s="4" t="s">
        <v>5</v>
      </c>
      <c r="Q52" s="4" t="s">
        <v>5</v>
      </c>
      <c r="R52" s="4" t="s">
        <v>5</v>
      </c>
      <c r="S52" s="4" t="s">
        <v>5</v>
      </c>
      <c r="T52" s="4" t="s">
        <v>5</v>
      </c>
      <c r="U52" s="4" t="s">
        <v>5</v>
      </c>
      <c r="V52" s="4" t="s">
        <v>5</v>
      </c>
      <c r="W52" s="4" t="s">
        <v>5</v>
      </c>
      <c r="X52" s="4" t="s">
        <v>5</v>
      </c>
      <c r="Y52" s="4" t="s">
        <v>5</v>
      </c>
      <c r="Z52" s="4" t="s">
        <v>5</v>
      </c>
      <c r="AA52" s="4" t="s">
        <v>5</v>
      </c>
      <c r="AB52" s="4" t="s">
        <v>5</v>
      </c>
      <c r="AC52" s="4" t="s">
        <v>5</v>
      </c>
      <c r="AD52" s="4" t="s">
        <v>5</v>
      </c>
      <c r="AE52" s="4" t="s">
        <v>5</v>
      </c>
      <c r="AF52" s="4" t="s">
        <v>5</v>
      </c>
      <c r="AG52" s="4" t="s">
        <v>5</v>
      </c>
      <c r="AH52" s="4" t="s">
        <v>5</v>
      </c>
      <c r="AI52" s="4" t="s">
        <v>5</v>
      </c>
      <c r="AJ52" s="4" t="s">
        <v>5</v>
      </c>
      <c r="AK52" s="4" t="s">
        <v>5</v>
      </c>
      <c r="AL52" s="4" t="s">
        <v>5</v>
      </c>
      <c r="AM52" s="4" t="s">
        <v>5</v>
      </c>
      <c r="AN52" s="4" t="s">
        <v>5</v>
      </c>
      <c r="AO52" s="4" t="s">
        <v>5</v>
      </c>
      <c r="AP52" s="4" t="s">
        <v>5</v>
      </c>
      <c r="AQ52" s="4" t="s">
        <v>5</v>
      </c>
      <c r="AR52" s="4" t="s">
        <v>5</v>
      </c>
      <c r="AS52" s="4" t="s">
        <v>5</v>
      </c>
      <c r="AU52" s="4" t="s">
        <v>5</v>
      </c>
      <c r="AV52" s="4" t="s">
        <v>5</v>
      </c>
      <c r="AW52" s="4" t="s">
        <v>5</v>
      </c>
      <c r="AX52" s="4" t="s">
        <v>5</v>
      </c>
      <c r="AY52" s="4" t="s">
        <v>5</v>
      </c>
      <c r="BB52" s="4" t="s">
        <v>5</v>
      </c>
      <c r="BC52" s="4" t="s">
        <v>5</v>
      </c>
      <c r="BD52" s="4" t="s">
        <v>5</v>
      </c>
      <c r="BF52" s="4" t="s">
        <v>5</v>
      </c>
      <c r="BH52" s="4" t="s">
        <v>5</v>
      </c>
      <c r="BI52" s="4" t="s">
        <v>5</v>
      </c>
      <c r="BJ52" s="4" t="s">
        <v>5</v>
      </c>
      <c r="BK52" s="4" t="s">
        <v>5</v>
      </c>
      <c r="BL52" s="4" t="s">
        <v>5</v>
      </c>
      <c r="BM52" s="4" t="s">
        <v>5</v>
      </c>
      <c r="BN52" s="4" t="s">
        <v>5</v>
      </c>
      <c r="BO52" s="4" t="s">
        <v>5</v>
      </c>
      <c r="BP52" s="4" t="s">
        <v>5</v>
      </c>
      <c r="BQ52" s="4" t="s">
        <v>5</v>
      </c>
      <c r="BR52" s="4" t="s">
        <v>5</v>
      </c>
      <c r="BS52" s="4" t="s">
        <v>5</v>
      </c>
      <c r="BT52" s="4" t="s">
        <v>5</v>
      </c>
      <c r="BU52" s="4" t="s">
        <v>5</v>
      </c>
      <c r="BV52" s="4" t="s">
        <v>5</v>
      </c>
      <c r="BW52" s="4" t="s">
        <v>5</v>
      </c>
      <c r="BX52" s="4" t="s">
        <v>5</v>
      </c>
      <c r="BY52" s="4" t="s">
        <v>5</v>
      </c>
      <c r="BZ52" s="4" t="s">
        <v>5</v>
      </c>
      <c r="CA52" s="4" t="s">
        <v>5</v>
      </c>
      <c r="CB52" s="4" t="s">
        <v>5</v>
      </c>
      <c r="CC52" s="4" t="s">
        <v>5</v>
      </c>
      <c r="CD52" s="4" t="s">
        <v>5</v>
      </c>
      <c r="CE52" s="4" t="s">
        <v>5</v>
      </c>
      <c r="CF52" s="4" t="s">
        <v>5</v>
      </c>
      <c r="CG52" s="4" t="s">
        <v>5</v>
      </c>
    </row>
    <row r="53" spans="1:85" x14ac:dyDescent="0.25">
      <c r="A53" s="13" t="str">
        <f>IF(AND($E53="",MAX($A$8:$A52)=0),"",IF(AND($E53&lt;&gt;"",MAX($A$8:$A52)=0),1,IF(AND($E53&lt;&gt;"",MAX($A$8:$A52)&gt;0),MAX($A$8:$A52)+1,"")))</f>
        <v/>
      </c>
      <c r="B53" s="11">
        <v>46</v>
      </c>
      <c r="C53" s="19" t="str">
        <f t="shared" si="0"/>
        <v>EMPTY</v>
      </c>
      <c r="D53" s="3" t="str">
        <f t="shared" si="1"/>
        <v/>
      </c>
      <c r="E53" s="7"/>
      <c r="F53" s="8" t="str">
        <f t="shared" si="2"/>
        <v/>
      </c>
      <c r="I53" s="4" t="s">
        <v>5</v>
      </c>
      <c r="J53" s="4" t="s">
        <v>5</v>
      </c>
      <c r="K53" s="4" t="s">
        <v>5</v>
      </c>
      <c r="L53" s="4" t="s">
        <v>5</v>
      </c>
      <c r="N53" s="4" t="s">
        <v>5</v>
      </c>
      <c r="O53" s="4" t="s">
        <v>5</v>
      </c>
      <c r="P53" s="4" t="s">
        <v>5</v>
      </c>
      <c r="Q53" s="4" t="s">
        <v>5</v>
      </c>
      <c r="R53" s="4" t="s">
        <v>5</v>
      </c>
      <c r="S53" s="4" t="s">
        <v>5</v>
      </c>
      <c r="T53" s="4" t="s">
        <v>5</v>
      </c>
      <c r="U53" s="4" t="s">
        <v>5</v>
      </c>
      <c r="V53" s="4" t="s">
        <v>5</v>
      </c>
      <c r="W53" s="4" t="s">
        <v>5</v>
      </c>
      <c r="X53" s="4" t="s">
        <v>5</v>
      </c>
      <c r="Y53" s="4" t="s">
        <v>5</v>
      </c>
      <c r="Z53" s="4" t="s">
        <v>5</v>
      </c>
      <c r="AA53" s="4" t="s">
        <v>5</v>
      </c>
      <c r="AB53" s="4" t="s">
        <v>5</v>
      </c>
      <c r="AC53" s="4" t="s">
        <v>5</v>
      </c>
      <c r="AD53" s="4" t="s">
        <v>5</v>
      </c>
      <c r="AE53" s="4" t="s">
        <v>5</v>
      </c>
      <c r="AF53" s="4" t="s">
        <v>5</v>
      </c>
      <c r="AG53" s="4" t="s">
        <v>5</v>
      </c>
      <c r="AH53" s="4" t="s">
        <v>5</v>
      </c>
      <c r="AI53" s="4" t="s">
        <v>5</v>
      </c>
      <c r="AJ53" s="4" t="s">
        <v>5</v>
      </c>
      <c r="AK53" s="4" t="s">
        <v>5</v>
      </c>
      <c r="AL53" s="4" t="s">
        <v>5</v>
      </c>
      <c r="AM53" s="4" t="s">
        <v>5</v>
      </c>
      <c r="AN53" s="4" t="s">
        <v>5</v>
      </c>
      <c r="AO53" s="4" t="s">
        <v>5</v>
      </c>
      <c r="AP53" s="4" t="s">
        <v>5</v>
      </c>
      <c r="AQ53" s="4" t="s">
        <v>5</v>
      </c>
      <c r="AR53" s="4" t="s">
        <v>5</v>
      </c>
      <c r="AS53" s="4" t="s">
        <v>5</v>
      </c>
      <c r="AU53" s="4" t="s">
        <v>5</v>
      </c>
      <c r="AV53" s="4" t="s">
        <v>5</v>
      </c>
      <c r="AW53" s="4" t="s">
        <v>5</v>
      </c>
      <c r="AX53" s="4" t="s">
        <v>5</v>
      </c>
      <c r="AY53" s="4" t="s">
        <v>5</v>
      </c>
      <c r="BB53" s="4" t="s">
        <v>5</v>
      </c>
      <c r="BC53" s="4" t="s">
        <v>5</v>
      </c>
      <c r="BD53" s="4" t="s">
        <v>5</v>
      </c>
      <c r="BF53" s="4" t="s">
        <v>5</v>
      </c>
      <c r="BH53" s="4" t="s">
        <v>5</v>
      </c>
      <c r="BI53" s="4" t="s">
        <v>5</v>
      </c>
      <c r="BJ53" s="4" t="s">
        <v>5</v>
      </c>
      <c r="BK53" s="4" t="s">
        <v>5</v>
      </c>
      <c r="BL53" s="4" t="s">
        <v>5</v>
      </c>
      <c r="BM53" s="4" t="s">
        <v>5</v>
      </c>
      <c r="BN53" s="4" t="s">
        <v>5</v>
      </c>
      <c r="BO53" s="4" t="s">
        <v>5</v>
      </c>
      <c r="BP53" s="4" t="s">
        <v>5</v>
      </c>
      <c r="BQ53" s="4" t="s">
        <v>5</v>
      </c>
      <c r="BR53" s="4" t="s">
        <v>5</v>
      </c>
      <c r="BS53" s="4" t="s">
        <v>5</v>
      </c>
      <c r="BT53" s="4" t="s">
        <v>5</v>
      </c>
      <c r="BU53" s="4" t="s">
        <v>5</v>
      </c>
      <c r="BV53" s="4" t="s">
        <v>5</v>
      </c>
      <c r="BW53" s="4" t="s">
        <v>5</v>
      </c>
      <c r="BX53" s="4" t="s">
        <v>5</v>
      </c>
      <c r="BY53" s="4" t="s">
        <v>5</v>
      </c>
      <c r="BZ53" s="4" t="s">
        <v>5</v>
      </c>
      <c r="CA53" s="4" t="s">
        <v>5</v>
      </c>
      <c r="CB53" s="4" t="s">
        <v>5</v>
      </c>
      <c r="CC53" s="4" t="s">
        <v>5</v>
      </c>
      <c r="CD53" s="4" t="s">
        <v>5</v>
      </c>
      <c r="CE53" s="4" t="s">
        <v>5</v>
      </c>
      <c r="CF53" s="4" t="s">
        <v>5</v>
      </c>
      <c r="CG53" s="4" t="s">
        <v>5</v>
      </c>
    </row>
    <row r="54" spans="1:85" x14ac:dyDescent="0.25">
      <c r="A54" s="13" t="str">
        <f>IF(AND($E54="",MAX($A$8:$A53)=0),"",IF(AND($E54&lt;&gt;"",MAX($A$8:$A53)=0),1,IF(AND($E54&lt;&gt;"",MAX($A$8:$A53)&gt;0),MAX($A$8:$A53)+1,"")))</f>
        <v/>
      </c>
      <c r="B54" s="11">
        <v>47</v>
      </c>
      <c r="C54" s="19" t="str">
        <f t="shared" si="0"/>
        <v>EMPTY</v>
      </c>
      <c r="D54" s="3" t="str">
        <f t="shared" si="1"/>
        <v/>
      </c>
      <c r="E54" s="7"/>
      <c r="F54" s="8" t="str">
        <f t="shared" si="2"/>
        <v/>
      </c>
      <c r="I54" s="4" t="s">
        <v>5</v>
      </c>
      <c r="J54" s="4" t="s">
        <v>5</v>
      </c>
      <c r="K54" s="4" t="s">
        <v>5</v>
      </c>
      <c r="L54" s="4" t="s">
        <v>5</v>
      </c>
      <c r="N54" s="4" t="s">
        <v>5</v>
      </c>
      <c r="O54" s="4" t="s">
        <v>5</v>
      </c>
      <c r="P54" s="4" t="s">
        <v>5</v>
      </c>
      <c r="Q54" s="4" t="s">
        <v>5</v>
      </c>
      <c r="R54" s="4" t="s">
        <v>5</v>
      </c>
      <c r="S54" s="4" t="s">
        <v>5</v>
      </c>
      <c r="T54" s="4" t="s">
        <v>5</v>
      </c>
      <c r="U54" s="4" t="s">
        <v>5</v>
      </c>
      <c r="V54" s="4" t="s">
        <v>5</v>
      </c>
      <c r="W54" s="4" t="s">
        <v>5</v>
      </c>
      <c r="X54" s="4" t="s">
        <v>5</v>
      </c>
      <c r="Y54" s="4" t="s">
        <v>5</v>
      </c>
      <c r="Z54" s="4" t="s">
        <v>5</v>
      </c>
      <c r="AA54" s="4" t="s">
        <v>5</v>
      </c>
      <c r="AB54" s="4" t="s">
        <v>5</v>
      </c>
      <c r="AC54" s="4" t="s">
        <v>5</v>
      </c>
      <c r="AD54" s="4" t="s">
        <v>5</v>
      </c>
      <c r="AE54" s="4" t="s">
        <v>5</v>
      </c>
      <c r="AF54" s="4" t="s">
        <v>5</v>
      </c>
      <c r="AG54" s="4" t="s">
        <v>5</v>
      </c>
      <c r="AH54" s="4" t="s">
        <v>5</v>
      </c>
      <c r="AI54" s="4" t="s">
        <v>5</v>
      </c>
      <c r="AJ54" s="4" t="s">
        <v>5</v>
      </c>
      <c r="AK54" s="4" t="s">
        <v>5</v>
      </c>
      <c r="AL54" s="4" t="s">
        <v>5</v>
      </c>
      <c r="AM54" s="4" t="s">
        <v>5</v>
      </c>
      <c r="AN54" s="4" t="s">
        <v>5</v>
      </c>
      <c r="AO54" s="4" t="s">
        <v>5</v>
      </c>
      <c r="AP54" s="4" t="s">
        <v>5</v>
      </c>
      <c r="AQ54" s="4" t="s">
        <v>5</v>
      </c>
      <c r="AR54" s="4" t="s">
        <v>5</v>
      </c>
      <c r="AS54" s="4" t="s">
        <v>5</v>
      </c>
      <c r="AU54" s="4" t="s">
        <v>5</v>
      </c>
      <c r="AV54" s="4" t="s">
        <v>5</v>
      </c>
      <c r="AW54" s="4" t="s">
        <v>5</v>
      </c>
      <c r="AX54" s="4" t="s">
        <v>5</v>
      </c>
      <c r="AY54" s="4" t="s">
        <v>5</v>
      </c>
      <c r="BB54" s="4" t="s">
        <v>5</v>
      </c>
      <c r="BC54" s="4" t="s">
        <v>5</v>
      </c>
      <c r="BD54" s="4" t="s">
        <v>5</v>
      </c>
      <c r="BH54" s="4" t="s">
        <v>5</v>
      </c>
      <c r="BI54" s="4" t="s">
        <v>5</v>
      </c>
      <c r="BJ54" s="4" t="s">
        <v>5</v>
      </c>
      <c r="BK54" s="4" t="s">
        <v>5</v>
      </c>
      <c r="BL54" s="4" t="s">
        <v>5</v>
      </c>
      <c r="BM54" s="4" t="s">
        <v>5</v>
      </c>
      <c r="BN54" s="4" t="s">
        <v>5</v>
      </c>
      <c r="BO54" s="4" t="s">
        <v>5</v>
      </c>
      <c r="BP54" s="4" t="s">
        <v>5</v>
      </c>
      <c r="BQ54" s="4" t="s">
        <v>5</v>
      </c>
      <c r="BR54" s="4" t="s">
        <v>5</v>
      </c>
      <c r="BS54" s="4" t="s">
        <v>5</v>
      </c>
      <c r="BT54" s="4" t="s">
        <v>5</v>
      </c>
      <c r="BU54" s="4" t="s">
        <v>5</v>
      </c>
      <c r="BV54" s="4" t="s">
        <v>5</v>
      </c>
      <c r="BW54" s="4" t="s">
        <v>5</v>
      </c>
      <c r="BX54" s="4" t="s">
        <v>5</v>
      </c>
      <c r="BY54" s="4" t="s">
        <v>5</v>
      </c>
      <c r="BZ54" s="4" t="s">
        <v>5</v>
      </c>
      <c r="CA54" s="4" t="s">
        <v>5</v>
      </c>
      <c r="CB54" s="4" t="s">
        <v>5</v>
      </c>
      <c r="CC54" s="4" t="s">
        <v>5</v>
      </c>
      <c r="CD54" s="4" t="s">
        <v>5</v>
      </c>
      <c r="CE54" s="4" t="s">
        <v>5</v>
      </c>
      <c r="CF54" s="4" t="s">
        <v>5</v>
      </c>
      <c r="CG54" s="4" t="s">
        <v>5</v>
      </c>
    </row>
    <row r="55" spans="1:85" x14ac:dyDescent="0.25">
      <c r="A55" s="13" t="str">
        <f>IF(AND($E55="",MAX($A$8:$A54)=0),"",IF(AND($E55&lt;&gt;"",MAX($A$8:$A54)=0),1,IF(AND($E55&lt;&gt;"",MAX($A$8:$A54)&gt;0),MAX($A$8:$A54)+1,"")))</f>
        <v/>
      </c>
      <c r="B55" s="11">
        <v>48</v>
      </c>
      <c r="C55" s="19" t="str">
        <f t="shared" si="0"/>
        <v>EMPTY</v>
      </c>
      <c r="D55" s="3" t="str">
        <f t="shared" si="1"/>
        <v/>
      </c>
      <c r="E55" s="7"/>
      <c r="F55" s="8" t="str">
        <f t="shared" si="2"/>
        <v/>
      </c>
      <c r="I55" s="4" t="s">
        <v>5</v>
      </c>
      <c r="J55" s="4" t="s">
        <v>5</v>
      </c>
      <c r="K55" s="4" t="s">
        <v>5</v>
      </c>
      <c r="L55" s="4" t="s">
        <v>5</v>
      </c>
      <c r="N55" s="4" t="s">
        <v>5</v>
      </c>
      <c r="O55" s="4" t="s">
        <v>5</v>
      </c>
      <c r="P55" s="4" t="s">
        <v>5</v>
      </c>
      <c r="Q55" s="4" t="s">
        <v>5</v>
      </c>
      <c r="R55" s="4" t="s">
        <v>5</v>
      </c>
      <c r="S55" s="4" t="s">
        <v>5</v>
      </c>
      <c r="T55" s="4" t="s">
        <v>5</v>
      </c>
      <c r="U55" s="4" t="s">
        <v>5</v>
      </c>
      <c r="V55" s="4" t="s">
        <v>5</v>
      </c>
      <c r="W55" s="4" t="s">
        <v>5</v>
      </c>
      <c r="X55" s="4" t="s">
        <v>5</v>
      </c>
      <c r="Y55" s="4" t="s">
        <v>5</v>
      </c>
      <c r="Z55" s="4" t="s">
        <v>5</v>
      </c>
      <c r="AA55" s="4" t="s">
        <v>5</v>
      </c>
      <c r="AB55" s="4" t="s">
        <v>5</v>
      </c>
      <c r="AC55" s="4" t="s">
        <v>5</v>
      </c>
      <c r="AD55" s="4" t="s">
        <v>5</v>
      </c>
      <c r="AE55" s="4" t="s">
        <v>5</v>
      </c>
      <c r="AF55" s="4" t="s">
        <v>5</v>
      </c>
      <c r="AG55" s="4" t="s">
        <v>5</v>
      </c>
      <c r="AH55" s="4" t="s">
        <v>5</v>
      </c>
      <c r="AI55" s="4" t="s">
        <v>5</v>
      </c>
      <c r="AJ55" s="4" t="s">
        <v>5</v>
      </c>
      <c r="AK55" s="4" t="s">
        <v>5</v>
      </c>
      <c r="AL55" s="4" t="s">
        <v>5</v>
      </c>
      <c r="AM55" s="4" t="s">
        <v>5</v>
      </c>
      <c r="AN55" s="4" t="s">
        <v>5</v>
      </c>
      <c r="AO55" s="4" t="s">
        <v>5</v>
      </c>
      <c r="AP55" s="4" t="s">
        <v>5</v>
      </c>
      <c r="AQ55" s="4" t="s">
        <v>5</v>
      </c>
      <c r="AR55" s="4" t="s">
        <v>5</v>
      </c>
      <c r="AS55" s="4" t="s">
        <v>5</v>
      </c>
      <c r="AU55" s="4" t="s">
        <v>5</v>
      </c>
      <c r="AV55" s="4" t="s">
        <v>5</v>
      </c>
      <c r="AW55" s="4" t="s">
        <v>5</v>
      </c>
      <c r="AX55" s="4" t="s">
        <v>5</v>
      </c>
      <c r="AY55" s="4" t="s">
        <v>5</v>
      </c>
      <c r="BB55" s="4" t="s">
        <v>5</v>
      </c>
      <c r="BC55" s="4" t="s">
        <v>5</v>
      </c>
      <c r="BD55" s="4" t="s">
        <v>5</v>
      </c>
      <c r="BH55" s="4" t="s">
        <v>5</v>
      </c>
      <c r="BI55" s="4" t="s">
        <v>5</v>
      </c>
      <c r="BJ55" s="4" t="s">
        <v>5</v>
      </c>
      <c r="BK55" s="4" t="s">
        <v>5</v>
      </c>
      <c r="BM55" s="4" t="s">
        <v>5</v>
      </c>
      <c r="BN55" s="4" t="s">
        <v>5</v>
      </c>
      <c r="BO55" s="4" t="s">
        <v>5</v>
      </c>
      <c r="BP55" s="4" t="s">
        <v>5</v>
      </c>
      <c r="BQ55" s="4" t="s">
        <v>5</v>
      </c>
      <c r="BR55" s="4" t="s">
        <v>5</v>
      </c>
      <c r="BS55" s="4" t="s">
        <v>5</v>
      </c>
      <c r="BT55" s="4" t="s">
        <v>5</v>
      </c>
      <c r="BU55" s="4" t="s">
        <v>5</v>
      </c>
      <c r="BV55" s="4" t="s">
        <v>5</v>
      </c>
      <c r="BW55" s="4" t="s">
        <v>5</v>
      </c>
      <c r="BX55" s="4" t="s">
        <v>5</v>
      </c>
      <c r="BY55" s="4" t="s">
        <v>5</v>
      </c>
      <c r="BZ55" s="4" t="s">
        <v>5</v>
      </c>
      <c r="CA55" s="4" t="s">
        <v>5</v>
      </c>
      <c r="CB55" s="4" t="s">
        <v>5</v>
      </c>
      <c r="CC55" s="4" t="s">
        <v>5</v>
      </c>
      <c r="CD55" s="4" t="s">
        <v>5</v>
      </c>
      <c r="CE55" s="4" t="s">
        <v>5</v>
      </c>
      <c r="CF55" s="4" t="s">
        <v>5</v>
      </c>
      <c r="CG55" s="4" t="s">
        <v>5</v>
      </c>
    </row>
    <row r="56" spans="1:85" x14ac:dyDescent="0.25">
      <c r="A56" s="13" t="str">
        <f>IF(AND($E56="",MAX($A$8:$A55)=0),"",IF(AND($E56&lt;&gt;"",MAX($A$8:$A55)=0),1,IF(AND($E56&lt;&gt;"",MAX($A$8:$A55)&gt;0),MAX($A$8:$A55)+1,"")))</f>
        <v/>
      </c>
      <c r="B56" s="11">
        <v>49</v>
      </c>
      <c r="C56" s="19" t="str">
        <f t="shared" si="0"/>
        <v>EMPTY</v>
      </c>
      <c r="D56" s="3" t="str">
        <f t="shared" si="1"/>
        <v/>
      </c>
      <c r="E56" s="7"/>
      <c r="F56" s="8" t="str">
        <f t="shared" si="2"/>
        <v/>
      </c>
      <c r="I56" s="4" t="s">
        <v>5</v>
      </c>
      <c r="J56" s="4" t="s">
        <v>5</v>
      </c>
      <c r="K56" s="4" t="s">
        <v>5</v>
      </c>
      <c r="L56" s="4" t="s">
        <v>5</v>
      </c>
      <c r="N56" s="4" t="s">
        <v>5</v>
      </c>
      <c r="O56" s="4" t="s">
        <v>5</v>
      </c>
      <c r="P56" s="4" t="s">
        <v>5</v>
      </c>
      <c r="Q56" s="4" t="s">
        <v>5</v>
      </c>
      <c r="R56" s="4" t="s">
        <v>5</v>
      </c>
      <c r="S56" s="4" t="s">
        <v>5</v>
      </c>
      <c r="T56" s="4" t="s">
        <v>5</v>
      </c>
      <c r="U56" s="4" t="s">
        <v>5</v>
      </c>
      <c r="V56" s="4" t="s">
        <v>5</v>
      </c>
      <c r="W56" s="4" t="s">
        <v>5</v>
      </c>
      <c r="X56" s="4" t="s">
        <v>5</v>
      </c>
      <c r="Y56" s="4" t="s">
        <v>5</v>
      </c>
      <c r="Z56" s="4" t="s">
        <v>5</v>
      </c>
      <c r="AA56" s="4" t="s">
        <v>5</v>
      </c>
      <c r="AB56" s="4" t="s">
        <v>5</v>
      </c>
      <c r="AC56" s="4" t="s">
        <v>5</v>
      </c>
      <c r="AD56" s="4" t="s">
        <v>5</v>
      </c>
      <c r="AE56" s="4" t="s">
        <v>5</v>
      </c>
      <c r="AF56" s="4" t="s">
        <v>5</v>
      </c>
      <c r="AG56" s="4" t="s">
        <v>5</v>
      </c>
      <c r="AH56" s="4" t="s">
        <v>5</v>
      </c>
      <c r="AI56" s="4" t="s">
        <v>5</v>
      </c>
      <c r="AJ56" s="4" t="s">
        <v>5</v>
      </c>
      <c r="AK56" s="4" t="s">
        <v>5</v>
      </c>
      <c r="AL56" s="4" t="s">
        <v>5</v>
      </c>
      <c r="AM56" s="4" t="s">
        <v>5</v>
      </c>
      <c r="AN56" s="4" t="s">
        <v>5</v>
      </c>
      <c r="AO56" s="4" t="s">
        <v>5</v>
      </c>
      <c r="AP56" s="4" t="s">
        <v>5</v>
      </c>
      <c r="AQ56" s="4" t="s">
        <v>5</v>
      </c>
      <c r="AR56" s="4" t="s">
        <v>5</v>
      </c>
      <c r="AS56" s="4" t="s">
        <v>5</v>
      </c>
      <c r="AU56" s="4" t="s">
        <v>5</v>
      </c>
      <c r="AV56" s="4" t="s">
        <v>5</v>
      </c>
      <c r="AW56" s="4" t="s">
        <v>5</v>
      </c>
      <c r="AX56" s="4" t="s">
        <v>5</v>
      </c>
      <c r="AY56" s="4" t="s">
        <v>5</v>
      </c>
      <c r="BB56" s="4" t="s">
        <v>5</v>
      </c>
      <c r="BC56" s="4" t="s">
        <v>5</v>
      </c>
      <c r="BD56" s="4" t="s">
        <v>5</v>
      </c>
      <c r="BH56" s="4" t="s">
        <v>5</v>
      </c>
      <c r="BI56" s="4" t="s">
        <v>5</v>
      </c>
      <c r="BJ56" s="4" t="s">
        <v>5</v>
      </c>
      <c r="BK56" s="4" t="s">
        <v>5</v>
      </c>
      <c r="BM56" s="4" t="s">
        <v>5</v>
      </c>
      <c r="BN56" s="4" t="s">
        <v>5</v>
      </c>
      <c r="BO56" s="4" t="s">
        <v>5</v>
      </c>
      <c r="BP56" s="4" t="s">
        <v>5</v>
      </c>
      <c r="BQ56" s="4" t="s">
        <v>5</v>
      </c>
      <c r="BR56" s="4" t="s">
        <v>5</v>
      </c>
      <c r="BS56" s="4" t="s">
        <v>5</v>
      </c>
      <c r="BT56" s="4" t="s">
        <v>5</v>
      </c>
      <c r="BU56" s="4" t="s">
        <v>5</v>
      </c>
      <c r="BV56" s="4" t="s">
        <v>5</v>
      </c>
      <c r="BW56" s="4" t="s">
        <v>5</v>
      </c>
      <c r="BX56" s="4" t="s">
        <v>5</v>
      </c>
      <c r="BY56" s="4" t="s">
        <v>5</v>
      </c>
      <c r="BZ56" s="4" t="s">
        <v>5</v>
      </c>
      <c r="CA56" s="4" t="s">
        <v>5</v>
      </c>
      <c r="CB56" s="4" t="s">
        <v>5</v>
      </c>
      <c r="CC56" s="4" t="s">
        <v>5</v>
      </c>
      <c r="CD56" s="4" t="s">
        <v>5</v>
      </c>
      <c r="CE56" s="4" t="s">
        <v>5</v>
      </c>
      <c r="CF56" s="4" t="s">
        <v>5</v>
      </c>
      <c r="CG56" s="4" t="s">
        <v>5</v>
      </c>
    </row>
    <row r="57" spans="1:85" x14ac:dyDescent="0.25">
      <c r="A57" s="13" t="str">
        <f>IF(AND($E57="",MAX($A$8:$A56)=0),"",IF(AND($E57&lt;&gt;"",MAX($A$8:$A56)=0),1,IF(AND($E57&lt;&gt;"",MAX($A$8:$A56)&gt;0),MAX($A$8:$A56)+1,"")))</f>
        <v/>
      </c>
      <c r="B57" s="11">
        <v>50</v>
      </c>
      <c r="C57" s="19" t="str">
        <f t="shared" si="0"/>
        <v>EMPTY</v>
      </c>
      <c r="D57" s="3" t="str">
        <f t="shared" si="1"/>
        <v/>
      </c>
      <c r="E57" s="7"/>
      <c r="F57" s="8" t="str">
        <f t="shared" si="2"/>
        <v/>
      </c>
      <c r="I57" s="4" t="s">
        <v>5</v>
      </c>
      <c r="J57" s="4" t="s">
        <v>5</v>
      </c>
      <c r="K57" s="4" t="s">
        <v>5</v>
      </c>
      <c r="L57" s="4" t="s">
        <v>5</v>
      </c>
      <c r="N57" s="4" t="s">
        <v>5</v>
      </c>
      <c r="O57" s="4" t="s">
        <v>5</v>
      </c>
      <c r="P57" s="4" t="s">
        <v>5</v>
      </c>
      <c r="Q57" s="4" t="s">
        <v>5</v>
      </c>
      <c r="R57" s="4" t="s">
        <v>5</v>
      </c>
      <c r="S57" s="4" t="s">
        <v>5</v>
      </c>
      <c r="T57" s="4" t="s">
        <v>5</v>
      </c>
      <c r="U57" s="4" t="s">
        <v>5</v>
      </c>
      <c r="V57" s="4" t="s">
        <v>5</v>
      </c>
      <c r="W57" s="4" t="s">
        <v>5</v>
      </c>
      <c r="X57" s="4" t="s">
        <v>5</v>
      </c>
      <c r="Y57" s="4" t="s">
        <v>5</v>
      </c>
      <c r="Z57" s="4" t="s">
        <v>5</v>
      </c>
      <c r="AA57" s="4" t="s">
        <v>5</v>
      </c>
      <c r="AB57" s="4" t="s">
        <v>5</v>
      </c>
      <c r="AC57" s="4" t="s">
        <v>5</v>
      </c>
      <c r="AD57" s="4" t="s">
        <v>5</v>
      </c>
      <c r="AE57" s="4" t="s">
        <v>5</v>
      </c>
      <c r="AF57" s="4" t="s">
        <v>5</v>
      </c>
      <c r="AG57" s="4" t="s">
        <v>5</v>
      </c>
      <c r="AH57" s="4" t="s">
        <v>5</v>
      </c>
      <c r="AI57" s="4" t="s">
        <v>5</v>
      </c>
      <c r="AJ57" s="4" t="s">
        <v>5</v>
      </c>
      <c r="AK57" s="4" t="s">
        <v>5</v>
      </c>
      <c r="AL57" s="4" t="s">
        <v>5</v>
      </c>
      <c r="AM57" s="4" t="s">
        <v>5</v>
      </c>
      <c r="AN57" s="4" t="s">
        <v>5</v>
      </c>
      <c r="AO57" s="4" t="s">
        <v>5</v>
      </c>
      <c r="AQ57" s="4" t="s">
        <v>5</v>
      </c>
      <c r="AR57" s="4" t="s">
        <v>5</v>
      </c>
      <c r="AS57" s="4" t="s">
        <v>5</v>
      </c>
      <c r="AU57" s="4" t="s">
        <v>5</v>
      </c>
      <c r="AV57" s="4" t="s">
        <v>5</v>
      </c>
      <c r="AW57" s="4" t="s">
        <v>5</v>
      </c>
      <c r="AX57" s="4" t="s">
        <v>5</v>
      </c>
      <c r="AY57" s="4" t="s">
        <v>5</v>
      </c>
      <c r="BB57" s="4" t="s">
        <v>5</v>
      </c>
      <c r="BC57" s="4" t="s">
        <v>5</v>
      </c>
      <c r="BD57" s="4" t="s">
        <v>5</v>
      </c>
      <c r="BI57" s="4" t="s">
        <v>5</v>
      </c>
      <c r="BJ57" s="4" t="s">
        <v>5</v>
      </c>
      <c r="BK57" s="4" t="s">
        <v>5</v>
      </c>
      <c r="BM57" s="4" t="s">
        <v>5</v>
      </c>
      <c r="BN57" s="4" t="s">
        <v>5</v>
      </c>
      <c r="BO57" s="4" t="s">
        <v>5</v>
      </c>
      <c r="BP57" s="4" t="s">
        <v>5</v>
      </c>
      <c r="BQ57" s="4" t="s">
        <v>5</v>
      </c>
      <c r="BR57" s="4" t="s">
        <v>5</v>
      </c>
      <c r="BS57" s="4" t="s">
        <v>5</v>
      </c>
      <c r="BT57" s="4" t="s">
        <v>5</v>
      </c>
      <c r="BU57" s="4" t="s">
        <v>5</v>
      </c>
      <c r="BV57" s="4" t="s">
        <v>5</v>
      </c>
      <c r="BW57" s="4" t="s">
        <v>5</v>
      </c>
      <c r="BX57" s="4" t="s">
        <v>5</v>
      </c>
      <c r="BY57" s="4" t="s">
        <v>5</v>
      </c>
      <c r="BZ57" s="4" t="s">
        <v>5</v>
      </c>
      <c r="CA57" s="4" t="s">
        <v>5</v>
      </c>
      <c r="CB57" s="4" t="s">
        <v>5</v>
      </c>
      <c r="CC57" s="4" t="s">
        <v>5</v>
      </c>
      <c r="CD57" s="4" t="s">
        <v>5</v>
      </c>
      <c r="CE57" s="4" t="s">
        <v>5</v>
      </c>
      <c r="CF57" s="4" t="s">
        <v>5</v>
      </c>
      <c r="CG57" s="4" t="s">
        <v>5</v>
      </c>
    </row>
    <row r="58" spans="1:85" x14ac:dyDescent="0.25">
      <c r="A58" s="13" t="str">
        <f>IF(AND($E58="",MAX($A$8:$A57)=0),"",IF(AND($E58&lt;&gt;"",MAX($A$8:$A57)=0),1,IF(AND($E58&lt;&gt;"",MAX($A$8:$A57)&gt;0),MAX($A$8:$A57)+1,"")))</f>
        <v/>
      </c>
      <c r="B58" s="11">
        <v>51</v>
      </c>
      <c r="C58" s="19" t="str">
        <f t="shared" si="0"/>
        <v>EMPTY</v>
      </c>
      <c r="D58" s="3" t="str">
        <f t="shared" si="1"/>
        <v/>
      </c>
      <c r="E58" s="7"/>
      <c r="F58" s="8" t="str">
        <f t="shared" si="2"/>
        <v/>
      </c>
      <c r="I58" s="4" t="s">
        <v>5</v>
      </c>
      <c r="J58" s="4" t="s">
        <v>5</v>
      </c>
      <c r="K58" s="4" t="s">
        <v>5</v>
      </c>
      <c r="L58" s="4" t="s">
        <v>5</v>
      </c>
      <c r="N58" s="4" t="s">
        <v>5</v>
      </c>
      <c r="O58" s="4" t="s">
        <v>5</v>
      </c>
      <c r="P58" s="4" t="s">
        <v>5</v>
      </c>
      <c r="Q58" s="4" t="s">
        <v>5</v>
      </c>
      <c r="R58" s="4" t="s">
        <v>5</v>
      </c>
      <c r="S58" s="4" t="s">
        <v>5</v>
      </c>
      <c r="T58" s="4" t="s">
        <v>5</v>
      </c>
      <c r="U58" s="4" t="s">
        <v>5</v>
      </c>
      <c r="V58" s="4" t="s">
        <v>5</v>
      </c>
      <c r="W58" s="4" t="s">
        <v>5</v>
      </c>
      <c r="X58" s="4" t="s">
        <v>5</v>
      </c>
      <c r="Y58" s="4" t="s">
        <v>5</v>
      </c>
      <c r="Z58" s="4" t="s">
        <v>5</v>
      </c>
      <c r="AA58" s="4" t="s">
        <v>5</v>
      </c>
      <c r="AB58" s="4" t="s">
        <v>5</v>
      </c>
      <c r="AC58" s="4" t="s">
        <v>5</v>
      </c>
      <c r="AD58" s="4" t="s">
        <v>5</v>
      </c>
      <c r="AE58" s="4" t="s">
        <v>5</v>
      </c>
      <c r="AF58" s="4" t="s">
        <v>5</v>
      </c>
      <c r="AG58" s="4" t="s">
        <v>5</v>
      </c>
      <c r="AH58" s="4" t="s">
        <v>5</v>
      </c>
      <c r="AJ58" s="4" t="s">
        <v>5</v>
      </c>
      <c r="AK58" s="4" t="s">
        <v>5</v>
      </c>
      <c r="AL58" s="4" t="s">
        <v>5</v>
      </c>
      <c r="AM58" s="4" t="s">
        <v>5</v>
      </c>
      <c r="AN58" s="4" t="s">
        <v>5</v>
      </c>
      <c r="AO58" s="4" t="s">
        <v>5</v>
      </c>
      <c r="AQ58" s="4" t="s">
        <v>5</v>
      </c>
      <c r="AR58" s="4" t="s">
        <v>5</v>
      </c>
      <c r="AS58" s="4" t="s">
        <v>5</v>
      </c>
      <c r="AU58" s="4" t="s">
        <v>5</v>
      </c>
      <c r="AV58" s="4" t="s">
        <v>5</v>
      </c>
      <c r="AW58" s="4" t="s">
        <v>5</v>
      </c>
      <c r="AX58" s="4" t="s">
        <v>5</v>
      </c>
      <c r="AY58" s="4" t="s">
        <v>5</v>
      </c>
      <c r="BB58" s="4" t="s">
        <v>5</v>
      </c>
      <c r="BC58" s="4" t="s">
        <v>5</v>
      </c>
      <c r="BD58" s="4" t="s">
        <v>5</v>
      </c>
      <c r="BI58" s="4" t="s">
        <v>5</v>
      </c>
      <c r="BJ58" s="4" t="s">
        <v>5</v>
      </c>
      <c r="BK58" s="4" t="s">
        <v>5</v>
      </c>
      <c r="BN58" s="4" t="s">
        <v>5</v>
      </c>
      <c r="BO58" s="4" t="s">
        <v>5</v>
      </c>
      <c r="BP58" s="4" t="s">
        <v>5</v>
      </c>
      <c r="BR58" s="4" t="s">
        <v>5</v>
      </c>
      <c r="BS58" s="4" t="s">
        <v>5</v>
      </c>
      <c r="BT58" s="4" t="s">
        <v>5</v>
      </c>
      <c r="BU58" s="4" t="s">
        <v>5</v>
      </c>
      <c r="BV58" s="4" t="s">
        <v>5</v>
      </c>
      <c r="BW58" s="4" t="s">
        <v>5</v>
      </c>
      <c r="BX58" s="4" t="s">
        <v>5</v>
      </c>
      <c r="BY58" s="4" t="s">
        <v>5</v>
      </c>
      <c r="BZ58" s="4" t="s">
        <v>5</v>
      </c>
      <c r="CA58" s="4" t="s">
        <v>5</v>
      </c>
      <c r="CB58" s="4" t="s">
        <v>5</v>
      </c>
      <c r="CC58" s="4" t="s">
        <v>5</v>
      </c>
      <c r="CD58" s="4" t="s">
        <v>5</v>
      </c>
      <c r="CE58" s="4" t="s">
        <v>5</v>
      </c>
      <c r="CF58" s="4" t="s">
        <v>5</v>
      </c>
      <c r="CG58" s="4" t="s">
        <v>5</v>
      </c>
    </row>
    <row r="59" spans="1:85" x14ac:dyDescent="0.25">
      <c r="A59" s="13" t="str">
        <f>IF(AND($E59="",MAX($A$8:$A58)=0),"",IF(AND($E59&lt;&gt;"",MAX($A$8:$A58)=0),1,IF(AND($E59&lt;&gt;"",MAX($A$8:$A58)&gt;0),MAX($A$8:$A58)+1,"")))</f>
        <v/>
      </c>
      <c r="B59" s="11">
        <v>52</v>
      </c>
      <c r="C59" s="19" t="str">
        <f t="shared" si="0"/>
        <v>EMPTY</v>
      </c>
      <c r="D59" s="3" t="str">
        <f t="shared" si="1"/>
        <v/>
      </c>
      <c r="E59" s="7"/>
      <c r="F59" s="8" t="str">
        <f t="shared" si="2"/>
        <v/>
      </c>
      <c r="I59" s="4" t="s">
        <v>5</v>
      </c>
      <c r="J59" s="4" t="s">
        <v>5</v>
      </c>
      <c r="K59" s="4" t="s">
        <v>5</v>
      </c>
      <c r="L59" s="4" t="s">
        <v>5</v>
      </c>
      <c r="N59" s="4" t="s">
        <v>5</v>
      </c>
      <c r="O59" s="4" t="s">
        <v>5</v>
      </c>
      <c r="P59" s="4" t="s">
        <v>5</v>
      </c>
      <c r="Q59" s="4" t="s">
        <v>5</v>
      </c>
      <c r="R59" s="4" t="s">
        <v>5</v>
      </c>
      <c r="S59" s="4" t="s">
        <v>5</v>
      </c>
      <c r="T59" s="4" t="s">
        <v>5</v>
      </c>
      <c r="U59" s="4" t="s">
        <v>5</v>
      </c>
      <c r="V59" s="4" t="s">
        <v>5</v>
      </c>
      <c r="W59" s="4" t="s">
        <v>5</v>
      </c>
      <c r="X59" s="4" t="s">
        <v>5</v>
      </c>
      <c r="Y59" s="4" t="s">
        <v>5</v>
      </c>
      <c r="Z59" s="4" t="s">
        <v>5</v>
      </c>
      <c r="AA59" s="4" t="s">
        <v>5</v>
      </c>
      <c r="AB59" s="4" t="s">
        <v>5</v>
      </c>
      <c r="AC59" s="4" t="s">
        <v>5</v>
      </c>
      <c r="AD59" s="4" t="s">
        <v>5</v>
      </c>
      <c r="AE59" s="4" t="s">
        <v>5</v>
      </c>
      <c r="AF59" s="4" t="s">
        <v>5</v>
      </c>
      <c r="AG59" s="4" t="s">
        <v>5</v>
      </c>
      <c r="AH59" s="4" t="s">
        <v>5</v>
      </c>
      <c r="AK59" s="4" t="s">
        <v>5</v>
      </c>
      <c r="AL59" s="4" t="s">
        <v>5</v>
      </c>
      <c r="AM59" s="4" t="s">
        <v>5</v>
      </c>
      <c r="AN59" s="4" t="s">
        <v>5</v>
      </c>
      <c r="AO59" s="4" t="s">
        <v>5</v>
      </c>
      <c r="AS59" s="4" t="s">
        <v>5</v>
      </c>
      <c r="AU59" s="4" t="s">
        <v>5</v>
      </c>
      <c r="AV59" s="4" t="s">
        <v>5</v>
      </c>
      <c r="AW59" s="4" t="s">
        <v>5</v>
      </c>
      <c r="AX59" s="4" t="s">
        <v>5</v>
      </c>
      <c r="AY59" s="4" t="s">
        <v>5</v>
      </c>
      <c r="BB59" s="4" t="s">
        <v>5</v>
      </c>
      <c r="BC59" s="4" t="s">
        <v>5</v>
      </c>
      <c r="BD59" s="4" t="s">
        <v>5</v>
      </c>
      <c r="BI59" s="4" t="s">
        <v>5</v>
      </c>
      <c r="BJ59" s="4" t="s">
        <v>5</v>
      </c>
      <c r="BK59" s="4" t="s">
        <v>5</v>
      </c>
      <c r="BN59" s="4" t="s">
        <v>5</v>
      </c>
      <c r="BO59" s="4" t="s">
        <v>5</v>
      </c>
      <c r="BP59" s="4" t="s">
        <v>5</v>
      </c>
      <c r="BR59" s="4" t="s">
        <v>5</v>
      </c>
      <c r="BS59" s="4" t="s">
        <v>5</v>
      </c>
      <c r="BT59" s="4" t="s">
        <v>5</v>
      </c>
      <c r="BU59" s="4" t="s">
        <v>5</v>
      </c>
      <c r="BV59" s="4" t="s">
        <v>5</v>
      </c>
      <c r="BW59" s="4" t="s">
        <v>5</v>
      </c>
      <c r="BX59" s="4" t="s">
        <v>5</v>
      </c>
      <c r="BY59" s="4" t="s">
        <v>5</v>
      </c>
      <c r="BZ59" s="4" t="s">
        <v>5</v>
      </c>
      <c r="CA59" s="4" t="s">
        <v>5</v>
      </c>
      <c r="CB59" s="4" t="s">
        <v>5</v>
      </c>
      <c r="CC59" s="4" t="s">
        <v>5</v>
      </c>
      <c r="CD59" s="4" t="s">
        <v>5</v>
      </c>
      <c r="CE59" s="4" t="s">
        <v>5</v>
      </c>
      <c r="CF59" s="4" t="s">
        <v>5</v>
      </c>
      <c r="CG59" s="4" t="s">
        <v>5</v>
      </c>
    </row>
    <row r="60" spans="1:85" x14ac:dyDescent="0.25">
      <c r="A60" s="13" t="str">
        <f>IF(AND($E60="",MAX($A$8:$A59)=0),"",IF(AND($E60&lt;&gt;"",MAX($A$8:$A59)=0),1,IF(AND($E60&lt;&gt;"",MAX($A$8:$A59)&gt;0),MAX($A$8:$A59)+1,"")))</f>
        <v/>
      </c>
      <c r="B60" s="11">
        <v>53</v>
      </c>
      <c r="C60" s="19" t="str">
        <f t="shared" si="0"/>
        <v>EMPTY</v>
      </c>
      <c r="D60" s="3" t="str">
        <f t="shared" si="1"/>
        <v/>
      </c>
      <c r="E60" s="7"/>
      <c r="F60" s="8" t="str">
        <f t="shared" si="2"/>
        <v/>
      </c>
      <c r="I60" s="4" t="s">
        <v>5</v>
      </c>
      <c r="J60" s="4" t="s">
        <v>5</v>
      </c>
      <c r="K60" s="4" t="s">
        <v>5</v>
      </c>
      <c r="L60" s="4" t="s">
        <v>5</v>
      </c>
      <c r="N60" s="4" t="s">
        <v>5</v>
      </c>
      <c r="O60" s="4" t="s">
        <v>5</v>
      </c>
      <c r="P60" s="4" t="s">
        <v>5</v>
      </c>
      <c r="Q60" s="4" t="s">
        <v>5</v>
      </c>
      <c r="R60" s="4" t="s">
        <v>5</v>
      </c>
      <c r="S60" s="4" t="s">
        <v>5</v>
      </c>
      <c r="T60" s="4" t="s">
        <v>5</v>
      </c>
      <c r="U60" s="4" t="s">
        <v>5</v>
      </c>
      <c r="V60" s="4" t="s">
        <v>5</v>
      </c>
      <c r="W60" s="4" t="s">
        <v>5</v>
      </c>
      <c r="X60" s="4" t="s">
        <v>5</v>
      </c>
      <c r="Y60" s="4" t="s">
        <v>5</v>
      </c>
      <c r="Z60" s="4" t="s">
        <v>5</v>
      </c>
      <c r="AA60" s="4" t="s">
        <v>5</v>
      </c>
      <c r="AB60" s="4" t="s">
        <v>5</v>
      </c>
      <c r="AC60" s="4" t="s">
        <v>5</v>
      </c>
      <c r="AD60" s="4" t="s">
        <v>5</v>
      </c>
      <c r="AE60" s="4" t="s">
        <v>5</v>
      </c>
      <c r="AF60" s="4" t="s">
        <v>5</v>
      </c>
      <c r="AG60" s="4" t="s">
        <v>5</v>
      </c>
      <c r="AH60" s="4" t="s">
        <v>5</v>
      </c>
      <c r="AK60" s="4" t="s">
        <v>5</v>
      </c>
      <c r="AL60" s="4" t="s">
        <v>5</v>
      </c>
      <c r="AM60" s="4" t="s">
        <v>5</v>
      </c>
      <c r="AN60" s="4" t="s">
        <v>5</v>
      </c>
      <c r="AO60" s="4" t="s">
        <v>5</v>
      </c>
      <c r="AS60" s="4" t="s">
        <v>5</v>
      </c>
      <c r="AU60" s="4" t="s">
        <v>5</v>
      </c>
      <c r="AV60" s="4" t="s">
        <v>5</v>
      </c>
      <c r="AW60" s="4" t="s">
        <v>5</v>
      </c>
      <c r="BB60" s="4" t="s">
        <v>5</v>
      </c>
      <c r="BC60" s="4" t="s">
        <v>5</v>
      </c>
      <c r="BI60" s="4" t="s">
        <v>5</v>
      </c>
      <c r="BJ60" s="4" t="s">
        <v>5</v>
      </c>
      <c r="BK60" s="4" t="s">
        <v>5</v>
      </c>
      <c r="BN60" s="4" t="s">
        <v>5</v>
      </c>
      <c r="BO60" s="4" t="s">
        <v>5</v>
      </c>
      <c r="BP60" s="4" t="s">
        <v>5</v>
      </c>
      <c r="BR60" s="4" t="s">
        <v>5</v>
      </c>
      <c r="BS60" s="4" t="s">
        <v>5</v>
      </c>
      <c r="BT60" s="4" t="s">
        <v>5</v>
      </c>
      <c r="BU60" s="4" t="s">
        <v>5</v>
      </c>
      <c r="BV60" s="4" t="s">
        <v>5</v>
      </c>
      <c r="BW60" s="4" t="s">
        <v>5</v>
      </c>
      <c r="BX60" s="4" t="s">
        <v>5</v>
      </c>
      <c r="BY60" s="4" t="s">
        <v>5</v>
      </c>
      <c r="BZ60" s="4" t="s">
        <v>5</v>
      </c>
      <c r="CA60" s="4" t="s">
        <v>5</v>
      </c>
      <c r="CB60" s="4" t="s">
        <v>5</v>
      </c>
      <c r="CC60" s="4" t="s">
        <v>5</v>
      </c>
      <c r="CD60" s="4" t="s">
        <v>5</v>
      </c>
      <c r="CE60" s="4" t="s">
        <v>5</v>
      </c>
      <c r="CF60" s="4" t="s">
        <v>5</v>
      </c>
      <c r="CG60" s="4" t="s">
        <v>5</v>
      </c>
    </row>
    <row r="61" spans="1:85" x14ac:dyDescent="0.25">
      <c r="A61" s="13" t="str">
        <f>IF(AND($E61="",MAX($A$8:$A60)=0),"",IF(AND($E61&lt;&gt;"",MAX($A$8:$A60)=0),1,IF(AND($E61&lt;&gt;"",MAX($A$8:$A60)&gt;0),MAX($A$8:$A60)+1,"")))</f>
        <v/>
      </c>
      <c r="B61" s="11">
        <v>54</v>
      </c>
      <c r="C61" s="19" t="str">
        <f t="shared" si="0"/>
        <v>EMPTY</v>
      </c>
      <c r="D61" s="3" t="str">
        <f t="shared" si="1"/>
        <v/>
      </c>
      <c r="E61" s="7"/>
      <c r="F61" s="8" t="str">
        <f t="shared" si="2"/>
        <v/>
      </c>
      <c r="I61" s="4" t="s">
        <v>5</v>
      </c>
      <c r="J61" s="4" t="s">
        <v>5</v>
      </c>
      <c r="K61" s="4" t="s">
        <v>5</v>
      </c>
      <c r="L61" s="4" t="s">
        <v>5</v>
      </c>
      <c r="N61" s="4" t="s">
        <v>5</v>
      </c>
      <c r="O61" s="4" t="s">
        <v>5</v>
      </c>
      <c r="P61" s="4" t="s">
        <v>5</v>
      </c>
      <c r="Q61" s="4" t="s">
        <v>5</v>
      </c>
      <c r="R61" s="4" t="s">
        <v>5</v>
      </c>
      <c r="S61" s="4" t="s">
        <v>5</v>
      </c>
      <c r="T61" s="4" t="s">
        <v>5</v>
      </c>
      <c r="U61" s="4" t="s">
        <v>5</v>
      </c>
      <c r="V61" s="4" t="s">
        <v>5</v>
      </c>
      <c r="W61" s="4" t="s">
        <v>5</v>
      </c>
      <c r="X61" s="4" t="s">
        <v>5</v>
      </c>
      <c r="Y61" s="4" t="s">
        <v>5</v>
      </c>
      <c r="Z61" s="4" t="s">
        <v>5</v>
      </c>
      <c r="AA61" s="4" t="s">
        <v>5</v>
      </c>
      <c r="AB61" s="4" t="s">
        <v>5</v>
      </c>
      <c r="AC61" s="4" t="s">
        <v>5</v>
      </c>
      <c r="AD61" s="4" t="s">
        <v>5</v>
      </c>
      <c r="AE61" s="4" t="s">
        <v>5</v>
      </c>
      <c r="AF61" s="4" t="s">
        <v>5</v>
      </c>
      <c r="AH61" s="4" t="s">
        <v>5</v>
      </c>
      <c r="AK61" s="4" t="s">
        <v>5</v>
      </c>
      <c r="AL61" s="4" t="s">
        <v>5</v>
      </c>
      <c r="AM61" s="4" t="s">
        <v>5</v>
      </c>
      <c r="AN61" s="4" t="s">
        <v>5</v>
      </c>
      <c r="AO61" s="4" t="s">
        <v>5</v>
      </c>
      <c r="AS61" s="4" t="s">
        <v>5</v>
      </c>
      <c r="AU61" s="4" t="s">
        <v>5</v>
      </c>
      <c r="AV61" s="4" t="s">
        <v>5</v>
      </c>
      <c r="AW61" s="4" t="s">
        <v>5</v>
      </c>
      <c r="BB61" s="4" t="s">
        <v>5</v>
      </c>
      <c r="BC61" s="4" t="s">
        <v>5</v>
      </c>
      <c r="BI61" s="4" t="s">
        <v>5</v>
      </c>
      <c r="BJ61" s="4" t="s">
        <v>5</v>
      </c>
      <c r="BK61" s="4" t="s">
        <v>5</v>
      </c>
      <c r="BN61" s="4" t="s">
        <v>5</v>
      </c>
      <c r="BO61" s="4" t="s">
        <v>5</v>
      </c>
      <c r="BP61" s="4" t="s">
        <v>5</v>
      </c>
      <c r="BR61" s="4" t="s">
        <v>5</v>
      </c>
      <c r="BS61" s="4" t="s">
        <v>5</v>
      </c>
      <c r="BT61" s="4" t="s">
        <v>5</v>
      </c>
      <c r="BU61" s="4" t="s">
        <v>5</v>
      </c>
      <c r="BV61" s="4" t="s">
        <v>5</v>
      </c>
      <c r="BW61" s="4" t="s">
        <v>5</v>
      </c>
      <c r="BX61" s="4" t="s">
        <v>5</v>
      </c>
      <c r="BY61" s="4" t="s">
        <v>5</v>
      </c>
      <c r="BZ61" s="4" t="s">
        <v>5</v>
      </c>
      <c r="CA61" s="4" t="s">
        <v>5</v>
      </c>
      <c r="CB61" s="4" t="s">
        <v>5</v>
      </c>
      <c r="CC61" s="4" t="s">
        <v>5</v>
      </c>
      <c r="CD61" s="4" t="s">
        <v>5</v>
      </c>
      <c r="CE61" s="4" t="s">
        <v>5</v>
      </c>
      <c r="CF61" s="4" t="s">
        <v>5</v>
      </c>
      <c r="CG61" s="4" t="s">
        <v>5</v>
      </c>
    </row>
    <row r="62" spans="1:85" x14ac:dyDescent="0.25">
      <c r="A62" s="13" t="str">
        <f>IF(AND($E62="",MAX($A$8:$A61)=0),"",IF(AND($E62&lt;&gt;"",MAX($A$8:$A61)=0),1,IF(AND($E62&lt;&gt;"",MAX($A$8:$A61)&gt;0),MAX($A$8:$A61)+1,"")))</f>
        <v/>
      </c>
      <c r="B62" s="11">
        <v>55</v>
      </c>
      <c r="C62" s="19" t="str">
        <f t="shared" si="0"/>
        <v>EMPTY</v>
      </c>
      <c r="D62" s="3" t="str">
        <f t="shared" si="1"/>
        <v/>
      </c>
      <c r="E62" s="7"/>
      <c r="F62" s="8" t="str">
        <f t="shared" si="2"/>
        <v/>
      </c>
      <c r="I62" s="4" t="s">
        <v>5</v>
      </c>
      <c r="J62" s="4" t="s">
        <v>5</v>
      </c>
      <c r="K62" s="4" t="s">
        <v>5</v>
      </c>
      <c r="L62" s="4" t="s">
        <v>5</v>
      </c>
      <c r="N62" s="4" t="s">
        <v>5</v>
      </c>
      <c r="O62" s="4" t="s">
        <v>5</v>
      </c>
      <c r="P62" s="4" t="s">
        <v>5</v>
      </c>
      <c r="Q62" s="4" t="s">
        <v>5</v>
      </c>
      <c r="R62" s="4" t="s">
        <v>5</v>
      </c>
      <c r="S62" s="4" t="s">
        <v>5</v>
      </c>
      <c r="T62" s="4" t="s">
        <v>5</v>
      </c>
      <c r="U62" s="4" t="s">
        <v>5</v>
      </c>
      <c r="V62" s="4" t="s">
        <v>5</v>
      </c>
      <c r="W62" s="4" t="s">
        <v>5</v>
      </c>
      <c r="X62" s="4" t="s">
        <v>5</v>
      </c>
      <c r="Y62" s="4" t="s">
        <v>5</v>
      </c>
      <c r="Z62" s="4" t="s">
        <v>5</v>
      </c>
      <c r="AA62" s="4" t="s">
        <v>5</v>
      </c>
      <c r="AB62" s="4" t="s">
        <v>5</v>
      </c>
      <c r="AC62" s="4" t="s">
        <v>5</v>
      </c>
      <c r="AD62" s="4" t="s">
        <v>5</v>
      </c>
      <c r="AE62" s="4" t="s">
        <v>5</v>
      </c>
      <c r="AF62" s="4" t="s">
        <v>5</v>
      </c>
      <c r="AH62" s="4" t="s">
        <v>5</v>
      </c>
      <c r="AK62" s="4" t="s">
        <v>5</v>
      </c>
      <c r="AL62" s="4" t="s">
        <v>5</v>
      </c>
      <c r="AM62" s="4" t="s">
        <v>5</v>
      </c>
      <c r="AN62" s="4" t="s">
        <v>5</v>
      </c>
      <c r="AO62" s="4" t="s">
        <v>5</v>
      </c>
      <c r="AS62" s="4" t="s">
        <v>5</v>
      </c>
      <c r="AU62" s="4" t="s">
        <v>5</v>
      </c>
      <c r="AV62" s="4" t="s">
        <v>5</v>
      </c>
      <c r="AW62" s="4" t="s">
        <v>5</v>
      </c>
      <c r="BI62" s="4" t="s">
        <v>5</v>
      </c>
      <c r="BJ62" s="4" t="s">
        <v>5</v>
      </c>
      <c r="BK62" s="4" t="s">
        <v>5</v>
      </c>
      <c r="BN62" s="4" t="s">
        <v>5</v>
      </c>
      <c r="BO62" s="4" t="s">
        <v>5</v>
      </c>
      <c r="BP62" s="4" t="s">
        <v>5</v>
      </c>
      <c r="BR62" s="4" t="s">
        <v>5</v>
      </c>
      <c r="BS62" s="4" t="s">
        <v>5</v>
      </c>
      <c r="BT62" s="4" t="s">
        <v>5</v>
      </c>
      <c r="BU62" s="4" t="s">
        <v>5</v>
      </c>
      <c r="BV62" s="4" t="s">
        <v>5</v>
      </c>
      <c r="BW62" s="4" t="s">
        <v>5</v>
      </c>
      <c r="BX62" s="4" t="s">
        <v>5</v>
      </c>
      <c r="BY62" s="4" t="s">
        <v>5</v>
      </c>
      <c r="BZ62" s="4" t="s">
        <v>5</v>
      </c>
      <c r="CA62" s="4" t="s">
        <v>5</v>
      </c>
      <c r="CB62" s="4" t="s">
        <v>5</v>
      </c>
      <c r="CC62" s="4" t="s">
        <v>5</v>
      </c>
      <c r="CD62" s="4" t="s">
        <v>5</v>
      </c>
      <c r="CE62" s="4" t="s">
        <v>5</v>
      </c>
      <c r="CF62" s="4" t="s">
        <v>5</v>
      </c>
      <c r="CG62" s="4" t="s">
        <v>5</v>
      </c>
    </row>
    <row r="63" spans="1:85" x14ac:dyDescent="0.25">
      <c r="A63" s="13" t="str">
        <f>IF(AND($E63="",MAX($A$8:$A62)=0),"",IF(AND($E63&lt;&gt;"",MAX($A$8:$A62)=0),1,IF(AND($E63&lt;&gt;"",MAX($A$8:$A62)&gt;0),MAX($A$8:$A62)+1,"")))</f>
        <v/>
      </c>
      <c r="B63" s="11">
        <v>56</v>
      </c>
      <c r="C63" s="19" t="str">
        <f t="shared" si="0"/>
        <v>EMPTY</v>
      </c>
      <c r="D63" s="3" t="str">
        <f t="shared" si="1"/>
        <v/>
      </c>
      <c r="E63" s="7"/>
      <c r="F63" s="8" t="str">
        <f t="shared" si="2"/>
        <v/>
      </c>
      <c r="I63" s="4" t="s">
        <v>5</v>
      </c>
      <c r="J63" s="4" t="s">
        <v>5</v>
      </c>
      <c r="K63" s="4" t="s">
        <v>5</v>
      </c>
      <c r="L63" s="4" t="s">
        <v>5</v>
      </c>
      <c r="N63" s="4" t="s">
        <v>5</v>
      </c>
      <c r="O63" s="4" t="s">
        <v>5</v>
      </c>
      <c r="P63" s="4" t="s">
        <v>5</v>
      </c>
      <c r="Q63" s="4" t="s">
        <v>5</v>
      </c>
      <c r="R63" s="4" t="s">
        <v>5</v>
      </c>
      <c r="S63" s="4" t="s">
        <v>5</v>
      </c>
      <c r="T63" s="4" t="s">
        <v>5</v>
      </c>
      <c r="U63" s="4" t="s">
        <v>5</v>
      </c>
      <c r="V63" s="4" t="s">
        <v>5</v>
      </c>
      <c r="Y63" s="4" t="s">
        <v>5</v>
      </c>
      <c r="Z63" s="4" t="s">
        <v>5</v>
      </c>
      <c r="AA63" s="4" t="s">
        <v>5</v>
      </c>
      <c r="AB63" s="4" t="s">
        <v>5</v>
      </c>
      <c r="AC63" s="4" t="s">
        <v>5</v>
      </c>
      <c r="AD63" s="4" t="s">
        <v>5</v>
      </c>
      <c r="AE63" s="4" t="s">
        <v>5</v>
      </c>
      <c r="AF63" s="4" t="s">
        <v>5</v>
      </c>
      <c r="AH63" s="4" t="s">
        <v>5</v>
      </c>
      <c r="AK63" s="4" t="s">
        <v>5</v>
      </c>
      <c r="AL63" s="4" t="s">
        <v>5</v>
      </c>
      <c r="AM63" s="4" t="s">
        <v>5</v>
      </c>
      <c r="AN63" s="4" t="s">
        <v>5</v>
      </c>
      <c r="AO63" s="4" t="s">
        <v>5</v>
      </c>
      <c r="AS63" s="4" t="s">
        <v>5</v>
      </c>
      <c r="AU63" s="4" t="s">
        <v>5</v>
      </c>
      <c r="AV63" s="4" t="s">
        <v>5</v>
      </c>
      <c r="AW63" s="4" t="s">
        <v>5</v>
      </c>
      <c r="BI63" s="4" t="s">
        <v>5</v>
      </c>
      <c r="BJ63" s="4" t="s">
        <v>5</v>
      </c>
      <c r="BK63" s="4" t="s">
        <v>5</v>
      </c>
      <c r="BN63" s="4" t="s">
        <v>5</v>
      </c>
      <c r="BO63" s="4" t="s">
        <v>5</v>
      </c>
      <c r="BP63" s="4" t="s">
        <v>5</v>
      </c>
      <c r="BR63" s="4" t="s">
        <v>5</v>
      </c>
      <c r="BS63" s="4" t="s">
        <v>5</v>
      </c>
      <c r="BT63" s="4" t="s">
        <v>5</v>
      </c>
      <c r="BU63" s="4" t="s">
        <v>5</v>
      </c>
      <c r="BV63" s="4" t="s">
        <v>5</v>
      </c>
      <c r="BW63" s="4" t="s">
        <v>5</v>
      </c>
      <c r="BX63" s="4" t="s">
        <v>5</v>
      </c>
      <c r="BY63" s="4" t="s">
        <v>5</v>
      </c>
      <c r="BZ63" s="4" t="s">
        <v>5</v>
      </c>
      <c r="CA63" s="4" t="s">
        <v>5</v>
      </c>
      <c r="CB63" s="4" t="s">
        <v>5</v>
      </c>
      <c r="CC63" s="4" t="s">
        <v>5</v>
      </c>
      <c r="CD63" s="4" t="s">
        <v>5</v>
      </c>
      <c r="CE63" s="4" t="s">
        <v>5</v>
      </c>
      <c r="CF63" s="4" t="s">
        <v>5</v>
      </c>
      <c r="CG63" s="4" t="s">
        <v>5</v>
      </c>
    </row>
    <row r="64" spans="1:85" x14ac:dyDescent="0.25">
      <c r="A64" s="13" t="str">
        <f>IF(AND($E64="",MAX($A$8:$A63)=0),"",IF(AND($E64&lt;&gt;"",MAX($A$8:$A63)=0),1,IF(AND($E64&lt;&gt;"",MAX($A$8:$A63)&gt;0),MAX($A$8:$A63)+1,"")))</f>
        <v/>
      </c>
      <c r="B64" s="11">
        <v>57</v>
      </c>
      <c r="C64" s="19" t="str">
        <f t="shared" si="0"/>
        <v>EMPTY</v>
      </c>
      <c r="D64" s="3" t="str">
        <f t="shared" si="1"/>
        <v/>
      </c>
      <c r="E64" s="7"/>
      <c r="F64" s="8" t="str">
        <f t="shared" si="2"/>
        <v/>
      </c>
      <c r="I64" s="4" t="s">
        <v>5</v>
      </c>
      <c r="J64" s="4" t="s">
        <v>5</v>
      </c>
      <c r="K64" s="4" t="s">
        <v>5</v>
      </c>
      <c r="L64" s="4" t="s">
        <v>5</v>
      </c>
      <c r="O64" s="4" t="s">
        <v>5</v>
      </c>
      <c r="P64" s="4" t="s">
        <v>5</v>
      </c>
      <c r="R64" s="4" t="s">
        <v>5</v>
      </c>
      <c r="S64" s="4" t="s">
        <v>5</v>
      </c>
      <c r="T64" s="4" t="s">
        <v>5</v>
      </c>
      <c r="U64" s="4" t="s">
        <v>5</v>
      </c>
      <c r="V64" s="4" t="s">
        <v>5</v>
      </c>
      <c r="Y64" s="4" t="s">
        <v>5</v>
      </c>
      <c r="Z64" s="4" t="s">
        <v>5</v>
      </c>
      <c r="AB64" s="4" t="s">
        <v>5</v>
      </c>
      <c r="AC64" s="4" t="s">
        <v>5</v>
      </c>
      <c r="AD64" s="4" t="s">
        <v>5</v>
      </c>
      <c r="AE64" s="4" t="s">
        <v>5</v>
      </c>
      <c r="AF64" s="4" t="s">
        <v>5</v>
      </c>
      <c r="AH64" s="4" t="s">
        <v>5</v>
      </c>
      <c r="AK64" s="4" t="s">
        <v>5</v>
      </c>
      <c r="AL64" s="4" t="s">
        <v>5</v>
      </c>
      <c r="AM64" s="4" t="s">
        <v>5</v>
      </c>
      <c r="AN64" s="4" t="s">
        <v>5</v>
      </c>
      <c r="AO64" s="4" t="s">
        <v>5</v>
      </c>
      <c r="AS64" s="4" t="s">
        <v>5</v>
      </c>
      <c r="AU64" s="4" t="s">
        <v>5</v>
      </c>
      <c r="AV64" s="4" t="s">
        <v>5</v>
      </c>
      <c r="BI64" s="4" t="s">
        <v>5</v>
      </c>
      <c r="BJ64" s="4" t="s">
        <v>5</v>
      </c>
      <c r="BK64" s="4" t="s">
        <v>5</v>
      </c>
      <c r="BN64" s="4" t="s">
        <v>5</v>
      </c>
      <c r="BO64" s="4" t="s">
        <v>5</v>
      </c>
      <c r="BP64" s="4" t="s">
        <v>5</v>
      </c>
      <c r="BR64" s="4" t="s">
        <v>5</v>
      </c>
      <c r="BS64" s="4" t="s">
        <v>5</v>
      </c>
      <c r="BT64" s="4" t="s">
        <v>5</v>
      </c>
      <c r="BU64" s="4" t="s">
        <v>5</v>
      </c>
      <c r="BV64" s="4" t="s">
        <v>5</v>
      </c>
      <c r="BW64" s="4" t="s">
        <v>5</v>
      </c>
      <c r="BX64" s="4" t="s">
        <v>5</v>
      </c>
      <c r="BY64" s="4" t="s">
        <v>5</v>
      </c>
      <c r="BZ64" s="4" t="s">
        <v>5</v>
      </c>
      <c r="CA64" s="4" t="s">
        <v>5</v>
      </c>
      <c r="CB64" s="4" t="s">
        <v>5</v>
      </c>
      <c r="CC64" s="4" t="s">
        <v>5</v>
      </c>
      <c r="CD64" s="4" t="s">
        <v>5</v>
      </c>
      <c r="CE64" s="4" t="s">
        <v>5</v>
      </c>
      <c r="CF64" s="4" t="s">
        <v>5</v>
      </c>
      <c r="CG64" s="4" t="s">
        <v>5</v>
      </c>
    </row>
    <row r="65" spans="1:85" x14ac:dyDescent="0.25">
      <c r="A65" s="13" t="str">
        <f>IF(AND($E65="",MAX($A$8:$A64)=0),"",IF(AND($E65&lt;&gt;"",MAX($A$8:$A64)=0),1,IF(AND($E65&lt;&gt;"",MAX($A$8:$A64)&gt;0),MAX($A$8:$A64)+1,"")))</f>
        <v/>
      </c>
      <c r="B65" s="11">
        <v>58</v>
      </c>
      <c r="C65" s="19" t="str">
        <f t="shared" si="0"/>
        <v>EMPTY</v>
      </c>
      <c r="D65" s="3" t="str">
        <f t="shared" si="1"/>
        <v/>
      </c>
      <c r="E65" s="7"/>
      <c r="F65" s="8" t="str">
        <f t="shared" si="2"/>
        <v/>
      </c>
      <c r="K65" s="4" t="s">
        <v>5</v>
      </c>
      <c r="L65" s="4" t="s">
        <v>5</v>
      </c>
      <c r="O65" s="4" t="s">
        <v>5</v>
      </c>
      <c r="P65" s="4" t="s">
        <v>5</v>
      </c>
      <c r="R65" s="4" t="s">
        <v>5</v>
      </c>
      <c r="S65" s="4" t="s">
        <v>5</v>
      </c>
      <c r="T65" s="4" t="s">
        <v>5</v>
      </c>
      <c r="U65" s="4" t="s">
        <v>5</v>
      </c>
      <c r="V65" s="4" t="s">
        <v>5</v>
      </c>
      <c r="Y65" s="4" t="s">
        <v>5</v>
      </c>
      <c r="Z65" s="4" t="s">
        <v>5</v>
      </c>
      <c r="AB65" s="4" t="s">
        <v>5</v>
      </c>
      <c r="AC65" s="4" t="s">
        <v>5</v>
      </c>
      <c r="AD65" s="4" t="s">
        <v>5</v>
      </c>
      <c r="AE65" s="4" t="s">
        <v>5</v>
      </c>
      <c r="AF65" s="4" t="s">
        <v>5</v>
      </c>
      <c r="AH65" s="4" t="s">
        <v>5</v>
      </c>
      <c r="AK65" s="4" t="s">
        <v>5</v>
      </c>
      <c r="AL65" s="4" t="s">
        <v>5</v>
      </c>
      <c r="AM65" s="4" t="s">
        <v>5</v>
      </c>
      <c r="AN65" s="4" t="s">
        <v>5</v>
      </c>
      <c r="AO65" s="4" t="s">
        <v>5</v>
      </c>
      <c r="AS65" s="4" t="s">
        <v>5</v>
      </c>
      <c r="AU65" s="4" t="s">
        <v>5</v>
      </c>
      <c r="AV65" s="4" t="s">
        <v>5</v>
      </c>
      <c r="BI65" s="4" t="s">
        <v>5</v>
      </c>
      <c r="BJ65" s="4" t="s">
        <v>5</v>
      </c>
      <c r="BK65" s="4" t="s">
        <v>5</v>
      </c>
      <c r="BN65" s="4" t="s">
        <v>5</v>
      </c>
      <c r="BO65" s="4" t="s">
        <v>5</v>
      </c>
      <c r="BP65" s="4" t="s">
        <v>5</v>
      </c>
      <c r="BR65" s="4" t="s">
        <v>5</v>
      </c>
      <c r="BS65" s="4" t="s">
        <v>5</v>
      </c>
      <c r="BT65" s="4" t="s">
        <v>5</v>
      </c>
      <c r="BU65" s="4" t="s">
        <v>5</v>
      </c>
      <c r="BV65" s="4" t="s">
        <v>5</v>
      </c>
      <c r="BW65" s="4" t="s">
        <v>5</v>
      </c>
      <c r="BX65" s="4" t="s">
        <v>5</v>
      </c>
      <c r="BY65" s="4" t="s">
        <v>5</v>
      </c>
      <c r="BZ65" s="4" t="s">
        <v>5</v>
      </c>
      <c r="CA65" s="4" t="s">
        <v>5</v>
      </c>
      <c r="CB65" s="4" t="s">
        <v>5</v>
      </c>
      <c r="CC65" s="4" t="s">
        <v>5</v>
      </c>
      <c r="CD65" s="4" t="s">
        <v>5</v>
      </c>
      <c r="CE65" s="4" t="s">
        <v>5</v>
      </c>
      <c r="CF65" s="4" t="s">
        <v>5</v>
      </c>
      <c r="CG65" s="4" t="s">
        <v>5</v>
      </c>
    </row>
    <row r="66" spans="1:85" x14ac:dyDescent="0.25">
      <c r="A66" s="13" t="str">
        <f>IF(AND($E66="",MAX($A$8:$A65)=0),"",IF(AND($E66&lt;&gt;"",MAX($A$8:$A65)=0),1,IF(AND($E66&lt;&gt;"",MAX($A$8:$A65)&gt;0),MAX($A$8:$A65)+1,"")))</f>
        <v/>
      </c>
      <c r="B66" s="11">
        <v>59</v>
      </c>
      <c r="C66" s="19" t="str">
        <f t="shared" si="0"/>
        <v>EMPTY</v>
      </c>
      <c r="D66" s="3" t="str">
        <f t="shared" si="1"/>
        <v/>
      </c>
      <c r="E66" s="7"/>
      <c r="F66" s="8" t="str">
        <f t="shared" si="2"/>
        <v/>
      </c>
      <c r="O66" s="4" t="s">
        <v>5</v>
      </c>
      <c r="P66" s="4" t="s">
        <v>5</v>
      </c>
      <c r="R66" s="4" t="s">
        <v>5</v>
      </c>
      <c r="S66" s="4" t="s">
        <v>5</v>
      </c>
      <c r="T66" s="4" t="s">
        <v>5</v>
      </c>
      <c r="U66" s="4" t="s">
        <v>5</v>
      </c>
      <c r="V66" s="4" t="s">
        <v>5</v>
      </c>
      <c r="Z66" s="4" t="s">
        <v>5</v>
      </c>
      <c r="AB66" s="4" t="s">
        <v>5</v>
      </c>
      <c r="AC66" s="4" t="s">
        <v>5</v>
      </c>
      <c r="AD66" s="4" t="s">
        <v>5</v>
      </c>
      <c r="AE66" s="4" t="s">
        <v>5</v>
      </c>
      <c r="AF66" s="4" t="s">
        <v>5</v>
      </c>
      <c r="AH66" s="4" t="s">
        <v>5</v>
      </c>
      <c r="AK66" s="4" t="s">
        <v>5</v>
      </c>
      <c r="AL66" s="4" t="s">
        <v>5</v>
      </c>
      <c r="AM66" s="4" t="s">
        <v>5</v>
      </c>
      <c r="AN66" s="4" t="s">
        <v>5</v>
      </c>
      <c r="AS66" s="4" t="s">
        <v>5</v>
      </c>
      <c r="AU66" s="4" t="s">
        <v>5</v>
      </c>
      <c r="AV66" s="4" t="s">
        <v>5</v>
      </c>
      <c r="BI66" s="4" t="s">
        <v>5</v>
      </c>
      <c r="BJ66" s="4" t="s">
        <v>5</v>
      </c>
      <c r="BK66" s="4" t="s">
        <v>5</v>
      </c>
      <c r="BN66" s="4" t="s">
        <v>5</v>
      </c>
      <c r="BO66" s="4" t="s">
        <v>5</v>
      </c>
      <c r="BP66" s="4" t="s">
        <v>5</v>
      </c>
      <c r="BR66" s="4" t="s">
        <v>5</v>
      </c>
      <c r="BS66" s="4" t="s">
        <v>5</v>
      </c>
      <c r="BT66" s="4" t="s">
        <v>5</v>
      </c>
      <c r="BU66" s="4" t="s">
        <v>5</v>
      </c>
      <c r="BV66" s="4" t="s">
        <v>5</v>
      </c>
      <c r="BW66" s="4" t="s">
        <v>5</v>
      </c>
      <c r="BX66" s="4" t="s">
        <v>5</v>
      </c>
      <c r="BY66" s="4" t="s">
        <v>5</v>
      </c>
      <c r="BZ66" s="4" t="s">
        <v>5</v>
      </c>
      <c r="CA66" s="4" t="s">
        <v>5</v>
      </c>
      <c r="CB66" s="4" t="s">
        <v>5</v>
      </c>
      <c r="CC66" s="4" t="s">
        <v>5</v>
      </c>
      <c r="CD66" s="4" t="s">
        <v>5</v>
      </c>
      <c r="CE66" s="4" t="s">
        <v>5</v>
      </c>
      <c r="CF66" s="4" t="s">
        <v>5</v>
      </c>
      <c r="CG66" s="4" t="s">
        <v>5</v>
      </c>
    </row>
    <row r="67" spans="1:85" x14ac:dyDescent="0.25">
      <c r="A67" s="13" t="str">
        <f>IF(AND($E67="",MAX($A$8:$A66)=0),"",IF(AND($E67&lt;&gt;"",MAX($A$8:$A66)=0),1,IF(AND($E67&lt;&gt;"",MAX($A$8:$A66)&gt;0),MAX($A$8:$A66)+1,"")))</f>
        <v/>
      </c>
      <c r="B67" s="11">
        <v>60</v>
      </c>
      <c r="C67" s="19" t="str">
        <f t="shared" si="0"/>
        <v>EMPTY</v>
      </c>
      <c r="D67" s="3" t="str">
        <f t="shared" si="1"/>
        <v/>
      </c>
      <c r="E67" s="7"/>
      <c r="F67" s="8" t="str">
        <f t="shared" si="2"/>
        <v/>
      </c>
      <c r="O67" s="4" t="s">
        <v>5</v>
      </c>
      <c r="P67" s="4" t="s">
        <v>5</v>
      </c>
      <c r="R67" s="4" t="s">
        <v>5</v>
      </c>
      <c r="S67" s="4" t="s">
        <v>5</v>
      </c>
      <c r="T67" s="4" t="s">
        <v>5</v>
      </c>
      <c r="U67" s="4" t="s">
        <v>5</v>
      </c>
      <c r="V67" s="4" t="s">
        <v>5</v>
      </c>
      <c r="Z67" s="4" t="s">
        <v>5</v>
      </c>
      <c r="AB67" s="4" t="s">
        <v>5</v>
      </c>
      <c r="AC67" s="4" t="s">
        <v>5</v>
      </c>
      <c r="AD67" s="4" t="s">
        <v>5</v>
      </c>
      <c r="AE67" s="4" t="s">
        <v>5</v>
      </c>
      <c r="AF67" s="4" t="s">
        <v>5</v>
      </c>
      <c r="AH67" s="4" t="s">
        <v>5</v>
      </c>
      <c r="AK67" s="4" t="s">
        <v>5</v>
      </c>
      <c r="AL67" s="4" t="s">
        <v>5</v>
      </c>
      <c r="AM67" s="4" t="s">
        <v>5</v>
      </c>
      <c r="AN67" s="4" t="s">
        <v>5</v>
      </c>
      <c r="AS67" s="4" t="s">
        <v>5</v>
      </c>
      <c r="AU67" s="4" t="s">
        <v>5</v>
      </c>
      <c r="AV67" s="4" t="s">
        <v>5</v>
      </c>
      <c r="BI67" s="4" t="s">
        <v>5</v>
      </c>
      <c r="BJ67" s="4" t="s">
        <v>5</v>
      </c>
      <c r="BK67" s="4" t="s">
        <v>5</v>
      </c>
      <c r="BN67" s="4" t="s">
        <v>5</v>
      </c>
      <c r="BO67" s="4" t="s">
        <v>5</v>
      </c>
      <c r="BP67" s="4" t="s">
        <v>5</v>
      </c>
      <c r="BR67" s="4" t="s">
        <v>5</v>
      </c>
      <c r="BS67" s="4" t="s">
        <v>5</v>
      </c>
      <c r="BT67" s="4" t="s">
        <v>5</v>
      </c>
      <c r="BU67" s="4" t="s">
        <v>5</v>
      </c>
      <c r="BV67" s="4" t="s">
        <v>5</v>
      </c>
      <c r="BW67" s="4" t="s">
        <v>5</v>
      </c>
      <c r="BX67" s="4" t="s">
        <v>5</v>
      </c>
      <c r="BY67" s="4" t="s">
        <v>5</v>
      </c>
      <c r="BZ67" s="4" t="s">
        <v>5</v>
      </c>
      <c r="CA67" s="4" t="s">
        <v>5</v>
      </c>
      <c r="CB67" s="4" t="s">
        <v>5</v>
      </c>
      <c r="CC67" s="4" t="s">
        <v>5</v>
      </c>
      <c r="CD67" s="4" t="s">
        <v>5</v>
      </c>
      <c r="CE67" s="4" t="s">
        <v>5</v>
      </c>
      <c r="CF67" s="4" t="s">
        <v>5</v>
      </c>
      <c r="CG67" s="4" t="s">
        <v>5</v>
      </c>
    </row>
    <row r="68" spans="1:85" x14ac:dyDescent="0.25">
      <c r="A68" s="13" t="str">
        <f>IF(AND($E68="",MAX($A$8:$A67)=0),"",IF(AND($E68&lt;&gt;"",MAX($A$8:$A67)=0),1,IF(AND($E68&lt;&gt;"",MAX($A$8:$A67)&gt;0),MAX($A$8:$A67)+1,"")))</f>
        <v/>
      </c>
      <c r="B68" s="11">
        <v>61</v>
      </c>
      <c r="C68" s="19" t="str">
        <f t="shared" si="0"/>
        <v>EMPTY</v>
      </c>
      <c r="D68" s="3" t="str">
        <f t="shared" si="1"/>
        <v/>
      </c>
      <c r="E68" s="7"/>
      <c r="F68" s="8" t="str">
        <f t="shared" si="2"/>
        <v/>
      </c>
      <c r="O68" s="4" t="s">
        <v>5</v>
      </c>
      <c r="P68" s="4" t="s">
        <v>5</v>
      </c>
      <c r="R68" s="4" t="s">
        <v>5</v>
      </c>
      <c r="S68" s="4" t="s">
        <v>5</v>
      </c>
      <c r="T68" s="4" t="s">
        <v>5</v>
      </c>
      <c r="U68" s="4" t="s">
        <v>5</v>
      </c>
      <c r="V68" s="4" t="s">
        <v>5</v>
      </c>
      <c r="Z68" s="4" t="s">
        <v>5</v>
      </c>
      <c r="AC68" s="4" t="s">
        <v>5</v>
      </c>
      <c r="AD68" s="4" t="s">
        <v>5</v>
      </c>
      <c r="AE68" s="4" t="s">
        <v>5</v>
      </c>
      <c r="AF68" s="4" t="s">
        <v>5</v>
      </c>
      <c r="AH68" s="4" t="s">
        <v>5</v>
      </c>
      <c r="AK68" s="4" t="s">
        <v>5</v>
      </c>
      <c r="AL68" s="4" t="s">
        <v>5</v>
      </c>
      <c r="AM68" s="4" t="s">
        <v>5</v>
      </c>
      <c r="AS68" s="4" t="s">
        <v>5</v>
      </c>
      <c r="AU68" s="4" t="s">
        <v>5</v>
      </c>
      <c r="AV68" s="4" t="s">
        <v>5</v>
      </c>
      <c r="BI68" s="4" t="s">
        <v>5</v>
      </c>
      <c r="BJ68" s="4" t="s">
        <v>5</v>
      </c>
      <c r="BK68" s="4" t="s">
        <v>5</v>
      </c>
      <c r="BN68" s="4" t="s">
        <v>5</v>
      </c>
      <c r="BR68" s="4" t="s">
        <v>5</v>
      </c>
      <c r="BT68" s="4" t="s">
        <v>5</v>
      </c>
      <c r="BU68" s="4" t="s">
        <v>5</v>
      </c>
      <c r="BV68" s="4" t="s">
        <v>5</v>
      </c>
      <c r="BW68" s="4" t="s">
        <v>5</v>
      </c>
      <c r="BX68" s="4" t="s">
        <v>5</v>
      </c>
      <c r="BY68" s="4" t="s">
        <v>5</v>
      </c>
      <c r="BZ68" s="4" t="s">
        <v>5</v>
      </c>
      <c r="CA68" s="4" t="s">
        <v>5</v>
      </c>
      <c r="CC68" s="4" t="s">
        <v>5</v>
      </c>
      <c r="CD68" s="4" t="s">
        <v>5</v>
      </c>
      <c r="CE68" s="4" t="s">
        <v>5</v>
      </c>
      <c r="CF68" s="4" t="s">
        <v>5</v>
      </c>
      <c r="CG68" s="4" t="s">
        <v>5</v>
      </c>
    </row>
    <row r="69" spans="1:85" x14ac:dyDescent="0.25">
      <c r="A69" s="13" t="str">
        <f>IF(AND($E69="",MAX($A$8:$A68)=0),"",IF(AND($E69&lt;&gt;"",MAX($A$8:$A68)=0),1,IF(AND($E69&lt;&gt;"",MAX($A$8:$A68)&gt;0),MAX($A$8:$A68)+1,"")))</f>
        <v/>
      </c>
      <c r="B69" s="11">
        <v>62</v>
      </c>
      <c r="C69" s="19" t="str">
        <f t="shared" si="0"/>
        <v>EMPTY</v>
      </c>
      <c r="D69" s="3" t="str">
        <f t="shared" si="1"/>
        <v/>
      </c>
      <c r="E69" s="7"/>
      <c r="F69" s="8" t="str">
        <f t="shared" si="2"/>
        <v/>
      </c>
      <c r="O69" s="4" t="s">
        <v>5</v>
      </c>
      <c r="P69" s="4" t="s">
        <v>5</v>
      </c>
      <c r="R69" s="4" t="s">
        <v>5</v>
      </c>
      <c r="S69" s="4" t="s">
        <v>5</v>
      </c>
      <c r="U69" s="4" t="s">
        <v>5</v>
      </c>
      <c r="V69" s="4" t="s">
        <v>5</v>
      </c>
      <c r="Z69" s="4" t="s">
        <v>5</v>
      </c>
      <c r="AC69" s="4" t="s">
        <v>5</v>
      </c>
      <c r="AD69" s="4" t="s">
        <v>5</v>
      </c>
      <c r="AE69" s="4" t="s">
        <v>5</v>
      </c>
      <c r="AF69" s="4" t="s">
        <v>5</v>
      </c>
      <c r="AK69" s="4" t="s">
        <v>5</v>
      </c>
      <c r="AL69" s="4" t="s">
        <v>5</v>
      </c>
      <c r="AM69" s="4" t="s">
        <v>5</v>
      </c>
      <c r="AS69" s="4" t="s">
        <v>5</v>
      </c>
      <c r="AU69" s="4" t="s">
        <v>5</v>
      </c>
      <c r="AV69" s="4" t="s">
        <v>5</v>
      </c>
      <c r="BI69" s="4" t="s">
        <v>5</v>
      </c>
      <c r="BJ69" s="4" t="s">
        <v>5</v>
      </c>
      <c r="BK69" s="4" t="s">
        <v>5</v>
      </c>
      <c r="BN69" s="4" t="s">
        <v>5</v>
      </c>
      <c r="BR69" s="4" t="s">
        <v>5</v>
      </c>
      <c r="BT69" s="4" t="s">
        <v>5</v>
      </c>
      <c r="BU69" s="4" t="s">
        <v>5</v>
      </c>
      <c r="BV69" s="4" t="s">
        <v>5</v>
      </c>
      <c r="BW69" s="4" t="s">
        <v>5</v>
      </c>
      <c r="BX69" s="4" t="s">
        <v>5</v>
      </c>
      <c r="BY69" s="4" t="s">
        <v>5</v>
      </c>
      <c r="BZ69" s="4" t="s">
        <v>5</v>
      </c>
      <c r="CA69" s="4" t="s">
        <v>5</v>
      </c>
      <c r="CC69" s="4" t="s">
        <v>5</v>
      </c>
      <c r="CD69" s="4" t="s">
        <v>5</v>
      </c>
      <c r="CE69" s="4" t="s">
        <v>5</v>
      </c>
      <c r="CF69" s="4" t="s">
        <v>5</v>
      </c>
      <c r="CG69" s="4" t="s">
        <v>5</v>
      </c>
    </row>
    <row r="70" spans="1:85" x14ac:dyDescent="0.25">
      <c r="A70" s="13" t="str">
        <f>IF(AND($E70="",MAX($A$8:$A69)=0),"",IF(AND($E70&lt;&gt;"",MAX($A$8:$A69)=0),1,IF(AND($E70&lt;&gt;"",MAX($A$8:$A69)&gt;0),MAX($A$8:$A69)+1,"")))</f>
        <v/>
      </c>
      <c r="B70" s="11">
        <v>63</v>
      </c>
      <c r="C70" s="19" t="str">
        <f t="shared" si="0"/>
        <v>EMPTY</v>
      </c>
      <c r="D70" s="3" t="str">
        <f t="shared" si="1"/>
        <v/>
      </c>
      <c r="E70" s="7"/>
      <c r="F70" s="8" t="str">
        <f t="shared" si="2"/>
        <v/>
      </c>
      <c r="O70" s="4" t="s">
        <v>5</v>
      </c>
      <c r="P70" s="4" t="s">
        <v>5</v>
      </c>
      <c r="R70" s="4" t="s">
        <v>5</v>
      </c>
      <c r="S70" s="4" t="s">
        <v>5</v>
      </c>
      <c r="Z70" s="4" t="s">
        <v>5</v>
      </c>
      <c r="AC70" s="4" t="s">
        <v>5</v>
      </c>
      <c r="AD70" s="4" t="s">
        <v>5</v>
      </c>
      <c r="AE70" s="4" t="s">
        <v>5</v>
      </c>
      <c r="AF70" s="4" t="s">
        <v>5</v>
      </c>
      <c r="AK70" s="4" t="s">
        <v>5</v>
      </c>
      <c r="AL70" s="4" t="s">
        <v>5</v>
      </c>
      <c r="AM70" s="4" t="s">
        <v>5</v>
      </c>
      <c r="AS70" s="4" t="s">
        <v>5</v>
      </c>
      <c r="AU70" s="4" t="s">
        <v>5</v>
      </c>
      <c r="AV70" s="4" t="s">
        <v>5</v>
      </c>
      <c r="BI70" s="4" t="s">
        <v>5</v>
      </c>
      <c r="BJ70" s="4" t="s">
        <v>5</v>
      </c>
      <c r="BK70" s="4" t="s">
        <v>5</v>
      </c>
      <c r="BN70" s="4" t="s">
        <v>5</v>
      </c>
      <c r="BR70" s="4" t="s">
        <v>5</v>
      </c>
      <c r="BT70" s="4" t="s">
        <v>5</v>
      </c>
      <c r="BU70" s="4" t="s">
        <v>5</v>
      </c>
      <c r="BV70" s="4" t="s">
        <v>5</v>
      </c>
      <c r="BW70" s="4" t="s">
        <v>5</v>
      </c>
      <c r="BZ70" s="4" t="s">
        <v>5</v>
      </c>
      <c r="CA70" s="4" t="s">
        <v>5</v>
      </c>
      <c r="CC70" s="4" t="s">
        <v>5</v>
      </c>
      <c r="CD70" s="4" t="s">
        <v>5</v>
      </c>
      <c r="CE70" s="4" t="s">
        <v>5</v>
      </c>
      <c r="CF70" s="4" t="s">
        <v>5</v>
      </c>
      <c r="CG70" s="4" t="s">
        <v>5</v>
      </c>
    </row>
    <row r="71" spans="1:85" x14ac:dyDescent="0.25">
      <c r="A71" s="13" t="str">
        <f>IF(AND($E71="",MAX($A$8:$A70)=0),"",IF(AND($E71&lt;&gt;"",MAX($A$8:$A70)=0),1,IF(AND($E71&lt;&gt;"",MAX($A$8:$A70)&gt;0),MAX($A$8:$A70)+1,"")))</f>
        <v/>
      </c>
      <c r="B71" s="11">
        <v>64</v>
      </c>
      <c r="C71" s="19" t="str">
        <f t="shared" si="0"/>
        <v>EMPTY</v>
      </c>
      <c r="D71" s="3" t="str">
        <f t="shared" si="1"/>
        <v/>
      </c>
      <c r="E71" s="7"/>
      <c r="F71" s="8" t="str">
        <f t="shared" si="2"/>
        <v/>
      </c>
      <c r="O71" s="4" t="s">
        <v>5</v>
      </c>
      <c r="R71" s="4" t="s">
        <v>5</v>
      </c>
      <c r="S71" s="4" t="s">
        <v>5</v>
      </c>
      <c r="Z71" s="4" t="s">
        <v>5</v>
      </c>
      <c r="AC71" s="4" t="s">
        <v>5</v>
      </c>
      <c r="AD71" s="4" t="s">
        <v>5</v>
      </c>
      <c r="AE71" s="4" t="s">
        <v>5</v>
      </c>
      <c r="AF71" s="4" t="s">
        <v>5</v>
      </c>
      <c r="AK71" s="4" t="s">
        <v>5</v>
      </c>
      <c r="AL71" s="4" t="s">
        <v>5</v>
      </c>
      <c r="AU71" s="4" t="s">
        <v>5</v>
      </c>
      <c r="AV71" s="4" t="s">
        <v>5</v>
      </c>
      <c r="BI71" s="4" t="s">
        <v>5</v>
      </c>
      <c r="BJ71" s="4" t="s">
        <v>5</v>
      </c>
      <c r="BK71" s="4" t="s">
        <v>5</v>
      </c>
      <c r="BN71" s="4" t="s">
        <v>5</v>
      </c>
      <c r="BR71" s="4" t="s">
        <v>5</v>
      </c>
      <c r="BT71" s="4" t="s">
        <v>5</v>
      </c>
      <c r="BU71" s="4" t="s">
        <v>5</v>
      </c>
      <c r="BV71" s="4" t="s">
        <v>5</v>
      </c>
      <c r="BW71" s="4" t="s">
        <v>5</v>
      </c>
      <c r="BZ71" s="4" t="s">
        <v>5</v>
      </c>
      <c r="CA71" s="4" t="s">
        <v>5</v>
      </c>
      <c r="CC71" s="4" t="s">
        <v>5</v>
      </c>
      <c r="CD71" s="4" t="s">
        <v>5</v>
      </c>
      <c r="CE71" s="4" t="s">
        <v>5</v>
      </c>
      <c r="CF71" s="4" t="s">
        <v>5</v>
      </c>
      <c r="CG71" s="4" t="s">
        <v>5</v>
      </c>
    </row>
    <row r="72" spans="1:85" x14ac:dyDescent="0.25">
      <c r="A72" s="13" t="str">
        <f>IF(AND($E72="",MAX($A$8:$A71)=0),"",IF(AND($E72&lt;&gt;"",MAX($A$8:$A71)=0),1,IF(AND($E72&lt;&gt;"",MAX($A$8:$A71)&gt;0),MAX($A$8:$A71)+1,"")))</f>
        <v/>
      </c>
      <c r="B72" s="11">
        <v>65</v>
      </c>
      <c r="C72" s="19" t="str">
        <f t="shared" si="0"/>
        <v>EMPTY</v>
      </c>
      <c r="D72" s="3" t="str">
        <f t="shared" si="1"/>
        <v/>
      </c>
      <c r="E72" s="7"/>
      <c r="F72" s="8" t="str">
        <f t="shared" si="2"/>
        <v/>
      </c>
      <c r="O72" s="4" t="s">
        <v>5</v>
      </c>
      <c r="R72" s="4" t="s">
        <v>5</v>
      </c>
      <c r="S72" s="4" t="s">
        <v>5</v>
      </c>
      <c r="Z72" s="4" t="s">
        <v>5</v>
      </c>
      <c r="AC72" s="4" t="s">
        <v>5</v>
      </c>
      <c r="AD72" s="4" t="s">
        <v>5</v>
      </c>
      <c r="AE72" s="4" t="s">
        <v>5</v>
      </c>
      <c r="AF72" s="4" t="s">
        <v>5</v>
      </c>
      <c r="AV72" s="4" t="s">
        <v>5</v>
      </c>
      <c r="BI72" s="4" t="s">
        <v>5</v>
      </c>
      <c r="BJ72" s="4" t="s">
        <v>5</v>
      </c>
      <c r="BK72" s="4" t="s">
        <v>5</v>
      </c>
      <c r="BN72" s="4" t="s">
        <v>5</v>
      </c>
      <c r="BR72" s="4" t="s">
        <v>5</v>
      </c>
      <c r="BT72" s="4" t="s">
        <v>5</v>
      </c>
      <c r="BU72" s="4" t="s">
        <v>5</v>
      </c>
      <c r="BV72" s="4" t="s">
        <v>5</v>
      </c>
      <c r="BW72" s="4" t="s">
        <v>5</v>
      </c>
      <c r="BZ72" s="4" t="s">
        <v>5</v>
      </c>
      <c r="CC72" s="4" t="s">
        <v>5</v>
      </c>
      <c r="CD72" s="4" t="s">
        <v>5</v>
      </c>
      <c r="CE72" s="4" t="s">
        <v>5</v>
      </c>
      <c r="CF72" s="4" t="s">
        <v>5</v>
      </c>
      <c r="CG72" s="4" t="s">
        <v>5</v>
      </c>
    </row>
    <row r="73" spans="1:85" x14ac:dyDescent="0.25">
      <c r="A73" s="13" t="str">
        <f>IF(AND($E73="",MAX($A$8:$A72)=0),"",IF(AND($E73&lt;&gt;"",MAX($A$8:$A72)=0),1,IF(AND($E73&lt;&gt;"",MAX($A$8:$A72)&gt;0),MAX($A$8:$A72)+1,"")))</f>
        <v/>
      </c>
      <c r="B73" s="11">
        <v>66</v>
      </c>
      <c r="C73" s="19" t="str">
        <f t="shared" ref="C73:C136" si="3">IF($E73="","EMPTY",IF(MID($E73,1,9)&lt;&gt;"Dialogue:","HIDE",IF(MID($E73,1,9)="Dialogue:","SHOW","")))</f>
        <v>EMPTY</v>
      </c>
      <c r="D73" s="3" t="str">
        <f t="shared" ref="D73:D136" si="4">IF($C73="SHOW",CONCATENATE("[",MID($E73,FIND(",",$E73,1)+3,8),"]",MID($E73,FIND("0,,",$E73,1)+3,1000)),"")</f>
        <v/>
      </c>
      <c r="E73" s="7"/>
      <c r="F73" s="8" t="str">
        <f t="shared" ref="F73:F136" si="5">$D73</f>
        <v/>
      </c>
      <c r="O73" s="4" t="s">
        <v>5</v>
      </c>
      <c r="R73" s="4" t="s">
        <v>5</v>
      </c>
      <c r="S73" s="4" t="s">
        <v>5</v>
      </c>
      <c r="Z73" s="4" t="s">
        <v>5</v>
      </c>
      <c r="AC73" s="4" t="s">
        <v>5</v>
      </c>
      <c r="AD73" s="4" t="s">
        <v>5</v>
      </c>
      <c r="AE73" s="4" t="s">
        <v>5</v>
      </c>
      <c r="AF73" s="4" t="s">
        <v>5</v>
      </c>
      <c r="AV73" s="4" t="s">
        <v>5</v>
      </c>
      <c r="BI73" s="4" t="s">
        <v>5</v>
      </c>
      <c r="BJ73" s="4" t="s">
        <v>5</v>
      </c>
      <c r="BN73" s="4" t="s">
        <v>5</v>
      </c>
      <c r="BR73" s="4" t="s">
        <v>5</v>
      </c>
      <c r="BT73" s="4" t="s">
        <v>5</v>
      </c>
      <c r="BU73" s="4" t="s">
        <v>5</v>
      </c>
      <c r="BV73" s="4" t="s">
        <v>5</v>
      </c>
      <c r="BW73" s="4" t="s">
        <v>5</v>
      </c>
      <c r="BZ73" s="4" t="s">
        <v>5</v>
      </c>
      <c r="CC73" s="4" t="s">
        <v>5</v>
      </c>
      <c r="CD73" s="4" t="s">
        <v>5</v>
      </c>
      <c r="CE73" s="4" t="s">
        <v>5</v>
      </c>
      <c r="CF73" s="4" t="s">
        <v>5</v>
      </c>
    </row>
    <row r="74" spans="1:85" x14ac:dyDescent="0.25">
      <c r="A74" s="13" t="str">
        <f>IF(AND($E74="",MAX($A$8:$A73)=0),"",IF(AND($E74&lt;&gt;"",MAX($A$8:$A73)=0),1,IF(AND($E74&lt;&gt;"",MAX($A$8:$A73)&gt;0),MAX($A$8:$A73)+1,"")))</f>
        <v/>
      </c>
      <c r="B74" s="11">
        <v>67</v>
      </c>
      <c r="C74" s="19" t="str">
        <f t="shared" si="3"/>
        <v>EMPTY</v>
      </c>
      <c r="D74" s="3" t="str">
        <f t="shared" si="4"/>
        <v/>
      </c>
      <c r="E74" s="7"/>
      <c r="F74" s="8" t="str">
        <f t="shared" si="5"/>
        <v/>
      </c>
      <c r="O74" s="4" t="s">
        <v>5</v>
      </c>
      <c r="R74" s="4" t="s">
        <v>5</v>
      </c>
      <c r="S74" s="4" t="s">
        <v>5</v>
      </c>
      <c r="Z74" s="4" t="s">
        <v>5</v>
      </c>
      <c r="AC74" s="4" t="s">
        <v>5</v>
      </c>
      <c r="AD74" s="4" t="s">
        <v>5</v>
      </c>
      <c r="AE74" s="4" t="s">
        <v>5</v>
      </c>
      <c r="AF74" s="4" t="s">
        <v>5</v>
      </c>
      <c r="AV74" s="4" t="s">
        <v>5</v>
      </c>
      <c r="BI74" s="4" t="s">
        <v>5</v>
      </c>
      <c r="BJ74" s="4" t="s">
        <v>5</v>
      </c>
      <c r="BN74" s="4" t="s">
        <v>5</v>
      </c>
      <c r="BR74" s="4" t="s">
        <v>5</v>
      </c>
      <c r="BT74" s="4" t="s">
        <v>5</v>
      </c>
      <c r="BU74" s="4" t="s">
        <v>5</v>
      </c>
      <c r="BV74" s="4" t="s">
        <v>5</v>
      </c>
      <c r="BZ74" s="4" t="s">
        <v>5</v>
      </c>
      <c r="CC74" s="4" t="s">
        <v>5</v>
      </c>
      <c r="CD74" s="4" t="s">
        <v>5</v>
      </c>
      <c r="CE74" s="4" t="s">
        <v>5</v>
      </c>
      <c r="CF74" s="4" t="s">
        <v>5</v>
      </c>
    </row>
    <row r="75" spans="1:85" x14ac:dyDescent="0.25">
      <c r="A75" s="13" t="str">
        <f>IF(AND($E75="",MAX($A$8:$A74)=0),"",IF(AND($E75&lt;&gt;"",MAX($A$8:$A74)=0),1,IF(AND($E75&lt;&gt;"",MAX($A$8:$A74)&gt;0),MAX($A$8:$A74)+1,"")))</f>
        <v/>
      </c>
      <c r="B75" s="11">
        <v>68</v>
      </c>
      <c r="C75" s="19" t="str">
        <f t="shared" si="3"/>
        <v>EMPTY</v>
      </c>
      <c r="D75" s="3" t="str">
        <f t="shared" si="4"/>
        <v/>
      </c>
      <c r="E75" s="7"/>
      <c r="F75" s="8" t="str">
        <f t="shared" si="5"/>
        <v/>
      </c>
      <c r="O75" s="4" t="s">
        <v>5</v>
      </c>
      <c r="R75" s="4" t="s">
        <v>5</v>
      </c>
      <c r="S75" s="4" t="s">
        <v>5</v>
      </c>
      <c r="Z75" s="4" t="s">
        <v>5</v>
      </c>
      <c r="AC75" s="4" t="s">
        <v>5</v>
      </c>
      <c r="AD75" s="4" t="s">
        <v>5</v>
      </c>
      <c r="AE75" s="4" t="s">
        <v>5</v>
      </c>
      <c r="AF75" s="4" t="s">
        <v>5</v>
      </c>
      <c r="AV75" s="4" t="s">
        <v>5</v>
      </c>
      <c r="BI75" s="4" t="s">
        <v>5</v>
      </c>
      <c r="BJ75" s="4" t="s">
        <v>5</v>
      </c>
      <c r="BR75" s="4" t="s">
        <v>5</v>
      </c>
      <c r="BT75" s="4" t="s">
        <v>5</v>
      </c>
      <c r="BU75" s="4" t="s">
        <v>5</v>
      </c>
      <c r="BV75" s="4" t="s">
        <v>5</v>
      </c>
      <c r="BZ75" s="4" t="s">
        <v>5</v>
      </c>
      <c r="CC75" s="4" t="s">
        <v>5</v>
      </c>
    </row>
    <row r="76" spans="1:85" x14ac:dyDescent="0.25">
      <c r="A76" s="13" t="str">
        <f>IF(AND($E76="",MAX($A$8:$A75)=0),"",IF(AND($E76&lt;&gt;"",MAX($A$8:$A75)=0),1,IF(AND($E76&lt;&gt;"",MAX($A$8:$A75)&gt;0),MAX($A$8:$A75)+1,"")))</f>
        <v/>
      </c>
      <c r="B76" s="11">
        <v>69</v>
      </c>
      <c r="C76" s="19" t="str">
        <f t="shared" si="3"/>
        <v>EMPTY</v>
      </c>
      <c r="D76" s="3" t="str">
        <f t="shared" si="4"/>
        <v/>
      </c>
      <c r="E76" s="7"/>
      <c r="F76" s="8" t="str">
        <f t="shared" si="5"/>
        <v/>
      </c>
      <c r="O76" s="4" t="s">
        <v>5</v>
      </c>
      <c r="R76" s="4" t="s">
        <v>5</v>
      </c>
      <c r="S76" s="4" t="s">
        <v>5</v>
      </c>
      <c r="Z76" s="4" t="s">
        <v>5</v>
      </c>
      <c r="AC76" s="4" t="s">
        <v>5</v>
      </c>
      <c r="AD76" s="4" t="s">
        <v>5</v>
      </c>
      <c r="AE76" s="4" t="s">
        <v>5</v>
      </c>
      <c r="AF76" s="4" t="s">
        <v>5</v>
      </c>
      <c r="AV76" s="4" t="s">
        <v>5</v>
      </c>
      <c r="BI76" s="4" t="s">
        <v>5</v>
      </c>
      <c r="BJ76" s="4" t="s">
        <v>5</v>
      </c>
      <c r="BR76" s="4" t="s">
        <v>5</v>
      </c>
      <c r="BU76" s="4" t="s">
        <v>5</v>
      </c>
      <c r="BV76" s="4" t="s">
        <v>5</v>
      </c>
      <c r="BZ76" s="4" t="s">
        <v>5</v>
      </c>
      <c r="CC76" s="4" t="s">
        <v>5</v>
      </c>
    </row>
    <row r="77" spans="1:85" x14ac:dyDescent="0.25">
      <c r="A77" s="13" t="str">
        <f>IF(AND($E77="",MAX($A$8:$A76)=0),"",IF(AND($E77&lt;&gt;"",MAX($A$8:$A76)=0),1,IF(AND($E77&lt;&gt;"",MAX($A$8:$A76)&gt;0),MAX($A$8:$A76)+1,"")))</f>
        <v/>
      </c>
      <c r="B77" s="11">
        <v>70</v>
      </c>
      <c r="C77" s="19" t="str">
        <f t="shared" si="3"/>
        <v>EMPTY</v>
      </c>
      <c r="D77" s="3" t="str">
        <f t="shared" si="4"/>
        <v/>
      </c>
      <c r="E77" s="7"/>
      <c r="F77" s="8" t="str">
        <f t="shared" si="5"/>
        <v/>
      </c>
      <c r="O77" s="4" t="s">
        <v>5</v>
      </c>
      <c r="R77" s="4" t="s">
        <v>5</v>
      </c>
      <c r="S77" s="4" t="s">
        <v>5</v>
      </c>
      <c r="Z77" s="4" t="s">
        <v>5</v>
      </c>
      <c r="AC77" s="4" t="s">
        <v>5</v>
      </c>
      <c r="AD77" s="4" t="s">
        <v>5</v>
      </c>
      <c r="AE77" s="4" t="s">
        <v>5</v>
      </c>
      <c r="AF77" s="4" t="s">
        <v>5</v>
      </c>
      <c r="AV77" s="4" t="s">
        <v>5</v>
      </c>
      <c r="BI77" s="4" t="s">
        <v>5</v>
      </c>
      <c r="BJ77" s="4" t="s">
        <v>5</v>
      </c>
      <c r="BR77" s="4" t="s">
        <v>5</v>
      </c>
      <c r="BU77" s="4" t="s">
        <v>5</v>
      </c>
      <c r="BV77" s="4" t="s">
        <v>5</v>
      </c>
      <c r="BZ77" s="4" t="s">
        <v>5</v>
      </c>
      <c r="CC77" s="4" t="s">
        <v>5</v>
      </c>
    </row>
    <row r="78" spans="1:85" x14ac:dyDescent="0.25">
      <c r="A78" s="13" t="str">
        <f>IF(AND($E78="",MAX($A$8:$A77)=0),"",IF(AND($E78&lt;&gt;"",MAX($A$8:$A77)=0),1,IF(AND($E78&lt;&gt;"",MAX($A$8:$A77)&gt;0),MAX($A$8:$A77)+1,"")))</f>
        <v/>
      </c>
      <c r="B78" s="11">
        <v>71</v>
      </c>
      <c r="C78" s="19" t="str">
        <f t="shared" si="3"/>
        <v>EMPTY</v>
      </c>
      <c r="D78" s="3" t="str">
        <f t="shared" si="4"/>
        <v/>
      </c>
      <c r="E78" s="7"/>
      <c r="F78" s="8" t="str">
        <f t="shared" si="5"/>
        <v/>
      </c>
      <c r="O78" s="4" t="s">
        <v>5</v>
      </c>
      <c r="R78" s="4" t="s">
        <v>5</v>
      </c>
      <c r="S78" s="4" t="s">
        <v>5</v>
      </c>
      <c r="Z78" s="4" t="s">
        <v>5</v>
      </c>
      <c r="AC78" s="4" t="s">
        <v>5</v>
      </c>
      <c r="AD78" s="4" t="s">
        <v>5</v>
      </c>
      <c r="AE78" s="4" t="s">
        <v>5</v>
      </c>
      <c r="AF78" s="4" t="s">
        <v>5</v>
      </c>
      <c r="AV78" s="4" t="s">
        <v>5</v>
      </c>
      <c r="BI78" s="4" t="s">
        <v>5</v>
      </c>
      <c r="BJ78" s="4" t="s">
        <v>5</v>
      </c>
      <c r="BR78" s="4" t="s">
        <v>5</v>
      </c>
      <c r="BU78" s="4" t="s">
        <v>5</v>
      </c>
      <c r="BV78" s="4" t="s">
        <v>5</v>
      </c>
      <c r="BZ78" s="4" t="s">
        <v>5</v>
      </c>
      <c r="CC78" s="4" t="s">
        <v>5</v>
      </c>
    </row>
    <row r="79" spans="1:85" x14ac:dyDescent="0.25">
      <c r="A79" s="13" t="str">
        <f>IF(AND($E79="",MAX($A$8:$A78)=0),"",IF(AND($E79&lt;&gt;"",MAX($A$8:$A78)=0),1,IF(AND($E79&lt;&gt;"",MAX($A$8:$A78)&gt;0),MAX($A$8:$A78)+1,"")))</f>
        <v/>
      </c>
      <c r="B79" s="11">
        <v>72</v>
      </c>
      <c r="C79" s="19" t="str">
        <f t="shared" si="3"/>
        <v>EMPTY</v>
      </c>
      <c r="D79" s="3" t="str">
        <f t="shared" si="4"/>
        <v/>
      </c>
      <c r="E79" s="7"/>
      <c r="F79" s="8" t="str">
        <f t="shared" si="5"/>
        <v/>
      </c>
      <c r="O79" s="4" t="s">
        <v>5</v>
      </c>
      <c r="R79" s="4" t="s">
        <v>5</v>
      </c>
      <c r="S79" s="4" t="s">
        <v>5</v>
      </c>
      <c r="Z79" s="4" t="s">
        <v>5</v>
      </c>
      <c r="AC79" s="4" t="s">
        <v>5</v>
      </c>
      <c r="AD79" s="4" t="s">
        <v>5</v>
      </c>
      <c r="AE79" s="4" t="s">
        <v>5</v>
      </c>
      <c r="AF79" s="4" t="s">
        <v>5</v>
      </c>
      <c r="AV79" s="4" t="s">
        <v>5</v>
      </c>
      <c r="BI79" s="4" t="s">
        <v>5</v>
      </c>
      <c r="BJ79" s="4" t="s">
        <v>5</v>
      </c>
      <c r="BR79" s="4" t="s">
        <v>5</v>
      </c>
      <c r="BU79" s="4" t="s">
        <v>5</v>
      </c>
      <c r="BV79" s="4" t="s">
        <v>5</v>
      </c>
      <c r="BZ79" s="4" t="s">
        <v>5</v>
      </c>
    </row>
    <row r="80" spans="1:85" x14ac:dyDescent="0.25">
      <c r="A80" s="13" t="str">
        <f>IF(AND($E80="",MAX($A$8:$A79)=0),"",IF(AND($E80&lt;&gt;"",MAX($A$8:$A79)=0),1,IF(AND($E80&lt;&gt;"",MAX($A$8:$A79)&gt;0),MAX($A$8:$A79)+1,"")))</f>
        <v/>
      </c>
      <c r="B80" s="11">
        <v>73</v>
      </c>
      <c r="C80" s="19" t="str">
        <f t="shared" si="3"/>
        <v>EMPTY</v>
      </c>
      <c r="D80" s="3" t="str">
        <f t="shared" si="4"/>
        <v/>
      </c>
      <c r="E80" s="7"/>
      <c r="F80" s="8" t="str">
        <f t="shared" si="5"/>
        <v/>
      </c>
      <c r="O80" s="4" t="s">
        <v>5</v>
      </c>
      <c r="R80" s="4" t="s">
        <v>5</v>
      </c>
      <c r="S80" s="4" t="s">
        <v>5</v>
      </c>
      <c r="Z80" s="4" t="s">
        <v>5</v>
      </c>
      <c r="AC80" s="4" t="s">
        <v>5</v>
      </c>
      <c r="AD80" s="4" t="s">
        <v>5</v>
      </c>
      <c r="AE80" s="4" t="s">
        <v>5</v>
      </c>
      <c r="AF80" s="4" t="s">
        <v>5</v>
      </c>
      <c r="AV80" s="4" t="s">
        <v>5</v>
      </c>
      <c r="BI80" s="4" t="s">
        <v>5</v>
      </c>
      <c r="BJ80" s="4" t="s">
        <v>5</v>
      </c>
      <c r="BR80" s="4" t="s">
        <v>5</v>
      </c>
      <c r="BU80" s="4" t="s">
        <v>5</v>
      </c>
      <c r="BV80" s="4" t="s">
        <v>5</v>
      </c>
      <c r="BZ80" s="4" t="s">
        <v>5</v>
      </c>
    </row>
    <row r="81" spans="1:78" x14ac:dyDescent="0.25">
      <c r="A81" s="13" t="str">
        <f>IF(AND($E81="",MAX($A$8:$A80)=0),"",IF(AND($E81&lt;&gt;"",MAX($A$8:$A80)=0),1,IF(AND($E81&lt;&gt;"",MAX($A$8:$A80)&gt;0),MAX($A$8:$A80)+1,"")))</f>
        <v/>
      </c>
      <c r="B81" s="11">
        <v>74</v>
      </c>
      <c r="C81" s="19" t="str">
        <f t="shared" si="3"/>
        <v>EMPTY</v>
      </c>
      <c r="D81" s="3" t="str">
        <f t="shared" si="4"/>
        <v/>
      </c>
      <c r="E81" s="7"/>
      <c r="F81" s="8" t="str">
        <f t="shared" si="5"/>
        <v/>
      </c>
      <c r="O81" s="4" t="s">
        <v>5</v>
      </c>
      <c r="R81" s="4" t="s">
        <v>5</v>
      </c>
      <c r="S81" s="4" t="s">
        <v>5</v>
      </c>
      <c r="Z81" s="4" t="s">
        <v>5</v>
      </c>
      <c r="AC81" s="4" t="s">
        <v>5</v>
      </c>
      <c r="AD81" s="4" t="s">
        <v>5</v>
      </c>
      <c r="AE81" s="4" t="s">
        <v>5</v>
      </c>
      <c r="AF81" s="4" t="s">
        <v>5</v>
      </c>
      <c r="AV81" s="4" t="s">
        <v>5</v>
      </c>
      <c r="BI81" s="4" t="s">
        <v>5</v>
      </c>
      <c r="BJ81" s="4" t="s">
        <v>5</v>
      </c>
      <c r="BR81" s="4" t="s">
        <v>5</v>
      </c>
      <c r="BU81" s="4" t="s">
        <v>5</v>
      </c>
      <c r="BZ81" s="4" t="s">
        <v>5</v>
      </c>
    </row>
    <row r="82" spans="1:78" x14ac:dyDescent="0.25">
      <c r="A82" s="13" t="str">
        <f>IF(AND($E82="",MAX($A$8:$A81)=0),"",IF(AND($E82&lt;&gt;"",MAX($A$8:$A81)=0),1,IF(AND($E82&lt;&gt;"",MAX($A$8:$A81)&gt;0),MAX($A$8:$A81)+1,"")))</f>
        <v/>
      </c>
      <c r="B82" s="11">
        <v>75</v>
      </c>
      <c r="C82" s="19" t="str">
        <f t="shared" si="3"/>
        <v>EMPTY</v>
      </c>
      <c r="D82" s="3" t="str">
        <f t="shared" si="4"/>
        <v/>
      </c>
      <c r="E82" s="7"/>
      <c r="F82" s="8" t="str">
        <f t="shared" si="5"/>
        <v/>
      </c>
      <c r="O82" s="4" t="s">
        <v>5</v>
      </c>
      <c r="R82" s="4" t="s">
        <v>5</v>
      </c>
      <c r="S82" s="4" t="s">
        <v>5</v>
      </c>
      <c r="AC82" s="4" t="s">
        <v>5</v>
      </c>
      <c r="AD82" s="4" t="s">
        <v>5</v>
      </c>
      <c r="AE82" s="4" t="s">
        <v>5</v>
      </c>
      <c r="AF82" s="4" t="s">
        <v>5</v>
      </c>
      <c r="AV82" s="4" t="s">
        <v>5</v>
      </c>
      <c r="BI82" s="4" t="s">
        <v>5</v>
      </c>
      <c r="BJ82" s="4" t="s">
        <v>5</v>
      </c>
      <c r="BU82" s="4" t="s">
        <v>5</v>
      </c>
      <c r="BZ82" s="4" t="s">
        <v>5</v>
      </c>
    </row>
    <row r="83" spans="1:78" x14ac:dyDescent="0.25">
      <c r="A83" s="13" t="str">
        <f>IF(AND($E83="",MAX($A$8:$A82)=0),"",IF(AND($E83&lt;&gt;"",MAX($A$8:$A82)=0),1,IF(AND($E83&lt;&gt;"",MAX($A$8:$A82)&gt;0),MAX($A$8:$A82)+1,"")))</f>
        <v/>
      </c>
      <c r="B83" s="11">
        <v>76</v>
      </c>
      <c r="C83" s="19" t="str">
        <f t="shared" si="3"/>
        <v>EMPTY</v>
      </c>
      <c r="D83" s="3" t="str">
        <f t="shared" si="4"/>
        <v/>
      </c>
      <c r="E83" s="7"/>
      <c r="F83" s="8" t="str">
        <f t="shared" si="5"/>
        <v/>
      </c>
      <c r="O83" s="4" t="s">
        <v>5</v>
      </c>
      <c r="R83" s="4" t="s">
        <v>5</v>
      </c>
      <c r="S83" s="4" t="s">
        <v>5</v>
      </c>
      <c r="AC83" s="4" t="s">
        <v>5</v>
      </c>
      <c r="AD83" s="4" t="s">
        <v>5</v>
      </c>
      <c r="AE83" s="4" t="s">
        <v>5</v>
      </c>
      <c r="AF83" s="4" t="s">
        <v>5</v>
      </c>
      <c r="AV83" s="4" t="s">
        <v>5</v>
      </c>
      <c r="BI83" s="4" t="s">
        <v>5</v>
      </c>
      <c r="BJ83" s="4" t="s">
        <v>5</v>
      </c>
      <c r="BU83" s="4" t="s">
        <v>5</v>
      </c>
      <c r="BZ83" s="4" t="s">
        <v>5</v>
      </c>
    </row>
    <row r="84" spans="1:78" x14ac:dyDescent="0.25">
      <c r="A84" s="13" t="str">
        <f>IF(AND($E84="",MAX($A$8:$A83)=0),"",IF(AND($E84&lt;&gt;"",MAX($A$8:$A83)=0),1,IF(AND($E84&lt;&gt;"",MAX($A$8:$A83)&gt;0),MAX($A$8:$A83)+1,"")))</f>
        <v/>
      </c>
      <c r="B84" s="11">
        <v>77</v>
      </c>
      <c r="C84" s="19" t="str">
        <f t="shared" si="3"/>
        <v>EMPTY</v>
      </c>
      <c r="D84" s="3" t="str">
        <f t="shared" si="4"/>
        <v/>
      </c>
      <c r="E84" s="7"/>
      <c r="F84" s="8" t="str">
        <f t="shared" si="5"/>
        <v/>
      </c>
      <c r="O84" s="4" t="s">
        <v>5</v>
      </c>
      <c r="R84" s="4" t="s">
        <v>5</v>
      </c>
      <c r="S84" s="4" t="s">
        <v>5</v>
      </c>
      <c r="AE84" s="4" t="s">
        <v>5</v>
      </c>
      <c r="AF84" s="4" t="s">
        <v>5</v>
      </c>
      <c r="AV84" s="4" t="s">
        <v>5</v>
      </c>
      <c r="BI84" s="4" t="s">
        <v>5</v>
      </c>
      <c r="BJ84" s="4" t="s">
        <v>5</v>
      </c>
      <c r="BU84" s="4" t="s">
        <v>5</v>
      </c>
      <c r="BZ84" s="4" t="s">
        <v>5</v>
      </c>
    </row>
    <row r="85" spans="1:78" x14ac:dyDescent="0.25">
      <c r="A85" s="13" t="str">
        <f>IF(AND($E85="",MAX($A$8:$A84)=0),"",IF(AND($E85&lt;&gt;"",MAX($A$8:$A84)=0),1,IF(AND($E85&lt;&gt;"",MAX($A$8:$A84)&gt;0),MAX($A$8:$A84)+1,"")))</f>
        <v/>
      </c>
      <c r="B85" s="11">
        <v>78</v>
      </c>
      <c r="C85" s="19" t="str">
        <f t="shared" si="3"/>
        <v>EMPTY</v>
      </c>
      <c r="D85" s="3" t="str">
        <f t="shared" si="4"/>
        <v/>
      </c>
      <c r="E85" s="7"/>
      <c r="F85" s="8" t="str">
        <f t="shared" si="5"/>
        <v/>
      </c>
      <c r="O85" s="4" t="s">
        <v>5</v>
      </c>
      <c r="R85" s="4" t="s">
        <v>5</v>
      </c>
      <c r="S85" s="4" t="s">
        <v>5</v>
      </c>
      <c r="AE85" s="4" t="s">
        <v>5</v>
      </c>
      <c r="AF85" s="4" t="s">
        <v>5</v>
      </c>
      <c r="AV85" s="4" t="s">
        <v>5</v>
      </c>
      <c r="BI85" s="4" t="s">
        <v>5</v>
      </c>
      <c r="BJ85" s="4" t="s">
        <v>5</v>
      </c>
      <c r="BZ85" s="4" t="s">
        <v>5</v>
      </c>
    </row>
    <row r="86" spans="1:78" x14ac:dyDescent="0.25">
      <c r="A86" s="13" t="str">
        <f>IF(AND($E86="",MAX($A$8:$A85)=0),"",IF(AND($E86&lt;&gt;"",MAX($A$8:$A85)=0),1,IF(AND($E86&lt;&gt;"",MAX($A$8:$A85)&gt;0),MAX($A$8:$A85)+1,"")))</f>
        <v/>
      </c>
      <c r="B86" s="11">
        <v>79</v>
      </c>
      <c r="C86" s="19" t="str">
        <f t="shared" si="3"/>
        <v>EMPTY</v>
      </c>
      <c r="D86" s="3" t="str">
        <f t="shared" si="4"/>
        <v/>
      </c>
      <c r="E86" s="7"/>
      <c r="F86" s="8" t="str">
        <f t="shared" si="5"/>
        <v/>
      </c>
      <c r="O86" s="4" t="s">
        <v>5</v>
      </c>
      <c r="R86" s="4" t="s">
        <v>5</v>
      </c>
      <c r="S86" s="4" t="s">
        <v>5</v>
      </c>
      <c r="AE86" s="4" t="s">
        <v>5</v>
      </c>
      <c r="AF86" s="4" t="s">
        <v>5</v>
      </c>
      <c r="AV86" s="4" t="s">
        <v>5</v>
      </c>
      <c r="BI86" s="4" t="s">
        <v>5</v>
      </c>
      <c r="BJ86" s="4" t="s">
        <v>5</v>
      </c>
      <c r="BZ86" s="4" t="s">
        <v>5</v>
      </c>
    </row>
    <row r="87" spans="1:78" x14ac:dyDescent="0.25">
      <c r="A87" s="13" t="str">
        <f>IF(AND($E87="",MAX($A$8:$A86)=0),"",IF(AND($E87&lt;&gt;"",MAX($A$8:$A86)=0),1,IF(AND($E87&lt;&gt;"",MAX($A$8:$A86)&gt;0),MAX($A$8:$A86)+1,"")))</f>
        <v/>
      </c>
      <c r="B87" s="11">
        <v>80</v>
      </c>
      <c r="C87" s="19" t="str">
        <f t="shared" si="3"/>
        <v>EMPTY</v>
      </c>
      <c r="D87" s="3" t="str">
        <f t="shared" si="4"/>
        <v/>
      </c>
      <c r="E87" s="7"/>
      <c r="F87" s="8" t="str">
        <f t="shared" si="5"/>
        <v/>
      </c>
      <c r="O87" s="4" t="s">
        <v>5</v>
      </c>
      <c r="R87" s="4" t="s">
        <v>5</v>
      </c>
      <c r="S87" s="4" t="s">
        <v>5</v>
      </c>
      <c r="AE87" s="4" t="s">
        <v>5</v>
      </c>
      <c r="AF87" s="4" t="s">
        <v>5</v>
      </c>
      <c r="AV87" s="4" t="s">
        <v>5</v>
      </c>
      <c r="BI87" s="4" t="s">
        <v>5</v>
      </c>
      <c r="BJ87" s="4" t="s">
        <v>5</v>
      </c>
      <c r="BZ87" s="4" t="s">
        <v>5</v>
      </c>
    </row>
    <row r="88" spans="1:78" x14ac:dyDescent="0.25">
      <c r="A88" s="13" t="str">
        <f>IF(AND($E88="",MAX($A$8:$A87)=0),"",IF(AND($E88&lt;&gt;"",MAX($A$8:$A87)=0),1,IF(AND($E88&lt;&gt;"",MAX($A$8:$A87)&gt;0),MAX($A$8:$A87)+1,"")))</f>
        <v/>
      </c>
      <c r="B88" s="11">
        <v>81</v>
      </c>
      <c r="C88" s="19" t="str">
        <f t="shared" si="3"/>
        <v>EMPTY</v>
      </c>
      <c r="D88" s="3" t="str">
        <f t="shared" si="4"/>
        <v/>
      </c>
      <c r="E88" s="7"/>
      <c r="F88" s="8" t="str">
        <f t="shared" si="5"/>
        <v/>
      </c>
      <c r="O88" s="4" t="s">
        <v>5</v>
      </c>
      <c r="R88" s="4" t="s">
        <v>5</v>
      </c>
      <c r="S88" s="4" t="s">
        <v>5</v>
      </c>
      <c r="AE88" s="4" t="s">
        <v>5</v>
      </c>
      <c r="AF88" s="4" t="s">
        <v>5</v>
      </c>
      <c r="AV88" s="4" t="s">
        <v>5</v>
      </c>
      <c r="BI88" s="4" t="s">
        <v>5</v>
      </c>
      <c r="BJ88" s="4" t="s">
        <v>5</v>
      </c>
      <c r="BZ88" s="4" t="s">
        <v>5</v>
      </c>
    </row>
    <row r="89" spans="1:78" x14ac:dyDescent="0.25">
      <c r="A89" s="13" t="str">
        <f>IF(AND($E89="",MAX($A$8:$A88)=0),"",IF(AND($E89&lt;&gt;"",MAX($A$8:$A88)=0),1,IF(AND($E89&lt;&gt;"",MAX($A$8:$A88)&gt;0),MAX($A$8:$A88)+1,"")))</f>
        <v/>
      </c>
      <c r="B89" s="11">
        <v>82</v>
      </c>
      <c r="C89" s="19" t="str">
        <f t="shared" si="3"/>
        <v>EMPTY</v>
      </c>
      <c r="D89" s="3" t="str">
        <f t="shared" si="4"/>
        <v/>
      </c>
      <c r="E89" s="7"/>
      <c r="F89" s="8" t="str">
        <f t="shared" si="5"/>
        <v/>
      </c>
      <c r="O89" s="4" t="s">
        <v>5</v>
      </c>
      <c r="R89" s="4" t="s">
        <v>5</v>
      </c>
      <c r="S89" s="4" t="s">
        <v>5</v>
      </c>
      <c r="AE89" s="4" t="s">
        <v>5</v>
      </c>
      <c r="AF89" s="4" t="s">
        <v>5</v>
      </c>
      <c r="AV89" s="4" t="s">
        <v>5</v>
      </c>
      <c r="BI89" s="4" t="s">
        <v>5</v>
      </c>
      <c r="BJ89" s="4" t="s">
        <v>5</v>
      </c>
      <c r="BZ89" s="4" t="s">
        <v>5</v>
      </c>
    </row>
    <row r="90" spans="1:78" x14ac:dyDescent="0.25">
      <c r="A90" s="13" t="str">
        <f>IF(AND($E90="",MAX($A$8:$A89)=0),"",IF(AND($E90&lt;&gt;"",MAX($A$8:$A89)=0),1,IF(AND($E90&lt;&gt;"",MAX($A$8:$A89)&gt;0),MAX($A$8:$A89)+1,"")))</f>
        <v/>
      </c>
      <c r="B90" s="11">
        <v>83</v>
      </c>
      <c r="C90" s="19" t="str">
        <f t="shared" si="3"/>
        <v>EMPTY</v>
      </c>
      <c r="D90" s="3" t="str">
        <f t="shared" si="4"/>
        <v/>
      </c>
      <c r="E90" s="7"/>
      <c r="F90" s="8" t="str">
        <f t="shared" si="5"/>
        <v/>
      </c>
      <c r="O90" s="4" t="s">
        <v>5</v>
      </c>
      <c r="R90" s="4" t="s">
        <v>5</v>
      </c>
      <c r="AE90" s="4" t="s">
        <v>5</v>
      </c>
      <c r="AF90" s="4" t="s">
        <v>5</v>
      </c>
      <c r="AV90" s="4" t="s">
        <v>5</v>
      </c>
      <c r="BI90" s="4" t="s">
        <v>5</v>
      </c>
      <c r="BJ90" s="4" t="s">
        <v>5</v>
      </c>
      <c r="BZ90" s="4" t="s">
        <v>5</v>
      </c>
    </row>
    <row r="91" spans="1:78" x14ac:dyDescent="0.25">
      <c r="A91" s="13" t="str">
        <f>IF(AND($E91="",MAX($A$8:$A90)=0),"",IF(AND($E91&lt;&gt;"",MAX($A$8:$A90)=0),1,IF(AND($E91&lt;&gt;"",MAX($A$8:$A90)&gt;0),MAX($A$8:$A90)+1,"")))</f>
        <v/>
      </c>
      <c r="B91" s="11">
        <v>84</v>
      </c>
      <c r="C91" s="19" t="str">
        <f t="shared" si="3"/>
        <v>EMPTY</v>
      </c>
      <c r="D91" s="3" t="str">
        <f t="shared" si="4"/>
        <v/>
      </c>
      <c r="E91" s="7"/>
      <c r="F91" s="8" t="str">
        <f t="shared" si="5"/>
        <v/>
      </c>
      <c r="O91" s="4" t="s">
        <v>5</v>
      </c>
      <c r="R91" s="4" t="s">
        <v>5</v>
      </c>
      <c r="AE91" s="4" t="s">
        <v>5</v>
      </c>
      <c r="AF91" s="4" t="s">
        <v>5</v>
      </c>
      <c r="AV91" s="4" t="s">
        <v>5</v>
      </c>
      <c r="BI91" s="4" t="s">
        <v>5</v>
      </c>
      <c r="BJ91" s="4" t="s">
        <v>5</v>
      </c>
      <c r="BZ91" s="4" t="s">
        <v>5</v>
      </c>
    </row>
    <row r="92" spans="1:78" x14ac:dyDescent="0.25">
      <c r="A92" s="13" t="str">
        <f>IF(AND($E92="",MAX($A$8:$A91)=0),"",IF(AND($E92&lt;&gt;"",MAX($A$8:$A91)=0),1,IF(AND($E92&lt;&gt;"",MAX($A$8:$A91)&gt;0),MAX($A$8:$A91)+1,"")))</f>
        <v/>
      </c>
      <c r="B92" s="11">
        <v>85</v>
      </c>
      <c r="C92" s="19" t="str">
        <f t="shared" si="3"/>
        <v>EMPTY</v>
      </c>
      <c r="D92" s="3" t="str">
        <f t="shared" si="4"/>
        <v/>
      </c>
      <c r="E92" s="7"/>
      <c r="F92" s="8" t="str">
        <f t="shared" si="5"/>
        <v/>
      </c>
      <c r="R92" s="4" t="s">
        <v>5</v>
      </c>
      <c r="AE92" s="4" t="s">
        <v>5</v>
      </c>
      <c r="AF92" s="4" t="s">
        <v>5</v>
      </c>
      <c r="AV92" s="4" t="s">
        <v>5</v>
      </c>
      <c r="BI92" s="4" t="s">
        <v>5</v>
      </c>
      <c r="BJ92" s="4" t="s">
        <v>5</v>
      </c>
      <c r="BZ92" s="4" t="s">
        <v>5</v>
      </c>
    </row>
    <row r="93" spans="1:78" x14ac:dyDescent="0.25">
      <c r="A93" s="13" t="str">
        <f>IF(AND($E93="",MAX($A$8:$A92)=0),"",IF(AND($E93&lt;&gt;"",MAX($A$8:$A92)=0),1,IF(AND($E93&lt;&gt;"",MAX($A$8:$A92)&gt;0),MAX($A$8:$A92)+1,"")))</f>
        <v/>
      </c>
      <c r="B93" s="11">
        <v>86</v>
      </c>
      <c r="C93" s="19" t="str">
        <f t="shared" si="3"/>
        <v>EMPTY</v>
      </c>
      <c r="D93" s="3" t="str">
        <f t="shared" si="4"/>
        <v/>
      </c>
      <c r="E93" s="7"/>
      <c r="F93" s="8" t="str">
        <f t="shared" si="5"/>
        <v/>
      </c>
      <c r="R93" s="4" t="s">
        <v>5</v>
      </c>
      <c r="AE93" s="4" t="s">
        <v>5</v>
      </c>
      <c r="AF93" s="4" t="s">
        <v>5</v>
      </c>
      <c r="AV93" s="4" t="s">
        <v>5</v>
      </c>
      <c r="BI93" s="4" t="s">
        <v>5</v>
      </c>
      <c r="BJ93" s="4" t="s">
        <v>5</v>
      </c>
      <c r="BZ93" s="4" t="s">
        <v>5</v>
      </c>
    </row>
    <row r="94" spans="1:78" x14ac:dyDescent="0.25">
      <c r="A94" s="13" t="str">
        <f>IF(AND($E94="",MAX($A$8:$A93)=0),"",IF(AND($E94&lt;&gt;"",MAX($A$8:$A93)=0),1,IF(AND($E94&lt;&gt;"",MAX($A$8:$A93)&gt;0),MAX($A$8:$A93)+1,"")))</f>
        <v/>
      </c>
      <c r="B94" s="11">
        <v>87</v>
      </c>
      <c r="C94" s="19" t="str">
        <f t="shared" si="3"/>
        <v>EMPTY</v>
      </c>
      <c r="D94" s="3" t="str">
        <f t="shared" si="4"/>
        <v/>
      </c>
      <c r="E94" s="7"/>
      <c r="F94" s="8" t="str">
        <f t="shared" si="5"/>
        <v/>
      </c>
      <c r="R94" s="4" t="s">
        <v>5</v>
      </c>
      <c r="AE94" s="4" t="s">
        <v>5</v>
      </c>
      <c r="AF94" s="4" t="s">
        <v>5</v>
      </c>
      <c r="AV94" s="4" t="s">
        <v>5</v>
      </c>
      <c r="BI94" s="4" t="s">
        <v>5</v>
      </c>
      <c r="BJ94" s="4" t="s">
        <v>5</v>
      </c>
    </row>
    <row r="95" spans="1:78" x14ac:dyDescent="0.25">
      <c r="A95" s="13" t="str">
        <f>IF(AND($E95="",MAX($A$8:$A94)=0),"",IF(AND($E95&lt;&gt;"",MAX($A$8:$A94)=0),1,IF(AND($E95&lt;&gt;"",MAX($A$8:$A94)&gt;0),MAX($A$8:$A94)+1,"")))</f>
        <v/>
      </c>
      <c r="B95" s="11">
        <v>88</v>
      </c>
      <c r="C95" s="19" t="str">
        <f t="shared" si="3"/>
        <v>EMPTY</v>
      </c>
      <c r="D95" s="3" t="str">
        <f t="shared" si="4"/>
        <v/>
      </c>
      <c r="E95" s="7"/>
      <c r="F95" s="8" t="str">
        <f t="shared" si="5"/>
        <v/>
      </c>
      <c r="R95" s="4" t="s">
        <v>5</v>
      </c>
      <c r="AE95" s="4" t="s">
        <v>5</v>
      </c>
      <c r="AF95" s="4" t="s">
        <v>5</v>
      </c>
      <c r="AV95" s="4" t="s">
        <v>5</v>
      </c>
      <c r="BI95" s="4" t="s">
        <v>5</v>
      </c>
      <c r="BJ95" s="4" t="s">
        <v>5</v>
      </c>
    </row>
    <row r="96" spans="1:78" x14ac:dyDescent="0.25">
      <c r="A96" s="13" t="str">
        <f>IF(AND($E96="",MAX($A$8:$A95)=0),"",IF(AND($E96&lt;&gt;"",MAX($A$8:$A95)=0),1,IF(AND($E96&lt;&gt;"",MAX($A$8:$A95)&gt;0),MAX($A$8:$A95)+1,"")))</f>
        <v/>
      </c>
      <c r="B96" s="11">
        <v>89</v>
      </c>
      <c r="C96" s="19" t="str">
        <f t="shared" si="3"/>
        <v>EMPTY</v>
      </c>
      <c r="D96" s="3" t="str">
        <f t="shared" si="4"/>
        <v/>
      </c>
      <c r="E96" s="7"/>
      <c r="F96" s="8" t="str">
        <f t="shared" si="5"/>
        <v/>
      </c>
      <c r="R96" s="4" t="s">
        <v>5</v>
      </c>
      <c r="AE96" s="4" t="s">
        <v>5</v>
      </c>
      <c r="AF96" s="4" t="s">
        <v>5</v>
      </c>
      <c r="AV96" s="4" t="s">
        <v>5</v>
      </c>
      <c r="BI96" s="4" t="s">
        <v>5</v>
      </c>
      <c r="BJ96" s="4" t="s">
        <v>5</v>
      </c>
    </row>
    <row r="97" spans="1:62" x14ac:dyDescent="0.25">
      <c r="A97" s="13" t="str">
        <f>IF(AND($E97="",MAX($A$8:$A96)=0),"",IF(AND($E97&lt;&gt;"",MAX($A$8:$A96)=0),1,IF(AND($E97&lt;&gt;"",MAX($A$8:$A96)&gt;0),MAX($A$8:$A96)+1,"")))</f>
        <v/>
      </c>
      <c r="B97" s="11">
        <v>90</v>
      </c>
      <c r="C97" s="19" t="str">
        <f t="shared" si="3"/>
        <v>EMPTY</v>
      </c>
      <c r="D97" s="3" t="str">
        <f t="shared" si="4"/>
        <v/>
      </c>
      <c r="E97" s="7"/>
      <c r="F97" s="8" t="str">
        <f t="shared" si="5"/>
        <v/>
      </c>
      <c r="R97" s="4" t="s">
        <v>5</v>
      </c>
      <c r="AE97" s="4" t="s">
        <v>5</v>
      </c>
      <c r="AF97" s="4" t="s">
        <v>5</v>
      </c>
      <c r="AV97" s="4" t="s">
        <v>5</v>
      </c>
      <c r="BI97" s="4" t="s">
        <v>5</v>
      </c>
      <c r="BJ97" s="4" t="s">
        <v>5</v>
      </c>
    </row>
    <row r="98" spans="1:62" x14ac:dyDescent="0.25">
      <c r="A98" s="13" t="str">
        <f>IF(AND($E98="",MAX($A$8:$A97)=0),"",IF(AND($E98&lt;&gt;"",MAX($A$8:$A97)=0),1,IF(AND($E98&lt;&gt;"",MAX($A$8:$A97)&gt;0),MAX($A$8:$A97)+1,"")))</f>
        <v/>
      </c>
      <c r="B98" s="11">
        <v>91</v>
      </c>
      <c r="C98" s="19" t="str">
        <f t="shared" si="3"/>
        <v>EMPTY</v>
      </c>
      <c r="D98" s="3" t="str">
        <f t="shared" si="4"/>
        <v/>
      </c>
      <c r="E98" s="7"/>
      <c r="F98" s="8" t="str">
        <f t="shared" si="5"/>
        <v/>
      </c>
      <c r="AE98" s="4" t="s">
        <v>5</v>
      </c>
      <c r="AF98" s="4" t="s">
        <v>5</v>
      </c>
      <c r="AV98" s="4" t="s">
        <v>5</v>
      </c>
      <c r="BI98" s="4" t="s">
        <v>5</v>
      </c>
      <c r="BJ98" s="4" t="s">
        <v>5</v>
      </c>
    </row>
    <row r="99" spans="1:62" x14ac:dyDescent="0.25">
      <c r="A99" s="13" t="str">
        <f>IF(AND($E99="",MAX($A$8:$A98)=0),"",IF(AND($E99&lt;&gt;"",MAX($A$8:$A98)=0),1,IF(AND($E99&lt;&gt;"",MAX($A$8:$A98)&gt;0),MAX($A$8:$A98)+1,"")))</f>
        <v/>
      </c>
      <c r="B99" s="11">
        <v>92</v>
      </c>
      <c r="C99" s="19" t="str">
        <f t="shared" si="3"/>
        <v>EMPTY</v>
      </c>
      <c r="D99" s="3" t="str">
        <f t="shared" si="4"/>
        <v/>
      </c>
      <c r="E99" s="7"/>
      <c r="F99" s="8" t="str">
        <f t="shared" si="5"/>
        <v/>
      </c>
      <c r="AE99" s="4" t="s">
        <v>5</v>
      </c>
      <c r="AF99" s="4" t="s">
        <v>5</v>
      </c>
      <c r="AV99" s="4" t="s">
        <v>5</v>
      </c>
      <c r="BI99" s="4" t="s">
        <v>5</v>
      </c>
      <c r="BJ99" s="4" t="s">
        <v>5</v>
      </c>
    </row>
    <row r="100" spans="1:62" x14ac:dyDescent="0.25">
      <c r="A100" s="13" t="str">
        <f>IF(AND($E100="",MAX($A$8:$A99)=0),"",IF(AND($E100&lt;&gt;"",MAX($A$8:$A99)=0),1,IF(AND($E100&lt;&gt;"",MAX($A$8:$A99)&gt;0),MAX($A$8:$A99)+1,"")))</f>
        <v/>
      </c>
      <c r="B100" s="11">
        <v>93</v>
      </c>
      <c r="C100" s="19" t="str">
        <f t="shared" si="3"/>
        <v>EMPTY</v>
      </c>
      <c r="D100" s="3" t="str">
        <f t="shared" si="4"/>
        <v/>
      </c>
      <c r="E100" s="7"/>
      <c r="F100" s="8" t="str">
        <f t="shared" si="5"/>
        <v/>
      </c>
      <c r="AE100" s="4" t="s">
        <v>5</v>
      </c>
      <c r="AF100" s="4" t="s">
        <v>5</v>
      </c>
      <c r="AV100" s="4" t="s">
        <v>5</v>
      </c>
      <c r="BI100" s="4" t="s">
        <v>5</v>
      </c>
      <c r="BJ100" s="4" t="s">
        <v>5</v>
      </c>
    </row>
    <row r="101" spans="1:62" x14ac:dyDescent="0.25">
      <c r="A101" s="13" t="str">
        <f>IF(AND($E101="",MAX($A$8:$A100)=0),"",IF(AND($E101&lt;&gt;"",MAX($A$8:$A100)=0),1,IF(AND($E101&lt;&gt;"",MAX($A$8:$A100)&gt;0),MAX($A$8:$A100)+1,"")))</f>
        <v/>
      </c>
      <c r="B101" s="11">
        <v>94</v>
      </c>
      <c r="C101" s="19" t="str">
        <f t="shared" si="3"/>
        <v>EMPTY</v>
      </c>
      <c r="D101" s="3" t="str">
        <f t="shared" si="4"/>
        <v/>
      </c>
      <c r="E101" s="7"/>
      <c r="F101" s="8" t="str">
        <f t="shared" si="5"/>
        <v/>
      </c>
      <c r="AE101" s="4" t="s">
        <v>5</v>
      </c>
      <c r="AF101" s="4" t="s">
        <v>5</v>
      </c>
      <c r="AV101" s="4" t="s">
        <v>5</v>
      </c>
      <c r="BI101" s="4" t="s">
        <v>5</v>
      </c>
      <c r="BJ101" s="4" t="s">
        <v>5</v>
      </c>
    </row>
    <row r="102" spans="1:62" x14ac:dyDescent="0.25">
      <c r="A102" s="13" t="str">
        <f>IF(AND($E102="",MAX($A$8:$A101)=0),"",IF(AND($E102&lt;&gt;"",MAX($A$8:$A101)=0),1,IF(AND($E102&lt;&gt;"",MAX($A$8:$A101)&gt;0),MAX($A$8:$A101)+1,"")))</f>
        <v/>
      </c>
      <c r="B102" s="11">
        <v>95</v>
      </c>
      <c r="C102" s="19" t="str">
        <f t="shared" si="3"/>
        <v>EMPTY</v>
      </c>
      <c r="D102" s="3" t="str">
        <f t="shared" si="4"/>
        <v/>
      </c>
      <c r="E102" s="7"/>
      <c r="F102" s="8" t="str">
        <f t="shared" si="5"/>
        <v/>
      </c>
      <c r="AV102" s="4" t="s">
        <v>5</v>
      </c>
    </row>
    <row r="103" spans="1:62" x14ac:dyDescent="0.25">
      <c r="A103" s="13" t="str">
        <f>IF(AND($E103="",MAX($A$8:$A102)=0),"",IF(AND($E103&lt;&gt;"",MAX($A$8:$A102)=0),1,IF(AND($E103&lt;&gt;"",MAX($A$8:$A102)&gt;0),MAX($A$8:$A102)+1,"")))</f>
        <v/>
      </c>
      <c r="B103" s="11">
        <v>96</v>
      </c>
      <c r="C103" s="19" t="str">
        <f t="shared" si="3"/>
        <v>EMPTY</v>
      </c>
      <c r="D103" s="3" t="str">
        <f t="shared" si="4"/>
        <v/>
      </c>
      <c r="E103" s="7"/>
      <c r="F103" s="8" t="str">
        <f t="shared" si="5"/>
        <v/>
      </c>
      <c r="AV103" s="4" t="s">
        <v>5</v>
      </c>
    </row>
    <row r="104" spans="1:62" x14ac:dyDescent="0.25">
      <c r="A104" s="13" t="str">
        <f>IF(AND($E104="",MAX($A$8:$A103)=0),"",IF(AND($E104&lt;&gt;"",MAX($A$8:$A103)=0),1,IF(AND($E104&lt;&gt;"",MAX($A$8:$A103)&gt;0),MAX($A$8:$A103)+1,"")))</f>
        <v/>
      </c>
      <c r="B104" s="11">
        <v>97</v>
      </c>
      <c r="C104" s="19" t="str">
        <f t="shared" si="3"/>
        <v>EMPTY</v>
      </c>
      <c r="D104" s="3" t="str">
        <f t="shared" si="4"/>
        <v/>
      </c>
      <c r="E104" s="7"/>
      <c r="F104" s="8" t="str">
        <f t="shared" si="5"/>
        <v/>
      </c>
    </row>
    <row r="105" spans="1:62" x14ac:dyDescent="0.25">
      <c r="A105" s="13" t="str">
        <f>IF(AND($E105="",MAX($A$8:$A104)=0),"",IF(AND($E105&lt;&gt;"",MAX($A$8:$A104)=0),1,IF(AND($E105&lt;&gt;"",MAX($A$8:$A104)&gt;0),MAX($A$8:$A104)+1,"")))</f>
        <v/>
      </c>
      <c r="B105" s="11">
        <v>98</v>
      </c>
      <c r="C105" s="19" t="str">
        <f t="shared" si="3"/>
        <v>EMPTY</v>
      </c>
      <c r="D105" s="3" t="str">
        <f t="shared" si="4"/>
        <v/>
      </c>
      <c r="E105" s="7"/>
      <c r="F105" s="8" t="str">
        <f t="shared" si="5"/>
        <v/>
      </c>
    </row>
    <row r="106" spans="1:62" x14ac:dyDescent="0.25">
      <c r="A106" s="13" t="str">
        <f>IF(AND($E106="",MAX($A$8:$A105)=0),"",IF(AND($E106&lt;&gt;"",MAX($A$8:$A105)=0),1,IF(AND($E106&lt;&gt;"",MAX($A$8:$A105)&gt;0),MAX($A$8:$A105)+1,"")))</f>
        <v/>
      </c>
      <c r="B106" s="11">
        <v>99</v>
      </c>
      <c r="C106" s="19" t="str">
        <f t="shared" si="3"/>
        <v>EMPTY</v>
      </c>
      <c r="D106" s="3" t="str">
        <f t="shared" si="4"/>
        <v/>
      </c>
      <c r="E106" s="7"/>
      <c r="F106" s="8" t="str">
        <f t="shared" si="5"/>
        <v/>
      </c>
    </row>
    <row r="107" spans="1:62" x14ac:dyDescent="0.25">
      <c r="A107" s="13" t="str">
        <f>IF(AND($E107="",MAX($A$8:$A106)=0),"",IF(AND($E107&lt;&gt;"",MAX($A$8:$A106)=0),1,IF(AND($E107&lt;&gt;"",MAX($A$8:$A106)&gt;0),MAX($A$8:$A106)+1,"")))</f>
        <v/>
      </c>
      <c r="B107" s="11">
        <v>100</v>
      </c>
      <c r="C107" s="19" t="str">
        <f t="shared" si="3"/>
        <v>EMPTY</v>
      </c>
      <c r="D107" s="3" t="str">
        <f t="shared" si="4"/>
        <v/>
      </c>
      <c r="E107" s="7"/>
      <c r="F107" s="8" t="str">
        <f t="shared" si="5"/>
        <v/>
      </c>
    </row>
    <row r="108" spans="1:62" x14ac:dyDescent="0.25">
      <c r="A108" s="13" t="str">
        <f>IF(AND($E108="",MAX($A$8:$A107)=0),"",IF(AND($E108&lt;&gt;"",MAX($A$8:$A107)=0),1,IF(AND($E108&lt;&gt;"",MAX($A$8:$A107)&gt;0),MAX($A$8:$A107)+1,"")))</f>
        <v/>
      </c>
      <c r="B108" s="11">
        <v>101</v>
      </c>
      <c r="C108" s="19" t="str">
        <f t="shared" si="3"/>
        <v>EMPTY</v>
      </c>
      <c r="D108" s="3" t="str">
        <f t="shared" si="4"/>
        <v/>
      </c>
      <c r="E108" s="7"/>
      <c r="F108" s="8" t="str">
        <f t="shared" si="5"/>
        <v/>
      </c>
    </row>
    <row r="109" spans="1:62" x14ac:dyDescent="0.25">
      <c r="A109" s="13" t="str">
        <f>IF(AND($E109="",MAX($A$8:$A108)=0),"",IF(AND($E109&lt;&gt;"",MAX($A$8:$A108)=0),1,IF(AND($E109&lt;&gt;"",MAX($A$8:$A108)&gt;0),MAX($A$8:$A108)+1,"")))</f>
        <v/>
      </c>
      <c r="B109" s="11">
        <v>102</v>
      </c>
      <c r="C109" s="19" t="str">
        <f t="shared" si="3"/>
        <v>EMPTY</v>
      </c>
      <c r="D109" s="3" t="str">
        <f t="shared" si="4"/>
        <v/>
      </c>
      <c r="E109" s="7"/>
      <c r="F109" s="8" t="str">
        <f t="shared" si="5"/>
        <v/>
      </c>
    </row>
    <row r="110" spans="1:62" x14ac:dyDescent="0.25">
      <c r="A110" s="13" t="str">
        <f>IF(AND($E110="",MAX($A$8:$A109)=0),"",IF(AND($E110&lt;&gt;"",MAX($A$8:$A109)=0),1,IF(AND($E110&lt;&gt;"",MAX($A$8:$A109)&gt;0),MAX($A$8:$A109)+1,"")))</f>
        <v/>
      </c>
      <c r="B110" s="11">
        <v>103</v>
      </c>
      <c r="C110" s="19" t="str">
        <f t="shared" si="3"/>
        <v>EMPTY</v>
      </c>
      <c r="D110" s="3" t="str">
        <f t="shared" si="4"/>
        <v/>
      </c>
      <c r="E110" s="7"/>
      <c r="F110" s="8" t="str">
        <f t="shared" si="5"/>
        <v/>
      </c>
    </row>
    <row r="111" spans="1:62" x14ac:dyDescent="0.25">
      <c r="A111" s="13" t="str">
        <f>IF(AND($E111="",MAX($A$8:$A110)=0),"",IF(AND($E111&lt;&gt;"",MAX($A$8:$A110)=0),1,IF(AND($E111&lt;&gt;"",MAX($A$8:$A110)&gt;0),MAX($A$8:$A110)+1,"")))</f>
        <v/>
      </c>
      <c r="B111" s="11">
        <v>104</v>
      </c>
      <c r="C111" s="19" t="str">
        <f t="shared" si="3"/>
        <v>EMPTY</v>
      </c>
      <c r="D111" s="3" t="str">
        <f t="shared" si="4"/>
        <v/>
      </c>
      <c r="E111" s="7"/>
      <c r="F111" s="8" t="str">
        <f t="shared" si="5"/>
        <v/>
      </c>
    </row>
    <row r="112" spans="1:62" x14ac:dyDescent="0.25">
      <c r="A112" s="13" t="str">
        <f>IF(AND($E112="",MAX($A$8:$A111)=0),"",IF(AND($E112&lt;&gt;"",MAX($A$8:$A111)=0),1,IF(AND($E112&lt;&gt;"",MAX($A$8:$A111)&gt;0),MAX($A$8:$A111)+1,"")))</f>
        <v/>
      </c>
      <c r="B112" s="11">
        <v>105</v>
      </c>
      <c r="C112" s="19" t="str">
        <f t="shared" si="3"/>
        <v>EMPTY</v>
      </c>
      <c r="D112" s="3" t="str">
        <f t="shared" si="4"/>
        <v/>
      </c>
      <c r="E112" s="7"/>
      <c r="F112" s="8" t="str">
        <f t="shared" si="5"/>
        <v/>
      </c>
    </row>
    <row r="113" spans="1:6" x14ac:dyDescent="0.25">
      <c r="A113" s="13" t="str">
        <f>IF(AND($E113="",MAX($A$8:$A112)=0),"",IF(AND($E113&lt;&gt;"",MAX($A$8:$A112)=0),1,IF(AND($E113&lt;&gt;"",MAX($A$8:$A112)&gt;0),MAX($A$8:$A112)+1,"")))</f>
        <v/>
      </c>
      <c r="B113" s="11">
        <v>106</v>
      </c>
      <c r="C113" s="19" t="str">
        <f t="shared" si="3"/>
        <v>EMPTY</v>
      </c>
      <c r="D113" s="3" t="str">
        <f t="shared" si="4"/>
        <v/>
      </c>
      <c r="E113" s="7"/>
      <c r="F113" s="8" t="str">
        <f t="shared" si="5"/>
        <v/>
      </c>
    </row>
    <row r="114" spans="1:6" x14ac:dyDescent="0.25">
      <c r="A114" s="13" t="str">
        <f>IF(AND($E114="",MAX($A$8:$A113)=0),"",IF(AND($E114&lt;&gt;"",MAX($A$8:$A113)=0),1,IF(AND($E114&lt;&gt;"",MAX($A$8:$A113)&gt;0),MAX($A$8:$A113)+1,"")))</f>
        <v/>
      </c>
      <c r="B114" s="11">
        <v>107</v>
      </c>
      <c r="C114" s="19" t="str">
        <f t="shared" si="3"/>
        <v>EMPTY</v>
      </c>
      <c r="D114" s="3" t="str">
        <f t="shared" si="4"/>
        <v/>
      </c>
      <c r="E114" s="7"/>
      <c r="F114" s="8" t="str">
        <f t="shared" si="5"/>
        <v/>
      </c>
    </row>
    <row r="115" spans="1:6" x14ac:dyDescent="0.25">
      <c r="A115" s="13" t="str">
        <f>IF(AND($E115="",MAX($A$8:$A114)=0),"",IF(AND($E115&lt;&gt;"",MAX($A$8:$A114)=0),1,IF(AND($E115&lt;&gt;"",MAX($A$8:$A114)&gt;0),MAX($A$8:$A114)+1,"")))</f>
        <v/>
      </c>
      <c r="B115" s="11">
        <v>108</v>
      </c>
      <c r="C115" s="19" t="str">
        <f t="shared" si="3"/>
        <v>EMPTY</v>
      </c>
      <c r="D115" s="3" t="str">
        <f t="shared" si="4"/>
        <v/>
      </c>
      <c r="E115" s="7"/>
      <c r="F115" s="8" t="str">
        <f t="shared" si="5"/>
        <v/>
      </c>
    </row>
    <row r="116" spans="1:6" x14ac:dyDescent="0.25">
      <c r="A116" s="13" t="str">
        <f>IF(AND($E116="",MAX($A$8:$A115)=0),"",IF(AND($E116&lt;&gt;"",MAX($A$8:$A115)=0),1,IF(AND($E116&lt;&gt;"",MAX($A$8:$A115)&gt;0),MAX($A$8:$A115)+1,"")))</f>
        <v/>
      </c>
      <c r="B116" s="11">
        <v>109</v>
      </c>
      <c r="C116" s="19" t="str">
        <f t="shared" si="3"/>
        <v>EMPTY</v>
      </c>
      <c r="D116" s="3" t="str">
        <f t="shared" si="4"/>
        <v/>
      </c>
      <c r="E116" s="7"/>
      <c r="F116" s="8" t="str">
        <f t="shared" si="5"/>
        <v/>
      </c>
    </row>
    <row r="117" spans="1:6" x14ac:dyDescent="0.25">
      <c r="A117" s="13" t="str">
        <f>IF(AND($E117="",MAX($A$8:$A116)=0),"",IF(AND($E117&lt;&gt;"",MAX($A$8:$A116)=0),1,IF(AND($E117&lt;&gt;"",MAX($A$8:$A116)&gt;0),MAX($A$8:$A116)+1,"")))</f>
        <v/>
      </c>
      <c r="B117" s="11">
        <v>110</v>
      </c>
      <c r="C117" s="19" t="str">
        <f t="shared" si="3"/>
        <v>EMPTY</v>
      </c>
      <c r="D117" s="3" t="str">
        <f t="shared" si="4"/>
        <v/>
      </c>
      <c r="E117" s="7"/>
      <c r="F117" s="8" t="str">
        <f t="shared" si="5"/>
        <v/>
      </c>
    </row>
    <row r="118" spans="1:6" x14ac:dyDescent="0.25">
      <c r="A118" s="13" t="str">
        <f>IF(AND($E118="",MAX($A$8:$A117)=0),"",IF(AND($E118&lt;&gt;"",MAX($A$8:$A117)=0),1,IF(AND($E118&lt;&gt;"",MAX($A$8:$A117)&gt;0),MAX($A$8:$A117)+1,"")))</f>
        <v/>
      </c>
      <c r="B118" s="11">
        <v>111</v>
      </c>
      <c r="C118" s="19" t="str">
        <f t="shared" si="3"/>
        <v>EMPTY</v>
      </c>
      <c r="D118" s="3" t="str">
        <f t="shared" si="4"/>
        <v/>
      </c>
      <c r="E118" s="7"/>
      <c r="F118" s="8" t="str">
        <f t="shared" si="5"/>
        <v/>
      </c>
    </row>
    <row r="119" spans="1:6" x14ac:dyDescent="0.25">
      <c r="A119" s="13" t="str">
        <f>IF(AND($E119="",MAX($A$8:$A118)=0),"",IF(AND($E119&lt;&gt;"",MAX($A$8:$A118)=0),1,IF(AND($E119&lt;&gt;"",MAX($A$8:$A118)&gt;0),MAX($A$8:$A118)+1,"")))</f>
        <v/>
      </c>
      <c r="B119" s="11">
        <v>112</v>
      </c>
      <c r="C119" s="19" t="str">
        <f t="shared" si="3"/>
        <v>EMPTY</v>
      </c>
      <c r="D119" s="3" t="str">
        <f t="shared" si="4"/>
        <v/>
      </c>
      <c r="E119" s="7"/>
      <c r="F119" s="8" t="str">
        <f t="shared" si="5"/>
        <v/>
      </c>
    </row>
    <row r="120" spans="1:6" x14ac:dyDescent="0.25">
      <c r="A120" s="13" t="str">
        <f>IF(AND($E120="",MAX($A$8:$A119)=0),"",IF(AND($E120&lt;&gt;"",MAX($A$8:$A119)=0),1,IF(AND($E120&lt;&gt;"",MAX($A$8:$A119)&gt;0),MAX($A$8:$A119)+1,"")))</f>
        <v/>
      </c>
      <c r="B120" s="11">
        <v>113</v>
      </c>
      <c r="C120" s="19" t="str">
        <f t="shared" si="3"/>
        <v>EMPTY</v>
      </c>
      <c r="D120" s="3" t="str">
        <f t="shared" si="4"/>
        <v/>
      </c>
      <c r="E120" s="7"/>
      <c r="F120" s="8" t="str">
        <f t="shared" si="5"/>
        <v/>
      </c>
    </row>
    <row r="121" spans="1:6" x14ac:dyDescent="0.25">
      <c r="A121" s="13" t="str">
        <f>IF(AND($E121="",MAX($A$8:$A120)=0),"",IF(AND($E121&lt;&gt;"",MAX($A$8:$A120)=0),1,IF(AND($E121&lt;&gt;"",MAX($A$8:$A120)&gt;0),MAX($A$8:$A120)+1,"")))</f>
        <v/>
      </c>
      <c r="B121" s="11">
        <v>114</v>
      </c>
      <c r="C121" s="19" t="str">
        <f t="shared" si="3"/>
        <v>EMPTY</v>
      </c>
      <c r="D121" s="3" t="str">
        <f t="shared" si="4"/>
        <v/>
      </c>
      <c r="E121" s="7"/>
      <c r="F121" s="8" t="str">
        <f t="shared" si="5"/>
        <v/>
      </c>
    </row>
    <row r="122" spans="1:6" x14ac:dyDescent="0.25">
      <c r="A122" s="13" t="str">
        <f>IF(AND($E122="",MAX($A$8:$A121)=0),"",IF(AND($E122&lt;&gt;"",MAX($A$8:$A121)=0),1,IF(AND($E122&lt;&gt;"",MAX($A$8:$A121)&gt;0),MAX($A$8:$A121)+1,"")))</f>
        <v/>
      </c>
      <c r="B122" s="11">
        <v>115</v>
      </c>
      <c r="C122" s="19" t="str">
        <f t="shared" si="3"/>
        <v>EMPTY</v>
      </c>
      <c r="D122" s="3" t="str">
        <f t="shared" si="4"/>
        <v/>
      </c>
      <c r="E122" s="7"/>
      <c r="F122" s="8" t="str">
        <f t="shared" si="5"/>
        <v/>
      </c>
    </row>
    <row r="123" spans="1:6" x14ac:dyDescent="0.25">
      <c r="A123" s="13" t="str">
        <f>IF(AND($E123="",MAX($A$8:$A122)=0),"",IF(AND($E123&lt;&gt;"",MAX($A$8:$A122)=0),1,IF(AND($E123&lt;&gt;"",MAX($A$8:$A122)&gt;0),MAX($A$8:$A122)+1,"")))</f>
        <v/>
      </c>
      <c r="B123" s="11">
        <v>116</v>
      </c>
      <c r="C123" s="19" t="str">
        <f t="shared" si="3"/>
        <v>EMPTY</v>
      </c>
      <c r="D123" s="3" t="str">
        <f t="shared" si="4"/>
        <v/>
      </c>
      <c r="E123" s="7"/>
      <c r="F123" s="8" t="str">
        <f t="shared" si="5"/>
        <v/>
      </c>
    </row>
    <row r="124" spans="1:6" x14ac:dyDescent="0.25">
      <c r="A124" s="13" t="str">
        <f>IF(AND($E124="",MAX($A$8:$A123)=0),"",IF(AND($E124&lt;&gt;"",MAX($A$8:$A123)=0),1,IF(AND($E124&lt;&gt;"",MAX($A$8:$A123)&gt;0),MAX($A$8:$A123)+1,"")))</f>
        <v/>
      </c>
      <c r="B124" s="11">
        <v>117</v>
      </c>
      <c r="C124" s="19" t="str">
        <f t="shared" si="3"/>
        <v>EMPTY</v>
      </c>
      <c r="D124" s="3" t="str">
        <f t="shared" si="4"/>
        <v/>
      </c>
      <c r="E124" s="7"/>
      <c r="F124" s="8" t="str">
        <f t="shared" si="5"/>
        <v/>
      </c>
    </row>
    <row r="125" spans="1:6" x14ac:dyDescent="0.25">
      <c r="A125" s="13" t="str">
        <f>IF(AND($E125="",MAX($A$8:$A124)=0),"",IF(AND($E125&lt;&gt;"",MAX($A$8:$A124)=0),1,IF(AND($E125&lt;&gt;"",MAX($A$8:$A124)&gt;0),MAX($A$8:$A124)+1,"")))</f>
        <v/>
      </c>
      <c r="B125" s="11">
        <v>118</v>
      </c>
      <c r="C125" s="19" t="str">
        <f t="shared" si="3"/>
        <v>EMPTY</v>
      </c>
      <c r="D125" s="3" t="str">
        <f t="shared" si="4"/>
        <v/>
      </c>
      <c r="E125" s="7"/>
      <c r="F125" s="8" t="str">
        <f t="shared" si="5"/>
        <v/>
      </c>
    </row>
    <row r="126" spans="1:6" x14ac:dyDescent="0.25">
      <c r="A126" s="13" t="str">
        <f>IF(AND($E126="",MAX($A$8:$A125)=0),"",IF(AND($E126&lt;&gt;"",MAX($A$8:$A125)=0),1,IF(AND($E126&lt;&gt;"",MAX($A$8:$A125)&gt;0),MAX($A$8:$A125)+1,"")))</f>
        <v/>
      </c>
      <c r="B126" s="11">
        <v>119</v>
      </c>
      <c r="C126" s="19" t="str">
        <f t="shared" si="3"/>
        <v>EMPTY</v>
      </c>
      <c r="D126" s="3" t="str">
        <f t="shared" si="4"/>
        <v/>
      </c>
      <c r="E126" s="7"/>
      <c r="F126" s="8" t="str">
        <f t="shared" si="5"/>
        <v/>
      </c>
    </row>
    <row r="127" spans="1:6" x14ac:dyDescent="0.25">
      <c r="A127" s="13" t="str">
        <f>IF(AND($E127="",MAX($A$8:$A126)=0),"",IF(AND($E127&lt;&gt;"",MAX($A$8:$A126)=0),1,IF(AND($E127&lt;&gt;"",MAX($A$8:$A126)&gt;0),MAX($A$8:$A126)+1,"")))</f>
        <v/>
      </c>
      <c r="B127" s="11">
        <v>120</v>
      </c>
      <c r="C127" s="19" t="str">
        <f t="shared" si="3"/>
        <v>EMPTY</v>
      </c>
      <c r="D127" s="3" t="str">
        <f t="shared" si="4"/>
        <v/>
      </c>
      <c r="E127" s="7"/>
      <c r="F127" s="8" t="str">
        <f t="shared" si="5"/>
        <v/>
      </c>
    </row>
    <row r="128" spans="1:6" x14ac:dyDescent="0.25">
      <c r="A128" s="13" t="str">
        <f>IF(AND($E128="",MAX($A$8:$A127)=0),"",IF(AND($E128&lt;&gt;"",MAX($A$8:$A127)=0),1,IF(AND($E128&lt;&gt;"",MAX($A$8:$A127)&gt;0),MAX($A$8:$A127)+1,"")))</f>
        <v/>
      </c>
      <c r="B128" s="11">
        <v>121</v>
      </c>
      <c r="C128" s="19" t="str">
        <f t="shared" si="3"/>
        <v>EMPTY</v>
      </c>
      <c r="D128" s="3" t="str">
        <f t="shared" si="4"/>
        <v/>
      </c>
      <c r="E128" s="7"/>
      <c r="F128" s="8" t="str">
        <f t="shared" si="5"/>
        <v/>
      </c>
    </row>
    <row r="129" spans="1:6" x14ac:dyDescent="0.25">
      <c r="A129" s="13" t="str">
        <f>IF(AND($E129="",MAX($A$8:$A128)=0),"",IF(AND($E129&lt;&gt;"",MAX($A$8:$A128)=0),1,IF(AND($E129&lt;&gt;"",MAX($A$8:$A128)&gt;0),MAX($A$8:$A128)+1,"")))</f>
        <v/>
      </c>
      <c r="B129" s="11">
        <v>122</v>
      </c>
      <c r="C129" s="19" t="str">
        <f t="shared" si="3"/>
        <v>EMPTY</v>
      </c>
      <c r="D129" s="3" t="str">
        <f t="shared" si="4"/>
        <v/>
      </c>
      <c r="E129" s="7"/>
      <c r="F129" s="8" t="str">
        <f t="shared" si="5"/>
        <v/>
      </c>
    </row>
    <row r="130" spans="1:6" x14ac:dyDescent="0.25">
      <c r="A130" s="13" t="str">
        <f>IF(AND($E130="",MAX($A$8:$A129)=0),"",IF(AND($E130&lt;&gt;"",MAX($A$8:$A129)=0),1,IF(AND($E130&lt;&gt;"",MAX($A$8:$A129)&gt;0),MAX($A$8:$A129)+1,"")))</f>
        <v/>
      </c>
      <c r="B130" s="11">
        <v>123</v>
      </c>
      <c r="C130" s="19" t="str">
        <f t="shared" si="3"/>
        <v>EMPTY</v>
      </c>
      <c r="D130" s="3" t="str">
        <f t="shared" si="4"/>
        <v/>
      </c>
      <c r="E130" s="7"/>
      <c r="F130" s="8" t="str">
        <f t="shared" si="5"/>
        <v/>
      </c>
    </row>
    <row r="131" spans="1:6" x14ac:dyDescent="0.25">
      <c r="A131" s="13" t="str">
        <f>IF(AND($E131="",MAX($A$8:$A130)=0),"",IF(AND($E131&lt;&gt;"",MAX($A$8:$A130)=0),1,IF(AND($E131&lt;&gt;"",MAX($A$8:$A130)&gt;0),MAX($A$8:$A130)+1,"")))</f>
        <v/>
      </c>
      <c r="B131" s="11">
        <v>124</v>
      </c>
      <c r="C131" s="19" t="str">
        <f t="shared" si="3"/>
        <v>EMPTY</v>
      </c>
      <c r="D131" s="3" t="str">
        <f t="shared" si="4"/>
        <v/>
      </c>
      <c r="E131" s="7"/>
      <c r="F131" s="8" t="str">
        <f t="shared" si="5"/>
        <v/>
      </c>
    </row>
    <row r="132" spans="1:6" x14ac:dyDescent="0.25">
      <c r="A132" s="13" t="str">
        <f>IF(AND($E132="",MAX($A$8:$A131)=0),"",IF(AND($E132&lt;&gt;"",MAX($A$8:$A131)=0),1,IF(AND($E132&lt;&gt;"",MAX($A$8:$A131)&gt;0),MAX($A$8:$A131)+1,"")))</f>
        <v/>
      </c>
      <c r="B132" s="11">
        <v>125</v>
      </c>
      <c r="C132" s="19" t="str">
        <f t="shared" si="3"/>
        <v>EMPTY</v>
      </c>
      <c r="D132" s="3" t="str">
        <f t="shared" si="4"/>
        <v/>
      </c>
      <c r="E132" s="7"/>
      <c r="F132" s="8" t="str">
        <f t="shared" si="5"/>
        <v/>
      </c>
    </row>
    <row r="133" spans="1:6" x14ac:dyDescent="0.25">
      <c r="A133" s="13" t="str">
        <f>IF(AND($E133="",MAX($A$8:$A132)=0),"",IF(AND($E133&lt;&gt;"",MAX($A$8:$A132)=0),1,IF(AND($E133&lt;&gt;"",MAX($A$8:$A132)&gt;0),MAX($A$8:$A132)+1,"")))</f>
        <v/>
      </c>
      <c r="B133" s="11">
        <v>126</v>
      </c>
      <c r="C133" s="19" t="str">
        <f t="shared" si="3"/>
        <v>EMPTY</v>
      </c>
      <c r="D133" s="3" t="str">
        <f t="shared" si="4"/>
        <v/>
      </c>
      <c r="E133" s="7"/>
      <c r="F133" s="8" t="str">
        <f t="shared" si="5"/>
        <v/>
      </c>
    </row>
    <row r="134" spans="1:6" x14ac:dyDescent="0.25">
      <c r="A134" s="13" t="str">
        <f>IF(AND($E134="",MAX($A$8:$A133)=0),"",IF(AND($E134&lt;&gt;"",MAX($A$8:$A133)=0),1,IF(AND($E134&lt;&gt;"",MAX($A$8:$A133)&gt;0),MAX($A$8:$A133)+1,"")))</f>
        <v/>
      </c>
      <c r="B134" s="11">
        <v>127</v>
      </c>
      <c r="C134" s="19" t="str">
        <f t="shared" si="3"/>
        <v>EMPTY</v>
      </c>
      <c r="D134" s="3" t="str">
        <f t="shared" si="4"/>
        <v/>
      </c>
      <c r="E134" s="7"/>
      <c r="F134" s="8" t="str">
        <f t="shared" si="5"/>
        <v/>
      </c>
    </row>
    <row r="135" spans="1:6" x14ac:dyDescent="0.25">
      <c r="A135" s="13" t="str">
        <f>IF(AND($E135="",MAX($A$8:$A134)=0),"",IF(AND($E135&lt;&gt;"",MAX($A$8:$A134)=0),1,IF(AND($E135&lt;&gt;"",MAX($A$8:$A134)&gt;0),MAX($A$8:$A134)+1,"")))</f>
        <v/>
      </c>
      <c r="B135" s="11">
        <v>128</v>
      </c>
      <c r="C135" s="19" t="str">
        <f t="shared" si="3"/>
        <v>EMPTY</v>
      </c>
      <c r="D135" s="3" t="str">
        <f t="shared" si="4"/>
        <v/>
      </c>
      <c r="E135" s="7"/>
      <c r="F135" s="8" t="str">
        <f t="shared" si="5"/>
        <v/>
      </c>
    </row>
    <row r="136" spans="1:6" x14ac:dyDescent="0.25">
      <c r="A136" s="13" t="str">
        <f>IF(AND($E136="",MAX($A$8:$A135)=0),"",IF(AND($E136&lt;&gt;"",MAX($A$8:$A135)=0),1,IF(AND($E136&lt;&gt;"",MAX($A$8:$A135)&gt;0),MAX($A$8:$A135)+1,"")))</f>
        <v/>
      </c>
      <c r="B136" s="11">
        <v>129</v>
      </c>
      <c r="C136" s="19" t="str">
        <f t="shared" si="3"/>
        <v>EMPTY</v>
      </c>
      <c r="D136" s="3" t="str">
        <f t="shared" si="4"/>
        <v/>
      </c>
      <c r="E136" s="7"/>
      <c r="F136" s="8" t="str">
        <f t="shared" si="5"/>
        <v/>
      </c>
    </row>
    <row r="137" spans="1:6" x14ac:dyDescent="0.25">
      <c r="A137" s="13" t="str">
        <f>IF(AND($E137="",MAX($A$8:$A136)=0),"",IF(AND($E137&lt;&gt;"",MAX($A$8:$A136)=0),1,IF(AND($E137&lt;&gt;"",MAX($A$8:$A136)&gt;0),MAX($A$8:$A136)+1,"")))</f>
        <v/>
      </c>
      <c r="B137" s="11">
        <v>130</v>
      </c>
      <c r="C137" s="19" t="str">
        <f t="shared" ref="C137:C200" si="6">IF($E137="","EMPTY",IF(MID($E137,1,9)&lt;&gt;"Dialogue:","HIDE",IF(MID($E137,1,9)="Dialogue:","SHOW","")))</f>
        <v>EMPTY</v>
      </c>
      <c r="D137" s="3" t="str">
        <f t="shared" ref="D137:D200" si="7">IF($C137="SHOW",CONCATENATE("[",MID($E137,FIND(",",$E137,1)+3,8),"]",MID($E137,FIND("0,,",$E137,1)+3,1000)),"")</f>
        <v/>
      </c>
      <c r="E137" s="7"/>
      <c r="F137" s="8" t="str">
        <f t="shared" ref="F137:F200" si="8">$D137</f>
        <v/>
      </c>
    </row>
    <row r="138" spans="1:6" x14ac:dyDescent="0.25">
      <c r="A138" s="13" t="str">
        <f>IF(AND($E138="",MAX($A$8:$A137)=0),"",IF(AND($E138&lt;&gt;"",MAX($A$8:$A137)=0),1,IF(AND($E138&lt;&gt;"",MAX($A$8:$A137)&gt;0),MAX($A$8:$A137)+1,"")))</f>
        <v/>
      </c>
      <c r="B138" s="11">
        <v>131</v>
      </c>
      <c r="C138" s="19" t="str">
        <f t="shared" si="6"/>
        <v>EMPTY</v>
      </c>
      <c r="D138" s="3" t="str">
        <f t="shared" si="7"/>
        <v/>
      </c>
      <c r="E138" s="7"/>
      <c r="F138" s="8" t="str">
        <f t="shared" si="8"/>
        <v/>
      </c>
    </row>
    <row r="139" spans="1:6" x14ac:dyDescent="0.25">
      <c r="A139" s="13" t="str">
        <f>IF(AND($E139="",MAX($A$8:$A138)=0),"",IF(AND($E139&lt;&gt;"",MAX($A$8:$A138)=0),1,IF(AND($E139&lt;&gt;"",MAX($A$8:$A138)&gt;0),MAX($A$8:$A138)+1,"")))</f>
        <v/>
      </c>
      <c r="B139" s="11">
        <v>132</v>
      </c>
      <c r="C139" s="19" t="str">
        <f t="shared" si="6"/>
        <v>EMPTY</v>
      </c>
      <c r="D139" s="3" t="str">
        <f t="shared" si="7"/>
        <v/>
      </c>
      <c r="E139" s="7"/>
      <c r="F139" s="8" t="str">
        <f t="shared" si="8"/>
        <v/>
      </c>
    </row>
    <row r="140" spans="1:6" x14ac:dyDescent="0.25">
      <c r="A140" s="13" t="str">
        <f>IF(AND($E140="",MAX($A$8:$A139)=0),"",IF(AND($E140&lt;&gt;"",MAX($A$8:$A139)=0),1,IF(AND($E140&lt;&gt;"",MAX($A$8:$A139)&gt;0),MAX($A$8:$A139)+1,"")))</f>
        <v/>
      </c>
      <c r="B140" s="11">
        <v>133</v>
      </c>
      <c r="C140" s="19" t="str">
        <f t="shared" si="6"/>
        <v>EMPTY</v>
      </c>
      <c r="D140" s="3" t="str">
        <f t="shared" si="7"/>
        <v/>
      </c>
      <c r="E140" s="7"/>
      <c r="F140" s="8" t="str">
        <f t="shared" si="8"/>
        <v/>
      </c>
    </row>
    <row r="141" spans="1:6" x14ac:dyDescent="0.25">
      <c r="A141" s="13" t="str">
        <f>IF(AND($E141="",MAX($A$8:$A140)=0),"",IF(AND($E141&lt;&gt;"",MAX($A$8:$A140)=0),1,IF(AND($E141&lt;&gt;"",MAX($A$8:$A140)&gt;0),MAX($A$8:$A140)+1,"")))</f>
        <v/>
      </c>
      <c r="B141" s="11">
        <v>134</v>
      </c>
      <c r="C141" s="19" t="str">
        <f t="shared" si="6"/>
        <v>EMPTY</v>
      </c>
      <c r="D141" s="3" t="str">
        <f t="shared" si="7"/>
        <v/>
      </c>
      <c r="E141" s="7"/>
      <c r="F141" s="8" t="str">
        <f t="shared" si="8"/>
        <v/>
      </c>
    </row>
    <row r="142" spans="1:6" x14ac:dyDescent="0.25">
      <c r="A142" s="13" t="str">
        <f>IF(AND($E142="",MAX($A$8:$A141)=0),"",IF(AND($E142&lt;&gt;"",MAX($A$8:$A141)=0),1,IF(AND($E142&lt;&gt;"",MAX($A$8:$A141)&gt;0),MAX($A$8:$A141)+1,"")))</f>
        <v/>
      </c>
      <c r="B142" s="11">
        <v>135</v>
      </c>
      <c r="C142" s="19" t="str">
        <f t="shared" si="6"/>
        <v>EMPTY</v>
      </c>
      <c r="D142" s="3" t="str">
        <f t="shared" si="7"/>
        <v/>
      </c>
      <c r="E142" s="7"/>
      <c r="F142" s="8" t="str">
        <f t="shared" si="8"/>
        <v/>
      </c>
    </row>
    <row r="143" spans="1:6" x14ac:dyDescent="0.25">
      <c r="A143" s="13" t="str">
        <f>IF(AND($E143="",MAX($A$8:$A142)=0),"",IF(AND($E143&lt;&gt;"",MAX($A$8:$A142)=0),1,IF(AND($E143&lt;&gt;"",MAX($A$8:$A142)&gt;0),MAX($A$8:$A142)+1,"")))</f>
        <v/>
      </c>
      <c r="B143" s="11">
        <v>136</v>
      </c>
      <c r="C143" s="19" t="str">
        <f t="shared" si="6"/>
        <v>EMPTY</v>
      </c>
      <c r="D143" s="3" t="str">
        <f t="shared" si="7"/>
        <v/>
      </c>
      <c r="E143" s="7"/>
      <c r="F143" s="8" t="str">
        <f t="shared" si="8"/>
        <v/>
      </c>
    </row>
    <row r="144" spans="1:6" x14ac:dyDescent="0.25">
      <c r="A144" s="13" t="str">
        <f>IF(AND($E144="",MAX($A$8:$A143)=0),"",IF(AND($E144&lt;&gt;"",MAX($A$8:$A143)=0),1,IF(AND($E144&lt;&gt;"",MAX($A$8:$A143)&gt;0),MAX($A$8:$A143)+1,"")))</f>
        <v/>
      </c>
      <c r="B144" s="11">
        <v>137</v>
      </c>
      <c r="C144" s="19" t="str">
        <f t="shared" si="6"/>
        <v>EMPTY</v>
      </c>
      <c r="D144" s="3" t="str">
        <f t="shared" si="7"/>
        <v/>
      </c>
      <c r="E144" s="7"/>
      <c r="F144" s="8" t="str">
        <f t="shared" si="8"/>
        <v/>
      </c>
    </row>
    <row r="145" spans="1:6" x14ac:dyDescent="0.25">
      <c r="A145" s="13" t="str">
        <f>IF(AND($E145="",MAX($A$8:$A144)=0),"",IF(AND($E145&lt;&gt;"",MAX($A$8:$A144)=0),1,IF(AND($E145&lt;&gt;"",MAX($A$8:$A144)&gt;0),MAX($A$8:$A144)+1,"")))</f>
        <v/>
      </c>
      <c r="B145" s="11">
        <v>138</v>
      </c>
      <c r="C145" s="19" t="str">
        <f t="shared" si="6"/>
        <v>EMPTY</v>
      </c>
      <c r="D145" s="3" t="str">
        <f t="shared" si="7"/>
        <v/>
      </c>
      <c r="E145" s="7"/>
      <c r="F145" s="8" t="str">
        <f t="shared" si="8"/>
        <v/>
      </c>
    </row>
    <row r="146" spans="1:6" x14ac:dyDescent="0.25">
      <c r="A146" s="13" t="str">
        <f>IF(AND($E146="",MAX($A$8:$A145)=0),"",IF(AND($E146&lt;&gt;"",MAX($A$8:$A145)=0),1,IF(AND($E146&lt;&gt;"",MAX($A$8:$A145)&gt;0),MAX($A$8:$A145)+1,"")))</f>
        <v/>
      </c>
      <c r="B146" s="11">
        <v>139</v>
      </c>
      <c r="C146" s="19" t="str">
        <f t="shared" si="6"/>
        <v>EMPTY</v>
      </c>
      <c r="D146" s="3" t="str">
        <f t="shared" si="7"/>
        <v/>
      </c>
      <c r="E146" s="7"/>
      <c r="F146" s="8" t="str">
        <f t="shared" si="8"/>
        <v/>
      </c>
    </row>
    <row r="147" spans="1:6" x14ac:dyDescent="0.25">
      <c r="A147" s="13" t="str">
        <f>IF(AND($E147="",MAX($A$8:$A146)=0),"",IF(AND($E147&lt;&gt;"",MAX($A$8:$A146)=0),1,IF(AND($E147&lt;&gt;"",MAX($A$8:$A146)&gt;0),MAX($A$8:$A146)+1,"")))</f>
        <v/>
      </c>
      <c r="B147" s="11">
        <v>140</v>
      </c>
      <c r="C147" s="19" t="str">
        <f t="shared" si="6"/>
        <v>EMPTY</v>
      </c>
      <c r="D147" s="3" t="str">
        <f t="shared" si="7"/>
        <v/>
      </c>
      <c r="E147" s="7"/>
      <c r="F147" s="8" t="str">
        <f t="shared" si="8"/>
        <v/>
      </c>
    </row>
    <row r="148" spans="1:6" x14ac:dyDescent="0.25">
      <c r="A148" s="13" t="str">
        <f>IF(AND($E148="",MAX($A$8:$A147)=0),"",IF(AND($E148&lt;&gt;"",MAX($A$8:$A147)=0),1,IF(AND($E148&lt;&gt;"",MAX($A$8:$A147)&gt;0),MAX($A$8:$A147)+1,"")))</f>
        <v/>
      </c>
      <c r="B148" s="11">
        <v>141</v>
      </c>
      <c r="C148" s="19" t="str">
        <f t="shared" si="6"/>
        <v>EMPTY</v>
      </c>
      <c r="D148" s="3" t="str">
        <f t="shared" si="7"/>
        <v/>
      </c>
      <c r="E148" s="7"/>
      <c r="F148" s="8" t="str">
        <f t="shared" si="8"/>
        <v/>
      </c>
    </row>
    <row r="149" spans="1:6" x14ac:dyDescent="0.25">
      <c r="A149" s="13" t="str">
        <f>IF(AND($E149="",MAX($A$8:$A148)=0),"",IF(AND($E149&lt;&gt;"",MAX($A$8:$A148)=0),1,IF(AND($E149&lt;&gt;"",MAX($A$8:$A148)&gt;0),MAX($A$8:$A148)+1,"")))</f>
        <v/>
      </c>
      <c r="B149" s="11">
        <v>142</v>
      </c>
      <c r="C149" s="19" t="str">
        <f t="shared" si="6"/>
        <v>EMPTY</v>
      </c>
      <c r="D149" s="3" t="str">
        <f t="shared" si="7"/>
        <v/>
      </c>
      <c r="E149" s="7"/>
      <c r="F149" s="8" t="str">
        <f t="shared" si="8"/>
        <v/>
      </c>
    </row>
    <row r="150" spans="1:6" x14ac:dyDescent="0.25">
      <c r="A150" s="13" t="str">
        <f>IF(AND($E150="",MAX($A$8:$A149)=0),"",IF(AND($E150&lt;&gt;"",MAX($A$8:$A149)=0),1,IF(AND($E150&lt;&gt;"",MAX($A$8:$A149)&gt;0),MAX($A$8:$A149)+1,"")))</f>
        <v/>
      </c>
      <c r="B150" s="11">
        <v>143</v>
      </c>
      <c r="C150" s="19" t="str">
        <f t="shared" si="6"/>
        <v>EMPTY</v>
      </c>
      <c r="D150" s="3" t="str">
        <f t="shared" si="7"/>
        <v/>
      </c>
      <c r="E150" s="7"/>
      <c r="F150" s="8" t="str">
        <f t="shared" si="8"/>
        <v/>
      </c>
    </row>
    <row r="151" spans="1:6" x14ac:dyDescent="0.25">
      <c r="A151" s="13" t="str">
        <f>IF(AND($E151="",MAX($A$8:$A150)=0),"",IF(AND($E151&lt;&gt;"",MAX($A$8:$A150)=0),1,IF(AND($E151&lt;&gt;"",MAX($A$8:$A150)&gt;0),MAX($A$8:$A150)+1,"")))</f>
        <v/>
      </c>
      <c r="B151" s="11">
        <v>144</v>
      </c>
      <c r="C151" s="19" t="str">
        <f t="shared" si="6"/>
        <v>EMPTY</v>
      </c>
      <c r="D151" s="3" t="str">
        <f t="shared" si="7"/>
        <v/>
      </c>
      <c r="E151" s="7"/>
      <c r="F151" s="8" t="str">
        <f t="shared" si="8"/>
        <v/>
      </c>
    </row>
    <row r="152" spans="1:6" x14ac:dyDescent="0.25">
      <c r="A152" s="13" t="str">
        <f>IF(AND($E152="",MAX($A$8:$A151)=0),"",IF(AND($E152&lt;&gt;"",MAX($A$8:$A151)=0),1,IF(AND($E152&lt;&gt;"",MAX($A$8:$A151)&gt;0),MAX($A$8:$A151)+1,"")))</f>
        <v/>
      </c>
      <c r="B152" s="11">
        <v>145</v>
      </c>
      <c r="C152" s="19" t="str">
        <f t="shared" si="6"/>
        <v>EMPTY</v>
      </c>
      <c r="D152" s="3" t="str">
        <f t="shared" si="7"/>
        <v/>
      </c>
      <c r="E152" s="7"/>
      <c r="F152" s="8" t="str">
        <f t="shared" si="8"/>
        <v/>
      </c>
    </row>
    <row r="153" spans="1:6" x14ac:dyDescent="0.25">
      <c r="A153" s="13" t="str">
        <f>IF(AND($E153="",MAX($A$8:$A152)=0),"",IF(AND($E153&lt;&gt;"",MAX($A$8:$A152)=0),1,IF(AND($E153&lt;&gt;"",MAX($A$8:$A152)&gt;0),MAX($A$8:$A152)+1,"")))</f>
        <v/>
      </c>
      <c r="B153" s="11">
        <v>146</v>
      </c>
      <c r="C153" s="19" t="str">
        <f t="shared" si="6"/>
        <v>EMPTY</v>
      </c>
      <c r="D153" s="3" t="str">
        <f t="shared" si="7"/>
        <v/>
      </c>
      <c r="E153" s="7"/>
      <c r="F153" s="8" t="str">
        <f t="shared" si="8"/>
        <v/>
      </c>
    </row>
    <row r="154" spans="1:6" x14ac:dyDescent="0.25">
      <c r="A154" s="13" t="str">
        <f>IF(AND($E154="",MAX($A$8:$A153)=0),"",IF(AND($E154&lt;&gt;"",MAX($A$8:$A153)=0),1,IF(AND($E154&lt;&gt;"",MAX($A$8:$A153)&gt;0),MAX($A$8:$A153)+1,"")))</f>
        <v/>
      </c>
      <c r="B154" s="11">
        <v>147</v>
      </c>
      <c r="C154" s="19" t="str">
        <f t="shared" si="6"/>
        <v>EMPTY</v>
      </c>
      <c r="D154" s="3" t="str">
        <f t="shared" si="7"/>
        <v/>
      </c>
      <c r="E154" s="7"/>
      <c r="F154" s="8" t="str">
        <f t="shared" si="8"/>
        <v/>
      </c>
    </row>
    <row r="155" spans="1:6" x14ac:dyDescent="0.25">
      <c r="A155" s="13" t="str">
        <f>IF(AND($E155="",MAX($A$8:$A154)=0),"",IF(AND($E155&lt;&gt;"",MAX($A$8:$A154)=0),1,IF(AND($E155&lt;&gt;"",MAX($A$8:$A154)&gt;0),MAX($A$8:$A154)+1,"")))</f>
        <v/>
      </c>
      <c r="B155" s="11">
        <v>148</v>
      </c>
      <c r="C155" s="19" t="str">
        <f t="shared" si="6"/>
        <v>EMPTY</v>
      </c>
      <c r="D155" s="3" t="str">
        <f t="shared" si="7"/>
        <v/>
      </c>
      <c r="E155" s="7"/>
      <c r="F155" s="8" t="str">
        <f t="shared" si="8"/>
        <v/>
      </c>
    </row>
    <row r="156" spans="1:6" x14ac:dyDescent="0.25">
      <c r="A156" s="13" t="str">
        <f>IF(AND($E156="",MAX($A$8:$A155)=0),"",IF(AND($E156&lt;&gt;"",MAX($A$8:$A155)=0),1,IF(AND($E156&lt;&gt;"",MAX($A$8:$A155)&gt;0),MAX($A$8:$A155)+1,"")))</f>
        <v/>
      </c>
      <c r="B156" s="11">
        <v>149</v>
      </c>
      <c r="C156" s="19" t="str">
        <f t="shared" si="6"/>
        <v>EMPTY</v>
      </c>
      <c r="D156" s="3" t="str">
        <f t="shared" si="7"/>
        <v/>
      </c>
      <c r="E156" s="7"/>
      <c r="F156" s="8" t="str">
        <f t="shared" si="8"/>
        <v/>
      </c>
    </row>
    <row r="157" spans="1:6" x14ac:dyDescent="0.25">
      <c r="A157" s="13" t="str">
        <f>IF(AND($E157="",MAX($A$8:$A156)=0),"",IF(AND($E157&lt;&gt;"",MAX($A$8:$A156)=0),1,IF(AND($E157&lt;&gt;"",MAX($A$8:$A156)&gt;0),MAX($A$8:$A156)+1,"")))</f>
        <v/>
      </c>
      <c r="B157" s="11">
        <v>150</v>
      </c>
      <c r="C157" s="19" t="str">
        <f t="shared" si="6"/>
        <v>EMPTY</v>
      </c>
      <c r="D157" s="3" t="str">
        <f t="shared" si="7"/>
        <v/>
      </c>
      <c r="E157" s="7"/>
      <c r="F157" s="8" t="str">
        <f t="shared" si="8"/>
        <v/>
      </c>
    </row>
    <row r="158" spans="1:6" x14ac:dyDescent="0.25">
      <c r="A158" s="13" t="str">
        <f>IF(AND($E158="",MAX($A$8:$A157)=0),"",IF(AND($E158&lt;&gt;"",MAX($A$8:$A157)=0),1,IF(AND($E158&lt;&gt;"",MAX($A$8:$A157)&gt;0),MAX($A$8:$A157)+1,"")))</f>
        <v/>
      </c>
      <c r="B158" s="11">
        <v>151</v>
      </c>
      <c r="C158" s="19" t="str">
        <f t="shared" si="6"/>
        <v>EMPTY</v>
      </c>
      <c r="D158" s="3" t="str">
        <f t="shared" si="7"/>
        <v/>
      </c>
      <c r="E158" s="7"/>
      <c r="F158" s="8" t="str">
        <f t="shared" si="8"/>
        <v/>
      </c>
    </row>
    <row r="159" spans="1:6" x14ac:dyDescent="0.25">
      <c r="A159" s="13" t="str">
        <f>IF(AND($E159="",MAX($A$8:$A158)=0),"",IF(AND($E159&lt;&gt;"",MAX($A$8:$A158)=0),1,IF(AND($E159&lt;&gt;"",MAX($A$8:$A158)&gt;0),MAX($A$8:$A158)+1,"")))</f>
        <v/>
      </c>
      <c r="B159" s="11">
        <v>152</v>
      </c>
      <c r="C159" s="19" t="str">
        <f t="shared" si="6"/>
        <v>EMPTY</v>
      </c>
      <c r="D159" s="3" t="str">
        <f t="shared" si="7"/>
        <v/>
      </c>
      <c r="E159" s="7"/>
      <c r="F159" s="8" t="str">
        <f t="shared" si="8"/>
        <v/>
      </c>
    </row>
    <row r="160" spans="1:6" x14ac:dyDescent="0.25">
      <c r="A160" s="13" t="str">
        <f>IF(AND($E160="",MAX($A$8:$A159)=0),"",IF(AND($E160&lt;&gt;"",MAX($A$8:$A159)=0),1,IF(AND($E160&lt;&gt;"",MAX($A$8:$A159)&gt;0),MAX($A$8:$A159)+1,"")))</f>
        <v/>
      </c>
      <c r="B160" s="11">
        <v>153</v>
      </c>
      <c r="C160" s="19" t="str">
        <f t="shared" si="6"/>
        <v>EMPTY</v>
      </c>
      <c r="D160" s="3" t="str">
        <f t="shared" si="7"/>
        <v/>
      </c>
      <c r="E160" s="7"/>
      <c r="F160" s="8" t="str">
        <f t="shared" si="8"/>
        <v/>
      </c>
    </row>
    <row r="161" spans="1:6" x14ac:dyDescent="0.25">
      <c r="A161" s="13" t="str">
        <f>IF(AND($E161="",MAX($A$8:$A160)=0),"",IF(AND($E161&lt;&gt;"",MAX($A$8:$A160)=0),1,IF(AND($E161&lt;&gt;"",MAX($A$8:$A160)&gt;0),MAX($A$8:$A160)+1,"")))</f>
        <v/>
      </c>
      <c r="B161" s="11">
        <v>154</v>
      </c>
      <c r="C161" s="19" t="str">
        <f t="shared" si="6"/>
        <v>EMPTY</v>
      </c>
      <c r="D161" s="3" t="str">
        <f t="shared" si="7"/>
        <v/>
      </c>
      <c r="E161" s="7"/>
      <c r="F161" s="8" t="str">
        <f t="shared" si="8"/>
        <v/>
      </c>
    </row>
    <row r="162" spans="1:6" x14ac:dyDescent="0.25">
      <c r="A162" s="13" t="str">
        <f>IF(AND($E162="",MAX($A$8:$A161)=0),"",IF(AND($E162&lt;&gt;"",MAX($A$8:$A161)=0),1,IF(AND($E162&lt;&gt;"",MAX($A$8:$A161)&gt;0),MAX($A$8:$A161)+1,"")))</f>
        <v/>
      </c>
      <c r="B162" s="11">
        <v>155</v>
      </c>
      <c r="C162" s="19" t="str">
        <f t="shared" si="6"/>
        <v>EMPTY</v>
      </c>
      <c r="D162" s="3" t="str">
        <f t="shared" si="7"/>
        <v/>
      </c>
      <c r="E162" s="7"/>
      <c r="F162" s="8" t="str">
        <f t="shared" si="8"/>
        <v/>
      </c>
    </row>
    <row r="163" spans="1:6" x14ac:dyDescent="0.25">
      <c r="A163" s="13" t="str">
        <f>IF(AND($E163="",MAX($A$8:$A162)=0),"",IF(AND($E163&lt;&gt;"",MAX($A$8:$A162)=0),1,IF(AND($E163&lt;&gt;"",MAX($A$8:$A162)&gt;0),MAX($A$8:$A162)+1,"")))</f>
        <v/>
      </c>
      <c r="B163" s="11">
        <v>156</v>
      </c>
      <c r="C163" s="19" t="str">
        <f t="shared" si="6"/>
        <v>EMPTY</v>
      </c>
      <c r="D163" s="3" t="str">
        <f t="shared" si="7"/>
        <v/>
      </c>
      <c r="E163" s="7"/>
      <c r="F163" s="8" t="str">
        <f t="shared" si="8"/>
        <v/>
      </c>
    </row>
    <row r="164" spans="1:6" x14ac:dyDescent="0.25">
      <c r="A164" s="13" t="str">
        <f>IF(AND($E164="",MAX($A$8:$A163)=0),"",IF(AND($E164&lt;&gt;"",MAX($A$8:$A163)=0),1,IF(AND($E164&lt;&gt;"",MAX($A$8:$A163)&gt;0),MAX($A$8:$A163)+1,"")))</f>
        <v/>
      </c>
      <c r="B164" s="11">
        <v>157</v>
      </c>
      <c r="C164" s="19" t="str">
        <f t="shared" si="6"/>
        <v>EMPTY</v>
      </c>
      <c r="D164" s="3" t="str">
        <f t="shared" si="7"/>
        <v/>
      </c>
      <c r="E164" s="7"/>
      <c r="F164" s="8" t="str">
        <f t="shared" si="8"/>
        <v/>
      </c>
    </row>
    <row r="165" spans="1:6" x14ac:dyDescent="0.25">
      <c r="A165" s="13" t="str">
        <f>IF(AND($E165="",MAX($A$8:$A164)=0),"",IF(AND($E165&lt;&gt;"",MAX($A$8:$A164)=0),1,IF(AND($E165&lt;&gt;"",MAX($A$8:$A164)&gt;0),MAX($A$8:$A164)+1,"")))</f>
        <v/>
      </c>
      <c r="B165" s="11">
        <v>158</v>
      </c>
      <c r="C165" s="19" t="str">
        <f t="shared" si="6"/>
        <v>EMPTY</v>
      </c>
      <c r="D165" s="3" t="str">
        <f t="shared" si="7"/>
        <v/>
      </c>
      <c r="E165" s="7"/>
      <c r="F165" s="8" t="str">
        <f t="shared" si="8"/>
        <v/>
      </c>
    </row>
    <row r="166" spans="1:6" x14ac:dyDescent="0.25">
      <c r="A166" s="13" t="str">
        <f>IF(AND($E166="",MAX($A$8:$A165)=0),"",IF(AND($E166&lt;&gt;"",MAX($A$8:$A165)=0),1,IF(AND($E166&lt;&gt;"",MAX($A$8:$A165)&gt;0),MAX($A$8:$A165)+1,"")))</f>
        <v/>
      </c>
      <c r="B166" s="11">
        <v>159</v>
      </c>
      <c r="C166" s="19" t="str">
        <f t="shared" si="6"/>
        <v>EMPTY</v>
      </c>
      <c r="D166" s="3" t="str">
        <f t="shared" si="7"/>
        <v/>
      </c>
      <c r="E166" s="7"/>
      <c r="F166" s="8" t="str">
        <f t="shared" si="8"/>
        <v/>
      </c>
    </row>
    <row r="167" spans="1:6" x14ac:dyDescent="0.25">
      <c r="A167" s="13" t="str">
        <f>IF(AND($E167="",MAX($A$8:$A166)=0),"",IF(AND($E167&lt;&gt;"",MAX($A$8:$A166)=0),1,IF(AND($E167&lt;&gt;"",MAX($A$8:$A166)&gt;0),MAX($A$8:$A166)+1,"")))</f>
        <v/>
      </c>
      <c r="B167" s="11">
        <v>160</v>
      </c>
      <c r="C167" s="19" t="str">
        <f t="shared" si="6"/>
        <v>EMPTY</v>
      </c>
      <c r="D167" s="3" t="str">
        <f t="shared" si="7"/>
        <v/>
      </c>
      <c r="E167" s="7"/>
      <c r="F167" s="8" t="str">
        <f t="shared" si="8"/>
        <v/>
      </c>
    </row>
    <row r="168" spans="1:6" x14ac:dyDescent="0.25">
      <c r="A168" s="13" t="str">
        <f>IF(AND($E168="",MAX($A$8:$A167)=0),"",IF(AND($E168&lt;&gt;"",MAX($A$8:$A167)=0),1,IF(AND($E168&lt;&gt;"",MAX($A$8:$A167)&gt;0),MAX($A$8:$A167)+1,"")))</f>
        <v/>
      </c>
      <c r="B168" s="11">
        <v>161</v>
      </c>
      <c r="C168" s="19" t="str">
        <f t="shared" si="6"/>
        <v>EMPTY</v>
      </c>
      <c r="D168" s="3" t="str">
        <f t="shared" si="7"/>
        <v/>
      </c>
      <c r="E168" s="7"/>
      <c r="F168" s="8" t="str">
        <f t="shared" si="8"/>
        <v/>
      </c>
    </row>
    <row r="169" spans="1:6" x14ac:dyDescent="0.25">
      <c r="A169" s="13" t="str">
        <f>IF(AND($E169="",MAX($A$8:$A168)=0),"",IF(AND($E169&lt;&gt;"",MAX($A$8:$A168)=0),1,IF(AND($E169&lt;&gt;"",MAX($A$8:$A168)&gt;0),MAX($A$8:$A168)+1,"")))</f>
        <v/>
      </c>
      <c r="B169" s="11">
        <v>162</v>
      </c>
      <c r="C169" s="19" t="str">
        <f t="shared" si="6"/>
        <v>EMPTY</v>
      </c>
      <c r="D169" s="3" t="str">
        <f t="shared" si="7"/>
        <v/>
      </c>
      <c r="E169" s="7"/>
      <c r="F169" s="8" t="str">
        <f t="shared" si="8"/>
        <v/>
      </c>
    </row>
    <row r="170" spans="1:6" x14ac:dyDescent="0.25">
      <c r="A170" s="13" t="str">
        <f>IF(AND($E170="",MAX($A$8:$A169)=0),"",IF(AND($E170&lt;&gt;"",MAX($A$8:$A169)=0),1,IF(AND($E170&lt;&gt;"",MAX($A$8:$A169)&gt;0),MAX($A$8:$A169)+1,"")))</f>
        <v/>
      </c>
      <c r="B170" s="11">
        <v>163</v>
      </c>
      <c r="C170" s="19" t="str">
        <f t="shared" si="6"/>
        <v>EMPTY</v>
      </c>
      <c r="D170" s="3" t="str">
        <f t="shared" si="7"/>
        <v/>
      </c>
      <c r="E170" s="7"/>
      <c r="F170" s="8" t="str">
        <f t="shared" si="8"/>
        <v/>
      </c>
    </row>
    <row r="171" spans="1:6" x14ac:dyDescent="0.25">
      <c r="A171" s="13" t="str">
        <f>IF(AND($E171="",MAX($A$8:$A170)=0),"",IF(AND($E171&lt;&gt;"",MAX($A$8:$A170)=0),1,IF(AND($E171&lt;&gt;"",MAX($A$8:$A170)&gt;0),MAX($A$8:$A170)+1,"")))</f>
        <v/>
      </c>
      <c r="B171" s="11">
        <v>164</v>
      </c>
      <c r="C171" s="19" t="str">
        <f t="shared" si="6"/>
        <v>EMPTY</v>
      </c>
      <c r="D171" s="3" t="str">
        <f t="shared" si="7"/>
        <v/>
      </c>
      <c r="E171" s="7"/>
      <c r="F171" s="8" t="str">
        <f t="shared" si="8"/>
        <v/>
      </c>
    </row>
    <row r="172" spans="1:6" x14ac:dyDescent="0.25">
      <c r="A172" s="13" t="str">
        <f>IF(AND($E172="",MAX($A$8:$A171)=0),"",IF(AND($E172&lt;&gt;"",MAX($A$8:$A171)=0),1,IF(AND($E172&lt;&gt;"",MAX($A$8:$A171)&gt;0),MAX($A$8:$A171)+1,"")))</f>
        <v/>
      </c>
      <c r="B172" s="11">
        <v>165</v>
      </c>
      <c r="C172" s="19" t="str">
        <f t="shared" si="6"/>
        <v>EMPTY</v>
      </c>
      <c r="D172" s="3" t="str">
        <f t="shared" si="7"/>
        <v/>
      </c>
      <c r="E172" s="7"/>
      <c r="F172" s="8" t="str">
        <f t="shared" si="8"/>
        <v/>
      </c>
    </row>
    <row r="173" spans="1:6" x14ac:dyDescent="0.25">
      <c r="A173" s="13" t="str">
        <f>IF(AND($E173="",MAX($A$8:$A172)=0),"",IF(AND($E173&lt;&gt;"",MAX($A$8:$A172)=0),1,IF(AND($E173&lt;&gt;"",MAX($A$8:$A172)&gt;0),MAX($A$8:$A172)+1,"")))</f>
        <v/>
      </c>
      <c r="B173" s="11">
        <v>166</v>
      </c>
      <c r="C173" s="19" t="str">
        <f t="shared" si="6"/>
        <v>EMPTY</v>
      </c>
      <c r="D173" s="3" t="str">
        <f t="shared" si="7"/>
        <v/>
      </c>
      <c r="E173" s="7"/>
      <c r="F173" s="8" t="str">
        <f t="shared" si="8"/>
        <v/>
      </c>
    </row>
    <row r="174" spans="1:6" x14ac:dyDescent="0.25">
      <c r="A174" s="13" t="str">
        <f>IF(AND($E174="",MAX($A$8:$A173)=0),"",IF(AND($E174&lt;&gt;"",MAX($A$8:$A173)=0),1,IF(AND($E174&lt;&gt;"",MAX($A$8:$A173)&gt;0),MAX($A$8:$A173)+1,"")))</f>
        <v/>
      </c>
      <c r="B174" s="11">
        <v>167</v>
      </c>
      <c r="C174" s="19" t="str">
        <f t="shared" si="6"/>
        <v>EMPTY</v>
      </c>
      <c r="D174" s="3" t="str">
        <f t="shared" si="7"/>
        <v/>
      </c>
      <c r="E174" s="7"/>
      <c r="F174" s="8" t="str">
        <f t="shared" si="8"/>
        <v/>
      </c>
    </row>
    <row r="175" spans="1:6" x14ac:dyDescent="0.25">
      <c r="A175" s="13" t="str">
        <f>IF(AND($E175="",MAX($A$8:$A174)=0),"",IF(AND($E175&lt;&gt;"",MAX($A$8:$A174)=0),1,IF(AND($E175&lt;&gt;"",MAX($A$8:$A174)&gt;0),MAX($A$8:$A174)+1,"")))</f>
        <v/>
      </c>
      <c r="B175" s="11">
        <v>168</v>
      </c>
      <c r="C175" s="19" t="str">
        <f t="shared" si="6"/>
        <v>EMPTY</v>
      </c>
      <c r="D175" s="3" t="str">
        <f t="shared" si="7"/>
        <v/>
      </c>
      <c r="E175" s="7"/>
      <c r="F175" s="8" t="str">
        <f t="shared" si="8"/>
        <v/>
      </c>
    </row>
    <row r="176" spans="1:6" x14ac:dyDescent="0.25">
      <c r="A176" s="13" t="str">
        <f>IF(AND($E176="",MAX($A$8:$A175)=0),"",IF(AND($E176&lt;&gt;"",MAX($A$8:$A175)=0),1,IF(AND($E176&lt;&gt;"",MAX($A$8:$A175)&gt;0),MAX($A$8:$A175)+1,"")))</f>
        <v/>
      </c>
      <c r="B176" s="11">
        <v>169</v>
      </c>
      <c r="C176" s="19" t="str">
        <f t="shared" si="6"/>
        <v>EMPTY</v>
      </c>
      <c r="D176" s="3" t="str">
        <f t="shared" si="7"/>
        <v/>
      </c>
      <c r="E176" s="7"/>
      <c r="F176" s="8" t="str">
        <f t="shared" si="8"/>
        <v/>
      </c>
    </row>
    <row r="177" spans="1:6" x14ac:dyDescent="0.25">
      <c r="A177" s="13" t="str">
        <f>IF(AND($E177="",MAX($A$8:$A176)=0),"",IF(AND($E177&lt;&gt;"",MAX($A$8:$A176)=0),1,IF(AND($E177&lt;&gt;"",MAX($A$8:$A176)&gt;0),MAX($A$8:$A176)+1,"")))</f>
        <v/>
      </c>
      <c r="B177" s="11">
        <v>170</v>
      </c>
      <c r="C177" s="19" t="str">
        <f t="shared" si="6"/>
        <v>EMPTY</v>
      </c>
      <c r="D177" s="3" t="str">
        <f t="shared" si="7"/>
        <v/>
      </c>
      <c r="E177" s="7"/>
      <c r="F177" s="8" t="str">
        <f t="shared" si="8"/>
        <v/>
      </c>
    </row>
    <row r="178" spans="1:6" x14ac:dyDescent="0.25">
      <c r="A178" s="13" t="str">
        <f>IF(AND($E178="",MAX($A$8:$A177)=0),"",IF(AND($E178&lt;&gt;"",MAX($A$8:$A177)=0),1,IF(AND($E178&lt;&gt;"",MAX($A$8:$A177)&gt;0),MAX($A$8:$A177)+1,"")))</f>
        <v/>
      </c>
      <c r="B178" s="11">
        <v>171</v>
      </c>
      <c r="C178" s="19" t="str">
        <f t="shared" si="6"/>
        <v>EMPTY</v>
      </c>
      <c r="D178" s="3" t="str">
        <f t="shared" si="7"/>
        <v/>
      </c>
      <c r="E178" s="7"/>
      <c r="F178" s="8" t="str">
        <f t="shared" si="8"/>
        <v/>
      </c>
    </row>
    <row r="179" spans="1:6" x14ac:dyDescent="0.25">
      <c r="A179" s="13" t="str">
        <f>IF(AND($E179="",MAX($A$8:$A178)=0),"",IF(AND($E179&lt;&gt;"",MAX($A$8:$A178)=0),1,IF(AND($E179&lt;&gt;"",MAX($A$8:$A178)&gt;0),MAX($A$8:$A178)+1,"")))</f>
        <v/>
      </c>
      <c r="B179" s="11">
        <v>172</v>
      </c>
      <c r="C179" s="19" t="str">
        <f t="shared" si="6"/>
        <v>EMPTY</v>
      </c>
      <c r="D179" s="3" t="str">
        <f t="shared" si="7"/>
        <v/>
      </c>
      <c r="E179" s="7"/>
      <c r="F179" s="8" t="str">
        <f t="shared" si="8"/>
        <v/>
      </c>
    </row>
    <row r="180" spans="1:6" x14ac:dyDescent="0.25">
      <c r="A180" s="13" t="str">
        <f>IF(AND($E180="",MAX($A$8:$A179)=0),"",IF(AND($E180&lt;&gt;"",MAX($A$8:$A179)=0),1,IF(AND($E180&lt;&gt;"",MAX($A$8:$A179)&gt;0),MAX($A$8:$A179)+1,"")))</f>
        <v/>
      </c>
      <c r="B180" s="11">
        <v>173</v>
      </c>
      <c r="C180" s="19" t="str">
        <f t="shared" si="6"/>
        <v>EMPTY</v>
      </c>
      <c r="D180" s="3" t="str">
        <f t="shared" si="7"/>
        <v/>
      </c>
      <c r="E180" s="7"/>
      <c r="F180" s="8" t="str">
        <f t="shared" si="8"/>
        <v/>
      </c>
    </row>
    <row r="181" spans="1:6" x14ac:dyDescent="0.25">
      <c r="A181" s="13" t="str">
        <f>IF(AND($E181="",MAX($A$8:$A180)=0),"",IF(AND($E181&lt;&gt;"",MAX($A$8:$A180)=0),1,IF(AND($E181&lt;&gt;"",MAX($A$8:$A180)&gt;0),MAX($A$8:$A180)+1,"")))</f>
        <v/>
      </c>
      <c r="B181" s="11">
        <v>174</v>
      </c>
      <c r="C181" s="19" t="str">
        <f t="shared" si="6"/>
        <v>EMPTY</v>
      </c>
      <c r="D181" s="3" t="str">
        <f t="shared" si="7"/>
        <v/>
      </c>
      <c r="E181" s="7"/>
      <c r="F181" s="8" t="str">
        <f t="shared" si="8"/>
        <v/>
      </c>
    </row>
    <row r="182" spans="1:6" x14ac:dyDescent="0.25">
      <c r="A182" s="13" t="str">
        <f>IF(AND($E182="",MAX($A$8:$A181)=0),"",IF(AND($E182&lt;&gt;"",MAX($A$8:$A181)=0),1,IF(AND($E182&lt;&gt;"",MAX($A$8:$A181)&gt;0),MAX($A$8:$A181)+1,"")))</f>
        <v/>
      </c>
      <c r="B182" s="11">
        <v>175</v>
      </c>
      <c r="C182" s="19" t="str">
        <f t="shared" si="6"/>
        <v>EMPTY</v>
      </c>
      <c r="D182" s="3" t="str">
        <f t="shared" si="7"/>
        <v/>
      </c>
      <c r="E182" s="7"/>
      <c r="F182" s="8" t="str">
        <f t="shared" si="8"/>
        <v/>
      </c>
    </row>
    <row r="183" spans="1:6" x14ac:dyDescent="0.25">
      <c r="A183" s="13" t="str">
        <f>IF(AND($E183="",MAX($A$8:$A182)=0),"",IF(AND($E183&lt;&gt;"",MAX($A$8:$A182)=0),1,IF(AND($E183&lt;&gt;"",MAX($A$8:$A182)&gt;0),MAX($A$8:$A182)+1,"")))</f>
        <v/>
      </c>
      <c r="B183" s="11">
        <v>176</v>
      </c>
      <c r="C183" s="19" t="str">
        <f t="shared" si="6"/>
        <v>EMPTY</v>
      </c>
      <c r="D183" s="3" t="str">
        <f t="shared" si="7"/>
        <v/>
      </c>
      <c r="E183" s="7"/>
      <c r="F183" s="8" t="str">
        <f t="shared" si="8"/>
        <v/>
      </c>
    </row>
    <row r="184" spans="1:6" x14ac:dyDescent="0.25">
      <c r="A184" s="13" t="str">
        <f>IF(AND($E184="",MAX($A$8:$A183)=0),"",IF(AND($E184&lt;&gt;"",MAX($A$8:$A183)=0),1,IF(AND($E184&lt;&gt;"",MAX($A$8:$A183)&gt;0),MAX($A$8:$A183)+1,"")))</f>
        <v/>
      </c>
      <c r="B184" s="11">
        <v>177</v>
      </c>
      <c r="C184" s="19" t="str">
        <f t="shared" si="6"/>
        <v>EMPTY</v>
      </c>
      <c r="D184" s="3" t="str">
        <f t="shared" si="7"/>
        <v/>
      </c>
      <c r="E184" s="7"/>
      <c r="F184" s="8" t="str">
        <f t="shared" si="8"/>
        <v/>
      </c>
    </row>
    <row r="185" spans="1:6" x14ac:dyDescent="0.25">
      <c r="A185" s="13" t="str">
        <f>IF(AND($E185="",MAX($A$8:$A184)=0),"",IF(AND($E185&lt;&gt;"",MAX($A$8:$A184)=0),1,IF(AND($E185&lt;&gt;"",MAX($A$8:$A184)&gt;0),MAX($A$8:$A184)+1,"")))</f>
        <v/>
      </c>
      <c r="B185" s="11">
        <v>178</v>
      </c>
      <c r="C185" s="19" t="str">
        <f t="shared" si="6"/>
        <v>EMPTY</v>
      </c>
      <c r="D185" s="3" t="str">
        <f t="shared" si="7"/>
        <v/>
      </c>
      <c r="E185" s="7"/>
      <c r="F185" s="8" t="str">
        <f t="shared" si="8"/>
        <v/>
      </c>
    </row>
    <row r="186" spans="1:6" x14ac:dyDescent="0.25">
      <c r="A186" s="13" t="str">
        <f>IF(AND($E186="",MAX($A$8:$A185)=0),"",IF(AND($E186&lt;&gt;"",MAX($A$8:$A185)=0),1,IF(AND($E186&lt;&gt;"",MAX($A$8:$A185)&gt;0),MAX($A$8:$A185)+1,"")))</f>
        <v/>
      </c>
      <c r="B186" s="11">
        <v>179</v>
      </c>
      <c r="C186" s="19" t="str">
        <f t="shared" si="6"/>
        <v>EMPTY</v>
      </c>
      <c r="D186" s="3" t="str">
        <f t="shared" si="7"/>
        <v/>
      </c>
      <c r="E186" s="7"/>
      <c r="F186" s="8" t="str">
        <f t="shared" si="8"/>
        <v/>
      </c>
    </row>
    <row r="187" spans="1:6" x14ac:dyDescent="0.25">
      <c r="A187" s="13" t="str">
        <f>IF(AND($E187="",MAX($A$8:$A186)=0),"",IF(AND($E187&lt;&gt;"",MAX($A$8:$A186)=0),1,IF(AND($E187&lt;&gt;"",MAX($A$8:$A186)&gt;0),MAX($A$8:$A186)+1,"")))</f>
        <v/>
      </c>
      <c r="B187" s="11">
        <v>180</v>
      </c>
      <c r="C187" s="19" t="str">
        <f t="shared" si="6"/>
        <v>EMPTY</v>
      </c>
      <c r="D187" s="3" t="str">
        <f t="shared" si="7"/>
        <v/>
      </c>
      <c r="E187" s="7"/>
      <c r="F187" s="8" t="str">
        <f t="shared" si="8"/>
        <v/>
      </c>
    </row>
    <row r="188" spans="1:6" x14ac:dyDescent="0.25">
      <c r="A188" s="13" t="str">
        <f>IF(AND($E188="",MAX($A$8:$A187)=0),"",IF(AND($E188&lt;&gt;"",MAX($A$8:$A187)=0),1,IF(AND($E188&lt;&gt;"",MAX($A$8:$A187)&gt;0),MAX($A$8:$A187)+1,"")))</f>
        <v/>
      </c>
      <c r="B188" s="11">
        <v>181</v>
      </c>
      <c r="C188" s="19" t="str">
        <f t="shared" si="6"/>
        <v>EMPTY</v>
      </c>
      <c r="D188" s="3" t="str">
        <f t="shared" si="7"/>
        <v/>
      </c>
      <c r="E188" s="7"/>
      <c r="F188" s="8" t="str">
        <f t="shared" si="8"/>
        <v/>
      </c>
    </row>
    <row r="189" spans="1:6" x14ac:dyDescent="0.25">
      <c r="A189" s="13" t="str">
        <f>IF(AND($E189="",MAX($A$8:$A188)=0),"",IF(AND($E189&lt;&gt;"",MAX($A$8:$A188)=0),1,IF(AND($E189&lt;&gt;"",MAX($A$8:$A188)&gt;0),MAX($A$8:$A188)+1,"")))</f>
        <v/>
      </c>
      <c r="B189" s="11">
        <v>182</v>
      </c>
      <c r="C189" s="19" t="str">
        <f t="shared" si="6"/>
        <v>EMPTY</v>
      </c>
      <c r="D189" s="3" t="str">
        <f t="shared" si="7"/>
        <v/>
      </c>
      <c r="E189" s="7"/>
      <c r="F189" s="8" t="str">
        <f t="shared" si="8"/>
        <v/>
      </c>
    </row>
    <row r="190" spans="1:6" x14ac:dyDescent="0.25">
      <c r="A190" s="13" t="str">
        <f>IF(AND($E190="",MAX($A$8:$A189)=0),"",IF(AND($E190&lt;&gt;"",MAX($A$8:$A189)=0),1,IF(AND($E190&lt;&gt;"",MAX($A$8:$A189)&gt;0),MAX($A$8:$A189)+1,"")))</f>
        <v/>
      </c>
      <c r="B190" s="11">
        <v>183</v>
      </c>
      <c r="C190" s="19" t="str">
        <f t="shared" si="6"/>
        <v>EMPTY</v>
      </c>
      <c r="D190" s="3" t="str">
        <f t="shared" si="7"/>
        <v/>
      </c>
      <c r="E190" s="7"/>
      <c r="F190" s="8" t="str">
        <f t="shared" si="8"/>
        <v/>
      </c>
    </row>
    <row r="191" spans="1:6" x14ac:dyDescent="0.25">
      <c r="A191" s="13" t="str">
        <f>IF(AND($E191="",MAX($A$8:$A190)=0),"",IF(AND($E191&lt;&gt;"",MAX($A$8:$A190)=0),1,IF(AND($E191&lt;&gt;"",MAX($A$8:$A190)&gt;0),MAX($A$8:$A190)+1,"")))</f>
        <v/>
      </c>
      <c r="B191" s="11">
        <v>184</v>
      </c>
      <c r="C191" s="19" t="str">
        <f t="shared" si="6"/>
        <v>EMPTY</v>
      </c>
      <c r="D191" s="3" t="str">
        <f t="shared" si="7"/>
        <v/>
      </c>
      <c r="E191" s="7"/>
      <c r="F191" s="8" t="str">
        <f t="shared" si="8"/>
        <v/>
      </c>
    </row>
    <row r="192" spans="1:6" x14ac:dyDescent="0.25">
      <c r="A192" s="13" t="str">
        <f>IF(AND($E192="",MAX($A$8:$A191)=0),"",IF(AND($E192&lt;&gt;"",MAX($A$8:$A191)=0),1,IF(AND($E192&lt;&gt;"",MAX($A$8:$A191)&gt;0),MAX($A$8:$A191)+1,"")))</f>
        <v/>
      </c>
      <c r="B192" s="11">
        <v>185</v>
      </c>
      <c r="C192" s="19" t="str">
        <f t="shared" si="6"/>
        <v>EMPTY</v>
      </c>
      <c r="D192" s="3" t="str">
        <f t="shared" si="7"/>
        <v/>
      </c>
      <c r="E192" s="7"/>
      <c r="F192" s="8" t="str">
        <f t="shared" si="8"/>
        <v/>
      </c>
    </row>
    <row r="193" spans="1:6" x14ac:dyDescent="0.25">
      <c r="A193" s="13" t="str">
        <f>IF(AND($E193="",MAX($A$8:$A192)=0),"",IF(AND($E193&lt;&gt;"",MAX($A$8:$A192)=0),1,IF(AND($E193&lt;&gt;"",MAX($A$8:$A192)&gt;0),MAX($A$8:$A192)+1,"")))</f>
        <v/>
      </c>
      <c r="B193" s="11">
        <v>186</v>
      </c>
      <c r="C193" s="19" t="str">
        <f t="shared" si="6"/>
        <v>EMPTY</v>
      </c>
      <c r="D193" s="3" t="str">
        <f t="shared" si="7"/>
        <v/>
      </c>
      <c r="E193" s="7"/>
      <c r="F193" s="8" t="str">
        <f t="shared" si="8"/>
        <v/>
      </c>
    </row>
    <row r="194" spans="1:6" x14ac:dyDescent="0.25">
      <c r="A194" s="13" t="str">
        <f>IF(AND($E194="",MAX($A$8:$A193)=0),"",IF(AND($E194&lt;&gt;"",MAX($A$8:$A193)=0),1,IF(AND($E194&lt;&gt;"",MAX($A$8:$A193)&gt;0),MAX($A$8:$A193)+1,"")))</f>
        <v/>
      </c>
      <c r="B194" s="11">
        <v>187</v>
      </c>
      <c r="C194" s="19" t="str">
        <f t="shared" si="6"/>
        <v>EMPTY</v>
      </c>
      <c r="D194" s="3" t="str">
        <f t="shared" si="7"/>
        <v/>
      </c>
      <c r="E194" s="7"/>
      <c r="F194" s="8" t="str">
        <f t="shared" si="8"/>
        <v/>
      </c>
    </row>
    <row r="195" spans="1:6" x14ac:dyDescent="0.25">
      <c r="A195" s="13" t="str">
        <f>IF(AND($E195="",MAX($A$8:$A194)=0),"",IF(AND($E195&lt;&gt;"",MAX($A$8:$A194)=0),1,IF(AND($E195&lt;&gt;"",MAX($A$8:$A194)&gt;0),MAX($A$8:$A194)+1,"")))</f>
        <v/>
      </c>
      <c r="B195" s="11">
        <v>188</v>
      </c>
      <c r="C195" s="19" t="str">
        <f t="shared" si="6"/>
        <v>EMPTY</v>
      </c>
      <c r="D195" s="3" t="str">
        <f t="shared" si="7"/>
        <v/>
      </c>
      <c r="E195" s="7"/>
      <c r="F195" s="8" t="str">
        <f t="shared" si="8"/>
        <v/>
      </c>
    </row>
    <row r="196" spans="1:6" x14ac:dyDescent="0.25">
      <c r="A196" s="13" t="str">
        <f>IF(AND($E196="",MAX($A$8:$A195)=0),"",IF(AND($E196&lt;&gt;"",MAX($A$8:$A195)=0),1,IF(AND($E196&lt;&gt;"",MAX($A$8:$A195)&gt;0),MAX($A$8:$A195)+1,"")))</f>
        <v/>
      </c>
      <c r="B196" s="11">
        <v>189</v>
      </c>
      <c r="C196" s="19" t="str">
        <f t="shared" si="6"/>
        <v>EMPTY</v>
      </c>
      <c r="D196" s="3" t="str">
        <f t="shared" si="7"/>
        <v/>
      </c>
      <c r="E196" s="7"/>
      <c r="F196" s="8" t="str">
        <f t="shared" si="8"/>
        <v/>
      </c>
    </row>
    <row r="197" spans="1:6" x14ac:dyDescent="0.25">
      <c r="A197" s="13" t="str">
        <f>IF(AND($E197="",MAX($A$8:$A196)=0),"",IF(AND($E197&lt;&gt;"",MAX($A$8:$A196)=0),1,IF(AND($E197&lt;&gt;"",MAX($A$8:$A196)&gt;0),MAX($A$8:$A196)+1,"")))</f>
        <v/>
      </c>
      <c r="B197" s="11">
        <v>190</v>
      </c>
      <c r="C197" s="19" t="str">
        <f t="shared" si="6"/>
        <v>EMPTY</v>
      </c>
      <c r="D197" s="3" t="str">
        <f t="shared" si="7"/>
        <v/>
      </c>
      <c r="E197" s="7"/>
      <c r="F197" s="8" t="str">
        <f t="shared" si="8"/>
        <v/>
      </c>
    </row>
    <row r="198" spans="1:6" x14ac:dyDescent="0.25">
      <c r="A198" s="13" t="str">
        <f>IF(AND($E198="",MAX($A$8:$A197)=0),"",IF(AND($E198&lt;&gt;"",MAX($A$8:$A197)=0),1,IF(AND($E198&lt;&gt;"",MAX($A$8:$A197)&gt;0),MAX($A$8:$A197)+1,"")))</f>
        <v/>
      </c>
      <c r="B198" s="11">
        <v>191</v>
      </c>
      <c r="C198" s="19" t="str">
        <f t="shared" si="6"/>
        <v>EMPTY</v>
      </c>
      <c r="D198" s="3" t="str">
        <f t="shared" si="7"/>
        <v/>
      </c>
      <c r="E198" s="7"/>
      <c r="F198" s="8" t="str">
        <f t="shared" si="8"/>
        <v/>
      </c>
    </row>
    <row r="199" spans="1:6" x14ac:dyDescent="0.25">
      <c r="A199" s="13" t="str">
        <f>IF(AND($E199="",MAX($A$8:$A198)=0),"",IF(AND($E199&lt;&gt;"",MAX($A$8:$A198)=0),1,IF(AND($E199&lt;&gt;"",MAX($A$8:$A198)&gt;0),MAX($A$8:$A198)+1,"")))</f>
        <v/>
      </c>
      <c r="B199" s="11">
        <v>192</v>
      </c>
      <c r="C199" s="19" t="str">
        <f t="shared" si="6"/>
        <v>EMPTY</v>
      </c>
      <c r="D199" s="3" t="str">
        <f t="shared" si="7"/>
        <v/>
      </c>
      <c r="E199" s="7"/>
      <c r="F199" s="8" t="str">
        <f t="shared" si="8"/>
        <v/>
      </c>
    </row>
    <row r="200" spans="1:6" x14ac:dyDescent="0.25">
      <c r="A200" s="13" t="str">
        <f>IF(AND($E200="",MAX($A$8:$A199)=0),"",IF(AND($E200&lt;&gt;"",MAX($A$8:$A199)=0),1,IF(AND($E200&lt;&gt;"",MAX($A$8:$A199)&gt;0),MAX($A$8:$A199)+1,"")))</f>
        <v/>
      </c>
      <c r="B200" s="11">
        <v>193</v>
      </c>
      <c r="C200" s="19" t="str">
        <f t="shared" si="6"/>
        <v>EMPTY</v>
      </c>
      <c r="D200" s="3" t="str">
        <f t="shared" si="7"/>
        <v/>
      </c>
      <c r="E200" s="7"/>
      <c r="F200" s="8" t="str">
        <f t="shared" si="8"/>
        <v/>
      </c>
    </row>
    <row r="201" spans="1:6" x14ac:dyDescent="0.25">
      <c r="A201" s="13" t="str">
        <f>IF(AND($E201="",MAX($A$8:$A200)=0),"",IF(AND($E201&lt;&gt;"",MAX($A$8:$A200)=0),1,IF(AND($E201&lt;&gt;"",MAX($A$8:$A200)&gt;0),MAX($A$8:$A200)+1,"")))</f>
        <v/>
      </c>
      <c r="B201" s="11">
        <v>194</v>
      </c>
      <c r="C201" s="19" t="str">
        <f t="shared" ref="C201:C264" si="9">IF($E201="","EMPTY",IF(MID($E201,1,9)&lt;&gt;"Dialogue:","HIDE",IF(MID($E201,1,9)="Dialogue:","SHOW","")))</f>
        <v>EMPTY</v>
      </c>
      <c r="D201" s="3" t="str">
        <f t="shared" ref="D201:D264" si="10">IF($C201="SHOW",CONCATENATE("[",MID($E201,FIND(",",$E201,1)+3,8),"]",MID($E201,FIND("0,,",$E201,1)+3,1000)),"")</f>
        <v/>
      </c>
      <c r="E201" s="7"/>
      <c r="F201" s="8" t="str">
        <f t="shared" ref="F201:F264" si="11">$D201</f>
        <v/>
      </c>
    </row>
    <row r="202" spans="1:6" x14ac:dyDescent="0.25">
      <c r="A202" s="13" t="str">
        <f>IF(AND($E202="",MAX($A$8:$A201)=0),"",IF(AND($E202&lt;&gt;"",MAX($A$8:$A201)=0),1,IF(AND($E202&lt;&gt;"",MAX($A$8:$A201)&gt;0),MAX($A$8:$A201)+1,"")))</f>
        <v/>
      </c>
      <c r="B202" s="11">
        <v>195</v>
      </c>
      <c r="C202" s="19" t="str">
        <f t="shared" si="9"/>
        <v>EMPTY</v>
      </c>
      <c r="D202" s="3" t="str">
        <f t="shared" si="10"/>
        <v/>
      </c>
      <c r="E202" s="7"/>
      <c r="F202" s="8" t="str">
        <f t="shared" si="11"/>
        <v/>
      </c>
    </row>
    <row r="203" spans="1:6" x14ac:dyDescent="0.25">
      <c r="A203" s="13" t="str">
        <f>IF(AND($E203="",MAX($A$8:$A202)=0),"",IF(AND($E203&lt;&gt;"",MAX($A$8:$A202)=0),1,IF(AND($E203&lt;&gt;"",MAX($A$8:$A202)&gt;0),MAX($A$8:$A202)+1,"")))</f>
        <v/>
      </c>
      <c r="B203" s="11">
        <v>196</v>
      </c>
      <c r="C203" s="19" t="str">
        <f t="shared" si="9"/>
        <v>EMPTY</v>
      </c>
      <c r="D203" s="3" t="str">
        <f t="shared" si="10"/>
        <v/>
      </c>
      <c r="E203" s="7"/>
      <c r="F203" s="8" t="str">
        <f t="shared" si="11"/>
        <v/>
      </c>
    </row>
    <row r="204" spans="1:6" x14ac:dyDescent="0.25">
      <c r="A204" s="13" t="str">
        <f>IF(AND($E204="",MAX($A$8:$A203)=0),"",IF(AND($E204&lt;&gt;"",MAX($A$8:$A203)=0),1,IF(AND($E204&lt;&gt;"",MAX($A$8:$A203)&gt;0),MAX($A$8:$A203)+1,"")))</f>
        <v/>
      </c>
      <c r="B204" s="11">
        <v>197</v>
      </c>
      <c r="C204" s="19" t="str">
        <f t="shared" si="9"/>
        <v>EMPTY</v>
      </c>
      <c r="D204" s="3" t="str">
        <f t="shared" si="10"/>
        <v/>
      </c>
      <c r="E204" s="7"/>
      <c r="F204" s="8" t="str">
        <f t="shared" si="11"/>
        <v/>
      </c>
    </row>
    <row r="205" spans="1:6" x14ac:dyDescent="0.25">
      <c r="A205" s="13" t="str">
        <f>IF(AND($E205="",MAX($A$8:$A204)=0),"",IF(AND($E205&lt;&gt;"",MAX($A$8:$A204)=0),1,IF(AND($E205&lt;&gt;"",MAX($A$8:$A204)&gt;0),MAX($A$8:$A204)+1,"")))</f>
        <v/>
      </c>
      <c r="B205" s="11">
        <v>198</v>
      </c>
      <c r="C205" s="19" t="str">
        <f t="shared" si="9"/>
        <v>EMPTY</v>
      </c>
      <c r="D205" s="3" t="str">
        <f t="shared" si="10"/>
        <v/>
      </c>
      <c r="E205" s="7"/>
      <c r="F205" s="8" t="str">
        <f t="shared" si="11"/>
        <v/>
      </c>
    </row>
    <row r="206" spans="1:6" x14ac:dyDescent="0.25">
      <c r="A206" s="13" t="str">
        <f>IF(AND($E206="",MAX($A$8:$A205)=0),"",IF(AND($E206&lt;&gt;"",MAX($A$8:$A205)=0),1,IF(AND($E206&lt;&gt;"",MAX($A$8:$A205)&gt;0),MAX($A$8:$A205)+1,"")))</f>
        <v/>
      </c>
      <c r="B206" s="11">
        <v>199</v>
      </c>
      <c r="C206" s="19" t="str">
        <f t="shared" si="9"/>
        <v>EMPTY</v>
      </c>
      <c r="D206" s="3" t="str">
        <f t="shared" si="10"/>
        <v/>
      </c>
      <c r="E206" s="7"/>
      <c r="F206" s="8" t="str">
        <f t="shared" si="11"/>
        <v/>
      </c>
    </row>
    <row r="207" spans="1:6" x14ac:dyDescent="0.25">
      <c r="A207" s="13" t="str">
        <f>IF(AND($E207="",MAX($A$8:$A206)=0),"",IF(AND($E207&lt;&gt;"",MAX($A$8:$A206)=0),1,IF(AND($E207&lt;&gt;"",MAX($A$8:$A206)&gt;0),MAX($A$8:$A206)+1,"")))</f>
        <v/>
      </c>
      <c r="B207" s="11">
        <v>200</v>
      </c>
      <c r="C207" s="19" t="str">
        <f t="shared" si="9"/>
        <v>EMPTY</v>
      </c>
      <c r="D207" s="3" t="str">
        <f t="shared" si="10"/>
        <v/>
      </c>
      <c r="E207" s="7"/>
      <c r="F207" s="8" t="str">
        <f t="shared" si="11"/>
        <v/>
      </c>
    </row>
    <row r="208" spans="1:6" x14ac:dyDescent="0.25">
      <c r="A208" s="13" t="str">
        <f>IF(AND($E208="",MAX($A$8:$A207)=0),"",IF(AND($E208&lt;&gt;"",MAX($A$8:$A207)=0),1,IF(AND($E208&lt;&gt;"",MAX($A$8:$A207)&gt;0),MAX($A$8:$A207)+1,"")))</f>
        <v/>
      </c>
      <c r="B208" s="11">
        <v>201</v>
      </c>
      <c r="C208" s="19" t="str">
        <f t="shared" si="9"/>
        <v>EMPTY</v>
      </c>
      <c r="D208" s="3" t="str">
        <f t="shared" si="10"/>
        <v/>
      </c>
      <c r="E208" s="7"/>
      <c r="F208" s="8" t="str">
        <f t="shared" si="11"/>
        <v/>
      </c>
    </row>
    <row r="209" spans="1:6" x14ac:dyDescent="0.25">
      <c r="A209" s="13" t="str">
        <f>IF(AND($E209="",MAX($A$8:$A208)=0),"",IF(AND($E209&lt;&gt;"",MAX($A$8:$A208)=0),1,IF(AND($E209&lt;&gt;"",MAX($A$8:$A208)&gt;0),MAX($A$8:$A208)+1,"")))</f>
        <v/>
      </c>
      <c r="B209" s="11">
        <v>202</v>
      </c>
      <c r="C209" s="19" t="str">
        <f t="shared" si="9"/>
        <v>EMPTY</v>
      </c>
      <c r="D209" s="3" t="str">
        <f t="shared" si="10"/>
        <v/>
      </c>
      <c r="E209" s="7"/>
      <c r="F209" s="8" t="str">
        <f t="shared" si="11"/>
        <v/>
      </c>
    </row>
    <row r="210" spans="1:6" x14ac:dyDescent="0.25">
      <c r="A210" s="13" t="str">
        <f>IF(AND($E210="",MAX($A$8:$A209)=0),"",IF(AND($E210&lt;&gt;"",MAX($A$8:$A209)=0),1,IF(AND($E210&lt;&gt;"",MAX($A$8:$A209)&gt;0),MAX($A$8:$A209)+1,"")))</f>
        <v/>
      </c>
      <c r="B210" s="11">
        <v>203</v>
      </c>
      <c r="C210" s="19" t="str">
        <f t="shared" si="9"/>
        <v>EMPTY</v>
      </c>
      <c r="D210" s="3" t="str">
        <f t="shared" si="10"/>
        <v/>
      </c>
      <c r="E210" s="7"/>
      <c r="F210" s="8" t="str">
        <f t="shared" si="11"/>
        <v/>
      </c>
    </row>
    <row r="211" spans="1:6" x14ac:dyDescent="0.25">
      <c r="A211" s="13" t="str">
        <f>IF(AND($E211="",MAX($A$8:$A210)=0),"",IF(AND($E211&lt;&gt;"",MAX($A$8:$A210)=0),1,IF(AND($E211&lt;&gt;"",MAX($A$8:$A210)&gt;0),MAX($A$8:$A210)+1,"")))</f>
        <v/>
      </c>
      <c r="B211" s="11">
        <v>204</v>
      </c>
      <c r="C211" s="19" t="str">
        <f t="shared" si="9"/>
        <v>EMPTY</v>
      </c>
      <c r="D211" s="3" t="str">
        <f t="shared" si="10"/>
        <v/>
      </c>
      <c r="E211" s="7"/>
      <c r="F211" s="8" t="str">
        <f t="shared" si="11"/>
        <v/>
      </c>
    </row>
    <row r="212" spans="1:6" x14ac:dyDescent="0.25">
      <c r="A212" s="13" t="str">
        <f>IF(AND($E212="",MAX($A$8:$A211)=0),"",IF(AND($E212&lt;&gt;"",MAX($A$8:$A211)=0),1,IF(AND($E212&lt;&gt;"",MAX($A$8:$A211)&gt;0),MAX($A$8:$A211)+1,"")))</f>
        <v/>
      </c>
      <c r="B212" s="11">
        <v>205</v>
      </c>
      <c r="C212" s="19" t="str">
        <f t="shared" si="9"/>
        <v>EMPTY</v>
      </c>
      <c r="D212" s="3" t="str">
        <f t="shared" si="10"/>
        <v/>
      </c>
      <c r="E212" s="7"/>
      <c r="F212" s="8" t="str">
        <f t="shared" si="11"/>
        <v/>
      </c>
    </row>
    <row r="213" spans="1:6" x14ac:dyDescent="0.25">
      <c r="A213" s="13" t="str">
        <f>IF(AND($E213="",MAX($A$8:$A212)=0),"",IF(AND($E213&lt;&gt;"",MAX($A$8:$A212)=0),1,IF(AND($E213&lt;&gt;"",MAX($A$8:$A212)&gt;0),MAX($A$8:$A212)+1,"")))</f>
        <v/>
      </c>
      <c r="B213" s="11">
        <v>206</v>
      </c>
      <c r="C213" s="19" t="str">
        <f t="shared" si="9"/>
        <v>EMPTY</v>
      </c>
      <c r="D213" s="3" t="str">
        <f t="shared" si="10"/>
        <v/>
      </c>
      <c r="E213" s="7"/>
      <c r="F213" s="8" t="str">
        <f t="shared" si="11"/>
        <v/>
      </c>
    </row>
    <row r="214" spans="1:6" x14ac:dyDescent="0.25">
      <c r="A214" s="13" t="str">
        <f>IF(AND($E214="",MAX($A$8:$A213)=0),"",IF(AND($E214&lt;&gt;"",MAX($A$8:$A213)=0),1,IF(AND($E214&lt;&gt;"",MAX($A$8:$A213)&gt;0),MAX($A$8:$A213)+1,"")))</f>
        <v/>
      </c>
      <c r="B214" s="11">
        <v>207</v>
      </c>
      <c r="C214" s="19" t="str">
        <f t="shared" si="9"/>
        <v>EMPTY</v>
      </c>
      <c r="D214" s="3" t="str">
        <f t="shared" si="10"/>
        <v/>
      </c>
      <c r="E214" s="7"/>
      <c r="F214" s="8" t="str">
        <f t="shared" si="11"/>
        <v/>
      </c>
    </row>
    <row r="215" spans="1:6" x14ac:dyDescent="0.25">
      <c r="A215" s="13" t="str">
        <f>IF(AND($E215="",MAX($A$8:$A214)=0),"",IF(AND($E215&lt;&gt;"",MAX($A$8:$A214)=0),1,IF(AND($E215&lt;&gt;"",MAX($A$8:$A214)&gt;0),MAX($A$8:$A214)+1,"")))</f>
        <v/>
      </c>
      <c r="B215" s="11">
        <v>208</v>
      </c>
      <c r="C215" s="19" t="str">
        <f t="shared" si="9"/>
        <v>EMPTY</v>
      </c>
      <c r="D215" s="3" t="str">
        <f t="shared" si="10"/>
        <v/>
      </c>
      <c r="E215" s="7"/>
      <c r="F215" s="8" t="str">
        <f t="shared" si="11"/>
        <v/>
      </c>
    </row>
    <row r="216" spans="1:6" x14ac:dyDescent="0.25">
      <c r="A216" s="13" t="str">
        <f>IF(AND($E216="",MAX($A$8:$A215)=0),"",IF(AND($E216&lt;&gt;"",MAX($A$8:$A215)=0),1,IF(AND($E216&lt;&gt;"",MAX($A$8:$A215)&gt;0),MAX($A$8:$A215)+1,"")))</f>
        <v/>
      </c>
      <c r="B216" s="11">
        <v>209</v>
      </c>
      <c r="C216" s="19" t="str">
        <f t="shared" si="9"/>
        <v>EMPTY</v>
      </c>
      <c r="D216" s="3" t="str">
        <f t="shared" si="10"/>
        <v/>
      </c>
      <c r="E216" s="7"/>
      <c r="F216" s="8" t="str">
        <f t="shared" si="11"/>
        <v/>
      </c>
    </row>
    <row r="217" spans="1:6" x14ac:dyDescent="0.25">
      <c r="A217" s="13" t="str">
        <f>IF(AND($E217="",MAX($A$8:$A216)=0),"",IF(AND($E217&lt;&gt;"",MAX($A$8:$A216)=0),1,IF(AND($E217&lt;&gt;"",MAX($A$8:$A216)&gt;0),MAX($A$8:$A216)+1,"")))</f>
        <v/>
      </c>
      <c r="B217" s="11">
        <v>210</v>
      </c>
      <c r="C217" s="19" t="str">
        <f t="shared" si="9"/>
        <v>EMPTY</v>
      </c>
      <c r="D217" s="3" t="str">
        <f t="shared" si="10"/>
        <v/>
      </c>
      <c r="E217" s="7"/>
      <c r="F217" s="8" t="str">
        <f t="shared" si="11"/>
        <v/>
      </c>
    </row>
    <row r="218" spans="1:6" x14ac:dyDescent="0.25">
      <c r="A218" s="13" t="str">
        <f>IF(AND($E218="",MAX($A$8:$A217)=0),"",IF(AND($E218&lt;&gt;"",MAX($A$8:$A217)=0),1,IF(AND($E218&lt;&gt;"",MAX($A$8:$A217)&gt;0),MAX($A$8:$A217)+1,"")))</f>
        <v/>
      </c>
      <c r="B218" s="11">
        <v>211</v>
      </c>
      <c r="C218" s="19" t="str">
        <f t="shared" si="9"/>
        <v>EMPTY</v>
      </c>
      <c r="D218" s="3" t="str">
        <f t="shared" si="10"/>
        <v/>
      </c>
      <c r="E218" s="7"/>
      <c r="F218" s="8" t="str">
        <f t="shared" si="11"/>
        <v/>
      </c>
    </row>
    <row r="219" spans="1:6" x14ac:dyDescent="0.25">
      <c r="A219" s="13" t="str">
        <f>IF(AND($E219="",MAX($A$8:$A218)=0),"",IF(AND($E219&lt;&gt;"",MAX($A$8:$A218)=0),1,IF(AND($E219&lt;&gt;"",MAX($A$8:$A218)&gt;0),MAX($A$8:$A218)+1,"")))</f>
        <v/>
      </c>
      <c r="B219" s="11">
        <v>212</v>
      </c>
      <c r="C219" s="19" t="str">
        <f t="shared" si="9"/>
        <v>EMPTY</v>
      </c>
      <c r="D219" s="3" t="str">
        <f t="shared" si="10"/>
        <v/>
      </c>
      <c r="E219" s="7"/>
      <c r="F219" s="8" t="str">
        <f t="shared" si="11"/>
        <v/>
      </c>
    </row>
    <row r="220" spans="1:6" x14ac:dyDescent="0.25">
      <c r="A220" s="13" t="str">
        <f>IF(AND($E220="",MAX($A$8:$A219)=0),"",IF(AND($E220&lt;&gt;"",MAX($A$8:$A219)=0),1,IF(AND($E220&lt;&gt;"",MAX($A$8:$A219)&gt;0),MAX($A$8:$A219)+1,"")))</f>
        <v/>
      </c>
      <c r="B220" s="11">
        <v>213</v>
      </c>
      <c r="C220" s="19" t="str">
        <f t="shared" si="9"/>
        <v>EMPTY</v>
      </c>
      <c r="D220" s="3" t="str">
        <f t="shared" si="10"/>
        <v/>
      </c>
      <c r="E220" s="7"/>
      <c r="F220" s="8" t="str">
        <f t="shared" si="11"/>
        <v/>
      </c>
    </row>
    <row r="221" spans="1:6" x14ac:dyDescent="0.25">
      <c r="A221" s="13" t="str">
        <f>IF(AND($E221="",MAX($A$8:$A220)=0),"",IF(AND($E221&lt;&gt;"",MAX($A$8:$A220)=0),1,IF(AND($E221&lt;&gt;"",MAX($A$8:$A220)&gt;0),MAX($A$8:$A220)+1,"")))</f>
        <v/>
      </c>
      <c r="B221" s="11">
        <v>214</v>
      </c>
      <c r="C221" s="19" t="str">
        <f t="shared" si="9"/>
        <v>EMPTY</v>
      </c>
      <c r="D221" s="3" t="str">
        <f t="shared" si="10"/>
        <v/>
      </c>
      <c r="E221" s="7"/>
      <c r="F221" s="8" t="str">
        <f t="shared" si="11"/>
        <v/>
      </c>
    </row>
    <row r="222" spans="1:6" x14ac:dyDescent="0.25">
      <c r="A222" s="13" t="str">
        <f>IF(AND($E222="",MAX($A$8:$A221)=0),"",IF(AND($E222&lt;&gt;"",MAX($A$8:$A221)=0),1,IF(AND($E222&lt;&gt;"",MAX($A$8:$A221)&gt;0),MAX($A$8:$A221)+1,"")))</f>
        <v/>
      </c>
      <c r="B222" s="11">
        <v>215</v>
      </c>
      <c r="C222" s="19" t="str">
        <f t="shared" si="9"/>
        <v>EMPTY</v>
      </c>
      <c r="D222" s="3" t="str">
        <f t="shared" si="10"/>
        <v/>
      </c>
      <c r="E222" s="7"/>
      <c r="F222" s="8" t="str">
        <f t="shared" si="11"/>
        <v/>
      </c>
    </row>
    <row r="223" spans="1:6" x14ac:dyDescent="0.25">
      <c r="A223" s="13" t="str">
        <f>IF(AND($E223="",MAX($A$8:$A222)=0),"",IF(AND($E223&lt;&gt;"",MAX($A$8:$A222)=0),1,IF(AND($E223&lt;&gt;"",MAX($A$8:$A222)&gt;0),MAX($A$8:$A222)+1,"")))</f>
        <v/>
      </c>
      <c r="B223" s="11">
        <v>216</v>
      </c>
      <c r="C223" s="19" t="str">
        <f t="shared" si="9"/>
        <v>EMPTY</v>
      </c>
      <c r="D223" s="3" t="str">
        <f t="shared" si="10"/>
        <v/>
      </c>
      <c r="E223" s="7"/>
      <c r="F223" s="8" t="str">
        <f t="shared" si="11"/>
        <v/>
      </c>
    </row>
    <row r="224" spans="1:6" x14ac:dyDescent="0.25">
      <c r="A224" s="13" t="str">
        <f>IF(AND($E224="",MAX($A$8:$A223)=0),"",IF(AND($E224&lt;&gt;"",MAX($A$8:$A223)=0),1,IF(AND($E224&lt;&gt;"",MAX($A$8:$A223)&gt;0),MAX($A$8:$A223)+1,"")))</f>
        <v/>
      </c>
      <c r="B224" s="11">
        <v>217</v>
      </c>
      <c r="C224" s="19" t="str">
        <f t="shared" si="9"/>
        <v>EMPTY</v>
      </c>
      <c r="D224" s="3" t="str">
        <f t="shared" si="10"/>
        <v/>
      </c>
      <c r="E224" s="7"/>
      <c r="F224" s="8" t="str">
        <f t="shared" si="11"/>
        <v/>
      </c>
    </row>
    <row r="225" spans="1:6" x14ac:dyDescent="0.25">
      <c r="A225" s="13" t="str">
        <f>IF(AND($E225="",MAX($A$8:$A224)=0),"",IF(AND($E225&lt;&gt;"",MAX($A$8:$A224)=0),1,IF(AND($E225&lt;&gt;"",MAX($A$8:$A224)&gt;0),MAX($A$8:$A224)+1,"")))</f>
        <v/>
      </c>
      <c r="B225" s="11">
        <v>218</v>
      </c>
      <c r="C225" s="19" t="str">
        <f t="shared" si="9"/>
        <v>EMPTY</v>
      </c>
      <c r="D225" s="3" t="str">
        <f t="shared" si="10"/>
        <v/>
      </c>
      <c r="E225" s="7"/>
      <c r="F225" s="8" t="str">
        <f t="shared" si="11"/>
        <v/>
      </c>
    </row>
    <row r="226" spans="1:6" x14ac:dyDescent="0.25">
      <c r="A226" s="13" t="str">
        <f>IF(AND($E226="",MAX($A$8:$A225)=0),"",IF(AND($E226&lt;&gt;"",MAX($A$8:$A225)=0),1,IF(AND($E226&lt;&gt;"",MAX($A$8:$A225)&gt;0),MAX($A$8:$A225)+1,"")))</f>
        <v/>
      </c>
      <c r="B226" s="11">
        <v>219</v>
      </c>
      <c r="C226" s="19" t="str">
        <f t="shared" si="9"/>
        <v>EMPTY</v>
      </c>
      <c r="D226" s="3" t="str">
        <f t="shared" si="10"/>
        <v/>
      </c>
      <c r="E226" s="7"/>
      <c r="F226" s="8" t="str">
        <f t="shared" si="11"/>
        <v/>
      </c>
    </row>
    <row r="227" spans="1:6" x14ac:dyDescent="0.25">
      <c r="A227" s="13" t="str">
        <f>IF(AND($E227="",MAX($A$8:$A226)=0),"",IF(AND($E227&lt;&gt;"",MAX($A$8:$A226)=0),1,IF(AND($E227&lt;&gt;"",MAX($A$8:$A226)&gt;0),MAX($A$8:$A226)+1,"")))</f>
        <v/>
      </c>
      <c r="B227" s="11">
        <v>220</v>
      </c>
      <c r="C227" s="19" t="str">
        <f t="shared" si="9"/>
        <v>EMPTY</v>
      </c>
      <c r="D227" s="3" t="str">
        <f t="shared" si="10"/>
        <v/>
      </c>
      <c r="E227" s="7"/>
      <c r="F227" s="8" t="str">
        <f t="shared" si="11"/>
        <v/>
      </c>
    </row>
    <row r="228" spans="1:6" x14ac:dyDescent="0.25">
      <c r="A228" s="13" t="str">
        <f>IF(AND($E228="",MAX($A$8:$A227)=0),"",IF(AND($E228&lt;&gt;"",MAX($A$8:$A227)=0),1,IF(AND($E228&lt;&gt;"",MAX($A$8:$A227)&gt;0),MAX($A$8:$A227)+1,"")))</f>
        <v/>
      </c>
      <c r="B228" s="11">
        <v>221</v>
      </c>
      <c r="C228" s="19" t="str">
        <f t="shared" si="9"/>
        <v>EMPTY</v>
      </c>
      <c r="D228" s="3" t="str">
        <f t="shared" si="10"/>
        <v/>
      </c>
      <c r="E228" s="7"/>
      <c r="F228" s="8" t="str">
        <f t="shared" si="11"/>
        <v/>
      </c>
    </row>
    <row r="229" spans="1:6" x14ac:dyDescent="0.25">
      <c r="A229" s="13" t="str">
        <f>IF(AND($E229="",MAX($A$8:$A228)=0),"",IF(AND($E229&lt;&gt;"",MAX($A$8:$A228)=0),1,IF(AND($E229&lt;&gt;"",MAX($A$8:$A228)&gt;0),MAX($A$8:$A228)+1,"")))</f>
        <v/>
      </c>
      <c r="B229" s="11">
        <v>222</v>
      </c>
      <c r="C229" s="19" t="str">
        <f t="shared" si="9"/>
        <v>EMPTY</v>
      </c>
      <c r="D229" s="3" t="str">
        <f t="shared" si="10"/>
        <v/>
      </c>
      <c r="E229" s="7"/>
      <c r="F229" s="8" t="str">
        <f t="shared" si="11"/>
        <v/>
      </c>
    </row>
    <row r="230" spans="1:6" x14ac:dyDescent="0.25">
      <c r="A230" s="13" t="str">
        <f>IF(AND($E230="",MAX($A$8:$A229)=0),"",IF(AND($E230&lt;&gt;"",MAX($A$8:$A229)=0),1,IF(AND($E230&lt;&gt;"",MAX($A$8:$A229)&gt;0),MAX($A$8:$A229)+1,"")))</f>
        <v/>
      </c>
      <c r="B230" s="11">
        <v>223</v>
      </c>
      <c r="C230" s="19" t="str">
        <f t="shared" si="9"/>
        <v>EMPTY</v>
      </c>
      <c r="D230" s="3" t="str">
        <f t="shared" si="10"/>
        <v/>
      </c>
      <c r="E230" s="7"/>
      <c r="F230" s="8" t="str">
        <f t="shared" si="11"/>
        <v/>
      </c>
    </row>
    <row r="231" spans="1:6" x14ac:dyDescent="0.25">
      <c r="A231" s="13" t="str">
        <f>IF(AND($E231="",MAX($A$8:$A230)=0),"",IF(AND($E231&lt;&gt;"",MAX($A$8:$A230)=0),1,IF(AND($E231&lt;&gt;"",MAX($A$8:$A230)&gt;0),MAX($A$8:$A230)+1,"")))</f>
        <v/>
      </c>
      <c r="B231" s="11">
        <v>224</v>
      </c>
      <c r="C231" s="19" t="str">
        <f t="shared" si="9"/>
        <v>EMPTY</v>
      </c>
      <c r="D231" s="3" t="str">
        <f t="shared" si="10"/>
        <v/>
      </c>
      <c r="E231" s="7"/>
      <c r="F231" s="8" t="str">
        <f t="shared" si="11"/>
        <v/>
      </c>
    </row>
    <row r="232" spans="1:6" x14ac:dyDescent="0.25">
      <c r="A232" s="13" t="str">
        <f>IF(AND($E232="",MAX($A$8:$A231)=0),"",IF(AND($E232&lt;&gt;"",MAX($A$8:$A231)=0),1,IF(AND($E232&lt;&gt;"",MAX($A$8:$A231)&gt;0),MAX($A$8:$A231)+1,"")))</f>
        <v/>
      </c>
      <c r="B232" s="11">
        <v>225</v>
      </c>
      <c r="C232" s="19" t="str">
        <f t="shared" si="9"/>
        <v>EMPTY</v>
      </c>
      <c r="D232" s="3" t="str">
        <f t="shared" si="10"/>
        <v/>
      </c>
      <c r="E232" s="7"/>
      <c r="F232" s="8" t="str">
        <f t="shared" si="11"/>
        <v/>
      </c>
    </row>
    <row r="233" spans="1:6" x14ac:dyDescent="0.25">
      <c r="A233" s="13" t="str">
        <f>IF(AND($E233="",MAX($A$8:$A232)=0),"",IF(AND($E233&lt;&gt;"",MAX($A$8:$A232)=0),1,IF(AND($E233&lt;&gt;"",MAX($A$8:$A232)&gt;0),MAX($A$8:$A232)+1,"")))</f>
        <v/>
      </c>
      <c r="B233" s="11">
        <v>226</v>
      </c>
      <c r="C233" s="19" t="str">
        <f t="shared" si="9"/>
        <v>EMPTY</v>
      </c>
      <c r="D233" s="3" t="str">
        <f t="shared" si="10"/>
        <v/>
      </c>
      <c r="E233" s="7"/>
      <c r="F233" s="8" t="str">
        <f t="shared" si="11"/>
        <v/>
      </c>
    </row>
    <row r="234" spans="1:6" x14ac:dyDescent="0.25">
      <c r="A234" s="13" t="str">
        <f>IF(AND($E234="",MAX($A$8:$A233)=0),"",IF(AND($E234&lt;&gt;"",MAX($A$8:$A233)=0),1,IF(AND($E234&lt;&gt;"",MAX($A$8:$A233)&gt;0),MAX($A$8:$A233)+1,"")))</f>
        <v/>
      </c>
      <c r="B234" s="11">
        <v>227</v>
      </c>
      <c r="C234" s="19" t="str">
        <f t="shared" si="9"/>
        <v>EMPTY</v>
      </c>
      <c r="D234" s="3" t="str">
        <f t="shared" si="10"/>
        <v/>
      </c>
      <c r="E234" s="7"/>
      <c r="F234" s="8" t="str">
        <f t="shared" si="11"/>
        <v/>
      </c>
    </row>
    <row r="235" spans="1:6" x14ac:dyDescent="0.25">
      <c r="A235" s="13" t="str">
        <f>IF(AND($E235="",MAX($A$8:$A234)=0),"",IF(AND($E235&lt;&gt;"",MAX($A$8:$A234)=0),1,IF(AND($E235&lt;&gt;"",MAX($A$8:$A234)&gt;0),MAX($A$8:$A234)+1,"")))</f>
        <v/>
      </c>
      <c r="B235" s="11">
        <v>228</v>
      </c>
      <c r="C235" s="19" t="str">
        <f t="shared" si="9"/>
        <v>EMPTY</v>
      </c>
      <c r="D235" s="3" t="str">
        <f t="shared" si="10"/>
        <v/>
      </c>
      <c r="E235" s="7"/>
      <c r="F235" s="8" t="str">
        <f t="shared" si="11"/>
        <v/>
      </c>
    </row>
    <row r="236" spans="1:6" x14ac:dyDescent="0.25">
      <c r="A236" s="13" t="str">
        <f>IF(AND($E236="",MAX($A$8:$A235)=0),"",IF(AND($E236&lt;&gt;"",MAX($A$8:$A235)=0),1,IF(AND($E236&lt;&gt;"",MAX($A$8:$A235)&gt;0),MAX($A$8:$A235)+1,"")))</f>
        <v/>
      </c>
      <c r="B236" s="11">
        <v>229</v>
      </c>
      <c r="C236" s="19" t="str">
        <f t="shared" si="9"/>
        <v>EMPTY</v>
      </c>
      <c r="D236" s="3" t="str">
        <f t="shared" si="10"/>
        <v/>
      </c>
      <c r="E236" s="7"/>
      <c r="F236" s="8" t="str">
        <f t="shared" si="11"/>
        <v/>
      </c>
    </row>
    <row r="237" spans="1:6" x14ac:dyDescent="0.25">
      <c r="A237" s="13" t="str">
        <f>IF(AND($E237="",MAX($A$8:$A236)=0),"",IF(AND($E237&lt;&gt;"",MAX($A$8:$A236)=0),1,IF(AND($E237&lt;&gt;"",MAX($A$8:$A236)&gt;0),MAX($A$8:$A236)+1,"")))</f>
        <v/>
      </c>
      <c r="B237" s="11">
        <v>230</v>
      </c>
      <c r="C237" s="19" t="str">
        <f t="shared" si="9"/>
        <v>EMPTY</v>
      </c>
      <c r="D237" s="3" t="str">
        <f t="shared" si="10"/>
        <v/>
      </c>
      <c r="E237" s="7"/>
      <c r="F237" s="8" t="str">
        <f t="shared" si="11"/>
        <v/>
      </c>
    </row>
    <row r="238" spans="1:6" x14ac:dyDescent="0.25">
      <c r="A238" s="13" t="str">
        <f>IF(AND($E238="",MAX($A$8:$A237)=0),"",IF(AND($E238&lt;&gt;"",MAX($A$8:$A237)=0),1,IF(AND($E238&lt;&gt;"",MAX($A$8:$A237)&gt;0),MAX($A$8:$A237)+1,"")))</f>
        <v/>
      </c>
      <c r="B238" s="11">
        <v>231</v>
      </c>
      <c r="C238" s="19" t="str">
        <f t="shared" si="9"/>
        <v>EMPTY</v>
      </c>
      <c r="D238" s="3" t="str">
        <f t="shared" si="10"/>
        <v/>
      </c>
      <c r="E238" s="7"/>
      <c r="F238" s="8" t="str">
        <f t="shared" si="11"/>
        <v/>
      </c>
    </row>
    <row r="239" spans="1:6" x14ac:dyDescent="0.25">
      <c r="A239" s="13" t="str">
        <f>IF(AND($E239="",MAX($A$8:$A238)=0),"",IF(AND($E239&lt;&gt;"",MAX($A$8:$A238)=0),1,IF(AND($E239&lt;&gt;"",MAX($A$8:$A238)&gt;0),MAX($A$8:$A238)+1,"")))</f>
        <v/>
      </c>
      <c r="B239" s="11">
        <v>232</v>
      </c>
      <c r="C239" s="19" t="str">
        <f t="shared" si="9"/>
        <v>EMPTY</v>
      </c>
      <c r="D239" s="3" t="str">
        <f t="shared" si="10"/>
        <v/>
      </c>
      <c r="E239" s="7"/>
      <c r="F239" s="8" t="str">
        <f t="shared" si="11"/>
        <v/>
      </c>
    </row>
    <row r="240" spans="1:6" x14ac:dyDescent="0.25">
      <c r="A240" s="13" t="str">
        <f>IF(AND($E240="",MAX($A$8:$A239)=0),"",IF(AND($E240&lt;&gt;"",MAX($A$8:$A239)=0),1,IF(AND($E240&lt;&gt;"",MAX($A$8:$A239)&gt;0),MAX($A$8:$A239)+1,"")))</f>
        <v/>
      </c>
      <c r="B240" s="11">
        <v>233</v>
      </c>
      <c r="C240" s="19" t="str">
        <f t="shared" si="9"/>
        <v>EMPTY</v>
      </c>
      <c r="D240" s="3" t="str">
        <f t="shared" si="10"/>
        <v/>
      </c>
      <c r="E240" s="7"/>
      <c r="F240" s="8" t="str">
        <f t="shared" si="11"/>
        <v/>
      </c>
    </row>
    <row r="241" spans="1:6" x14ac:dyDescent="0.25">
      <c r="A241" s="13" t="str">
        <f>IF(AND($E241="",MAX($A$8:$A240)=0),"",IF(AND($E241&lt;&gt;"",MAX($A$8:$A240)=0),1,IF(AND($E241&lt;&gt;"",MAX($A$8:$A240)&gt;0),MAX($A$8:$A240)+1,"")))</f>
        <v/>
      </c>
      <c r="B241" s="11">
        <v>234</v>
      </c>
      <c r="C241" s="19" t="str">
        <f t="shared" si="9"/>
        <v>EMPTY</v>
      </c>
      <c r="D241" s="3" t="str">
        <f t="shared" si="10"/>
        <v/>
      </c>
      <c r="E241" s="7"/>
      <c r="F241" s="8" t="str">
        <f t="shared" si="11"/>
        <v/>
      </c>
    </row>
    <row r="242" spans="1:6" x14ac:dyDescent="0.25">
      <c r="A242" s="13" t="str">
        <f>IF(AND($E242="",MAX($A$8:$A241)=0),"",IF(AND($E242&lt;&gt;"",MAX($A$8:$A241)=0),1,IF(AND($E242&lt;&gt;"",MAX($A$8:$A241)&gt;0),MAX($A$8:$A241)+1,"")))</f>
        <v/>
      </c>
      <c r="B242" s="11">
        <v>235</v>
      </c>
      <c r="C242" s="19" t="str">
        <f t="shared" si="9"/>
        <v>EMPTY</v>
      </c>
      <c r="D242" s="3" t="str">
        <f t="shared" si="10"/>
        <v/>
      </c>
      <c r="E242" s="7"/>
      <c r="F242" s="8" t="str">
        <f t="shared" si="11"/>
        <v/>
      </c>
    </row>
    <row r="243" spans="1:6" x14ac:dyDescent="0.25">
      <c r="A243" s="13" t="str">
        <f>IF(AND($E243="",MAX($A$8:$A242)=0),"",IF(AND($E243&lt;&gt;"",MAX($A$8:$A242)=0),1,IF(AND($E243&lt;&gt;"",MAX($A$8:$A242)&gt;0),MAX($A$8:$A242)+1,"")))</f>
        <v/>
      </c>
      <c r="B243" s="11">
        <v>236</v>
      </c>
      <c r="C243" s="19" t="str">
        <f t="shared" si="9"/>
        <v>EMPTY</v>
      </c>
      <c r="D243" s="3" t="str">
        <f t="shared" si="10"/>
        <v/>
      </c>
      <c r="E243" s="7"/>
      <c r="F243" s="8" t="str">
        <f t="shared" si="11"/>
        <v/>
      </c>
    </row>
    <row r="244" spans="1:6" x14ac:dyDescent="0.25">
      <c r="A244" s="13" t="str">
        <f>IF(AND($E244="",MAX($A$8:$A243)=0),"",IF(AND($E244&lt;&gt;"",MAX($A$8:$A243)=0),1,IF(AND($E244&lt;&gt;"",MAX($A$8:$A243)&gt;0),MAX($A$8:$A243)+1,"")))</f>
        <v/>
      </c>
      <c r="B244" s="11">
        <v>237</v>
      </c>
      <c r="C244" s="19" t="str">
        <f t="shared" si="9"/>
        <v>EMPTY</v>
      </c>
      <c r="D244" s="3" t="str">
        <f t="shared" si="10"/>
        <v/>
      </c>
      <c r="E244" s="7"/>
      <c r="F244" s="8" t="str">
        <f t="shared" si="11"/>
        <v/>
      </c>
    </row>
    <row r="245" spans="1:6" x14ac:dyDescent="0.25">
      <c r="A245" s="13" t="str">
        <f>IF(AND($E245="",MAX($A$8:$A244)=0),"",IF(AND($E245&lt;&gt;"",MAX($A$8:$A244)=0),1,IF(AND($E245&lt;&gt;"",MAX($A$8:$A244)&gt;0),MAX($A$8:$A244)+1,"")))</f>
        <v/>
      </c>
      <c r="B245" s="11">
        <v>238</v>
      </c>
      <c r="C245" s="19" t="str">
        <f t="shared" si="9"/>
        <v>EMPTY</v>
      </c>
      <c r="D245" s="3" t="str">
        <f t="shared" si="10"/>
        <v/>
      </c>
      <c r="E245" s="7"/>
      <c r="F245" s="8" t="str">
        <f t="shared" si="11"/>
        <v/>
      </c>
    </row>
    <row r="246" spans="1:6" x14ac:dyDescent="0.25">
      <c r="A246" s="13" t="str">
        <f>IF(AND($E246="",MAX($A$8:$A245)=0),"",IF(AND($E246&lt;&gt;"",MAX($A$8:$A245)=0),1,IF(AND($E246&lt;&gt;"",MAX($A$8:$A245)&gt;0),MAX($A$8:$A245)+1,"")))</f>
        <v/>
      </c>
      <c r="B246" s="11">
        <v>239</v>
      </c>
      <c r="C246" s="19" t="str">
        <f t="shared" si="9"/>
        <v>EMPTY</v>
      </c>
      <c r="D246" s="3" t="str">
        <f t="shared" si="10"/>
        <v/>
      </c>
      <c r="E246" s="7"/>
      <c r="F246" s="8" t="str">
        <f t="shared" si="11"/>
        <v/>
      </c>
    </row>
    <row r="247" spans="1:6" x14ac:dyDescent="0.25">
      <c r="A247" s="13" t="str">
        <f>IF(AND($E247="",MAX($A$8:$A246)=0),"",IF(AND($E247&lt;&gt;"",MAX($A$8:$A246)=0),1,IF(AND($E247&lt;&gt;"",MAX($A$8:$A246)&gt;0),MAX($A$8:$A246)+1,"")))</f>
        <v/>
      </c>
      <c r="B247" s="11">
        <v>240</v>
      </c>
      <c r="C247" s="19" t="str">
        <f t="shared" si="9"/>
        <v>EMPTY</v>
      </c>
      <c r="D247" s="3" t="str">
        <f t="shared" si="10"/>
        <v/>
      </c>
      <c r="E247" s="7"/>
      <c r="F247" s="8" t="str">
        <f t="shared" si="11"/>
        <v/>
      </c>
    </row>
    <row r="248" spans="1:6" x14ac:dyDescent="0.25">
      <c r="A248" s="13" t="str">
        <f>IF(AND($E248="",MAX($A$8:$A247)=0),"",IF(AND($E248&lt;&gt;"",MAX($A$8:$A247)=0),1,IF(AND($E248&lt;&gt;"",MAX($A$8:$A247)&gt;0),MAX($A$8:$A247)+1,"")))</f>
        <v/>
      </c>
      <c r="B248" s="11">
        <v>241</v>
      </c>
      <c r="C248" s="19" t="str">
        <f t="shared" si="9"/>
        <v>EMPTY</v>
      </c>
      <c r="D248" s="3" t="str">
        <f t="shared" si="10"/>
        <v/>
      </c>
      <c r="E248" s="7"/>
      <c r="F248" s="8" t="str">
        <f t="shared" si="11"/>
        <v/>
      </c>
    </row>
    <row r="249" spans="1:6" x14ac:dyDescent="0.25">
      <c r="A249" s="13" t="str">
        <f>IF(AND($E249="",MAX($A$8:$A248)=0),"",IF(AND($E249&lt;&gt;"",MAX($A$8:$A248)=0),1,IF(AND($E249&lt;&gt;"",MAX($A$8:$A248)&gt;0),MAX($A$8:$A248)+1,"")))</f>
        <v/>
      </c>
      <c r="B249" s="11">
        <v>242</v>
      </c>
      <c r="C249" s="19" t="str">
        <f t="shared" si="9"/>
        <v>EMPTY</v>
      </c>
      <c r="D249" s="3" t="str">
        <f t="shared" si="10"/>
        <v/>
      </c>
      <c r="E249" s="7"/>
      <c r="F249" s="8" t="str">
        <f t="shared" si="11"/>
        <v/>
      </c>
    </row>
    <row r="250" spans="1:6" x14ac:dyDescent="0.25">
      <c r="A250" s="13" t="str">
        <f>IF(AND($E250="",MAX($A$8:$A249)=0),"",IF(AND($E250&lt;&gt;"",MAX($A$8:$A249)=0),1,IF(AND($E250&lt;&gt;"",MAX($A$8:$A249)&gt;0),MAX($A$8:$A249)+1,"")))</f>
        <v/>
      </c>
      <c r="B250" s="11">
        <v>243</v>
      </c>
      <c r="C250" s="19" t="str">
        <f t="shared" si="9"/>
        <v>EMPTY</v>
      </c>
      <c r="D250" s="3" t="str">
        <f t="shared" si="10"/>
        <v/>
      </c>
      <c r="E250" s="7"/>
      <c r="F250" s="8" t="str">
        <f t="shared" si="11"/>
        <v/>
      </c>
    </row>
    <row r="251" spans="1:6" x14ac:dyDescent="0.25">
      <c r="A251" s="13" t="str">
        <f>IF(AND($E251="",MAX($A$8:$A250)=0),"",IF(AND($E251&lt;&gt;"",MAX($A$8:$A250)=0),1,IF(AND($E251&lt;&gt;"",MAX($A$8:$A250)&gt;0),MAX($A$8:$A250)+1,"")))</f>
        <v/>
      </c>
      <c r="B251" s="11">
        <v>244</v>
      </c>
      <c r="C251" s="19" t="str">
        <f t="shared" si="9"/>
        <v>EMPTY</v>
      </c>
      <c r="D251" s="3" t="str">
        <f t="shared" si="10"/>
        <v/>
      </c>
      <c r="E251" s="7"/>
      <c r="F251" s="8" t="str">
        <f t="shared" si="11"/>
        <v/>
      </c>
    </row>
    <row r="252" spans="1:6" x14ac:dyDescent="0.25">
      <c r="A252" s="13" t="str">
        <f>IF(AND($E252="",MAX($A$8:$A251)=0),"",IF(AND($E252&lt;&gt;"",MAX($A$8:$A251)=0),1,IF(AND($E252&lt;&gt;"",MAX($A$8:$A251)&gt;0),MAX($A$8:$A251)+1,"")))</f>
        <v/>
      </c>
      <c r="B252" s="11">
        <v>245</v>
      </c>
      <c r="C252" s="19" t="str">
        <f t="shared" si="9"/>
        <v>EMPTY</v>
      </c>
      <c r="D252" s="3" t="str">
        <f t="shared" si="10"/>
        <v/>
      </c>
      <c r="E252" s="7"/>
      <c r="F252" s="8" t="str">
        <f t="shared" si="11"/>
        <v/>
      </c>
    </row>
    <row r="253" spans="1:6" x14ac:dyDescent="0.25">
      <c r="A253" s="13" t="str">
        <f>IF(AND($E253="",MAX($A$8:$A252)=0),"",IF(AND($E253&lt;&gt;"",MAX($A$8:$A252)=0),1,IF(AND($E253&lt;&gt;"",MAX($A$8:$A252)&gt;0),MAX($A$8:$A252)+1,"")))</f>
        <v/>
      </c>
      <c r="B253" s="11">
        <v>246</v>
      </c>
      <c r="C253" s="19" t="str">
        <f t="shared" si="9"/>
        <v>EMPTY</v>
      </c>
      <c r="D253" s="3" t="str">
        <f t="shared" si="10"/>
        <v/>
      </c>
      <c r="E253" s="7"/>
      <c r="F253" s="8" t="str">
        <f t="shared" si="11"/>
        <v/>
      </c>
    </row>
    <row r="254" spans="1:6" x14ac:dyDescent="0.25">
      <c r="A254" s="13" t="str">
        <f>IF(AND($E254="",MAX($A$8:$A253)=0),"",IF(AND($E254&lt;&gt;"",MAX($A$8:$A253)=0),1,IF(AND($E254&lt;&gt;"",MAX($A$8:$A253)&gt;0),MAX($A$8:$A253)+1,"")))</f>
        <v/>
      </c>
      <c r="B254" s="11">
        <v>247</v>
      </c>
      <c r="C254" s="19" t="str">
        <f t="shared" si="9"/>
        <v>EMPTY</v>
      </c>
      <c r="D254" s="3" t="str">
        <f t="shared" si="10"/>
        <v/>
      </c>
      <c r="E254" s="7"/>
      <c r="F254" s="8" t="str">
        <f t="shared" si="11"/>
        <v/>
      </c>
    </row>
    <row r="255" spans="1:6" x14ac:dyDescent="0.25">
      <c r="A255" s="13" t="str">
        <f>IF(AND($E255="",MAX($A$8:$A254)=0),"",IF(AND($E255&lt;&gt;"",MAX($A$8:$A254)=0),1,IF(AND($E255&lt;&gt;"",MAX($A$8:$A254)&gt;0),MAX($A$8:$A254)+1,"")))</f>
        <v/>
      </c>
      <c r="B255" s="11">
        <v>248</v>
      </c>
      <c r="C255" s="19" t="str">
        <f t="shared" si="9"/>
        <v>EMPTY</v>
      </c>
      <c r="D255" s="3" t="str">
        <f t="shared" si="10"/>
        <v/>
      </c>
      <c r="E255" s="7"/>
      <c r="F255" s="8" t="str">
        <f t="shared" si="11"/>
        <v/>
      </c>
    </row>
    <row r="256" spans="1:6" x14ac:dyDescent="0.25">
      <c r="A256" s="13" t="str">
        <f>IF(AND($E256="",MAX($A$8:$A255)=0),"",IF(AND($E256&lt;&gt;"",MAX($A$8:$A255)=0),1,IF(AND($E256&lt;&gt;"",MAX($A$8:$A255)&gt;0),MAX($A$8:$A255)+1,"")))</f>
        <v/>
      </c>
      <c r="B256" s="11">
        <v>249</v>
      </c>
      <c r="C256" s="19" t="str">
        <f t="shared" si="9"/>
        <v>EMPTY</v>
      </c>
      <c r="D256" s="3" t="str">
        <f t="shared" si="10"/>
        <v/>
      </c>
      <c r="E256" s="7"/>
      <c r="F256" s="8" t="str">
        <f t="shared" si="11"/>
        <v/>
      </c>
    </row>
    <row r="257" spans="1:6" x14ac:dyDescent="0.25">
      <c r="A257" s="13" t="str">
        <f>IF(AND($E257="",MAX($A$8:$A256)=0),"",IF(AND($E257&lt;&gt;"",MAX($A$8:$A256)=0),1,IF(AND($E257&lt;&gt;"",MAX($A$8:$A256)&gt;0),MAX($A$8:$A256)+1,"")))</f>
        <v/>
      </c>
      <c r="B257" s="11">
        <v>250</v>
      </c>
      <c r="C257" s="19" t="str">
        <f t="shared" si="9"/>
        <v>EMPTY</v>
      </c>
      <c r="D257" s="3" t="str">
        <f t="shared" si="10"/>
        <v/>
      </c>
      <c r="E257" s="7"/>
      <c r="F257" s="8" t="str">
        <f t="shared" si="11"/>
        <v/>
      </c>
    </row>
    <row r="258" spans="1:6" x14ac:dyDescent="0.25">
      <c r="A258" s="13" t="str">
        <f>IF(AND($E258="",MAX($A$8:$A257)=0),"",IF(AND($E258&lt;&gt;"",MAX($A$8:$A257)=0),1,IF(AND($E258&lt;&gt;"",MAX($A$8:$A257)&gt;0),MAX($A$8:$A257)+1,"")))</f>
        <v/>
      </c>
      <c r="B258" s="11">
        <v>251</v>
      </c>
      <c r="C258" s="19" t="str">
        <f t="shared" si="9"/>
        <v>EMPTY</v>
      </c>
      <c r="D258" s="3" t="str">
        <f t="shared" si="10"/>
        <v/>
      </c>
      <c r="E258" s="7"/>
      <c r="F258" s="8" t="str">
        <f t="shared" si="11"/>
        <v/>
      </c>
    </row>
    <row r="259" spans="1:6" x14ac:dyDescent="0.25">
      <c r="A259" s="13" t="str">
        <f>IF(AND($E259="",MAX($A$8:$A258)=0),"",IF(AND($E259&lt;&gt;"",MAX($A$8:$A258)=0),1,IF(AND($E259&lt;&gt;"",MAX($A$8:$A258)&gt;0),MAX($A$8:$A258)+1,"")))</f>
        <v/>
      </c>
      <c r="B259" s="11">
        <v>252</v>
      </c>
      <c r="C259" s="19" t="str">
        <f t="shared" si="9"/>
        <v>EMPTY</v>
      </c>
      <c r="D259" s="3" t="str">
        <f t="shared" si="10"/>
        <v/>
      </c>
      <c r="E259" s="7"/>
      <c r="F259" s="8" t="str">
        <f t="shared" si="11"/>
        <v/>
      </c>
    </row>
    <row r="260" spans="1:6" x14ac:dyDescent="0.25">
      <c r="A260" s="13" t="str">
        <f>IF(AND($E260="",MAX($A$8:$A259)=0),"",IF(AND($E260&lt;&gt;"",MAX($A$8:$A259)=0),1,IF(AND($E260&lt;&gt;"",MAX($A$8:$A259)&gt;0),MAX($A$8:$A259)+1,"")))</f>
        <v/>
      </c>
      <c r="B260" s="11">
        <v>253</v>
      </c>
      <c r="C260" s="19" t="str">
        <f t="shared" si="9"/>
        <v>EMPTY</v>
      </c>
      <c r="D260" s="3" t="str">
        <f t="shared" si="10"/>
        <v/>
      </c>
      <c r="E260" s="7"/>
      <c r="F260" s="8" t="str">
        <f t="shared" si="11"/>
        <v/>
      </c>
    </row>
    <row r="261" spans="1:6" x14ac:dyDescent="0.25">
      <c r="A261" s="13" t="str">
        <f>IF(AND($E261="",MAX($A$8:$A260)=0),"",IF(AND($E261&lt;&gt;"",MAX($A$8:$A260)=0),1,IF(AND($E261&lt;&gt;"",MAX($A$8:$A260)&gt;0),MAX($A$8:$A260)+1,"")))</f>
        <v/>
      </c>
      <c r="B261" s="11">
        <v>254</v>
      </c>
      <c r="C261" s="19" t="str">
        <f t="shared" si="9"/>
        <v>EMPTY</v>
      </c>
      <c r="D261" s="3" t="str">
        <f t="shared" si="10"/>
        <v/>
      </c>
      <c r="E261" s="7"/>
      <c r="F261" s="8" t="str">
        <f t="shared" si="11"/>
        <v/>
      </c>
    </row>
    <row r="262" spans="1:6" x14ac:dyDescent="0.25">
      <c r="A262" s="13" t="str">
        <f>IF(AND($E262="",MAX($A$8:$A261)=0),"",IF(AND($E262&lt;&gt;"",MAX($A$8:$A261)=0),1,IF(AND($E262&lt;&gt;"",MAX($A$8:$A261)&gt;0),MAX($A$8:$A261)+1,"")))</f>
        <v/>
      </c>
      <c r="B262" s="11">
        <v>255</v>
      </c>
      <c r="C262" s="19" t="str">
        <f t="shared" si="9"/>
        <v>EMPTY</v>
      </c>
      <c r="D262" s="3" t="str">
        <f t="shared" si="10"/>
        <v/>
      </c>
      <c r="E262" s="7"/>
      <c r="F262" s="8" t="str">
        <f t="shared" si="11"/>
        <v/>
      </c>
    </row>
    <row r="263" spans="1:6" x14ac:dyDescent="0.25">
      <c r="A263" s="13" t="str">
        <f>IF(AND($E263="",MAX($A$8:$A262)=0),"",IF(AND($E263&lt;&gt;"",MAX($A$8:$A262)=0),1,IF(AND($E263&lt;&gt;"",MAX($A$8:$A262)&gt;0),MAX($A$8:$A262)+1,"")))</f>
        <v/>
      </c>
      <c r="B263" s="11">
        <v>256</v>
      </c>
      <c r="C263" s="19" t="str">
        <f t="shared" si="9"/>
        <v>EMPTY</v>
      </c>
      <c r="D263" s="3" t="str">
        <f t="shared" si="10"/>
        <v/>
      </c>
      <c r="E263" s="7"/>
      <c r="F263" s="8" t="str">
        <f t="shared" si="11"/>
        <v/>
      </c>
    </row>
    <row r="264" spans="1:6" x14ac:dyDescent="0.25">
      <c r="A264" s="13" t="str">
        <f>IF(AND($E264="",MAX($A$8:$A263)=0),"",IF(AND($E264&lt;&gt;"",MAX($A$8:$A263)=0),1,IF(AND($E264&lt;&gt;"",MAX($A$8:$A263)&gt;0),MAX($A$8:$A263)+1,"")))</f>
        <v/>
      </c>
      <c r="B264" s="11">
        <v>257</v>
      </c>
      <c r="C264" s="19" t="str">
        <f t="shared" si="9"/>
        <v>EMPTY</v>
      </c>
      <c r="D264" s="3" t="str">
        <f t="shared" si="10"/>
        <v/>
      </c>
      <c r="E264" s="7"/>
      <c r="F264" s="8" t="str">
        <f t="shared" si="11"/>
        <v/>
      </c>
    </row>
    <row r="265" spans="1:6" x14ac:dyDescent="0.25">
      <c r="A265" s="13" t="str">
        <f>IF(AND($E265="",MAX($A$8:$A264)=0),"",IF(AND($E265&lt;&gt;"",MAX($A$8:$A264)=0),1,IF(AND($E265&lt;&gt;"",MAX($A$8:$A264)&gt;0),MAX($A$8:$A264)+1,"")))</f>
        <v/>
      </c>
      <c r="B265" s="11">
        <v>258</v>
      </c>
      <c r="C265" s="19" t="str">
        <f t="shared" ref="C265:C328" si="12">IF($E265="","EMPTY",IF(MID($E265,1,9)&lt;&gt;"Dialogue:","HIDE",IF(MID($E265,1,9)="Dialogue:","SHOW","")))</f>
        <v>EMPTY</v>
      </c>
      <c r="D265" s="3" t="str">
        <f t="shared" ref="D265:D328" si="13">IF($C265="SHOW",CONCATENATE("[",MID($E265,FIND(",",$E265,1)+3,8),"]",MID($E265,FIND("0,,",$E265,1)+3,1000)),"")</f>
        <v/>
      </c>
      <c r="E265" s="7"/>
      <c r="F265" s="8" t="str">
        <f t="shared" ref="F265:F328" si="14">$D265</f>
        <v/>
      </c>
    </row>
    <row r="266" spans="1:6" x14ac:dyDescent="0.25">
      <c r="A266" s="13" t="str">
        <f>IF(AND($E266="",MAX($A$8:$A265)=0),"",IF(AND($E266&lt;&gt;"",MAX($A$8:$A265)=0),1,IF(AND($E266&lt;&gt;"",MAX($A$8:$A265)&gt;0),MAX($A$8:$A265)+1,"")))</f>
        <v/>
      </c>
      <c r="B266" s="11">
        <v>259</v>
      </c>
      <c r="C266" s="19" t="str">
        <f t="shared" si="12"/>
        <v>EMPTY</v>
      </c>
      <c r="D266" s="3" t="str">
        <f t="shared" si="13"/>
        <v/>
      </c>
      <c r="E266" s="7"/>
      <c r="F266" s="8" t="str">
        <f t="shared" si="14"/>
        <v/>
      </c>
    </row>
    <row r="267" spans="1:6" x14ac:dyDescent="0.25">
      <c r="A267" s="13" t="str">
        <f>IF(AND($E267="",MAX($A$8:$A266)=0),"",IF(AND($E267&lt;&gt;"",MAX($A$8:$A266)=0),1,IF(AND($E267&lt;&gt;"",MAX($A$8:$A266)&gt;0),MAX($A$8:$A266)+1,"")))</f>
        <v/>
      </c>
      <c r="B267" s="11">
        <v>260</v>
      </c>
      <c r="C267" s="19" t="str">
        <f t="shared" si="12"/>
        <v>EMPTY</v>
      </c>
      <c r="D267" s="3" t="str">
        <f t="shared" si="13"/>
        <v/>
      </c>
      <c r="E267" s="7"/>
      <c r="F267" s="8" t="str">
        <f t="shared" si="14"/>
        <v/>
      </c>
    </row>
    <row r="268" spans="1:6" x14ac:dyDescent="0.25">
      <c r="A268" s="13" t="str">
        <f>IF(AND($E268="",MAX($A$8:$A267)=0),"",IF(AND($E268&lt;&gt;"",MAX($A$8:$A267)=0),1,IF(AND($E268&lt;&gt;"",MAX($A$8:$A267)&gt;0),MAX($A$8:$A267)+1,"")))</f>
        <v/>
      </c>
      <c r="B268" s="11">
        <v>261</v>
      </c>
      <c r="C268" s="19" t="str">
        <f t="shared" si="12"/>
        <v>EMPTY</v>
      </c>
      <c r="D268" s="3" t="str">
        <f t="shared" si="13"/>
        <v/>
      </c>
      <c r="E268" s="7"/>
      <c r="F268" s="8" t="str">
        <f t="shared" si="14"/>
        <v/>
      </c>
    </row>
    <row r="269" spans="1:6" x14ac:dyDescent="0.25">
      <c r="A269" s="13" t="str">
        <f>IF(AND($E269="",MAX($A$8:$A268)=0),"",IF(AND($E269&lt;&gt;"",MAX($A$8:$A268)=0),1,IF(AND($E269&lt;&gt;"",MAX($A$8:$A268)&gt;0),MAX($A$8:$A268)+1,"")))</f>
        <v/>
      </c>
      <c r="B269" s="11">
        <v>262</v>
      </c>
      <c r="C269" s="19" t="str">
        <f t="shared" si="12"/>
        <v>EMPTY</v>
      </c>
      <c r="D269" s="3" t="str">
        <f t="shared" si="13"/>
        <v/>
      </c>
      <c r="E269" s="7"/>
      <c r="F269" s="8" t="str">
        <f t="shared" si="14"/>
        <v/>
      </c>
    </row>
    <row r="270" spans="1:6" x14ac:dyDescent="0.25">
      <c r="A270" s="13" t="str">
        <f>IF(AND($E270="",MAX($A$8:$A269)=0),"",IF(AND($E270&lt;&gt;"",MAX($A$8:$A269)=0),1,IF(AND($E270&lt;&gt;"",MAX($A$8:$A269)&gt;0),MAX($A$8:$A269)+1,"")))</f>
        <v/>
      </c>
      <c r="B270" s="11">
        <v>263</v>
      </c>
      <c r="C270" s="19" t="str">
        <f t="shared" si="12"/>
        <v>EMPTY</v>
      </c>
      <c r="D270" s="3" t="str">
        <f t="shared" si="13"/>
        <v/>
      </c>
      <c r="E270" s="7"/>
      <c r="F270" s="8" t="str">
        <f t="shared" si="14"/>
        <v/>
      </c>
    </row>
    <row r="271" spans="1:6" x14ac:dyDescent="0.25">
      <c r="A271" s="13" t="str">
        <f>IF(AND($E271="",MAX($A$8:$A270)=0),"",IF(AND($E271&lt;&gt;"",MAX($A$8:$A270)=0),1,IF(AND($E271&lt;&gt;"",MAX($A$8:$A270)&gt;0),MAX($A$8:$A270)+1,"")))</f>
        <v/>
      </c>
      <c r="B271" s="11">
        <v>264</v>
      </c>
      <c r="C271" s="19" t="str">
        <f t="shared" si="12"/>
        <v>EMPTY</v>
      </c>
      <c r="D271" s="3" t="str">
        <f t="shared" si="13"/>
        <v/>
      </c>
      <c r="E271" s="7"/>
      <c r="F271" s="8" t="str">
        <f t="shared" si="14"/>
        <v/>
      </c>
    </row>
    <row r="272" spans="1:6" x14ac:dyDescent="0.25">
      <c r="A272" s="13" t="str">
        <f>IF(AND($E272="",MAX($A$8:$A271)=0),"",IF(AND($E272&lt;&gt;"",MAX($A$8:$A271)=0),1,IF(AND($E272&lt;&gt;"",MAX($A$8:$A271)&gt;0),MAX($A$8:$A271)+1,"")))</f>
        <v/>
      </c>
      <c r="B272" s="11">
        <v>265</v>
      </c>
      <c r="C272" s="19" t="str">
        <f t="shared" si="12"/>
        <v>EMPTY</v>
      </c>
      <c r="D272" s="3" t="str">
        <f t="shared" si="13"/>
        <v/>
      </c>
      <c r="E272" s="7"/>
      <c r="F272" s="8" t="str">
        <f t="shared" si="14"/>
        <v/>
      </c>
    </row>
    <row r="273" spans="1:6" x14ac:dyDescent="0.25">
      <c r="A273" s="13" t="str">
        <f>IF(AND($E273="",MAX($A$8:$A272)=0),"",IF(AND($E273&lt;&gt;"",MAX($A$8:$A272)=0),1,IF(AND($E273&lt;&gt;"",MAX($A$8:$A272)&gt;0),MAX($A$8:$A272)+1,"")))</f>
        <v/>
      </c>
      <c r="B273" s="11">
        <v>266</v>
      </c>
      <c r="C273" s="19" t="str">
        <f t="shared" si="12"/>
        <v>EMPTY</v>
      </c>
      <c r="D273" s="3" t="str">
        <f t="shared" si="13"/>
        <v/>
      </c>
      <c r="E273" s="7"/>
      <c r="F273" s="8" t="str">
        <f t="shared" si="14"/>
        <v/>
      </c>
    </row>
    <row r="274" spans="1:6" x14ac:dyDescent="0.25">
      <c r="A274" s="13" t="str">
        <f>IF(AND($E274="",MAX($A$8:$A273)=0),"",IF(AND($E274&lt;&gt;"",MAX($A$8:$A273)=0),1,IF(AND($E274&lt;&gt;"",MAX($A$8:$A273)&gt;0),MAX($A$8:$A273)+1,"")))</f>
        <v/>
      </c>
      <c r="B274" s="11">
        <v>267</v>
      </c>
      <c r="C274" s="19" t="str">
        <f t="shared" si="12"/>
        <v>EMPTY</v>
      </c>
      <c r="D274" s="3" t="str">
        <f t="shared" si="13"/>
        <v/>
      </c>
      <c r="E274" s="7"/>
      <c r="F274" s="8" t="str">
        <f t="shared" si="14"/>
        <v/>
      </c>
    </row>
    <row r="275" spans="1:6" x14ac:dyDescent="0.25">
      <c r="A275" s="13" t="str">
        <f>IF(AND($E275="",MAX($A$8:$A274)=0),"",IF(AND($E275&lt;&gt;"",MAX($A$8:$A274)=0),1,IF(AND($E275&lt;&gt;"",MAX($A$8:$A274)&gt;0),MAX($A$8:$A274)+1,"")))</f>
        <v/>
      </c>
      <c r="B275" s="11">
        <v>268</v>
      </c>
      <c r="C275" s="19" t="str">
        <f t="shared" si="12"/>
        <v>EMPTY</v>
      </c>
      <c r="D275" s="3" t="str">
        <f t="shared" si="13"/>
        <v/>
      </c>
      <c r="E275" s="7"/>
      <c r="F275" s="8" t="str">
        <f t="shared" si="14"/>
        <v/>
      </c>
    </row>
    <row r="276" spans="1:6" x14ac:dyDescent="0.25">
      <c r="A276" s="13" t="str">
        <f>IF(AND($E276="",MAX($A$8:$A275)=0),"",IF(AND($E276&lt;&gt;"",MAX($A$8:$A275)=0),1,IF(AND($E276&lt;&gt;"",MAX($A$8:$A275)&gt;0),MAX($A$8:$A275)+1,"")))</f>
        <v/>
      </c>
      <c r="B276" s="11">
        <v>269</v>
      </c>
      <c r="C276" s="19" t="str">
        <f t="shared" si="12"/>
        <v>EMPTY</v>
      </c>
      <c r="D276" s="3" t="str">
        <f t="shared" si="13"/>
        <v/>
      </c>
      <c r="E276" s="7"/>
      <c r="F276" s="8" t="str">
        <f t="shared" si="14"/>
        <v/>
      </c>
    </row>
    <row r="277" spans="1:6" x14ac:dyDescent="0.25">
      <c r="A277" s="13" t="str">
        <f>IF(AND($E277="",MAX($A$8:$A276)=0),"",IF(AND($E277&lt;&gt;"",MAX($A$8:$A276)=0),1,IF(AND($E277&lt;&gt;"",MAX($A$8:$A276)&gt;0),MAX($A$8:$A276)+1,"")))</f>
        <v/>
      </c>
      <c r="B277" s="11">
        <v>270</v>
      </c>
      <c r="C277" s="19" t="str">
        <f t="shared" si="12"/>
        <v>EMPTY</v>
      </c>
      <c r="D277" s="3" t="str">
        <f t="shared" si="13"/>
        <v/>
      </c>
      <c r="E277" s="7"/>
      <c r="F277" s="8" t="str">
        <f t="shared" si="14"/>
        <v/>
      </c>
    </row>
    <row r="278" spans="1:6" x14ac:dyDescent="0.25">
      <c r="A278" s="13" t="str">
        <f>IF(AND($E278="",MAX($A$8:$A277)=0),"",IF(AND($E278&lt;&gt;"",MAX($A$8:$A277)=0),1,IF(AND($E278&lt;&gt;"",MAX($A$8:$A277)&gt;0),MAX($A$8:$A277)+1,"")))</f>
        <v/>
      </c>
      <c r="B278" s="11">
        <v>271</v>
      </c>
      <c r="C278" s="19" t="str">
        <f t="shared" si="12"/>
        <v>EMPTY</v>
      </c>
      <c r="D278" s="3" t="str">
        <f t="shared" si="13"/>
        <v/>
      </c>
      <c r="E278" s="7"/>
      <c r="F278" s="8" t="str">
        <f t="shared" si="14"/>
        <v/>
      </c>
    </row>
    <row r="279" spans="1:6" x14ac:dyDescent="0.25">
      <c r="A279" s="13" t="str">
        <f>IF(AND($E279="",MAX($A$8:$A278)=0),"",IF(AND($E279&lt;&gt;"",MAX($A$8:$A278)=0),1,IF(AND($E279&lt;&gt;"",MAX($A$8:$A278)&gt;0),MAX($A$8:$A278)+1,"")))</f>
        <v/>
      </c>
      <c r="B279" s="11">
        <v>272</v>
      </c>
      <c r="C279" s="19" t="str">
        <f t="shared" si="12"/>
        <v>EMPTY</v>
      </c>
      <c r="D279" s="3" t="str">
        <f t="shared" si="13"/>
        <v/>
      </c>
      <c r="E279" s="7"/>
      <c r="F279" s="8" t="str">
        <f t="shared" si="14"/>
        <v/>
      </c>
    </row>
    <row r="280" spans="1:6" x14ac:dyDescent="0.25">
      <c r="A280" s="13" t="str">
        <f>IF(AND($E280="",MAX($A$8:$A279)=0),"",IF(AND($E280&lt;&gt;"",MAX($A$8:$A279)=0),1,IF(AND($E280&lt;&gt;"",MAX($A$8:$A279)&gt;0),MAX($A$8:$A279)+1,"")))</f>
        <v/>
      </c>
      <c r="B280" s="11">
        <v>273</v>
      </c>
      <c r="C280" s="19" t="str">
        <f t="shared" si="12"/>
        <v>EMPTY</v>
      </c>
      <c r="D280" s="3" t="str">
        <f t="shared" si="13"/>
        <v/>
      </c>
      <c r="E280" s="7"/>
      <c r="F280" s="8" t="str">
        <f t="shared" si="14"/>
        <v/>
      </c>
    </row>
    <row r="281" spans="1:6" x14ac:dyDescent="0.25">
      <c r="A281" s="13" t="str">
        <f>IF(AND($E281="",MAX($A$8:$A280)=0),"",IF(AND($E281&lt;&gt;"",MAX($A$8:$A280)=0),1,IF(AND($E281&lt;&gt;"",MAX($A$8:$A280)&gt;0),MAX($A$8:$A280)+1,"")))</f>
        <v/>
      </c>
      <c r="B281" s="11">
        <v>274</v>
      </c>
      <c r="C281" s="19" t="str">
        <f t="shared" si="12"/>
        <v>EMPTY</v>
      </c>
      <c r="D281" s="3" t="str">
        <f t="shared" si="13"/>
        <v/>
      </c>
      <c r="E281" s="7"/>
      <c r="F281" s="8" t="str">
        <f t="shared" si="14"/>
        <v/>
      </c>
    </row>
    <row r="282" spans="1:6" x14ac:dyDescent="0.25">
      <c r="A282" s="13" t="str">
        <f>IF(AND($E282="",MAX($A$8:$A281)=0),"",IF(AND($E282&lt;&gt;"",MAX($A$8:$A281)=0),1,IF(AND($E282&lt;&gt;"",MAX($A$8:$A281)&gt;0),MAX($A$8:$A281)+1,"")))</f>
        <v/>
      </c>
      <c r="B282" s="11">
        <v>275</v>
      </c>
      <c r="C282" s="19" t="str">
        <f t="shared" si="12"/>
        <v>EMPTY</v>
      </c>
      <c r="D282" s="3" t="str">
        <f t="shared" si="13"/>
        <v/>
      </c>
      <c r="E282" s="7"/>
      <c r="F282" s="8" t="str">
        <f t="shared" si="14"/>
        <v/>
      </c>
    </row>
    <row r="283" spans="1:6" x14ac:dyDescent="0.25">
      <c r="A283" s="13" t="str">
        <f>IF(AND($E283="",MAX($A$8:$A282)=0),"",IF(AND($E283&lt;&gt;"",MAX($A$8:$A282)=0),1,IF(AND($E283&lt;&gt;"",MAX($A$8:$A282)&gt;0),MAX($A$8:$A282)+1,"")))</f>
        <v/>
      </c>
      <c r="B283" s="11">
        <v>276</v>
      </c>
      <c r="C283" s="19" t="str">
        <f t="shared" si="12"/>
        <v>EMPTY</v>
      </c>
      <c r="D283" s="3" t="str">
        <f t="shared" si="13"/>
        <v/>
      </c>
      <c r="E283" s="7"/>
      <c r="F283" s="8" t="str">
        <f t="shared" si="14"/>
        <v/>
      </c>
    </row>
    <row r="284" spans="1:6" x14ac:dyDescent="0.25">
      <c r="A284" s="13" t="str">
        <f>IF(AND($E284="",MAX($A$8:$A283)=0),"",IF(AND($E284&lt;&gt;"",MAX($A$8:$A283)=0),1,IF(AND($E284&lt;&gt;"",MAX($A$8:$A283)&gt;0),MAX($A$8:$A283)+1,"")))</f>
        <v/>
      </c>
      <c r="B284" s="11">
        <v>277</v>
      </c>
      <c r="C284" s="19" t="str">
        <f t="shared" si="12"/>
        <v>EMPTY</v>
      </c>
      <c r="D284" s="3" t="str">
        <f t="shared" si="13"/>
        <v/>
      </c>
      <c r="E284" s="7"/>
      <c r="F284" s="8" t="str">
        <f t="shared" si="14"/>
        <v/>
      </c>
    </row>
    <row r="285" spans="1:6" x14ac:dyDescent="0.25">
      <c r="A285" s="13" t="str">
        <f>IF(AND($E285="",MAX($A$8:$A284)=0),"",IF(AND($E285&lt;&gt;"",MAX($A$8:$A284)=0),1,IF(AND($E285&lt;&gt;"",MAX($A$8:$A284)&gt;0),MAX($A$8:$A284)+1,"")))</f>
        <v/>
      </c>
      <c r="B285" s="11">
        <v>278</v>
      </c>
      <c r="C285" s="19" t="str">
        <f t="shared" si="12"/>
        <v>EMPTY</v>
      </c>
      <c r="D285" s="3" t="str">
        <f t="shared" si="13"/>
        <v/>
      </c>
      <c r="E285" s="7"/>
      <c r="F285" s="8" t="str">
        <f t="shared" si="14"/>
        <v/>
      </c>
    </row>
    <row r="286" spans="1:6" x14ac:dyDescent="0.25">
      <c r="A286" s="13" t="str">
        <f>IF(AND($E286="",MAX($A$8:$A285)=0),"",IF(AND($E286&lt;&gt;"",MAX($A$8:$A285)=0),1,IF(AND($E286&lt;&gt;"",MAX($A$8:$A285)&gt;0),MAX($A$8:$A285)+1,"")))</f>
        <v/>
      </c>
      <c r="B286" s="11">
        <v>279</v>
      </c>
      <c r="C286" s="19" t="str">
        <f t="shared" si="12"/>
        <v>EMPTY</v>
      </c>
      <c r="D286" s="3" t="str">
        <f t="shared" si="13"/>
        <v/>
      </c>
      <c r="E286" s="7"/>
      <c r="F286" s="8" t="str">
        <f t="shared" si="14"/>
        <v/>
      </c>
    </row>
    <row r="287" spans="1:6" x14ac:dyDescent="0.25">
      <c r="A287" s="13" t="str">
        <f>IF(AND($E287="",MAX($A$8:$A286)=0),"",IF(AND($E287&lt;&gt;"",MAX($A$8:$A286)=0),1,IF(AND($E287&lt;&gt;"",MAX($A$8:$A286)&gt;0),MAX($A$8:$A286)+1,"")))</f>
        <v/>
      </c>
      <c r="B287" s="11">
        <v>280</v>
      </c>
      <c r="C287" s="19" t="str">
        <f t="shared" si="12"/>
        <v>EMPTY</v>
      </c>
      <c r="D287" s="3" t="str">
        <f t="shared" si="13"/>
        <v/>
      </c>
      <c r="E287" s="7"/>
      <c r="F287" s="8" t="str">
        <f t="shared" si="14"/>
        <v/>
      </c>
    </row>
    <row r="288" spans="1:6" x14ac:dyDescent="0.25">
      <c r="A288" s="13" t="str">
        <f>IF(AND($E288="",MAX($A$8:$A287)=0),"",IF(AND($E288&lt;&gt;"",MAX($A$8:$A287)=0),1,IF(AND($E288&lt;&gt;"",MAX($A$8:$A287)&gt;0),MAX($A$8:$A287)+1,"")))</f>
        <v/>
      </c>
      <c r="B288" s="11">
        <v>281</v>
      </c>
      <c r="C288" s="19" t="str">
        <f t="shared" si="12"/>
        <v>EMPTY</v>
      </c>
      <c r="D288" s="3" t="str">
        <f t="shared" si="13"/>
        <v/>
      </c>
      <c r="E288" s="7"/>
      <c r="F288" s="8" t="str">
        <f t="shared" si="14"/>
        <v/>
      </c>
    </row>
    <row r="289" spans="1:6" x14ac:dyDescent="0.25">
      <c r="A289" s="13" t="str">
        <f>IF(AND($E289="",MAX($A$8:$A288)=0),"",IF(AND($E289&lt;&gt;"",MAX($A$8:$A288)=0),1,IF(AND($E289&lt;&gt;"",MAX($A$8:$A288)&gt;0),MAX($A$8:$A288)+1,"")))</f>
        <v/>
      </c>
      <c r="B289" s="11">
        <v>282</v>
      </c>
      <c r="C289" s="19" t="str">
        <f t="shared" si="12"/>
        <v>EMPTY</v>
      </c>
      <c r="D289" s="3" t="str">
        <f t="shared" si="13"/>
        <v/>
      </c>
      <c r="E289" s="7"/>
      <c r="F289" s="8" t="str">
        <f t="shared" si="14"/>
        <v/>
      </c>
    </row>
    <row r="290" spans="1:6" x14ac:dyDescent="0.25">
      <c r="A290" s="13" t="str">
        <f>IF(AND($E290="",MAX($A$8:$A289)=0),"",IF(AND($E290&lt;&gt;"",MAX($A$8:$A289)=0),1,IF(AND($E290&lt;&gt;"",MAX($A$8:$A289)&gt;0),MAX($A$8:$A289)+1,"")))</f>
        <v/>
      </c>
      <c r="B290" s="11">
        <v>283</v>
      </c>
      <c r="C290" s="19" t="str">
        <f t="shared" si="12"/>
        <v>EMPTY</v>
      </c>
      <c r="D290" s="3" t="str">
        <f t="shared" si="13"/>
        <v/>
      </c>
      <c r="E290" s="7"/>
      <c r="F290" s="8" t="str">
        <f t="shared" si="14"/>
        <v/>
      </c>
    </row>
    <row r="291" spans="1:6" x14ac:dyDescent="0.25">
      <c r="A291" s="13" t="str">
        <f>IF(AND($E291="",MAX($A$8:$A290)=0),"",IF(AND($E291&lt;&gt;"",MAX($A$8:$A290)=0),1,IF(AND($E291&lt;&gt;"",MAX($A$8:$A290)&gt;0),MAX($A$8:$A290)+1,"")))</f>
        <v/>
      </c>
      <c r="B291" s="11">
        <v>284</v>
      </c>
      <c r="C291" s="19" t="str">
        <f t="shared" si="12"/>
        <v>EMPTY</v>
      </c>
      <c r="D291" s="3" t="str">
        <f t="shared" si="13"/>
        <v/>
      </c>
      <c r="E291" s="7"/>
      <c r="F291" s="8" t="str">
        <f t="shared" si="14"/>
        <v/>
      </c>
    </row>
    <row r="292" spans="1:6" x14ac:dyDescent="0.25">
      <c r="A292" s="13" t="str">
        <f>IF(AND($E292="",MAX($A$8:$A291)=0),"",IF(AND($E292&lt;&gt;"",MAX($A$8:$A291)=0),1,IF(AND($E292&lt;&gt;"",MAX($A$8:$A291)&gt;0),MAX($A$8:$A291)+1,"")))</f>
        <v/>
      </c>
      <c r="B292" s="11">
        <v>285</v>
      </c>
      <c r="C292" s="19" t="str">
        <f t="shared" si="12"/>
        <v>EMPTY</v>
      </c>
      <c r="D292" s="3" t="str">
        <f t="shared" si="13"/>
        <v/>
      </c>
      <c r="E292" s="7"/>
      <c r="F292" s="8" t="str">
        <f t="shared" si="14"/>
        <v/>
      </c>
    </row>
    <row r="293" spans="1:6" x14ac:dyDescent="0.25">
      <c r="A293" s="13" t="str">
        <f>IF(AND($E293="",MAX($A$8:$A292)=0),"",IF(AND($E293&lt;&gt;"",MAX($A$8:$A292)=0),1,IF(AND($E293&lt;&gt;"",MAX($A$8:$A292)&gt;0),MAX($A$8:$A292)+1,"")))</f>
        <v/>
      </c>
      <c r="B293" s="11">
        <v>286</v>
      </c>
      <c r="C293" s="19" t="str">
        <f t="shared" si="12"/>
        <v>EMPTY</v>
      </c>
      <c r="D293" s="3" t="str">
        <f t="shared" si="13"/>
        <v/>
      </c>
      <c r="E293" s="7"/>
      <c r="F293" s="8" t="str">
        <f t="shared" si="14"/>
        <v/>
      </c>
    </row>
    <row r="294" spans="1:6" x14ac:dyDescent="0.25">
      <c r="A294" s="13" t="str">
        <f>IF(AND($E294="",MAX($A$8:$A293)=0),"",IF(AND($E294&lt;&gt;"",MAX($A$8:$A293)=0),1,IF(AND($E294&lt;&gt;"",MAX($A$8:$A293)&gt;0),MAX($A$8:$A293)+1,"")))</f>
        <v/>
      </c>
      <c r="B294" s="11">
        <v>287</v>
      </c>
      <c r="C294" s="19" t="str">
        <f t="shared" si="12"/>
        <v>EMPTY</v>
      </c>
      <c r="D294" s="3" t="str">
        <f t="shared" si="13"/>
        <v/>
      </c>
      <c r="E294" s="7"/>
      <c r="F294" s="8" t="str">
        <f t="shared" si="14"/>
        <v/>
      </c>
    </row>
    <row r="295" spans="1:6" x14ac:dyDescent="0.25">
      <c r="A295" s="13" t="str">
        <f>IF(AND($E295="",MAX($A$8:$A294)=0),"",IF(AND($E295&lt;&gt;"",MAX($A$8:$A294)=0),1,IF(AND($E295&lt;&gt;"",MAX($A$8:$A294)&gt;0),MAX($A$8:$A294)+1,"")))</f>
        <v/>
      </c>
      <c r="B295" s="11">
        <v>288</v>
      </c>
      <c r="C295" s="19" t="str">
        <f t="shared" si="12"/>
        <v>EMPTY</v>
      </c>
      <c r="D295" s="3" t="str">
        <f t="shared" si="13"/>
        <v/>
      </c>
      <c r="E295" s="7"/>
      <c r="F295" s="8" t="str">
        <f t="shared" si="14"/>
        <v/>
      </c>
    </row>
    <row r="296" spans="1:6" x14ac:dyDescent="0.25">
      <c r="A296" s="13" t="str">
        <f>IF(AND($E296="",MAX($A$8:$A295)=0),"",IF(AND($E296&lt;&gt;"",MAX($A$8:$A295)=0),1,IF(AND($E296&lt;&gt;"",MAX($A$8:$A295)&gt;0),MAX($A$8:$A295)+1,"")))</f>
        <v/>
      </c>
      <c r="B296" s="11">
        <v>289</v>
      </c>
      <c r="C296" s="19" t="str">
        <f t="shared" si="12"/>
        <v>EMPTY</v>
      </c>
      <c r="D296" s="3" t="str">
        <f t="shared" si="13"/>
        <v/>
      </c>
      <c r="E296" s="7"/>
      <c r="F296" s="8" t="str">
        <f t="shared" si="14"/>
        <v/>
      </c>
    </row>
    <row r="297" spans="1:6" x14ac:dyDescent="0.25">
      <c r="A297" s="13" t="str">
        <f>IF(AND($E297="",MAX($A$8:$A296)=0),"",IF(AND($E297&lt;&gt;"",MAX($A$8:$A296)=0),1,IF(AND($E297&lt;&gt;"",MAX($A$8:$A296)&gt;0),MAX($A$8:$A296)+1,"")))</f>
        <v/>
      </c>
      <c r="B297" s="11">
        <v>290</v>
      </c>
      <c r="C297" s="19" t="str">
        <f t="shared" si="12"/>
        <v>EMPTY</v>
      </c>
      <c r="D297" s="3" t="str">
        <f t="shared" si="13"/>
        <v/>
      </c>
      <c r="E297" s="7"/>
      <c r="F297" s="8" t="str">
        <f t="shared" si="14"/>
        <v/>
      </c>
    </row>
    <row r="298" spans="1:6" x14ac:dyDescent="0.25">
      <c r="A298" s="13" t="str">
        <f>IF(AND($E298="",MAX($A$8:$A297)=0),"",IF(AND($E298&lt;&gt;"",MAX($A$8:$A297)=0),1,IF(AND($E298&lt;&gt;"",MAX($A$8:$A297)&gt;0),MAX($A$8:$A297)+1,"")))</f>
        <v/>
      </c>
      <c r="B298" s="11">
        <v>291</v>
      </c>
      <c r="C298" s="19" t="str">
        <f t="shared" si="12"/>
        <v>EMPTY</v>
      </c>
      <c r="D298" s="3" t="str">
        <f t="shared" si="13"/>
        <v/>
      </c>
      <c r="E298" s="7"/>
      <c r="F298" s="8" t="str">
        <f t="shared" si="14"/>
        <v/>
      </c>
    </row>
    <row r="299" spans="1:6" x14ac:dyDescent="0.25">
      <c r="A299" s="13" t="str">
        <f>IF(AND($E299="",MAX($A$8:$A298)=0),"",IF(AND($E299&lt;&gt;"",MAX($A$8:$A298)=0),1,IF(AND($E299&lt;&gt;"",MAX($A$8:$A298)&gt;0),MAX($A$8:$A298)+1,"")))</f>
        <v/>
      </c>
      <c r="B299" s="11">
        <v>292</v>
      </c>
      <c r="C299" s="19" t="str">
        <f t="shared" si="12"/>
        <v>EMPTY</v>
      </c>
      <c r="D299" s="3" t="str">
        <f t="shared" si="13"/>
        <v/>
      </c>
      <c r="E299" s="7"/>
      <c r="F299" s="8" t="str">
        <f t="shared" si="14"/>
        <v/>
      </c>
    </row>
    <row r="300" spans="1:6" x14ac:dyDescent="0.25">
      <c r="A300" s="13" t="str">
        <f>IF(AND($E300="",MAX($A$8:$A299)=0),"",IF(AND($E300&lt;&gt;"",MAX($A$8:$A299)=0),1,IF(AND($E300&lt;&gt;"",MAX($A$8:$A299)&gt;0),MAX($A$8:$A299)+1,"")))</f>
        <v/>
      </c>
      <c r="B300" s="11">
        <v>293</v>
      </c>
      <c r="C300" s="19" t="str">
        <f t="shared" si="12"/>
        <v>EMPTY</v>
      </c>
      <c r="D300" s="3" t="str">
        <f t="shared" si="13"/>
        <v/>
      </c>
      <c r="E300" s="7"/>
      <c r="F300" s="8" t="str">
        <f t="shared" si="14"/>
        <v/>
      </c>
    </row>
    <row r="301" spans="1:6" x14ac:dyDescent="0.25">
      <c r="A301" s="13" t="str">
        <f>IF(AND($E301="",MAX($A$8:$A300)=0),"",IF(AND($E301&lt;&gt;"",MAX($A$8:$A300)=0),1,IF(AND($E301&lt;&gt;"",MAX($A$8:$A300)&gt;0),MAX($A$8:$A300)+1,"")))</f>
        <v/>
      </c>
      <c r="B301" s="11">
        <v>294</v>
      </c>
      <c r="C301" s="19" t="str">
        <f t="shared" si="12"/>
        <v>EMPTY</v>
      </c>
      <c r="D301" s="3" t="str">
        <f t="shared" si="13"/>
        <v/>
      </c>
      <c r="E301" s="7"/>
      <c r="F301" s="8" t="str">
        <f t="shared" si="14"/>
        <v/>
      </c>
    </row>
    <row r="302" spans="1:6" x14ac:dyDescent="0.25">
      <c r="A302" s="13" t="str">
        <f>IF(AND($E302="",MAX($A$8:$A301)=0),"",IF(AND($E302&lt;&gt;"",MAX($A$8:$A301)=0),1,IF(AND($E302&lt;&gt;"",MAX($A$8:$A301)&gt;0),MAX($A$8:$A301)+1,"")))</f>
        <v/>
      </c>
      <c r="B302" s="11">
        <v>295</v>
      </c>
      <c r="C302" s="19" t="str">
        <f t="shared" si="12"/>
        <v>EMPTY</v>
      </c>
      <c r="D302" s="3" t="str">
        <f t="shared" si="13"/>
        <v/>
      </c>
      <c r="E302" s="7"/>
      <c r="F302" s="8" t="str">
        <f t="shared" si="14"/>
        <v/>
      </c>
    </row>
    <row r="303" spans="1:6" x14ac:dyDescent="0.25">
      <c r="A303" s="13" t="str">
        <f>IF(AND($E303="",MAX($A$8:$A302)=0),"",IF(AND($E303&lt;&gt;"",MAX($A$8:$A302)=0),1,IF(AND($E303&lt;&gt;"",MAX($A$8:$A302)&gt;0),MAX($A$8:$A302)+1,"")))</f>
        <v/>
      </c>
      <c r="B303" s="11">
        <v>296</v>
      </c>
      <c r="C303" s="19" t="str">
        <f t="shared" si="12"/>
        <v>EMPTY</v>
      </c>
      <c r="D303" s="3" t="str">
        <f t="shared" si="13"/>
        <v/>
      </c>
      <c r="E303" s="7"/>
      <c r="F303" s="8" t="str">
        <f t="shared" si="14"/>
        <v/>
      </c>
    </row>
    <row r="304" spans="1:6" x14ac:dyDescent="0.25">
      <c r="A304" s="13" t="str">
        <f>IF(AND($E304="",MAX($A$8:$A303)=0),"",IF(AND($E304&lt;&gt;"",MAX($A$8:$A303)=0),1,IF(AND($E304&lt;&gt;"",MAX($A$8:$A303)&gt;0),MAX($A$8:$A303)+1,"")))</f>
        <v/>
      </c>
      <c r="B304" s="11">
        <v>297</v>
      </c>
      <c r="C304" s="19" t="str">
        <f t="shared" si="12"/>
        <v>EMPTY</v>
      </c>
      <c r="D304" s="3" t="str">
        <f t="shared" si="13"/>
        <v/>
      </c>
      <c r="E304" s="7"/>
      <c r="F304" s="8" t="str">
        <f t="shared" si="14"/>
        <v/>
      </c>
    </row>
    <row r="305" spans="1:6" x14ac:dyDescent="0.25">
      <c r="A305" s="13" t="str">
        <f>IF(AND($E305="",MAX($A$8:$A304)=0),"",IF(AND($E305&lt;&gt;"",MAX($A$8:$A304)=0),1,IF(AND($E305&lt;&gt;"",MAX($A$8:$A304)&gt;0),MAX($A$8:$A304)+1,"")))</f>
        <v/>
      </c>
      <c r="B305" s="11">
        <v>298</v>
      </c>
      <c r="C305" s="19" t="str">
        <f t="shared" si="12"/>
        <v>EMPTY</v>
      </c>
      <c r="D305" s="3" t="str">
        <f t="shared" si="13"/>
        <v/>
      </c>
      <c r="E305" s="7"/>
      <c r="F305" s="8" t="str">
        <f t="shared" si="14"/>
        <v/>
      </c>
    </row>
    <row r="306" spans="1:6" x14ac:dyDescent="0.25">
      <c r="A306" s="13" t="str">
        <f>IF(AND($E306="",MAX($A$8:$A305)=0),"",IF(AND($E306&lt;&gt;"",MAX($A$8:$A305)=0),1,IF(AND($E306&lt;&gt;"",MAX($A$8:$A305)&gt;0),MAX($A$8:$A305)+1,"")))</f>
        <v/>
      </c>
      <c r="B306" s="11">
        <v>299</v>
      </c>
      <c r="C306" s="19" t="str">
        <f t="shared" si="12"/>
        <v>EMPTY</v>
      </c>
      <c r="D306" s="3" t="str">
        <f t="shared" si="13"/>
        <v/>
      </c>
      <c r="E306" s="7"/>
      <c r="F306" s="8" t="str">
        <f t="shared" si="14"/>
        <v/>
      </c>
    </row>
    <row r="307" spans="1:6" x14ac:dyDescent="0.25">
      <c r="A307" s="13" t="str">
        <f>IF(AND($E307="",MAX($A$8:$A306)=0),"",IF(AND($E307&lt;&gt;"",MAX($A$8:$A306)=0),1,IF(AND($E307&lt;&gt;"",MAX($A$8:$A306)&gt;0),MAX($A$8:$A306)+1,"")))</f>
        <v/>
      </c>
      <c r="B307" s="11">
        <v>300</v>
      </c>
      <c r="C307" s="19" t="str">
        <f t="shared" si="12"/>
        <v>EMPTY</v>
      </c>
      <c r="D307" s="3" t="str">
        <f t="shared" si="13"/>
        <v/>
      </c>
      <c r="E307" s="7"/>
      <c r="F307" s="8" t="str">
        <f t="shared" si="14"/>
        <v/>
      </c>
    </row>
    <row r="308" spans="1:6" x14ac:dyDescent="0.25">
      <c r="A308" s="13" t="str">
        <f>IF(AND($E308="",MAX($A$8:$A307)=0),"",IF(AND($E308&lt;&gt;"",MAX($A$8:$A307)=0),1,IF(AND($E308&lt;&gt;"",MAX($A$8:$A307)&gt;0),MAX($A$8:$A307)+1,"")))</f>
        <v/>
      </c>
      <c r="B308" s="11">
        <v>301</v>
      </c>
      <c r="C308" s="19" t="str">
        <f t="shared" si="12"/>
        <v>EMPTY</v>
      </c>
      <c r="D308" s="3" t="str">
        <f t="shared" si="13"/>
        <v/>
      </c>
      <c r="E308" s="7"/>
      <c r="F308" s="8" t="str">
        <f t="shared" si="14"/>
        <v/>
      </c>
    </row>
    <row r="309" spans="1:6" x14ac:dyDescent="0.25">
      <c r="A309" s="13" t="str">
        <f>IF(AND($E309="",MAX($A$8:$A308)=0),"",IF(AND($E309&lt;&gt;"",MAX($A$8:$A308)=0),1,IF(AND($E309&lt;&gt;"",MAX($A$8:$A308)&gt;0),MAX($A$8:$A308)+1,"")))</f>
        <v/>
      </c>
      <c r="B309" s="11">
        <v>302</v>
      </c>
      <c r="C309" s="19" t="str">
        <f t="shared" si="12"/>
        <v>EMPTY</v>
      </c>
      <c r="D309" s="3" t="str">
        <f t="shared" si="13"/>
        <v/>
      </c>
      <c r="E309" s="7"/>
      <c r="F309" s="8" t="str">
        <f t="shared" si="14"/>
        <v/>
      </c>
    </row>
    <row r="310" spans="1:6" x14ac:dyDescent="0.25">
      <c r="A310" s="13" t="str">
        <f>IF(AND($E310="",MAX($A$8:$A309)=0),"",IF(AND($E310&lt;&gt;"",MAX($A$8:$A309)=0),1,IF(AND($E310&lt;&gt;"",MAX($A$8:$A309)&gt;0),MAX($A$8:$A309)+1,"")))</f>
        <v/>
      </c>
      <c r="B310" s="11">
        <v>303</v>
      </c>
      <c r="C310" s="19" t="str">
        <f t="shared" si="12"/>
        <v>EMPTY</v>
      </c>
      <c r="D310" s="3" t="str">
        <f t="shared" si="13"/>
        <v/>
      </c>
      <c r="E310" s="7"/>
      <c r="F310" s="8" t="str">
        <f t="shared" si="14"/>
        <v/>
      </c>
    </row>
    <row r="311" spans="1:6" x14ac:dyDescent="0.25">
      <c r="A311" s="13" t="str">
        <f>IF(AND($E311="",MAX($A$8:$A310)=0),"",IF(AND($E311&lt;&gt;"",MAX($A$8:$A310)=0),1,IF(AND($E311&lt;&gt;"",MAX($A$8:$A310)&gt;0),MAX($A$8:$A310)+1,"")))</f>
        <v/>
      </c>
      <c r="B311" s="11">
        <v>304</v>
      </c>
      <c r="C311" s="19" t="str">
        <f t="shared" si="12"/>
        <v>EMPTY</v>
      </c>
      <c r="D311" s="3" t="str">
        <f t="shared" si="13"/>
        <v/>
      </c>
      <c r="E311" s="7"/>
      <c r="F311" s="8" t="str">
        <f t="shared" si="14"/>
        <v/>
      </c>
    </row>
    <row r="312" spans="1:6" x14ac:dyDescent="0.25">
      <c r="A312" s="13" t="str">
        <f>IF(AND($E312="",MAX($A$8:$A311)=0),"",IF(AND($E312&lt;&gt;"",MAX($A$8:$A311)=0),1,IF(AND($E312&lt;&gt;"",MAX($A$8:$A311)&gt;0),MAX($A$8:$A311)+1,"")))</f>
        <v/>
      </c>
      <c r="B312" s="11">
        <v>305</v>
      </c>
      <c r="C312" s="19" t="str">
        <f t="shared" si="12"/>
        <v>EMPTY</v>
      </c>
      <c r="D312" s="3" t="str">
        <f t="shared" si="13"/>
        <v/>
      </c>
      <c r="E312" s="7"/>
      <c r="F312" s="8" t="str">
        <f t="shared" si="14"/>
        <v/>
      </c>
    </row>
    <row r="313" spans="1:6" x14ac:dyDescent="0.25">
      <c r="A313" s="13" t="str">
        <f>IF(AND($E313="",MAX($A$8:$A312)=0),"",IF(AND($E313&lt;&gt;"",MAX($A$8:$A312)=0),1,IF(AND($E313&lt;&gt;"",MAX($A$8:$A312)&gt;0),MAX($A$8:$A312)+1,"")))</f>
        <v/>
      </c>
      <c r="B313" s="11">
        <v>306</v>
      </c>
      <c r="C313" s="19" t="str">
        <f t="shared" si="12"/>
        <v>EMPTY</v>
      </c>
      <c r="D313" s="3" t="str">
        <f t="shared" si="13"/>
        <v/>
      </c>
      <c r="E313" s="7"/>
      <c r="F313" s="8" t="str">
        <f t="shared" si="14"/>
        <v/>
      </c>
    </row>
    <row r="314" spans="1:6" x14ac:dyDescent="0.25">
      <c r="A314" s="13" t="str">
        <f>IF(AND($E314="",MAX($A$8:$A313)=0),"",IF(AND($E314&lt;&gt;"",MAX($A$8:$A313)=0),1,IF(AND($E314&lt;&gt;"",MAX($A$8:$A313)&gt;0),MAX($A$8:$A313)+1,"")))</f>
        <v/>
      </c>
      <c r="B314" s="11">
        <v>307</v>
      </c>
      <c r="C314" s="19" t="str">
        <f t="shared" si="12"/>
        <v>EMPTY</v>
      </c>
      <c r="D314" s="3" t="str">
        <f t="shared" si="13"/>
        <v/>
      </c>
      <c r="E314" s="7"/>
      <c r="F314" s="8" t="str">
        <f t="shared" si="14"/>
        <v/>
      </c>
    </row>
    <row r="315" spans="1:6" x14ac:dyDescent="0.25">
      <c r="A315" s="13" t="str">
        <f>IF(AND($E315="",MAX($A$8:$A314)=0),"",IF(AND($E315&lt;&gt;"",MAX($A$8:$A314)=0),1,IF(AND($E315&lt;&gt;"",MAX($A$8:$A314)&gt;0),MAX($A$8:$A314)+1,"")))</f>
        <v/>
      </c>
      <c r="B315" s="11">
        <v>308</v>
      </c>
      <c r="C315" s="19" t="str">
        <f t="shared" si="12"/>
        <v>EMPTY</v>
      </c>
      <c r="D315" s="3" t="str">
        <f t="shared" si="13"/>
        <v/>
      </c>
      <c r="E315" s="7"/>
      <c r="F315" s="8" t="str">
        <f t="shared" si="14"/>
        <v/>
      </c>
    </row>
    <row r="316" spans="1:6" x14ac:dyDescent="0.25">
      <c r="A316" s="13" t="str">
        <f>IF(AND($E316="",MAX($A$8:$A315)=0),"",IF(AND($E316&lt;&gt;"",MAX($A$8:$A315)=0),1,IF(AND($E316&lt;&gt;"",MAX($A$8:$A315)&gt;0),MAX($A$8:$A315)+1,"")))</f>
        <v/>
      </c>
      <c r="B316" s="11">
        <v>309</v>
      </c>
      <c r="C316" s="19" t="str">
        <f t="shared" si="12"/>
        <v>EMPTY</v>
      </c>
      <c r="D316" s="3" t="str">
        <f t="shared" si="13"/>
        <v/>
      </c>
      <c r="E316" s="7"/>
      <c r="F316" s="8" t="str">
        <f t="shared" si="14"/>
        <v/>
      </c>
    </row>
    <row r="317" spans="1:6" x14ac:dyDescent="0.25">
      <c r="A317" s="13" t="str">
        <f>IF(AND($E317="",MAX($A$8:$A316)=0),"",IF(AND($E317&lt;&gt;"",MAX($A$8:$A316)=0),1,IF(AND($E317&lt;&gt;"",MAX($A$8:$A316)&gt;0),MAX($A$8:$A316)+1,"")))</f>
        <v/>
      </c>
      <c r="B317" s="11">
        <v>310</v>
      </c>
      <c r="C317" s="19" t="str">
        <f t="shared" si="12"/>
        <v>EMPTY</v>
      </c>
      <c r="D317" s="3" t="str">
        <f t="shared" si="13"/>
        <v/>
      </c>
      <c r="E317" s="7"/>
      <c r="F317" s="8" t="str">
        <f t="shared" si="14"/>
        <v/>
      </c>
    </row>
    <row r="318" spans="1:6" x14ac:dyDescent="0.25">
      <c r="A318" s="13" t="str">
        <f>IF(AND($E318="",MAX($A$8:$A317)=0),"",IF(AND($E318&lt;&gt;"",MAX($A$8:$A317)=0),1,IF(AND($E318&lt;&gt;"",MAX($A$8:$A317)&gt;0),MAX($A$8:$A317)+1,"")))</f>
        <v/>
      </c>
      <c r="B318" s="11">
        <v>311</v>
      </c>
      <c r="C318" s="19" t="str">
        <f t="shared" si="12"/>
        <v>EMPTY</v>
      </c>
      <c r="D318" s="3" t="str">
        <f t="shared" si="13"/>
        <v/>
      </c>
      <c r="E318" s="7"/>
      <c r="F318" s="8" t="str">
        <f t="shared" si="14"/>
        <v/>
      </c>
    </row>
    <row r="319" spans="1:6" x14ac:dyDescent="0.25">
      <c r="A319" s="13" t="str">
        <f>IF(AND($E319="",MAX($A$8:$A318)=0),"",IF(AND($E319&lt;&gt;"",MAX($A$8:$A318)=0),1,IF(AND($E319&lt;&gt;"",MAX($A$8:$A318)&gt;0),MAX($A$8:$A318)+1,"")))</f>
        <v/>
      </c>
      <c r="B319" s="11">
        <v>312</v>
      </c>
      <c r="C319" s="19" t="str">
        <f t="shared" si="12"/>
        <v>EMPTY</v>
      </c>
      <c r="D319" s="3" t="str">
        <f t="shared" si="13"/>
        <v/>
      </c>
      <c r="E319" s="7"/>
      <c r="F319" s="8" t="str">
        <f t="shared" si="14"/>
        <v/>
      </c>
    </row>
    <row r="320" spans="1:6" x14ac:dyDescent="0.25">
      <c r="A320" s="13" t="str">
        <f>IF(AND($E320="",MAX($A$8:$A319)=0),"",IF(AND($E320&lt;&gt;"",MAX($A$8:$A319)=0),1,IF(AND($E320&lt;&gt;"",MAX($A$8:$A319)&gt;0),MAX($A$8:$A319)+1,"")))</f>
        <v/>
      </c>
      <c r="B320" s="11">
        <v>313</v>
      </c>
      <c r="C320" s="19" t="str">
        <f t="shared" si="12"/>
        <v>EMPTY</v>
      </c>
      <c r="D320" s="3" t="str">
        <f t="shared" si="13"/>
        <v/>
      </c>
      <c r="E320" s="7"/>
      <c r="F320" s="8" t="str">
        <f t="shared" si="14"/>
        <v/>
      </c>
    </row>
    <row r="321" spans="1:6" x14ac:dyDescent="0.25">
      <c r="A321" s="13" t="str">
        <f>IF(AND($E321="",MAX($A$8:$A320)=0),"",IF(AND($E321&lt;&gt;"",MAX($A$8:$A320)=0),1,IF(AND($E321&lt;&gt;"",MAX($A$8:$A320)&gt;0),MAX($A$8:$A320)+1,"")))</f>
        <v/>
      </c>
      <c r="B321" s="11">
        <v>314</v>
      </c>
      <c r="C321" s="19" t="str">
        <f t="shared" si="12"/>
        <v>EMPTY</v>
      </c>
      <c r="D321" s="3" t="str">
        <f t="shared" si="13"/>
        <v/>
      </c>
      <c r="E321" s="7"/>
      <c r="F321" s="8" t="str">
        <f t="shared" si="14"/>
        <v/>
      </c>
    </row>
    <row r="322" spans="1:6" x14ac:dyDescent="0.25">
      <c r="A322" s="13" t="str">
        <f>IF(AND($E322="",MAX($A$8:$A321)=0),"",IF(AND($E322&lt;&gt;"",MAX($A$8:$A321)=0),1,IF(AND($E322&lt;&gt;"",MAX($A$8:$A321)&gt;0),MAX($A$8:$A321)+1,"")))</f>
        <v/>
      </c>
      <c r="B322" s="11">
        <v>315</v>
      </c>
      <c r="C322" s="19" t="str">
        <f t="shared" si="12"/>
        <v>EMPTY</v>
      </c>
      <c r="D322" s="3" t="str">
        <f t="shared" si="13"/>
        <v/>
      </c>
      <c r="E322" s="7"/>
      <c r="F322" s="8" t="str">
        <f t="shared" si="14"/>
        <v/>
      </c>
    </row>
    <row r="323" spans="1:6" x14ac:dyDescent="0.25">
      <c r="A323" s="13" t="str">
        <f>IF(AND($E323="",MAX($A$8:$A322)=0),"",IF(AND($E323&lt;&gt;"",MAX($A$8:$A322)=0),1,IF(AND($E323&lt;&gt;"",MAX($A$8:$A322)&gt;0),MAX($A$8:$A322)+1,"")))</f>
        <v/>
      </c>
      <c r="B323" s="11">
        <v>316</v>
      </c>
      <c r="C323" s="19" t="str">
        <f t="shared" si="12"/>
        <v>EMPTY</v>
      </c>
      <c r="D323" s="3" t="str">
        <f t="shared" si="13"/>
        <v/>
      </c>
      <c r="E323" s="7"/>
      <c r="F323" s="8" t="str">
        <f t="shared" si="14"/>
        <v/>
      </c>
    </row>
    <row r="324" spans="1:6" x14ac:dyDescent="0.25">
      <c r="A324" s="13" t="str">
        <f>IF(AND($E324="",MAX($A$8:$A323)=0),"",IF(AND($E324&lt;&gt;"",MAX($A$8:$A323)=0),1,IF(AND($E324&lt;&gt;"",MAX($A$8:$A323)&gt;0),MAX($A$8:$A323)+1,"")))</f>
        <v/>
      </c>
      <c r="B324" s="11">
        <v>317</v>
      </c>
      <c r="C324" s="19" t="str">
        <f t="shared" si="12"/>
        <v>EMPTY</v>
      </c>
      <c r="D324" s="3" t="str">
        <f t="shared" si="13"/>
        <v/>
      </c>
      <c r="E324" s="7"/>
      <c r="F324" s="8" t="str">
        <f t="shared" si="14"/>
        <v/>
      </c>
    </row>
    <row r="325" spans="1:6" x14ac:dyDescent="0.25">
      <c r="A325" s="13" t="str">
        <f>IF(AND($E325="",MAX($A$8:$A324)=0),"",IF(AND($E325&lt;&gt;"",MAX($A$8:$A324)=0),1,IF(AND($E325&lt;&gt;"",MAX($A$8:$A324)&gt;0),MAX($A$8:$A324)+1,"")))</f>
        <v/>
      </c>
      <c r="B325" s="11">
        <v>318</v>
      </c>
      <c r="C325" s="19" t="str">
        <f t="shared" si="12"/>
        <v>EMPTY</v>
      </c>
      <c r="D325" s="3" t="str">
        <f t="shared" si="13"/>
        <v/>
      </c>
      <c r="E325" s="7"/>
      <c r="F325" s="8" t="str">
        <f t="shared" si="14"/>
        <v/>
      </c>
    </row>
    <row r="326" spans="1:6" x14ac:dyDescent="0.25">
      <c r="A326" s="13" t="str">
        <f>IF(AND($E326="",MAX($A$8:$A325)=0),"",IF(AND($E326&lt;&gt;"",MAX($A$8:$A325)=0),1,IF(AND($E326&lt;&gt;"",MAX($A$8:$A325)&gt;0),MAX($A$8:$A325)+1,"")))</f>
        <v/>
      </c>
      <c r="B326" s="11">
        <v>319</v>
      </c>
      <c r="C326" s="19" t="str">
        <f t="shared" si="12"/>
        <v>EMPTY</v>
      </c>
      <c r="D326" s="3" t="str">
        <f t="shared" si="13"/>
        <v/>
      </c>
      <c r="E326" s="7"/>
      <c r="F326" s="8" t="str">
        <f t="shared" si="14"/>
        <v/>
      </c>
    </row>
    <row r="327" spans="1:6" x14ac:dyDescent="0.25">
      <c r="A327" s="13" t="str">
        <f>IF(AND($E327="",MAX($A$8:$A326)=0),"",IF(AND($E327&lt;&gt;"",MAX($A$8:$A326)=0),1,IF(AND($E327&lt;&gt;"",MAX($A$8:$A326)&gt;0),MAX($A$8:$A326)+1,"")))</f>
        <v/>
      </c>
      <c r="B327" s="11">
        <v>320</v>
      </c>
      <c r="C327" s="19" t="str">
        <f t="shared" si="12"/>
        <v>EMPTY</v>
      </c>
      <c r="D327" s="3" t="str">
        <f t="shared" si="13"/>
        <v/>
      </c>
      <c r="E327" s="7"/>
      <c r="F327" s="8" t="str">
        <f t="shared" si="14"/>
        <v/>
      </c>
    </row>
    <row r="328" spans="1:6" x14ac:dyDescent="0.25">
      <c r="A328" s="13" t="str">
        <f>IF(AND($E328="",MAX($A$8:$A327)=0),"",IF(AND($E328&lt;&gt;"",MAX($A$8:$A327)=0),1,IF(AND($E328&lt;&gt;"",MAX($A$8:$A327)&gt;0),MAX($A$8:$A327)+1,"")))</f>
        <v/>
      </c>
      <c r="B328" s="11">
        <v>321</v>
      </c>
      <c r="C328" s="19" t="str">
        <f t="shared" si="12"/>
        <v>EMPTY</v>
      </c>
      <c r="D328" s="3" t="str">
        <f t="shared" si="13"/>
        <v/>
      </c>
      <c r="E328" s="7"/>
      <c r="F328" s="8" t="str">
        <f t="shared" si="14"/>
        <v/>
      </c>
    </row>
    <row r="329" spans="1:6" x14ac:dyDescent="0.25">
      <c r="A329" s="13" t="str">
        <f>IF(AND($E329="",MAX($A$8:$A328)=0),"",IF(AND($E329&lt;&gt;"",MAX($A$8:$A328)=0),1,IF(AND($E329&lt;&gt;"",MAX($A$8:$A328)&gt;0),MAX($A$8:$A328)+1,"")))</f>
        <v/>
      </c>
      <c r="B329" s="11">
        <v>322</v>
      </c>
      <c r="C329" s="19" t="str">
        <f t="shared" ref="C329:C392" si="15">IF($E329="","EMPTY",IF(MID($E329,1,9)&lt;&gt;"Dialogue:","HIDE",IF(MID($E329,1,9)="Dialogue:","SHOW","")))</f>
        <v>EMPTY</v>
      </c>
      <c r="D329" s="3" t="str">
        <f t="shared" ref="D329:D392" si="16">IF($C329="SHOW",CONCATENATE("[",MID($E329,FIND(",",$E329,1)+3,8),"]",MID($E329,FIND("0,,",$E329,1)+3,1000)),"")</f>
        <v/>
      </c>
      <c r="E329" s="7"/>
      <c r="F329" s="8" t="str">
        <f t="shared" ref="F329:F392" si="17">$D329</f>
        <v/>
      </c>
    </row>
    <row r="330" spans="1:6" x14ac:dyDescent="0.25">
      <c r="A330" s="13" t="str">
        <f>IF(AND($E330="",MAX($A$8:$A329)=0),"",IF(AND($E330&lt;&gt;"",MAX($A$8:$A329)=0),1,IF(AND($E330&lt;&gt;"",MAX($A$8:$A329)&gt;0),MAX($A$8:$A329)+1,"")))</f>
        <v/>
      </c>
      <c r="B330" s="11">
        <v>323</v>
      </c>
      <c r="C330" s="19" t="str">
        <f t="shared" si="15"/>
        <v>EMPTY</v>
      </c>
      <c r="D330" s="3" t="str">
        <f t="shared" si="16"/>
        <v/>
      </c>
      <c r="E330" s="7"/>
      <c r="F330" s="8" t="str">
        <f t="shared" si="17"/>
        <v/>
      </c>
    </row>
    <row r="331" spans="1:6" x14ac:dyDescent="0.25">
      <c r="A331" s="13" t="str">
        <f>IF(AND($E331="",MAX($A$8:$A330)=0),"",IF(AND($E331&lt;&gt;"",MAX($A$8:$A330)=0),1,IF(AND($E331&lt;&gt;"",MAX($A$8:$A330)&gt;0),MAX($A$8:$A330)+1,"")))</f>
        <v/>
      </c>
      <c r="B331" s="11">
        <v>324</v>
      </c>
      <c r="C331" s="19" t="str">
        <f t="shared" si="15"/>
        <v>EMPTY</v>
      </c>
      <c r="D331" s="3" t="str">
        <f t="shared" si="16"/>
        <v/>
      </c>
      <c r="E331" s="7"/>
      <c r="F331" s="8" t="str">
        <f t="shared" si="17"/>
        <v/>
      </c>
    </row>
    <row r="332" spans="1:6" x14ac:dyDescent="0.25">
      <c r="A332" s="13" t="str">
        <f>IF(AND($E332="",MAX($A$8:$A331)=0),"",IF(AND($E332&lt;&gt;"",MAX($A$8:$A331)=0),1,IF(AND($E332&lt;&gt;"",MAX($A$8:$A331)&gt;0),MAX($A$8:$A331)+1,"")))</f>
        <v/>
      </c>
      <c r="B332" s="11">
        <v>325</v>
      </c>
      <c r="C332" s="19" t="str">
        <f t="shared" si="15"/>
        <v>EMPTY</v>
      </c>
      <c r="D332" s="3" t="str">
        <f t="shared" si="16"/>
        <v/>
      </c>
      <c r="E332" s="7"/>
      <c r="F332" s="8" t="str">
        <f t="shared" si="17"/>
        <v/>
      </c>
    </row>
    <row r="333" spans="1:6" x14ac:dyDescent="0.25">
      <c r="A333" s="13" t="str">
        <f>IF(AND($E333="",MAX($A$8:$A332)=0),"",IF(AND($E333&lt;&gt;"",MAX($A$8:$A332)=0),1,IF(AND($E333&lt;&gt;"",MAX($A$8:$A332)&gt;0),MAX($A$8:$A332)+1,"")))</f>
        <v/>
      </c>
      <c r="B333" s="11">
        <v>326</v>
      </c>
      <c r="C333" s="19" t="str">
        <f t="shared" si="15"/>
        <v>EMPTY</v>
      </c>
      <c r="D333" s="3" t="str">
        <f t="shared" si="16"/>
        <v/>
      </c>
      <c r="E333" s="7"/>
      <c r="F333" s="8" t="str">
        <f t="shared" si="17"/>
        <v/>
      </c>
    </row>
    <row r="334" spans="1:6" x14ac:dyDescent="0.25">
      <c r="A334" s="13" t="str">
        <f>IF(AND($E334="",MAX($A$8:$A333)=0),"",IF(AND($E334&lt;&gt;"",MAX($A$8:$A333)=0),1,IF(AND($E334&lt;&gt;"",MAX($A$8:$A333)&gt;0),MAX($A$8:$A333)+1,"")))</f>
        <v/>
      </c>
      <c r="B334" s="11">
        <v>327</v>
      </c>
      <c r="C334" s="19" t="str">
        <f t="shared" si="15"/>
        <v>EMPTY</v>
      </c>
      <c r="D334" s="3" t="str">
        <f t="shared" si="16"/>
        <v/>
      </c>
      <c r="E334" s="7"/>
      <c r="F334" s="8" t="str">
        <f t="shared" si="17"/>
        <v/>
      </c>
    </row>
    <row r="335" spans="1:6" x14ac:dyDescent="0.25">
      <c r="A335" s="13" t="str">
        <f>IF(AND($E335="",MAX($A$8:$A334)=0),"",IF(AND($E335&lt;&gt;"",MAX($A$8:$A334)=0),1,IF(AND($E335&lt;&gt;"",MAX($A$8:$A334)&gt;0),MAX($A$8:$A334)+1,"")))</f>
        <v/>
      </c>
      <c r="B335" s="11">
        <v>328</v>
      </c>
      <c r="C335" s="19" t="str">
        <f t="shared" si="15"/>
        <v>EMPTY</v>
      </c>
      <c r="D335" s="3" t="str">
        <f t="shared" si="16"/>
        <v/>
      </c>
      <c r="E335" s="7"/>
      <c r="F335" s="8" t="str">
        <f t="shared" si="17"/>
        <v/>
      </c>
    </row>
    <row r="336" spans="1:6" x14ac:dyDescent="0.25">
      <c r="A336" s="13" t="str">
        <f>IF(AND($E336="",MAX($A$8:$A335)=0),"",IF(AND($E336&lt;&gt;"",MAX($A$8:$A335)=0),1,IF(AND($E336&lt;&gt;"",MAX($A$8:$A335)&gt;0),MAX($A$8:$A335)+1,"")))</f>
        <v/>
      </c>
      <c r="B336" s="11">
        <v>329</v>
      </c>
      <c r="C336" s="19" t="str">
        <f t="shared" si="15"/>
        <v>EMPTY</v>
      </c>
      <c r="D336" s="3" t="str">
        <f t="shared" si="16"/>
        <v/>
      </c>
      <c r="E336" s="7"/>
      <c r="F336" s="8" t="str">
        <f t="shared" si="17"/>
        <v/>
      </c>
    </row>
    <row r="337" spans="1:6" x14ac:dyDescent="0.25">
      <c r="A337" s="13" t="str">
        <f>IF(AND($E337="",MAX($A$8:$A336)=0),"",IF(AND($E337&lt;&gt;"",MAX($A$8:$A336)=0),1,IF(AND($E337&lt;&gt;"",MAX($A$8:$A336)&gt;0),MAX($A$8:$A336)+1,"")))</f>
        <v/>
      </c>
      <c r="B337" s="11">
        <v>330</v>
      </c>
      <c r="C337" s="19" t="str">
        <f t="shared" si="15"/>
        <v>EMPTY</v>
      </c>
      <c r="D337" s="3" t="str">
        <f t="shared" si="16"/>
        <v/>
      </c>
      <c r="E337" s="7"/>
      <c r="F337" s="8" t="str">
        <f t="shared" si="17"/>
        <v/>
      </c>
    </row>
    <row r="338" spans="1:6" x14ac:dyDescent="0.25">
      <c r="A338" s="13" t="str">
        <f>IF(AND($E338="",MAX($A$8:$A337)=0),"",IF(AND($E338&lt;&gt;"",MAX($A$8:$A337)=0),1,IF(AND($E338&lt;&gt;"",MAX($A$8:$A337)&gt;0),MAX($A$8:$A337)+1,"")))</f>
        <v/>
      </c>
      <c r="B338" s="11">
        <v>331</v>
      </c>
      <c r="C338" s="19" t="str">
        <f t="shared" si="15"/>
        <v>EMPTY</v>
      </c>
      <c r="D338" s="3" t="str">
        <f t="shared" si="16"/>
        <v/>
      </c>
      <c r="E338" s="7"/>
      <c r="F338" s="8" t="str">
        <f t="shared" si="17"/>
        <v/>
      </c>
    </row>
    <row r="339" spans="1:6" x14ac:dyDescent="0.25">
      <c r="A339" s="13" t="str">
        <f>IF(AND($E339="",MAX($A$8:$A338)=0),"",IF(AND($E339&lt;&gt;"",MAX($A$8:$A338)=0),1,IF(AND($E339&lt;&gt;"",MAX($A$8:$A338)&gt;0),MAX($A$8:$A338)+1,"")))</f>
        <v/>
      </c>
      <c r="B339" s="11">
        <v>332</v>
      </c>
      <c r="C339" s="19" t="str">
        <f t="shared" si="15"/>
        <v>EMPTY</v>
      </c>
      <c r="D339" s="3" t="str">
        <f t="shared" si="16"/>
        <v/>
      </c>
      <c r="E339" s="7"/>
      <c r="F339" s="8" t="str">
        <f t="shared" si="17"/>
        <v/>
      </c>
    </row>
    <row r="340" spans="1:6" x14ac:dyDescent="0.25">
      <c r="A340" s="13" t="str">
        <f>IF(AND($E340="",MAX($A$8:$A339)=0),"",IF(AND($E340&lt;&gt;"",MAX($A$8:$A339)=0),1,IF(AND($E340&lt;&gt;"",MAX($A$8:$A339)&gt;0),MAX($A$8:$A339)+1,"")))</f>
        <v/>
      </c>
      <c r="B340" s="11">
        <v>333</v>
      </c>
      <c r="C340" s="19" t="str">
        <f t="shared" si="15"/>
        <v>EMPTY</v>
      </c>
      <c r="D340" s="3" t="str">
        <f t="shared" si="16"/>
        <v/>
      </c>
      <c r="E340" s="7"/>
      <c r="F340" s="8" t="str">
        <f t="shared" si="17"/>
        <v/>
      </c>
    </row>
    <row r="341" spans="1:6" x14ac:dyDescent="0.25">
      <c r="A341" s="13" t="str">
        <f>IF(AND($E341="",MAX($A$8:$A340)=0),"",IF(AND($E341&lt;&gt;"",MAX($A$8:$A340)=0),1,IF(AND($E341&lt;&gt;"",MAX($A$8:$A340)&gt;0),MAX($A$8:$A340)+1,"")))</f>
        <v/>
      </c>
      <c r="B341" s="11">
        <v>334</v>
      </c>
      <c r="C341" s="19" t="str">
        <f t="shared" si="15"/>
        <v>EMPTY</v>
      </c>
      <c r="D341" s="3" t="str">
        <f t="shared" si="16"/>
        <v/>
      </c>
      <c r="E341" s="7"/>
      <c r="F341" s="8" t="str">
        <f t="shared" si="17"/>
        <v/>
      </c>
    </row>
    <row r="342" spans="1:6" x14ac:dyDescent="0.25">
      <c r="A342" s="13" t="str">
        <f>IF(AND($E342="",MAX($A$8:$A341)=0),"",IF(AND($E342&lt;&gt;"",MAX($A$8:$A341)=0),1,IF(AND($E342&lt;&gt;"",MAX($A$8:$A341)&gt;0),MAX($A$8:$A341)+1,"")))</f>
        <v/>
      </c>
      <c r="B342" s="11">
        <v>335</v>
      </c>
      <c r="C342" s="19" t="str">
        <f t="shared" si="15"/>
        <v>EMPTY</v>
      </c>
      <c r="D342" s="3" t="str">
        <f t="shared" si="16"/>
        <v/>
      </c>
      <c r="E342" s="7"/>
      <c r="F342" s="8" t="str">
        <f t="shared" si="17"/>
        <v/>
      </c>
    </row>
    <row r="343" spans="1:6" x14ac:dyDescent="0.25">
      <c r="A343" s="13" t="str">
        <f>IF(AND($E343="",MAX($A$8:$A342)=0),"",IF(AND($E343&lt;&gt;"",MAX($A$8:$A342)=0),1,IF(AND($E343&lt;&gt;"",MAX($A$8:$A342)&gt;0),MAX($A$8:$A342)+1,"")))</f>
        <v/>
      </c>
      <c r="B343" s="11">
        <v>336</v>
      </c>
      <c r="C343" s="19" t="str">
        <f t="shared" si="15"/>
        <v>EMPTY</v>
      </c>
      <c r="D343" s="3" t="str">
        <f t="shared" si="16"/>
        <v/>
      </c>
      <c r="E343" s="7"/>
      <c r="F343" s="8" t="str">
        <f t="shared" si="17"/>
        <v/>
      </c>
    </row>
    <row r="344" spans="1:6" x14ac:dyDescent="0.25">
      <c r="A344" s="13" t="str">
        <f>IF(AND($E344="",MAX($A$8:$A343)=0),"",IF(AND($E344&lt;&gt;"",MAX($A$8:$A343)=0),1,IF(AND($E344&lt;&gt;"",MAX($A$8:$A343)&gt;0),MAX($A$8:$A343)+1,"")))</f>
        <v/>
      </c>
      <c r="B344" s="11">
        <v>337</v>
      </c>
      <c r="C344" s="19" t="str">
        <f t="shared" si="15"/>
        <v>EMPTY</v>
      </c>
      <c r="D344" s="3" t="str">
        <f t="shared" si="16"/>
        <v/>
      </c>
      <c r="E344" s="7"/>
      <c r="F344" s="8" t="str">
        <f t="shared" si="17"/>
        <v/>
      </c>
    </row>
    <row r="345" spans="1:6" x14ac:dyDescent="0.25">
      <c r="A345" s="13" t="str">
        <f>IF(AND($E345="",MAX($A$8:$A344)=0),"",IF(AND($E345&lt;&gt;"",MAX($A$8:$A344)=0),1,IF(AND($E345&lt;&gt;"",MAX($A$8:$A344)&gt;0),MAX($A$8:$A344)+1,"")))</f>
        <v/>
      </c>
      <c r="B345" s="11">
        <v>338</v>
      </c>
      <c r="C345" s="19" t="str">
        <f t="shared" si="15"/>
        <v>EMPTY</v>
      </c>
      <c r="D345" s="3" t="str">
        <f t="shared" si="16"/>
        <v/>
      </c>
      <c r="E345" s="7"/>
      <c r="F345" s="8" t="str">
        <f t="shared" si="17"/>
        <v/>
      </c>
    </row>
    <row r="346" spans="1:6" x14ac:dyDescent="0.25">
      <c r="A346" s="13" t="str">
        <f>IF(AND($E346="",MAX($A$8:$A345)=0),"",IF(AND($E346&lt;&gt;"",MAX($A$8:$A345)=0),1,IF(AND($E346&lt;&gt;"",MAX($A$8:$A345)&gt;0),MAX($A$8:$A345)+1,"")))</f>
        <v/>
      </c>
      <c r="B346" s="11">
        <v>339</v>
      </c>
      <c r="C346" s="19" t="str">
        <f t="shared" si="15"/>
        <v>EMPTY</v>
      </c>
      <c r="D346" s="3" t="str">
        <f t="shared" si="16"/>
        <v/>
      </c>
      <c r="E346" s="7"/>
      <c r="F346" s="8" t="str">
        <f t="shared" si="17"/>
        <v/>
      </c>
    </row>
    <row r="347" spans="1:6" x14ac:dyDescent="0.25">
      <c r="A347" s="13" t="str">
        <f>IF(AND($E347="",MAX($A$8:$A346)=0),"",IF(AND($E347&lt;&gt;"",MAX($A$8:$A346)=0),1,IF(AND($E347&lt;&gt;"",MAX($A$8:$A346)&gt;0),MAX($A$8:$A346)+1,"")))</f>
        <v/>
      </c>
      <c r="B347" s="11">
        <v>340</v>
      </c>
      <c r="C347" s="19" t="str">
        <f t="shared" si="15"/>
        <v>EMPTY</v>
      </c>
      <c r="D347" s="3" t="str">
        <f t="shared" si="16"/>
        <v/>
      </c>
      <c r="E347" s="7"/>
      <c r="F347" s="8" t="str">
        <f t="shared" si="17"/>
        <v/>
      </c>
    </row>
    <row r="348" spans="1:6" x14ac:dyDescent="0.25">
      <c r="A348" s="13" t="str">
        <f>IF(AND($E348="",MAX($A$8:$A347)=0),"",IF(AND($E348&lt;&gt;"",MAX($A$8:$A347)=0),1,IF(AND($E348&lt;&gt;"",MAX($A$8:$A347)&gt;0),MAX($A$8:$A347)+1,"")))</f>
        <v/>
      </c>
      <c r="B348" s="11">
        <v>341</v>
      </c>
      <c r="C348" s="19" t="str">
        <f t="shared" si="15"/>
        <v>EMPTY</v>
      </c>
      <c r="D348" s="3" t="str">
        <f t="shared" si="16"/>
        <v/>
      </c>
      <c r="E348" s="7"/>
      <c r="F348" s="8" t="str">
        <f t="shared" si="17"/>
        <v/>
      </c>
    </row>
    <row r="349" spans="1:6" x14ac:dyDescent="0.25">
      <c r="A349" s="13" t="str">
        <f>IF(AND($E349="",MAX($A$8:$A348)=0),"",IF(AND($E349&lt;&gt;"",MAX($A$8:$A348)=0),1,IF(AND($E349&lt;&gt;"",MAX($A$8:$A348)&gt;0),MAX($A$8:$A348)+1,"")))</f>
        <v/>
      </c>
      <c r="B349" s="11">
        <v>342</v>
      </c>
      <c r="C349" s="19" t="str">
        <f t="shared" si="15"/>
        <v>EMPTY</v>
      </c>
      <c r="D349" s="3" t="str">
        <f t="shared" si="16"/>
        <v/>
      </c>
      <c r="E349" s="7"/>
      <c r="F349" s="8" t="str">
        <f t="shared" si="17"/>
        <v/>
      </c>
    </row>
    <row r="350" spans="1:6" x14ac:dyDescent="0.25">
      <c r="A350" s="13" t="str">
        <f>IF(AND($E350="",MAX($A$8:$A349)=0),"",IF(AND($E350&lt;&gt;"",MAX($A$8:$A349)=0),1,IF(AND($E350&lt;&gt;"",MAX($A$8:$A349)&gt;0),MAX($A$8:$A349)+1,"")))</f>
        <v/>
      </c>
      <c r="B350" s="11">
        <v>343</v>
      </c>
      <c r="C350" s="19" t="str">
        <f t="shared" si="15"/>
        <v>EMPTY</v>
      </c>
      <c r="D350" s="3" t="str">
        <f t="shared" si="16"/>
        <v/>
      </c>
      <c r="E350" s="7"/>
      <c r="F350" s="8" t="str">
        <f t="shared" si="17"/>
        <v/>
      </c>
    </row>
    <row r="351" spans="1:6" x14ac:dyDescent="0.25">
      <c r="A351" s="13" t="str">
        <f>IF(AND($E351="",MAX($A$8:$A350)=0),"",IF(AND($E351&lt;&gt;"",MAX($A$8:$A350)=0),1,IF(AND($E351&lt;&gt;"",MAX($A$8:$A350)&gt;0),MAX($A$8:$A350)+1,"")))</f>
        <v/>
      </c>
      <c r="B351" s="11">
        <v>344</v>
      </c>
      <c r="C351" s="19" t="str">
        <f t="shared" si="15"/>
        <v>EMPTY</v>
      </c>
      <c r="D351" s="3" t="str">
        <f t="shared" si="16"/>
        <v/>
      </c>
      <c r="E351" s="7"/>
      <c r="F351" s="8" t="str">
        <f t="shared" si="17"/>
        <v/>
      </c>
    </row>
    <row r="352" spans="1:6" x14ac:dyDescent="0.25">
      <c r="A352" s="13" t="str">
        <f>IF(AND($E352="",MAX($A$8:$A351)=0),"",IF(AND($E352&lt;&gt;"",MAX($A$8:$A351)=0),1,IF(AND($E352&lt;&gt;"",MAX($A$8:$A351)&gt;0),MAX($A$8:$A351)+1,"")))</f>
        <v/>
      </c>
      <c r="B352" s="11">
        <v>345</v>
      </c>
      <c r="C352" s="19" t="str">
        <f t="shared" si="15"/>
        <v>EMPTY</v>
      </c>
      <c r="D352" s="3" t="str">
        <f t="shared" si="16"/>
        <v/>
      </c>
      <c r="E352" s="7"/>
      <c r="F352" s="8" t="str">
        <f t="shared" si="17"/>
        <v/>
      </c>
    </row>
    <row r="353" spans="1:6" x14ac:dyDescent="0.25">
      <c r="A353" s="13" t="str">
        <f>IF(AND($E353="",MAX($A$8:$A352)=0),"",IF(AND($E353&lt;&gt;"",MAX($A$8:$A352)=0),1,IF(AND($E353&lt;&gt;"",MAX($A$8:$A352)&gt;0),MAX($A$8:$A352)+1,"")))</f>
        <v/>
      </c>
      <c r="B353" s="11">
        <v>346</v>
      </c>
      <c r="C353" s="19" t="str">
        <f t="shared" si="15"/>
        <v>EMPTY</v>
      </c>
      <c r="D353" s="3" t="str">
        <f t="shared" si="16"/>
        <v/>
      </c>
      <c r="E353" s="7"/>
      <c r="F353" s="8" t="str">
        <f t="shared" si="17"/>
        <v/>
      </c>
    </row>
    <row r="354" spans="1:6" x14ac:dyDescent="0.25">
      <c r="A354" s="13" t="str">
        <f>IF(AND($E354="",MAX($A$8:$A353)=0),"",IF(AND($E354&lt;&gt;"",MAX($A$8:$A353)=0),1,IF(AND($E354&lt;&gt;"",MAX($A$8:$A353)&gt;0),MAX($A$8:$A353)+1,"")))</f>
        <v/>
      </c>
      <c r="B354" s="11">
        <v>347</v>
      </c>
      <c r="C354" s="19" t="str">
        <f t="shared" si="15"/>
        <v>EMPTY</v>
      </c>
      <c r="D354" s="3" t="str">
        <f t="shared" si="16"/>
        <v/>
      </c>
      <c r="E354" s="7"/>
      <c r="F354" s="8" t="str">
        <f t="shared" si="17"/>
        <v/>
      </c>
    </row>
    <row r="355" spans="1:6" x14ac:dyDescent="0.25">
      <c r="A355" s="13" t="str">
        <f>IF(AND($E355="",MAX($A$8:$A354)=0),"",IF(AND($E355&lt;&gt;"",MAX($A$8:$A354)=0),1,IF(AND($E355&lt;&gt;"",MAX($A$8:$A354)&gt;0),MAX($A$8:$A354)+1,"")))</f>
        <v/>
      </c>
      <c r="B355" s="11">
        <v>348</v>
      </c>
      <c r="C355" s="19" t="str">
        <f t="shared" si="15"/>
        <v>EMPTY</v>
      </c>
      <c r="D355" s="3" t="str">
        <f t="shared" si="16"/>
        <v/>
      </c>
      <c r="E355" s="7"/>
      <c r="F355" s="8" t="str">
        <f t="shared" si="17"/>
        <v/>
      </c>
    </row>
    <row r="356" spans="1:6" x14ac:dyDescent="0.25">
      <c r="A356" s="13" t="str">
        <f>IF(AND($E356="",MAX($A$8:$A355)=0),"",IF(AND($E356&lt;&gt;"",MAX($A$8:$A355)=0),1,IF(AND($E356&lt;&gt;"",MAX($A$8:$A355)&gt;0),MAX($A$8:$A355)+1,"")))</f>
        <v/>
      </c>
      <c r="B356" s="11">
        <v>349</v>
      </c>
      <c r="C356" s="19" t="str">
        <f t="shared" si="15"/>
        <v>EMPTY</v>
      </c>
      <c r="D356" s="3" t="str">
        <f t="shared" si="16"/>
        <v/>
      </c>
      <c r="E356" s="7"/>
      <c r="F356" s="8" t="str">
        <f t="shared" si="17"/>
        <v/>
      </c>
    </row>
    <row r="357" spans="1:6" x14ac:dyDescent="0.25">
      <c r="A357" s="13" t="str">
        <f>IF(AND($E357="",MAX($A$8:$A356)=0),"",IF(AND($E357&lt;&gt;"",MAX($A$8:$A356)=0),1,IF(AND($E357&lt;&gt;"",MAX($A$8:$A356)&gt;0),MAX($A$8:$A356)+1,"")))</f>
        <v/>
      </c>
      <c r="B357" s="11">
        <v>350</v>
      </c>
      <c r="C357" s="19" t="str">
        <f t="shared" si="15"/>
        <v>EMPTY</v>
      </c>
      <c r="D357" s="3" t="str">
        <f t="shared" si="16"/>
        <v/>
      </c>
      <c r="E357" s="7"/>
      <c r="F357" s="8" t="str">
        <f t="shared" si="17"/>
        <v/>
      </c>
    </row>
    <row r="358" spans="1:6" x14ac:dyDescent="0.25">
      <c r="A358" s="13" t="str">
        <f>IF(AND($E358="",MAX($A$8:$A357)=0),"",IF(AND($E358&lt;&gt;"",MAX($A$8:$A357)=0),1,IF(AND($E358&lt;&gt;"",MAX($A$8:$A357)&gt;0),MAX($A$8:$A357)+1,"")))</f>
        <v/>
      </c>
      <c r="B358" s="11">
        <v>351</v>
      </c>
      <c r="C358" s="19" t="str">
        <f t="shared" si="15"/>
        <v>EMPTY</v>
      </c>
      <c r="D358" s="3" t="str">
        <f t="shared" si="16"/>
        <v/>
      </c>
      <c r="E358" s="7"/>
      <c r="F358" s="8" t="str">
        <f t="shared" si="17"/>
        <v/>
      </c>
    </row>
    <row r="359" spans="1:6" x14ac:dyDescent="0.25">
      <c r="A359" s="13" t="str">
        <f>IF(AND($E359="",MAX($A$8:$A358)=0),"",IF(AND($E359&lt;&gt;"",MAX($A$8:$A358)=0),1,IF(AND($E359&lt;&gt;"",MAX($A$8:$A358)&gt;0),MAX($A$8:$A358)+1,"")))</f>
        <v/>
      </c>
      <c r="B359" s="11">
        <v>352</v>
      </c>
      <c r="C359" s="19" t="str">
        <f t="shared" si="15"/>
        <v>EMPTY</v>
      </c>
      <c r="D359" s="3" t="str">
        <f t="shared" si="16"/>
        <v/>
      </c>
      <c r="E359" s="7"/>
      <c r="F359" s="8" t="str">
        <f t="shared" si="17"/>
        <v/>
      </c>
    </row>
    <row r="360" spans="1:6" x14ac:dyDescent="0.25">
      <c r="A360" s="13" t="str">
        <f>IF(AND($E360="",MAX($A$8:$A359)=0),"",IF(AND($E360&lt;&gt;"",MAX($A$8:$A359)=0),1,IF(AND($E360&lt;&gt;"",MAX($A$8:$A359)&gt;0),MAX($A$8:$A359)+1,"")))</f>
        <v/>
      </c>
      <c r="B360" s="11">
        <v>353</v>
      </c>
      <c r="C360" s="19" t="str">
        <f t="shared" si="15"/>
        <v>EMPTY</v>
      </c>
      <c r="D360" s="3" t="str">
        <f t="shared" si="16"/>
        <v/>
      </c>
      <c r="E360" s="7"/>
      <c r="F360" s="8" t="str">
        <f t="shared" si="17"/>
        <v/>
      </c>
    </row>
    <row r="361" spans="1:6" x14ac:dyDescent="0.25">
      <c r="A361" s="13" t="str">
        <f>IF(AND($E361="",MAX($A$8:$A360)=0),"",IF(AND($E361&lt;&gt;"",MAX($A$8:$A360)=0),1,IF(AND($E361&lt;&gt;"",MAX($A$8:$A360)&gt;0),MAX($A$8:$A360)+1,"")))</f>
        <v/>
      </c>
      <c r="B361" s="11">
        <v>354</v>
      </c>
      <c r="C361" s="19" t="str">
        <f t="shared" si="15"/>
        <v>EMPTY</v>
      </c>
      <c r="D361" s="3" t="str">
        <f t="shared" si="16"/>
        <v/>
      </c>
      <c r="E361" s="7"/>
      <c r="F361" s="8" t="str">
        <f t="shared" si="17"/>
        <v/>
      </c>
    </row>
    <row r="362" spans="1:6" x14ac:dyDescent="0.25">
      <c r="A362" s="13" t="str">
        <f>IF(AND($E362="",MAX($A$8:$A361)=0),"",IF(AND($E362&lt;&gt;"",MAX($A$8:$A361)=0),1,IF(AND($E362&lt;&gt;"",MAX($A$8:$A361)&gt;0),MAX($A$8:$A361)+1,"")))</f>
        <v/>
      </c>
      <c r="B362" s="11">
        <v>355</v>
      </c>
      <c r="C362" s="19" t="str">
        <f t="shared" si="15"/>
        <v>EMPTY</v>
      </c>
      <c r="D362" s="3" t="str">
        <f t="shared" si="16"/>
        <v/>
      </c>
      <c r="E362" s="7"/>
      <c r="F362" s="8" t="str">
        <f t="shared" si="17"/>
        <v/>
      </c>
    </row>
    <row r="363" spans="1:6" x14ac:dyDescent="0.25">
      <c r="A363" s="13" t="str">
        <f>IF(AND($E363="",MAX($A$8:$A362)=0),"",IF(AND($E363&lt;&gt;"",MAX($A$8:$A362)=0),1,IF(AND($E363&lt;&gt;"",MAX($A$8:$A362)&gt;0),MAX($A$8:$A362)+1,"")))</f>
        <v/>
      </c>
      <c r="B363" s="11">
        <v>356</v>
      </c>
      <c r="C363" s="19" t="str">
        <f t="shared" si="15"/>
        <v>EMPTY</v>
      </c>
      <c r="D363" s="3" t="str">
        <f t="shared" si="16"/>
        <v/>
      </c>
      <c r="E363" s="7"/>
      <c r="F363" s="8" t="str">
        <f t="shared" si="17"/>
        <v/>
      </c>
    </row>
    <row r="364" spans="1:6" x14ac:dyDescent="0.25">
      <c r="A364" s="13" t="str">
        <f>IF(AND($E364="",MAX($A$8:$A363)=0),"",IF(AND($E364&lt;&gt;"",MAX($A$8:$A363)=0),1,IF(AND($E364&lt;&gt;"",MAX($A$8:$A363)&gt;0),MAX($A$8:$A363)+1,"")))</f>
        <v/>
      </c>
      <c r="B364" s="11">
        <v>357</v>
      </c>
      <c r="C364" s="19" t="str">
        <f t="shared" si="15"/>
        <v>EMPTY</v>
      </c>
      <c r="D364" s="3" t="str">
        <f t="shared" si="16"/>
        <v/>
      </c>
      <c r="E364" s="7"/>
      <c r="F364" s="8" t="str">
        <f t="shared" si="17"/>
        <v/>
      </c>
    </row>
    <row r="365" spans="1:6" x14ac:dyDescent="0.25">
      <c r="A365" s="13" t="str">
        <f>IF(AND($E365="",MAX($A$8:$A364)=0),"",IF(AND($E365&lt;&gt;"",MAX($A$8:$A364)=0),1,IF(AND($E365&lt;&gt;"",MAX($A$8:$A364)&gt;0),MAX($A$8:$A364)+1,"")))</f>
        <v/>
      </c>
      <c r="B365" s="11">
        <v>358</v>
      </c>
      <c r="C365" s="19" t="str">
        <f t="shared" si="15"/>
        <v>EMPTY</v>
      </c>
      <c r="D365" s="3" t="str">
        <f t="shared" si="16"/>
        <v/>
      </c>
      <c r="E365" s="7"/>
      <c r="F365" s="8" t="str">
        <f t="shared" si="17"/>
        <v/>
      </c>
    </row>
    <row r="366" spans="1:6" x14ac:dyDescent="0.25">
      <c r="A366" s="13" t="str">
        <f>IF(AND($E366="",MAX($A$8:$A365)=0),"",IF(AND($E366&lt;&gt;"",MAX($A$8:$A365)=0),1,IF(AND($E366&lt;&gt;"",MAX($A$8:$A365)&gt;0),MAX($A$8:$A365)+1,"")))</f>
        <v/>
      </c>
      <c r="B366" s="11">
        <v>359</v>
      </c>
      <c r="C366" s="19" t="str">
        <f t="shared" si="15"/>
        <v>EMPTY</v>
      </c>
      <c r="D366" s="3" t="str">
        <f t="shared" si="16"/>
        <v/>
      </c>
      <c r="E366" s="7"/>
      <c r="F366" s="8" t="str">
        <f t="shared" si="17"/>
        <v/>
      </c>
    </row>
    <row r="367" spans="1:6" x14ac:dyDescent="0.25">
      <c r="A367" s="13" t="str">
        <f>IF(AND($E367="",MAX($A$8:$A366)=0),"",IF(AND($E367&lt;&gt;"",MAX($A$8:$A366)=0),1,IF(AND($E367&lt;&gt;"",MAX($A$8:$A366)&gt;0),MAX($A$8:$A366)+1,"")))</f>
        <v/>
      </c>
      <c r="B367" s="11">
        <v>360</v>
      </c>
      <c r="C367" s="19" t="str">
        <f t="shared" si="15"/>
        <v>EMPTY</v>
      </c>
      <c r="D367" s="3" t="str">
        <f t="shared" si="16"/>
        <v/>
      </c>
      <c r="E367" s="7"/>
      <c r="F367" s="8" t="str">
        <f t="shared" si="17"/>
        <v/>
      </c>
    </row>
    <row r="368" spans="1:6" x14ac:dyDescent="0.25">
      <c r="A368" s="13" t="str">
        <f>IF(AND($E368="",MAX($A$8:$A367)=0),"",IF(AND($E368&lt;&gt;"",MAX($A$8:$A367)=0),1,IF(AND($E368&lt;&gt;"",MAX($A$8:$A367)&gt;0),MAX($A$8:$A367)+1,"")))</f>
        <v/>
      </c>
      <c r="B368" s="11">
        <v>361</v>
      </c>
      <c r="C368" s="19" t="str">
        <f t="shared" si="15"/>
        <v>EMPTY</v>
      </c>
      <c r="D368" s="3" t="str">
        <f t="shared" si="16"/>
        <v/>
      </c>
      <c r="E368" s="7"/>
      <c r="F368" s="8" t="str">
        <f t="shared" si="17"/>
        <v/>
      </c>
    </row>
    <row r="369" spans="1:6" x14ac:dyDescent="0.25">
      <c r="A369" s="13" t="str">
        <f>IF(AND($E369="",MAX($A$8:$A368)=0),"",IF(AND($E369&lt;&gt;"",MAX($A$8:$A368)=0),1,IF(AND($E369&lt;&gt;"",MAX($A$8:$A368)&gt;0),MAX($A$8:$A368)+1,"")))</f>
        <v/>
      </c>
      <c r="B369" s="11">
        <v>362</v>
      </c>
      <c r="C369" s="19" t="str">
        <f t="shared" si="15"/>
        <v>EMPTY</v>
      </c>
      <c r="D369" s="3" t="str">
        <f t="shared" si="16"/>
        <v/>
      </c>
      <c r="E369" s="7"/>
      <c r="F369" s="8" t="str">
        <f t="shared" si="17"/>
        <v/>
      </c>
    </row>
    <row r="370" spans="1:6" x14ac:dyDescent="0.25">
      <c r="A370" s="13" t="str">
        <f>IF(AND($E370="",MAX($A$8:$A369)=0),"",IF(AND($E370&lt;&gt;"",MAX($A$8:$A369)=0),1,IF(AND($E370&lt;&gt;"",MAX($A$8:$A369)&gt;0),MAX($A$8:$A369)+1,"")))</f>
        <v/>
      </c>
      <c r="B370" s="11">
        <v>363</v>
      </c>
      <c r="C370" s="19" t="str">
        <f t="shared" si="15"/>
        <v>EMPTY</v>
      </c>
      <c r="D370" s="3" t="str">
        <f t="shared" si="16"/>
        <v/>
      </c>
      <c r="E370" s="7"/>
      <c r="F370" s="8" t="str">
        <f t="shared" si="17"/>
        <v/>
      </c>
    </row>
    <row r="371" spans="1:6" x14ac:dyDescent="0.25">
      <c r="A371" s="13" t="str">
        <f>IF(AND($E371="",MAX($A$8:$A370)=0),"",IF(AND($E371&lt;&gt;"",MAX($A$8:$A370)=0),1,IF(AND($E371&lt;&gt;"",MAX($A$8:$A370)&gt;0),MAX($A$8:$A370)+1,"")))</f>
        <v/>
      </c>
      <c r="B371" s="11">
        <v>364</v>
      </c>
      <c r="C371" s="19" t="str">
        <f t="shared" si="15"/>
        <v>EMPTY</v>
      </c>
      <c r="D371" s="3" t="str">
        <f t="shared" si="16"/>
        <v/>
      </c>
      <c r="E371" s="7"/>
      <c r="F371" s="8" t="str">
        <f t="shared" si="17"/>
        <v/>
      </c>
    </row>
    <row r="372" spans="1:6" x14ac:dyDescent="0.25">
      <c r="A372" s="13" t="str">
        <f>IF(AND($E372="",MAX($A$8:$A371)=0),"",IF(AND($E372&lt;&gt;"",MAX($A$8:$A371)=0),1,IF(AND($E372&lt;&gt;"",MAX($A$8:$A371)&gt;0),MAX($A$8:$A371)+1,"")))</f>
        <v/>
      </c>
      <c r="B372" s="11">
        <v>365</v>
      </c>
      <c r="C372" s="19" t="str">
        <f t="shared" si="15"/>
        <v>EMPTY</v>
      </c>
      <c r="D372" s="3" t="str">
        <f t="shared" si="16"/>
        <v/>
      </c>
      <c r="E372" s="7"/>
      <c r="F372" s="8" t="str">
        <f t="shared" si="17"/>
        <v/>
      </c>
    </row>
    <row r="373" spans="1:6" x14ac:dyDescent="0.25">
      <c r="A373" s="13" t="str">
        <f>IF(AND($E373="",MAX($A$8:$A372)=0),"",IF(AND($E373&lt;&gt;"",MAX($A$8:$A372)=0),1,IF(AND($E373&lt;&gt;"",MAX($A$8:$A372)&gt;0),MAX($A$8:$A372)+1,"")))</f>
        <v/>
      </c>
      <c r="B373" s="11">
        <v>366</v>
      </c>
      <c r="C373" s="19" t="str">
        <f t="shared" si="15"/>
        <v>EMPTY</v>
      </c>
      <c r="D373" s="3" t="str">
        <f t="shared" si="16"/>
        <v/>
      </c>
      <c r="E373" s="7"/>
      <c r="F373" s="8" t="str">
        <f t="shared" si="17"/>
        <v/>
      </c>
    </row>
    <row r="374" spans="1:6" x14ac:dyDescent="0.25">
      <c r="A374" s="13" t="str">
        <f>IF(AND($E374="",MAX($A$8:$A373)=0),"",IF(AND($E374&lt;&gt;"",MAX($A$8:$A373)=0),1,IF(AND($E374&lt;&gt;"",MAX($A$8:$A373)&gt;0),MAX($A$8:$A373)+1,"")))</f>
        <v/>
      </c>
      <c r="B374" s="11">
        <v>367</v>
      </c>
      <c r="C374" s="19" t="str">
        <f t="shared" si="15"/>
        <v>EMPTY</v>
      </c>
      <c r="D374" s="3" t="str">
        <f t="shared" si="16"/>
        <v/>
      </c>
      <c r="E374" s="7"/>
      <c r="F374" s="8" t="str">
        <f t="shared" si="17"/>
        <v/>
      </c>
    </row>
    <row r="375" spans="1:6" x14ac:dyDescent="0.25">
      <c r="A375" s="13" t="str">
        <f>IF(AND($E375="",MAX($A$8:$A374)=0),"",IF(AND($E375&lt;&gt;"",MAX($A$8:$A374)=0),1,IF(AND($E375&lt;&gt;"",MAX($A$8:$A374)&gt;0),MAX($A$8:$A374)+1,"")))</f>
        <v/>
      </c>
      <c r="B375" s="11">
        <v>368</v>
      </c>
      <c r="C375" s="19" t="str">
        <f t="shared" si="15"/>
        <v>EMPTY</v>
      </c>
      <c r="D375" s="3" t="str">
        <f t="shared" si="16"/>
        <v/>
      </c>
      <c r="E375" s="7"/>
      <c r="F375" s="8" t="str">
        <f t="shared" si="17"/>
        <v/>
      </c>
    </row>
    <row r="376" spans="1:6" x14ac:dyDescent="0.25">
      <c r="A376" s="13" t="str">
        <f>IF(AND($E376="",MAX($A$8:$A375)=0),"",IF(AND($E376&lt;&gt;"",MAX($A$8:$A375)=0),1,IF(AND($E376&lt;&gt;"",MAX($A$8:$A375)&gt;0),MAX($A$8:$A375)+1,"")))</f>
        <v/>
      </c>
      <c r="B376" s="11">
        <v>369</v>
      </c>
      <c r="C376" s="19" t="str">
        <f t="shared" si="15"/>
        <v>EMPTY</v>
      </c>
      <c r="D376" s="3" t="str">
        <f t="shared" si="16"/>
        <v/>
      </c>
      <c r="E376" s="7"/>
      <c r="F376" s="8" t="str">
        <f t="shared" si="17"/>
        <v/>
      </c>
    </row>
    <row r="377" spans="1:6" x14ac:dyDescent="0.25">
      <c r="A377" s="13" t="str">
        <f>IF(AND($E377="",MAX($A$8:$A376)=0),"",IF(AND($E377&lt;&gt;"",MAX($A$8:$A376)=0),1,IF(AND($E377&lt;&gt;"",MAX($A$8:$A376)&gt;0),MAX($A$8:$A376)+1,"")))</f>
        <v/>
      </c>
      <c r="B377" s="11">
        <v>370</v>
      </c>
      <c r="C377" s="19" t="str">
        <f t="shared" si="15"/>
        <v>EMPTY</v>
      </c>
      <c r="D377" s="3" t="str">
        <f t="shared" si="16"/>
        <v/>
      </c>
      <c r="E377" s="7"/>
      <c r="F377" s="8" t="str">
        <f t="shared" si="17"/>
        <v/>
      </c>
    </row>
    <row r="378" spans="1:6" x14ac:dyDescent="0.25">
      <c r="A378" s="13" t="str">
        <f>IF(AND($E378="",MAX($A$8:$A377)=0),"",IF(AND($E378&lt;&gt;"",MAX($A$8:$A377)=0),1,IF(AND($E378&lt;&gt;"",MAX($A$8:$A377)&gt;0),MAX($A$8:$A377)+1,"")))</f>
        <v/>
      </c>
      <c r="B378" s="11">
        <v>371</v>
      </c>
      <c r="C378" s="19" t="str">
        <f t="shared" si="15"/>
        <v>EMPTY</v>
      </c>
      <c r="D378" s="3" t="str">
        <f t="shared" si="16"/>
        <v/>
      </c>
      <c r="E378" s="7"/>
      <c r="F378" s="8" t="str">
        <f t="shared" si="17"/>
        <v/>
      </c>
    </row>
    <row r="379" spans="1:6" x14ac:dyDescent="0.25">
      <c r="A379" s="13" t="str">
        <f>IF(AND($E379="",MAX($A$8:$A378)=0),"",IF(AND($E379&lt;&gt;"",MAX($A$8:$A378)=0),1,IF(AND($E379&lt;&gt;"",MAX($A$8:$A378)&gt;0),MAX($A$8:$A378)+1,"")))</f>
        <v/>
      </c>
      <c r="B379" s="11">
        <v>372</v>
      </c>
      <c r="C379" s="19" t="str">
        <f t="shared" si="15"/>
        <v>EMPTY</v>
      </c>
      <c r="D379" s="3" t="str">
        <f t="shared" si="16"/>
        <v/>
      </c>
      <c r="E379" s="7"/>
      <c r="F379" s="8" t="str">
        <f t="shared" si="17"/>
        <v/>
      </c>
    </row>
    <row r="380" spans="1:6" x14ac:dyDescent="0.25">
      <c r="A380" s="13" t="str">
        <f>IF(AND($E380="",MAX($A$8:$A379)=0),"",IF(AND($E380&lt;&gt;"",MAX($A$8:$A379)=0),1,IF(AND($E380&lt;&gt;"",MAX($A$8:$A379)&gt;0),MAX($A$8:$A379)+1,"")))</f>
        <v/>
      </c>
      <c r="B380" s="11">
        <v>373</v>
      </c>
      <c r="C380" s="19" t="str">
        <f t="shared" si="15"/>
        <v>EMPTY</v>
      </c>
      <c r="D380" s="3" t="str">
        <f t="shared" si="16"/>
        <v/>
      </c>
      <c r="E380" s="7"/>
      <c r="F380" s="8" t="str">
        <f t="shared" si="17"/>
        <v/>
      </c>
    </row>
    <row r="381" spans="1:6" x14ac:dyDescent="0.25">
      <c r="A381" s="13" t="str">
        <f>IF(AND($E381="",MAX($A$8:$A380)=0),"",IF(AND($E381&lt;&gt;"",MAX($A$8:$A380)=0),1,IF(AND($E381&lt;&gt;"",MAX($A$8:$A380)&gt;0),MAX($A$8:$A380)+1,"")))</f>
        <v/>
      </c>
      <c r="B381" s="11">
        <v>374</v>
      </c>
      <c r="C381" s="19" t="str">
        <f t="shared" si="15"/>
        <v>EMPTY</v>
      </c>
      <c r="D381" s="3" t="str">
        <f t="shared" si="16"/>
        <v/>
      </c>
      <c r="E381" s="7"/>
      <c r="F381" s="8" t="str">
        <f t="shared" si="17"/>
        <v/>
      </c>
    </row>
    <row r="382" spans="1:6" x14ac:dyDescent="0.25">
      <c r="A382" s="13" t="str">
        <f>IF(AND($E382="",MAX($A$8:$A381)=0),"",IF(AND($E382&lt;&gt;"",MAX($A$8:$A381)=0),1,IF(AND($E382&lt;&gt;"",MAX($A$8:$A381)&gt;0),MAX($A$8:$A381)+1,"")))</f>
        <v/>
      </c>
      <c r="B382" s="11">
        <v>375</v>
      </c>
      <c r="C382" s="19" t="str">
        <f t="shared" si="15"/>
        <v>EMPTY</v>
      </c>
      <c r="D382" s="3" t="str">
        <f t="shared" si="16"/>
        <v/>
      </c>
      <c r="E382" s="7"/>
      <c r="F382" s="8" t="str">
        <f t="shared" si="17"/>
        <v/>
      </c>
    </row>
    <row r="383" spans="1:6" x14ac:dyDescent="0.25">
      <c r="A383" s="13" t="str">
        <f>IF(AND($E383="",MAX($A$8:$A382)=0),"",IF(AND($E383&lt;&gt;"",MAX($A$8:$A382)=0),1,IF(AND($E383&lt;&gt;"",MAX($A$8:$A382)&gt;0),MAX($A$8:$A382)+1,"")))</f>
        <v/>
      </c>
      <c r="B383" s="11">
        <v>376</v>
      </c>
      <c r="C383" s="19" t="str">
        <f t="shared" si="15"/>
        <v>EMPTY</v>
      </c>
      <c r="D383" s="3" t="str">
        <f t="shared" si="16"/>
        <v/>
      </c>
      <c r="E383" s="7"/>
      <c r="F383" s="8" t="str">
        <f t="shared" si="17"/>
        <v/>
      </c>
    </row>
    <row r="384" spans="1:6" x14ac:dyDescent="0.25">
      <c r="A384" s="13" t="str">
        <f>IF(AND($E384="",MAX($A$8:$A383)=0),"",IF(AND($E384&lt;&gt;"",MAX($A$8:$A383)=0),1,IF(AND($E384&lt;&gt;"",MAX($A$8:$A383)&gt;0),MAX($A$8:$A383)+1,"")))</f>
        <v/>
      </c>
      <c r="B384" s="11">
        <v>377</v>
      </c>
      <c r="C384" s="19" t="str">
        <f t="shared" si="15"/>
        <v>EMPTY</v>
      </c>
      <c r="D384" s="3" t="str">
        <f t="shared" si="16"/>
        <v/>
      </c>
      <c r="E384" s="7"/>
      <c r="F384" s="8" t="str">
        <f t="shared" si="17"/>
        <v/>
      </c>
    </row>
    <row r="385" spans="1:6" x14ac:dyDescent="0.25">
      <c r="A385" s="13" t="str">
        <f>IF(AND($E385="",MAX($A$8:$A384)=0),"",IF(AND($E385&lt;&gt;"",MAX($A$8:$A384)=0),1,IF(AND($E385&lt;&gt;"",MAX($A$8:$A384)&gt;0),MAX($A$8:$A384)+1,"")))</f>
        <v/>
      </c>
      <c r="B385" s="11">
        <v>378</v>
      </c>
      <c r="C385" s="19" t="str">
        <f t="shared" si="15"/>
        <v>EMPTY</v>
      </c>
      <c r="D385" s="3" t="str">
        <f t="shared" si="16"/>
        <v/>
      </c>
      <c r="E385" s="7"/>
      <c r="F385" s="8" t="str">
        <f t="shared" si="17"/>
        <v/>
      </c>
    </row>
    <row r="386" spans="1:6" x14ac:dyDescent="0.25">
      <c r="A386" s="13" t="str">
        <f>IF(AND($E386="",MAX($A$8:$A385)=0),"",IF(AND($E386&lt;&gt;"",MAX($A$8:$A385)=0),1,IF(AND($E386&lt;&gt;"",MAX($A$8:$A385)&gt;0),MAX($A$8:$A385)+1,"")))</f>
        <v/>
      </c>
      <c r="B386" s="11">
        <v>379</v>
      </c>
      <c r="C386" s="19" t="str">
        <f t="shared" si="15"/>
        <v>EMPTY</v>
      </c>
      <c r="D386" s="3" t="str">
        <f t="shared" si="16"/>
        <v/>
      </c>
      <c r="E386" s="7"/>
      <c r="F386" s="8" t="str">
        <f t="shared" si="17"/>
        <v/>
      </c>
    </row>
    <row r="387" spans="1:6" x14ac:dyDescent="0.25">
      <c r="A387" s="13" t="str">
        <f>IF(AND($E387="",MAX($A$8:$A386)=0),"",IF(AND($E387&lt;&gt;"",MAX($A$8:$A386)=0),1,IF(AND($E387&lt;&gt;"",MAX($A$8:$A386)&gt;0),MAX($A$8:$A386)+1,"")))</f>
        <v/>
      </c>
      <c r="B387" s="11">
        <v>380</v>
      </c>
      <c r="C387" s="19" t="str">
        <f t="shared" si="15"/>
        <v>EMPTY</v>
      </c>
      <c r="D387" s="3" t="str">
        <f t="shared" si="16"/>
        <v/>
      </c>
      <c r="E387" s="7"/>
      <c r="F387" s="8" t="str">
        <f t="shared" si="17"/>
        <v/>
      </c>
    </row>
    <row r="388" spans="1:6" x14ac:dyDescent="0.25">
      <c r="A388" s="13" t="str">
        <f>IF(AND($E388="",MAX($A$8:$A387)=0),"",IF(AND($E388&lt;&gt;"",MAX($A$8:$A387)=0),1,IF(AND($E388&lt;&gt;"",MAX($A$8:$A387)&gt;0),MAX($A$8:$A387)+1,"")))</f>
        <v/>
      </c>
      <c r="B388" s="11">
        <v>381</v>
      </c>
      <c r="C388" s="19" t="str">
        <f t="shared" si="15"/>
        <v>EMPTY</v>
      </c>
      <c r="D388" s="3" t="str">
        <f t="shared" si="16"/>
        <v/>
      </c>
      <c r="E388" s="7"/>
      <c r="F388" s="8" t="str">
        <f t="shared" si="17"/>
        <v/>
      </c>
    </row>
    <row r="389" spans="1:6" x14ac:dyDescent="0.25">
      <c r="A389" s="13" t="str">
        <f>IF(AND($E389="",MAX($A$8:$A388)=0),"",IF(AND($E389&lt;&gt;"",MAX($A$8:$A388)=0),1,IF(AND($E389&lt;&gt;"",MAX($A$8:$A388)&gt;0),MAX($A$8:$A388)+1,"")))</f>
        <v/>
      </c>
      <c r="B389" s="11">
        <v>382</v>
      </c>
      <c r="C389" s="19" t="str">
        <f t="shared" si="15"/>
        <v>EMPTY</v>
      </c>
      <c r="D389" s="3" t="str">
        <f t="shared" si="16"/>
        <v/>
      </c>
      <c r="E389" s="7"/>
      <c r="F389" s="8" t="str">
        <f t="shared" si="17"/>
        <v/>
      </c>
    </row>
    <row r="390" spans="1:6" x14ac:dyDescent="0.25">
      <c r="A390" s="13" t="str">
        <f>IF(AND($E390="",MAX($A$8:$A389)=0),"",IF(AND($E390&lt;&gt;"",MAX($A$8:$A389)=0),1,IF(AND($E390&lt;&gt;"",MAX($A$8:$A389)&gt;0),MAX($A$8:$A389)+1,"")))</f>
        <v/>
      </c>
      <c r="B390" s="11">
        <v>383</v>
      </c>
      <c r="C390" s="19" t="str">
        <f t="shared" si="15"/>
        <v>EMPTY</v>
      </c>
      <c r="D390" s="3" t="str">
        <f t="shared" si="16"/>
        <v/>
      </c>
      <c r="E390" s="7"/>
      <c r="F390" s="8" t="str">
        <f t="shared" si="17"/>
        <v/>
      </c>
    </row>
    <row r="391" spans="1:6" x14ac:dyDescent="0.25">
      <c r="A391" s="13" t="str">
        <f>IF(AND($E391="",MAX($A$8:$A390)=0),"",IF(AND($E391&lt;&gt;"",MAX($A$8:$A390)=0),1,IF(AND($E391&lt;&gt;"",MAX($A$8:$A390)&gt;0),MAX($A$8:$A390)+1,"")))</f>
        <v/>
      </c>
      <c r="B391" s="11">
        <v>384</v>
      </c>
      <c r="C391" s="19" t="str">
        <f t="shared" si="15"/>
        <v>EMPTY</v>
      </c>
      <c r="D391" s="3" t="str">
        <f t="shared" si="16"/>
        <v/>
      </c>
      <c r="E391" s="7"/>
      <c r="F391" s="8" t="str">
        <f t="shared" si="17"/>
        <v/>
      </c>
    </row>
    <row r="392" spans="1:6" x14ac:dyDescent="0.25">
      <c r="A392" s="13" t="str">
        <f>IF(AND($E392="",MAX($A$8:$A391)=0),"",IF(AND($E392&lt;&gt;"",MAX($A$8:$A391)=0),1,IF(AND($E392&lt;&gt;"",MAX($A$8:$A391)&gt;0),MAX($A$8:$A391)+1,"")))</f>
        <v/>
      </c>
      <c r="B392" s="11">
        <v>385</v>
      </c>
      <c r="C392" s="19" t="str">
        <f t="shared" si="15"/>
        <v>EMPTY</v>
      </c>
      <c r="D392" s="3" t="str">
        <f t="shared" si="16"/>
        <v/>
      </c>
      <c r="E392" s="7"/>
      <c r="F392" s="8" t="str">
        <f t="shared" si="17"/>
        <v/>
      </c>
    </row>
    <row r="393" spans="1:6" x14ac:dyDescent="0.25">
      <c r="A393" s="13" t="str">
        <f>IF(AND($E393="",MAX($A$8:$A392)=0),"",IF(AND($E393&lt;&gt;"",MAX($A$8:$A392)=0),1,IF(AND($E393&lt;&gt;"",MAX($A$8:$A392)&gt;0),MAX($A$8:$A392)+1,"")))</f>
        <v/>
      </c>
      <c r="B393" s="11">
        <v>386</v>
      </c>
      <c r="C393" s="19" t="str">
        <f t="shared" ref="C393:C456" si="18">IF($E393="","EMPTY",IF(MID($E393,1,9)&lt;&gt;"Dialogue:","HIDE",IF(MID($E393,1,9)="Dialogue:","SHOW","")))</f>
        <v>EMPTY</v>
      </c>
      <c r="D393" s="3" t="str">
        <f t="shared" ref="D393:D456" si="19">IF($C393="SHOW",CONCATENATE("[",MID($E393,FIND(",",$E393,1)+3,8),"]",MID($E393,FIND("0,,",$E393,1)+3,1000)),"")</f>
        <v/>
      </c>
      <c r="E393" s="7"/>
      <c r="F393" s="8" t="str">
        <f t="shared" ref="F393:F456" si="20">$D393</f>
        <v/>
      </c>
    </row>
    <row r="394" spans="1:6" x14ac:dyDescent="0.25">
      <c r="A394" s="13" t="str">
        <f>IF(AND($E394="",MAX($A$8:$A393)=0),"",IF(AND($E394&lt;&gt;"",MAX($A$8:$A393)=0),1,IF(AND($E394&lt;&gt;"",MAX($A$8:$A393)&gt;0),MAX($A$8:$A393)+1,"")))</f>
        <v/>
      </c>
      <c r="B394" s="11">
        <v>387</v>
      </c>
      <c r="C394" s="19" t="str">
        <f t="shared" si="18"/>
        <v>EMPTY</v>
      </c>
      <c r="D394" s="3" t="str">
        <f t="shared" si="19"/>
        <v/>
      </c>
      <c r="E394" s="7"/>
      <c r="F394" s="8" t="str">
        <f t="shared" si="20"/>
        <v/>
      </c>
    </row>
    <row r="395" spans="1:6" x14ac:dyDescent="0.25">
      <c r="A395" s="13" t="str">
        <f>IF(AND($E395="",MAX($A$8:$A394)=0),"",IF(AND($E395&lt;&gt;"",MAX($A$8:$A394)=0),1,IF(AND($E395&lt;&gt;"",MAX($A$8:$A394)&gt;0),MAX($A$8:$A394)+1,"")))</f>
        <v/>
      </c>
      <c r="B395" s="11">
        <v>388</v>
      </c>
      <c r="C395" s="19" t="str">
        <f t="shared" si="18"/>
        <v>EMPTY</v>
      </c>
      <c r="D395" s="3" t="str">
        <f t="shared" si="19"/>
        <v/>
      </c>
      <c r="E395" s="7"/>
      <c r="F395" s="8" t="str">
        <f t="shared" si="20"/>
        <v/>
      </c>
    </row>
    <row r="396" spans="1:6" x14ac:dyDescent="0.25">
      <c r="A396" s="13" t="str">
        <f>IF(AND($E396="",MAX($A$8:$A395)=0),"",IF(AND($E396&lt;&gt;"",MAX($A$8:$A395)=0),1,IF(AND($E396&lt;&gt;"",MAX($A$8:$A395)&gt;0),MAX($A$8:$A395)+1,"")))</f>
        <v/>
      </c>
      <c r="B396" s="11">
        <v>389</v>
      </c>
      <c r="C396" s="19" t="str">
        <f t="shared" si="18"/>
        <v>EMPTY</v>
      </c>
      <c r="D396" s="3" t="str">
        <f t="shared" si="19"/>
        <v/>
      </c>
      <c r="E396" s="7"/>
      <c r="F396" s="8" t="str">
        <f t="shared" si="20"/>
        <v/>
      </c>
    </row>
    <row r="397" spans="1:6" x14ac:dyDescent="0.25">
      <c r="A397" s="13" t="str">
        <f>IF(AND($E397="",MAX($A$8:$A396)=0),"",IF(AND($E397&lt;&gt;"",MAX($A$8:$A396)=0),1,IF(AND($E397&lt;&gt;"",MAX($A$8:$A396)&gt;0),MAX($A$8:$A396)+1,"")))</f>
        <v/>
      </c>
      <c r="B397" s="11">
        <v>390</v>
      </c>
      <c r="C397" s="19" t="str">
        <f t="shared" si="18"/>
        <v>EMPTY</v>
      </c>
      <c r="D397" s="3" t="str">
        <f t="shared" si="19"/>
        <v/>
      </c>
      <c r="E397" s="7"/>
      <c r="F397" s="8" t="str">
        <f t="shared" si="20"/>
        <v/>
      </c>
    </row>
    <row r="398" spans="1:6" x14ac:dyDescent="0.25">
      <c r="A398" s="13" t="str">
        <f>IF(AND($E398="",MAX($A$8:$A397)=0),"",IF(AND($E398&lt;&gt;"",MAX($A$8:$A397)=0),1,IF(AND($E398&lt;&gt;"",MAX($A$8:$A397)&gt;0),MAX($A$8:$A397)+1,"")))</f>
        <v/>
      </c>
      <c r="B398" s="11">
        <v>391</v>
      </c>
      <c r="C398" s="19" t="str">
        <f t="shared" si="18"/>
        <v>EMPTY</v>
      </c>
      <c r="D398" s="3" t="str">
        <f t="shared" si="19"/>
        <v/>
      </c>
      <c r="E398" s="7"/>
      <c r="F398" s="8" t="str">
        <f t="shared" si="20"/>
        <v/>
      </c>
    </row>
    <row r="399" spans="1:6" x14ac:dyDescent="0.25">
      <c r="A399" s="13" t="str">
        <f>IF(AND($E399="",MAX($A$8:$A398)=0),"",IF(AND($E399&lt;&gt;"",MAX($A$8:$A398)=0),1,IF(AND($E399&lt;&gt;"",MAX($A$8:$A398)&gt;0),MAX($A$8:$A398)+1,"")))</f>
        <v/>
      </c>
      <c r="B399" s="11">
        <v>392</v>
      </c>
      <c r="C399" s="19" t="str">
        <f t="shared" si="18"/>
        <v>EMPTY</v>
      </c>
      <c r="D399" s="3" t="str">
        <f t="shared" si="19"/>
        <v/>
      </c>
      <c r="E399" s="7"/>
      <c r="F399" s="8" t="str">
        <f t="shared" si="20"/>
        <v/>
      </c>
    </row>
    <row r="400" spans="1:6" x14ac:dyDescent="0.25">
      <c r="A400" s="13" t="str">
        <f>IF(AND($E400="",MAX($A$8:$A399)=0),"",IF(AND($E400&lt;&gt;"",MAX($A$8:$A399)=0),1,IF(AND($E400&lt;&gt;"",MAX($A$8:$A399)&gt;0),MAX($A$8:$A399)+1,"")))</f>
        <v/>
      </c>
      <c r="B400" s="11">
        <v>393</v>
      </c>
      <c r="C400" s="19" t="str">
        <f t="shared" si="18"/>
        <v>EMPTY</v>
      </c>
      <c r="D400" s="3" t="str">
        <f t="shared" si="19"/>
        <v/>
      </c>
      <c r="E400" s="7"/>
      <c r="F400" s="8" t="str">
        <f t="shared" si="20"/>
        <v/>
      </c>
    </row>
    <row r="401" spans="1:6" x14ac:dyDescent="0.25">
      <c r="A401" s="13" t="str">
        <f>IF(AND($E401="",MAX($A$8:$A400)=0),"",IF(AND($E401&lt;&gt;"",MAX($A$8:$A400)=0),1,IF(AND($E401&lt;&gt;"",MAX($A$8:$A400)&gt;0),MAX($A$8:$A400)+1,"")))</f>
        <v/>
      </c>
      <c r="B401" s="11">
        <v>394</v>
      </c>
      <c r="C401" s="19" t="str">
        <f t="shared" si="18"/>
        <v>EMPTY</v>
      </c>
      <c r="D401" s="3" t="str">
        <f t="shared" si="19"/>
        <v/>
      </c>
      <c r="E401" s="7"/>
      <c r="F401" s="8" t="str">
        <f t="shared" si="20"/>
        <v/>
      </c>
    </row>
    <row r="402" spans="1:6" x14ac:dyDescent="0.25">
      <c r="A402" s="13" t="str">
        <f>IF(AND($E402="",MAX($A$8:$A401)=0),"",IF(AND($E402&lt;&gt;"",MAX($A$8:$A401)=0),1,IF(AND($E402&lt;&gt;"",MAX($A$8:$A401)&gt;0),MAX($A$8:$A401)+1,"")))</f>
        <v/>
      </c>
      <c r="B402" s="11">
        <v>395</v>
      </c>
      <c r="C402" s="19" t="str">
        <f t="shared" si="18"/>
        <v>EMPTY</v>
      </c>
      <c r="D402" s="3" t="str">
        <f t="shared" si="19"/>
        <v/>
      </c>
      <c r="E402" s="7"/>
      <c r="F402" s="8" t="str">
        <f t="shared" si="20"/>
        <v/>
      </c>
    </row>
    <row r="403" spans="1:6" x14ac:dyDescent="0.25">
      <c r="A403" s="13" t="str">
        <f>IF(AND($E403="",MAX($A$8:$A402)=0),"",IF(AND($E403&lt;&gt;"",MAX($A$8:$A402)=0),1,IF(AND($E403&lt;&gt;"",MAX($A$8:$A402)&gt;0),MAX($A$8:$A402)+1,"")))</f>
        <v/>
      </c>
      <c r="B403" s="11">
        <v>396</v>
      </c>
      <c r="C403" s="19" t="str">
        <f t="shared" si="18"/>
        <v>EMPTY</v>
      </c>
      <c r="D403" s="3" t="str">
        <f t="shared" si="19"/>
        <v/>
      </c>
      <c r="E403" s="7"/>
      <c r="F403" s="8" t="str">
        <f t="shared" si="20"/>
        <v/>
      </c>
    </row>
    <row r="404" spans="1:6" x14ac:dyDescent="0.25">
      <c r="A404" s="13" t="str">
        <f>IF(AND($E404="",MAX($A$8:$A403)=0),"",IF(AND($E404&lt;&gt;"",MAX($A$8:$A403)=0),1,IF(AND($E404&lt;&gt;"",MAX($A$8:$A403)&gt;0),MAX($A$8:$A403)+1,"")))</f>
        <v/>
      </c>
      <c r="B404" s="11">
        <v>397</v>
      </c>
      <c r="C404" s="19" t="str">
        <f t="shared" si="18"/>
        <v>EMPTY</v>
      </c>
      <c r="D404" s="3" t="str">
        <f t="shared" si="19"/>
        <v/>
      </c>
      <c r="E404" s="7"/>
      <c r="F404" s="8" t="str">
        <f t="shared" si="20"/>
        <v/>
      </c>
    </row>
    <row r="405" spans="1:6" x14ac:dyDescent="0.25">
      <c r="A405" s="13" t="str">
        <f>IF(AND($E405="",MAX($A$8:$A404)=0),"",IF(AND($E405&lt;&gt;"",MAX($A$8:$A404)=0),1,IF(AND($E405&lt;&gt;"",MAX($A$8:$A404)&gt;0),MAX($A$8:$A404)+1,"")))</f>
        <v/>
      </c>
      <c r="B405" s="11">
        <v>398</v>
      </c>
      <c r="C405" s="19" t="str">
        <f t="shared" si="18"/>
        <v>EMPTY</v>
      </c>
      <c r="D405" s="3" t="str">
        <f t="shared" si="19"/>
        <v/>
      </c>
      <c r="E405" s="7"/>
      <c r="F405" s="8" t="str">
        <f t="shared" si="20"/>
        <v/>
      </c>
    </row>
    <row r="406" spans="1:6" x14ac:dyDescent="0.25">
      <c r="A406" s="13" t="str">
        <f>IF(AND($E406="",MAX($A$8:$A405)=0),"",IF(AND($E406&lt;&gt;"",MAX($A$8:$A405)=0),1,IF(AND($E406&lt;&gt;"",MAX($A$8:$A405)&gt;0),MAX($A$8:$A405)+1,"")))</f>
        <v/>
      </c>
      <c r="B406" s="11">
        <v>399</v>
      </c>
      <c r="C406" s="19" t="str">
        <f t="shared" si="18"/>
        <v>EMPTY</v>
      </c>
      <c r="D406" s="3" t="str">
        <f t="shared" si="19"/>
        <v/>
      </c>
      <c r="E406" s="7"/>
      <c r="F406" s="8" t="str">
        <f t="shared" si="20"/>
        <v/>
      </c>
    </row>
    <row r="407" spans="1:6" x14ac:dyDescent="0.25">
      <c r="A407" s="13" t="str">
        <f>IF(AND($E407="",MAX($A$8:$A406)=0),"",IF(AND($E407&lt;&gt;"",MAX($A$8:$A406)=0),1,IF(AND($E407&lt;&gt;"",MAX($A$8:$A406)&gt;0),MAX($A$8:$A406)+1,"")))</f>
        <v/>
      </c>
      <c r="B407" s="11">
        <v>400</v>
      </c>
      <c r="C407" s="19" t="str">
        <f t="shared" si="18"/>
        <v>EMPTY</v>
      </c>
      <c r="D407" s="3" t="str">
        <f t="shared" si="19"/>
        <v/>
      </c>
      <c r="E407" s="7"/>
      <c r="F407" s="8" t="str">
        <f t="shared" si="20"/>
        <v/>
      </c>
    </row>
    <row r="408" spans="1:6" x14ac:dyDescent="0.25">
      <c r="A408" s="13" t="str">
        <f>IF(AND($E408="",MAX($A$8:$A407)=0),"",IF(AND($E408&lt;&gt;"",MAX($A$8:$A407)=0),1,IF(AND($E408&lt;&gt;"",MAX($A$8:$A407)&gt;0),MAX($A$8:$A407)+1,"")))</f>
        <v/>
      </c>
      <c r="B408" s="11">
        <v>401</v>
      </c>
      <c r="C408" s="19" t="str">
        <f t="shared" si="18"/>
        <v>EMPTY</v>
      </c>
      <c r="D408" s="3" t="str">
        <f t="shared" si="19"/>
        <v/>
      </c>
      <c r="E408" s="7"/>
      <c r="F408" s="8" t="str">
        <f t="shared" si="20"/>
        <v/>
      </c>
    </row>
    <row r="409" spans="1:6" x14ac:dyDescent="0.25">
      <c r="A409" s="13" t="str">
        <f>IF(AND($E409="",MAX($A$8:$A408)=0),"",IF(AND($E409&lt;&gt;"",MAX($A$8:$A408)=0),1,IF(AND($E409&lt;&gt;"",MAX($A$8:$A408)&gt;0),MAX($A$8:$A408)+1,"")))</f>
        <v/>
      </c>
      <c r="B409" s="11">
        <v>402</v>
      </c>
      <c r="C409" s="19" t="str">
        <f t="shared" si="18"/>
        <v>EMPTY</v>
      </c>
      <c r="D409" s="3" t="str">
        <f t="shared" si="19"/>
        <v/>
      </c>
      <c r="E409" s="7"/>
      <c r="F409" s="8" t="str">
        <f t="shared" si="20"/>
        <v/>
      </c>
    </row>
    <row r="410" spans="1:6" x14ac:dyDescent="0.25">
      <c r="A410" s="13" t="str">
        <f>IF(AND($E410="",MAX($A$8:$A409)=0),"",IF(AND($E410&lt;&gt;"",MAX($A$8:$A409)=0),1,IF(AND($E410&lt;&gt;"",MAX($A$8:$A409)&gt;0),MAX($A$8:$A409)+1,"")))</f>
        <v/>
      </c>
      <c r="B410" s="11">
        <v>403</v>
      </c>
      <c r="C410" s="19" t="str">
        <f t="shared" si="18"/>
        <v>EMPTY</v>
      </c>
      <c r="D410" s="3" t="str">
        <f t="shared" si="19"/>
        <v/>
      </c>
      <c r="E410" s="7"/>
      <c r="F410" s="8" t="str">
        <f t="shared" si="20"/>
        <v/>
      </c>
    </row>
    <row r="411" spans="1:6" x14ac:dyDescent="0.25">
      <c r="A411" s="13" t="str">
        <f>IF(AND($E411="",MAX($A$8:$A410)=0),"",IF(AND($E411&lt;&gt;"",MAX($A$8:$A410)=0),1,IF(AND($E411&lt;&gt;"",MAX($A$8:$A410)&gt;0),MAX($A$8:$A410)+1,"")))</f>
        <v/>
      </c>
      <c r="B411" s="11">
        <v>404</v>
      </c>
      <c r="C411" s="19" t="str">
        <f t="shared" si="18"/>
        <v>EMPTY</v>
      </c>
      <c r="D411" s="3" t="str">
        <f t="shared" si="19"/>
        <v/>
      </c>
      <c r="E411" s="7"/>
      <c r="F411" s="8" t="str">
        <f t="shared" si="20"/>
        <v/>
      </c>
    </row>
    <row r="412" spans="1:6" x14ac:dyDescent="0.25">
      <c r="A412" s="13" t="str">
        <f>IF(AND($E412="",MAX($A$8:$A411)=0),"",IF(AND($E412&lt;&gt;"",MAX($A$8:$A411)=0),1,IF(AND($E412&lt;&gt;"",MAX($A$8:$A411)&gt;0),MAX($A$8:$A411)+1,"")))</f>
        <v/>
      </c>
      <c r="B412" s="11">
        <v>405</v>
      </c>
      <c r="C412" s="19" t="str">
        <f t="shared" si="18"/>
        <v>EMPTY</v>
      </c>
      <c r="D412" s="3" t="str">
        <f t="shared" si="19"/>
        <v/>
      </c>
      <c r="E412" s="7"/>
      <c r="F412" s="8" t="str">
        <f t="shared" si="20"/>
        <v/>
      </c>
    </row>
    <row r="413" spans="1:6" x14ac:dyDescent="0.25">
      <c r="A413" s="13" t="str">
        <f>IF(AND($E413="",MAX($A$8:$A412)=0),"",IF(AND($E413&lt;&gt;"",MAX($A$8:$A412)=0),1,IF(AND($E413&lt;&gt;"",MAX($A$8:$A412)&gt;0),MAX($A$8:$A412)+1,"")))</f>
        <v/>
      </c>
      <c r="B413" s="11">
        <v>406</v>
      </c>
      <c r="C413" s="19" t="str">
        <f t="shared" si="18"/>
        <v>EMPTY</v>
      </c>
      <c r="D413" s="3" t="str">
        <f t="shared" si="19"/>
        <v/>
      </c>
      <c r="E413" s="7"/>
      <c r="F413" s="8" t="str">
        <f t="shared" si="20"/>
        <v/>
      </c>
    </row>
    <row r="414" spans="1:6" x14ac:dyDescent="0.25">
      <c r="A414" s="13" t="str">
        <f>IF(AND($E414="",MAX($A$8:$A413)=0),"",IF(AND($E414&lt;&gt;"",MAX($A$8:$A413)=0),1,IF(AND($E414&lt;&gt;"",MAX($A$8:$A413)&gt;0),MAX($A$8:$A413)+1,"")))</f>
        <v/>
      </c>
      <c r="B414" s="11">
        <v>407</v>
      </c>
      <c r="C414" s="19" t="str">
        <f t="shared" si="18"/>
        <v>EMPTY</v>
      </c>
      <c r="D414" s="3" t="str">
        <f t="shared" si="19"/>
        <v/>
      </c>
      <c r="E414" s="7"/>
      <c r="F414" s="8" t="str">
        <f t="shared" si="20"/>
        <v/>
      </c>
    </row>
    <row r="415" spans="1:6" x14ac:dyDescent="0.25">
      <c r="A415" s="13" t="str">
        <f>IF(AND($E415="",MAX($A$8:$A414)=0),"",IF(AND($E415&lt;&gt;"",MAX($A$8:$A414)=0),1,IF(AND($E415&lt;&gt;"",MAX($A$8:$A414)&gt;0),MAX($A$8:$A414)+1,"")))</f>
        <v/>
      </c>
      <c r="B415" s="11">
        <v>408</v>
      </c>
      <c r="C415" s="19" t="str">
        <f t="shared" si="18"/>
        <v>EMPTY</v>
      </c>
      <c r="D415" s="3" t="str">
        <f t="shared" si="19"/>
        <v/>
      </c>
      <c r="E415" s="7"/>
      <c r="F415" s="8" t="str">
        <f t="shared" si="20"/>
        <v/>
      </c>
    </row>
    <row r="416" spans="1:6" x14ac:dyDescent="0.25">
      <c r="A416" s="13" t="str">
        <f>IF(AND($E416="",MAX($A$8:$A415)=0),"",IF(AND($E416&lt;&gt;"",MAX($A$8:$A415)=0),1,IF(AND($E416&lt;&gt;"",MAX($A$8:$A415)&gt;0),MAX($A$8:$A415)+1,"")))</f>
        <v/>
      </c>
      <c r="B416" s="11">
        <v>409</v>
      </c>
      <c r="C416" s="19" t="str">
        <f t="shared" si="18"/>
        <v>EMPTY</v>
      </c>
      <c r="D416" s="3" t="str">
        <f t="shared" si="19"/>
        <v/>
      </c>
      <c r="E416" s="7"/>
      <c r="F416" s="8" t="str">
        <f t="shared" si="20"/>
        <v/>
      </c>
    </row>
    <row r="417" spans="1:6" x14ac:dyDescent="0.25">
      <c r="A417" s="13" t="str">
        <f>IF(AND($E417="",MAX($A$8:$A416)=0),"",IF(AND($E417&lt;&gt;"",MAX($A$8:$A416)=0),1,IF(AND($E417&lt;&gt;"",MAX($A$8:$A416)&gt;0),MAX($A$8:$A416)+1,"")))</f>
        <v/>
      </c>
      <c r="B417" s="11">
        <v>410</v>
      </c>
      <c r="C417" s="19" t="str">
        <f t="shared" si="18"/>
        <v>EMPTY</v>
      </c>
      <c r="D417" s="3" t="str">
        <f t="shared" si="19"/>
        <v/>
      </c>
      <c r="E417" s="7"/>
      <c r="F417" s="8" t="str">
        <f t="shared" si="20"/>
        <v/>
      </c>
    </row>
    <row r="418" spans="1:6" x14ac:dyDescent="0.25">
      <c r="A418" s="13" t="str">
        <f>IF(AND($E418="",MAX($A$8:$A417)=0),"",IF(AND($E418&lt;&gt;"",MAX($A$8:$A417)=0),1,IF(AND($E418&lt;&gt;"",MAX($A$8:$A417)&gt;0),MAX($A$8:$A417)+1,"")))</f>
        <v/>
      </c>
      <c r="B418" s="11">
        <v>411</v>
      </c>
      <c r="C418" s="19" t="str">
        <f t="shared" si="18"/>
        <v>EMPTY</v>
      </c>
      <c r="D418" s="3" t="str">
        <f t="shared" si="19"/>
        <v/>
      </c>
      <c r="E418" s="7"/>
      <c r="F418" s="8" t="str">
        <f t="shared" si="20"/>
        <v/>
      </c>
    </row>
    <row r="419" spans="1:6" x14ac:dyDescent="0.25">
      <c r="A419" s="13" t="str">
        <f>IF(AND($E419="",MAX($A$8:$A418)=0),"",IF(AND($E419&lt;&gt;"",MAX($A$8:$A418)=0),1,IF(AND($E419&lt;&gt;"",MAX($A$8:$A418)&gt;0),MAX($A$8:$A418)+1,"")))</f>
        <v/>
      </c>
      <c r="B419" s="11">
        <v>412</v>
      </c>
      <c r="C419" s="19" t="str">
        <f t="shared" si="18"/>
        <v>EMPTY</v>
      </c>
      <c r="D419" s="3" t="str">
        <f t="shared" si="19"/>
        <v/>
      </c>
      <c r="E419" s="7"/>
      <c r="F419" s="8" t="str">
        <f t="shared" si="20"/>
        <v/>
      </c>
    </row>
    <row r="420" spans="1:6" x14ac:dyDescent="0.25">
      <c r="A420" s="13" t="str">
        <f>IF(AND($E420="",MAX($A$8:$A419)=0),"",IF(AND($E420&lt;&gt;"",MAX($A$8:$A419)=0),1,IF(AND($E420&lt;&gt;"",MAX($A$8:$A419)&gt;0),MAX($A$8:$A419)+1,"")))</f>
        <v/>
      </c>
      <c r="B420" s="11">
        <v>413</v>
      </c>
      <c r="C420" s="19" t="str">
        <f t="shared" si="18"/>
        <v>EMPTY</v>
      </c>
      <c r="D420" s="3" t="str">
        <f t="shared" si="19"/>
        <v/>
      </c>
      <c r="E420" s="7"/>
      <c r="F420" s="8" t="str">
        <f t="shared" si="20"/>
        <v/>
      </c>
    </row>
    <row r="421" spans="1:6" x14ac:dyDescent="0.25">
      <c r="A421" s="13" t="str">
        <f>IF(AND($E421="",MAX($A$8:$A420)=0),"",IF(AND($E421&lt;&gt;"",MAX($A$8:$A420)=0),1,IF(AND($E421&lt;&gt;"",MAX($A$8:$A420)&gt;0),MAX($A$8:$A420)+1,"")))</f>
        <v/>
      </c>
      <c r="B421" s="11">
        <v>414</v>
      </c>
      <c r="C421" s="19" t="str">
        <f t="shared" si="18"/>
        <v>EMPTY</v>
      </c>
      <c r="D421" s="3" t="str">
        <f t="shared" si="19"/>
        <v/>
      </c>
      <c r="E421" s="7"/>
      <c r="F421" s="8" t="str">
        <f t="shared" si="20"/>
        <v/>
      </c>
    </row>
    <row r="422" spans="1:6" x14ac:dyDescent="0.25">
      <c r="A422" s="13" t="str">
        <f>IF(AND($E422="",MAX($A$8:$A421)=0),"",IF(AND($E422&lt;&gt;"",MAX($A$8:$A421)=0),1,IF(AND($E422&lt;&gt;"",MAX($A$8:$A421)&gt;0),MAX($A$8:$A421)+1,"")))</f>
        <v/>
      </c>
      <c r="B422" s="11">
        <v>415</v>
      </c>
      <c r="C422" s="19" t="str">
        <f t="shared" si="18"/>
        <v>EMPTY</v>
      </c>
      <c r="D422" s="3" t="str">
        <f t="shared" si="19"/>
        <v/>
      </c>
      <c r="E422" s="7"/>
      <c r="F422" s="8" t="str">
        <f t="shared" si="20"/>
        <v/>
      </c>
    </row>
    <row r="423" spans="1:6" x14ac:dyDescent="0.25">
      <c r="A423" s="13" t="str">
        <f>IF(AND($E423="",MAX($A$8:$A422)=0),"",IF(AND($E423&lt;&gt;"",MAX($A$8:$A422)=0),1,IF(AND($E423&lt;&gt;"",MAX($A$8:$A422)&gt;0),MAX($A$8:$A422)+1,"")))</f>
        <v/>
      </c>
      <c r="B423" s="11">
        <v>416</v>
      </c>
      <c r="C423" s="19" t="str">
        <f t="shared" si="18"/>
        <v>EMPTY</v>
      </c>
      <c r="D423" s="3" t="str">
        <f t="shared" si="19"/>
        <v/>
      </c>
      <c r="E423" s="7"/>
      <c r="F423" s="8" t="str">
        <f t="shared" si="20"/>
        <v/>
      </c>
    </row>
    <row r="424" spans="1:6" x14ac:dyDescent="0.25">
      <c r="A424" s="13" t="str">
        <f>IF(AND($E424="",MAX($A$8:$A423)=0),"",IF(AND($E424&lt;&gt;"",MAX($A$8:$A423)=0),1,IF(AND($E424&lt;&gt;"",MAX($A$8:$A423)&gt;0),MAX($A$8:$A423)+1,"")))</f>
        <v/>
      </c>
      <c r="B424" s="11">
        <v>417</v>
      </c>
      <c r="C424" s="19" t="str">
        <f t="shared" si="18"/>
        <v>EMPTY</v>
      </c>
      <c r="D424" s="3" t="str">
        <f t="shared" si="19"/>
        <v/>
      </c>
      <c r="E424" s="7"/>
      <c r="F424" s="8" t="str">
        <f t="shared" si="20"/>
        <v/>
      </c>
    </row>
    <row r="425" spans="1:6" x14ac:dyDescent="0.25">
      <c r="A425" s="13" t="str">
        <f>IF(AND($E425="",MAX($A$8:$A424)=0),"",IF(AND($E425&lt;&gt;"",MAX($A$8:$A424)=0),1,IF(AND($E425&lt;&gt;"",MAX($A$8:$A424)&gt;0),MAX($A$8:$A424)+1,"")))</f>
        <v/>
      </c>
      <c r="B425" s="11">
        <v>418</v>
      </c>
      <c r="C425" s="19" t="str">
        <f t="shared" si="18"/>
        <v>EMPTY</v>
      </c>
      <c r="D425" s="3" t="str">
        <f t="shared" si="19"/>
        <v/>
      </c>
      <c r="E425" s="7"/>
      <c r="F425" s="8" t="str">
        <f t="shared" si="20"/>
        <v/>
      </c>
    </row>
    <row r="426" spans="1:6" x14ac:dyDescent="0.25">
      <c r="A426" s="13" t="str">
        <f>IF(AND($E426="",MAX($A$8:$A425)=0),"",IF(AND($E426&lt;&gt;"",MAX($A$8:$A425)=0),1,IF(AND($E426&lt;&gt;"",MAX($A$8:$A425)&gt;0),MAX($A$8:$A425)+1,"")))</f>
        <v/>
      </c>
      <c r="B426" s="11">
        <v>419</v>
      </c>
      <c r="C426" s="19" t="str">
        <f t="shared" si="18"/>
        <v>EMPTY</v>
      </c>
      <c r="D426" s="3" t="str">
        <f t="shared" si="19"/>
        <v/>
      </c>
      <c r="E426" s="7"/>
      <c r="F426" s="8" t="str">
        <f t="shared" si="20"/>
        <v/>
      </c>
    </row>
    <row r="427" spans="1:6" x14ac:dyDescent="0.25">
      <c r="A427" s="13" t="str">
        <f>IF(AND($E427="",MAX($A$8:$A426)=0),"",IF(AND($E427&lt;&gt;"",MAX($A$8:$A426)=0),1,IF(AND($E427&lt;&gt;"",MAX($A$8:$A426)&gt;0),MAX($A$8:$A426)+1,"")))</f>
        <v/>
      </c>
      <c r="B427" s="11">
        <v>420</v>
      </c>
      <c r="C427" s="19" t="str">
        <f t="shared" si="18"/>
        <v>EMPTY</v>
      </c>
      <c r="D427" s="3" t="str">
        <f t="shared" si="19"/>
        <v/>
      </c>
      <c r="E427" s="7"/>
      <c r="F427" s="8" t="str">
        <f t="shared" si="20"/>
        <v/>
      </c>
    </row>
    <row r="428" spans="1:6" x14ac:dyDescent="0.25">
      <c r="A428" s="13" t="str">
        <f>IF(AND($E428="",MAX($A$8:$A427)=0),"",IF(AND($E428&lt;&gt;"",MAX($A$8:$A427)=0),1,IF(AND($E428&lt;&gt;"",MAX($A$8:$A427)&gt;0),MAX($A$8:$A427)+1,"")))</f>
        <v/>
      </c>
      <c r="B428" s="11">
        <v>421</v>
      </c>
      <c r="C428" s="19" t="str">
        <f t="shared" si="18"/>
        <v>EMPTY</v>
      </c>
      <c r="D428" s="3" t="str">
        <f t="shared" si="19"/>
        <v/>
      </c>
      <c r="E428" s="7"/>
      <c r="F428" s="8" t="str">
        <f t="shared" si="20"/>
        <v/>
      </c>
    </row>
    <row r="429" spans="1:6" x14ac:dyDescent="0.25">
      <c r="A429" s="13" t="str">
        <f>IF(AND($E429="",MAX($A$8:$A428)=0),"",IF(AND($E429&lt;&gt;"",MAX($A$8:$A428)=0),1,IF(AND($E429&lt;&gt;"",MAX($A$8:$A428)&gt;0),MAX($A$8:$A428)+1,"")))</f>
        <v/>
      </c>
      <c r="B429" s="11">
        <v>422</v>
      </c>
      <c r="C429" s="19" t="str">
        <f t="shared" si="18"/>
        <v>EMPTY</v>
      </c>
      <c r="D429" s="3" t="str">
        <f t="shared" si="19"/>
        <v/>
      </c>
      <c r="E429" s="7"/>
      <c r="F429" s="8" t="str">
        <f t="shared" si="20"/>
        <v/>
      </c>
    </row>
    <row r="430" spans="1:6" x14ac:dyDescent="0.25">
      <c r="A430" s="13" t="str">
        <f>IF(AND($E430="",MAX($A$8:$A429)=0),"",IF(AND($E430&lt;&gt;"",MAX($A$8:$A429)=0),1,IF(AND($E430&lt;&gt;"",MAX($A$8:$A429)&gt;0),MAX($A$8:$A429)+1,"")))</f>
        <v/>
      </c>
      <c r="B430" s="11">
        <v>423</v>
      </c>
      <c r="C430" s="19" t="str">
        <f t="shared" si="18"/>
        <v>EMPTY</v>
      </c>
      <c r="D430" s="3" t="str">
        <f t="shared" si="19"/>
        <v/>
      </c>
      <c r="E430" s="7"/>
      <c r="F430" s="8" t="str">
        <f t="shared" si="20"/>
        <v/>
      </c>
    </row>
    <row r="431" spans="1:6" x14ac:dyDescent="0.25">
      <c r="A431" s="13" t="str">
        <f>IF(AND($E431="",MAX($A$8:$A430)=0),"",IF(AND($E431&lt;&gt;"",MAX($A$8:$A430)=0),1,IF(AND($E431&lt;&gt;"",MAX($A$8:$A430)&gt;0),MAX($A$8:$A430)+1,"")))</f>
        <v/>
      </c>
      <c r="B431" s="11">
        <v>424</v>
      </c>
      <c r="C431" s="19" t="str">
        <f t="shared" si="18"/>
        <v>EMPTY</v>
      </c>
      <c r="D431" s="3" t="str">
        <f t="shared" si="19"/>
        <v/>
      </c>
      <c r="E431" s="7"/>
      <c r="F431" s="8" t="str">
        <f t="shared" si="20"/>
        <v/>
      </c>
    </row>
    <row r="432" spans="1:6" x14ac:dyDescent="0.25">
      <c r="A432" s="13" t="str">
        <f>IF(AND($E432="",MAX($A$8:$A431)=0),"",IF(AND($E432&lt;&gt;"",MAX($A$8:$A431)=0),1,IF(AND($E432&lt;&gt;"",MAX($A$8:$A431)&gt;0),MAX($A$8:$A431)+1,"")))</f>
        <v/>
      </c>
      <c r="B432" s="11">
        <v>425</v>
      </c>
      <c r="C432" s="19" t="str">
        <f t="shared" si="18"/>
        <v>EMPTY</v>
      </c>
      <c r="D432" s="3" t="str">
        <f t="shared" si="19"/>
        <v/>
      </c>
      <c r="E432" s="7"/>
      <c r="F432" s="8" t="str">
        <f t="shared" si="20"/>
        <v/>
      </c>
    </row>
    <row r="433" spans="1:6" x14ac:dyDescent="0.25">
      <c r="A433" s="13" t="str">
        <f>IF(AND($E433="",MAX($A$8:$A432)=0),"",IF(AND($E433&lt;&gt;"",MAX($A$8:$A432)=0),1,IF(AND($E433&lt;&gt;"",MAX($A$8:$A432)&gt;0),MAX($A$8:$A432)+1,"")))</f>
        <v/>
      </c>
      <c r="B433" s="11">
        <v>426</v>
      </c>
      <c r="C433" s="19" t="str">
        <f t="shared" si="18"/>
        <v>EMPTY</v>
      </c>
      <c r="D433" s="3" t="str">
        <f t="shared" si="19"/>
        <v/>
      </c>
      <c r="E433" s="7"/>
      <c r="F433" s="8" t="str">
        <f t="shared" si="20"/>
        <v/>
      </c>
    </row>
    <row r="434" spans="1:6" x14ac:dyDescent="0.25">
      <c r="A434" s="13" t="str">
        <f>IF(AND($E434="",MAX($A$8:$A433)=0),"",IF(AND($E434&lt;&gt;"",MAX($A$8:$A433)=0),1,IF(AND($E434&lt;&gt;"",MAX($A$8:$A433)&gt;0),MAX($A$8:$A433)+1,"")))</f>
        <v/>
      </c>
      <c r="B434" s="11">
        <v>427</v>
      </c>
      <c r="C434" s="19" t="str">
        <f t="shared" si="18"/>
        <v>EMPTY</v>
      </c>
      <c r="D434" s="3" t="str">
        <f t="shared" si="19"/>
        <v/>
      </c>
      <c r="E434" s="7"/>
      <c r="F434" s="8" t="str">
        <f t="shared" si="20"/>
        <v/>
      </c>
    </row>
    <row r="435" spans="1:6" x14ac:dyDescent="0.25">
      <c r="A435" s="13" t="str">
        <f>IF(AND($E435="",MAX($A$8:$A434)=0),"",IF(AND($E435&lt;&gt;"",MAX($A$8:$A434)=0),1,IF(AND($E435&lt;&gt;"",MAX($A$8:$A434)&gt;0),MAX($A$8:$A434)+1,"")))</f>
        <v/>
      </c>
      <c r="B435" s="11">
        <v>428</v>
      </c>
      <c r="C435" s="19" t="str">
        <f t="shared" si="18"/>
        <v>EMPTY</v>
      </c>
      <c r="D435" s="3" t="str">
        <f t="shared" si="19"/>
        <v/>
      </c>
      <c r="E435" s="7"/>
      <c r="F435" s="8" t="str">
        <f t="shared" si="20"/>
        <v/>
      </c>
    </row>
    <row r="436" spans="1:6" x14ac:dyDescent="0.25">
      <c r="A436" s="13" t="str">
        <f>IF(AND($E436="",MAX($A$8:$A435)=0),"",IF(AND($E436&lt;&gt;"",MAX($A$8:$A435)=0),1,IF(AND($E436&lt;&gt;"",MAX($A$8:$A435)&gt;0),MAX($A$8:$A435)+1,"")))</f>
        <v/>
      </c>
      <c r="B436" s="11">
        <v>429</v>
      </c>
      <c r="C436" s="19" t="str">
        <f t="shared" si="18"/>
        <v>EMPTY</v>
      </c>
      <c r="D436" s="3" t="str">
        <f t="shared" si="19"/>
        <v/>
      </c>
      <c r="E436" s="7"/>
      <c r="F436" s="8" t="str">
        <f t="shared" si="20"/>
        <v/>
      </c>
    </row>
    <row r="437" spans="1:6" x14ac:dyDescent="0.25">
      <c r="A437" s="13" t="str">
        <f>IF(AND($E437="",MAX($A$8:$A436)=0),"",IF(AND($E437&lt;&gt;"",MAX($A$8:$A436)=0),1,IF(AND($E437&lt;&gt;"",MAX($A$8:$A436)&gt;0),MAX($A$8:$A436)+1,"")))</f>
        <v/>
      </c>
      <c r="B437" s="11">
        <v>430</v>
      </c>
      <c r="C437" s="19" t="str">
        <f t="shared" si="18"/>
        <v>EMPTY</v>
      </c>
      <c r="D437" s="3" t="str">
        <f t="shared" si="19"/>
        <v/>
      </c>
      <c r="E437" s="7"/>
      <c r="F437" s="8" t="str">
        <f t="shared" si="20"/>
        <v/>
      </c>
    </row>
    <row r="438" spans="1:6" x14ac:dyDescent="0.25">
      <c r="A438" s="13" t="str">
        <f>IF(AND($E438="",MAX($A$8:$A437)=0),"",IF(AND($E438&lt;&gt;"",MAX($A$8:$A437)=0),1,IF(AND($E438&lt;&gt;"",MAX($A$8:$A437)&gt;0),MAX($A$8:$A437)+1,"")))</f>
        <v/>
      </c>
      <c r="B438" s="11">
        <v>431</v>
      </c>
      <c r="C438" s="19" t="str">
        <f t="shared" si="18"/>
        <v>EMPTY</v>
      </c>
      <c r="D438" s="3" t="str">
        <f t="shared" si="19"/>
        <v/>
      </c>
      <c r="E438" s="7"/>
      <c r="F438" s="8" t="str">
        <f t="shared" si="20"/>
        <v/>
      </c>
    </row>
    <row r="439" spans="1:6" x14ac:dyDescent="0.25">
      <c r="A439" s="13" t="str">
        <f>IF(AND($E439="",MAX($A$8:$A438)=0),"",IF(AND($E439&lt;&gt;"",MAX($A$8:$A438)=0),1,IF(AND($E439&lt;&gt;"",MAX($A$8:$A438)&gt;0),MAX($A$8:$A438)+1,"")))</f>
        <v/>
      </c>
      <c r="B439" s="11">
        <v>432</v>
      </c>
      <c r="C439" s="19" t="str">
        <f t="shared" si="18"/>
        <v>EMPTY</v>
      </c>
      <c r="D439" s="3" t="str">
        <f t="shared" si="19"/>
        <v/>
      </c>
      <c r="E439" s="7"/>
      <c r="F439" s="8" t="str">
        <f t="shared" si="20"/>
        <v/>
      </c>
    </row>
    <row r="440" spans="1:6" x14ac:dyDescent="0.25">
      <c r="A440" s="13" t="str">
        <f>IF(AND($E440="",MAX($A$8:$A439)=0),"",IF(AND($E440&lt;&gt;"",MAX($A$8:$A439)=0),1,IF(AND($E440&lt;&gt;"",MAX($A$8:$A439)&gt;0),MAX($A$8:$A439)+1,"")))</f>
        <v/>
      </c>
      <c r="B440" s="11">
        <v>433</v>
      </c>
      <c r="C440" s="19" t="str">
        <f t="shared" si="18"/>
        <v>EMPTY</v>
      </c>
      <c r="D440" s="3" t="str">
        <f t="shared" si="19"/>
        <v/>
      </c>
      <c r="E440" s="7"/>
      <c r="F440" s="8" t="str">
        <f t="shared" si="20"/>
        <v/>
      </c>
    </row>
    <row r="441" spans="1:6" x14ac:dyDescent="0.25">
      <c r="A441" s="13" t="str">
        <f>IF(AND($E441="",MAX($A$8:$A440)=0),"",IF(AND($E441&lt;&gt;"",MAX($A$8:$A440)=0),1,IF(AND($E441&lt;&gt;"",MAX($A$8:$A440)&gt;0),MAX($A$8:$A440)+1,"")))</f>
        <v/>
      </c>
      <c r="B441" s="11">
        <v>434</v>
      </c>
      <c r="C441" s="19" t="str">
        <f t="shared" si="18"/>
        <v>EMPTY</v>
      </c>
      <c r="D441" s="3" t="str">
        <f t="shared" si="19"/>
        <v/>
      </c>
      <c r="E441" s="7"/>
      <c r="F441" s="8" t="str">
        <f t="shared" si="20"/>
        <v/>
      </c>
    </row>
    <row r="442" spans="1:6" x14ac:dyDescent="0.25">
      <c r="A442" s="13" t="str">
        <f>IF(AND($E442="",MAX($A$8:$A441)=0),"",IF(AND($E442&lt;&gt;"",MAX($A$8:$A441)=0),1,IF(AND($E442&lt;&gt;"",MAX($A$8:$A441)&gt;0),MAX($A$8:$A441)+1,"")))</f>
        <v/>
      </c>
      <c r="B442" s="11">
        <v>435</v>
      </c>
      <c r="C442" s="19" t="str">
        <f t="shared" si="18"/>
        <v>EMPTY</v>
      </c>
      <c r="D442" s="3" t="str">
        <f t="shared" si="19"/>
        <v/>
      </c>
      <c r="E442" s="7"/>
      <c r="F442" s="8" t="str">
        <f t="shared" si="20"/>
        <v/>
      </c>
    </row>
    <row r="443" spans="1:6" x14ac:dyDescent="0.25">
      <c r="A443" s="13" t="str">
        <f>IF(AND($E443="",MAX($A$8:$A442)=0),"",IF(AND($E443&lt;&gt;"",MAX($A$8:$A442)=0),1,IF(AND($E443&lt;&gt;"",MAX($A$8:$A442)&gt;0),MAX($A$8:$A442)+1,"")))</f>
        <v/>
      </c>
      <c r="B443" s="11">
        <v>436</v>
      </c>
      <c r="C443" s="19" t="str">
        <f t="shared" si="18"/>
        <v>EMPTY</v>
      </c>
      <c r="D443" s="3" t="str">
        <f t="shared" si="19"/>
        <v/>
      </c>
      <c r="E443" s="7"/>
      <c r="F443" s="8" t="str">
        <f t="shared" si="20"/>
        <v/>
      </c>
    </row>
    <row r="444" spans="1:6" x14ac:dyDescent="0.25">
      <c r="A444" s="13" t="str">
        <f>IF(AND($E444="",MAX($A$8:$A443)=0),"",IF(AND($E444&lt;&gt;"",MAX($A$8:$A443)=0),1,IF(AND($E444&lt;&gt;"",MAX($A$8:$A443)&gt;0),MAX($A$8:$A443)+1,"")))</f>
        <v/>
      </c>
      <c r="B444" s="11">
        <v>437</v>
      </c>
      <c r="C444" s="19" t="str">
        <f t="shared" si="18"/>
        <v>EMPTY</v>
      </c>
      <c r="D444" s="3" t="str">
        <f t="shared" si="19"/>
        <v/>
      </c>
      <c r="E444" s="7"/>
      <c r="F444" s="8" t="str">
        <f t="shared" si="20"/>
        <v/>
      </c>
    </row>
    <row r="445" spans="1:6" x14ac:dyDescent="0.25">
      <c r="A445" s="13" t="str">
        <f>IF(AND($E445="",MAX($A$8:$A444)=0),"",IF(AND($E445&lt;&gt;"",MAX($A$8:$A444)=0),1,IF(AND($E445&lt;&gt;"",MAX($A$8:$A444)&gt;0),MAX($A$8:$A444)+1,"")))</f>
        <v/>
      </c>
      <c r="B445" s="11">
        <v>438</v>
      </c>
      <c r="C445" s="19" t="str">
        <f t="shared" si="18"/>
        <v>EMPTY</v>
      </c>
      <c r="D445" s="3" t="str">
        <f t="shared" si="19"/>
        <v/>
      </c>
      <c r="E445" s="7"/>
      <c r="F445" s="8" t="str">
        <f t="shared" si="20"/>
        <v/>
      </c>
    </row>
    <row r="446" spans="1:6" x14ac:dyDescent="0.25">
      <c r="A446" s="13" t="str">
        <f>IF(AND($E446="",MAX($A$8:$A445)=0),"",IF(AND($E446&lt;&gt;"",MAX($A$8:$A445)=0),1,IF(AND($E446&lt;&gt;"",MAX($A$8:$A445)&gt;0),MAX($A$8:$A445)+1,"")))</f>
        <v/>
      </c>
      <c r="B446" s="11">
        <v>439</v>
      </c>
      <c r="C446" s="19" t="str">
        <f t="shared" si="18"/>
        <v>EMPTY</v>
      </c>
      <c r="D446" s="3" t="str">
        <f t="shared" si="19"/>
        <v/>
      </c>
      <c r="E446" s="7"/>
      <c r="F446" s="8" t="str">
        <f t="shared" si="20"/>
        <v/>
      </c>
    </row>
    <row r="447" spans="1:6" x14ac:dyDescent="0.25">
      <c r="A447" s="13" t="str">
        <f>IF(AND($E447="",MAX($A$8:$A446)=0),"",IF(AND($E447&lt;&gt;"",MAX($A$8:$A446)=0),1,IF(AND($E447&lt;&gt;"",MAX($A$8:$A446)&gt;0),MAX($A$8:$A446)+1,"")))</f>
        <v/>
      </c>
      <c r="B447" s="11">
        <v>440</v>
      </c>
      <c r="C447" s="19" t="str">
        <f t="shared" si="18"/>
        <v>EMPTY</v>
      </c>
      <c r="D447" s="3" t="str">
        <f t="shared" si="19"/>
        <v/>
      </c>
      <c r="E447" s="7"/>
      <c r="F447" s="8" t="str">
        <f t="shared" si="20"/>
        <v/>
      </c>
    </row>
    <row r="448" spans="1:6" x14ac:dyDescent="0.25">
      <c r="A448" s="13" t="str">
        <f>IF(AND($E448="",MAX($A$8:$A447)=0),"",IF(AND($E448&lt;&gt;"",MAX($A$8:$A447)=0),1,IF(AND($E448&lt;&gt;"",MAX($A$8:$A447)&gt;0),MAX($A$8:$A447)+1,"")))</f>
        <v/>
      </c>
      <c r="B448" s="11">
        <v>441</v>
      </c>
      <c r="C448" s="19" t="str">
        <f t="shared" si="18"/>
        <v>EMPTY</v>
      </c>
      <c r="D448" s="3" t="str">
        <f t="shared" si="19"/>
        <v/>
      </c>
      <c r="E448" s="7"/>
      <c r="F448" s="8" t="str">
        <f t="shared" si="20"/>
        <v/>
      </c>
    </row>
    <row r="449" spans="1:6" x14ac:dyDescent="0.25">
      <c r="A449" s="13" t="str">
        <f>IF(AND($E449="",MAX($A$8:$A448)=0),"",IF(AND($E449&lt;&gt;"",MAX($A$8:$A448)=0),1,IF(AND($E449&lt;&gt;"",MAX($A$8:$A448)&gt;0),MAX($A$8:$A448)+1,"")))</f>
        <v/>
      </c>
      <c r="B449" s="11">
        <v>442</v>
      </c>
      <c r="C449" s="19" t="str">
        <f t="shared" si="18"/>
        <v>EMPTY</v>
      </c>
      <c r="D449" s="3" t="str">
        <f t="shared" si="19"/>
        <v/>
      </c>
      <c r="E449" s="7"/>
      <c r="F449" s="8" t="str">
        <f t="shared" si="20"/>
        <v/>
      </c>
    </row>
    <row r="450" spans="1:6" x14ac:dyDescent="0.25">
      <c r="A450" s="13" t="str">
        <f>IF(AND($E450="",MAX($A$8:$A449)=0),"",IF(AND($E450&lt;&gt;"",MAX($A$8:$A449)=0),1,IF(AND($E450&lt;&gt;"",MAX($A$8:$A449)&gt;0),MAX($A$8:$A449)+1,"")))</f>
        <v/>
      </c>
      <c r="B450" s="11">
        <v>443</v>
      </c>
      <c r="C450" s="19" t="str">
        <f t="shared" si="18"/>
        <v>EMPTY</v>
      </c>
      <c r="D450" s="3" t="str">
        <f t="shared" si="19"/>
        <v/>
      </c>
      <c r="E450" s="7"/>
      <c r="F450" s="8" t="str">
        <f t="shared" si="20"/>
        <v/>
      </c>
    </row>
    <row r="451" spans="1:6" x14ac:dyDescent="0.25">
      <c r="A451" s="13" t="str">
        <f>IF(AND($E451="",MAX($A$8:$A450)=0),"",IF(AND($E451&lt;&gt;"",MAX($A$8:$A450)=0),1,IF(AND($E451&lt;&gt;"",MAX($A$8:$A450)&gt;0),MAX($A$8:$A450)+1,"")))</f>
        <v/>
      </c>
      <c r="B451" s="11">
        <v>444</v>
      </c>
      <c r="C451" s="19" t="str">
        <f t="shared" si="18"/>
        <v>EMPTY</v>
      </c>
      <c r="D451" s="3" t="str">
        <f t="shared" si="19"/>
        <v/>
      </c>
      <c r="E451" s="7"/>
      <c r="F451" s="8" t="str">
        <f t="shared" si="20"/>
        <v/>
      </c>
    </row>
    <row r="452" spans="1:6" x14ac:dyDescent="0.25">
      <c r="A452" s="13" t="str">
        <f>IF(AND($E452="",MAX($A$8:$A451)=0),"",IF(AND($E452&lt;&gt;"",MAX($A$8:$A451)=0),1,IF(AND($E452&lt;&gt;"",MAX($A$8:$A451)&gt;0),MAX($A$8:$A451)+1,"")))</f>
        <v/>
      </c>
      <c r="B452" s="11">
        <v>445</v>
      </c>
      <c r="C452" s="19" t="str">
        <f t="shared" si="18"/>
        <v>EMPTY</v>
      </c>
      <c r="D452" s="3" t="str">
        <f t="shared" si="19"/>
        <v/>
      </c>
      <c r="E452" s="7"/>
      <c r="F452" s="8" t="str">
        <f t="shared" si="20"/>
        <v/>
      </c>
    </row>
    <row r="453" spans="1:6" x14ac:dyDescent="0.25">
      <c r="A453" s="13" t="str">
        <f>IF(AND($E453="",MAX($A$8:$A452)=0),"",IF(AND($E453&lt;&gt;"",MAX($A$8:$A452)=0),1,IF(AND($E453&lt;&gt;"",MAX($A$8:$A452)&gt;0),MAX($A$8:$A452)+1,"")))</f>
        <v/>
      </c>
      <c r="B453" s="11">
        <v>446</v>
      </c>
      <c r="C453" s="19" t="str">
        <f t="shared" si="18"/>
        <v>EMPTY</v>
      </c>
      <c r="D453" s="3" t="str">
        <f t="shared" si="19"/>
        <v/>
      </c>
      <c r="E453" s="7"/>
      <c r="F453" s="8" t="str">
        <f t="shared" si="20"/>
        <v/>
      </c>
    </row>
    <row r="454" spans="1:6" x14ac:dyDescent="0.25">
      <c r="A454" s="13" t="str">
        <f>IF(AND($E454="",MAX($A$8:$A453)=0),"",IF(AND($E454&lt;&gt;"",MAX($A$8:$A453)=0),1,IF(AND($E454&lt;&gt;"",MAX($A$8:$A453)&gt;0),MAX($A$8:$A453)+1,"")))</f>
        <v/>
      </c>
      <c r="B454" s="11">
        <v>447</v>
      </c>
      <c r="C454" s="19" t="str">
        <f t="shared" si="18"/>
        <v>EMPTY</v>
      </c>
      <c r="D454" s="3" t="str">
        <f t="shared" si="19"/>
        <v/>
      </c>
      <c r="E454" s="7"/>
      <c r="F454" s="8" t="str">
        <f t="shared" si="20"/>
        <v/>
      </c>
    </row>
    <row r="455" spans="1:6" x14ac:dyDescent="0.25">
      <c r="A455" s="13" t="str">
        <f>IF(AND($E455="",MAX($A$8:$A454)=0),"",IF(AND($E455&lt;&gt;"",MAX($A$8:$A454)=0),1,IF(AND($E455&lt;&gt;"",MAX($A$8:$A454)&gt;0),MAX($A$8:$A454)+1,"")))</f>
        <v/>
      </c>
      <c r="B455" s="11">
        <v>448</v>
      </c>
      <c r="C455" s="19" t="str">
        <f t="shared" si="18"/>
        <v>EMPTY</v>
      </c>
      <c r="D455" s="3" t="str">
        <f t="shared" si="19"/>
        <v/>
      </c>
      <c r="E455" s="7"/>
      <c r="F455" s="8" t="str">
        <f t="shared" si="20"/>
        <v/>
      </c>
    </row>
    <row r="456" spans="1:6" x14ac:dyDescent="0.25">
      <c r="A456" s="13" t="str">
        <f>IF(AND($E456="",MAX($A$8:$A455)=0),"",IF(AND($E456&lt;&gt;"",MAX($A$8:$A455)=0),1,IF(AND($E456&lt;&gt;"",MAX($A$8:$A455)&gt;0),MAX($A$8:$A455)+1,"")))</f>
        <v/>
      </c>
      <c r="B456" s="11">
        <v>449</v>
      </c>
      <c r="C456" s="19" t="str">
        <f t="shared" si="18"/>
        <v>EMPTY</v>
      </c>
      <c r="D456" s="3" t="str">
        <f t="shared" si="19"/>
        <v/>
      </c>
      <c r="E456" s="7"/>
      <c r="F456" s="8" t="str">
        <f t="shared" si="20"/>
        <v/>
      </c>
    </row>
    <row r="457" spans="1:6" x14ac:dyDescent="0.25">
      <c r="A457" s="13" t="str">
        <f>IF(AND($E457="",MAX($A$8:$A456)=0),"",IF(AND($E457&lt;&gt;"",MAX($A$8:$A456)=0),1,IF(AND($E457&lt;&gt;"",MAX($A$8:$A456)&gt;0),MAX($A$8:$A456)+1,"")))</f>
        <v/>
      </c>
      <c r="B457" s="11">
        <v>450</v>
      </c>
      <c r="C457" s="19" t="str">
        <f t="shared" ref="C457:C520" si="21">IF($E457="","EMPTY",IF(MID($E457,1,9)&lt;&gt;"Dialogue:","HIDE",IF(MID($E457,1,9)="Dialogue:","SHOW","")))</f>
        <v>EMPTY</v>
      </c>
      <c r="D457" s="3" t="str">
        <f t="shared" ref="D457:D520" si="22">IF($C457="SHOW",CONCATENATE("[",MID($E457,FIND(",",$E457,1)+3,8),"]",MID($E457,FIND("0,,",$E457,1)+3,1000)),"")</f>
        <v/>
      </c>
      <c r="E457" s="7"/>
      <c r="F457" s="8" t="str">
        <f t="shared" ref="F457:F520" si="23">$D457</f>
        <v/>
      </c>
    </row>
    <row r="458" spans="1:6" x14ac:dyDescent="0.25">
      <c r="A458" s="13" t="str">
        <f>IF(AND($E458="",MAX($A$8:$A457)=0),"",IF(AND($E458&lt;&gt;"",MAX($A$8:$A457)=0),1,IF(AND($E458&lt;&gt;"",MAX($A$8:$A457)&gt;0),MAX($A$8:$A457)+1,"")))</f>
        <v/>
      </c>
      <c r="B458" s="11">
        <v>451</v>
      </c>
      <c r="C458" s="19" t="str">
        <f t="shared" si="21"/>
        <v>EMPTY</v>
      </c>
      <c r="D458" s="3" t="str">
        <f t="shared" si="22"/>
        <v/>
      </c>
      <c r="E458" s="7"/>
      <c r="F458" s="8" t="str">
        <f t="shared" si="23"/>
        <v/>
      </c>
    </row>
    <row r="459" spans="1:6" x14ac:dyDescent="0.25">
      <c r="A459" s="13" t="str">
        <f>IF(AND($E459="",MAX($A$8:$A458)=0),"",IF(AND($E459&lt;&gt;"",MAX($A$8:$A458)=0),1,IF(AND($E459&lt;&gt;"",MAX($A$8:$A458)&gt;0),MAX($A$8:$A458)+1,"")))</f>
        <v/>
      </c>
      <c r="B459" s="11">
        <v>452</v>
      </c>
      <c r="C459" s="19" t="str">
        <f t="shared" si="21"/>
        <v>EMPTY</v>
      </c>
      <c r="D459" s="3" t="str">
        <f t="shared" si="22"/>
        <v/>
      </c>
      <c r="E459" s="7"/>
      <c r="F459" s="8" t="str">
        <f t="shared" si="23"/>
        <v/>
      </c>
    </row>
    <row r="460" spans="1:6" x14ac:dyDescent="0.25">
      <c r="A460" s="13" t="str">
        <f>IF(AND($E460="",MAX($A$8:$A459)=0),"",IF(AND($E460&lt;&gt;"",MAX($A$8:$A459)=0),1,IF(AND($E460&lt;&gt;"",MAX($A$8:$A459)&gt;0),MAX($A$8:$A459)+1,"")))</f>
        <v/>
      </c>
      <c r="B460" s="11">
        <v>453</v>
      </c>
      <c r="C460" s="19" t="str">
        <f t="shared" si="21"/>
        <v>EMPTY</v>
      </c>
      <c r="D460" s="3" t="str">
        <f t="shared" si="22"/>
        <v/>
      </c>
      <c r="E460" s="7"/>
      <c r="F460" s="8" t="str">
        <f t="shared" si="23"/>
        <v/>
      </c>
    </row>
    <row r="461" spans="1:6" x14ac:dyDescent="0.25">
      <c r="A461" s="13" t="str">
        <f>IF(AND($E461="",MAX($A$8:$A460)=0),"",IF(AND($E461&lt;&gt;"",MAX($A$8:$A460)=0),1,IF(AND($E461&lt;&gt;"",MAX($A$8:$A460)&gt;0),MAX($A$8:$A460)+1,"")))</f>
        <v/>
      </c>
      <c r="B461" s="11">
        <v>454</v>
      </c>
      <c r="C461" s="19" t="str">
        <f t="shared" si="21"/>
        <v>EMPTY</v>
      </c>
      <c r="D461" s="3" t="str">
        <f t="shared" si="22"/>
        <v/>
      </c>
      <c r="E461" s="7"/>
      <c r="F461" s="8" t="str">
        <f t="shared" si="23"/>
        <v/>
      </c>
    </row>
    <row r="462" spans="1:6" x14ac:dyDescent="0.25">
      <c r="A462" s="13" t="str">
        <f>IF(AND($E462="",MAX($A$8:$A461)=0),"",IF(AND($E462&lt;&gt;"",MAX($A$8:$A461)=0),1,IF(AND($E462&lt;&gt;"",MAX($A$8:$A461)&gt;0),MAX($A$8:$A461)+1,"")))</f>
        <v/>
      </c>
      <c r="B462" s="11">
        <v>455</v>
      </c>
      <c r="C462" s="19" t="str">
        <f t="shared" si="21"/>
        <v>EMPTY</v>
      </c>
      <c r="D462" s="3" t="str">
        <f t="shared" si="22"/>
        <v/>
      </c>
      <c r="E462" s="7"/>
      <c r="F462" s="8" t="str">
        <f t="shared" si="23"/>
        <v/>
      </c>
    </row>
    <row r="463" spans="1:6" x14ac:dyDescent="0.25">
      <c r="A463" s="13" t="str">
        <f>IF(AND($E463="",MAX($A$8:$A462)=0),"",IF(AND($E463&lt;&gt;"",MAX($A$8:$A462)=0),1,IF(AND($E463&lt;&gt;"",MAX($A$8:$A462)&gt;0),MAX($A$8:$A462)+1,"")))</f>
        <v/>
      </c>
      <c r="B463" s="11">
        <v>456</v>
      </c>
      <c r="C463" s="19" t="str">
        <f t="shared" si="21"/>
        <v>EMPTY</v>
      </c>
      <c r="D463" s="3" t="str">
        <f t="shared" si="22"/>
        <v/>
      </c>
      <c r="E463" s="7"/>
      <c r="F463" s="8" t="str">
        <f t="shared" si="23"/>
        <v/>
      </c>
    </row>
    <row r="464" spans="1:6" x14ac:dyDescent="0.25">
      <c r="A464" s="13" t="str">
        <f>IF(AND($E464="",MAX($A$8:$A463)=0),"",IF(AND($E464&lt;&gt;"",MAX($A$8:$A463)=0),1,IF(AND($E464&lt;&gt;"",MAX($A$8:$A463)&gt;0),MAX($A$8:$A463)+1,"")))</f>
        <v/>
      </c>
      <c r="B464" s="11">
        <v>457</v>
      </c>
      <c r="C464" s="19" t="str">
        <f t="shared" si="21"/>
        <v>EMPTY</v>
      </c>
      <c r="D464" s="3" t="str">
        <f t="shared" si="22"/>
        <v/>
      </c>
      <c r="E464" s="7"/>
      <c r="F464" s="8" t="str">
        <f t="shared" si="23"/>
        <v/>
      </c>
    </row>
    <row r="465" spans="1:6" x14ac:dyDescent="0.25">
      <c r="A465" s="13" t="str">
        <f>IF(AND($E465="",MAX($A$8:$A464)=0),"",IF(AND($E465&lt;&gt;"",MAX($A$8:$A464)=0),1,IF(AND($E465&lt;&gt;"",MAX($A$8:$A464)&gt;0),MAX($A$8:$A464)+1,"")))</f>
        <v/>
      </c>
      <c r="B465" s="11">
        <v>458</v>
      </c>
      <c r="C465" s="19" t="str">
        <f t="shared" si="21"/>
        <v>EMPTY</v>
      </c>
      <c r="D465" s="3" t="str">
        <f t="shared" si="22"/>
        <v/>
      </c>
      <c r="E465" s="7"/>
      <c r="F465" s="8" t="str">
        <f t="shared" si="23"/>
        <v/>
      </c>
    </row>
    <row r="466" spans="1:6" x14ac:dyDescent="0.25">
      <c r="A466" s="13" t="str">
        <f>IF(AND($E466="",MAX($A$8:$A465)=0),"",IF(AND($E466&lt;&gt;"",MAX($A$8:$A465)=0),1,IF(AND($E466&lt;&gt;"",MAX($A$8:$A465)&gt;0),MAX($A$8:$A465)+1,"")))</f>
        <v/>
      </c>
      <c r="B466" s="11">
        <v>459</v>
      </c>
      <c r="C466" s="19" t="str">
        <f t="shared" si="21"/>
        <v>EMPTY</v>
      </c>
      <c r="D466" s="3" t="str">
        <f t="shared" si="22"/>
        <v/>
      </c>
      <c r="E466" s="7"/>
      <c r="F466" s="8" t="str">
        <f t="shared" si="23"/>
        <v/>
      </c>
    </row>
    <row r="467" spans="1:6" x14ac:dyDescent="0.25">
      <c r="A467" s="13" t="str">
        <f>IF(AND($E467="",MAX($A$8:$A466)=0),"",IF(AND($E467&lt;&gt;"",MAX($A$8:$A466)=0),1,IF(AND($E467&lt;&gt;"",MAX($A$8:$A466)&gt;0),MAX($A$8:$A466)+1,"")))</f>
        <v/>
      </c>
      <c r="B467" s="11">
        <v>460</v>
      </c>
      <c r="C467" s="19" t="str">
        <f t="shared" si="21"/>
        <v>EMPTY</v>
      </c>
      <c r="D467" s="3" t="str">
        <f t="shared" si="22"/>
        <v/>
      </c>
      <c r="E467" s="7"/>
      <c r="F467" s="8" t="str">
        <f t="shared" si="23"/>
        <v/>
      </c>
    </row>
    <row r="468" spans="1:6" x14ac:dyDescent="0.25">
      <c r="A468" s="13" t="str">
        <f>IF(AND($E468="",MAX($A$8:$A467)=0),"",IF(AND($E468&lt;&gt;"",MAX($A$8:$A467)=0),1,IF(AND($E468&lt;&gt;"",MAX($A$8:$A467)&gt;0),MAX($A$8:$A467)+1,"")))</f>
        <v/>
      </c>
      <c r="B468" s="11">
        <v>461</v>
      </c>
      <c r="C468" s="19" t="str">
        <f t="shared" si="21"/>
        <v>EMPTY</v>
      </c>
      <c r="D468" s="3" t="str">
        <f t="shared" si="22"/>
        <v/>
      </c>
      <c r="E468" s="7"/>
      <c r="F468" s="8" t="str">
        <f t="shared" si="23"/>
        <v/>
      </c>
    </row>
    <row r="469" spans="1:6" x14ac:dyDescent="0.25">
      <c r="A469" s="13" t="str">
        <f>IF(AND($E469="",MAX($A$8:$A468)=0),"",IF(AND($E469&lt;&gt;"",MAX($A$8:$A468)=0),1,IF(AND($E469&lt;&gt;"",MAX($A$8:$A468)&gt;0),MAX($A$8:$A468)+1,"")))</f>
        <v/>
      </c>
      <c r="B469" s="11">
        <v>462</v>
      </c>
      <c r="C469" s="19" t="str">
        <f t="shared" si="21"/>
        <v>EMPTY</v>
      </c>
      <c r="D469" s="3" t="str">
        <f t="shared" si="22"/>
        <v/>
      </c>
      <c r="E469" s="7"/>
      <c r="F469" s="8" t="str">
        <f t="shared" si="23"/>
        <v/>
      </c>
    </row>
    <row r="470" spans="1:6" x14ac:dyDescent="0.25">
      <c r="A470" s="13" t="str">
        <f>IF(AND($E470="",MAX($A$8:$A469)=0),"",IF(AND($E470&lt;&gt;"",MAX($A$8:$A469)=0),1,IF(AND($E470&lt;&gt;"",MAX($A$8:$A469)&gt;0),MAX($A$8:$A469)+1,"")))</f>
        <v/>
      </c>
      <c r="B470" s="11">
        <v>463</v>
      </c>
      <c r="C470" s="19" t="str">
        <f t="shared" si="21"/>
        <v>EMPTY</v>
      </c>
      <c r="D470" s="3" t="str">
        <f t="shared" si="22"/>
        <v/>
      </c>
      <c r="E470" s="7"/>
      <c r="F470" s="8" t="str">
        <f t="shared" si="23"/>
        <v/>
      </c>
    </row>
    <row r="471" spans="1:6" x14ac:dyDescent="0.25">
      <c r="A471" s="13" t="str">
        <f>IF(AND($E471="",MAX($A$8:$A470)=0),"",IF(AND($E471&lt;&gt;"",MAX($A$8:$A470)=0),1,IF(AND($E471&lt;&gt;"",MAX($A$8:$A470)&gt;0),MAX($A$8:$A470)+1,"")))</f>
        <v/>
      </c>
      <c r="B471" s="11">
        <v>464</v>
      </c>
      <c r="C471" s="19" t="str">
        <f t="shared" si="21"/>
        <v>EMPTY</v>
      </c>
      <c r="D471" s="3" t="str">
        <f t="shared" si="22"/>
        <v/>
      </c>
      <c r="E471" s="7"/>
      <c r="F471" s="8" t="str">
        <f t="shared" si="23"/>
        <v/>
      </c>
    </row>
    <row r="472" spans="1:6" x14ac:dyDescent="0.25">
      <c r="A472" s="13" t="str">
        <f>IF(AND($E472="",MAX($A$8:$A471)=0),"",IF(AND($E472&lt;&gt;"",MAX($A$8:$A471)=0),1,IF(AND($E472&lt;&gt;"",MAX($A$8:$A471)&gt;0),MAX($A$8:$A471)+1,"")))</f>
        <v/>
      </c>
      <c r="B472" s="11">
        <v>465</v>
      </c>
      <c r="C472" s="19" t="str">
        <f t="shared" si="21"/>
        <v>EMPTY</v>
      </c>
      <c r="D472" s="3" t="str">
        <f t="shared" si="22"/>
        <v/>
      </c>
      <c r="E472" s="7"/>
      <c r="F472" s="8" t="str">
        <f t="shared" si="23"/>
        <v/>
      </c>
    </row>
    <row r="473" spans="1:6" x14ac:dyDescent="0.25">
      <c r="A473" s="13" t="str">
        <f>IF(AND($E473="",MAX($A$8:$A472)=0),"",IF(AND($E473&lt;&gt;"",MAX($A$8:$A472)=0),1,IF(AND($E473&lt;&gt;"",MAX($A$8:$A472)&gt;0),MAX($A$8:$A472)+1,"")))</f>
        <v/>
      </c>
      <c r="B473" s="11">
        <v>466</v>
      </c>
      <c r="C473" s="19" t="str">
        <f t="shared" si="21"/>
        <v>EMPTY</v>
      </c>
      <c r="D473" s="3" t="str">
        <f t="shared" si="22"/>
        <v/>
      </c>
      <c r="E473" s="7"/>
      <c r="F473" s="8" t="str">
        <f t="shared" si="23"/>
        <v/>
      </c>
    </row>
    <row r="474" spans="1:6" x14ac:dyDescent="0.25">
      <c r="A474" s="13" t="str">
        <f>IF(AND($E474="",MAX($A$8:$A473)=0),"",IF(AND($E474&lt;&gt;"",MAX($A$8:$A473)=0),1,IF(AND($E474&lt;&gt;"",MAX($A$8:$A473)&gt;0),MAX($A$8:$A473)+1,"")))</f>
        <v/>
      </c>
      <c r="B474" s="11">
        <v>467</v>
      </c>
      <c r="C474" s="19" t="str">
        <f t="shared" si="21"/>
        <v>EMPTY</v>
      </c>
      <c r="D474" s="3" t="str">
        <f t="shared" si="22"/>
        <v/>
      </c>
      <c r="E474" s="7"/>
      <c r="F474" s="8" t="str">
        <f t="shared" si="23"/>
        <v/>
      </c>
    </row>
    <row r="475" spans="1:6" x14ac:dyDescent="0.25">
      <c r="A475" s="13" t="str">
        <f>IF(AND($E475="",MAX($A$8:$A474)=0),"",IF(AND($E475&lt;&gt;"",MAX($A$8:$A474)=0),1,IF(AND($E475&lt;&gt;"",MAX($A$8:$A474)&gt;0),MAX($A$8:$A474)+1,"")))</f>
        <v/>
      </c>
      <c r="B475" s="11">
        <v>468</v>
      </c>
      <c r="C475" s="19" t="str">
        <f t="shared" si="21"/>
        <v>EMPTY</v>
      </c>
      <c r="D475" s="3" t="str">
        <f t="shared" si="22"/>
        <v/>
      </c>
      <c r="E475" s="7"/>
      <c r="F475" s="8" t="str">
        <f t="shared" si="23"/>
        <v/>
      </c>
    </row>
    <row r="476" spans="1:6" x14ac:dyDescent="0.25">
      <c r="A476" s="13" t="str">
        <f>IF(AND($E476="",MAX($A$8:$A475)=0),"",IF(AND($E476&lt;&gt;"",MAX($A$8:$A475)=0),1,IF(AND($E476&lt;&gt;"",MAX($A$8:$A475)&gt;0),MAX($A$8:$A475)+1,"")))</f>
        <v/>
      </c>
      <c r="B476" s="11">
        <v>469</v>
      </c>
      <c r="C476" s="19" t="str">
        <f t="shared" si="21"/>
        <v>EMPTY</v>
      </c>
      <c r="D476" s="3" t="str">
        <f t="shared" si="22"/>
        <v/>
      </c>
      <c r="E476" s="7"/>
      <c r="F476" s="8" t="str">
        <f t="shared" si="23"/>
        <v/>
      </c>
    </row>
    <row r="477" spans="1:6" x14ac:dyDescent="0.25">
      <c r="A477" s="13" t="str">
        <f>IF(AND($E477="",MAX($A$8:$A476)=0),"",IF(AND($E477&lt;&gt;"",MAX($A$8:$A476)=0),1,IF(AND($E477&lt;&gt;"",MAX($A$8:$A476)&gt;0),MAX($A$8:$A476)+1,"")))</f>
        <v/>
      </c>
      <c r="B477" s="11">
        <v>470</v>
      </c>
      <c r="C477" s="19" t="str">
        <f t="shared" si="21"/>
        <v>EMPTY</v>
      </c>
      <c r="D477" s="3" t="str">
        <f t="shared" si="22"/>
        <v/>
      </c>
      <c r="E477" s="7"/>
      <c r="F477" s="8" t="str">
        <f t="shared" si="23"/>
        <v/>
      </c>
    </row>
    <row r="478" spans="1:6" x14ac:dyDescent="0.25">
      <c r="A478" s="13" t="str">
        <f>IF(AND($E478="",MAX($A$8:$A477)=0),"",IF(AND($E478&lt;&gt;"",MAX($A$8:$A477)=0),1,IF(AND($E478&lt;&gt;"",MAX($A$8:$A477)&gt;0),MAX($A$8:$A477)+1,"")))</f>
        <v/>
      </c>
      <c r="B478" s="11">
        <v>471</v>
      </c>
      <c r="C478" s="19" t="str">
        <f t="shared" si="21"/>
        <v>EMPTY</v>
      </c>
      <c r="D478" s="3" t="str">
        <f t="shared" si="22"/>
        <v/>
      </c>
      <c r="E478" s="7"/>
      <c r="F478" s="8" t="str">
        <f t="shared" si="23"/>
        <v/>
      </c>
    </row>
    <row r="479" spans="1:6" x14ac:dyDescent="0.25">
      <c r="A479" s="13" t="str">
        <f>IF(AND($E479="",MAX($A$8:$A478)=0),"",IF(AND($E479&lt;&gt;"",MAX($A$8:$A478)=0),1,IF(AND($E479&lt;&gt;"",MAX($A$8:$A478)&gt;0),MAX($A$8:$A478)+1,"")))</f>
        <v/>
      </c>
      <c r="B479" s="11">
        <v>472</v>
      </c>
      <c r="C479" s="19" t="str">
        <f t="shared" si="21"/>
        <v>EMPTY</v>
      </c>
      <c r="D479" s="3" t="str">
        <f t="shared" si="22"/>
        <v/>
      </c>
      <c r="E479" s="7"/>
      <c r="F479" s="8" t="str">
        <f t="shared" si="23"/>
        <v/>
      </c>
    </row>
    <row r="480" spans="1:6" x14ac:dyDescent="0.25">
      <c r="A480" s="13" t="str">
        <f>IF(AND($E480="",MAX($A$8:$A479)=0),"",IF(AND($E480&lt;&gt;"",MAX($A$8:$A479)=0),1,IF(AND($E480&lt;&gt;"",MAX($A$8:$A479)&gt;0),MAX($A$8:$A479)+1,"")))</f>
        <v/>
      </c>
      <c r="B480" s="11">
        <v>473</v>
      </c>
      <c r="C480" s="19" t="str">
        <f t="shared" si="21"/>
        <v>EMPTY</v>
      </c>
      <c r="D480" s="3" t="str">
        <f t="shared" si="22"/>
        <v/>
      </c>
      <c r="E480" s="7"/>
      <c r="F480" s="8" t="str">
        <f t="shared" si="23"/>
        <v/>
      </c>
    </row>
    <row r="481" spans="1:6" x14ac:dyDescent="0.25">
      <c r="A481" s="13" t="str">
        <f>IF(AND($E481="",MAX($A$8:$A480)=0),"",IF(AND($E481&lt;&gt;"",MAX($A$8:$A480)=0),1,IF(AND($E481&lt;&gt;"",MAX($A$8:$A480)&gt;0),MAX($A$8:$A480)+1,"")))</f>
        <v/>
      </c>
      <c r="B481" s="11">
        <v>474</v>
      </c>
      <c r="C481" s="19" t="str">
        <f t="shared" si="21"/>
        <v>EMPTY</v>
      </c>
      <c r="D481" s="3" t="str">
        <f t="shared" si="22"/>
        <v/>
      </c>
      <c r="E481" s="7"/>
      <c r="F481" s="8" t="str">
        <f t="shared" si="23"/>
        <v/>
      </c>
    </row>
    <row r="482" spans="1:6" x14ac:dyDescent="0.25">
      <c r="A482" s="13" t="str">
        <f>IF(AND($E482="",MAX($A$8:$A481)=0),"",IF(AND($E482&lt;&gt;"",MAX($A$8:$A481)=0),1,IF(AND($E482&lt;&gt;"",MAX($A$8:$A481)&gt;0),MAX($A$8:$A481)+1,"")))</f>
        <v/>
      </c>
      <c r="B482" s="11">
        <v>475</v>
      </c>
      <c r="C482" s="19" t="str">
        <f t="shared" si="21"/>
        <v>EMPTY</v>
      </c>
      <c r="D482" s="3" t="str">
        <f t="shared" si="22"/>
        <v/>
      </c>
      <c r="E482" s="7"/>
      <c r="F482" s="8" t="str">
        <f t="shared" si="23"/>
        <v/>
      </c>
    </row>
    <row r="483" spans="1:6" x14ac:dyDescent="0.25">
      <c r="A483" s="13" t="str">
        <f>IF(AND($E483="",MAX($A$8:$A482)=0),"",IF(AND($E483&lt;&gt;"",MAX($A$8:$A482)=0),1,IF(AND($E483&lt;&gt;"",MAX($A$8:$A482)&gt;0),MAX($A$8:$A482)+1,"")))</f>
        <v/>
      </c>
      <c r="B483" s="11">
        <v>476</v>
      </c>
      <c r="C483" s="19" t="str">
        <f t="shared" si="21"/>
        <v>EMPTY</v>
      </c>
      <c r="D483" s="3" t="str">
        <f t="shared" si="22"/>
        <v/>
      </c>
      <c r="E483" s="7"/>
      <c r="F483" s="8" t="str">
        <f t="shared" si="23"/>
        <v/>
      </c>
    </row>
    <row r="484" spans="1:6" x14ac:dyDescent="0.25">
      <c r="A484" s="13" t="str">
        <f>IF(AND($E484="",MAX($A$8:$A483)=0),"",IF(AND($E484&lt;&gt;"",MAX($A$8:$A483)=0),1,IF(AND($E484&lt;&gt;"",MAX($A$8:$A483)&gt;0),MAX($A$8:$A483)+1,"")))</f>
        <v/>
      </c>
      <c r="B484" s="11">
        <v>477</v>
      </c>
      <c r="C484" s="19" t="str">
        <f t="shared" si="21"/>
        <v>EMPTY</v>
      </c>
      <c r="D484" s="3" t="str">
        <f t="shared" si="22"/>
        <v/>
      </c>
      <c r="E484" s="7"/>
      <c r="F484" s="8" t="str">
        <f t="shared" si="23"/>
        <v/>
      </c>
    </row>
    <row r="485" spans="1:6" x14ac:dyDescent="0.25">
      <c r="A485" s="13" t="str">
        <f>IF(AND($E485="",MAX($A$8:$A484)=0),"",IF(AND($E485&lt;&gt;"",MAX($A$8:$A484)=0),1,IF(AND($E485&lt;&gt;"",MAX($A$8:$A484)&gt;0),MAX($A$8:$A484)+1,"")))</f>
        <v/>
      </c>
      <c r="B485" s="11">
        <v>478</v>
      </c>
      <c r="C485" s="19" t="str">
        <f t="shared" si="21"/>
        <v>EMPTY</v>
      </c>
      <c r="D485" s="3" t="str">
        <f t="shared" si="22"/>
        <v/>
      </c>
      <c r="E485" s="7"/>
      <c r="F485" s="8" t="str">
        <f t="shared" si="23"/>
        <v/>
      </c>
    </row>
    <row r="486" spans="1:6" x14ac:dyDescent="0.25">
      <c r="A486" s="13" t="str">
        <f>IF(AND($E486="",MAX($A$8:$A485)=0),"",IF(AND($E486&lt;&gt;"",MAX($A$8:$A485)=0),1,IF(AND($E486&lt;&gt;"",MAX($A$8:$A485)&gt;0),MAX($A$8:$A485)+1,"")))</f>
        <v/>
      </c>
      <c r="B486" s="11">
        <v>479</v>
      </c>
      <c r="C486" s="19" t="str">
        <f t="shared" si="21"/>
        <v>EMPTY</v>
      </c>
      <c r="D486" s="3" t="str">
        <f t="shared" si="22"/>
        <v/>
      </c>
      <c r="E486" s="7"/>
      <c r="F486" s="8" t="str">
        <f t="shared" si="23"/>
        <v/>
      </c>
    </row>
    <row r="487" spans="1:6" x14ac:dyDescent="0.25">
      <c r="A487" s="13" t="str">
        <f>IF(AND($E487="",MAX($A$8:$A486)=0),"",IF(AND($E487&lt;&gt;"",MAX($A$8:$A486)=0),1,IF(AND($E487&lt;&gt;"",MAX($A$8:$A486)&gt;0),MAX($A$8:$A486)+1,"")))</f>
        <v/>
      </c>
      <c r="B487" s="11">
        <v>480</v>
      </c>
      <c r="C487" s="19" t="str">
        <f t="shared" si="21"/>
        <v>EMPTY</v>
      </c>
      <c r="D487" s="3" t="str">
        <f t="shared" si="22"/>
        <v/>
      </c>
      <c r="E487" s="7"/>
      <c r="F487" s="8" t="str">
        <f t="shared" si="23"/>
        <v/>
      </c>
    </row>
    <row r="488" spans="1:6" x14ac:dyDescent="0.25">
      <c r="A488" s="13" t="str">
        <f>IF(AND($E488="",MAX($A$8:$A487)=0),"",IF(AND($E488&lt;&gt;"",MAX($A$8:$A487)=0),1,IF(AND($E488&lt;&gt;"",MAX($A$8:$A487)&gt;0),MAX($A$8:$A487)+1,"")))</f>
        <v/>
      </c>
      <c r="B488" s="11">
        <v>481</v>
      </c>
      <c r="C488" s="19" t="str">
        <f t="shared" si="21"/>
        <v>EMPTY</v>
      </c>
      <c r="D488" s="3" t="str">
        <f t="shared" si="22"/>
        <v/>
      </c>
      <c r="E488" s="7"/>
      <c r="F488" s="8" t="str">
        <f t="shared" si="23"/>
        <v/>
      </c>
    </row>
    <row r="489" spans="1:6" x14ac:dyDescent="0.25">
      <c r="A489" s="13" t="str">
        <f>IF(AND($E489="",MAX($A$8:$A488)=0),"",IF(AND($E489&lt;&gt;"",MAX($A$8:$A488)=0),1,IF(AND($E489&lt;&gt;"",MAX($A$8:$A488)&gt;0),MAX($A$8:$A488)+1,"")))</f>
        <v/>
      </c>
      <c r="B489" s="11">
        <v>482</v>
      </c>
      <c r="C489" s="19" t="str">
        <f t="shared" si="21"/>
        <v>EMPTY</v>
      </c>
      <c r="D489" s="3" t="str">
        <f t="shared" si="22"/>
        <v/>
      </c>
      <c r="E489" s="7"/>
      <c r="F489" s="8" t="str">
        <f t="shared" si="23"/>
        <v/>
      </c>
    </row>
    <row r="490" spans="1:6" x14ac:dyDescent="0.25">
      <c r="A490" s="13" t="str">
        <f>IF(AND($E490="",MAX($A$8:$A489)=0),"",IF(AND($E490&lt;&gt;"",MAX($A$8:$A489)=0),1,IF(AND($E490&lt;&gt;"",MAX($A$8:$A489)&gt;0),MAX($A$8:$A489)+1,"")))</f>
        <v/>
      </c>
      <c r="B490" s="11">
        <v>483</v>
      </c>
      <c r="C490" s="19" t="str">
        <f t="shared" si="21"/>
        <v>EMPTY</v>
      </c>
      <c r="D490" s="3" t="str">
        <f t="shared" si="22"/>
        <v/>
      </c>
      <c r="E490" s="7"/>
      <c r="F490" s="8" t="str">
        <f t="shared" si="23"/>
        <v/>
      </c>
    </row>
    <row r="491" spans="1:6" x14ac:dyDescent="0.25">
      <c r="A491" s="13" t="str">
        <f>IF(AND($E491="",MAX($A$8:$A490)=0),"",IF(AND($E491&lt;&gt;"",MAX($A$8:$A490)=0),1,IF(AND($E491&lt;&gt;"",MAX($A$8:$A490)&gt;0),MAX($A$8:$A490)+1,"")))</f>
        <v/>
      </c>
      <c r="B491" s="11">
        <v>484</v>
      </c>
      <c r="C491" s="19" t="str">
        <f t="shared" si="21"/>
        <v>EMPTY</v>
      </c>
      <c r="D491" s="3" t="str">
        <f t="shared" si="22"/>
        <v/>
      </c>
      <c r="E491" s="7"/>
      <c r="F491" s="8" t="str">
        <f t="shared" si="23"/>
        <v/>
      </c>
    </row>
    <row r="492" spans="1:6" x14ac:dyDescent="0.25">
      <c r="A492" s="13" t="str">
        <f>IF(AND($E492="",MAX($A$8:$A491)=0),"",IF(AND($E492&lt;&gt;"",MAX($A$8:$A491)=0),1,IF(AND($E492&lt;&gt;"",MAX($A$8:$A491)&gt;0),MAX($A$8:$A491)+1,"")))</f>
        <v/>
      </c>
      <c r="B492" s="11">
        <v>485</v>
      </c>
      <c r="C492" s="19" t="str">
        <f t="shared" si="21"/>
        <v>EMPTY</v>
      </c>
      <c r="D492" s="3" t="str">
        <f t="shared" si="22"/>
        <v/>
      </c>
      <c r="E492" s="7"/>
      <c r="F492" s="8" t="str">
        <f t="shared" si="23"/>
        <v/>
      </c>
    </row>
    <row r="493" spans="1:6" x14ac:dyDescent="0.25">
      <c r="A493" s="13" t="str">
        <f>IF(AND($E493="",MAX($A$8:$A492)=0),"",IF(AND($E493&lt;&gt;"",MAX($A$8:$A492)=0),1,IF(AND($E493&lt;&gt;"",MAX($A$8:$A492)&gt;0),MAX($A$8:$A492)+1,"")))</f>
        <v/>
      </c>
      <c r="B493" s="11">
        <v>486</v>
      </c>
      <c r="C493" s="19" t="str">
        <f t="shared" si="21"/>
        <v>EMPTY</v>
      </c>
      <c r="D493" s="3" t="str">
        <f t="shared" si="22"/>
        <v/>
      </c>
      <c r="E493" s="7"/>
      <c r="F493" s="8" t="str">
        <f t="shared" si="23"/>
        <v/>
      </c>
    </row>
    <row r="494" spans="1:6" x14ac:dyDescent="0.25">
      <c r="A494" s="13" t="str">
        <f>IF(AND($E494="",MAX($A$8:$A493)=0),"",IF(AND($E494&lt;&gt;"",MAX($A$8:$A493)=0),1,IF(AND($E494&lt;&gt;"",MAX($A$8:$A493)&gt;0),MAX($A$8:$A493)+1,"")))</f>
        <v/>
      </c>
      <c r="B494" s="11">
        <v>487</v>
      </c>
      <c r="C494" s="19" t="str">
        <f t="shared" si="21"/>
        <v>EMPTY</v>
      </c>
      <c r="D494" s="3" t="str">
        <f t="shared" si="22"/>
        <v/>
      </c>
      <c r="E494" s="7"/>
      <c r="F494" s="8" t="str">
        <f t="shared" si="23"/>
        <v/>
      </c>
    </row>
    <row r="495" spans="1:6" x14ac:dyDescent="0.25">
      <c r="A495" s="13" t="str">
        <f>IF(AND($E495="",MAX($A$8:$A494)=0),"",IF(AND($E495&lt;&gt;"",MAX($A$8:$A494)=0),1,IF(AND($E495&lt;&gt;"",MAX($A$8:$A494)&gt;0),MAX($A$8:$A494)+1,"")))</f>
        <v/>
      </c>
      <c r="B495" s="11">
        <v>488</v>
      </c>
      <c r="C495" s="19" t="str">
        <f t="shared" si="21"/>
        <v>EMPTY</v>
      </c>
      <c r="D495" s="3" t="str">
        <f t="shared" si="22"/>
        <v/>
      </c>
      <c r="E495" s="7"/>
      <c r="F495" s="8" t="str">
        <f t="shared" si="23"/>
        <v/>
      </c>
    </row>
    <row r="496" spans="1:6" x14ac:dyDescent="0.25">
      <c r="A496" s="13" t="str">
        <f>IF(AND($E496="",MAX($A$8:$A495)=0),"",IF(AND($E496&lt;&gt;"",MAX($A$8:$A495)=0),1,IF(AND($E496&lt;&gt;"",MAX($A$8:$A495)&gt;0),MAX($A$8:$A495)+1,"")))</f>
        <v/>
      </c>
      <c r="B496" s="11">
        <v>489</v>
      </c>
      <c r="C496" s="19" t="str">
        <f t="shared" si="21"/>
        <v>EMPTY</v>
      </c>
      <c r="D496" s="3" t="str">
        <f t="shared" si="22"/>
        <v/>
      </c>
      <c r="E496" s="7"/>
      <c r="F496" s="8" t="str">
        <f t="shared" si="23"/>
        <v/>
      </c>
    </row>
    <row r="497" spans="1:6" x14ac:dyDescent="0.25">
      <c r="A497" s="13" t="str">
        <f>IF(AND($E497="",MAX($A$8:$A496)=0),"",IF(AND($E497&lt;&gt;"",MAX($A$8:$A496)=0),1,IF(AND($E497&lt;&gt;"",MAX($A$8:$A496)&gt;0),MAX($A$8:$A496)+1,"")))</f>
        <v/>
      </c>
      <c r="B497" s="11">
        <v>490</v>
      </c>
      <c r="C497" s="19" t="str">
        <f t="shared" si="21"/>
        <v>EMPTY</v>
      </c>
      <c r="D497" s="3" t="str">
        <f t="shared" si="22"/>
        <v/>
      </c>
      <c r="E497" s="7"/>
      <c r="F497" s="8" t="str">
        <f t="shared" si="23"/>
        <v/>
      </c>
    </row>
    <row r="498" spans="1:6" x14ac:dyDescent="0.25">
      <c r="A498" s="13" t="str">
        <f>IF(AND($E498="",MAX($A$8:$A497)=0),"",IF(AND($E498&lt;&gt;"",MAX($A$8:$A497)=0),1,IF(AND($E498&lt;&gt;"",MAX($A$8:$A497)&gt;0),MAX($A$8:$A497)+1,"")))</f>
        <v/>
      </c>
      <c r="B498" s="11">
        <v>491</v>
      </c>
      <c r="C498" s="19" t="str">
        <f t="shared" si="21"/>
        <v>EMPTY</v>
      </c>
      <c r="D498" s="3" t="str">
        <f t="shared" si="22"/>
        <v/>
      </c>
      <c r="E498" s="7"/>
      <c r="F498" s="8" t="str">
        <f t="shared" si="23"/>
        <v/>
      </c>
    </row>
    <row r="499" spans="1:6" x14ac:dyDescent="0.25">
      <c r="A499" s="13" t="str">
        <f>IF(AND($E499="",MAX($A$8:$A498)=0),"",IF(AND($E499&lt;&gt;"",MAX($A$8:$A498)=0),1,IF(AND($E499&lt;&gt;"",MAX($A$8:$A498)&gt;0),MAX($A$8:$A498)+1,"")))</f>
        <v/>
      </c>
      <c r="B499" s="11">
        <v>492</v>
      </c>
      <c r="C499" s="19" t="str">
        <f t="shared" si="21"/>
        <v>EMPTY</v>
      </c>
      <c r="D499" s="3" t="str">
        <f t="shared" si="22"/>
        <v/>
      </c>
      <c r="E499" s="7"/>
      <c r="F499" s="8" t="str">
        <f t="shared" si="23"/>
        <v/>
      </c>
    </row>
    <row r="500" spans="1:6" x14ac:dyDescent="0.25">
      <c r="A500" s="13" t="str">
        <f>IF(AND($E500="",MAX($A$8:$A499)=0),"",IF(AND($E500&lt;&gt;"",MAX($A$8:$A499)=0),1,IF(AND($E500&lt;&gt;"",MAX($A$8:$A499)&gt;0),MAX($A$8:$A499)+1,"")))</f>
        <v/>
      </c>
      <c r="B500" s="11">
        <v>493</v>
      </c>
      <c r="C500" s="19" t="str">
        <f t="shared" si="21"/>
        <v>EMPTY</v>
      </c>
      <c r="D500" s="3" t="str">
        <f t="shared" si="22"/>
        <v/>
      </c>
      <c r="E500" s="7"/>
      <c r="F500" s="8" t="str">
        <f t="shared" si="23"/>
        <v/>
      </c>
    </row>
    <row r="501" spans="1:6" x14ac:dyDescent="0.25">
      <c r="A501" s="13" t="str">
        <f>IF(AND($E501="",MAX($A$8:$A500)=0),"",IF(AND($E501&lt;&gt;"",MAX($A$8:$A500)=0),1,IF(AND($E501&lt;&gt;"",MAX($A$8:$A500)&gt;0),MAX($A$8:$A500)+1,"")))</f>
        <v/>
      </c>
      <c r="B501" s="11">
        <v>494</v>
      </c>
      <c r="C501" s="19" t="str">
        <f t="shared" si="21"/>
        <v>EMPTY</v>
      </c>
      <c r="D501" s="3" t="str">
        <f t="shared" si="22"/>
        <v/>
      </c>
      <c r="E501" s="7"/>
      <c r="F501" s="8" t="str">
        <f t="shared" si="23"/>
        <v/>
      </c>
    </row>
    <row r="502" spans="1:6" x14ac:dyDescent="0.25">
      <c r="A502" s="13" t="str">
        <f>IF(AND($E502="",MAX($A$8:$A501)=0),"",IF(AND($E502&lt;&gt;"",MAX($A$8:$A501)=0),1,IF(AND($E502&lt;&gt;"",MAX($A$8:$A501)&gt;0),MAX($A$8:$A501)+1,"")))</f>
        <v/>
      </c>
      <c r="B502" s="11">
        <v>495</v>
      </c>
      <c r="C502" s="19" t="str">
        <f t="shared" si="21"/>
        <v>EMPTY</v>
      </c>
      <c r="D502" s="3" t="str">
        <f t="shared" si="22"/>
        <v/>
      </c>
      <c r="E502" s="7"/>
      <c r="F502" s="8" t="str">
        <f t="shared" si="23"/>
        <v/>
      </c>
    </row>
    <row r="503" spans="1:6" x14ac:dyDescent="0.25">
      <c r="A503" s="13" t="str">
        <f>IF(AND($E503="",MAX($A$8:$A502)=0),"",IF(AND($E503&lt;&gt;"",MAX($A$8:$A502)=0),1,IF(AND($E503&lt;&gt;"",MAX($A$8:$A502)&gt;0),MAX($A$8:$A502)+1,"")))</f>
        <v/>
      </c>
      <c r="B503" s="11">
        <v>496</v>
      </c>
      <c r="C503" s="19" t="str">
        <f t="shared" si="21"/>
        <v>EMPTY</v>
      </c>
      <c r="D503" s="3" t="str">
        <f t="shared" si="22"/>
        <v/>
      </c>
      <c r="E503" s="7"/>
      <c r="F503" s="8" t="str">
        <f t="shared" si="23"/>
        <v/>
      </c>
    </row>
    <row r="504" spans="1:6" x14ac:dyDescent="0.25">
      <c r="A504" s="13" t="str">
        <f>IF(AND($E504="",MAX($A$8:$A503)=0),"",IF(AND($E504&lt;&gt;"",MAX($A$8:$A503)=0),1,IF(AND($E504&lt;&gt;"",MAX($A$8:$A503)&gt;0),MAX($A$8:$A503)+1,"")))</f>
        <v/>
      </c>
      <c r="B504" s="11">
        <v>497</v>
      </c>
      <c r="C504" s="19" t="str">
        <f t="shared" si="21"/>
        <v>EMPTY</v>
      </c>
      <c r="D504" s="3" t="str">
        <f t="shared" si="22"/>
        <v/>
      </c>
      <c r="E504" s="7"/>
      <c r="F504" s="8" t="str">
        <f t="shared" si="23"/>
        <v/>
      </c>
    </row>
    <row r="505" spans="1:6" x14ac:dyDescent="0.25">
      <c r="A505" s="13" t="str">
        <f>IF(AND($E505="",MAX($A$8:$A504)=0),"",IF(AND($E505&lt;&gt;"",MAX($A$8:$A504)=0),1,IF(AND($E505&lt;&gt;"",MAX($A$8:$A504)&gt;0),MAX($A$8:$A504)+1,"")))</f>
        <v/>
      </c>
      <c r="B505" s="11">
        <v>498</v>
      </c>
      <c r="C505" s="19" t="str">
        <f t="shared" si="21"/>
        <v>EMPTY</v>
      </c>
      <c r="D505" s="3" t="str">
        <f t="shared" si="22"/>
        <v/>
      </c>
      <c r="E505" s="7"/>
      <c r="F505" s="8" t="str">
        <f t="shared" si="23"/>
        <v/>
      </c>
    </row>
    <row r="506" spans="1:6" x14ac:dyDescent="0.25">
      <c r="A506" s="13" t="str">
        <f>IF(AND($E506="",MAX($A$8:$A505)=0),"",IF(AND($E506&lt;&gt;"",MAX($A$8:$A505)=0),1,IF(AND($E506&lt;&gt;"",MAX($A$8:$A505)&gt;0),MAX($A$8:$A505)+1,"")))</f>
        <v/>
      </c>
      <c r="B506" s="11">
        <v>499</v>
      </c>
      <c r="C506" s="19" t="str">
        <f t="shared" si="21"/>
        <v>EMPTY</v>
      </c>
      <c r="D506" s="3" t="str">
        <f t="shared" si="22"/>
        <v/>
      </c>
      <c r="E506" s="7"/>
      <c r="F506" s="8" t="str">
        <f t="shared" si="23"/>
        <v/>
      </c>
    </row>
    <row r="507" spans="1:6" x14ac:dyDescent="0.25">
      <c r="A507" s="13" t="str">
        <f>IF(AND($E507="",MAX($A$8:$A506)=0),"",IF(AND($E507&lt;&gt;"",MAX($A$8:$A506)=0),1,IF(AND($E507&lt;&gt;"",MAX($A$8:$A506)&gt;0),MAX($A$8:$A506)+1,"")))</f>
        <v/>
      </c>
      <c r="B507" s="11">
        <v>500</v>
      </c>
      <c r="C507" s="19" t="str">
        <f t="shared" si="21"/>
        <v>EMPTY</v>
      </c>
      <c r="D507" s="3" t="str">
        <f t="shared" si="22"/>
        <v/>
      </c>
      <c r="E507" s="7"/>
      <c r="F507" s="8" t="str">
        <f t="shared" si="23"/>
        <v/>
      </c>
    </row>
    <row r="508" spans="1:6" x14ac:dyDescent="0.25">
      <c r="A508" s="13" t="str">
        <f>IF(AND($E508="",MAX($A$8:$A507)=0),"",IF(AND($E508&lt;&gt;"",MAX($A$8:$A507)=0),1,IF(AND($E508&lt;&gt;"",MAX($A$8:$A507)&gt;0),MAX($A$8:$A507)+1,"")))</f>
        <v/>
      </c>
      <c r="B508" s="11">
        <v>501</v>
      </c>
      <c r="C508" s="19" t="str">
        <f t="shared" si="21"/>
        <v>EMPTY</v>
      </c>
      <c r="D508" s="3" t="str">
        <f t="shared" si="22"/>
        <v/>
      </c>
      <c r="E508" s="7"/>
      <c r="F508" s="8" t="str">
        <f t="shared" si="23"/>
        <v/>
      </c>
    </row>
    <row r="509" spans="1:6" x14ac:dyDescent="0.25">
      <c r="A509" s="13" t="str">
        <f>IF(AND($E509="",MAX($A$8:$A508)=0),"",IF(AND($E509&lt;&gt;"",MAX($A$8:$A508)=0),1,IF(AND($E509&lt;&gt;"",MAX($A$8:$A508)&gt;0),MAX($A$8:$A508)+1,"")))</f>
        <v/>
      </c>
      <c r="B509" s="11">
        <v>502</v>
      </c>
      <c r="C509" s="19" t="str">
        <f t="shared" si="21"/>
        <v>EMPTY</v>
      </c>
      <c r="D509" s="3" t="str">
        <f t="shared" si="22"/>
        <v/>
      </c>
      <c r="E509" s="7"/>
      <c r="F509" s="8" t="str">
        <f t="shared" si="23"/>
        <v/>
      </c>
    </row>
    <row r="510" spans="1:6" x14ac:dyDescent="0.25">
      <c r="A510" s="13" t="str">
        <f>IF(AND($E510="",MAX($A$8:$A509)=0),"",IF(AND($E510&lt;&gt;"",MAX($A$8:$A509)=0),1,IF(AND($E510&lt;&gt;"",MAX($A$8:$A509)&gt;0),MAX($A$8:$A509)+1,"")))</f>
        <v/>
      </c>
      <c r="B510" s="11">
        <v>503</v>
      </c>
      <c r="C510" s="19" t="str">
        <f t="shared" si="21"/>
        <v>EMPTY</v>
      </c>
      <c r="D510" s="3" t="str">
        <f t="shared" si="22"/>
        <v/>
      </c>
      <c r="E510" s="7"/>
      <c r="F510" s="8" t="str">
        <f t="shared" si="23"/>
        <v/>
      </c>
    </row>
    <row r="511" spans="1:6" x14ac:dyDescent="0.25">
      <c r="A511" s="13" t="str">
        <f>IF(AND($E511="",MAX($A$8:$A510)=0),"",IF(AND($E511&lt;&gt;"",MAX($A$8:$A510)=0),1,IF(AND($E511&lt;&gt;"",MAX($A$8:$A510)&gt;0),MAX($A$8:$A510)+1,"")))</f>
        <v/>
      </c>
      <c r="B511" s="11">
        <v>504</v>
      </c>
      <c r="C511" s="19" t="str">
        <f t="shared" si="21"/>
        <v>EMPTY</v>
      </c>
      <c r="D511" s="3" t="str">
        <f t="shared" si="22"/>
        <v/>
      </c>
      <c r="E511" s="7"/>
      <c r="F511" s="8" t="str">
        <f t="shared" si="23"/>
        <v/>
      </c>
    </row>
    <row r="512" spans="1:6" x14ac:dyDescent="0.25">
      <c r="A512" s="13" t="str">
        <f>IF(AND($E512="",MAX($A$8:$A511)=0),"",IF(AND($E512&lt;&gt;"",MAX($A$8:$A511)=0),1,IF(AND($E512&lt;&gt;"",MAX($A$8:$A511)&gt;0),MAX($A$8:$A511)+1,"")))</f>
        <v/>
      </c>
      <c r="B512" s="11">
        <v>505</v>
      </c>
      <c r="C512" s="19" t="str">
        <f t="shared" si="21"/>
        <v>EMPTY</v>
      </c>
      <c r="D512" s="3" t="str">
        <f t="shared" si="22"/>
        <v/>
      </c>
      <c r="E512" s="7"/>
      <c r="F512" s="8" t="str">
        <f t="shared" si="23"/>
        <v/>
      </c>
    </row>
    <row r="513" spans="1:6" x14ac:dyDescent="0.25">
      <c r="A513" s="13" t="str">
        <f>IF(AND($E513="",MAX($A$8:$A512)=0),"",IF(AND($E513&lt;&gt;"",MAX($A$8:$A512)=0),1,IF(AND($E513&lt;&gt;"",MAX($A$8:$A512)&gt;0),MAX($A$8:$A512)+1,"")))</f>
        <v/>
      </c>
      <c r="B513" s="11">
        <v>506</v>
      </c>
      <c r="C513" s="19" t="str">
        <f t="shared" si="21"/>
        <v>EMPTY</v>
      </c>
      <c r="D513" s="3" t="str">
        <f t="shared" si="22"/>
        <v/>
      </c>
      <c r="E513" s="7"/>
      <c r="F513" s="8" t="str">
        <f t="shared" si="23"/>
        <v/>
      </c>
    </row>
    <row r="514" spans="1:6" x14ac:dyDescent="0.25">
      <c r="A514" s="13" t="str">
        <f>IF(AND($E514="",MAX($A$8:$A513)=0),"",IF(AND($E514&lt;&gt;"",MAX($A$8:$A513)=0),1,IF(AND($E514&lt;&gt;"",MAX($A$8:$A513)&gt;0),MAX($A$8:$A513)+1,"")))</f>
        <v/>
      </c>
      <c r="B514" s="11">
        <v>507</v>
      </c>
      <c r="C514" s="19" t="str">
        <f t="shared" si="21"/>
        <v>EMPTY</v>
      </c>
      <c r="D514" s="3" t="str">
        <f t="shared" si="22"/>
        <v/>
      </c>
      <c r="E514" s="7"/>
      <c r="F514" s="8" t="str">
        <f t="shared" si="23"/>
        <v/>
      </c>
    </row>
    <row r="515" spans="1:6" x14ac:dyDescent="0.25">
      <c r="A515" s="13" t="str">
        <f>IF(AND($E515="",MAX($A$8:$A514)=0),"",IF(AND($E515&lt;&gt;"",MAX($A$8:$A514)=0),1,IF(AND($E515&lt;&gt;"",MAX($A$8:$A514)&gt;0),MAX($A$8:$A514)+1,"")))</f>
        <v/>
      </c>
      <c r="B515" s="11">
        <v>508</v>
      </c>
      <c r="C515" s="19" t="str">
        <f t="shared" si="21"/>
        <v>EMPTY</v>
      </c>
      <c r="D515" s="3" t="str">
        <f t="shared" si="22"/>
        <v/>
      </c>
      <c r="E515" s="7"/>
      <c r="F515" s="8" t="str">
        <f t="shared" si="23"/>
        <v/>
      </c>
    </row>
    <row r="516" spans="1:6" x14ac:dyDescent="0.25">
      <c r="A516" s="13" t="str">
        <f>IF(AND($E516="",MAX($A$8:$A515)=0),"",IF(AND($E516&lt;&gt;"",MAX($A$8:$A515)=0),1,IF(AND($E516&lt;&gt;"",MAX($A$8:$A515)&gt;0),MAX($A$8:$A515)+1,"")))</f>
        <v/>
      </c>
      <c r="B516" s="11">
        <v>509</v>
      </c>
      <c r="C516" s="19" t="str">
        <f t="shared" si="21"/>
        <v>EMPTY</v>
      </c>
      <c r="D516" s="3" t="str">
        <f t="shared" si="22"/>
        <v/>
      </c>
      <c r="E516" s="7"/>
      <c r="F516" s="8" t="str">
        <f t="shared" si="23"/>
        <v/>
      </c>
    </row>
    <row r="517" spans="1:6" x14ac:dyDescent="0.25">
      <c r="A517" s="13" t="str">
        <f>IF(AND($E517="",MAX($A$8:$A516)=0),"",IF(AND($E517&lt;&gt;"",MAX($A$8:$A516)=0),1,IF(AND($E517&lt;&gt;"",MAX($A$8:$A516)&gt;0),MAX($A$8:$A516)+1,"")))</f>
        <v/>
      </c>
      <c r="B517" s="11">
        <v>510</v>
      </c>
      <c r="C517" s="19" t="str">
        <f t="shared" si="21"/>
        <v>EMPTY</v>
      </c>
      <c r="D517" s="3" t="str">
        <f t="shared" si="22"/>
        <v/>
      </c>
      <c r="E517" s="7"/>
      <c r="F517" s="8" t="str">
        <f t="shared" si="23"/>
        <v/>
      </c>
    </row>
    <row r="518" spans="1:6" x14ac:dyDescent="0.25">
      <c r="A518" s="13" t="str">
        <f>IF(AND($E518="",MAX($A$8:$A517)=0),"",IF(AND($E518&lt;&gt;"",MAX($A$8:$A517)=0),1,IF(AND($E518&lt;&gt;"",MAX($A$8:$A517)&gt;0),MAX($A$8:$A517)+1,"")))</f>
        <v/>
      </c>
      <c r="B518" s="11">
        <v>511</v>
      </c>
      <c r="C518" s="19" t="str">
        <f t="shared" si="21"/>
        <v>EMPTY</v>
      </c>
      <c r="D518" s="3" t="str">
        <f t="shared" si="22"/>
        <v/>
      </c>
      <c r="E518" s="7"/>
      <c r="F518" s="8" t="str">
        <f t="shared" si="23"/>
        <v/>
      </c>
    </row>
    <row r="519" spans="1:6" x14ac:dyDescent="0.25">
      <c r="A519" s="13" t="str">
        <f>IF(AND($E519="",MAX($A$8:$A518)=0),"",IF(AND($E519&lt;&gt;"",MAX($A$8:$A518)=0),1,IF(AND($E519&lt;&gt;"",MAX($A$8:$A518)&gt;0),MAX($A$8:$A518)+1,"")))</f>
        <v/>
      </c>
      <c r="B519" s="11">
        <v>512</v>
      </c>
      <c r="C519" s="19" t="str">
        <f t="shared" si="21"/>
        <v>EMPTY</v>
      </c>
      <c r="D519" s="3" t="str">
        <f t="shared" si="22"/>
        <v/>
      </c>
      <c r="E519" s="7"/>
      <c r="F519" s="8" t="str">
        <f t="shared" si="23"/>
        <v/>
      </c>
    </row>
    <row r="520" spans="1:6" x14ac:dyDescent="0.25">
      <c r="A520" s="13" t="str">
        <f>IF(AND($E520="",MAX($A$8:$A519)=0),"",IF(AND($E520&lt;&gt;"",MAX($A$8:$A519)=0),1,IF(AND($E520&lt;&gt;"",MAX($A$8:$A519)&gt;0),MAX($A$8:$A519)+1,"")))</f>
        <v/>
      </c>
      <c r="B520" s="11">
        <v>513</v>
      </c>
      <c r="C520" s="19" t="str">
        <f t="shared" si="21"/>
        <v>EMPTY</v>
      </c>
      <c r="D520" s="3" t="str">
        <f t="shared" si="22"/>
        <v/>
      </c>
      <c r="E520" s="7"/>
      <c r="F520" s="8" t="str">
        <f t="shared" si="23"/>
        <v/>
      </c>
    </row>
    <row r="521" spans="1:6" x14ac:dyDescent="0.25">
      <c r="A521" s="13" t="str">
        <f>IF(AND($E521="",MAX($A$8:$A520)=0),"",IF(AND($E521&lt;&gt;"",MAX($A$8:$A520)=0),1,IF(AND($E521&lt;&gt;"",MAX($A$8:$A520)&gt;0),MAX($A$8:$A520)+1,"")))</f>
        <v/>
      </c>
      <c r="B521" s="11">
        <v>514</v>
      </c>
      <c r="C521" s="19" t="str">
        <f t="shared" ref="C521:C584" si="24">IF($E521="","EMPTY",IF(MID($E521,1,9)&lt;&gt;"Dialogue:","HIDE",IF(MID($E521,1,9)="Dialogue:","SHOW","")))</f>
        <v>EMPTY</v>
      </c>
      <c r="D521" s="3" t="str">
        <f t="shared" ref="D521:D584" si="25">IF($C521="SHOW",CONCATENATE("[",MID($E521,FIND(",",$E521,1)+3,8),"]",MID($E521,FIND("0,,",$E521,1)+3,1000)),"")</f>
        <v/>
      </c>
      <c r="E521" s="7"/>
      <c r="F521" s="8" t="str">
        <f t="shared" ref="F521:F584" si="26">$D521</f>
        <v/>
      </c>
    </row>
    <row r="522" spans="1:6" x14ac:dyDescent="0.25">
      <c r="A522" s="13" t="str">
        <f>IF(AND($E522="",MAX($A$8:$A521)=0),"",IF(AND($E522&lt;&gt;"",MAX($A$8:$A521)=0),1,IF(AND($E522&lt;&gt;"",MAX($A$8:$A521)&gt;0),MAX($A$8:$A521)+1,"")))</f>
        <v/>
      </c>
      <c r="B522" s="11">
        <v>515</v>
      </c>
      <c r="C522" s="19" t="str">
        <f t="shared" si="24"/>
        <v>EMPTY</v>
      </c>
      <c r="D522" s="3" t="str">
        <f t="shared" si="25"/>
        <v/>
      </c>
      <c r="E522" s="7"/>
      <c r="F522" s="8" t="str">
        <f t="shared" si="26"/>
        <v/>
      </c>
    </row>
    <row r="523" spans="1:6" x14ac:dyDescent="0.25">
      <c r="A523" s="13" t="str">
        <f>IF(AND($E523="",MAX($A$8:$A522)=0),"",IF(AND($E523&lt;&gt;"",MAX($A$8:$A522)=0),1,IF(AND($E523&lt;&gt;"",MAX($A$8:$A522)&gt;0),MAX($A$8:$A522)+1,"")))</f>
        <v/>
      </c>
      <c r="B523" s="11">
        <v>516</v>
      </c>
      <c r="C523" s="19" t="str">
        <f t="shared" si="24"/>
        <v>EMPTY</v>
      </c>
      <c r="D523" s="3" t="str">
        <f t="shared" si="25"/>
        <v/>
      </c>
      <c r="E523" s="7"/>
      <c r="F523" s="8" t="str">
        <f t="shared" si="26"/>
        <v/>
      </c>
    </row>
    <row r="524" spans="1:6" x14ac:dyDescent="0.25">
      <c r="A524" s="13" t="str">
        <f>IF(AND($E524="",MAX($A$8:$A523)=0),"",IF(AND($E524&lt;&gt;"",MAX($A$8:$A523)=0),1,IF(AND($E524&lt;&gt;"",MAX($A$8:$A523)&gt;0),MAX($A$8:$A523)+1,"")))</f>
        <v/>
      </c>
      <c r="B524" s="11">
        <v>517</v>
      </c>
      <c r="C524" s="19" t="str">
        <f t="shared" si="24"/>
        <v>EMPTY</v>
      </c>
      <c r="D524" s="3" t="str">
        <f t="shared" si="25"/>
        <v/>
      </c>
      <c r="E524" s="7"/>
      <c r="F524" s="8" t="str">
        <f t="shared" si="26"/>
        <v/>
      </c>
    </row>
    <row r="525" spans="1:6" x14ac:dyDescent="0.25">
      <c r="A525" s="13" t="str">
        <f>IF(AND($E525="",MAX($A$8:$A524)=0),"",IF(AND($E525&lt;&gt;"",MAX($A$8:$A524)=0),1,IF(AND($E525&lt;&gt;"",MAX($A$8:$A524)&gt;0),MAX($A$8:$A524)+1,"")))</f>
        <v/>
      </c>
      <c r="B525" s="11">
        <v>518</v>
      </c>
      <c r="C525" s="19" t="str">
        <f t="shared" si="24"/>
        <v>EMPTY</v>
      </c>
      <c r="D525" s="3" t="str">
        <f t="shared" si="25"/>
        <v/>
      </c>
      <c r="E525" s="7"/>
      <c r="F525" s="8" t="str">
        <f t="shared" si="26"/>
        <v/>
      </c>
    </row>
    <row r="526" spans="1:6" x14ac:dyDescent="0.25">
      <c r="A526" s="13" t="str">
        <f>IF(AND($E526="",MAX($A$8:$A525)=0),"",IF(AND($E526&lt;&gt;"",MAX($A$8:$A525)=0),1,IF(AND($E526&lt;&gt;"",MAX($A$8:$A525)&gt;0),MAX($A$8:$A525)+1,"")))</f>
        <v/>
      </c>
      <c r="B526" s="11">
        <v>519</v>
      </c>
      <c r="C526" s="19" t="str">
        <f t="shared" si="24"/>
        <v>EMPTY</v>
      </c>
      <c r="D526" s="3" t="str">
        <f t="shared" si="25"/>
        <v/>
      </c>
      <c r="E526" s="7"/>
      <c r="F526" s="8" t="str">
        <f t="shared" si="26"/>
        <v/>
      </c>
    </row>
    <row r="527" spans="1:6" x14ac:dyDescent="0.25">
      <c r="A527" s="13" t="str">
        <f>IF(AND($E527="",MAX($A$8:$A526)=0),"",IF(AND($E527&lt;&gt;"",MAX($A$8:$A526)=0),1,IF(AND($E527&lt;&gt;"",MAX($A$8:$A526)&gt;0),MAX($A$8:$A526)+1,"")))</f>
        <v/>
      </c>
      <c r="B527" s="11">
        <v>520</v>
      </c>
      <c r="C527" s="19" t="str">
        <f t="shared" si="24"/>
        <v>EMPTY</v>
      </c>
      <c r="D527" s="3" t="str">
        <f t="shared" si="25"/>
        <v/>
      </c>
      <c r="E527" s="7"/>
      <c r="F527" s="8" t="str">
        <f t="shared" si="26"/>
        <v/>
      </c>
    </row>
    <row r="528" spans="1:6" x14ac:dyDescent="0.25">
      <c r="A528" s="13" t="str">
        <f>IF(AND($E528="",MAX($A$8:$A527)=0),"",IF(AND($E528&lt;&gt;"",MAX($A$8:$A527)=0),1,IF(AND($E528&lt;&gt;"",MAX($A$8:$A527)&gt;0),MAX($A$8:$A527)+1,"")))</f>
        <v/>
      </c>
      <c r="B528" s="11">
        <v>521</v>
      </c>
      <c r="C528" s="19" t="str">
        <f t="shared" si="24"/>
        <v>EMPTY</v>
      </c>
      <c r="D528" s="3" t="str">
        <f t="shared" si="25"/>
        <v/>
      </c>
      <c r="E528" s="7"/>
      <c r="F528" s="8" t="str">
        <f t="shared" si="26"/>
        <v/>
      </c>
    </row>
    <row r="529" spans="1:6" x14ac:dyDescent="0.25">
      <c r="A529" s="13" t="str">
        <f>IF(AND($E529="",MAX($A$8:$A528)=0),"",IF(AND($E529&lt;&gt;"",MAX($A$8:$A528)=0),1,IF(AND($E529&lt;&gt;"",MAX($A$8:$A528)&gt;0),MAX($A$8:$A528)+1,"")))</f>
        <v/>
      </c>
      <c r="B529" s="11">
        <v>522</v>
      </c>
      <c r="C529" s="19" t="str">
        <f t="shared" si="24"/>
        <v>EMPTY</v>
      </c>
      <c r="D529" s="3" t="str">
        <f t="shared" si="25"/>
        <v/>
      </c>
      <c r="E529" s="7"/>
      <c r="F529" s="8" t="str">
        <f t="shared" si="26"/>
        <v/>
      </c>
    </row>
    <row r="530" spans="1:6" x14ac:dyDescent="0.25">
      <c r="A530" s="13" t="str">
        <f>IF(AND($E530="",MAX($A$8:$A529)=0),"",IF(AND($E530&lt;&gt;"",MAX($A$8:$A529)=0),1,IF(AND($E530&lt;&gt;"",MAX($A$8:$A529)&gt;0),MAX($A$8:$A529)+1,"")))</f>
        <v/>
      </c>
      <c r="B530" s="11">
        <v>523</v>
      </c>
      <c r="C530" s="19" t="str">
        <f t="shared" si="24"/>
        <v>EMPTY</v>
      </c>
      <c r="D530" s="3" t="str">
        <f t="shared" si="25"/>
        <v/>
      </c>
      <c r="E530" s="7"/>
      <c r="F530" s="8" t="str">
        <f t="shared" si="26"/>
        <v/>
      </c>
    </row>
    <row r="531" spans="1:6" x14ac:dyDescent="0.25">
      <c r="A531" s="13" t="str">
        <f>IF(AND($E531="",MAX($A$8:$A530)=0),"",IF(AND($E531&lt;&gt;"",MAX($A$8:$A530)=0),1,IF(AND($E531&lt;&gt;"",MAX($A$8:$A530)&gt;0),MAX($A$8:$A530)+1,"")))</f>
        <v/>
      </c>
      <c r="B531" s="11">
        <v>524</v>
      </c>
      <c r="C531" s="19" t="str">
        <f t="shared" si="24"/>
        <v>EMPTY</v>
      </c>
      <c r="D531" s="3" t="str">
        <f t="shared" si="25"/>
        <v/>
      </c>
      <c r="E531" s="7"/>
      <c r="F531" s="8" t="str">
        <f t="shared" si="26"/>
        <v/>
      </c>
    </row>
    <row r="532" spans="1:6" x14ac:dyDescent="0.25">
      <c r="A532" s="13" t="str">
        <f>IF(AND($E532="",MAX($A$8:$A531)=0),"",IF(AND($E532&lt;&gt;"",MAX($A$8:$A531)=0),1,IF(AND($E532&lt;&gt;"",MAX($A$8:$A531)&gt;0),MAX($A$8:$A531)+1,"")))</f>
        <v/>
      </c>
      <c r="B532" s="11">
        <v>525</v>
      </c>
      <c r="C532" s="19" t="str">
        <f t="shared" si="24"/>
        <v>EMPTY</v>
      </c>
      <c r="D532" s="3" t="str">
        <f t="shared" si="25"/>
        <v/>
      </c>
      <c r="E532" s="7"/>
      <c r="F532" s="8" t="str">
        <f t="shared" si="26"/>
        <v/>
      </c>
    </row>
    <row r="533" spans="1:6" x14ac:dyDescent="0.25">
      <c r="A533" s="13" t="str">
        <f>IF(AND($E533="",MAX($A$8:$A532)=0),"",IF(AND($E533&lt;&gt;"",MAX($A$8:$A532)=0),1,IF(AND($E533&lt;&gt;"",MAX($A$8:$A532)&gt;0),MAX($A$8:$A532)+1,"")))</f>
        <v/>
      </c>
      <c r="B533" s="11">
        <v>526</v>
      </c>
      <c r="C533" s="19" t="str">
        <f t="shared" si="24"/>
        <v>EMPTY</v>
      </c>
      <c r="D533" s="3" t="str">
        <f t="shared" si="25"/>
        <v/>
      </c>
      <c r="E533" s="7"/>
      <c r="F533" s="8" t="str">
        <f t="shared" si="26"/>
        <v/>
      </c>
    </row>
    <row r="534" spans="1:6" x14ac:dyDescent="0.25">
      <c r="A534" s="13" t="str">
        <f>IF(AND($E534="",MAX($A$8:$A533)=0),"",IF(AND($E534&lt;&gt;"",MAX($A$8:$A533)=0),1,IF(AND($E534&lt;&gt;"",MAX($A$8:$A533)&gt;0),MAX($A$8:$A533)+1,"")))</f>
        <v/>
      </c>
      <c r="B534" s="11">
        <v>527</v>
      </c>
      <c r="C534" s="19" t="str">
        <f t="shared" si="24"/>
        <v>EMPTY</v>
      </c>
      <c r="D534" s="3" t="str">
        <f t="shared" si="25"/>
        <v/>
      </c>
      <c r="E534" s="7"/>
      <c r="F534" s="8" t="str">
        <f t="shared" si="26"/>
        <v/>
      </c>
    </row>
    <row r="535" spans="1:6" x14ac:dyDescent="0.25">
      <c r="A535" s="13" t="str">
        <f>IF(AND($E535="",MAX($A$8:$A534)=0),"",IF(AND($E535&lt;&gt;"",MAX($A$8:$A534)=0),1,IF(AND($E535&lt;&gt;"",MAX($A$8:$A534)&gt;0),MAX($A$8:$A534)+1,"")))</f>
        <v/>
      </c>
      <c r="B535" s="11">
        <v>528</v>
      </c>
      <c r="C535" s="19" t="str">
        <f t="shared" si="24"/>
        <v>EMPTY</v>
      </c>
      <c r="D535" s="3" t="str">
        <f t="shared" si="25"/>
        <v/>
      </c>
      <c r="E535" s="7"/>
      <c r="F535" s="8" t="str">
        <f t="shared" si="26"/>
        <v/>
      </c>
    </row>
    <row r="536" spans="1:6" x14ac:dyDescent="0.25">
      <c r="A536" s="13" t="str">
        <f>IF(AND($E536="",MAX($A$8:$A535)=0),"",IF(AND($E536&lt;&gt;"",MAX($A$8:$A535)=0),1,IF(AND($E536&lt;&gt;"",MAX($A$8:$A535)&gt;0),MAX($A$8:$A535)+1,"")))</f>
        <v/>
      </c>
      <c r="B536" s="11">
        <v>529</v>
      </c>
      <c r="C536" s="19" t="str">
        <f t="shared" si="24"/>
        <v>EMPTY</v>
      </c>
      <c r="D536" s="3" t="str">
        <f t="shared" si="25"/>
        <v/>
      </c>
      <c r="E536" s="7"/>
      <c r="F536" s="8" t="str">
        <f t="shared" si="26"/>
        <v/>
      </c>
    </row>
    <row r="537" spans="1:6" x14ac:dyDescent="0.25">
      <c r="A537" s="13" t="str">
        <f>IF(AND($E537="",MAX($A$8:$A536)=0),"",IF(AND($E537&lt;&gt;"",MAX($A$8:$A536)=0),1,IF(AND($E537&lt;&gt;"",MAX($A$8:$A536)&gt;0),MAX($A$8:$A536)+1,"")))</f>
        <v/>
      </c>
      <c r="B537" s="11">
        <v>530</v>
      </c>
      <c r="C537" s="19" t="str">
        <f t="shared" si="24"/>
        <v>EMPTY</v>
      </c>
      <c r="D537" s="3" t="str">
        <f t="shared" si="25"/>
        <v/>
      </c>
      <c r="E537" s="7"/>
      <c r="F537" s="8" t="str">
        <f t="shared" si="26"/>
        <v/>
      </c>
    </row>
    <row r="538" spans="1:6" x14ac:dyDescent="0.25">
      <c r="A538" s="13" t="str">
        <f>IF(AND($E538="",MAX($A$8:$A537)=0),"",IF(AND($E538&lt;&gt;"",MAX($A$8:$A537)=0),1,IF(AND($E538&lt;&gt;"",MAX($A$8:$A537)&gt;0),MAX($A$8:$A537)+1,"")))</f>
        <v/>
      </c>
      <c r="B538" s="11">
        <v>531</v>
      </c>
      <c r="C538" s="19" t="str">
        <f t="shared" si="24"/>
        <v>EMPTY</v>
      </c>
      <c r="D538" s="3" t="str">
        <f t="shared" si="25"/>
        <v/>
      </c>
      <c r="E538" s="7"/>
      <c r="F538" s="8" t="str">
        <f t="shared" si="26"/>
        <v/>
      </c>
    </row>
    <row r="539" spans="1:6" x14ac:dyDescent="0.25">
      <c r="A539" s="13" t="str">
        <f>IF(AND($E539="",MAX($A$8:$A538)=0),"",IF(AND($E539&lt;&gt;"",MAX($A$8:$A538)=0),1,IF(AND($E539&lt;&gt;"",MAX($A$8:$A538)&gt;0),MAX($A$8:$A538)+1,"")))</f>
        <v/>
      </c>
      <c r="B539" s="11">
        <v>532</v>
      </c>
      <c r="C539" s="19" t="str">
        <f t="shared" si="24"/>
        <v>EMPTY</v>
      </c>
      <c r="D539" s="3" t="str">
        <f t="shared" si="25"/>
        <v/>
      </c>
      <c r="E539" s="7"/>
      <c r="F539" s="8" t="str">
        <f t="shared" si="26"/>
        <v/>
      </c>
    </row>
    <row r="540" spans="1:6" x14ac:dyDescent="0.25">
      <c r="A540" s="13" t="str">
        <f>IF(AND($E540="",MAX($A$8:$A539)=0),"",IF(AND($E540&lt;&gt;"",MAX($A$8:$A539)=0),1,IF(AND($E540&lt;&gt;"",MAX($A$8:$A539)&gt;0),MAX($A$8:$A539)+1,"")))</f>
        <v/>
      </c>
      <c r="B540" s="11">
        <v>533</v>
      </c>
      <c r="C540" s="19" t="str">
        <f t="shared" si="24"/>
        <v>EMPTY</v>
      </c>
      <c r="D540" s="3" t="str">
        <f t="shared" si="25"/>
        <v/>
      </c>
      <c r="E540" s="7"/>
      <c r="F540" s="8" t="str">
        <f t="shared" si="26"/>
        <v/>
      </c>
    </row>
    <row r="541" spans="1:6" x14ac:dyDescent="0.25">
      <c r="A541" s="13" t="str">
        <f>IF(AND($E541="",MAX($A$8:$A540)=0),"",IF(AND($E541&lt;&gt;"",MAX($A$8:$A540)=0),1,IF(AND($E541&lt;&gt;"",MAX($A$8:$A540)&gt;0),MAX($A$8:$A540)+1,"")))</f>
        <v/>
      </c>
      <c r="B541" s="11">
        <v>534</v>
      </c>
      <c r="C541" s="19" t="str">
        <f t="shared" si="24"/>
        <v>EMPTY</v>
      </c>
      <c r="D541" s="3" t="str">
        <f t="shared" si="25"/>
        <v/>
      </c>
      <c r="E541" s="7"/>
      <c r="F541" s="8" t="str">
        <f t="shared" si="26"/>
        <v/>
      </c>
    </row>
    <row r="542" spans="1:6" x14ac:dyDescent="0.25">
      <c r="A542" s="13" t="str">
        <f>IF(AND($E542="",MAX($A$8:$A541)=0),"",IF(AND($E542&lt;&gt;"",MAX($A$8:$A541)=0),1,IF(AND($E542&lt;&gt;"",MAX($A$8:$A541)&gt;0),MAX($A$8:$A541)+1,"")))</f>
        <v/>
      </c>
      <c r="B542" s="11">
        <v>535</v>
      </c>
      <c r="C542" s="19" t="str">
        <f t="shared" si="24"/>
        <v>EMPTY</v>
      </c>
      <c r="D542" s="3" t="str">
        <f t="shared" si="25"/>
        <v/>
      </c>
      <c r="E542" s="7"/>
      <c r="F542" s="8" t="str">
        <f t="shared" si="26"/>
        <v/>
      </c>
    </row>
    <row r="543" spans="1:6" x14ac:dyDescent="0.25">
      <c r="A543" s="13" t="str">
        <f>IF(AND($E543="",MAX($A$8:$A542)=0),"",IF(AND($E543&lt;&gt;"",MAX($A$8:$A542)=0),1,IF(AND($E543&lt;&gt;"",MAX($A$8:$A542)&gt;0),MAX($A$8:$A542)+1,"")))</f>
        <v/>
      </c>
      <c r="B543" s="11">
        <v>536</v>
      </c>
      <c r="C543" s="19" t="str">
        <f t="shared" si="24"/>
        <v>EMPTY</v>
      </c>
      <c r="D543" s="3" t="str">
        <f t="shared" si="25"/>
        <v/>
      </c>
      <c r="E543" s="7"/>
      <c r="F543" s="8" t="str">
        <f t="shared" si="26"/>
        <v/>
      </c>
    </row>
    <row r="544" spans="1:6" x14ac:dyDescent="0.25">
      <c r="A544" s="13" t="str">
        <f>IF(AND($E544="",MAX($A$8:$A543)=0),"",IF(AND($E544&lt;&gt;"",MAX($A$8:$A543)=0),1,IF(AND($E544&lt;&gt;"",MAX($A$8:$A543)&gt;0),MAX($A$8:$A543)+1,"")))</f>
        <v/>
      </c>
      <c r="B544" s="11">
        <v>537</v>
      </c>
      <c r="C544" s="19" t="str">
        <f t="shared" si="24"/>
        <v>EMPTY</v>
      </c>
      <c r="D544" s="3" t="str">
        <f t="shared" si="25"/>
        <v/>
      </c>
      <c r="E544" s="7"/>
      <c r="F544" s="8" t="str">
        <f t="shared" si="26"/>
        <v/>
      </c>
    </row>
    <row r="545" spans="1:6" x14ac:dyDescent="0.25">
      <c r="A545" s="13" t="str">
        <f>IF(AND($E545="",MAX($A$8:$A544)=0),"",IF(AND($E545&lt;&gt;"",MAX($A$8:$A544)=0),1,IF(AND($E545&lt;&gt;"",MAX($A$8:$A544)&gt;0),MAX($A$8:$A544)+1,"")))</f>
        <v/>
      </c>
      <c r="B545" s="11">
        <v>538</v>
      </c>
      <c r="C545" s="19" t="str">
        <f t="shared" si="24"/>
        <v>EMPTY</v>
      </c>
      <c r="D545" s="3" t="str">
        <f t="shared" si="25"/>
        <v/>
      </c>
      <c r="E545" s="7"/>
      <c r="F545" s="8" t="str">
        <f t="shared" si="26"/>
        <v/>
      </c>
    </row>
    <row r="546" spans="1:6" x14ac:dyDescent="0.25">
      <c r="A546" s="13" t="str">
        <f>IF(AND($E546="",MAX($A$8:$A545)=0),"",IF(AND($E546&lt;&gt;"",MAX($A$8:$A545)=0),1,IF(AND($E546&lt;&gt;"",MAX($A$8:$A545)&gt;0),MAX($A$8:$A545)+1,"")))</f>
        <v/>
      </c>
      <c r="B546" s="11">
        <v>539</v>
      </c>
      <c r="C546" s="19" t="str">
        <f t="shared" si="24"/>
        <v>EMPTY</v>
      </c>
      <c r="D546" s="3" t="str">
        <f t="shared" si="25"/>
        <v/>
      </c>
      <c r="E546" s="7"/>
      <c r="F546" s="8" t="str">
        <f t="shared" si="26"/>
        <v/>
      </c>
    </row>
    <row r="547" spans="1:6" x14ac:dyDescent="0.25">
      <c r="A547" s="13" t="str">
        <f>IF(AND($E547="",MAX($A$8:$A546)=0),"",IF(AND($E547&lt;&gt;"",MAX($A$8:$A546)=0),1,IF(AND($E547&lt;&gt;"",MAX($A$8:$A546)&gt;0),MAX($A$8:$A546)+1,"")))</f>
        <v/>
      </c>
      <c r="B547" s="11">
        <v>540</v>
      </c>
      <c r="C547" s="19" t="str">
        <f t="shared" si="24"/>
        <v>EMPTY</v>
      </c>
      <c r="D547" s="3" t="str">
        <f t="shared" si="25"/>
        <v/>
      </c>
      <c r="E547" s="7"/>
      <c r="F547" s="8" t="str">
        <f t="shared" si="26"/>
        <v/>
      </c>
    </row>
    <row r="548" spans="1:6" x14ac:dyDescent="0.25">
      <c r="A548" s="13" t="str">
        <f>IF(AND($E548="",MAX($A$8:$A547)=0),"",IF(AND($E548&lt;&gt;"",MAX($A$8:$A547)=0),1,IF(AND($E548&lt;&gt;"",MAX($A$8:$A547)&gt;0),MAX($A$8:$A547)+1,"")))</f>
        <v/>
      </c>
      <c r="B548" s="11">
        <v>541</v>
      </c>
      <c r="C548" s="19" t="str">
        <f t="shared" si="24"/>
        <v>EMPTY</v>
      </c>
      <c r="D548" s="3" t="str">
        <f t="shared" si="25"/>
        <v/>
      </c>
      <c r="E548" s="7"/>
      <c r="F548" s="8" t="str">
        <f t="shared" si="26"/>
        <v/>
      </c>
    </row>
    <row r="549" spans="1:6" x14ac:dyDescent="0.25">
      <c r="A549" s="13" t="str">
        <f>IF(AND($E549="",MAX($A$8:$A548)=0),"",IF(AND($E549&lt;&gt;"",MAX($A$8:$A548)=0),1,IF(AND($E549&lt;&gt;"",MAX($A$8:$A548)&gt;0),MAX($A$8:$A548)+1,"")))</f>
        <v/>
      </c>
      <c r="B549" s="11">
        <v>542</v>
      </c>
      <c r="C549" s="19" t="str">
        <f t="shared" si="24"/>
        <v>EMPTY</v>
      </c>
      <c r="D549" s="3" t="str">
        <f t="shared" si="25"/>
        <v/>
      </c>
      <c r="E549" s="7"/>
      <c r="F549" s="8" t="str">
        <f t="shared" si="26"/>
        <v/>
      </c>
    </row>
    <row r="550" spans="1:6" x14ac:dyDescent="0.25">
      <c r="A550" s="13" t="str">
        <f>IF(AND($E550="",MAX($A$8:$A549)=0),"",IF(AND($E550&lt;&gt;"",MAX($A$8:$A549)=0),1,IF(AND($E550&lt;&gt;"",MAX($A$8:$A549)&gt;0),MAX($A$8:$A549)+1,"")))</f>
        <v/>
      </c>
      <c r="B550" s="11">
        <v>543</v>
      </c>
      <c r="C550" s="19" t="str">
        <f t="shared" si="24"/>
        <v>EMPTY</v>
      </c>
      <c r="D550" s="3" t="str">
        <f t="shared" si="25"/>
        <v/>
      </c>
      <c r="E550" s="7"/>
      <c r="F550" s="8" t="str">
        <f t="shared" si="26"/>
        <v/>
      </c>
    </row>
    <row r="551" spans="1:6" x14ac:dyDescent="0.25">
      <c r="A551" s="13" t="str">
        <f>IF(AND($E551="",MAX($A$8:$A550)=0),"",IF(AND($E551&lt;&gt;"",MAX($A$8:$A550)=0),1,IF(AND($E551&lt;&gt;"",MAX($A$8:$A550)&gt;0),MAX($A$8:$A550)+1,"")))</f>
        <v/>
      </c>
      <c r="B551" s="11">
        <v>544</v>
      </c>
      <c r="C551" s="19" t="str">
        <f t="shared" si="24"/>
        <v>EMPTY</v>
      </c>
      <c r="D551" s="3" t="str">
        <f t="shared" si="25"/>
        <v/>
      </c>
      <c r="E551" s="7"/>
      <c r="F551" s="8" t="str">
        <f t="shared" si="26"/>
        <v/>
      </c>
    </row>
    <row r="552" spans="1:6" x14ac:dyDescent="0.25">
      <c r="A552" s="13" t="str">
        <f>IF(AND($E552="",MAX($A$8:$A551)=0),"",IF(AND($E552&lt;&gt;"",MAX($A$8:$A551)=0),1,IF(AND($E552&lt;&gt;"",MAX($A$8:$A551)&gt;0),MAX($A$8:$A551)+1,"")))</f>
        <v/>
      </c>
      <c r="B552" s="11">
        <v>545</v>
      </c>
      <c r="C552" s="19" t="str">
        <f t="shared" si="24"/>
        <v>EMPTY</v>
      </c>
      <c r="D552" s="3" t="str">
        <f t="shared" si="25"/>
        <v/>
      </c>
      <c r="E552" s="7"/>
      <c r="F552" s="8" t="str">
        <f t="shared" si="26"/>
        <v/>
      </c>
    </row>
    <row r="553" spans="1:6" x14ac:dyDescent="0.25">
      <c r="A553" s="13" t="str">
        <f>IF(AND($E553="",MAX($A$8:$A552)=0),"",IF(AND($E553&lt;&gt;"",MAX($A$8:$A552)=0),1,IF(AND($E553&lt;&gt;"",MAX($A$8:$A552)&gt;0),MAX($A$8:$A552)+1,"")))</f>
        <v/>
      </c>
      <c r="B553" s="11">
        <v>546</v>
      </c>
      <c r="C553" s="19" t="str">
        <f t="shared" si="24"/>
        <v>EMPTY</v>
      </c>
      <c r="D553" s="3" t="str">
        <f t="shared" si="25"/>
        <v/>
      </c>
      <c r="E553" s="7"/>
      <c r="F553" s="8" t="str">
        <f t="shared" si="26"/>
        <v/>
      </c>
    </row>
    <row r="554" spans="1:6" x14ac:dyDescent="0.25">
      <c r="A554" s="13" t="str">
        <f>IF(AND($E554="",MAX($A$8:$A553)=0),"",IF(AND($E554&lt;&gt;"",MAX($A$8:$A553)=0),1,IF(AND($E554&lt;&gt;"",MAX($A$8:$A553)&gt;0),MAX($A$8:$A553)+1,"")))</f>
        <v/>
      </c>
      <c r="B554" s="11">
        <v>547</v>
      </c>
      <c r="C554" s="19" t="str">
        <f t="shared" si="24"/>
        <v>EMPTY</v>
      </c>
      <c r="D554" s="3" t="str">
        <f t="shared" si="25"/>
        <v/>
      </c>
      <c r="E554" s="7"/>
      <c r="F554" s="8" t="str">
        <f t="shared" si="26"/>
        <v/>
      </c>
    </row>
    <row r="555" spans="1:6" x14ac:dyDescent="0.25">
      <c r="A555" s="13" t="str">
        <f>IF(AND($E555="",MAX($A$8:$A554)=0),"",IF(AND($E555&lt;&gt;"",MAX($A$8:$A554)=0),1,IF(AND($E555&lt;&gt;"",MAX($A$8:$A554)&gt;0),MAX($A$8:$A554)+1,"")))</f>
        <v/>
      </c>
      <c r="B555" s="11">
        <v>548</v>
      </c>
      <c r="C555" s="19" t="str">
        <f t="shared" si="24"/>
        <v>EMPTY</v>
      </c>
      <c r="D555" s="3" t="str">
        <f t="shared" si="25"/>
        <v/>
      </c>
      <c r="E555" s="7"/>
      <c r="F555" s="8" t="str">
        <f t="shared" si="26"/>
        <v/>
      </c>
    </row>
    <row r="556" spans="1:6" x14ac:dyDescent="0.25">
      <c r="A556" s="13" t="str">
        <f>IF(AND($E556="",MAX($A$8:$A555)=0),"",IF(AND($E556&lt;&gt;"",MAX($A$8:$A555)=0),1,IF(AND($E556&lt;&gt;"",MAX($A$8:$A555)&gt;0),MAX($A$8:$A555)+1,"")))</f>
        <v/>
      </c>
      <c r="B556" s="11">
        <v>549</v>
      </c>
      <c r="C556" s="19" t="str">
        <f t="shared" si="24"/>
        <v>EMPTY</v>
      </c>
      <c r="D556" s="3" t="str">
        <f t="shared" si="25"/>
        <v/>
      </c>
      <c r="E556" s="7"/>
      <c r="F556" s="8" t="str">
        <f t="shared" si="26"/>
        <v/>
      </c>
    </row>
    <row r="557" spans="1:6" x14ac:dyDescent="0.25">
      <c r="A557" s="13" t="str">
        <f>IF(AND($E557="",MAX($A$8:$A556)=0),"",IF(AND($E557&lt;&gt;"",MAX($A$8:$A556)=0),1,IF(AND($E557&lt;&gt;"",MAX($A$8:$A556)&gt;0),MAX($A$8:$A556)+1,"")))</f>
        <v/>
      </c>
      <c r="B557" s="11">
        <v>550</v>
      </c>
      <c r="C557" s="19" t="str">
        <f t="shared" si="24"/>
        <v>EMPTY</v>
      </c>
      <c r="D557" s="3" t="str">
        <f t="shared" si="25"/>
        <v/>
      </c>
      <c r="E557" s="7"/>
      <c r="F557" s="8" t="str">
        <f t="shared" si="26"/>
        <v/>
      </c>
    </row>
    <row r="558" spans="1:6" x14ac:dyDescent="0.25">
      <c r="A558" s="13" t="str">
        <f>IF(AND($E558="",MAX($A$8:$A557)=0),"",IF(AND($E558&lt;&gt;"",MAX($A$8:$A557)=0),1,IF(AND($E558&lt;&gt;"",MAX($A$8:$A557)&gt;0),MAX($A$8:$A557)+1,"")))</f>
        <v/>
      </c>
      <c r="B558" s="11">
        <v>551</v>
      </c>
      <c r="C558" s="19" t="str">
        <f t="shared" si="24"/>
        <v>EMPTY</v>
      </c>
      <c r="D558" s="3" t="str">
        <f t="shared" si="25"/>
        <v/>
      </c>
      <c r="E558" s="7"/>
      <c r="F558" s="8" t="str">
        <f t="shared" si="26"/>
        <v/>
      </c>
    </row>
    <row r="559" spans="1:6" x14ac:dyDescent="0.25">
      <c r="A559" s="13" t="str">
        <f>IF(AND($E559="",MAX($A$8:$A558)=0),"",IF(AND($E559&lt;&gt;"",MAX($A$8:$A558)=0),1,IF(AND($E559&lt;&gt;"",MAX($A$8:$A558)&gt;0),MAX($A$8:$A558)+1,"")))</f>
        <v/>
      </c>
      <c r="B559" s="11">
        <v>552</v>
      </c>
      <c r="C559" s="19" t="str">
        <f t="shared" si="24"/>
        <v>EMPTY</v>
      </c>
      <c r="D559" s="3" t="str">
        <f t="shared" si="25"/>
        <v/>
      </c>
      <c r="E559" s="7"/>
      <c r="F559" s="8" t="str">
        <f t="shared" si="26"/>
        <v/>
      </c>
    </row>
    <row r="560" spans="1:6" x14ac:dyDescent="0.25">
      <c r="A560" s="13" t="str">
        <f>IF(AND($E560="",MAX($A$8:$A559)=0),"",IF(AND($E560&lt;&gt;"",MAX($A$8:$A559)=0),1,IF(AND($E560&lt;&gt;"",MAX($A$8:$A559)&gt;0),MAX($A$8:$A559)+1,"")))</f>
        <v/>
      </c>
      <c r="B560" s="11">
        <v>553</v>
      </c>
      <c r="C560" s="19" t="str">
        <f t="shared" si="24"/>
        <v>EMPTY</v>
      </c>
      <c r="D560" s="3" t="str">
        <f t="shared" si="25"/>
        <v/>
      </c>
      <c r="E560" s="7"/>
      <c r="F560" s="8" t="str">
        <f t="shared" si="26"/>
        <v/>
      </c>
    </row>
    <row r="561" spans="1:6" x14ac:dyDescent="0.25">
      <c r="A561" s="13" t="str">
        <f>IF(AND($E561="",MAX($A$8:$A560)=0),"",IF(AND($E561&lt;&gt;"",MAX($A$8:$A560)=0),1,IF(AND($E561&lt;&gt;"",MAX($A$8:$A560)&gt;0),MAX($A$8:$A560)+1,"")))</f>
        <v/>
      </c>
      <c r="B561" s="11">
        <v>554</v>
      </c>
      <c r="C561" s="19" t="str">
        <f t="shared" si="24"/>
        <v>EMPTY</v>
      </c>
      <c r="D561" s="3" t="str">
        <f t="shared" si="25"/>
        <v/>
      </c>
      <c r="E561" s="7"/>
      <c r="F561" s="8" t="str">
        <f t="shared" si="26"/>
        <v/>
      </c>
    </row>
    <row r="562" spans="1:6" x14ac:dyDescent="0.25">
      <c r="A562" s="13" t="str">
        <f>IF(AND($E562="",MAX($A$8:$A561)=0),"",IF(AND($E562&lt;&gt;"",MAX($A$8:$A561)=0),1,IF(AND($E562&lt;&gt;"",MAX($A$8:$A561)&gt;0),MAX($A$8:$A561)+1,"")))</f>
        <v/>
      </c>
      <c r="B562" s="11">
        <v>555</v>
      </c>
      <c r="C562" s="19" t="str">
        <f t="shared" si="24"/>
        <v>EMPTY</v>
      </c>
      <c r="D562" s="3" t="str">
        <f t="shared" si="25"/>
        <v/>
      </c>
      <c r="E562" s="7"/>
      <c r="F562" s="8" t="str">
        <f t="shared" si="26"/>
        <v/>
      </c>
    </row>
    <row r="563" spans="1:6" x14ac:dyDescent="0.25">
      <c r="A563" s="13" t="str">
        <f>IF(AND($E563="",MAX($A$8:$A562)=0),"",IF(AND($E563&lt;&gt;"",MAX($A$8:$A562)=0),1,IF(AND($E563&lt;&gt;"",MAX($A$8:$A562)&gt;0),MAX($A$8:$A562)+1,"")))</f>
        <v/>
      </c>
      <c r="B563" s="11">
        <v>556</v>
      </c>
      <c r="C563" s="19" t="str">
        <f t="shared" si="24"/>
        <v>EMPTY</v>
      </c>
      <c r="D563" s="3" t="str">
        <f t="shared" si="25"/>
        <v/>
      </c>
      <c r="E563" s="7"/>
      <c r="F563" s="8" t="str">
        <f t="shared" si="26"/>
        <v/>
      </c>
    </row>
    <row r="564" spans="1:6" x14ac:dyDescent="0.25">
      <c r="A564" s="13" t="str">
        <f>IF(AND($E564="",MAX($A$8:$A563)=0),"",IF(AND($E564&lt;&gt;"",MAX($A$8:$A563)=0),1,IF(AND($E564&lt;&gt;"",MAX($A$8:$A563)&gt;0),MAX($A$8:$A563)+1,"")))</f>
        <v/>
      </c>
      <c r="B564" s="11">
        <v>557</v>
      </c>
      <c r="C564" s="19" t="str">
        <f t="shared" si="24"/>
        <v>EMPTY</v>
      </c>
      <c r="D564" s="3" t="str">
        <f t="shared" si="25"/>
        <v/>
      </c>
      <c r="E564" s="7"/>
      <c r="F564" s="8" t="str">
        <f t="shared" si="26"/>
        <v/>
      </c>
    </row>
    <row r="565" spans="1:6" x14ac:dyDescent="0.25">
      <c r="A565" s="13" t="str">
        <f>IF(AND($E565="",MAX($A$8:$A564)=0),"",IF(AND($E565&lt;&gt;"",MAX($A$8:$A564)=0),1,IF(AND($E565&lt;&gt;"",MAX($A$8:$A564)&gt;0),MAX($A$8:$A564)+1,"")))</f>
        <v/>
      </c>
      <c r="B565" s="11">
        <v>558</v>
      </c>
      <c r="C565" s="19" t="str">
        <f t="shared" si="24"/>
        <v>EMPTY</v>
      </c>
      <c r="D565" s="3" t="str">
        <f t="shared" si="25"/>
        <v/>
      </c>
      <c r="E565" s="7"/>
      <c r="F565" s="8" t="str">
        <f t="shared" si="26"/>
        <v/>
      </c>
    </row>
    <row r="566" spans="1:6" x14ac:dyDescent="0.25">
      <c r="A566" s="13" t="str">
        <f>IF(AND($E566="",MAX($A$8:$A565)=0),"",IF(AND($E566&lt;&gt;"",MAX($A$8:$A565)=0),1,IF(AND($E566&lt;&gt;"",MAX($A$8:$A565)&gt;0),MAX($A$8:$A565)+1,"")))</f>
        <v/>
      </c>
      <c r="B566" s="11">
        <v>559</v>
      </c>
      <c r="C566" s="19" t="str">
        <f t="shared" si="24"/>
        <v>EMPTY</v>
      </c>
      <c r="D566" s="3" t="str">
        <f t="shared" si="25"/>
        <v/>
      </c>
      <c r="E566" s="7"/>
      <c r="F566" s="8" t="str">
        <f t="shared" si="26"/>
        <v/>
      </c>
    </row>
    <row r="567" spans="1:6" x14ac:dyDescent="0.25">
      <c r="A567" s="13" t="str">
        <f>IF(AND($E567="",MAX($A$8:$A566)=0),"",IF(AND($E567&lt;&gt;"",MAX($A$8:$A566)=0),1,IF(AND($E567&lt;&gt;"",MAX($A$8:$A566)&gt;0),MAX($A$8:$A566)+1,"")))</f>
        <v/>
      </c>
      <c r="B567" s="11">
        <v>560</v>
      </c>
      <c r="C567" s="19" t="str">
        <f t="shared" si="24"/>
        <v>EMPTY</v>
      </c>
      <c r="D567" s="3" t="str">
        <f t="shared" si="25"/>
        <v/>
      </c>
      <c r="E567" s="7"/>
      <c r="F567" s="8" t="str">
        <f t="shared" si="26"/>
        <v/>
      </c>
    </row>
    <row r="568" spans="1:6" x14ac:dyDescent="0.25">
      <c r="A568" s="13" t="str">
        <f>IF(AND($E568="",MAX($A$8:$A567)=0),"",IF(AND($E568&lt;&gt;"",MAX($A$8:$A567)=0),1,IF(AND($E568&lt;&gt;"",MAX($A$8:$A567)&gt;0),MAX($A$8:$A567)+1,"")))</f>
        <v/>
      </c>
      <c r="B568" s="11">
        <v>561</v>
      </c>
      <c r="C568" s="19" t="str">
        <f t="shared" si="24"/>
        <v>EMPTY</v>
      </c>
      <c r="D568" s="3" t="str">
        <f t="shared" si="25"/>
        <v/>
      </c>
      <c r="E568" s="7"/>
      <c r="F568" s="8" t="str">
        <f t="shared" si="26"/>
        <v/>
      </c>
    </row>
    <row r="569" spans="1:6" x14ac:dyDescent="0.25">
      <c r="A569" s="13" t="str">
        <f>IF(AND($E569="",MAX($A$8:$A568)=0),"",IF(AND($E569&lt;&gt;"",MAX($A$8:$A568)=0),1,IF(AND($E569&lt;&gt;"",MAX($A$8:$A568)&gt;0),MAX($A$8:$A568)+1,"")))</f>
        <v/>
      </c>
      <c r="B569" s="11">
        <v>562</v>
      </c>
      <c r="C569" s="19" t="str">
        <f t="shared" si="24"/>
        <v>EMPTY</v>
      </c>
      <c r="D569" s="3" t="str">
        <f t="shared" si="25"/>
        <v/>
      </c>
      <c r="E569" s="7"/>
      <c r="F569" s="8" t="str">
        <f t="shared" si="26"/>
        <v/>
      </c>
    </row>
    <row r="570" spans="1:6" x14ac:dyDescent="0.25">
      <c r="A570" s="13" t="str">
        <f>IF(AND($E570="",MAX($A$8:$A569)=0),"",IF(AND($E570&lt;&gt;"",MAX($A$8:$A569)=0),1,IF(AND($E570&lt;&gt;"",MAX($A$8:$A569)&gt;0),MAX($A$8:$A569)+1,"")))</f>
        <v/>
      </c>
      <c r="B570" s="11">
        <v>563</v>
      </c>
      <c r="C570" s="19" t="str">
        <f t="shared" si="24"/>
        <v>EMPTY</v>
      </c>
      <c r="D570" s="3" t="str">
        <f t="shared" si="25"/>
        <v/>
      </c>
      <c r="E570" s="7"/>
      <c r="F570" s="8" t="str">
        <f t="shared" si="26"/>
        <v/>
      </c>
    </row>
    <row r="571" spans="1:6" x14ac:dyDescent="0.25">
      <c r="A571" s="13" t="str">
        <f>IF(AND($E571="",MAX($A$8:$A570)=0),"",IF(AND($E571&lt;&gt;"",MAX($A$8:$A570)=0),1,IF(AND($E571&lt;&gt;"",MAX($A$8:$A570)&gt;0),MAX($A$8:$A570)+1,"")))</f>
        <v/>
      </c>
      <c r="B571" s="11">
        <v>564</v>
      </c>
      <c r="C571" s="19" t="str">
        <f t="shared" si="24"/>
        <v>EMPTY</v>
      </c>
      <c r="D571" s="3" t="str">
        <f t="shared" si="25"/>
        <v/>
      </c>
      <c r="E571" s="7"/>
      <c r="F571" s="8" t="str">
        <f t="shared" si="26"/>
        <v/>
      </c>
    </row>
    <row r="572" spans="1:6" x14ac:dyDescent="0.25">
      <c r="A572" s="13" t="str">
        <f>IF(AND($E572="",MAX($A$8:$A571)=0),"",IF(AND($E572&lt;&gt;"",MAX($A$8:$A571)=0),1,IF(AND($E572&lt;&gt;"",MAX($A$8:$A571)&gt;0),MAX($A$8:$A571)+1,"")))</f>
        <v/>
      </c>
      <c r="B572" s="11">
        <v>565</v>
      </c>
      <c r="C572" s="19" t="str">
        <f t="shared" si="24"/>
        <v>EMPTY</v>
      </c>
      <c r="D572" s="3" t="str">
        <f t="shared" si="25"/>
        <v/>
      </c>
      <c r="E572" s="7"/>
      <c r="F572" s="8" t="str">
        <f t="shared" si="26"/>
        <v/>
      </c>
    </row>
    <row r="573" spans="1:6" x14ac:dyDescent="0.25">
      <c r="A573" s="13" t="str">
        <f>IF(AND($E573="",MAX($A$8:$A572)=0),"",IF(AND($E573&lt;&gt;"",MAX($A$8:$A572)=0),1,IF(AND($E573&lt;&gt;"",MAX($A$8:$A572)&gt;0),MAX($A$8:$A572)+1,"")))</f>
        <v/>
      </c>
      <c r="B573" s="11">
        <v>566</v>
      </c>
      <c r="C573" s="19" t="str">
        <f t="shared" si="24"/>
        <v>EMPTY</v>
      </c>
      <c r="D573" s="3" t="str">
        <f t="shared" si="25"/>
        <v/>
      </c>
      <c r="E573" s="7"/>
      <c r="F573" s="8" t="str">
        <f t="shared" si="26"/>
        <v/>
      </c>
    </row>
    <row r="574" spans="1:6" x14ac:dyDescent="0.25">
      <c r="A574" s="13" t="str">
        <f>IF(AND($E574="",MAX($A$8:$A573)=0),"",IF(AND($E574&lt;&gt;"",MAX($A$8:$A573)=0),1,IF(AND($E574&lt;&gt;"",MAX($A$8:$A573)&gt;0),MAX($A$8:$A573)+1,"")))</f>
        <v/>
      </c>
      <c r="B574" s="11">
        <v>567</v>
      </c>
      <c r="C574" s="19" t="str">
        <f t="shared" si="24"/>
        <v>EMPTY</v>
      </c>
      <c r="D574" s="3" t="str">
        <f t="shared" si="25"/>
        <v/>
      </c>
      <c r="E574" s="7"/>
      <c r="F574" s="8" t="str">
        <f t="shared" si="26"/>
        <v/>
      </c>
    </row>
    <row r="575" spans="1:6" x14ac:dyDescent="0.25">
      <c r="A575" s="13" t="str">
        <f>IF(AND($E575="",MAX($A$8:$A574)=0),"",IF(AND($E575&lt;&gt;"",MAX($A$8:$A574)=0),1,IF(AND($E575&lt;&gt;"",MAX($A$8:$A574)&gt;0),MAX($A$8:$A574)+1,"")))</f>
        <v/>
      </c>
      <c r="B575" s="11">
        <v>568</v>
      </c>
      <c r="C575" s="19" t="str">
        <f t="shared" si="24"/>
        <v>EMPTY</v>
      </c>
      <c r="D575" s="3" t="str">
        <f t="shared" si="25"/>
        <v/>
      </c>
      <c r="E575" s="7"/>
      <c r="F575" s="8" t="str">
        <f t="shared" si="26"/>
        <v/>
      </c>
    </row>
    <row r="576" spans="1:6" x14ac:dyDescent="0.25">
      <c r="A576" s="13" t="str">
        <f>IF(AND($E576="",MAX($A$8:$A575)=0),"",IF(AND($E576&lt;&gt;"",MAX($A$8:$A575)=0),1,IF(AND($E576&lt;&gt;"",MAX($A$8:$A575)&gt;0),MAX($A$8:$A575)+1,"")))</f>
        <v/>
      </c>
      <c r="B576" s="11">
        <v>569</v>
      </c>
      <c r="C576" s="19" t="str">
        <f t="shared" si="24"/>
        <v>EMPTY</v>
      </c>
      <c r="D576" s="3" t="str">
        <f t="shared" si="25"/>
        <v/>
      </c>
      <c r="E576" s="7"/>
      <c r="F576" s="8" t="str">
        <f t="shared" si="26"/>
        <v/>
      </c>
    </row>
    <row r="577" spans="1:6" x14ac:dyDescent="0.25">
      <c r="A577" s="13" t="str">
        <f>IF(AND($E577="",MAX($A$8:$A576)=0),"",IF(AND($E577&lt;&gt;"",MAX($A$8:$A576)=0),1,IF(AND($E577&lt;&gt;"",MAX($A$8:$A576)&gt;0),MAX($A$8:$A576)+1,"")))</f>
        <v/>
      </c>
      <c r="B577" s="11">
        <v>570</v>
      </c>
      <c r="C577" s="19" t="str">
        <f t="shared" si="24"/>
        <v>EMPTY</v>
      </c>
      <c r="D577" s="3" t="str">
        <f t="shared" si="25"/>
        <v/>
      </c>
      <c r="E577" s="7"/>
      <c r="F577" s="8" t="str">
        <f t="shared" si="26"/>
        <v/>
      </c>
    </row>
    <row r="578" spans="1:6" x14ac:dyDescent="0.25">
      <c r="A578" s="13" t="str">
        <f>IF(AND($E578="",MAX($A$8:$A577)=0),"",IF(AND($E578&lt;&gt;"",MAX($A$8:$A577)=0),1,IF(AND($E578&lt;&gt;"",MAX($A$8:$A577)&gt;0),MAX($A$8:$A577)+1,"")))</f>
        <v/>
      </c>
      <c r="B578" s="11">
        <v>571</v>
      </c>
      <c r="C578" s="19" t="str">
        <f t="shared" si="24"/>
        <v>EMPTY</v>
      </c>
      <c r="D578" s="3" t="str">
        <f t="shared" si="25"/>
        <v/>
      </c>
      <c r="E578" s="7"/>
      <c r="F578" s="8" t="str">
        <f t="shared" si="26"/>
        <v/>
      </c>
    </row>
    <row r="579" spans="1:6" x14ac:dyDescent="0.25">
      <c r="A579" s="13" t="str">
        <f>IF(AND($E579="",MAX($A$8:$A578)=0),"",IF(AND($E579&lt;&gt;"",MAX($A$8:$A578)=0),1,IF(AND($E579&lt;&gt;"",MAX($A$8:$A578)&gt;0),MAX($A$8:$A578)+1,"")))</f>
        <v/>
      </c>
      <c r="B579" s="11">
        <v>572</v>
      </c>
      <c r="C579" s="19" t="str">
        <f t="shared" si="24"/>
        <v>EMPTY</v>
      </c>
      <c r="D579" s="3" t="str">
        <f t="shared" si="25"/>
        <v/>
      </c>
      <c r="E579" s="7"/>
      <c r="F579" s="8" t="str">
        <f t="shared" si="26"/>
        <v/>
      </c>
    </row>
    <row r="580" spans="1:6" x14ac:dyDescent="0.25">
      <c r="A580" s="13" t="str">
        <f>IF(AND($E580="",MAX($A$8:$A579)=0),"",IF(AND($E580&lt;&gt;"",MAX($A$8:$A579)=0),1,IF(AND($E580&lt;&gt;"",MAX($A$8:$A579)&gt;0),MAX($A$8:$A579)+1,"")))</f>
        <v/>
      </c>
      <c r="B580" s="11">
        <v>573</v>
      </c>
      <c r="C580" s="19" t="str">
        <f t="shared" si="24"/>
        <v>EMPTY</v>
      </c>
      <c r="D580" s="3" t="str">
        <f t="shared" si="25"/>
        <v/>
      </c>
      <c r="E580" s="7"/>
      <c r="F580" s="8" t="str">
        <f t="shared" si="26"/>
        <v/>
      </c>
    </row>
    <row r="581" spans="1:6" x14ac:dyDescent="0.25">
      <c r="A581" s="13" t="str">
        <f>IF(AND($E581="",MAX($A$8:$A580)=0),"",IF(AND($E581&lt;&gt;"",MAX($A$8:$A580)=0),1,IF(AND($E581&lt;&gt;"",MAX($A$8:$A580)&gt;0),MAX($A$8:$A580)+1,"")))</f>
        <v/>
      </c>
      <c r="B581" s="11">
        <v>574</v>
      </c>
      <c r="C581" s="19" t="str">
        <f t="shared" si="24"/>
        <v>EMPTY</v>
      </c>
      <c r="D581" s="3" t="str">
        <f t="shared" si="25"/>
        <v/>
      </c>
      <c r="E581" s="7"/>
      <c r="F581" s="8" t="str">
        <f t="shared" si="26"/>
        <v/>
      </c>
    </row>
    <row r="582" spans="1:6" x14ac:dyDescent="0.25">
      <c r="A582" s="13" t="str">
        <f>IF(AND($E582="",MAX($A$8:$A581)=0),"",IF(AND($E582&lt;&gt;"",MAX($A$8:$A581)=0),1,IF(AND($E582&lt;&gt;"",MAX($A$8:$A581)&gt;0),MAX($A$8:$A581)+1,"")))</f>
        <v/>
      </c>
      <c r="B582" s="11">
        <v>575</v>
      </c>
      <c r="C582" s="19" t="str">
        <f t="shared" si="24"/>
        <v>EMPTY</v>
      </c>
      <c r="D582" s="3" t="str">
        <f t="shared" si="25"/>
        <v/>
      </c>
      <c r="E582" s="7"/>
      <c r="F582" s="8" t="str">
        <f t="shared" si="26"/>
        <v/>
      </c>
    </row>
    <row r="583" spans="1:6" x14ac:dyDescent="0.25">
      <c r="A583" s="13" t="str">
        <f>IF(AND($E583="",MAX($A$8:$A582)=0),"",IF(AND($E583&lt;&gt;"",MAX($A$8:$A582)=0),1,IF(AND($E583&lt;&gt;"",MAX($A$8:$A582)&gt;0),MAX($A$8:$A582)+1,"")))</f>
        <v/>
      </c>
      <c r="B583" s="11">
        <v>576</v>
      </c>
      <c r="C583" s="19" t="str">
        <f t="shared" si="24"/>
        <v>EMPTY</v>
      </c>
      <c r="D583" s="3" t="str">
        <f t="shared" si="25"/>
        <v/>
      </c>
      <c r="E583" s="7"/>
      <c r="F583" s="8" t="str">
        <f t="shared" si="26"/>
        <v/>
      </c>
    </row>
    <row r="584" spans="1:6" x14ac:dyDescent="0.25">
      <c r="A584" s="13" t="str">
        <f>IF(AND($E584="",MAX($A$8:$A583)=0),"",IF(AND($E584&lt;&gt;"",MAX($A$8:$A583)=0),1,IF(AND($E584&lt;&gt;"",MAX($A$8:$A583)&gt;0),MAX($A$8:$A583)+1,"")))</f>
        <v/>
      </c>
      <c r="B584" s="11">
        <v>577</v>
      </c>
      <c r="C584" s="19" t="str">
        <f t="shared" si="24"/>
        <v>EMPTY</v>
      </c>
      <c r="D584" s="3" t="str">
        <f t="shared" si="25"/>
        <v/>
      </c>
      <c r="E584" s="7"/>
      <c r="F584" s="8" t="str">
        <f t="shared" si="26"/>
        <v/>
      </c>
    </row>
    <row r="585" spans="1:6" x14ac:dyDescent="0.25">
      <c r="A585" s="13" t="str">
        <f>IF(AND($E585="",MAX($A$8:$A584)=0),"",IF(AND($E585&lt;&gt;"",MAX($A$8:$A584)=0),1,IF(AND($E585&lt;&gt;"",MAX($A$8:$A584)&gt;0),MAX($A$8:$A584)+1,"")))</f>
        <v/>
      </c>
      <c r="B585" s="11">
        <v>578</v>
      </c>
      <c r="C585" s="19" t="str">
        <f t="shared" ref="C585:C648" si="27">IF($E585="","EMPTY",IF(MID($E585,1,9)&lt;&gt;"Dialogue:","HIDE",IF(MID($E585,1,9)="Dialogue:","SHOW","")))</f>
        <v>EMPTY</v>
      </c>
      <c r="D585" s="3" t="str">
        <f t="shared" ref="D585:D648" si="28">IF($C585="SHOW",CONCATENATE("[",MID($E585,FIND(",",$E585,1)+3,8),"]",MID($E585,FIND("0,,",$E585,1)+3,1000)),"")</f>
        <v/>
      </c>
      <c r="E585" s="7"/>
      <c r="F585" s="8" t="str">
        <f t="shared" ref="F585:F648" si="29">$D585</f>
        <v/>
      </c>
    </row>
    <row r="586" spans="1:6" x14ac:dyDescent="0.25">
      <c r="A586" s="13" t="str">
        <f>IF(AND($E586="",MAX($A$8:$A585)=0),"",IF(AND($E586&lt;&gt;"",MAX($A$8:$A585)=0),1,IF(AND($E586&lt;&gt;"",MAX($A$8:$A585)&gt;0),MAX($A$8:$A585)+1,"")))</f>
        <v/>
      </c>
      <c r="B586" s="11">
        <v>579</v>
      </c>
      <c r="C586" s="19" t="str">
        <f t="shared" si="27"/>
        <v>EMPTY</v>
      </c>
      <c r="D586" s="3" t="str">
        <f t="shared" si="28"/>
        <v/>
      </c>
      <c r="E586" s="7"/>
      <c r="F586" s="8" t="str">
        <f t="shared" si="29"/>
        <v/>
      </c>
    </row>
    <row r="587" spans="1:6" x14ac:dyDescent="0.25">
      <c r="A587" s="13" t="str">
        <f>IF(AND($E587="",MAX($A$8:$A586)=0),"",IF(AND($E587&lt;&gt;"",MAX($A$8:$A586)=0),1,IF(AND($E587&lt;&gt;"",MAX($A$8:$A586)&gt;0),MAX($A$8:$A586)+1,"")))</f>
        <v/>
      </c>
      <c r="B587" s="11">
        <v>580</v>
      </c>
      <c r="C587" s="19" t="str">
        <f t="shared" si="27"/>
        <v>EMPTY</v>
      </c>
      <c r="D587" s="3" t="str">
        <f t="shared" si="28"/>
        <v/>
      </c>
      <c r="E587" s="7"/>
      <c r="F587" s="8" t="str">
        <f t="shared" si="29"/>
        <v/>
      </c>
    </row>
    <row r="588" spans="1:6" x14ac:dyDescent="0.25">
      <c r="A588" s="13" t="str">
        <f>IF(AND($E588="",MAX($A$8:$A587)=0),"",IF(AND($E588&lt;&gt;"",MAX($A$8:$A587)=0),1,IF(AND($E588&lt;&gt;"",MAX($A$8:$A587)&gt;0),MAX($A$8:$A587)+1,"")))</f>
        <v/>
      </c>
      <c r="B588" s="11">
        <v>581</v>
      </c>
      <c r="C588" s="19" t="str">
        <f t="shared" si="27"/>
        <v>EMPTY</v>
      </c>
      <c r="D588" s="3" t="str">
        <f t="shared" si="28"/>
        <v/>
      </c>
      <c r="E588" s="7"/>
      <c r="F588" s="8" t="str">
        <f t="shared" si="29"/>
        <v/>
      </c>
    </row>
    <row r="589" spans="1:6" x14ac:dyDescent="0.25">
      <c r="A589" s="13" t="str">
        <f>IF(AND($E589="",MAX($A$8:$A588)=0),"",IF(AND($E589&lt;&gt;"",MAX($A$8:$A588)=0),1,IF(AND($E589&lt;&gt;"",MAX($A$8:$A588)&gt;0),MAX($A$8:$A588)+1,"")))</f>
        <v/>
      </c>
      <c r="B589" s="11">
        <v>582</v>
      </c>
      <c r="C589" s="19" t="str">
        <f t="shared" si="27"/>
        <v>EMPTY</v>
      </c>
      <c r="D589" s="3" t="str">
        <f t="shared" si="28"/>
        <v/>
      </c>
      <c r="E589" s="7"/>
      <c r="F589" s="8" t="str">
        <f t="shared" si="29"/>
        <v/>
      </c>
    </row>
    <row r="590" spans="1:6" x14ac:dyDescent="0.25">
      <c r="A590" s="13" t="str">
        <f>IF(AND($E590="",MAX($A$8:$A589)=0),"",IF(AND($E590&lt;&gt;"",MAX($A$8:$A589)=0),1,IF(AND($E590&lt;&gt;"",MAX($A$8:$A589)&gt;0),MAX($A$8:$A589)+1,"")))</f>
        <v/>
      </c>
      <c r="B590" s="11">
        <v>583</v>
      </c>
      <c r="C590" s="19" t="str">
        <f t="shared" si="27"/>
        <v>EMPTY</v>
      </c>
      <c r="D590" s="3" t="str">
        <f t="shared" si="28"/>
        <v/>
      </c>
      <c r="E590" s="7"/>
      <c r="F590" s="8" t="str">
        <f t="shared" si="29"/>
        <v/>
      </c>
    </row>
    <row r="591" spans="1:6" x14ac:dyDescent="0.25">
      <c r="A591" s="13" t="str">
        <f>IF(AND($E591="",MAX($A$8:$A590)=0),"",IF(AND($E591&lt;&gt;"",MAX($A$8:$A590)=0),1,IF(AND($E591&lt;&gt;"",MAX($A$8:$A590)&gt;0),MAX($A$8:$A590)+1,"")))</f>
        <v/>
      </c>
      <c r="B591" s="11">
        <v>584</v>
      </c>
      <c r="C591" s="19" t="str">
        <f t="shared" si="27"/>
        <v>EMPTY</v>
      </c>
      <c r="D591" s="3" t="str">
        <f t="shared" si="28"/>
        <v/>
      </c>
      <c r="E591" s="7"/>
      <c r="F591" s="8" t="str">
        <f t="shared" si="29"/>
        <v/>
      </c>
    </row>
    <row r="592" spans="1:6" x14ac:dyDescent="0.25">
      <c r="A592" s="13" t="str">
        <f>IF(AND($E592="",MAX($A$8:$A591)=0),"",IF(AND($E592&lt;&gt;"",MAX($A$8:$A591)=0),1,IF(AND($E592&lt;&gt;"",MAX($A$8:$A591)&gt;0),MAX($A$8:$A591)+1,"")))</f>
        <v/>
      </c>
      <c r="B592" s="11">
        <v>585</v>
      </c>
      <c r="C592" s="19" t="str">
        <f t="shared" si="27"/>
        <v>EMPTY</v>
      </c>
      <c r="D592" s="3" t="str">
        <f t="shared" si="28"/>
        <v/>
      </c>
      <c r="E592" s="7"/>
      <c r="F592" s="8" t="str">
        <f t="shared" si="29"/>
        <v/>
      </c>
    </row>
    <row r="593" spans="1:6" x14ac:dyDescent="0.25">
      <c r="A593" s="13" t="str">
        <f>IF(AND($E593="",MAX($A$8:$A592)=0),"",IF(AND($E593&lt;&gt;"",MAX($A$8:$A592)=0),1,IF(AND($E593&lt;&gt;"",MAX($A$8:$A592)&gt;0),MAX($A$8:$A592)+1,"")))</f>
        <v/>
      </c>
      <c r="B593" s="11">
        <v>586</v>
      </c>
      <c r="C593" s="19" t="str">
        <f t="shared" si="27"/>
        <v>EMPTY</v>
      </c>
      <c r="D593" s="3" t="str">
        <f t="shared" si="28"/>
        <v/>
      </c>
      <c r="E593" s="7"/>
      <c r="F593" s="8" t="str">
        <f t="shared" si="29"/>
        <v/>
      </c>
    </row>
    <row r="594" spans="1:6" x14ac:dyDescent="0.25">
      <c r="A594" s="13" t="str">
        <f>IF(AND($E594="",MAX($A$8:$A593)=0),"",IF(AND($E594&lt;&gt;"",MAX($A$8:$A593)=0),1,IF(AND($E594&lt;&gt;"",MAX($A$8:$A593)&gt;0),MAX($A$8:$A593)+1,"")))</f>
        <v/>
      </c>
      <c r="B594" s="11">
        <v>587</v>
      </c>
      <c r="C594" s="19" t="str">
        <f t="shared" si="27"/>
        <v>EMPTY</v>
      </c>
      <c r="D594" s="3" t="str">
        <f t="shared" si="28"/>
        <v/>
      </c>
      <c r="E594" s="7"/>
      <c r="F594" s="8" t="str">
        <f t="shared" si="29"/>
        <v/>
      </c>
    </row>
    <row r="595" spans="1:6" x14ac:dyDescent="0.25">
      <c r="A595" s="13" t="str">
        <f>IF(AND($E595="",MAX($A$8:$A594)=0),"",IF(AND($E595&lt;&gt;"",MAX($A$8:$A594)=0),1,IF(AND($E595&lt;&gt;"",MAX($A$8:$A594)&gt;0),MAX($A$8:$A594)+1,"")))</f>
        <v/>
      </c>
      <c r="B595" s="11">
        <v>588</v>
      </c>
      <c r="C595" s="19" t="str">
        <f t="shared" si="27"/>
        <v>EMPTY</v>
      </c>
      <c r="D595" s="3" t="str">
        <f t="shared" si="28"/>
        <v/>
      </c>
      <c r="E595" s="7"/>
      <c r="F595" s="8" t="str">
        <f t="shared" si="29"/>
        <v/>
      </c>
    </row>
    <row r="596" spans="1:6" x14ac:dyDescent="0.25">
      <c r="A596" s="13" t="str">
        <f>IF(AND($E596="",MAX($A$8:$A595)=0),"",IF(AND($E596&lt;&gt;"",MAX($A$8:$A595)=0),1,IF(AND($E596&lt;&gt;"",MAX($A$8:$A595)&gt;0),MAX($A$8:$A595)+1,"")))</f>
        <v/>
      </c>
      <c r="B596" s="11">
        <v>589</v>
      </c>
      <c r="C596" s="19" t="str">
        <f t="shared" si="27"/>
        <v>EMPTY</v>
      </c>
      <c r="D596" s="3" t="str">
        <f t="shared" si="28"/>
        <v/>
      </c>
      <c r="E596" s="7"/>
      <c r="F596" s="8" t="str">
        <f t="shared" si="29"/>
        <v/>
      </c>
    </row>
    <row r="597" spans="1:6" x14ac:dyDescent="0.25">
      <c r="A597" s="13" t="str">
        <f>IF(AND($E597="",MAX($A$8:$A596)=0),"",IF(AND($E597&lt;&gt;"",MAX($A$8:$A596)=0),1,IF(AND($E597&lt;&gt;"",MAX($A$8:$A596)&gt;0),MAX($A$8:$A596)+1,"")))</f>
        <v/>
      </c>
      <c r="B597" s="11">
        <v>590</v>
      </c>
      <c r="C597" s="19" t="str">
        <f t="shared" si="27"/>
        <v>EMPTY</v>
      </c>
      <c r="D597" s="3" t="str">
        <f t="shared" si="28"/>
        <v/>
      </c>
      <c r="E597" s="7"/>
      <c r="F597" s="8" t="str">
        <f t="shared" si="29"/>
        <v/>
      </c>
    </row>
    <row r="598" spans="1:6" x14ac:dyDescent="0.25">
      <c r="A598" s="13" t="str">
        <f>IF(AND($E598="",MAX($A$8:$A597)=0),"",IF(AND($E598&lt;&gt;"",MAX($A$8:$A597)=0),1,IF(AND($E598&lt;&gt;"",MAX($A$8:$A597)&gt;0),MAX($A$8:$A597)+1,"")))</f>
        <v/>
      </c>
      <c r="B598" s="11">
        <v>591</v>
      </c>
      <c r="C598" s="19" t="str">
        <f t="shared" si="27"/>
        <v>EMPTY</v>
      </c>
      <c r="D598" s="3" t="str">
        <f t="shared" si="28"/>
        <v/>
      </c>
      <c r="E598" s="7"/>
      <c r="F598" s="8" t="str">
        <f t="shared" si="29"/>
        <v/>
      </c>
    </row>
    <row r="599" spans="1:6" x14ac:dyDescent="0.25">
      <c r="A599" s="13" t="str">
        <f>IF(AND($E599="",MAX($A$8:$A598)=0),"",IF(AND($E599&lt;&gt;"",MAX($A$8:$A598)=0),1,IF(AND($E599&lt;&gt;"",MAX($A$8:$A598)&gt;0),MAX($A$8:$A598)+1,"")))</f>
        <v/>
      </c>
      <c r="B599" s="11">
        <v>592</v>
      </c>
      <c r="C599" s="19" t="str">
        <f t="shared" si="27"/>
        <v>EMPTY</v>
      </c>
      <c r="D599" s="3" t="str">
        <f t="shared" si="28"/>
        <v/>
      </c>
      <c r="E599" s="7"/>
      <c r="F599" s="8" t="str">
        <f t="shared" si="29"/>
        <v/>
      </c>
    </row>
    <row r="600" spans="1:6" x14ac:dyDescent="0.25">
      <c r="A600" s="13" t="str">
        <f>IF(AND($E600="",MAX($A$8:$A599)=0),"",IF(AND($E600&lt;&gt;"",MAX($A$8:$A599)=0),1,IF(AND($E600&lt;&gt;"",MAX($A$8:$A599)&gt;0),MAX($A$8:$A599)+1,"")))</f>
        <v/>
      </c>
      <c r="B600" s="11">
        <v>593</v>
      </c>
      <c r="C600" s="19" t="str">
        <f t="shared" si="27"/>
        <v>EMPTY</v>
      </c>
      <c r="D600" s="3" t="str">
        <f t="shared" si="28"/>
        <v/>
      </c>
      <c r="E600" s="7"/>
      <c r="F600" s="8" t="str">
        <f t="shared" si="29"/>
        <v/>
      </c>
    </row>
    <row r="601" spans="1:6" x14ac:dyDescent="0.25">
      <c r="A601" s="13" t="str">
        <f>IF(AND($E601="",MAX($A$8:$A600)=0),"",IF(AND($E601&lt;&gt;"",MAX($A$8:$A600)=0),1,IF(AND($E601&lt;&gt;"",MAX($A$8:$A600)&gt;0),MAX($A$8:$A600)+1,"")))</f>
        <v/>
      </c>
      <c r="B601" s="11">
        <v>594</v>
      </c>
      <c r="C601" s="19" t="str">
        <f t="shared" si="27"/>
        <v>EMPTY</v>
      </c>
      <c r="D601" s="3" t="str">
        <f t="shared" si="28"/>
        <v/>
      </c>
      <c r="E601" s="7"/>
      <c r="F601" s="8" t="str">
        <f t="shared" si="29"/>
        <v/>
      </c>
    </row>
    <row r="602" spans="1:6" x14ac:dyDescent="0.25">
      <c r="A602" s="13" t="str">
        <f>IF(AND($E602="",MAX($A$8:$A601)=0),"",IF(AND($E602&lt;&gt;"",MAX($A$8:$A601)=0),1,IF(AND($E602&lt;&gt;"",MAX($A$8:$A601)&gt;0),MAX($A$8:$A601)+1,"")))</f>
        <v/>
      </c>
      <c r="B602" s="11">
        <v>595</v>
      </c>
      <c r="C602" s="19" t="str">
        <f t="shared" si="27"/>
        <v>EMPTY</v>
      </c>
      <c r="D602" s="3" t="str">
        <f t="shared" si="28"/>
        <v/>
      </c>
      <c r="E602" s="7"/>
      <c r="F602" s="8" t="str">
        <f t="shared" si="29"/>
        <v/>
      </c>
    </row>
    <row r="603" spans="1:6" x14ac:dyDescent="0.25">
      <c r="A603" s="13" t="str">
        <f>IF(AND($E603="",MAX($A$8:$A602)=0),"",IF(AND($E603&lt;&gt;"",MAX($A$8:$A602)=0),1,IF(AND($E603&lt;&gt;"",MAX($A$8:$A602)&gt;0),MAX($A$8:$A602)+1,"")))</f>
        <v/>
      </c>
      <c r="B603" s="11">
        <v>596</v>
      </c>
      <c r="C603" s="19" t="str">
        <f t="shared" si="27"/>
        <v>EMPTY</v>
      </c>
      <c r="D603" s="3" t="str">
        <f t="shared" si="28"/>
        <v/>
      </c>
      <c r="E603" s="7"/>
      <c r="F603" s="8" t="str">
        <f t="shared" si="29"/>
        <v/>
      </c>
    </row>
    <row r="604" spans="1:6" x14ac:dyDescent="0.25">
      <c r="A604" s="13" t="str">
        <f>IF(AND($E604="",MAX($A$8:$A603)=0),"",IF(AND($E604&lt;&gt;"",MAX($A$8:$A603)=0),1,IF(AND($E604&lt;&gt;"",MAX($A$8:$A603)&gt;0),MAX($A$8:$A603)+1,"")))</f>
        <v/>
      </c>
      <c r="B604" s="11">
        <v>597</v>
      </c>
      <c r="C604" s="19" t="str">
        <f t="shared" si="27"/>
        <v>EMPTY</v>
      </c>
      <c r="D604" s="3" t="str">
        <f t="shared" si="28"/>
        <v/>
      </c>
      <c r="E604" s="7"/>
      <c r="F604" s="8" t="str">
        <f t="shared" si="29"/>
        <v/>
      </c>
    </row>
    <row r="605" spans="1:6" x14ac:dyDescent="0.25">
      <c r="A605" s="13" t="str">
        <f>IF(AND($E605="",MAX($A$8:$A604)=0),"",IF(AND($E605&lt;&gt;"",MAX($A$8:$A604)=0),1,IF(AND($E605&lt;&gt;"",MAX($A$8:$A604)&gt;0),MAX($A$8:$A604)+1,"")))</f>
        <v/>
      </c>
      <c r="B605" s="11">
        <v>598</v>
      </c>
      <c r="C605" s="19" t="str">
        <f t="shared" si="27"/>
        <v>EMPTY</v>
      </c>
      <c r="D605" s="3" t="str">
        <f t="shared" si="28"/>
        <v/>
      </c>
      <c r="E605" s="7"/>
      <c r="F605" s="8" t="str">
        <f t="shared" si="29"/>
        <v/>
      </c>
    </row>
    <row r="606" spans="1:6" x14ac:dyDescent="0.25">
      <c r="A606" s="13" t="str">
        <f>IF(AND($E606="",MAX($A$8:$A605)=0),"",IF(AND($E606&lt;&gt;"",MAX($A$8:$A605)=0),1,IF(AND($E606&lt;&gt;"",MAX($A$8:$A605)&gt;0),MAX($A$8:$A605)+1,"")))</f>
        <v/>
      </c>
      <c r="B606" s="11">
        <v>599</v>
      </c>
      <c r="C606" s="19" t="str">
        <f t="shared" si="27"/>
        <v>EMPTY</v>
      </c>
      <c r="D606" s="3" t="str">
        <f t="shared" si="28"/>
        <v/>
      </c>
      <c r="E606" s="7"/>
      <c r="F606" s="8" t="str">
        <f t="shared" si="29"/>
        <v/>
      </c>
    </row>
    <row r="607" spans="1:6" x14ac:dyDescent="0.25">
      <c r="A607" s="13" t="str">
        <f>IF(AND($E607="",MAX($A$8:$A606)=0),"",IF(AND($E607&lt;&gt;"",MAX($A$8:$A606)=0),1,IF(AND($E607&lt;&gt;"",MAX($A$8:$A606)&gt;0),MAX($A$8:$A606)+1,"")))</f>
        <v/>
      </c>
      <c r="B607" s="11">
        <v>600</v>
      </c>
      <c r="C607" s="19" t="str">
        <f t="shared" si="27"/>
        <v>EMPTY</v>
      </c>
      <c r="D607" s="3" t="str">
        <f t="shared" si="28"/>
        <v/>
      </c>
      <c r="E607" s="7"/>
      <c r="F607" s="8" t="str">
        <f t="shared" si="29"/>
        <v/>
      </c>
    </row>
    <row r="608" spans="1:6" x14ac:dyDescent="0.25">
      <c r="A608" s="13" t="str">
        <f>IF(AND($E608="",MAX($A$8:$A607)=0),"",IF(AND($E608&lt;&gt;"",MAX($A$8:$A607)=0),1,IF(AND($E608&lt;&gt;"",MAX($A$8:$A607)&gt;0),MAX($A$8:$A607)+1,"")))</f>
        <v/>
      </c>
      <c r="B608" s="11">
        <v>601</v>
      </c>
      <c r="C608" s="19" t="str">
        <f t="shared" si="27"/>
        <v>EMPTY</v>
      </c>
      <c r="D608" s="3" t="str">
        <f t="shared" si="28"/>
        <v/>
      </c>
      <c r="E608" s="7"/>
      <c r="F608" s="8" t="str">
        <f t="shared" si="29"/>
        <v/>
      </c>
    </row>
    <row r="609" spans="1:6" x14ac:dyDescent="0.25">
      <c r="A609" s="13" t="str">
        <f>IF(AND($E609="",MAX($A$8:$A608)=0),"",IF(AND($E609&lt;&gt;"",MAX($A$8:$A608)=0),1,IF(AND($E609&lt;&gt;"",MAX($A$8:$A608)&gt;0),MAX($A$8:$A608)+1,"")))</f>
        <v/>
      </c>
      <c r="B609" s="11">
        <v>602</v>
      </c>
      <c r="C609" s="19" t="str">
        <f t="shared" si="27"/>
        <v>EMPTY</v>
      </c>
      <c r="D609" s="3" t="str">
        <f t="shared" si="28"/>
        <v/>
      </c>
      <c r="E609" s="7"/>
      <c r="F609" s="8" t="str">
        <f t="shared" si="29"/>
        <v/>
      </c>
    </row>
    <row r="610" spans="1:6" x14ac:dyDescent="0.25">
      <c r="A610" s="13" t="str">
        <f>IF(AND($E610="",MAX($A$8:$A609)=0),"",IF(AND($E610&lt;&gt;"",MAX($A$8:$A609)=0),1,IF(AND($E610&lt;&gt;"",MAX($A$8:$A609)&gt;0),MAX($A$8:$A609)+1,"")))</f>
        <v/>
      </c>
      <c r="B610" s="11">
        <v>603</v>
      </c>
      <c r="C610" s="19" t="str">
        <f t="shared" si="27"/>
        <v>EMPTY</v>
      </c>
      <c r="D610" s="3" t="str">
        <f t="shared" si="28"/>
        <v/>
      </c>
      <c r="E610" s="7"/>
      <c r="F610" s="8" t="str">
        <f t="shared" si="29"/>
        <v/>
      </c>
    </row>
    <row r="611" spans="1:6" x14ac:dyDescent="0.25">
      <c r="A611" s="13" t="str">
        <f>IF(AND($E611="",MAX($A$8:$A610)=0),"",IF(AND($E611&lt;&gt;"",MAX($A$8:$A610)=0),1,IF(AND($E611&lt;&gt;"",MAX($A$8:$A610)&gt;0),MAX($A$8:$A610)+1,"")))</f>
        <v/>
      </c>
      <c r="B611" s="11">
        <v>604</v>
      </c>
      <c r="C611" s="19" t="str">
        <f t="shared" si="27"/>
        <v>EMPTY</v>
      </c>
      <c r="D611" s="3" t="str">
        <f t="shared" si="28"/>
        <v/>
      </c>
      <c r="E611" s="7"/>
      <c r="F611" s="8" t="str">
        <f t="shared" si="29"/>
        <v/>
      </c>
    </row>
    <row r="612" spans="1:6" x14ac:dyDescent="0.25">
      <c r="A612" s="13" t="str">
        <f>IF(AND($E612="",MAX($A$8:$A611)=0),"",IF(AND($E612&lt;&gt;"",MAX($A$8:$A611)=0),1,IF(AND($E612&lt;&gt;"",MAX($A$8:$A611)&gt;0),MAX($A$8:$A611)+1,"")))</f>
        <v/>
      </c>
      <c r="B612" s="11">
        <v>605</v>
      </c>
      <c r="C612" s="19" t="str">
        <f t="shared" si="27"/>
        <v>EMPTY</v>
      </c>
      <c r="D612" s="3" t="str">
        <f t="shared" si="28"/>
        <v/>
      </c>
      <c r="E612" s="7"/>
      <c r="F612" s="8" t="str">
        <f t="shared" si="29"/>
        <v/>
      </c>
    </row>
    <row r="613" spans="1:6" x14ac:dyDescent="0.25">
      <c r="A613" s="13" t="str">
        <f>IF(AND($E613="",MAX($A$8:$A612)=0),"",IF(AND($E613&lt;&gt;"",MAX($A$8:$A612)=0),1,IF(AND($E613&lt;&gt;"",MAX($A$8:$A612)&gt;0),MAX($A$8:$A612)+1,"")))</f>
        <v/>
      </c>
      <c r="B613" s="11">
        <v>606</v>
      </c>
      <c r="C613" s="19" t="str">
        <f t="shared" si="27"/>
        <v>EMPTY</v>
      </c>
      <c r="D613" s="3" t="str">
        <f t="shared" si="28"/>
        <v/>
      </c>
      <c r="E613" s="7"/>
      <c r="F613" s="8" t="str">
        <f t="shared" si="29"/>
        <v/>
      </c>
    </row>
    <row r="614" spans="1:6" x14ac:dyDescent="0.25">
      <c r="A614" s="13" t="str">
        <f>IF(AND($E614="",MAX($A$8:$A613)=0),"",IF(AND($E614&lt;&gt;"",MAX($A$8:$A613)=0),1,IF(AND($E614&lt;&gt;"",MAX($A$8:$A613)&gt;0),MAX($A$8:$A613)+1,"")))</f>
        <v/>
      </c>
      <c r="B614" s="11">
        <v>607</v>
      </c>
      <c r="C614" s="19" t="str">
        <f t="shared" si="27"/>
        <v>EMPTY</v>
      </c>
      <c r="D614" s="3" t="str">
        <f t="shared" si="28"/>
        <v/>
      </c>
      <c r="E614" s="7"/>
      <c r="F614" s="8" t="str">
        <f t="shared" si="29"/>
        <v/>
      </c>
    </row>
    <row r="615" spans="1:6" x14ac:dyDescent="0.25">
      <c r="A615" s="13" t="str">
        <f>IF(AND($E615="",MAX($A$8:$A614)=0),"",IF(AND($E615&lt;&gt;"",MAX($A$8:$A614)=0),1,IF(AND($E615&lt;&gt;"",MAX($A$8:$A614)&gt;0),MAX($A$8:$A614)+1,"")))</f>
        <v/>
      </c>
      <c r="B615" s="11">
        <v>608</v>
      </c>
      <c r="C615" s="19" t="str">
        <f t="shared" si="27"/>
        <v>EMPTY</v>
      </c>
      <c r="D615" s="3" t="str">
        <f t="shared" si="28"/>
        <v/>
      </c>
      <c r="E615" s="7"/>
      <c r="F615" s="8" t="str">
        <f t="shared" si="29"/>
        <v/>
      </c>
    </row>
    <row r="616" spans="1:6" x14ac:dyDescent="0.25">
      <c r="A616" s="13" t="str">
        <f>IF(AND($E616="",MAX($A$8:$A615)=0),"",IF(AND($E616&lt;&gt;"",MAX($A$8:$A615)=0),1,IF(AND($E616&lt;&gt;"",MAX($A$8:$A615)&gt;0),MAX($A$8:$A615)+1,"")))</f>
        <v/>
      </c>
      <c r="B616" s="11">
        <v>609</v>
      </c>
      <c r="C616" s="19" t="str">
        <f t="shared" si="27"/>
        <v>EMPTY</v>
      </c>
      <c r="D616" s="3" t="str">
        <f t="shared" si="28"/>
        <v/>
      </c>
      <c r="E616" s="7"/>
      <c r="F616" s="8" t="str">
        <f t="shared" si="29"/>
        <v/>
      </c>
    </row>
    <row r="617" spans="1:6" x14ac:dyDescent="0.25">
      <c r="A617" s="13" t="str">
        <f>IF(AND($E617="",MAX($A$8:$A616)=0),"",IF(AND($E617&lt;&gt;"",MAX($A$8:$A616)=0),1,IF(AND($E617&lt;&gt;"",MAX($A$8:$A616)&gt;0),MAX($A$8:$A616)+1,"")))</f>
        <v/>
      </c>
      <c r="B617" s="11">
        <v>610</v>
      </c>
      <c r="C617" s="19" t="str">
        <f t="shared" si="27"/>
        <v>EMPTY</v>
      </c>
      <c r="D617" s="3" t="str">
        <f t="shared" si="28"/>
        <v/>
      </c>
      <c r="E617" s="7"/>
      <c r="F617" s="8" t="str">
        <f t="shared" si="29"/>
        <v/>
      </c>
    </row>
    <row r="618" spans="1:6" x14ac:dyDescent="0.25">
      <c r="A618" s="13" t="str">
        <f>IF(AND($E618="",MAX($A$8:$A617)=0),"",IF(AND($E618&lt;&gt;"",MAX($A$8:$A617)=0),1,IF(AND($E618&lt;&gt;"",MAX($A$8:$A617)&gt;0),MAX($A$8:$A617)+1,"")))</f>
        <v/>
      </c>
      <c r="B618" s="11">
        <v>611</v>
      </c>
      <c r="C618" s="19" t="str">
        <f t="shared" si="27"/>
        <v>EMPTY</v>
      </c>
      <c r="D618" s="3" t="str">
        <f t="shared" si="28"/>
        <v/>
      </c>
      <c r="E618" s="7"/>
      <c r="F618" s="8" t="str">
        <f t="shared" si="29"/>
        <v/>
      </c>
    </row>
    <row r="619" spans="1:6" x14ac:dyDescent="0.25">
      <c r="A619" s="13" t="str">
        <f>IF(AND($E619="",MAX($A$8:$A618)=0),"",IF(AND($E619&lt;&gt;"",MAX($A$8:$A618)=0),1,IF(AND($E619&lt;&gt;"",MAX($A$8:$A618)&gt;0),MAX($A$8:$A618)+1,"")))</f>
        <v/>
      </c>
      <c r="B619" s="11">
        <v>612</v>
      </c>
      <c r="C619" s="19" t="str">
        <f t="shared" si="27"/>
        <v>EMPTY</v>
      </c>
      <c r="D619" s="3" t="str">
        <f t="shared" si="28"/>
        <v/>
      </c>
      <c r="E619" s="7"/>
      <c r="F619" s="8" t="str">
        <f t="shared" si="29"/>
        <v/>
      </c>
    </row>
    <row r="620" spans="1:6" x14ac:dyDescent="0.25">
      <c r="A620" s="13" t="str">
        <f>IF(AND($E620="",MAX($A$8:$A619)=0),"",IF(AND($E620&lt;&gt;"",MAX($A$8:$A619)=0),1,IF(AND($E620&lt;&gt;"",MAX($A$8:$A619)&gt;0),MAX($A$8:$A619)+1,"")))</f>
        <v/>
      </c>
      <c r="B620" s="11">
        <v>613</v>
      </c>
      <c r="C620" s="19" t="str">
        <f t="shared" si="27"/>
        <v>EMPTY</v>
      </c>
      <c r="D620" s="3" t="str">
        <f t="shared" si="28"/>
        <v/>
      </c>
      <c r="E620" s="7"/>
      <c r="F620" s="8" t="str">
        <f t="shared" si="29"/>
        <v/>
      </c>
    </row>
    <row r="621" spans="1:6" x14ac:dyDescent="0.25">
      <c r="A621" s="13" t="str">
        <f>IF(AND($E621="",MAX($A$8:$A620)=0),"",IF(AND($E621&lt;&gt;"",MAX($A$8:$A620)=0),1,IF(AND($E621&lt;&gt;"",MAX($A$8:$A620)&gt;0),MAX($A$8:$A620)+1,"")))</f>
        <v/>
      </c>
      <c r="B621" s="11">
        <v>614</v>
      </c>
      <c r="C621" s="19" t="str">
        <f t="shared" si="27"/>
        <v>EMPTY</v>
      </c>
      <c r="D621" s="3" t="str">
        <f t="shared" si="28"/>
        <v/>
      </c>
      <c r="E621" s="7"/>
      <c r="F621" s="8" t="str">
        <f t="shared" si="29"/>
        <v/>
      </c>
    </row>
    <row r="622" spans="1:6" x14ac:dyDescent="0.25">
      <c r="A622" s="13" t="str">
        <f>IF(AND($E622="",MAX($A$8:$A621)=0),"",IF(AND($E622&lt;&gt;"",MAX($A$8:$A621)=0),1,IF(AND($E622&lt;&gt;"",MAX($A$8:$A621)&gt;0),MAX($A$8:$A621)+1,"")))</f>
        <v/>
      </c>
      <c r="B622" s="11">
        <v>615</v>
      </c>
      <c r="C622" s="19" t="str">
        <f t="shared" si="27"/>
        <v>EMPTY</v>
      </c>
      <c r="D622" s="3" t="str">
        <f t="shared" si="28"/>
        <v/>
      </c>
      <c r="E622" s="7"/>
      <c r="F622" s="8" t="str">
        <f t="shared" si="29"/>
        <v/>
      </c>
    </row>
    <row r="623" spans="1:6" x14ac:dyDescent="0.25">
      <c r="A623" s="13" t="str">
        <f>IF(AND($E623="",MAX($A$8:$A622)=0),"",IF(AND($E623&lt;&gt;"",MAX($A$8:$A622)=0),1,IF(AND($E623&lt;&gt;"",MAX($A$8:$A622)&gt;0),MAX($A$8:$A622)+1,"")))</f>
        <v/>
      </c>
      <c r="B623" s="11">
        <v>616</v>
      </c>
      <c r="C623" s="19" t="str">
        <f t="shared" si="27"/>
        <v>EMPTY</v>
      </c>
      <c r="D623" s="3" t="str">
        <f t="shared" si="28"/>
        <v/>
      </c>
      <c r="E623" s="7"/>
      <c r="F623" s="8" t="str">
        <f t="shared" si="29"/>
        <v/>
      </c>
    </row>
    <row r="624" spans="1:6" x14ac:dyDescent="0.25">
      <c r="A624" s="13" t="str">
        <f>IF(AND($E624="",MAX($A$8:$A623)=0),"",IF(AND($E624&lt;&gt;"",MAX($A$8:$A623)=0),1,IF(AND($E624&lt;&gt;"",MAX($A$8:$A623)&gt;0),MAX($A$8:$A623)+1,"")))</f>
        <v/>
      </c>
      <c r="B624" s="11">
        <v>617</v>
      </c>
      <c r="C624" s="19" t="str">
        <f t="shared" si="27"/>
        <v>EMPTY</v>
      </c>
      <c r="D624" s="3" t="str">
        <f t="shared" si="28"/>
        <v/>
      </c>
      <c r="E624" s="7"/>
      <c r="F624" s="8" t="str">
        <f t="shared" si="29"/>
        <v/>
      </c>
    </row>
    <row r="625" spans="1:6" x14ac:dyDescent="0.25">
      <c r="A625" s="13" t="str">
        <f>IF(AND($E625="",MAX($A$8:$A624)=0),"",IF(AND($E625&lt;&gt;"",MAX($A$8:$A624)=0),1,IF(AND($E625&lt;&gt;"",MAX($A$8:$A624)&gt;0),MAX($A$8:$A624)+1,"")))</f>
        <v/>
      </c>
      <c r="B625" s="11">
        <v>618</v>
      </c>
      <c r="C625" s="19" t="str">
        <f t="shared" si="27"/>
        <v>EMPTY</v>
      </c>
      <c r="D625" s="3" t="str">
        <f t="shared" si="28"/>
        <v/>
      </c>
      <c r="E625" s="7"/>
      <c r="F625" s="8" t="str">
        <f t="shared" si="29"/>
        <v/>
      </c>
    </row>
    <row r="626" spans="1:6" x14ac:dyDescent="0.25">
      <c r="A626" s="13" t="str">
        <f>IF(AND($E626="",MAX($A$8:$A625)=0),"",IF(AND($E626&lt;&gt;"",MAX($A$8:$A625)=0),1,IF(AND($E626&lt;&gt;"",MAX($A$8:$A625)&gt;0),MAX($A$8:$A625)+1,"")))</f>
        <v/>
      </c>
      <c r="B626" s="11">
        <v>619</v>
      </c>
      <c r="C626" s="19" t="str">
        <f t="shared" si="27"/>
        <v>EMPTY</v>
      </c>
      <c r="D626" s="3" t="str">
        <f t="shared" si="28"/>
        <v/>
      </c>
      <c r="E626" s="7"/>
      <c r="F626" s="8" t="str">
        <f t="shared" si="29"/>
        <v/>
      </c>
    </row>
    <row r="627" spans="1:6" x14ac:dyDescent="0.25">
      <c r="A627" s="13" t="str">
        <f>IF(AND($E627="",MAX($A$8:$A626)=0),"",IF(AND($E627&lt;&gt;"",MAX($A$8:$A626)=0),1,IF(AND($E627&lt;&gt;"",MAX($A$8:$A626)&gt;0),MAX($A$8:$A626)+1,"")))</f>
        <v/>
      </c>
      <c r="B627" s="11">
        <v>620</v>
      </c>
      <c r="C627" s="19" t="str">
        <f t="shared" si="27"/>
        <v>EMPTY</v>
      </c>
      <c r="D627" s="3" t="str">
        <f t="shared" si="28"/>
        <v/>
      </c>
      <c r="E627" s="7"/>
      <c r="F627" s="8" t="str">
        <f t="shared" si="29"/>
        <v/>
      </c>
    </row>
    <row r="628" spans="1:6" x14ac:dyDescent="0.25">
      <c r="A628" s="13" t="str">
        <f>IF(AND($E628="",MAX($A$8:$A627)=0),"",IF(AND($E628&lt;&gt;"",MAX($A$8:$A627)=0),1,IF(AND($E628&lt;&gt;"",MAX($A$8:$A627)&gt;0),MAX($A$8:$A627)+1,"")))</f>
        <v/>
      </c>
      <c r="B628" s="11">
        <v>621</v>
      </c>
      <c r="C628" s="19" t="str">
        <f t="shared" si="27"/>
        <v>EMPTY</v>
      </c>
      <c r="D628" s="3" t="str">
        <f t="shared" si="28"/>
        <v/>
      </c>
      <c r="E628" s="7"/>
      <c r="F628" s="8" t="str">
        <f t="shared" si="29"/>
        <v/>
      </c>
    </row>
    <row r="629" spans="1:6" x14ac:dyDescent="0.25">
      <c r="A629" s="13" t="str">
        <f>IF(AND($E629="",MAX($A$8:$A628)=0),"",IF(AND($E629&lt;&gt;"",MAX($A$8:$A628)=0),1,IF(AND($E629&lt;&gt;"",MAX($A$8:$A628)&gt;0),MAX($A$8:$A628)+1,"")))</f>
        <v/>
      </c>
      <c r="B629" s="11">
        <v>622</v>
      </c>
      <c r="C629" s="19" t="str">
        <f t="shared" si="27"/>
        <v>EMPTY</v>
      </c>
      <c r="D629" s="3" t="str">
        <f t="shared" si="28"/>
        <v/>
      </c>
      <c r="E629" s="7"/>
      <c r="F629" s="8" t="str">
        <f t="shared" si="29"/>
        <v/>
      </c>
    </row>
    <row r="630" spans="1:6" x14ac:dyDescent="0.25">
      <c r="A630" s="13" t="str">
        <f>IF(AND($E630="",MAX($A$8:$A629)=0),"",IF(AND($E630&lt;&gt;"",MAX($A$8:$A629)=0),1,IF(AND($E630&lt;&gt;"",MAX($A$8:$A629)&gt;0),MAX($A$8:$A629)+1,"")))</f>
        <v/>
      </c>
      <c r="B630" s="11">
        <v>623</v>
      </c>
      <c r="C630" s="19" t="str">
        <f t="shared" si="27"/>
        <v>EMPTY</v>
      </c>
      <c r="D630" s="3" t="str">
        <f t="shared" si="28"/>
        <v/>
      </c>
      <c r="E630" s="7"/>
      <c r="F630" s="8" t="str">
        <f t="shared" si="29"/>
        <v/>
      </c>
    </row>
    <row r="631" spans="1:6" x14ac:dyDescent="0.25">
      <c r="A631" s="13" t="str">
        <f>IF(AND($E631="",MAX($A$8:$A630)=0),"",IF(AND($E631&lt;&gt;"",MAX($A$8:$A630)=0),1,IF(AND($E631&lt;&gt;"",MAX($A$8:$A630)&gt;0),MAX($A$8:$A630)+1,"")))</f>
        <v/>
      </c>
      <c r="B631" s="11">
        <v>624</v>
      </c>
      <c r="C631" s="19" t="str">
        <f t="shared" si="27"/>
        <v>EMPTY</v>
      </c>
      <c r="D631" s="3" t="str">
        <f t="shared" si="28"/>
        <v/>
      </c>
      <c r="E631" s="7"/>
      <c r="F631" s="8" t="str">
        <f t="shared" si="29"/>
        <v/>
      </c>
    </row>
    <row r="632" spans="1:6" x14ac:dyDescent="0.25">
      <c r="A632" s="13" t="str">
        <f>IF(AND($E632="",MAX($A$8:$A631)=0),"",IF(AND($E632&lt;&gt;"",MAX($A$8:$A631)=0),1,IF(AND($E632&lt;&gt;"",MAX($A$8:$A631)&gt;0),MAX($A$8:$A631)+1,"")))</f>
        <v/>
      </c>
      <c r="B632" s="11">
        <v>625</v>
      </c>
      <c r="C632" s="19" t="str">
        <f t="shared" si="27"/>
        <v>EMPTY</v>
      </c>
      <c r="D632" s="3" t="str">
        <f t="shared" si="28"/>
        <v/>
      </c>
      <c r="E632" s="7"/>
      <c r="F632" s="8" t="str">
        <f t="shared" si="29"/>
        <v/>
      </c>
    </row>
    <row r="633" spans="1:6" x14ac:dyDescent="0.25">
      <c r="A633" s="13" t="str">
        <f>IF(AND($E633="",MAX($A$8:$A632)=0),"",IF(AND($E633&lt;&gt;"",MAX($A$8:$A632)=0),1,IF(AND($E633&lt;&gt;"",MAX($A$8:$A632)&gt;0),MAX($A$8:$A632)+1,"")))</f>
        <v/>
      </c>
      <c r="B633" s="11">
        <v>626</v>
      </c>
      <c r="C633" s="19" t="str">
        <f t="shared" si="27"/>
        <v>EMPTY</v>
      </c>
      <c r="D633" s="3" t="str">
        <f t="shared" si="28"/>
        <v/>
      </c>
      <c r="E633" s="7"/>
      <c r="F633" s="8" t="str">
        <f t="shared" si="29"/>
        <v/>
      </c>
    </row>
    <row r="634" spans="1:6" x14ac:dyDescent="0.25">
      <c r="A634" s="13" t="str">
        <f>IF(AND($E634="",MAX($A$8:$A633)=0),"",IF(AND($E634&lt;&gt;"",MAX($A$8:$A633)=0),1,IF(AND($E634&lt;&gt;"",MAX($A$8:$A633)&gt;0),MAX($A$8:$A633)+1,"")))</f>
        <v/>
      </c>
      <c r="B634" s="11">
        <v>627</v>
      </c>
      <c r="C634" s="19" t="str">
        <f t="shared" si="27"/>
        <v>EMPTY</v>
      </c>
      <c r="D634" s="3" t="str">
        <f t="shared" si="28"/>
        <v/>
      </c>
      <c r="E634" s="7"/>
      <c r="F634" s="8" t="str">
        <f t="shared" si="29"/>
        <v/>
      </c>
    </row>
    <row r="635" spans="1:6" x14ac:dyDescent="0.25">
      <c r="A635" s="13" t="str">
        <f>IF(AND($E635="",MAX($A$8:$A634)=0),"",IF(AND($E635&lt;&gt;"",MAX($A$8:$A634)=0),1,IF(AND($E635&lt;&gt;"",MAX($A$8:$A634)&gt;0),MAX($A$8:$A634)+1,"")))</f>
        <v/>
      </c>
      <c r="B635" s="11">
        <v>628</v>
      </c>
      <c r="C635" s="19" t="str">
        <f t="shared" si="27"/>
        <v>EMPTY</v>
      </c>
      <c r="D635" s="3" t="str">
        <f t="shared" si="28"/>
        <v/>
      </c>
      <c r="E635" s="7"/>
      <c r="F635" s="8" t="str">
        <f t="shared" si="29"/>
        <v/>
      </c>
    </row>
    <row r="636" spans="1:6" x14ac:dyDescent="0.25">
      <c r="A636" s="13" t="str">
        <f>IF(AND($E636="",MAX($A$8:$A635)=0),"",IF(AND($E636&lt;&gt;"",MAX($A$8:$A635)=0),1,IF(AND($E636&lt;&gt;"",MAX($A$8:$A635)&gt;0),MAX($A$8:$A635)+1,"")))</f>
        <v/>
      </c>
      <c r="B636" s="11">
        <v>629</v>
      </c>
      <c r="C636" s="19" t="str">
        <f t="shared" si="27"/>
        <v>EMPTY</v>
      </c>
      <c r="D636" s="3" t="str">
        <f t="shared" si="28"/>
        <v/>
      </c>
      <c r="E636" s="7"/>
      <c r="F636" s="8" t="str">
        <f t="shared" si="29"/>
        <v/>
      </c>
    </row>
    <row r="637" spans="1:6" x14ac:dyDescent="0.25">
      <c r="A637" s="13" t="str">
        <f>IF(AND($E637="",MAX($A$8:$A636)=0),"",IF(AND($E637&lt;&gt;"",MAX($A$8:$A636)=0),1,IF(AND($E637&lt;&gt;"",MAX($A$8:$A636)&gt;0),MAX($A$8:$A636)+1,"")))</f>
        <v/>
      </c>
      <c r="B637" s="11">
        <v>630</v>
      </c>
      <c r="C637" s="19" t="str">
        <f t="shared" si="27"/>
        <v>EMPTY</v>
      </c>
      <c r="D637" s="3" t="str">
        <f t="shared" si="28"/>
        <v/>
      </c>
      <c r="E637" s="7"/>
      <c r="F637" s="8" t="str">
        <f t="shared" si="29"/>
        <v/>
      </c>
    </row>
    <row r="638" spans="1:6" x14ac:dyDescent="0.25">
      <c r="A638" s="13" t="str">
        <f>IF(AND($E638="",MAX($A$8:$A637)=0),"",IF(AND($E638&lt;&gt;"",MAX($A$8:$A637)=0),1,IF(AND($E638&lt;&gt;"",MAX($A$8:$A637)&gt;0),MAX($A$8:$A637)+1,"")))</f>
        <v/>
      </c>
      <c r="B638" s="11">
        <v>631</v>
      </c>
      <c r="C638" s="19" t="str">
        <f t="shared" si="27"/>
        <v>EMPTY</v>
      </c>
      <c r="D638" s="3" t="str">
        <f t="shared" si="28"/>
        <v/>
      </c>
      <c r="E638" s="7"/>
      <c r="F638" s="8" t="str">
        <f t="shared" si="29"/>
        <v/>
      </c>
    </row>
    <row r="639" spans="1:6" x14ac:dyDescent="0.25">
      <c r="A639" s="13" t="str">
        <f>IF(AND($E639="",MAX($A$8:$A638)=0),"",IF(AND($E639&lt;&gt;"",MAX($A$8:$A638)=0),1,IF(AND($E639&lt;&gt;"",MAX($A$8:$A638)&gt;0),MAX($A$8:$A638)+1,"")))</f>
        <v/>
      </c>
      <c r="B639" s="11">
        <v>632</v>
      </c>
      <c r="C639" s="19" t="str">
        <f t="shared" si="27"/>
        <v>EMPTY</v>
      </c>
      <c r="D639" s="3" t="str">
        <f t="shared" si="28"/>
        <v/>
      </c>
      <c r="E639" s="7"/>
      <c r="F639" s="8" t="str">
        <f t="shared" si="29"/>
        <v/>
      </c>
    </row>
    <row r="640" spans="1:6" x14ac:dyDescent="0.25">
      <c r="A640" s="13" t="str">
        <f>IF(AND($E640="",MAX($A$8:$A639)=0),"",IF(AND($E640&lt;&gt;"",MAX($A$8:$A639)=0),1,IF(AND($E640&lt;&gt;"",MAX($A$8:$A639)&gt;0),MAX($A$8:$A639)+1,"")))</f>
        <v/>
      </c>
      <c r="B640" s="11">
        <v>633</v>
      </c>
      <c r="C640" s="19" t="str">
        <f t="shared" si="27"/>
        <v>EMPTY</v>
      </c>
      <c r="D640" s="3" t="str">
        <f t="shared" si="28"/>
        <v/>
      </c>
      <c r="E640" s="7"/>
      <c r="F640" s="8" t="str">
        <f t="shared" si="29"/>
        <v/>
      </c>
    </row>
    <row r="641" spans="1:6" x14ac:dyDescent="0.25">
      <c r="A641" s="13" t="str">
        <f>IF(AND($E641="",MAX($A$8:$A640)=0),"",IF(AND($E641&lt;&gt;"",MAX($A$8:$A640)=0),1,IF(AND($E641&lt;&gt;"",MAX($A$8:$A640)&gt;0),MAX($A$8:$A640)+1,"")))</f>
        <v/>
      </c>
      <c r="B641" s="11">
        <v>634</v>
      </c>
      <c r="C641" s="19" t="str">
        <f t="shared" si="27"/>
        <v>EMPTY</v>
      </c>
      <c r="D641" s="3" t="str">
        <f t="shared" si="28"/>
        <v/>
      </c>
      <c r="E641" s="7"/>
      <c r="F641" s="8" t="str">
        <f t="shared" si="29"/>
        <v/>
      </c>
    </row>
    <row r="642" spans="1:6" x14ac:dyDescent="0.25">
      <c r="A642" s="13" t="str">
        <f>IF(AND($E642="",MAX($A$8:$A641)=0),"",IF(AND($E642&lt;&gt;"",MAX($A$8:$A641)=0),1,IF(AND($E642&lt;&gt;"",MAX($A$8:$A641)&gt;0),MAX($A$8:$A641)+1,"")))</f>
        <v/>
      </c>
      <c r="B642" s="11">
        <v>635</v>
      </c>
      <c r="C642" s="19" t="str">
        <f t="shared" si="27"/>
        <v>EMPTY</v>
      </c>
      <c r="D642" s="3" t="str">
        <f t="shared" si="28"/>
        <v/>
      </c>
      <c r="E642" s="7"/>
      <c r="F642" s="8" t="str">
        <f t="shared" si="29"/>
        <v/>
      </c>
    </row>
    <row r="643" spans="1:6" x14ac:dyDescent="0.25">
      <c r="A643" s="13" t="str">
        <f>IF(AND($E643="",MAX($A$8:$A642)=0),"",IF(AND($E643&lt;&gt;"",MAX($A$8:$A642)=0),1,IF(AND($E643&lt;&gt;"",MAX($A$8:$A642)&gt;0),MAX($A$8:$A642)+1,"")))</f>
        <v/>
      </c>
      <c r="B643" s="11">
        <v>636</v>
      </c>
      <c r="C643" s="19" t="str">
        <f t="shared" si="27"/>
        <v>EMPTY</v>
      </c>
      <c r="D643" s="3" t="str">
        <f t="shared" si="28"/>
        <v/>
      </c>
      <c r="E643" s="7"/>
      <c r="F643" s="8" t="str">
        <f t="shared" si="29"/>
        <v/>
      </c>
    </row>
    <row r="644" spans="1:6" x14ac:dyDescent="0.25">
      <c r="A644" s="13" t="str">
        <f>IF(AND($E644="",MAX($A$8:$A643)=0),"",IF(AND($E644&lt;&gt;"",MAX($A$8:$A643)=0),1,IF(AND($E644&lt;&gt;"",MAX($A$8:$A643)&gt;0),MAX($A$8:$A643)+1,"")))</f>
        <v/>
      </c>
      <c r="B644" s="11">
        <v>637</v>
      </c>
      <c r="C644" s="19" t="str">
        <f t="shared" si="27"/>
        <v>EMPTY</v>
      </c>
      <c r="D644" s="3" t="str">
        <f t="shared" si="28"/>
        <v/>
      </c>
      <c r="E644" s="7"/>
      <c r="F644" s="8" t="str">
        <f t="shared" si="29"/>
        <v/>
      </c>
    </row>
    <row r="645" spans="1:6" x14ac:dyDescent="0.25">
      <c r="A645" s="13" t="str">
        <f>IF(AND($E645="",MAX($A$8:$A644)=0),"",IF(AND($E645&lt;&gt;"",MAX($A$8:$A644)=0),1,IF(AND($E645&lt;&gt;"",MAX($A$8:$A644)&gt;0),MAX($A$8:$A644)+1,"")))</f>
        <v/>
      </c>
      <c r="B645" s="11">
        <v>638</v>
      </c>
      <c r="C645" s="19" t="str">
        <f t="shared" si="27"/>
        <v>EMPTY</v>
      </c>
      <c r="D645" s="3" t="str">
        <f t="shared" si="28"/>
        <v/>
      </c>
      <c r="E645" s="7"/>
      <c r="F645" s="8" t="str">
        <f t="shared" si="29"/>
        <v/>
      </c>
    </row>
    <row r="646" spans="1:6" x14ac:dyDescent="0.25">
      <c r="A646" s="13" t="str">
        <f>IF(AND($E646="",MAX($A$8:$A645)=0),"",IF(AND($E646&lt;&gt;"",MAX($A$8:$A645)=0),1,IF(AND($E646&lt;&gt;"",MAX($A$8:$A645)&gt;0),MAX($A$8:$A645)+1,"")))</f>
        <v/>
      </c>
      <c r="B646" s="11">
        <v>639</v>
      </c>
      <c r="C646" s="19" t="str">
        <f t="shared" si="27"/>
        <v>EMPTY</v>
      </c>
      <c r="D646" s="3" t="str">
        <f t="shared" si="28"/>
        <v/>
      </c>
      <c r="E646" s="7"/>
      <c r="F646" s="8" t="str">
        <f t="shared" si="29"/>
        <v/>
      </c>
    </row>
    <row r="647" spans="1:6" x14ac:dyDescent="0.25">
      <c r="A647" s="13" t="str">
        <f>IF(AND($E647="",MAX($A$8:$A646)=0),"",IF(AND($E647&lt;&gt;"",MAX($A$8:$A646)=0),1,IF(AND($E647&lt;&gt;"",MAX($A$8:$A646)&gt;0),MAX($A$8:$A646)+1,"")))</f>
        <v/>
      </c>
      <c r="B647" s="11">
        <v>640</v>
      </c>
      <c r="C647" s="19" t="str">
        <f t="shared" si="27"/>
        <v>EMPTY</v>
      </c>
      <c r="D647" s="3" t="str">
        <f t="shared" si="28"/>
        <v/>
      </c>
      <c r="E647" s="7"/>
      <c r="F647" s="8" t="str">
        <f t="shared" si="29"/>
        <v/>
      </c>
    </row>
    <row r="648" spans="1:6" x14ac:dyDescent="0.25">
      <c r="A648" s="13" t="str">
        <f>IF(AND($E648="",MAX($A$8:$A647)=0),"",IF(AND($E648&lt;&gt;"",MAX($A$8:$A647)=0),1,IF(AND($E648&lt;&gt;"",MAX($A$8:$A647)&gt;0),MAX($A$8:$A647)+1,"")))</f>
        <v/>
      </c>
      <c r="B648" s="11">
        <v>641</v>
      </c>
      <c r="C648" s="19" t="str">
        <f t="shared" si="27"/>
        <v>EMPTY</v>
      </c>
      <c r="D648" s="3" t="str">
        <f t="shared" si="28"/>
        <v/>
      </c>
      <c r="E648" s="7"/>
      <c r="F648" s="8" t="str">
        <f t="shared" si="29"/>
        <v/>
      </c>
    </row>
    <row r="649" spans="1:6" x14ac:dyDescent="0.25">
      <c r="A649" s="13" t="str">
        <f>IF(AND($E649="",MAX($A$8:$A648)=0),"",IF(AND($E649&lt;&gt;"",MAX($A$8:$A648)=0),1,IF(AND($E649&lt;&gt;"",MAX($A$8:$A648)&gt;0),MAX($A$8:$A648)+1,"")))</f>
        <v/>
      </c>
      <c r="B649" s="11">
        <v>642</v>
      </c>
      <c r="C649" s="19" t="str">
        <f t="shared" ref="C649:C712" si="30">IF($E649="","EMPTY",IF(MID($E649,1,9)&lt;&gt;"Dialogue:","HIDE",IF(MID($E649,1,9)="Dialogue:","SHOW","")))</f>
        <v>EMPTY</v>
      </c>
      <c r="D649" s="3" t="str">
        <f t="shared" ref="D649:D712" si="31">IF($C649="SHOW",CONCATENATE("[",MID($E649,FIND(",",$E649,1)+3,8),"]",MID($E649,FIND("0,,",$E649,1)+3,1000)),"")</f>
        <v/>
      </c>
      <c r="E649" s="7"/>
      <c r="F649" s="8" t="str">
        <f t="shared" ref="F649:F712" si="32">$D649</f>
        <v/>
      </c>
    </row>
    <row r="650" spans="1:6" x14ac:dyDescent="0.25">
      <c r="A650" s="13" t="str">
        <f>IF(AND($E650="",MAX($A$8:$A649)=0),"",IF(AND($E650&lt;&gt;"",MAX($A$8:$A649)=0),1,IF(AND($E650&lt;&gt;"",MAX($A$8:$A649)&gt;0),MAX($A$8:$A649)+1,"")))</f>
        <v/>
      </c>
      <c r="B650" s="11">
        <v>643</v>
      </c>
      <c r="C650" s="19" t="str">
        <f t="shared" si="30"/>
        <v>EMPTY</v>
      </c>
      <c r="D650" s="3" t="str">
        <f t="shared" si="31"/>
        <v/>
      </c>
      <c r="E650" s="7"/>
      <c r="F650" s="8" t="str">
        <f t="shared" si="32"/>
        <v/>
      </c>
    </row>
    <row r="651" spans="1:6" x14ac:dyDescent="0.25">
      <c r="A651" s="13" t="str">
        <f>IF(AND($E651="",MAX($A$8:$A650)=0),"",IF(AND($E651&lt;&gt;"",MAX($A$8:$A650)=0),1,IF(AND($E651&lt;&gt;"",MAX($A$8:$A650)&gt;0),MAX($A$8:$A650)+1,"")))</f>
        <v/>
      </c>
      <c r="B651" s="11">
        <v>644</v>
      </c>
      <c r="C651" s="19" t="str">
        <f t="shared" si="30"/>
        <v>EMPTY</v>
      </c>
      <c r="D651" s="3" t="str">
        <f t="shared" si="31"/>
        <v/>
      </c>
      <c r="E651" s="7"/>
      <c r="F651" s="8" t="str">
        <f t="shared" si="32"/>
        <v/>
      </c>
    </row>
    <row r="652" spans="1:6" x14ac:dyDescent="0.25">
      <c r="A652" s="13" t="str">
        <f>IF(AND($E652="",MAX($A$8:$A651)=0),"",IF(AND($E652&lt;&gt;"",MAX($A$8:$A651)=0),1,IF(AND($E652&lt;&gt;"",MAX($A$8:$A651)&gt;0),MAX($A$8:$A651)+1,"")))</f>
        <v/>
      </c>
      <c r="B652" s="11">
        <v>645</v>
      </c>
      <c r="C652" s="19" t="str">
        <f t="shared" si="30"/>
        <v>EMPTY</v>
      </c>
      <c r="D652" s="3" t="str">
        <f t="shared" si="31"/>
        <v/>
      </c>
      <c r="E652" s="7"/>
      <c r="F652" s="8" t="str">
        <f t="shared" si="32"/>
        <v/>
      </c>
    </row>
    <row r="653" spans="1:6" x14ac:dyDescent="0.25">
      <c r="A653" s="13" t="str">
        <f>IF(AND($E653="",MAX($A$8:$A652)=0),"",IF(AND($E653&lt;&gt;"",MAX($A$8:$A652)=0),1,IF(AND($E653&lt;&gt;"",MAX($A$8:$A652)&gt;0),MAX($A$8:$A652)+1,"")))</f>
        <v/>
      </c>
      <c r="B653" s="11">
        <v>646</v>
      </c>
      <c r="C653" s="19" t="str">
        <f t="shared" si="30"/>
        <v>EMPTY</v>
      </c>
      <c r="D653" s="3" t="str">
        <f t="shared" si="31"/>
        <v/>
      </c>
      <c r="E653" s="7"/>
      <c r="F653" s="8" t="str">
        <f t="shared" si="32"/>
        <v/>
      </c>
    </row>
    <row r="654" spans="1:6" x14ac:dyDescent="0.25">
      <c r="A654" s="13" t="str">
        <f>IF(AND($E654="",MAX($A$8:$A653)=0),"",IF(AND($E654&lt;&gt;"",MAX($A$8:$A653)=0),1,IF(AND($E654&lt;&gt;"",MAX($A$8:$A653)&gt;0),MAX($A$8:$A653)+1,"")))</f>
        <v/>
      </c>
      <c r="B654" s="11">
        <v>647</v>
      </c>
      <c r="C654" s="19" t="str">
        <f t="shared" si="30"/>
        <v>EMPTY</v>
      </c>
      <c r="D654" s="3" t="str">
        <f t="shared" si="31"/>
        <v/>
      </c>
      <c r="E654" s="7"/>
      <c r="F654" s="8" t="str">
        <f t="shared" si="32"/>
        <v/>
      </c>
    </row>
    <row r="655" spans="1:6" x14ac:dyDescent="0.25">
      <c r="A655" s="13" t="str">
        <f>IF(AND($E655="",MAX($A$8:$A654)=0),"",IF(AND($E655&lt;&gt;"",MAX($A$8:$A654)=0),1,IF(AND($E655&lt;&gt;"",MAX($A$8:$A654)&gt;0),MAX($A$8:$A654)+1,"")))</f>
        <v/>
      </c>
      <c r="B655" s="11">
        <v>648</v>
      </c>
      <c r="C655" s="19" t="str">
        <f t="shared" si="30"/>
        <v>EMPTY</v>
      </c>
      <c r="D655" s="3" t="str">
        <f t="shared" si="31"/>
        <v/>
      </c>
      <c r="E655" s="7"/>
      <c r="F655" s="8" t="str">
        <f t="shared" si="32"/>
        <v/>
      </c>
    </row>
    <row r="656" spans="1:6" x14ac:dyDescent="0.25">
      <c r="A656" s="13" t="str">
        <f>IF(AND($E656="",MAX($A$8:$A655)=0),"",IF(AND($E656&lt;&gt;"",MAX($A$8:$A655)=0),1,IF(AND($E656&lt;&gt;"",MAX($A$8:$A655)&gt;0),MAX($A$8:$A655)+1,"")))</f>
        <v/>
      </c>
      <c r="B656" s="11">
        <v>649</v>
      </c>
      <c r="C656" s="19" t="str">
        <f t="shared" si="30"/>
        <v>EMPTY</v>
      </c>
      <c r="D656" s="3" t="str">
        <f t="shared" si="31"/>
        <v/>
      </c>
      <c r="E656" s="7"/>
      <c r="F656" s="8" t="str">
        <f t="shared" si="32"/>
        <v/>
      </c>
    </row>
    <row r="657" spans="1:6" x14ac:dyDescent="0.25">
      <c r="A657" s="13" t="str">
        <f>IF(AND($E657="",MAX($A$8:$A656)=0),"",IF(AND($E657&lt;&gt;"",MAX($A$8:$A656)=0),1,IF(AND($E657&lt;&gt;"",MAX($A$8:$A656)&gt;0),MAX($A$8:$A656)+1,"")))</f>
        <v/>
      </c>
      <c r="B657" s="11">
        <v>650</v>
      </c>
      <c r="C657" s="19" t="str">
        <f t="shared" si="30"/>
        <v>EMPTY</v>
      </c>
      <c r="D657" s="3" t="str">
        <f t="shared" si="31"/>
        <v/>
      </c>
      <c r="E657" s="7"/>
      <c r="F657" s="8" t="str">
        <f t="shared" si="32"/>
        <v/>
      </c>
    </row>
    <row r="658" spans="1:6" x14ac:dyDescent="0.25">
      <c r="A658" s="13" t="str">
        <f>IF(AND($E658="",MAX($A$8:$A657)=0),"",IF(AND($E658&lt;&gt;"",MAX($A$8:$A657)=0),1,IF(AND($E658&lt;&gt;"",MAX($A$8:$A657)&gt;0),MAX($A$8:$A657)+1,"")))</f>
        <v/>
      </c>
      <c r="B658" s="11">
        <v>651</v>
      </c>
      <c r="C658" s="19" t="str">
        <f t="shared" si="30"/>
        <v>EMPTY</v>
      </c>
      <c r="D658" s="3" t="str">
        <f t="shared" si="31"/>
        <v/>
      </c>
      <c r="E658" s="7"/>
      <c r="F658" s="8" t="str">
        <f t="shared" si="32"/>
        <v/>
      </c>
    </row>
    <row r="659" spans="1:6" x14ac:dyDescent="0.25">
      <c r="A659" s="13" t="str">
        <f>IF(AND($E659="",MAX($A$8:$A658)=0),"",IF(AND($E659&lt;&gt;"",MAX($A$8:$A658)=0),1,IF(AND($E659&lt;&gt;"",MAX($A$8:$A658)&gt;0),MAX($A$8:$A658)+1,"")))</f>
        <v/>
      </c>
      <c r="B659" s="11">
        <v>652</v>
      </c>
      <c r="C659" s="19" t="str">
        <f t="shared" si="30"/>
        <v>EMPTY</v>
      </c>
      <c r="D659" s="3" t="str">
        <f t="shared" si="31"/>
        <v/>
      </c>
      <c r="E659" s="7"/>
      <c r="F659" s="8" t="str">
        <f t="shared" si="32"/>
        <v/>
      </c>
    </row>
    <row r="660" spans="1:6" x14ac:dyDescent="0.25">
      <c r="A660" s="13" t="str">
        <f>IF(AND($E660="",MAX($A$8:$A659)=0),"",IF(AND($E660&lt;&gt;"",MAX($A$8:$A659)=0),1,IF(AND($E660&lt;&gt;"",MAX($A$8:$A659)&gt;0),MAX($A$8:$A659)+1,"")))</f>
        <v/>
      </c>
      <c r="B660" s="11">
        <v>653</v>
      </c>
      <c r="C660" s="19" t="str">
        <f t="shared" si="30"/>
        <v>EMPTY</v>
      </c>
      <c r="D660" s="3" t="str">
        <f t="shared" si="31"/>
        <v/>
      </c>
      <c r="E660" s="7"/>
      <c r="F660" s="8" t="str">
        <f t="shared" si="32"/>
        <v/>
      </c>
    </row>
    <row r="661" spans="1:6" x14ac:dyDescent="0.25">
      <c r="A661" s="13" t="str">
        <f>IF(AND($E661="",MAX($A$8:$A660)=0),"",IF(AND($E661&lt;&gt;"",MAX($A$8:$A660)=0),1,IF(AND($E661&lt;&gt;"",MAX($A$8:$A660)&gt;0),MAX($A$8:$A660)+1,"")))</f>
        <v/>
      </c>
      <c r="B661" s="11">
        <v>654</v>
      </c>
      <c r="C661" s="19" t="str">
        <f t="shared" si="30"/>
        <v>EMPTY</v>
      </c>
      <c r="D661" s="3" t="str">
        <f t="shared" si="31"/>
        <v/>
      </c>
      <c r="E661" s="7"/>
      <c r="F661" s="8" t="str">
        <f t="shared" si="32"/>
        <v/>
      </c>
    </row>
    <row r="662" spans="1:6" x14ac:dyDescent="0.25">
      <c r="A662" s="13" t="str">
        <f>IF(AND($E662="",MAX($A$8:$A661)=0),"",IF(AND($E662&lt;&gt;"",MAX($A$8:$A661)=0),1,IF(AND($E662&lt;&gt;"",MAX($A$8:$A661)&gt;0),MAX($A$8:$A661)+1,"")))</f>
        <v/>
      </c>
      <c r="B662" s="11">
        <v>655</v>
      </c>
      <c r="C662" s="19" t="str">
        <f t="shared" si="30"/>
        <v>EMPTY</v>
      </c>
      <c r="D662" s="3" t="str">
        <f t="shared" si="31"/>
        <v/>
      </c>
      <c r="E662" s="7"/>
      <c r="F662" s="8" t="str">
        <f t="shared" si="32"/>
        <v/>
      </c>
    </row>
    <row r="663" spans="1:6" x14ac:dyDescent="0.25">
      <c r="A663" s="13" t="str">
        <f>IF(AND($E663="",MAX($A$8:$A662)=0),"",IF(AND($E663&lt;&gt;"",MAX($A$8:$A662)=0),1,IF(AND($E663&lt;&gt;"",MAX($A$8:$A662)&gt;0),MAX($A$8:$A662)+1,"")))</f>
        <v/>
      </c>
      <c r="B663" s="11">
        <v>656</v>
      </c>
      <c r="C663" s="19" t="str">
        <f t="shared" si="30"/>
        <v>EMPTY</v>
      </c>
      <c r="D663" s="3" t="str">
        <f t="shared" si="31"/>
        <v/>
      </c>
      <c r="E663" s="7"/>
      <c r="F663" s="8" t="str">
        <f t="shared" si="32"/>
        <v/>
      </c>
    </row>
    <row r="664" spans="1:6" x14ac:dyDescent="0.25">
      <c r="A664" s="13" t="str">
        <f>IF(AND($E664="",MAX($A$8:$A663)=0),"",IF(AND($E664&lt;&gt;"",MAX($A$8:$A663)=0),1,IF(AND($E664&lt;&gt;"",MAX($A$8:$A663)&gt;0),MAX($A$8:$A663)+1,"")))</f>
        <v/>
      </c>
      <c r="B664" s="11">
        <v>657</v>
      </c>
      <c r="C664" s="19" t="str">
        <f t="shared" si="30"/>
        <v>EMPTY</v>
      </c>
      <c r="D664" s="3" t="str">
        <f t="shared" si="31"/>
        <v/>
      </c>
      <c r="E664" s="7"/>
      <c r="F664" s="8" t="str">
        <f t="shared" si="32"/>
        <v/>
      </c>
    </row>
    <row r="665" spans="1:6" x14ac:dyDescent="0.25">
      <c r="A665" s="13" t="str">
        <f>IF(AND($E665="",MAX($A$8:$A664)=0),"",IF(AND($E665&lt;&gt;"",MAX($A$8:$A664)=0),1,IF(AND($E665&lt;&gt;"",MAX($A$8:$A664)&gt;0),MAX($A$8:$A664)+1,"")))</f>
        <v/>
      </c>
      <c r="B665" s="11">
        <v>658</v>
      </c>
      <c r="C665" s="19" t="str">
        <f t="shared" si="30"/>
        <v>EMPTY</v>
      </c>
      <c r="D665" s="3" t="str">
        <f t="shared" si="31"/>
        <v/>
      </c>
      <c r="E665" s="7"/>
      <c r="F665" s="8" t="str">
        <f t="shared" si="32"/>
        <v/>
      </c>
    </row>
    <row r="666" spans="1:6" x14ac:dyDescent="0.25">
      <c r="A666" s="13" t="str">
        <f>IF(AND($E666="",MAX($A$8:$A665)=0),"",IF(AND($E666&lt;&gt;"",MAX($A$8:$A665)=0),1,IF(AND($E666&lt;&gt;"",MAX($A$8:$A665)&gt;0),MAX($A$8:$A665)+1,"")))</f>
        <v/>
      </c>
      <c r="B666" s="11">
        <v>659</v>
      </c>
      <c r="C666" s="19" t="str">
        <f t="shared" si="30"/>
        <v>EMPTY</v>
      </c>
      <c r="D666" s="3" t="str">
        <f t="shared" si="31"/>
        <v/>
      </c>
      <c r="E666" s="7"/>
      <c r="F666" s="8" t="str">
        <f t="shared" si="32"/>
        <v/>
      </c>
    </row>
    <row r="667" spans="1:6" x14ac:dyDescent="0.25">
      <c r="A667" s="13" t="str">
        <f>IF(AND($E667="",MAX($A$8:$A666)=0),"",IF(AND($E667&lt;&gt;"",MAX($A$8:$A666)=0),1,IF(AND($E667&lt;&gt;"",MAX($A$8:$A666)&gt;0),MAX($A$8:$A666)+1,"")))</f>
        <v/>
      </c>
      <c r="B667" s="11">
        <v>660</v>
      </c>
      <c r="C667" s="19" t="str">
        <f t="shared" si="30"/>
        <v>EMPTY</v>
      </c>
      <c r="D667" s="3" t="str">
        <f t="shared" si="31"/>
        <v/>
      </c>
      <c r="E667" s="7"/>
      <c r="F667" s="8" t="str">
        <f t="shared" si="32"/>
        <v/>
      </c>
    </row>
    <row r="668" spans="1:6" x14ac:dyDescent="0.25">
      <c r="A668" s="13" t="str">
        <f>IF(AND($E668="",MAX($A$8:$A667)=0),"",IF(AND($E668&lt;&gt;"",MAX($A$8:$A667)=0),1,IF(AND($E668&lt;&gt;"",MAX($A$8:$A667)&gt;0),MAX($A$8:$A667)+1,"")))</f>
        <v/>
      </c>
      <c r="B668" s="11">
        <v>661</v>
      </c>
      <c r="C668" s="19" t="str">
        <f t="shared" si="30"/>
        <v>EMPTY</v>
      </c>
      <c r="D668" s="3" t="str">
        <f t="shared" si="31"/>
        <v/>
      </c>
      <c r="E668" s="7"/>
      <c r="F668" s="8" t="str">
        <f t="shared" si="32"/>
        <v/>
      </c>
    </row>
    <row r="669" spans="1:6" x14ac:dyDescent="0.25">
      <c r="A669" s="13" t="str">
        <f>IF(AND($E669="",MAX($A$8:$A668)=0),"",IF(AND($E669&lt;&gt;"",MAX($A$8:$A668)=0),1,IF(AND($E669&lt;&gt;"",MAX($A$8:$A668)&gt;0),MAX($A$8:$A668)+1,"")))</f>
        <v/>
      </c>
      <c r="B669" s="11">
        <v>662</v>
      </c>
      <c r="C669" s="19" t="str">
        <f t="shared" si="30"/>
        <v>EMPTY</v>
      </c>
      <c r="D669" s="3" t="str">
        <f t="shared" si="31"/>
        <v/>
      </c>
      <c r="E669" s="7"/>
      <c r="F669" s="8" t="str">
        <f t="shared" si="32"/>
        <v/>
      </c>
    </row>
    <row r="670" spans="1:6" x14ac:dyDescent="0.25">
      <c r="A670" s="13" t="str">
        <f>IF(AND($E670="",MAX($A$8:$A669)=0),"",IF(AND($E670&lt;&gt;"",MAX($A$8:$A669)=0),1,IF(AND($E670&lt;&gt;"",MAX($A$8:$A669)&gt;0),MAX($A$8:$A669)+1,"")))</f>
        <v/>
      </c>
      <c r="B670" s="11">
        <v>663</v>
      </c>
      <c r="C670" s="19" t="str">
        <f t="shared" si="30"/>
        <v>EMPTY</v>
      </c>
      <c r="D670" s="3" t="str">
        <f t="shared" si="31"/>
        <v/>
      </c>
      <c r="E670" s="7"/>
      <c r="F670" s="8" t="str">
        <f t="shared" si="32"/>
        <v/>
      </c>
    </row>
    <row r="671" spans="1:6" x14ac:dyDescent="0.25">
      <c r="A671" s="13" t="str">
        <f>IF(AND($E671="",MAX($A$8:$A670)=0),"",IF(AND($E671&lt;&gt;"",MAX($A$8:$A670)=0),1,IF(AND($E671&lt;&gt;"",MAX($A$8:$A670)&gt;0),MAX($A$8:$A670)+1,"")))</f>
        <v/>
      </c>
      <c r="B671" s="11">
        <v>664</v>
      </c>
      <c r="C671" s="19" t="str">
        <f t="shared" si="30"/>
        <v>EMPTY</v>
      </c>
      <c r="D671" s="3" t="str">
        <f t="shared" si="31"/>
        <v/>
      </c>
      <c r="E671" s="7"/>
      <c r="F671" s="8" t="str">
        <f t="shared" si="32"/>
        <v/>
      </c>
    </row>
    <row r="672" spans="1:6" x14ac:dyDescent="0.25">
      <c r="A672" s="13" t="str">
        <f>IF(AND($E672="",MAX($A$8:$A671)=0),"",IF(AND($E672&lt;&gt;"",MAX($A$8:$A671)=0),1,IF(AND($E672&lt;&gt;"",MAX($A$8:$A671)&gt;0),MAX($A$8:$A671)+1,"")))</f>
        <v/>
      </c>
      <c r="B672" s="11">
        <v>665</v>
      </c>
      <c r="C672" s="19" t="str">
        <f t="shared" si="30"/>
        <v>EMPTY</v>
      </c>
      <c r="D672" s="3" t="str">
        <f t="shared" si="31"/>
        <v/>
      </c>
      <c r="E672" s="7"/>
      <c r="F672" s="8" t="str">
        <f t="shared" si="32"/>
        <v/>
      </c>
    </row>
    <row r="673" spans="1:6" x14ac:dyDescent="0.25">
      <c r="A673" s="13" t="str">
        <f>IF(AND($E673="",MAX($A$8:$A672)=0),"",IF(AND($E673&lt;&gt;"",MAX($A$8:$A672)=0),1,IF(AND($E673&lt;&gt;"",MAX($A$8:$A672)&gt;0),MAX($A$8:$A672)+1,"")))</f>
        <v/>
      </c>
      <c r="B673" s="11">
        <v>666</v>
      </c>
      <c r="C673" s="19" t="str">
        <f t="shared" si="30"/>
        <v>EMPTY</v>
      </c>
      <c r="D673" s="3" t="str">
        <f t="shared" si="31"/>
        <v/>
      </c>
      <c r="E673" s="7"/>
      <c r="F673" s="8" t="str">
        <f t="shared" si="32"/>
        <v/>
      </c>
    </row>
    <row r="674" spans="1:6" x14ac:dyDescent="0.25">
      <c r="A674" s="13" t="str">
        <f>IF(AND($E674="",MAX($A$8:$A673)=0),"",IF(AND($E674&lt;&gt;"",MAX($A$8:$A673)=0),1,IF(AND($E674&lt;&gt;"",MAX($A$8:$A673)&gt;0),MAX($A$8:$A673)+1,"")))</f>
        <v/>
      </c>
      <c r="B674" s="11">
        <v>667</v>
      </c>
      <c r="C674" s="19" t="str">
        <f t="shared" si="30"/>
        <v>EMPTY</v>
      </c>
      <c r="D674" s="3" t="str">
        <f t="shared" si="31"/>
        <v/>
      </c>
      <c r="E674" s="7"/>
      <c r="F674" s="8" t="str">
        <f t="shared" si="32"/>
        <v/>
      </c>
    </row>
    <row r="675" spans="1:6" x14ac:dyDescent="0.25">
      <c r="A675" s="13" t="str">
        <f>IF(AND($E675="",MAX($A$8:$A674)=0),"",IF(AND($E675&lt;&gt;"",MAX($A$8:$A674)=0),1,IF(AND($E675&lt;&gt;"",MAX($A$8:$A674)&gt;0),MAX($A$8:$A674)+1,"")))</f>
        <v/>
      </c>
      <c r="B675" s="11">
        <v>668</v>
      </c>
      <c r="C675" s="19" t="str">
        <f t="shared" si="30"/>
        <v>EMPTY</v>
      </c>
      <c r="D675" s="3" t="str">
        <f t="shared" si="31"/>
        <v/>
      </c>
      <c r="E675" s="7"/>
      <c r="F675" s="8" t="str">
        <f t="shared" si="32"/>
        <v/>
      </c>
    </row>
    <row r="676" spans="1:6" x14ac:dyDescent="0.25">
      <c r="A676" s="13" t="str">
        <f>IF(AND($E676="",MAX($A$8:$A675)=0),"",IF(AND($E676&lt;&gt;"",MAX($A$8:$A675)=0),1,IF(AND($E676&lt;&gt;"",MAX($A$8:$A675)&gt;0),MAX($A$8:$A675)+1,"")))</f>
        <v/>
      </c>
      <c r="B676" s="11">
        <v>669</v>
      </c>
      <c r="C676" s="19" t="str">
        <f t="shared" si="30"/>
        <v>EMPTY</v>
      </c>
      <c r="D676" s="3" t="str">
        <f t="shared" si="31"/>
        <v/>
      </c>
      <c r="E676" s="7"/>
      <c r="F676" s="8" t="str">
        <f t="shared" si="32"/>
        <v/>
      </c>
    </row>
    <row r="677" spans="1:6" x14ac:dyDescent="0.25">
      <c r="A677" s="13" t="str">
        <f>IF(AND($E677="",MAX($A$8:$A676)=0),"",IF(AND($E677&lt;&gt;"",MAX($A$8:$A676)=0),1,IF(AND($E677&lt;&gt;"",MAX($A$8:$A676)&gt;0),MAX($A$8:$A676)+1,"")))</f>
        <v/>
      </c>
      <c r="B677" s="11">
        <v>670</v>
      </c>
      <c r="C677" s="19" t="str">
        <f t="shared" si="30"/>
        <v>EMPTY</v>
      </c>
      <c r="D677" s="3" t="str">
        <f t="shared" si="31"/>
        <v/>
      </c>
      <c r="E677" s="7"/>
      <c r="F677" s="8" t="str">
        <f t="shared" si="32"/>
        <v/>
      </c>
    </row>
    <row r="678" spans="1:6" x14ac:dyDescent="0.25">
      <c r="A678" s="13" t="str">
        <f>IF(AND($E678="",MAX($A$8:$A677)=0),"",IF(AND($E678&lt;&gt;"",MAX($A$8:$A677)=0),1,IF(AND($E678&lt;&gt;"",MAX($A$8:$A677)&gt;0),MAX($A$8:$A677)+1,"")))</f>
        <v/>
      </c>
      <c r="B678" s="11">
        <v>671</v>
      </c>
      <c r="C678" s="19" t="str">
        <f t="shared" si="30"/>
        <v>EMPTY</v>
      </c>
      <c r="D678" s="3" t="str">
        <f t="shared" si="31"/>
        <v/>
      </c>
      <c r="E678" s="7"/>
      <c r="F678" s="8" t="str">
        <f t="shared" si="32"/>
        <v/>
      </c>
    </row>
    <row r="679" spans="1:6" x14ac:dyDescent="0.25">
      <c r="A679" s="13" t="str">
        <f>IF(AND($E679="",MAX($A$8:$A678)=0),"",IF(AND($E679&lt;&gt;"",MAX($A$8:$A678)=0),1,IF(AND($E679&lt;&gt;"",MAX($A$8:$A678)&gt;0),MAX($A$8:$A678)+1,"")))</f>
        <v/>
      </c>
      <c r="B679" s="11">
        <v>672</v>
      </c>
      <c r="C679" s="19" t="str">
        <f t="shared" si="30"/>
        <v>EMPTY</v>
      </c>
      <c r="D679" s="3" t="str">
        <f t="shared" si="31"/>
        <v/>
      </c>
      <c r="E679" s="7"/>
      <c r="F679" s="8" t="str">
        <f t="shared" si="32"/>
        <v/>
      </c>
    </row>
    <row r="680" spans="1:6" x14ac:dyDescent="0.25">
      <c r="A680" s="13" t="str">
        <f>IF(AND($E680="",MAX($A$8:$A679)=0),"",IF(AND($E680&lt;&gt;"",MAX($A$8:$A679)=0),1,IF(AND($E680&lt;&gt;"",MAX($A$8:$A679)&gt;0),MAX($A$8:$A679)+1,"")))</f>
        <v/>
      </c>
      <c r="B680" s="11">
        <v>673</v>
      </c>
      <c r="C680" s="19" t="str">
        <f t="shared" si="30"/>
        <v>EMPTY</v>
      </c>
      <c r="D680" s="3" t="str">
        <f t="shared" si="31"/>
        <v/>
      </c>
      <c r="E680" s="7"/>
      <c r="F680" s="8" t="str">
        <f t="shared" si="32"/>
        <v/>
      </c>
    </row>
    <row r="681" spans="1:6" x14ac:dyDescent="0.25">
      <c r="A681" s="13" t="str">
        <f>IF(AND($E681="",MAX($A$8:$A680)=0),"",IF(AND($E681&lt;&gt;"",MAX($A$8:$A680)=0),1,IF(AND($E681&lt;&gt;"",MAX($A$8:$A680)&gt;0),MAX($A$8:$A680)+1,"")))</f>
        <v/>
      </c>
      <c r="B681" s="11">
        <v>674</v>
      </c>
      <c r="C681" s="19" t="str">
        <f t="shared" si="30"/>
        <v>EMPTY</v>
      </c>
      <c r="D681" s="3" t="str">
        <f t="shared" si="31"/>
        <v/>
      </c>
      <c r="E681" s="7"/>
      <c r="F681" s="8" t="str">
        <f t="shared" si="32"/>
        <v/>
      </c>
    </row>
    <row r="682" spans="1:6" x14ac:dyDescent="0.25">
      <c r="A682" s="13" t="str">
        <f>IF(AND($E682="",MAX($A$8:$A681)=0),"",IF(AND($E682&lt;&gt;"",MAX($A$8:$A681)=0),1,IF(AND($E682&lt;&gt;"",MAX($A$8:$A681)&gt;0),MAX($A$8:$A681)+1,"")))</f>
        <v/>
      </c>
      <c r="B682" s="11">
        <v>675</v>
      </c>
      <c r="C682" s="19" t="str">
        <f t="shared" si="30"/>
        <v>EMPTY</v>
      </c>
      <c r="D682" s="3" t="str">
        <f t="shared" si="31"/>
        <v/>
      </c>
      <c r="E682" s="7"/>
      <c r="F682" s="8" t="str">
        <f t="shared" si="32"/>
        <v/>
      </c>
    </row>
    <row r="683" spans="1:6" x14ac:dyDescent="0.25">
      <c r="A683" s="13" t="str">
        <f>IF(AND($E683="",MAX($A$8:$A682)=0),"",IF(AND($E683&lt;&gt;"",MAX($A$8:$A682)=0),1,IF(AND($E683&lt;&gt;"",MAX($A$8:$A682)&gt;0),MAX($A$8:$A682)+1,"")))</f>
        <v/>
      </c>
      <c r="B683" s="11">
        <v>676</v>
      </c>
      <c r="C683" s="19" t="str">
        <f t="shared" si="30"/>
        <v>EMPTY</v>
      </c>
      <c r="D683" s="3" t="str">
        <f t="shared" si="31"/>
        <v/>
      </c>
      <c r="E683" s="7"/>
      <c r="F683" s="8" t="str">
        <f t="shared" si="32"/>
        <v/>
      </c>
    </row>
    <row r="684" spans="1:6" x14ac:dyDescent="0.25">
      <c r="A684" s="13" t="str">
        <f>IF(AND($E684="",MAX($A$8:$A683)=0),"",IF(AND($E684&lt;&gt;"",MAX($A$8:$A683)=0),1,IF(AND($E684&lt;&gt;"",MAX($A$8:$A683)&gt;0),MAX($A$8:$A683)+1,"")))</f>
        <v/>
      </c>
      <c r="B684" s="11">
        <v>677</v>
      </c>
      <c r="C684" s="19" t="str">
        <f t="shared" si="30"/>
        <v>EMPTY</v>
      </c>
      <c r="D684" s="3" t="str">
        <f t="shared" si="31"/>
        <v/>
      </c>
      <c r="E684" s="7"/>
      <c r="F684" s="8" t="str">
        <f t="shared" si="32"/>
        <v/>
      </c>
    </row>
    <row r="685" spans="1:6" x14ac:dyDescent="0.25">
      <c r="A685" s="13" t="str">
        <f>IF(AND($E685="",MAX($A$8:$A684)=0),"",IF(AND($E685&lt;&gt;"",MAX($A$8:$A684)=0),1,IF(AND($E685&lt;&gt;"",MAX($A$8:$A684)&gt;0),MAX($A$8:$A684)+1,"")))</f>
        <v/>
      </c>
      <c r="B685" s="11">
        <v>678</v>
      </c>
      <c r="C685" s="19" t="str">
        <f t="shared" si="30"/>
        <v>EMPTY</v>
      </c>
      <c r="D685" s="3" t="str">
        <f t="shared" si="31"/>
        <v/>
      </c>
      <c r="E685" s="7"/>
      <c r="F685" s="8" t="str">
        <f t="shared" si="32"/>
        <v/>
      </c>
    </row>
    <row r="686" spans="1:6" x14ac:dyDescent="0.25">
      <c r="A686" s="13" t="str">
        <f>IF(AND($E686="",MAX($A$8:$A685)=0),"",IF(AND($E686&lt;&gt;"",MAX($A$8:$A685)=0),1,IF(AND($E686&lt;&gt;"",MAX($A$8:$A685)&gt;0),MAX($A$8:$A685)+1,"")))</f>
        <v/>
      </c>
      <c r="B686" s="11">
        <v>679</v>
      </c>
      <c r="C686" s="19" t="str">
        <f t="shared" si="30"/>
        <v>EMPTY</v>
      </c>
      <c r="D686" s="3" t="str">
        <f t="shared" si="31"/>
        <v/>
      </c>
      <c r="E686" s="7"/>
      <c r="F686" s="8" t="str">
        <f t="shared" si="32"/>
        <v/>
      </c>
    </row>
    <row r="687" spans="1:6" x14ac:dyDescent="0.25">
      <c r="A687" s="13" t="str">
        <f>IF(AND($E687="",MAX($A$8:$A686)=0),"",IF(AND($E687&lt;&gt;"",MAX($A$8:$A686)=0),1,IF(AND($E687&lt;&gt;"",MAX($A$8:$A686)&gt;0),MAX($A$8:$A686)+1,"")))</f>
        <v/>
      </c>
      <c r="B687" s="11">
        <v>680</v>
      </c>
      <c r="C687" s="19" t="str">
        <f t="shared" si="30"/>
        <v>EMPTY</v>
      </c>
      <c r="D687" s="3" t="str">
        <f t="shared" si="31"/>
        <v/>
      </c>
      <c r="E687" s="7"/>
      <c r="F687" s="8" t="str">
        <f t="shared" si="32"/>
        <v/>
      </c>
    </row>
    <row r="688" spans="1:6" x14ac:dyDescent="0.25">
      <c r="A688" s="13" t="str">
        <f>IF(AND($E688="",MAX($A$8:$A687)=0),"",IF(AND($E688&lt;&gt;"",MAX($A$8:$A687)=0),1,IF(AND($E688&lt;&gt;"",MAX($A$8:$A687)&gt;0),MAX($A$8:$A687)+1,"")))</f>
        <v/>
      </c>
      <c r="B688" s="11">
        <v>681</v>
      </c>
      <c r="C688" s="19" t="str">
        <f t="shared" si="30"/>
        <v>EMPTY</v>
      </c>
      <c r="D688" s="3" t="str">
        <f t="shared" si="31"/>
        <v/>
      </c>
      <c r="E688" s="7"/>
      <c r="F688" s="8" t="str">
        <f t="shared" si="32"/>
        <v/>
      </c>
    </row>
    <row r="689" spans="1:6" x14ac:dyDescent="0.25">
      <c r="A689" s="13" t="str">
        <f>IF(AND($E689="",MAX($A$8:$A688)=0),"",IF(AND($E689&lt;&gt;"",MAX($A$8:$A688)=0),1,IF(AND($E689&lt;&gt;"",MAX($A$8:$A688)&gt;0),MAX($A$8:$A688)+1,"")))</f>
        <v/>
      </c>
      <c r="B689" s="11">
        <v>682</v>
      </c>
      <c r="C689" s="19" t="str">
        <f t="shared" si="30"/>
        <v>EMPTY</v>
      </c>
      <c r="D689" s="3" t="str">
        <f t="shared" si="31"/>
        <v/>
      </c>
      <c r="E689" s="7"/>
      <c r="F689" s="8" t="str">
        <f t="shared" si="32"/>
        <v/>
      </c>
    </row>
    <row r="690" spans="1:6" x14ac:dyDescent="0.25">
      <c r="A690" s="13" t="str">
        <f>IF(AND($E690="",MAX($A$8:$A689)=0),"",IF(AND($E690&lt;&gt;"",MAX($A$8:$A689)=0),1,IF(AND($E690&lt;&gt;"",MAX($A$8:$A689)&gt;0),MAX($A$8:$A689)+1,"")))</f>
        <v/>
      </c>
      <c r="B690" s="11">
        <v>683</v>
      </c>
      <c r="C690" s="19" t="str">
        <f t="shared" si="30"/>
        <v>EMPTY</v>
      </c>
      <c r="D690" s="3" t="str">
        <f t="shared" si="31"/>
        <v/>
      </c>
      <c r="E690" s="7"/>
      <c r="F690" s="8" t="str">
        <f t="shared" si="32"/>
        <v/>
      </c>
    </row>
    <row r="691" spans="1:6" x14ac:dyDescent="0.25">
      <c r="A691" s="13" t="str">
        <f>IF(AND($E691="",MAX($A$8:$A690)=0),"",IF(AND($E691&lt;&gt;"",MAX($A$8:$A690)=0),1,IF(AND($E691&lt;&gt;"",MAX($A$8:$A690)&gt;0),MAX($A$8:$A690)+1,"")))</f>
        <v/>
      </c>
      <c r="B691" s="11">
        <v>684</v>
      </c>
      <c r="C691" s="19" t="str">
        <f t="shared" si="30"/>
        <v>EMPTY</v>
      </c>
      <c r="D691" s="3" t="str">
        <f t="shared" si="31"/>
        <v/>
      </c>
      <c r="E691" s="7"/>
      <c r="F691" s="8" t="str">
        <f t="shared" si="32"/>
        <v/>
      </c>
    </row>
    <row r="692" spans="1:6" x14ac:dyDescent="0.25">
      <c r="A692" s="13" t="str">
        <f>IF(AND($E692="",MAX($A$8:$A691)=0),"",IF(AND($E692&lt;&gt;"",MAX($A$8:$A691)=0),1,IF(AND($E692&lt;&gt;"",MAX($A$8:$A691)&gt;0),MAX($A$8:$A691)+1,"")))</f>
        <v/>
      </c>
      <c r="B692" s="11">
        <v>685</v>
      </c>
      <c r="C692" s="19" t="str">
        <f t="shared" si="30"/>
        <v>EMPTY</v>
      </c>
      <c r="D692" s="3" t="str">
        <f t="shared" si="31"/>
        <v/>
      </c>
      <c r="E692" s="7"/>
      <c r="F692" s="8" t="str">
        <f t="shared" si="32"/>
        <v/>
      </c>
    </row>
    <row r="693" spans="1:6" x14ac:dyDescent="0.25">
      <c r="A693" s="13" t="str">
        <f>IF(AND($E693="",MAX($A$8:$A692)=0),"",IF(AND($E693&lt;&gt;"",MAX($A$8:$A692)=0),1,IF(AND($E693&lt;&gt;"",MAX($A$8:$A692)&gt;0),MAX($A$8:$A692)+1,"")))</f>
        <v/>
      </c>
      <c r="B693" s="11">
        <v>686</v>
      </c>
      <c r="C693" s="19" t="str">
        <f t="shared" si="30"/>
        <v>EMPTY</v>
      </c>
      <c r="D693" s="3" t="str">
        <f t="shared" si="31"/>
        <v/>
      </c>
      <c r="E693" s="7"/>
      <c r="F693" s="8" t="str">
        <f t="shared" si="32"/>
        <v/>
      </c>
    </row>
    <row r="694" spans="1:6" x14ac:dyDescent="0.25">
      <c r="A694" s="13" t="str">
        <f>IF(AND($E694="",MAX($A$8:$A693)=0),"",IF(AND($E694&lt;&gt;"",MAX($A$8:$A693)=0),1,IF(AND($E694&lt;&gt;"",MAX($A$8:$A693)&gt;0),MAX($A$8:$A693)+1,"")))</f>
        <v/>
      </c>
      <c r="B694" s="11">
        <v>687</v>
      </c>
      <c r="C694" s="19" t="str">
        <f t="shared" si="30"/>
        <v>EMPTY</v>
      </c>
      <c r="D694" s="3" t="str">
        <f t="shared" si="31"/>
        <v/>
      </c>
      <c r="E694" s="7"/>
      <c r="F694" s="8" t="str">
        <f t="shared" si="32"/>
        <v/>
      </c>
    </row>
    <row r="695" spans="1:6" x14ac:dyDescent="0.25">
      <c r="A695" s="13" t="str">
        <f>IF(AND($E695="",MAX($A$8:$A694)=0),"",IF(AND($E695&lt;&gt;"",MAX($A$8:$A694)=0),1,IF(AND($E695&lt;&gt;"",MAX($A$8:$A694)&gt;0),MAX($A$8:$A694)+1,"")))</f>
        <v/>
      </c>
      <c r="B695" s="11">
        <v>688</v>
      </c>
      <c r="C695" s="19" t="str">
        <f t="shared" si="30"/>
        <v>EMPTY</v>
      </c>
      <c r="D695" s="3" t="str">
        <f t="shared" si="31"/>
        <v/>
      </c>
      <c r="E695" s="7"/>
      <c r="F695" s="8" t="str">
        <f t="shared" si="32"/>
        <v/>
      </c>
    </row>
    <row r="696" spans="1:6" x14ac:dyDescent="0.25">
      <c r="A696" s="13" t="str">
        <f>IF(AND($E696="",MAX($A$8:$A695)=0),"",IF(AND($E696&lt;&gt;"",MAX($A$8:$A695)=0),1,IF(AND($E696&lt;&gt;"",MAX($A$8:$A695)&gt;0),MAX($A$8:$A695)+1,"")))</f>
        <v/>
      </c>
      <c r="B696" s="11">
        <v>689</v>
      </c>
      <c r="C696" s="19" t="str">
        <f t="shared" si="30"/>
        <v>EMPTY</v>
      </c>
      <c r="D696" s="3" t="str">
        <f t="shared" si="31"/>
        <v/>
      </c>
      <c r="E696" s="7"/>
      <c r="F696" s="8" t="str">
        <f t="shared" si="32"/>
        <v/>
      </c>
    </row>
    <row r="697" spans="1:6" x14ac:dyDescent="0.25">
      <c r="A697" s="13" t="str">
        <f>IF(AND($E697="",MAX($A$8:$A696)=0),"",IF(AND($E697&lt;&gt;"",MAX($A$8:$A696)=0),1,IF(AND($E697&lt;&gt;"",MAX($A$8:$A696)&gt;0),MAX($A$8:$A696)+1,"")))</f>
        <v/>
      </c>
      <c r="B697" s="11">
        <v>690</v>
      </c>
      <c r="C697" s="19" t="str">
        <f t="shared" si="30"/>
        <v>EMPTY</v>
      </c>
      <c r="D697" s="3" t="str">
        <f t="shared" si="31"/>
        <v/>
      </c>
      <c r="E697" s="7"/>
      <c r="F697" s="8" t="str">
        <f t="shared" si="32"/>
        <v/>
      </c>
    </row>
    <row r="698" spans="1:6" x14ac:dyDescent="0.25">
      <c r="A698" s="13" t="str">
        <f>IF(AND($E698="",MAX($A$8:$A697)=0),"",IF(AND($E698&lt;&gt;"",MAX($A$8:$A697)=0),1,IF(AND($E698&lt;&gt;"",MAX($A$8:$A697)&gt;0),MAX($A$8:$A697)+1,"")))</f>
        <v/>
      </c>
      <c r="B698" s="11">
        <v>691</v>
      </c>
      <c r="C698" s="19" t="str">
        <f t="shared" si="30"/>
        <v>EMPTY</v>
      </c>
      <c r="D698" s="3" t="str">
        <f t="shared" si="31"/>
        <v/>
      </c>
      <c r="E698" s="7"/>
      <c r="F698" s="8" t="str">
        <f t="shared" si="32"/>
        <v/>
      </c>
    </row>
    <row r="699" spans="1:6" x14ac:dyDescent="0.25">
      <c r="A699" s="13" t="str">
        <f>IF(AND($E699="",MAX($A$8:$A698)=0),"",IF(AND($E699&lt;&gt;"",MAX($A$8:$A698)=0),1,IF(AND($E699&lt;&gt;"",MAX($A$8:$A698)&gt;0),MAX($A$8:$A698)+1,"")))</f>
        <v/>
      </c>
      <c r="B699" s="11">
        <v>692</v>
      </c>
      <c r="C699" s="19" t="str">
        <f t="shared" si="30"/>
        <v>EMPTY</v>
      </c>
      <c r="D699" s="3" t="str">
        <f t="shared" si="31"/>
        <v/>
      </c>
      <c r="E699" s="7"/>
      <c r="F699" s="8" t="str">
        <f t="shared" si="32"/>
        <v/>
      </c>
    </row>
    <row r="700" spans="1:6" x14ac:dyDescent="0.25">
      <c r="A700" s="13" t="str">
        <f>IF(AND($E700="",MAX($A$8:$A699)=0),"",IF(AND($E700&lt;&gt;"",MAX($A$8:$A699)=0),1,IF(AND($E700&lt;&gt;"",MAX($A$8:$A699)&gt;0),MAX($A$8:$A699)+1,"")))</f>
        <v/>
      </c>
      <c r="B700" s="11">
        <v>693</v>
      </c>
      <c r="C700" s="19" t="str">
        <f t="shared" si="30"/>
        <v>EMPTY</v>
      </c>
      <c r="D700" s="3" t="str">
        <f t="shared" si="31"/>
        <v/>
      </c>
      <c r="E700" s="7"/>
      <c r="F700" s="8" t="str">
        <f t="shared" si="32"/>
        <v/>
      </c>
    </row>
    <row r="701" spans="1:6" x14ac:dyDescent="0.25">
      <c r="A701" s="13" t="str">
        <f>IF(AND($E701="",MAX($A$8:$A700)=0),"",IF(AND($E701&lt;&gt;"",MAX($A$8:$A700)=0),1,IF(AND($E701&lt;&gt;"",MAX($A$8:$A700)&gt;0),MAX($A$8:$A700)+1,"")))</f>
        <v/>
      </c>
      <c r="B701" s="11">
        <v>694</v>
      </c>
      <c r="C701" s="19" t="str">
        <f t="shared" si="30"/>
        <v>EMPTY</v>
      </c>
      <c r="D701" s="3" t="str">
        <f t="shared" si="31"/>
        <v/>
      </c>
      <c r="E701" s="7"/>
      <c r="F701" s="8" t="str">
        <f t="shared" si="32"/>
        <v/>
      </c>
    </row>
    <row r="702" spans="1:6" x14ac:dyDescent="0.25">
      <c r="A702" s="13" t="str">
        <f>IF(AND($E702="",MAX($A$8:$A701)=0),"",IF(AND($E702&lt;&gt;"",MAX($A$8:$A701)=0),1,IF(AND($E702&lt;&gt;"",MAX($A$8:$A701)&gt;0),MAX($A$8:$A701)+1,"")))</f>
        <v/>
      </c>
      <c r="B702" s="11">
        <v>695</v>
      </c>
      <c r="C702" s="19" t="str">
        <f t="shared" si="30"/>
        <v>EMPTY</v>
      </c>
      <c r="D702" s="3" t="str">
        <f t="shared" si="31"/>
        <v/>
      </c>
      <c r="E702" s="7"/>
      <c r="F702" s="8" t="str">
        <f t="shared" si="32"/>
        <v/>
      </c>
    </row>
    <row r="703" spans="1:6" x14ac:dyDescent="0.25">
      <c r="A703" s="13" t="str">
        <f>IF(AND($E703="",MAX($A$8:$A702)=0),"",IF(AND($E703&lt;&gt;"",MAX($A$8:$A702)=0),1,IF(AND($E703&lt;&gt;"",MAX($A$8:$A702)&gt;0),MAX($A$8:$A702)+1,"")))</f>
        <v/>
      </c>
      <c r="B703" s="11">
        <v>696</v>
      </c>
      <c r="C703" s="19" t="str">
        <f t="shared" si="30"/>
        <v>EMPTY</v>
      </c>
      <c r="D703" s="3" t="str">
        <f t="shared" si="31"/>
        <v/>
      </c>
      <c r="E703" s="7"/>
      <c r="F703" s="8" t="str">
        <f t="shared" si="32"/>
        <v/>
      </c>
    </row>
    <row r="704" spans="1:6" x14ac:dyDescent="0.25">
      <c r="A704" s="13" t="str">
        <f>IF(AND($E704="",MAX($A$8:$A703)=0),"",IF(AND($E704&lt;&gt;"",MAX($A$8:$A703)=0),1,IF(AND($E704&lt;&gt;"",MAX($A$8:$A703)&gt;0),MAX($A$8:$A703)+1,"")))</f>
        <v/>
      </c>
      <c r="B704" s="11">
        <v>697</v>
      </c>
      <c r="C704" s="19" t="str">
        <f t="shared" si="30"/>
        <v>EMPTY</v>
      </c>
      <c r="D704" s="3" t="str">
        <f t="shared" si="31"/>
        <v/>
      </c>
      <c r="E704" s="7"/>
      <c r="F704" s="8" t="str">
        <f t="shared" si="32"/>
        <v/>
      </c>
    </row>
    <row r="705" spans="1:6" x14ac:dyDescent="0.25">
      <c r="A705" s="13" t="str">
        <f>IF(AND($E705="",MAX($A$8:$A704)=0),"",IF(AND($E705&lt;&gt;"",MAX($A$8:$A704)=0),1,IF(AND($E705&lt;&gt;"",MAX($A$8:$A704)&gt;0),MAX($A$8:$A704)+1,"")))</f>
        <v/>
      </c>
      <c r="B705" s="11">
        <v>698</v>
      </c>
      <c r="C705" s="19" t="str">
        <f t="shared" si="30"/>
        <v>EMPTY</v>
      </c>
      <c r="D705" s="3" t="str">
        <f t="shared" si="31"/>
        <v/>
      </c>
      <c r="E705" s="7"/>
      <c r="F705" s="8" t="str">
        <f t="shared" si="32"/>
        <v/>
      </c>
    </row>
    <row r="706" spans="1:6" x14ac:dyDescent="0.25">
      <c r="A706" s="13" t="str">
        <f>IF(AND($E706="",MAX($A$8:$A705)=0),"",IF(AND($E706&lt;&gt;"",MAX($A$8:$A705)=0),1,IF(AND($E706&lt;&gt;"",MAX($A$8:$A705)&gt;0),MAX($A$8:$A705)+1,"")))</f>
        <v/>
      </c>
      <c r="B706" s="11">
        <v>699</v>
      </c>
      <c r="C706" s="19" t="str">
        <f t="shared" si="30"/>
        <v>EMPTY</v>
      </c>
      <c r="D706" s="3" t="str">
        <f t="shared" si="31"/>
        <v/>
      </c>
      <c r="E706" s="7"/>
      <c r="F706" s="8" t="str">
        <f t="shared" si="32"/>
        <v/>
      </c>
    </row>
    <row r="707" spans="1:6" x14ac:dyDescent="0.25">
      <c r="A707" s="13" t="str">
        <f>IF(AND($E707="",MAX($A$8:$A706)=0),"",IF(AND($E707&lt;&gt;"",MAX($A$8:$A706)=0),1,IF(AND($E707&lt;&gt;"",MAX($A$8:$A706)&gt;0),MAX($A$8:$A706)+1,"")))</f>
        <v/>
      </c>
      <c r="B707" s="11">
        <v>700</v>
      </c>
      <c r="C707" s="19" t="str">
        <f t="shared" si="30"/>
        <v>EMPTY</v>
      </c>
      <c r="D707" s="3" t="str">
        <f t="shared" si="31"/>
        <v/>
      </c>
      <c r="E707" s="7"/>
      <c r="F707" s="8" t="str">
        <f t="shared" si="32"/>
        <v/>
      </c>
    </row>
    <row r="708" spans="1:6" x14ac:dyDescent="0.25">
      <c r="A708" s="13" t="str">
        <f>IF(AND($E708="",MAX($A$8:$A707)=0),"",IF(AND($E708&lt;&gt;"",MAX($A$8:$A707)=0),1,IF(AND($E708&lt;&gt;"",MAX($A$8:$A707)&gt;0),MAX($A$8:$A707)+1,"")))</f>
        <v/>
      </c>
      <c r="B708" s="11">
        <v>701</v>
      </c>
      <c r="C708" s="19" t="str">
        <f t="shared" si="30"/>
        <v>EMPTY</v>
      </c>
      <c r="D708" s="3" t="str">
        <f t="shared" si="31"/>
        <v/>
      </c>
      <c r="E708" s="7"/>
      <c r="F708" s="8" t="str">
        <f t="shared" si="32"/>
        <v/>
      </c>
    </row>
    <row r="709" spans="1:6" x14ac:dyDescent="0.25">
      <c r="A709" s="13" t="str">
        <f>IF(AND($E709="",MAX($A$8:$A708)=0),"",IF(AND($E709&lt;&gt;"",MAX($A$8:$A708)=0),1,IF(AND($E709&lt;&gt;"",MAX($A$8:$A708)&gt;0),MAX($A$8:$A708)+1,"")))</f>
        <v/>
      </c>
      <c r="B709" s="11">
        <v>702</v>
      </c>
      <c r="C709" s="19" t="str">
        <f t="shared" si="30"/>
        <v>EMPTY</v>
      </c>
      <c r="D709" s="3" t="str">
        <f t="shared" si="31"/>
        <v/>
      </c>
      <c r="E709" s="7"/>
      <c r="F709" s="8" t="str">
        <f t="shared" si="32"/>
        <v/>
      </c>
    </row>
    <row r="710" spans="1:6" x14ac:dyDescent="0.25">
      <c r="A710" s="13" t="str">
        <f>IF(AND($E710="",MAX($A$8:$A709)=0),"",IF(AND($E710&lt;&gt;"",MAX($A$8:$A709)=0),1,IF(AND($E710&lt;&gt;"",MAX($A$8:$A709)&gt;0),MAX($A$8:$A709)+1,"")))</f>
        <v/>
      </c>
      <c r="B710" s="11">
        <v>703</v>
      </c>
      <c r="C710" s="19" t="str">
        <f t="shared" si="30"/>
        <v>EMPTY</v>
      </c>
      <c r="D710" s="3" t="str">
        <f t="shared" si="31"/>
        <v/>
      </c>
      <c r="E710" s="7"/>
      <c r="F710" s="8" t="str">
        <f t="shared" si="32"/>
        <v/>
      </c>
    </row>
    <row r="711" spans="1:6" x14ac:dyDescent="0.25">
      <c r="A711" s="13" t="str">
        <f>IF(AND($E711="",MAX($A$8:$A710)=0),"",IF(AND($E711&lt;&gt;"",MAX($A$8:$A710)=0),1,IF(AND($E711&lt;&gt;"",MAX($A$8:$A710)&gt;0),MAX($A$8:$A710)+1,"")))</f>
        <v/>
      </c>
      <c r="B711" s="11">
        <v>704</v>
      </c>
      <c r="C711" s="19" t="str">
        <f t="shared" si="30"/>
        <v>EMPTY</v>
      </c>
      <c r="D711" s="3" t="str">
        <f t="shared" si="31"/>
        <v/>
      </c>
      <c r="E711" s="7"/>
      <c r="F711" s="8" t="str">
        <f t="shared" si="32"/>
        <v/>
      </c>
    </row>
    <row r="712" spans="1:6" x14ac:dyDescent="0.25">
      <c r="A712" s="13" t="str">
        <f>IF(AND($E712="",MAX($A$8:$A711)=0),"",IF(AND($E712&lt;&gt;"",MAX($A$8:$A711)=0),1,IF(AND($E712&lt;&gt;"",MAX($A$8:$A711)&gt;0),MAX($A$8:$A711)+1,"")))</f>
        <v/>
      </c>
      <c r="B712" s="11">
        <v>705</v>
      </c>
      <c r="C712" s="19" t="str">
        <f t="shared" si="30"/>
        <v>EMPTY</v>
      </c>
      <c r="D712" s="3" t="str">
        <f t="shared" si="31"/>
        <v/>
      </c>
      <c r="E712" s="7"/>
      <c r="F712" s="8" t="str">
        <f t="shared" si="32"/>
        <v/>
      </c>
    </row>
    <row r="713" spans="1:6" x14ac:dyDescent="0.25">
      <c r="A713" s="13" t="str">
        <f>IF(AND($E713="",MAX($A$8:$A712)=0),"",IF(AND($E713&lt;&gt;"",MAX($A$8:$A712)=0),1,IF(AND($E713&lt;&gt;"",MAX($A$8:$A712)&gt;0),MAX($A$8:$A712)+1,"")))</f>
        <v/>
      </c>
      <c r="B713" s="11">
        <v>706</v>
      </c>
      <c r="C713" s="19" t="str">
        <f t="shared" ref="C713:C776" si="33">IF($E713="","EMPTY",IF(MID($E713,1,9)&lt;&gt;"Dialogue:","HIDE",IF(MID($E713,1,9)="Dialogue:","SHOW","")))</f>
        <v>EMPTY</v>
      </c>
      <c r="D713" s="3" t="str">
        <f t="shared" ref="D713:D776" si="34">IF($C713="SHOW",CONCATENATE("[",MID($E713,FIND(",",$E713,1)+3,8),"]",MID($E713,FIND("0,,",$E713,1)+3,1000)),"")</f>
        <v/>
      </c>
      <c r="E713" s="7"/>
      <c r="F713" s="8" t="str">
        <f t="shared" ref="F713:F776" si="35">$D713</f>
        <v/>
      </c>
    </row>
    <row r="714" spans="1:6" x14ac:dyDescent="0.25">
      <c r="A714" s="13" t="str">
        <f>IF(AND($E714="",MAX($A$8:$A713)=0),"",IF(AND($E714&lt;&gt;"",MAX($A$8:$A713)=0),1,IF(AND($E714&lt;&gt;"",MAX($A$8:$A713)&gt;0),MAX($A$8:$A713)+1,"")))</f>
        <v/>
      </c>
      <c r="B714" s="11">
        <v>707</v>
      </c>
      <c r="C714" s="19" t="str">
        <f t="shared" si="33"/>
        <v>EMPTY</v>
      </c>
      <c r="D714" s="3" t="str">
        <f t="shared" si="34"/>
        <v/>
      </c>
      <c r="E714" s="7"/>
      <c r="F714" s="8" t="str">
        <f t="shared" si="35"/>
        <v/>
      </c>
    </row>
    <row r="715" spans="1:6" x14ac:dyDescent="0.25">
      <c r="A715" s="13" t="str">
        <f>IF(AND($E715="",MAX($A$8:$A714)=0),"",IF(AND($E715&lt;&gt;"",MAX($A$8:$A714)=0),1,IF(AND($E715&lt;&gt;"",MAX($A$8:$A714)&gt;0),MAX($A$8:$A714)+1,"")))</f>
        <v/>
      </c>
      <c r="B715" s="11">
        <v>708</v>
      </c>
      <c r="C715" s="19" t="str">
        <f t="shared" si="33"/>
        <v>EMPTY</v>
      </c>
      <c r="D715" s="3" t="str">
        <f t="shared" si="34"/>
        <v/>
      </c>
      <c r="E715" s="7"/>
      <c r="F715" s="8" t="str">
        <f t="shared" si="35"/>
        <v/>
      </c>
    </row>
    <row r="716" spans="1:6" x14ac:dyDescent="0.25">
      <c r="A716" s="13" t="str">
        <f>IF(AND($E716="",MAX($A$8:$A715)=0),"",IF(AND($E716&lt;&gt;"",MAX($A$8:$A715)=0),1,IF(AND($E716&lt;&gt;"",MAX($A$8:$A715)&gt;0),MAX($A$8:$A715)+1,"")))</f>
        <v/>
      </c>
      <c r="B716" s="11">
        <v>709</v>
      </c>
      <c r="C716" s="19" t="str">
        <f t="shared" si="33"/>
        <v>EMPTY</v>
      </c>
      <c r="D716" s="3" t="str">
        <f t="shared" si="34"/>
        <v/>
      </c>
      <c r="E716" s="7"/>
      <c r="F716" s="8" t="str">
        <f t="shared" si="35"/>
        <v/>
      </c>
    </row>
    <row r="717" spans="1:6" x14ac:dyDescent="0.25">
      <c r="A717" s="13" t="str">
        <f>IF(AND($E717="",MAX($A$8:$A716)=0),"",IF(AND($E717&lt;&gt;"",MAX($A$8:$A716)=0),1,IF(AND($E717&lt;&gt;"",MAX($A$8:$A716)&gt;0),MAX($A$8:$A716)+1,"")))</f>
        <v/>
      </c>
      <c r="B717" s="11">
        <v>710</v>
      </c>
      <c r="C717" s="19" t="str">
        <f t="shared" si="33"/>
        <v>EMPTY</v>
      </c>
      <c r="D717" s="3" t="str">
        <f t="shared" si="34"/>
        <v/>
      </c>
      <c r="E717" s="7"/>
      <c r="F717" s="8" t="str">
        <f t="shared" si="35"/>
        <v/>
      </c>
    </row>
    <row r="718" spans="1:6" x14ac:dyDescent="0.25">
      <c r="A718" s="13" t="str">
        <f>IF(AND($E718="",MAX($A$8:$A717)=0),"",IF(AND($E718&lt;&gt;"",MAX($A$8:$A717)=0),1,IF(AND($E718&lt;&gt;"",MAX($A$8:$A717)&gt;0),MAX($A$8:$A717)+1,"")))</f>
        <v/>
      </c>
      <c r="B718" s="11">
        <v>711</v>
      </c>
      <c r="C718" s="19" t="str">
        <f t="shared" si="33"/>
        <v>EMPTY</v>
      </c>
      <c r="D718" s="3" t="str">
        <f t="shared" si="34"/>
        <v/>
      </c>
      <c r="E718" s="7"/>
      <c r="F718" s="8" t="str">
        <f t="shared" si="35"/>
        <v/>
      </c>
    </row>
    <row r="719" spans="1:6" x14ac:dyDescent="0.25">
      <c r="A719" s="13" t="str">
        <f>IF(AND($E719="",MAX($A$8:$A718)=0),"",IF(AND($E719&lt;&gt;"",MAX($A$8:$A718)=0),1,IF(AND($E719&lt;&gt;"",MAX($A$8:$A718)&gt;0),MAX($A$8:$A718)+1,"")))</f>
        <v/>
      </c>
      <c r="B719" s="11">
        <v>712</v>
      </c>
      <c r="C719" s="19" t="str">
        <f t="shared" si="33"/>
        <v>EMPTY</v>
      </c>
      <c r="D719" s="3" t="str">
        <f t="shared" si="34"/>
        <v/>
      </c>
      <c r="E719" s="7"/>
      <c r="F719" s="8" t="str">
        <f t="shared" si="35"/>
        <v/>
      </c>
    </row>
    <row r="720" spans="1:6" x14ac:dyDescent="0.25">
      <c r="A720" s="13" t="str">
        <f>IF(AND($E720="",MAX($A$8:$A719)=0),"",IF(AND($E720&lt;&gt;"",MAX($A$8:$A719)=0),1,IF(AND($E720&lt;&gt;"",MAX($A$8:$A719)&gt;0),MAX($A$8:$A719)+1,"")))</f>
        <v/>
      </c>
      <c r="B720" s="11">
        <v>713</v>
      </c>
      <c r="C720" s="19" t="str">
        <f t="shared" si="33"/>
        <v>EMPTY</v>
      </c>
      <c r="D720" s="3" t="str">
        <f t="shared" si="34"/>
        <v/>
      </c>
      <c r="E720" s="7"/>
      <c r="F720" s="8" t="str">
        <f t="shared" si="35"/>
        <v/>
      </c>
    </row>
    <row r="721" spans="1:6" x14ac:dyDescent="0.25">
      <c r="A721" s="13" t="str">
        <f>IF(AND($E721="",MAX($A$8:$A720)=0),"",IF(AND($E721&lt;&gt;"",MAX($A$8:$A720)=0),1,IF(AND($E721&lt;&gt;"",MAX($A$8:$A720)&gt;0),MAX($A$8:$A720)+1,"")))</f>
        <v/>
      </c>
      <c r="B721" s="11">
        <v>714</v>
      </c>
      <c r="C721" s="19" t="str">
        <f t="shared" si="33"/>
        <v>EMPTY</v>
      </c>
      <c r="D721" s="3" t="str">
        <f t="shared" si="34"/>
        <v/>
      </c>
      <c r="E721" s="7"/>
      <c r="F721" s="8" t="str">
        <f t="shared" si="35"/>
        <v/>
      </c>
    </row>
    <row r="722" spans="1:6" x14ac:dyDescent="0.25">
      <c r="A722" s="13" t="str">
        <f>IF(AND($E722="",MAX($A$8:$A721)=0),"",IF(AND($E722&lt;&gt;"",MAX($A$8:$A721)=0),1,IF(AND($E722&lt;&gt;"",MAX($A$8:$A721)&gt;0),MAX($A$8:$A721)+1,"")))</f>
        <v/>
      </c>
      <c r="B722" s="11">
        <v>715</v>
      </c>
      <c r="C722" s="19" t="str">
        <f t="shared" si="33"/>
        <v>EMPTY</v>
      </c>
      <c r="D722" s="3" t="str">
        <f t="shared" si="34"/>
        <v/>
      </c>
      <c r="E722" s="7"/>
      <c r="F722" s="8" t="str">
        <f t="shared" si="35"/>
        <v/>
      </c>
    </row>
    <row r="723" spans="1:6" x14ac:dyDescent="0.25">
      <c r="A723" s="13" t="str">
        <f>IF(AND($E723="",MAX($A$8:$A722)=0),"",IF(AND($E723&lt;&gt;"",MAX($A$8:$A722)=0),1,IF(AND($E723&lt;&gt;"",MAX($A$8:$A722)&gt;0),MAX($A$8:$A722)+1,"")))</f>
        <v/>
      </c>
      <c r="B723" s="11">
        <v>716</v>
      </c>
      <c r="C723" s="19" t="str">
        <f t="shared" si="33"/>
        <v>EMPTY</v>
      </c>
      <c r="D723" s="3" t="str">
        <f t="shared" si="34"/>
        <v/>
      </c>
      <c r="E723" s="7"/>
      <c r="F723" s="8" t="str">
        <f t="shared" si="35"/>
        <v/>
      </c>
    </row>
    <row r="724" spans="1:6" x14ac:dyDescent="0.25">
      <c r="A724" s="13" t="str">
        <f>IF(AND($E724="",MAX($A$8:$A723)=0),"",IF(AND($E724&lt;&gt;"",MAX($A$8:$A723)=0),1,IF(AND($E724&lt;&gt;"",MAX($A$8:$A723)&gt;0),MAX($A$8:$A723)+1,"")))</f>
        <v/>
      </c>
      <c r="B724" s="11">
        <v>717</v>
      </c>
      <c r="C724" s="19" t="str">
        <f t="shared" si="33"/>
        <v>EMPTY</v>
      </c>
      <c r="D724" s="3" t="str">
        <f t="shared" si="34"/>
        <v/>
      </c>
      <c r="E724" s="7"/>
      <c r="F724" s="8" t="str">
        <f t="shared" si="35"/>
        <v/>
      </c>
    </row>
    <row r="725" spans="1:6" x14ac:dyDescent="0.25">
      <c r="A725" s="13" t="str">
        <f>IF(AND($E725="",MAX($A$8:$A724)=0),"",IF(AND($E725&lt;&gt;"",MAX($A$8:$A724)=0),1,IF(AND($E725&lt;&gt;"",MAX($A$8:$A724)&gt;0),MAX($A$8:$A724)+1,"")))</f>
        <v/>
      </c>
      <c r="B725" s="11">
        <v>718</v>
      </c>
      <c r="C725" s="19" t="str">
        <f t="shared" si="33"/>
        <v>EMPTY</v>
      </c>
      <c r="D725" s="3" t="str">
        <f t="shared" si="34"/>
        <v/>
      </c>
      <c r="E725" s="7"/>
      <c r="F725" s="8" t="str">
        <f t="shared" si="35"/>
        <v/>
      </c>
    </row>
    <row r="726" spans="1:6" x14ac:dyDescent="0.25">
      <c r="A726" s="13" t="str">
        <f>IF(AND($E726="",MAX($A$8:$A725)=0),"",IF(AND($E726&lt;&gt;"",MAX($A$8:$A725)=0),1,IF(AND($E726&lt;&gt;"",MAX($A$8:$A725)&gt;0),MAX($A$8:$A725)+1,"")))</f>
        <v/>
      </c>
      <c r="B726" s="11">
        <v>719</v>
      </c>
      <c r="C726" s="19" t="str">
        <f t="shared" si="33"/>
        <v>EMPTY</v>
      </c>
      <c r="D726" s="3" t="str">
        <f t="shared" si="34"/>
        <v/>
      </c>
      <c r="E726" s="7"/>
      <c r="F726" s="8" t="str">
        <f t="shared" si="35"/>
        <v/>
      </c>
    </row>
    <row r="727" spans="1:6" x14ac:dyDescent="0.25">
      <c r="A727" s="13" t="str">
        <f>IF(AND($E727="",MAX($A$8:$A726)=0),"",IF(AND($E727&lt;&gt;"",MAX($A$8:$A726)=0),1,IF(AND($E727&lt;&gt;"",MAX($A$8:$A726)&gt;0),MAX($A$8:$A726)+1,"")))</f>
        <v/>
      </c>
      <c r="B727" s="11">
        <v>720</v>
      </c>
      <c r="C727" s="19" t="str">
        <f t="shared" si="33"/>
        <v>EMPTY</v>
      </c>
      <c r="D727" s="3" t="str">
        <f t="shared" si="34"/>
        <v/>
      </c>
      <c r="E727" s="7"/>
      <c r="F727" s="8" t="str">
        <f t="shared" si="35"/>
        <v/>
      </c>
    </row>
    <row r="728" spans="1:6" x14ac:dyDescent="0.25">
      <c r="A728" s="13" t="str">
        <f>IF(AND($E728="",MAX($A$8:$A727)=0),"",IF(AND($E728&lt;&gt;"",MAX($A$8:$A727)=0),1,IF(AND($E728&lt;&gt;"",MAX($A$8:$A727)&gt;0),MAX($A$8:$A727)+1,"")))</f>
        <v/>
      </c>
      <c r="B728" s="11">
        <v>721</v>
      </c>
      <c r="C728" s="19" t="str">
        <f t="shared" si="33"/>
        <v>EMPTY</v>
      </c>
      <c r="D728" s="3" t="str">
        <f t="shared" si="34"/>
        <v/>
      </c>
      <c r="E728" s="7"/>
      <c r="F728" s="8" t="str">
        <f t="shared" si="35"/>
        <v/>
      </c>
    </row>
    <row r="729" spans="1:6" x14ac:dyDescent="0.25">
      <c r="A729" s="13" t="str">
        <f>IF(AND($E729="",MAX($A$8:$A728)=0),"",IF(AND($E729&lt;&gt;"",MAX($A$8:$A728)=0),1,IF(AND($E729&lt;&gt;"",MAX($A$8:$A728)&gt;0),MAX($A$8:$A728)+1,"")))</f>
        <v/>
      </c>
      <c r="B729" s="11">
        <v>722</v>
      </c>
      <c r="C729" s="19" t="str">
        <f t="shared" si="33"/>
        <v>EMPTY</v>
      </c>
      <c r="D729" s="3" t="str">
        <f t="shared" si="34"/>
        <v/>
      </c>
      <c r="E729" s="7"/>
      <c r="F729" s="8" t="str">
        <f t="shared" si="35"/>
        <v/>
      </c>
    </row>
    <row r="730" spans="1:6" x14ac:dyDescent="0.25">
      <c r="A730" s="13" t="str">
        <f>IF(AND($E730="",MAX($A$8:$A729)=0),"",IF(AND($E730&lt;&gt;"",MAX($A$8:$A729)=0),1,IF(AND($E730&lt;&gt;"",MAX($A$8:$A729)&gt;0),MAX($A$8:$A729)+1,"")))</f>
        <v/>
      </c>
      <c r="B730" s="11">
        <v>723</v>
      </c>
      <c r="C730" s="19" t="str">
        <f t="shared" si="33"/>
        <v>EMPTY</v>
      </c>
      <c r="D730" s="3" t="str">
        <f t="shared" si="34"/>
        <v/>
      </c>
      <c r="E730" s="7"/>
      <c r="F730" s="8" t="str">
        <f t="shared" si="35"/>
        <v/>
      </c>
    </row>
    <row r="731" spans="1:6" x14ac:dyDescent="0.25">
      <c r="A731" s="13" t="str">
        <f>IF(AND($E731="",MAX($A$8:$A730)=0),"",IF(AND($E731&lt;&gt;"",MAX($A$8:$A730)=0),1,IF(AND($E731&lt;&gt;"",MAX($A$8:$A730)&gt;0),MAX($A$8:$A730)+1,"")))</f>
        <v/>
      </c>
      <c r="B731" s="11">
        <v>724</v>
      </c>
      <c r="C731" s="19" t="str">
        <f t="shared" si="33"/>
        <v>EMPTY</v>
      </c>
      <c r="D731" s="3" t="str">
        <f t="shared" si="34"/>
        <v/>
      </c>
      <c r="E731" s="7"/>
      <c r="F731" s="8" t="str">
        <f t="shared" si="35"/>
        <v/>
      </c>
    </row>
    <row r="732" spans="1:6" x14ac:dyDescent="0.25">
      <c r="A732" s="13" t="str">
        <f>IF(AND($E732="",MAX($A$8:$A731)=0),"",IF(AND($E732&lt;&gt;"",MAX($A$8:$A731)=0),1,IF(AND($E732&lt;&gt;"",MAX($A$8:$A731)&gt;0),MAX($A$8:$A731)+1,"")))</f>
        <v/>
      </c>
      <c r="B732" s="11">
        <v>725</v>
      </c>
      <c r="C732" s="19" t="str">
        <f t="shared" si="33"/>
        <v>EMPTY</v>
      </c>
      <c r="D732" s="3" t="str">
        <f t="shared" si="34"/>
        <v/>
      </c>
      <c r="E732" s="7"/>
      <c r="F732" s="8" t="str">
        <f t="shared" si="35"/>
        <v/>
      </c>
    </row>
    <row r="733" spans="1:6" x14ac:dyDescent="0.25">
      <c r="A733" s="13" t="str">
        <f>IF(AND($E733="",MAX($A$8:$A732)=0),"",IF(AND($E733&lt;&gt;"",MAX($A$8:$A732)=0),1,IF(AND($E733&lt;&gt;"",MAX($A$8:$A732)&gt;0),MAX($A$8:$A732)+1,"")))</f>
        <v/>
      </c>
      <c r="B733" s="11">
        <v>726</v>
      </c>
      <c r="C733" s="19" t="str">
        <f t="shared" si="33"/>
        <v>EMPTY</v>
      </c>
      <c r="D733" s="3" t="str">
        <f t="shared" si="34"/>
        <v/>
      </c>
      <c r="E733" s="7"/>
      <c r="F733" s="8" t="str">
        <f t="shared" si="35"/>
        <v/>
      </c>
    </row>
    <row r="734" spans="1:6" x14ac:dyDescent="0.25">
      <c r="A734" s="13" t="str">
        <f>IF(AND($E734="",MAX($A$8:$A733)=0),"",IF(AND($E734&lt;&gt;"",MAX($A$8:$A733)=0),1,IF(AND($E734&lt;&gt;"",MAX($A$8:$A733)&gt;0),MAX($A$8:$A733)+1,"")))</f>
        <v/>
      </c>
      <c r="B734" s="11">
        <v>727</v>
      </c>
      <c r="C734" s="19" t="str">
        <f t="shared" si="33"/>
        <v>EMPTY</v>
      </c>
      <c r="D734" s="3" t="str">
        <f t="shared" si="34"/>
        <v/>
      </c>
      <c r="E734" s="7"/>
      <c r="F734" s="8" t="str">
        <f t="shared" si="35"/>
        <v/>
      </c>
    </row>
    <row r="735" spans="1:6" x14ac:dyDescent="0.25">
      <c r="A735" s="13" t="str">
        <f>IF(AND($E735="",MAX($A$8:$A734)=0),"",IF(AND($E735&lt;&gt;"",MAX($A$8:$A734)=0),1,IF(AND($E735&lt;&gt;"",MAX($A$8:$A734)&gt;0),MAX($A$8:$A734)+1,"")))</f>
        <v/>
      </c>
      <c r="B735" s="11">
        <v>728</v>
      </c>
      <c r="C735" s="19" t="str">
        <f t="shared" si="33"/>
        <v>EMPTY</v>
      </c>
      <c r="D735" s="3" t="str">
        <f t="shared" si="34"/>
        <v/>
      </c>
      <c r="E735" s="7"/>
      <c r="F735" s="8" t="str">
        <f t="shared" si="35"/>
        <v/>
      </c>
    </row>
    <row r="736" spans="1:6" x14ac:dyDescent="0.25">
      <c r="A736" s="13" t="str">
        <f>IF(AND($E736="",MAX($A$8:$A735)=0),"",IF(AND($E736&lt;&gt;"",MAX($A$8:$A735)=0),1,IF(AND($E736&lt;&gt;"",MAX($A$8:$A735)&gt;0),MAX($A$8:$A735)+1,"")))</f>
        <v/>
      </c>
      <c r="B736" s="11">
        <v>729</v>
      </c>
      <c r="C736" s="19" t="str">
        <f t="shared" si="33"/>
        <v>EMPTY</v>
      </c>
      <c r="D736" s="3" t="str">
        <f t="shared" si="34"/>
        <v/>
      </c>
      <c r="E736" s="7"/>
      <c r="F736" s="8" t="str">
        <f t="shared" si="35"/>
        <v/>
      </c>
    </row>
    <row r="737" spans="1:6" x14ac:dyDescent="0.25">
      <c r="A737" s="13" t="str">
        <f>IF(AND($E737="",MAX($A$8:$A736)=0),"",IF(AND($E737&lt;&gt;"",MAX($A$8:$A736)=0),1,IF(AND($E737&lt;&gt;"",MAX($A$8:$A736)&gt;0),MAX($A$8:$A736)+1,"")))</f>
        <v/>
      </c>
      <c r="B737" s="11">
        <v>730</v>
      </c>
      <c r="C737" s="19" t="str">
        <f t="shared" si="33"/>
        <v>EMPTY</v>
      </c>
      <c r="D737" s="3" t="str">
        <f t="shared" si="34"/>
        <v/>
      </c>
      <c r="E737" s="7"/>
      <c r="F737" s="8" t="str">
        <f t="shared" si="35"/>
        <v/>
      </c>
    </row>
    <row r="738" spans="1:6" x14ac:dyDescent="0.25">
      <c r="A738" s="13" t="str">
        <f>IF(AND($E738="",MAX($A$8:$A737)=0),"",IF(AND($E738&lt;&gt;"",MAX($A$8:$A737)=0),1,IF(AND($E738&lt;&gt;"",MAX($A$8:$A737)&gt;0),MAX($A$8:$A737)+1,"")))</f>
        <v/>
      </c>
      <c r="B738" s="11">
        <v>731</v>
      </c>
      <c r="C738" s="19" t="str">
        <f t="shared" si="33"/>
        <v>EMPTY</v>
      </c>
      <c r="D738" s="3" t="str">
        <f t="shared" si="34"/>
        <v/>
      </c>
      <c r="E738" s="7"/>
      <c r="F738" s="8" t="str">
        <f t="shared" si="35"/>
        <v/>
      </c>
    </row>
    <row r="739" spans="1:6" x14ac:dyDescent="0.25">
      <c r="A739" s="13" t="str">
        <f>IF(AND($E739="",MAX($A$8:$A738)=0),"",IF(AND($E739&lt;&gt;"",MAX($A$8:$A738)=0),1,IF(AND($E739&lt;&gt;"",MAX($A$8:$A738)&gt;0),MAX($A$8:$A738)+1,"")))</f>
        <v/>
      </c>
      <c r="B739" s="11">
        <v>732</v>
      </c>
      <c r="C739" s="19" t="str">
        <f t="shared" si="33"/>
        <v>EMPTY</v>
      </c>
      <c r="D739" s="3" t="str">
        <f t="shared" si="34"/>
        <v/>
      </c>
      <c r="E739" s="7"/>
      <c r="F739" s="8" t="str">
        <f t="shared" si="35"/>
        <v/>
      </c>
    </row>
    <row r="740" spans="1:6" x14ac:dyDescent="0.25">
      <c r="A740" s="13" t="str">
        <f>IF(AND($E740="",MAX($A$8:$A739)=0),"",IF(AND($E740&lt;&gt;"",MAX($A$8:$A739)=0),1,IF(AND($E740&lt;&gt;"",MAX($A$8:$A739)&gt;0),MAX($A$8:$A739)+1,"")))</f>
        <v/>
      </c>
      <c r="B740" s="11">
        <v>733</v>
      </c>
      <c r="C740" s="19" t="str">
        <f t="shared" si="33"/>
        <v>EMPTY</v>
      </c>
      <c r="D740" s="3" t="str">
        <f t="shared" si="34"/>
        <v/>
      </c>
      <c r="E740" s="7"/>
      <c r="F740" s="8" t="str">
        <f t="shared" si="35"/>
        <v/>
      </c>
    </row>
    <row r="741" spans="1:6" x14ac:dyDescent="0.25">
      <c r="A741" s="13" t="str">
        <f>IF(AND($E741="",MAX($A$8:$A740)=0),"",IF(AND($E741&lt;&gt;"",MAX($A$8:$A740)=0),1,IF(AND($E741&lt;&gt;"",MAX($A$8:$A740)&gt;0),MAX($A$8:$A740)+1,"")))</f>
        <v/>
      </c>
      <c r="B741" s="11">
        <v>734</v>
      </c>
      <c r="C741" s="19" t="str">
        <f t="shared" si="33"/>
        <v>EMPTY</v>
      </c>
      <c r="D741" s="3" t="str">
        <f t="shared" si="34"/>
        <v/>
      </c>
      <c r="E741" s="7"/>
      <c r="F741" s="8" t="str">
        <f t="shared" si="35"/>
        <v/>
      </c>
    </row>
    <row r="742" spans="1:6" x14ac:dyDescent="0.25">
      <c r="A742" s="13" t="str">
        <f>IF(AND($E742="",MAX($A$8:$A741)=0),"",IF(AND($E742&lt;&gt;"",MAX($A$8:$A741)=0),1,IF(AND($E742&lt;&gt;"",MAX($A$8:$A741)&gt;0),MAX($A$8:$A741)+1,"")))</f>
        <v/>
      </c>
      <c r="B742" s="11">
        <v>735</v>
      </c>
      <c r="C742" s="19" t="str">
        <f t="shared" si="33"/>
        <v>EMPTY</v>
      </c>
      <c r="D742" s="3" t="str">
        <f t="shared" si="34"/>
        <v/>
      </c>
      <c r="E742" s="7"/>
      <c r="F742" s="8" t="str">
        <f t="shared" si="35"/>
        <v/>
      </c>
    </row>
    <row r="743" spans="1:6" x14ac:dyDescent="0.25">
      <c r="A743" s="13" t="str">
        <f>IF(AND($E743="",MAX($A$8:$A742)=0),"",IF(AND($E743&lt;&gt;"",MAX($A$8:$A742)=0),1,IF(AND($E743&lt;&gt;"",MAX($A$8:$A742)&gt;0),MAX($A$8:$A742)+1,"")))</f>
        <v/>
      </c>
      <c r="B743" s="11">
        <v>736</v>
      </c>
      <c r="C743" s="19" t="str">
        <f t="shared" si="33"/>
        <v>EMPTY</v>
      </c>
      <c r="D743" s="3" t="str">
        <f t="shared" si="34"/>
        <v/>
      </c>
      <c r="E743" s="7"/>
      <c r="F743" s="8" t="str">
        <f t="shared" si="35"/>
        <v/>
      </c>
    </row>
    <row r="744" spans="1:6" x14ac:dyDescent="0.25">
      <c r="A744" s="13" t="str">
        <f>IF(AND($E744="",MAX($A$8:$A743)=0),"",IF(AND($E744&lt;&gt;"",MAX($A$8:$A743)=0),1,IF(AND($E744&lt;&gt;"",MAX($A$8:$A743)&gt;0),MAX($A$8:$A743)+1,"")))</f>
        <v/>
      </c>
      <c r="B744" s="11">
        <v>737</v>
      </c>
      <c r="C744" s="19" t="str">
        <f t="shared" si="33"/>
        <v>EMPTY</v>
      </c>
      <c r="D744" s="3" t="str">
        <f t="shared" si="34"/>
        <v/>
      </c>
      <c r="E744" s="7"/>
      <c r="F744" s="8" t="str">
        <f t="shared" si="35"/>
        <v/>
      </c>
    </row>
    <row r="745" spans="1:6" x14ac:dyDescent="0.25">
      <c r="A745" s="13" t="str">
        <f>IF(AND($E745="",MAX($A$8:$A744)=0),"",IF(AND($E745&lt;&gt;"",MAX($A$8:$A744)=0),1,IF(AND($E745&lt;&gt;"",MAX($A$8:$A744)&gt;0),MAX($A$8:$A744)+1,"")))</f>
        <v/>
      </c>
      <c r="B745" s="11">
        <v>738</v>
      </c>
      <c r="C745" s="19" t="str">
        <f t="shared" si="33"/>
        <v>EMPTY</v>
      </c>
      <c r="D745" s="3" t="str">
        <f t="shared" si="34"/>
        <v/>
      </c>
      <c r="E745" s="7"/>
      <c r="F745" s="8" t="str">
        <f t="shared" si="35"/>
        <v/>
      </c>
    </row>
    <row r="746" spans="1:6" x14ac:dyDescent="0.25">
      <c r="A746" s="13" t="str">
        <f>IF(AND($E746="",MAX($A$8:$A745)=0),"",IF(AND($E746&lt;&gt;"",MAX($A$8:$A745)=0),1,IF(AND($E746&lt;&gt;"",MAX($A$8:$A745)&gt;0),MAX($A$8:$A745)+1,"")))</f>
        <v/>
      </c>
      <c r="B746" s="11">
        <v>739</v>
      </c>
      <c r="C746" s="19" t="str">
        <f t="shared" si="33"/>
        <v>EMPTY</v>
      </c>
      <c r="D746" s="3" t="str">
        <f t="shared" si="34"/>
        <v/>
      </c>
      <c r="E746" s="7"/>
      <c r="F746" s="8" t="str">
        <f t="shared" si="35"/>
        <v/>
      </c>
    </row>
    <row r="747" spans="1:6" x14ac:dyDescent="0.25">
      <c r="A747" s="13" t="str">
        <f>IF(AND($E747="",MAX($A$8:$A746)=0),"",IF(AND($E747&lt;&gt;"",MAX($A$8:$A746)=0),1,IF(AND($E747&lt;&gt;"",MAX($A$8:$A746)&gt;0),MAX($A$8:$A746)+1,"")))</f>
        <v/>
      </c>
      <c r="B747" s="11">
        <v>740</v>
      </c>
      <c r="C747" s="19" t="str">
        <f t="shared" si="33"/>
        <v>EMPTY</v>
      </c>
      <c r="D747" s="3" t="str">
        <f t="shared" si="34"/>
        <v/>
      </c>
      <c r="E747" s="7"/>
      <c r="F747" s="8" t="str">
        <f t="shared" si="35"/>
        <v/>
      </c>
    </row>
    <row r="748" spans="1:6" x14ac:dyDescent="0.25">
      <c r="A748" s="13" t="str">
        <f>IF(AND($E748="",MAX($A$8:$A747)=0),"",IF(AND($E748&lt;&gt;"",MAX($A$8:$A747)=0),1,IF(AND($E748&lt;&gt;"",MAX($A$8:$A747)&gt;0),MAX($A$8:$A747)+1,"")))</f>
        <v/>
      </c>
      <c r="B748" s="11">
        <v>741</v>
      </c>
      <c r="C748" s="19" t="str">
        <f t="shared" si="33"/>
        <v>EMPTY</v>
      </c>
      <c r="D748" s="3" t="str">
        <f t="shared" si="34"/>
        <v/>
      </c>
      <c r="E748" s="7"/>
      <c r="F748" s="8" t="str">
        <f t="shared" si="35"/>
        <v/>
      </c>
    </row>
    <row r="749" spans="1:6" x14ac:dyDescent="0.25">
      <c r="A749" s="13" t="str">
        <f>IF(AND($E749="",MAX($A$8:$A748)=0),"",IF(AND($E749&lt;&gt;"",MAX($A$8:$A748)=0),1,IF(AND($E749&lt;&gt;"",MAX($A$8:$A748)&gt;0),MAX($A$8:$A748)+1,"")))</f>
        <v/>
      </c>
      <c r="B749" s="11">
        <v>742</v>
      </c>
      <c r="C749" s="19" t="str">
        <f t="shared" si="33"/>
        <v>EMPTY</v>
      </c>
      <c r="D749" s="3" t="str">
        <f t="shared" si="34"/>
        <v/>
      </c>
      <c r="E749" s="7"/>
      <c r="F749" s="8" t="str">
        <f t="shared" si="35"/>
        <v/>
      </c>
    </row>
    <row r="750" spans="1:6" x14ac:dyDescent="0.25">
      <c r="A750" s="13" t="str">
        <f>IF(AND($E750="",MAX($A$8:$A749)=0),"",IF(AND($E750&lt;&gt;"",MAX($A$8:$A749)=0),1,IF(AND($E750&lt;&gt;"",MAX($A$8:$A749)&gt;0),MAX($A$8:$A749)+1,"")))</f>
        <v/>
      </c>
      <c r="B750" s="11">
        <v>743</v>
      </c>
      <c r="C750" s="19" t="str">
        <f t="shared" si="33"/>
        <v>EMPTY</v>
      </c>
      <c r="D750" s="3" t="str">
        <f t="shared" si="34"/>
        <v/>
      </c>
      <c r="E750" s="7"/>
      <c r="F750" s="8" t="str">
        <f t="shared" si="35"/>
        <v/>
      </c>
    </row>
    <row r="751" spans="1:6" x14ac:dyDescent="0.25">
      <c r="A751" s="13" t="str">
        <f>IF(AND($E751="",MAX($A$8:$A750)=0),"",IF(AND($E751&lt;&gt;"",MAX($A$8:$A750)=0),1,IF(AND($E751&lt;&gt;"",MAX($A$8:$A750)&gt;0),MAX($A$8:$A750)+1,"")))</f>
        <v/>
      </c>
      <c r="B751" s="11">
        <v>744</v>
      </c>
      <c r="C751" s="19" t="str">
        <f t="shared" si="33"/>
        <v>EMPTY</v>
      </c>
      <c r="D751" s="3" t="str">
        <f t="shared" si="34"/>
        <v/>
      </c>
      <c r="E751" s="7"/>
      <c r="F751" s="8" t="str">
        <f t="shared" si="35"/>
        <v/>
      </c>
    </row>
    <row r="752" spans="1:6" x14ac:dyDescent="0.25">
      <c r="A752" s="13" t="str">
        <f>IF(AND($E752="",MAX($A$8:$A751)=0),"",IF(AND($E752&lt;&gt;"",MAX($A$8:$A751)=0),1,IF(AND($E752&lt;&gt;"",MAX($A$8:$A751)&gt;0),MAX($A$8:$A751)+1,"")))</f>
        <v/>
      </c>
      <c r="B752" s="11">
        <v>745</v>
      </c>
      <c r="C752" s="19" t="str">
        <f t="shared" si="33"/>
        <v>EMPTY</v>
      </c>
      <c r="D752" s="3" t="str">
        <f t="shared" si="34"/>
        <v/>
      </c>
      <c r="E752" s="7"/>
      <c r="F752" s="8" t="str">
        <f t="shared" si="35"/>
        <v/>
      </c>
    </row>
    <row r="753" spans="1:6" x14ac:dyDescent="0.25">
      <c r="A753" s="13" t="str">
        <f>IF(AND($E753="",MAX($A$8:$A752)=0),"",IF(AND($E753&lt;&gt;"",MAX($A$8:$A752)=0),1,IF(AND($E753&lt;&gt;"",MAX($A$8:$A752)&gt;0),MAX($A$8:$A752)+1,"")))</f>
        <v/>
      </c>
      <c r="B753" s="11">
        <v>746</v>
      </c>
      <c r="C753" s="19" t="str">
        <f t="shared" si="33"/>
        <v>EMPTY</v>
      </c>
      <c r="D753" s="3" t="str">
        <f t="shared" si="34"/>
        <v/>
      </c>
      <c r="E753" s="7"/>
      <c r="F753" s="8" t="str">
        <f t="shared" si="35"/>
        <v/>
      </c>
    </row>
    <row r="754" spans="1:6" x14ac:dyDescent="0.25">
      <c r="A754" s="13" t="str">
        <f>IF(AND($E754="",MAX($A$8:$A753)=0),"",IF(AND($E754&lt;&gt;"",MAX($A$8:$A753)=0),1,IF(AND($E754&lt;&gt;"",MAX($A$8:$A753)&gt;0),MAX($A$8:$A753)+1,"")))</f>
        <v/>
      </c>
      <c r="B754" s="11">
        <v>747</v>
      </c>
      <c r="C754" s="19" t="str">
        <f t="shared" si="33"/>
        <v>EMPTY</v>
      </c>
      <c r="D754" s="3" t="str">
        <f t="shared" si="34"/>
        <v/>
      </c>
      <c r="E754" s="7"/>
      <c r="F754" s="8" t="str">
        <f t="shared" si="35"/>
        <v/>
      </c>
    </row>
    <row r="755" spans="1:6" x14ac:dyDescent="0.25">
      <c r="A755" s="13" t="str">
        <f>IF(AND($E755="",MAX($A$8:$A754)=0),"",IF(AND($E755&lt;&gt;"",MAX($A$8:$A754)=0),1,IF(AND($E755&lt;&gt;"",MAX($A$8:$A754)&gt;0),MAX($A$8:$A754)+1,"")))</f>
        <v/>
      </c>
      <c r="B755" s="11">
        <v>748</v>
      </c>
      <c r="C755" s="19" t="str">
        <f t="shared" si="33"/>
        <v>EMPTY</v>
      </c>
      <c r="D755" s="3" t="str">
        <f t="shared" si="34"/>
        <v/>
      </c>
      <c r="E755" s="7"/>
      <c r="F755" s="8" t="str">
        <f t="shared" si="35"/>
        <v/>
      </c>
    </row>
    <row r="756" spans="1:6" x14ac:dyDescent="0.25">
      <c r="A756" s="13" t="str">
        <f>IF(AND($E756="",MAX($A$8:$A755)=0),"",IF(AND($E756&lt;&gt;"",MAX($A$8:$A755)=0),1,IF(AND($E756&lt;&gt;"",MAX($A$8:$A755)&gt;0),MAX($A$8:$A755)+1,"")))</f>
        <v/>
      </c>
      <c r="B756" s="11">
        <v>749</v>
      </c>
      <c r="C756" s="19" t="str">
        <f t="shared" si="33"/>
        <v>EMPTY</v>
      </c>
      <c r="D756" s="3" t="str">
        <f t="shared" si="34"/>
        <v/>
      </c>
      <c r="E756" s="7"/>
      <c r="F756" s="8" t="str">
        <f t="shared" si="35"/>
        <v/>
      </c>
    </row>
    <row r="757" spans="1:6" x14ac:dyDescent="0.25">
      <c r="A757" s="13" t="str">
        <f>IF(AND($E757="",MAX($A$8:$A756)=0),"",IF(AND($E757&lt;&gt;"",MAX($A$8:$A756)=0),1,IF(AND($E757&lt;&gt;"",MAX($A$8:$A756)&gt;0),MAX($A$8:$A756)+1,"")))</f>
        <v/>
      </c>
      <c r="B757" s="11">
        <v>750</v>
      </c>
      <c r="C757" s="19" t="str">
        <f t="shared" si="33"/>
        <v>EMPTY</v>
      </c>
      <c r="D757" s="3" t="str">
        <f t="shared" si="34"/>
        <v/>
      </c>
      <c r="E757" s="7"/>
      <c r="F757" s="8" t="str">
        <f t="shared" si="35"/>
        <v/>
      </c>
    </row>
    <row r="758" spans="1:6" x14ac:dyDescent="0.25">
      <c r="A758" s="13" t="str">
        <f>IF(AND($E758="",MAX($A$8:$A757)=0),"",IF(AND($E758&lt;&gt;"",MAX($A$8:$A757)=0),1,IF(AND($E758&lt;&gt;"",MAX($A$8:$A757)&gt;0),MAX($A$8:$A757)+1,"")))</f>
        <v/>
      </c>
      <c r="B758" s="11">
        <v>751</v>
      </c>
      <c r="C758" s="19" t="str">
        <f t="shared" si="33"/>
        <v>EMPTY</v>
      </c>
      <c r="D758" s="3" t="str">
        <f t="shared" si="34"/>
        <v/>
      </c>
      <c r="E758" s="7"/>
      <c r="F758" s="8" t="str">
        <f t="shared" si="35"/>
        <v/>
      </c>
    </row>
    <row r="759" spans="1:6" x14ac:dyDescent="0.25">
      <c r="A759" s="13" t="str">
        <f>IF(AND($E759="",MAX($A$8:$A758)=0),"",IF(AND($E759&lt;&gt;"",MAX($A$8:$A758)=0),1,IF(AND($E759&lt;&gt;"",MAX($A$8:$A758)&gt;0),MAX($A$8:$A758)+1,"")))</f>
        <v/>
      </c>
      <c r="B759" s="11">
        <v>752</v>
      </c>
      <c r="C759" s="19" t="str">
        <f t="shared" si="33"/>
        <v>EMPTY</v>
      </c>
      <c r="D759" s="3" t="str">
        <f t="shared" si="34"/>
        <v/>
      </c>
      <c r="E759" s="7"/>
      <c r="F759" s="8" t="str">
        <f t="shared" si="35"/>
        <v/>
      </c>
    </row>
    <row r="760" spans="1:6" x14ac:dyDescent="0.25">
      <c r="A760" s="13" t="str">
        <f>IF(AND($E760="",MAX($A$8:$A759)=0),"",IF(AND($E760&lt;&gt;"",MAX($A$8:$A759)=0),1,IF(AND($E760&lt;&gt;"",MAX($A$8:$A759)&gt;0),MAX($A$8:$A759)+1,"")))</f>
        <v/>
      </c>
      <c r="B760" s="11">
        <v>753</v>
      </c>
      <c r="C760" s="19" t="str">
        <f t="shared" si="33"/>
        <v>EMPTY</v>
      </c>
      <c r="D760" s="3" t="str">
        <f t="shared" si="34"/>
        <v/>
      </c>
      <c r="E760" s="7"/>
      <c r="F760" s="8" t="str">
        <f t="shared" si="35"/>
        <v/>
      </c>
    </row>
    <row r="761" spans="1:6" x14ac:dyDescent="0.25">
      <c r="A761" s="13" t="str">
        <f>IF(AND($E761="",MAX($A$8:$A760)=0),"",IF(AND($E761&lt;&gt;"",MAX($A$8:$A760)=0),1,IF(AND($E761&lt;&gt;"",MAX($A$8:$A760)&gt;0),MAX($A$8:$A760)+1,"")))</f>
        <v/>
      </c>
      <c r="B761" s="11">
        <v>754</v>
      </c>
      <c r="C761" s="19" t="str">
        <f t="shared" si="33"/>
        <v>EMPTY</v>
      </c>
      <c r="D761" s="3" t="str">
        <f t="shared" si="34"/>
        <v/>
      </c>
      <c r="E761" s="7"/>
      <c r="F761" s="8" t="str">
        <f t="shared" si="35"/>
        <v/>
      </c>
    </row>
    <row r="762" spans="1:6" x14ac:dyDescent="0.25">
      <c r="A762" s="13" t="str">
        <f>IF(AND($E762="",MAX($A$8:$A761)=0),"",IF(AND($E762&lt;&gt;"",MAX($A$8:$A761)=0),1,IF(AND($E762&lt;&gt;"",MAX($A$8:$A761)&gt;0),MAX($A$8:$A761)+1,"")))</f>
        <v/>
      </c>
      <c r="B762" s="11">
        <v>755</v>
      </c>
      <c r="C762" s="19" t="str">
        <f t="shared" si="33"/>
        <v>EMPTY</v>
      </c>
      <c r="D762" s="3" t="str">
        <f t="shared" si="34"/>
        <v/>
      </c>
      <c r="E762" s="7"/>
      <c r="F762" s="8" t="str">
        <f t="shared" si="35"/>
        <v/>
      </c>
    </row>
    <row r="763" spans="1:6" x14ac:dyDescent="0.25">
      <c r="A763" s="13" t="str">
        <f>IF(AND($E763="",MAX($A$8:$A762)=0),"",IF(AND($E763&lt;&gt;"",MAX($A$8:$A762)=0),1,IF(AND($E763&lt;&gt;"",MAX($A$8:$A762)&gt;0),MAX($A$8:$A762)+1,"")))</f>
        <v/>
      </c>
      <c r="B763" s="11">
        <v>756</v>
      </c>
      <c r="C763" s="19" t="str">
        <f t="shared" si="33"/>
        <v>EMPTY</v>
      </c>
      <c r="D763" s="3" t="str">
        <f t="shared" si="34"/>
        <v/>
      </c>
      <c r="E763" s="7"/>
      <c r="F763" s="8" t="str">
        <f t="shared" si="35"/>
        <v/>
      </c>
    </row>
    <row r="764" spans="1:6" x14ac:dyDescent="0.25">
      <c r="A764" s="13" t="str">
        <f>IF(AND($E764="",MAX($A$8:$A763)=0),"",IF(AND($E764&lt;&gt;"",MAX($A$8:$A763)=0),1,IF(AND($E764&lt;&gt;"",MAX($A$8:$A763)&gt;0),MAX($A$8:$A763)+1,"")))</f>
        <v/>
      </c>
      <c r="B764" s="11">
        <v>757</v>
      </c>
      <c r="C764" s="19" t="str">
        <f t="shared" si="33"/>
        <v>EMPTY</v>
      </c>
      <c r="D764" s="3" t="str">
        <f t="shared" si="34"/>
        <v/>
      </c>
      <c r="E764" s="7"/>
      <c r="F764" s="8" t="str">
        <f t="shared" si="35"/>
        <v/>
      </c>
    </row>
    <row r="765" spans="1:6" x14ac:dyDescent="0.25">
      <c r="A765" s="13" t="str">
        <f>IF(AND($E765="",MAX($A$8:$A764)=0),"",IF(AND($E765&lt;&gt;"",MAX($A$8:$A764)=0),1,IF(AND($E765&lt;&gt;"",MAX($A$8:$A764)&gt;0),MAX($A$8:$A764)+1,"")))</f>
        <v/>
      </c>
      <c r="B765" s="11">
        <v>758</v>
      </c>
      <c r="C765" s="19" t="str">
        <f t="shared" si="33"/>
        <v>EMPTY</v>
      </c>
      <c r="D765" s="3" t="str">
        <f t="shared" si="34"/>
        <v/>
      </c>
      <c r="E765" s="7"/>
      <c r="F765" s="8" t="str">
        <f t="shared" si="35"/>
        <v/>
      </c>
    </row>
    <row r="766" spans="1:6" x14ac:dyDescent="0.25">
      <c r="A766" s="13" t="str">
        <f>IF(AND($E766="",MAX($A$8:$A765)=0),"",IF(AND($E766&lt;&gt;"",MAX($A$8:$A765)=0),1,IF(AND($E766&lt;&gt;"",MAX($A$8:$A765)&gt;0),MAX($A$8:$A765)+1,"")))</f>
        <v/>
      </c>
      <c r="B766" s="11">
        <v>759</v>
      </c>
      <c r="C766" s="19" t="str">
        <f t="shared" si="33"/>
        <v>EMPTY</v>
      </c>
      <c r="D766" s="3" t="str">
        <f t="shared" si="34"/>
        <v/>
      </c>
      <c r="E766" s="7"/>
      <c r="F766" s="8" t="str">
        <f t="shared" si="35"/>
        <v/>
      </c>
    </row>
    <row r="767" spans="1:6" x14ac:dyDescent="0.25">
      <c r="A767" s="13" t="str">
        <f>IF(AND($E767="",MAX($A$8:$A766)=0),"",IF(AND($E767&lt;&gt;"",MAX($A$8:$A766)=0),1,IF(AND($E767&lt;&gt;"",MAX($A$8:$A766)&gt;0),MAX($A$8:$A766)+1,"")))</f>
        <v/>
      </c>
      <c r="B767" s="11">
        <v>760</v>
      </c>
      <c r="C767" s="19" t="str">
        <f t="shared" si="33"/>
        <v>EMPTY</v>
      </c>
      <c r="D767" s="3" t="str">
        <f t="shared" si="34"/>
        <v/>
      </c>
      <c r="E767" s="7"/>
      <c r="F767" s="8" t="str">
        <f t="shared" si="35"/>
        <v/>
      </c>
    </row>
    <row r="768" spans="1:6" x14ac:dyDescent="0.25">
      <c r="A768" s="13" t="str">
        <f>IF(AND($E768="",MAX($A$8:$A767)=0),"",IF(AND($E768&lt;&gt;"",MAX($A$8:$A767)=0),1,IF(AND($E768&lt;&gt;"",MAX($A$8:$A767)&gt;0),MAX($A$8:$A767)+1,"")))</f>
        <v/>
      </c>
      <c r="B768" s="11">
        <v>761</v>
      </c>
      <c r="C768" s="19" t="str">
        <f t="shared" si="33"/>
        <v>EMPTY</v>
      </c>
      <c r="D768" s="3" t="str">
        <f t="shared" si="34"/>
        <v/>
      </c>
      <c r="E768" s="7"/>
      <c r="F768" s="8" t="str">
        <f t="shared" si="35"/>
        <v/>
      </c>
    </row>
    <row r="769" spans="1:6" x14ac:dyDescent="0.25">
      <c r="A769" s="13" t="str">
        <f>IF(AND($E769="",MAX($A$8:$A768)=0),"",IF(AND($E769&lt;&gt;"",MAX($A$8:$A768)=0),1,IF(AND($E769&lt;&gt;"",MAX($A$8:$A768)&gt;0),MAX($A$8:$A768)+1,"")))</f>
        <v/>
      </c>
      <c r="B769" s="11">
        <v>762</v>
      </c>
      <c r="C769" s="19" t="str">
        <f t="shared" si="33"/>
        <v>EMPTY</v>
      </c>
      <c r="D769" s="3" t="str">
        <f t="shared" si="34"/>
        <v/>
      </c>
      <c r="E769" s="7"/>
      <c r="F769" s="8" t="str">
        <f t="shared" si="35"/>
        <v/>
      </c>
    </row>
    <row r="770" spans="1:6" x14ac:dyDescent="0.25">
      <c r="A770" s="13" t="str">
        <f>IF(AND($E770="",MAX($A$8:$A769)=0),"",IF(AND($E770&lt;&gt;"",MAX($A$8:$A769)=0),1,IF(AND($E770&lt;&gt;"",MAX($A$8:$A769)&gt;0),MAX($A$8:$A769)+1,"")))</f>
        <v/>
      </c>
      <c r="B770" s="11">
        <v>763</v>
      </c>
      <c r="C770" s="19" t="str">
        <f t="shared" si="33"/>
        <v>EMPTY</v>
      </c>
      <c r="D770" s="3" t="str">
        <f t="shared" si="34"/>
        <v/>
      </c>
      <c r="E770" s="7"/>
      <c r="F770" s="8" t="str">
        <f t="shared" si="35"/>
        <v/>
      </c>
    </row>
    <row r="771" spans="1:6" x14ac:dyDescent="0.25">
      <c r="A771" s="13" t="str">
        <f>IF(AND($E771="",MAX($A$8:$A770)=0),"",IF(AND($E771&lt;&gt;"",MAX($A$8:$A770)=0),1,IF(AND($E771&lt;&gt;"",MAX($A$8:$A770)&gt;0),MAX($A$8:$A770)+1,"")))</f>
        <v/>
      </c>
      <c r="B771" s="11">
        <v>764</v>
      </c>
      <c r="C771" s="19" t="str">
        <f t="shared" si="33"/>
        <v>EMPTY</v>
      </c>
      <c r="D771" s="3" t="str">
        <f t="shared" si="34"/>
        <v/>
      </c>
      <c r="E771" s="7"/>
      <c r="F771" s="8" t="str">
        <f t="shared" si="35"/>
        <v/>
      </c>
    </row>
    <row r="772" spans="1:6" x14ac:dyDescent="0.25">
      <c r="A772" s="13" t="str">
        <f>IF(AND($E772="",MAX($A$8:$A771)=0),"",IF(AND($E772&lt;&gt;"",MAX($A$8:$A771)=0),1,IF(AND($E772&lt;&gt;"",MAX($A$8:$A771)&gt;0),MAX($A$8:$A771)+1,"")))</f>
        <v/>
      </c>
      <c r="B772" s="11">
        <v>765</v>
      </c>
      <c r="C772" s="19" t="str">
        <f t="shared" si="33"/>
        <v>EMPTY</v>
      </c>
      <c r="D772" s="3" t="str">
        <f t="shared" si="34"/>
        <v/>
      </c>
      <c r="E772" s="7"/>
      <c r="F772" s="8" t="str">
        <f t="shared" si="35"/>
        <v/>
      </c>
    </row>
    <row r="773" spans="1:6" x14ac:dyDescent="0.25">
      <c r="A773" s="13" t="str">
        <f>IF(AND($E773="",MAX($A$8:$A772)=0),"",IF(AND($E773&lt;&gt;"",MAX($A$8:$A772)=0),1,IF(AND($E773&lt;&gt;"",MAX($A$8:$A772)&gt;0),MAX($A$8:$A772)+1,"")))</f>
        <v/>
      </c>
      <c r="B773" s="11">
        <v>766</v>
      </c>
      <c r="C773" s="19" t="str">
        <f t="shared" si="33"/>
        <v>EMPTY</v>
      </c>
      <c r="D773" s="3" t="str">
        <f t="shared" si="34"/>
        <v/>
      </c>
      <c r="E773" s="7"/>
      <c r="F773" s="8" t="str">
        <f t="shared" si="35"/>
        <v/>
      </c>
    </row>
    <row r="774" spans="1:6" x14ac:dyDescent="0.25">
      <c r="A774" s="13" t="str">
        <f>IF(AND($E774="",MAX($A$8:$A773)=0),"",IF(AND($E774&lt;&gt;"",MAX($A$8:$A773)=0),1,IF(AND($E774&lt;&gt;"",MAX($A$8:$A773)&gt;0),MAX($A$8:$A773)+1,"")))</f>
        <v/>
      </c>
      <c r="B774" s="11">
        <v>767</v>
      </c>
      <c r="C774" s="19" t="str">
        <f t="shared" si="33"/>
        <v>EMPTY</v>
      </c>
      <c r="D774" s="3" t="str">
        <f t="shared" si="34"/>
        <v/>
      </c>
      <c r="E774" s="7"/>
      <c r="F774" s="8" t="str">
        <f t="shared" si="35"/>
        <v/>
      </c>
    </row>
    <row r="775" spans="1:6" x14ac:dyDescent="0.25">
      <c r="A775" s="13" t="str">
        <f>IF(AND($E775="",MAX($A$8:$A774)=0),"",IF(AND($E775&lt;&gt;"",MAX($A$8:$A774)=0),1,IF(AND($E775&lt;&gt;"",MAX($A$8:$A774)&gt;0),MAX($A$8:$A774)+1,"")))</f>
        <v/>
      </c>
      <c r="B775" s="11">
        <v>768</v>
      </c>
      <c r="C775" s="19" t="str">
        <f t="shared" si="33"/>
        <v>EMPTY</v>
      </c>
      <c r="D775" s="3" t="str">
        <f t="shared" si="34"/>
        <v/>
      </c>
      <c r="E775" s="7"/>
      <c r="F775" s="8" t="str">
        <f t="shared" si="35"/>
        <v/>
      </c>
    </row>
    <row r="776" spans="1:6" x14ac:dyDescent="0.25">
      <c r="A776" s="13" t="str">
        <f>IF(AND($E776="",MAX($A$8:$A775)=0),"",IF(AND($E776&lt;&gt;"",MAX($A$8:$A775)=0),1,IF(AND($E776&lt;&gt;"",MAX($A$8:$A775)&gt;0),MAX($A$8:$A775)+1,"")))</f>
        <v/>
      </c>
      <c r="B776" s="11">
        <v>769</v>
      </c>
      <c r="C776" s="19" t="str">
        <f t="shared" si="33"/>
        <v>EMPTY</v>
      </c>
      <c r="D776" s="3" t="str">
        <f t="shared" si="34"/>
        <v/>
      </c>
      <c r="E776" s="7"/>
      <c r="F776" s="8" t="str">
        <f t="shared" si="35"/>
        <v/>
      </c>
    </row>
    <row r="777" spans="1:6" x14ac:dyDescent="0.25">
      <c r="A777" s="13" t="str">
        <f>IF(AND($E777="",MAX($A$8:$A776)=0),"",IF(AND($E777&lt;&gt;"",MAX($A$8:$A776)=0),1,IF(AND($E777&lt;&gt;"",MAX($A$8:$A776)&gt;0),MAX($A$8:$A776)+1,"")))</f>
        <v/>
      </c>
      <c r="B777" s="11">
        <v>770</v>
      </c>
      <c r="C777" s="19" t="str">
        <f t="shared" ref="C777:C840" si="36">IF($E777="","EMPTY",IF(MID($E777,1,9)&lt;&gt;"Dialogue:","HIDE",IF(MID($E777,1,9)="Dialogue:","SHOW","")))</f>
        <v>EMPTY</v>
      </c>
      <c r="D777" s="3" t="str">
        <f t="shared" ref="D777:D840" si="37">IF($C777="SHOW",CONCATENATE("[",MID($E777,FIND(",",$E777,1)+3,8),"]",MID($E777,FIND("0,,",$E777,1)+3,1000)),"")</f>
        <v/>
      </c>
      <c r="E777" s="7"/>
      <c r="F777" s="8" t="str">
        <f t="shared" ref="F777:F840" si="38">$D777</f>
        <v/>
      </c>
    </row>
    <row r="778" spans="1:6" x14ac:dyDescent="0.25">
      <c r="A778" s="13" t="str">
        <f>IF(AND($E778="",MAX($A$8:$A777)=0),"",IF(AND($E778&lt;&gt;"",MAX($A$8:$A777)=0),1,IF(AND($E778&lt;&gt;"",MAX($A$8:$A777)&gt;0),MAX($A$8:$A777)+1,"")))</f>
        <v/>
      </c>
      <c r="B778" s="11">
        <v>771</v>
      </c>
      <c r="C778" s="19" t="str">
        <f t="shared" si="36"/>
        <v>EMPTY</v>
      </c>
      <c r="D778" s="3" t="str">
        <f t="shared" si="37"/>
        <v/>
      </c>
      <c r="E778" s="7"/>
      <c r="F778" s="8" t="str">
        <f t="shared" si="38"/>
        <v/>
      </c>
    </row>
    <row r="779" spans="1:6" x14ac:dyDescent="0.25">
      <c r="A779" s="13" t="str">
        <f>IF(AND($E779="",MAX($A$8:$A778)=0),"",IF(AND($E779&lt;&gt;"",MAX($A$8:$A778)=0),1,IF(AND($E779&lt;&gt;"",MAX($A$8:$A778)&gt;0),MAX($A$8:$A778)+1,"")))</f>
        <v/>
      </c>
      <c r="B779" s="11">
        <v>772</v>
      </c>
      <c r="C779" s="19" t="str">
        <f t="shared" si="36"/>
        <v>EMPTY</v>
      </c>
      <c r="D779" s="3" t="str">
        <f t="shared" si="37"/>
        <v/>
      </c>
      <c r="E779" s="7"/>
      <c r="F779" s="8" t="str">
        <f t="shared" si="38"/>
        <v/>
      </c>
    </row>
    <row r="780" spans="1:6" x14ac:dyDescent="0.25">
      <c r="A780" s="13" t="str">
        <f>IF(AND($E780="",MAX($A$8:$A779)=0),"",IF(AND($E780&lt;&gt;"",MAX($A$8:$A779)=0),1,IF(AND($E780&lt;&gt;"",MAX($A$8:$A779)&gt;0),MAX($A$8:$A779)+1,"")))</f>
        <v/>
      </c>
      <c r="B780" s="11">
        <v>773</v>
      </c>
      <c r="C780" s="19" t="str">
        <f t="shared" si="36"/>
        <v>EMPTY</v>
      </c>
      <c r="D780" s="3" t="str">
        <f t="shared" si="37"/>
        <v/>
      </c>
      <c r="E780" s="7"/>
      <c r="F780" s="8" t="str">
        <f t="shared" si="38"/>
        <v/>
      </c>
    </row>
    <row r="781" spans="1:6" x14ac:dyDescent="0.25">
      <c r="A781" s="13" t="str">
        <f>IF(AND($E781="",MAX($A$8:$A780)=0),"",IF(AND($E781&lt;&gt;"",MAX($A$8:$A780)=0),1,IF(AND($E781&lt;&gt;"",MAX($A$8:$A780)&gt;0),MAX($A$8:$A780)+1,"")))</f>
        <v/>
      </c>
      <c r="B781" s="11">
        <v>774</v>
      </c>
      <c r="C781" s="19" t="str">
        <f t="shared" si="36"/>
        <v>EMPTY</v>
      </c>
      <c r="D781" s="3" t="str">
        <f t="shared" si="37"/>
        <v/>
      </c>
      <c r="E781" s="7"/>
      <c r="F781" s="8" t="str">
        <f t="shared" si="38"/>
        <v/>
      </c>
    </row>
    <row r="782" spans="1:6" x14ac:dyDescent="0.25">
      <c r="A782" s="13" t="str">
        <f>IF(AND($E782="",MAX($A$8:$A781)=0),"",IF(AND($E782&lt;&gt;"",MAX($A$8:$A781)=0),1,IF(AND($E782&lt;&gt;"",MAX($A$8:$A781)&gt;0),MAX($A$8:$A781)+1,"")))</f>
        <v/>
      </c>
      <c r="B782" s="11">
        <v>775</v>
      </c>
      <c r="C782" s="19" t="str">
        <f t="shared" si="36"/>
        <v>EMPTY</v>
      </c>
      <c r="D782" s="3" t="str">
        <f t="shared" si="37"/>
        <v/>
      </c>
      <c r="E782" s="7"/>
      <c r="F782" s="8" t="str">
        <f t="shared" si="38"/>
        <v/>
      </c>
    </row>
    <row r="783" spans="1:6" x14ac:dyDescent="0.25">
      <c r="A783" s="13" t="str">
        <f>IF(AND($E783="",MAX($A$8:$A782)=0),"",IF(AND($E783&lt;&gt;"",MAX($A$8:$A782)=0),1,IF(AND($E783&lt;&gt;"",MAX($A$8:$A782)&gt;0),MAX($A$8:$A782)+1,"")))</f>
        <v/>
      </c>
      <c r="B783" s="11">
        <v>776</v>
      </c>
      <c r="C783" s="19" t="str">
        <f t="shared" si="36"/>
        <v>EMPTY</v>
      </c>
      <c r="D783" s="3" t="str">
        <f t="shared" si="37"/>
        <v/>
      </c>
      <c r="E783" s="7"/>
      <c r="F783" s="8" t="str">
        <f t="shared" si="38"/>
        <v/>
      </c>
    </row>
    <row r="784" spans="1:6" x14ac:dyDescent="0.25">
      <c r="A784" s="13" t="str">
        <f>IF(AND($E784="",MAX($A$8:$A783)=0),"",IF(AND($E784&lt;&gt;"",MAX($A$8:$A783)=0),1,IF(AND($E784&lt;&gt;"",MAX($A$8:$A783)&gt;0),MAX($A$8:$A783)+1,"")))</f>
        <v/>
      </c>
      <c r="B784" s="11">
        <v>777</v>
      </c>
      <c r="C784" s="19" t="str">
        <f t="shared" si="36"/>
        <v>EMPTY</v>
      </c>
      <c r="D784" s="3" t="str">
        <f t="shared" si="37"/>
        <v/>
      </c>
      <c r="E784" s="7"/>
      <c r="F784" s="8" t="str">
        <f t="shared" si="38"/>
        <v/>
      </c>
    </row>
    <row r="785" spans="1:6" x14ac:dyDescent="0.25">
      <c r="A785" s="13" t="str">
        <f>IF(AND($E785="",MAX($A$8:$A784)=0),"",IF(AND($E785&lt;&gt;"",MAX($A$8:$A784)=0),1,IF(AND($E785&lt;&gt;"",MAX($A$8:$A784)&gt;0),MAX($A$8:$A784)+1,"")))</f>
        <v/>
      </c>
      <c r="B785" s="11">
        <v>778</v>
      </c>
      <c r="C785" s="19" t="str">
        <f t="shared" si="36"/>
        <v>EMPTY</v>
      </c>
      <c r="D785" s="3" t="str">
        <f t="shared" si="37"/>
        <v/>
      </c>
      <c r="E785" s="7"/>
      <c r="F785" s="8" t="str">
        <f t="shared" si="38"/>
        <v/>
      </c>
    </row>
    <row r="786" spans="1:6" x14ac:dyDescent="0.25">
      <c r="A786" s="13" t="str">
        <f>IF(AND($E786="",MAX($A$8:$A785)=0),"",IF(AND($E786&lt;&gt;"",MAX($A$8:$A785)=0),1,IF(AND($E786&lt;&gt;"",MAX($A$8:$A785)&gt;0),MAX($A$8:$A785)+1,"")))</f>
        <v/>
      </c>
      <c r="B786" s="11">
        <v>779</v>
      </c>
      <c r="C786" s="19" t="str">
        <f t="shared" si="36"/>
        <v>EMPTY</v>
      </c>
      <c r="D786" s="3" t="str">
        <f t="shared" si="37"/>
        <v/>
      </c>
      <c r="E786" s="7"/>
      <c r="F786" s="8" t="str">
        <f t="shared" si="38"/>
        <v/>
      </c>
    </row>
    <row r="787" spans="1:6" x14ac:dyDescent="0.25">
      <c r="A787" s="13" t="str">
        <f>IF(AND($E787="",MAX($A$8:$A786)=0),"",IF(AND($E787&lt;&gt;"",MAX($A$8:$A786)=0),1,IF(AND($E787&lt;&gt;"",MAX($A$8:$A786)&gt;0),MAX($A$8:$A786)+1,"")))</f>
        <v/>
      </c>
      <c r="B787" s="11">
        <v>780</v>
      </c>
      <c r="C787" s="19" t="str">
        <f t="shared" si="36"/>
        <v>EMPTY</v>
      </c>
      <c r="D787" s="3" t="str">
        <f t="shared" si="37"/>
        <v/>
      </c>
      <c r="E787" s="7"/>
      <c r="F787" s="8" t="str">
        <f t="shared" si="38"/>
        <v/>
      </c>
    </row>
    <row r="788" spans="1:6" x14ac:dyDescent="0.25">
      <c r="A788" s="13" t="str">
        <f>IF(AND($E788="",MAX($A$8:$A787)=0),"",IF(AND($E788&lt;&gt;"",MAX($A$8:$A787)=0),1,IF(AND($E788&lt;&gt;"",MAX($A$8:$A787)&gt;0),MAX($A$8:$A787)+1,"")))</f>
        <v/>
      </c>
      <c r="B788" s="11">
        <v>781</v>
      </c>
      <c r="C788" s="19" t="str">
        <f t="shared" si="36"/>
        <v>EMPTY</v>
      </c>
      <c r="D788" s="3" t="str">
        <f t="shared" si="37"/>
        <v/>
      </c>
      <c r="E788" s="7"/>
      <c r="F788" s="8" t="str">
        <f t="shared" si="38"/>
        <v/>
      </c>
    </row>
    <row r="789" spans="1:6" x14ac:dyDescent="0.25">
      <c r="A789" s="13" t="str">
        <f>IF(AND($E789="",MAX($A$8:$A788)=0),"",IF(AND($E789&lt;&gt;"",MAX($A$8:$A788)=0),1,IF(AND($E789&lt;&gt;"",MAX($A$8:$A788)&gt;0),MAX($A$8:$A788)+1,"")))</f>
        <v/>
      </c>
      <c r="B789" s="11">
        <v>782</v>
      </c>
      <c r="C789" s="19" t="str">
        <f t="shared" si="36"/>
        <v>EMPTY</v>
      </c>
      <c r="D789" s="3" t="str">
        <f t="shared" si="37"/>
        <v/>
      </c>
      <c r="E789" s="7"/>
      <c r="F789" s="8" t="str">
        <f t="shared" si="38"/>
        <v/>
      </c>
    </row>
    <row r="790" spans="1:6" x14ac:dyDescent="0.25">
      <c r="A790" s="13" t="str">
        <f>IF(AND($E790="",MAX($A$8:$A789)=0),"",IF(AND($E790&lt;&gt;"",MAX($A$8:$A789)=0),1,IF(AND($E790&lt;&gt;"",MAX($A$8:$A789)&gt;0),MAX($A$8:$A789)+1,"")))</f>
        <v/>
      </c>
      <c r="B790" s="11">
        <v>783</v>
      </c>
      <c r="C790" s="19" t="str">
        <f t="shared" si="36"/>
        <v>EMPTY</v>
      </c>
      <c r="D790" s="3" t="str">
        <f t="shared" si="37"/>
        <v/>
      </c>
      <c r="E790" s="7"/>
      <c r="F790" s="8" t="str">
        <f t="shared" si="38"/>
        <v/>
      </c>
    </row>
    <row r="791" spans="1:6" x14ac:dyDescent="0.25">
      <c r="A791" s="13" t="str">
        <f>IF(AND($E791="",MAX($A$8:$A790)=0),"",IF(AND($E791&lt;&gt;"",MAX($A$8:$A790)=0),1,IF(AND($E791&lt;&gt;"",MAX($A$8:$A790)&gt;0),MAX($A$8:$A790)+1,"")))</f>
        <v/>
      </c>
      <c r="B791" s="11">
        <v>784</v>
      </c>
      <c r="C791" s="19" t="str">
        <f t="shared" si="36"/>
        <v>EMPTY</v>
      </c>
      <c r="D791" s="3" t="str">
        <f t="shared" si="37"/>
        <v/>
      </c>
      <c r="E791" s="7"/>
      <c r="F791" s="8" t="str">
        <f t="shared" si="38"/>
        <v/>
      </c>
    </row>
    <row r="792" spans="1:6" x14ac:dyDescent="0.25">
      <c r="A792" s="13" t="str">
        <f>IF(AND($E792="",MAX($A$8:$A791)=0),"",IF(AND($E792&lt;&gt;"",MAX($A$8:$A791)=0),1,IF(AND($E792&lt;&gt;"",MAX($A$8:$A791)&gt;0),MAX($A$8:$A791)+1,"")))</f>
        <v/>
      </c>
      <c r="B792" s="11">
        <v>785</v>
      </c>
      <c r="C792" s="19" t="str">
        <f t="shared" si="36"/>
        <v>EMPTY</v>
      </c>
      <c r="D792" s="3" t="str">
        <f t="shared" si="37"/>
        <v/>
      </c>
      <c r="E792" s="7"/>
      <c r="F792" s="8" t="str">
        <f t="shared" si="38"/>
        <v/>
      </c>
    </row>
    <row r="793" spans="1:6" x14ac:dyDescent="0.25">
      <c r="A793" s="13" t="str">
        <f>IF(AND($E793="",MAX($A$8:$A792)=0),"",IF(AND($E793&lt;&gt;"",MAX($A$8:$A792)=0),1,IF(AND($E793&lt;&gt;"",MAX($A$8:$A792)&gt;0),MAX($A$8:$A792)+1,"")))</f>
        <v/>
      </c>
      <c r="B793" s="11">
        <v>786</v>
      </c>
      <c r="C793" s="19" t="str">
        <f t="shared" si="36"/>
        <v>EMPTY</v>
      </c>
      <c r="D793" s="3" t="str">
        <f t="shared" si="37"/>
        <v/>
      </c>
      <c r="E793" s="7"/>
      <c r="F793" s="8" t="str">
        <f t="shared" si="38"/>
        <v/>
      </c>
    </row>
    <row r="794" spans="1:6" x14ac:dyDescent="0.25">
      <c r="A794" s="13" t="str">
        <f>IF(AND($E794="",MAX($A$8:$A793)=0),"",IF(AND($E794&lt;&gt;"",MAX($A$8:$A793)=0),1,IF(AND($E794&lt;&gt;"",MAX($A$8:$A793)&gt;0),MAX($A$8:$A793)+1,"")))</f>
        <v/>
      </c>
      <c r="B794" s="11">
        <v>787</v>
      </c>
      <c r="C794" s="19" t="str">
        <f t="shared" si="36"/>
        <v>EMPTY</v>
      </c>
      <c r="D794" s="3" t="str">
        <f t="shared" si="37"/>
        <v/>
      </c>
      <c r="E794" s="7"/>
      <c r="F794" s="8" t="str">
        <f t="shared" si="38"/>
        <v/>
      </c>
    </row>
    <row r="795" spans="1:6" x14ac:dyDescent="0.25">
      <c r="A795" s="13" t="str">
        <f>IF(AND($E795="",MAX($A$8:$A794)=0),"",IF(AND($E795&lt;&gt;"",MAX($A$8:$A794)=0),1,IF(AND($E795&lt;&gt;"",MAX($A$8:$A794)&gt;0),MAX($A$8:$A794)+1,"")))</f>
        <v/>
      </c>
      <c r="B795" s="11">
        <v>788</v>
      </c>
      <c r="C795" s="19" t="str">
        <f t="shared" si="36"/>
        <v>EMPTY</v>
      </c>
      <c r="D795" s="3" t="str">
        <f t="shared" si="37"/>
        <v/>
      </c>
      <c r="E795" s="7"/>
      <c r="F795" s="8" t="str">
        <f t="shared" si="38"/>
        <v/>
      </c>
    </row>
    <row r="796" spans="1:6" x14ac:dyDescent="0.25">
      <c r="A796" s="13" t="str">
        <f>IF(AND($E796="",MAX($A$8:$A795)=0),"",IF(AND($E796&lt;&gt;"",MAX($A$8:$A795)=0),1,IF(AND($E796&lt;&gt;"",MAX($A$8:$A795)&gt;0),MAX($A$8:$A795)+1,"")))</f>
        <v/>
      </c>
      <c r="B796" s="11">
        <v>789</v>
      </c>
      <c r="C796" s="19" t="str">
        <f t="shared" si="36"/>
        <v>EMPTY</v>
      </c>
      <c r="D796" s="3" t="str">
        <f t="shared" si="37"/>
        <v/>
      </c>
      <c r="E796" s="7"/>
      <c r="F796" s="8" t="str">
        <f t="shared" si="38"/>
        <v/>
      </c>
    </row>
    <row r="797" spans="1:6" x14ac:dyDescent="0.25">
      <c r="A797" s="13" t="str">
        <f>IF(AND($E797="",MAX($A$8:$A796)=0),"",IF(AND($E797&lt;&gt;"",MAX($A$8:$A796)=0),1,IF(AND($E797&lt;&gt;"",MAX($A$8:$A796)&gt;0),MAX($A$8:$A796)+1,"")))</f>
        <v/>
      </c>
      <c r="B797" s="11">
        <v>790</v>
      </c>
      <c r="C797" s="19" t="str">
        <f t="shared" si="36"/>
        <v>EMPTY</v>
      </c>
      <c r="D797" s="3" t="str">
        <f t="shared" si="37"/>
        <v/>
      </c>
      <c r="E797" s="7"/>
      <c r="F797" s="8" t="str">
        <f t="shared" si="38"/>
        <v/>
      </c>
    </row>
    <row r="798" spans="1:6" x14ac:dyDescent="0.25">
      <c r="A798" s="13" t="str">
        <f>IF(AND($E798="",MAX($A$8:$A797)=0),"",IF(AND($E798&lt;&gt;"",MAX($A$8:$A797)=0),1,IF(AND($E798&lt;&gt;"",MAX($A$8:$A797)&gt;0),MAX($A$8:$A797)+1,"")))</f>
        <v/>
      </c>
      <c r="B798" s="11">
        <v>791</v>
      </c>
      <c r="C798" s="19" t="str">
        <f t="shared" si="36"/>
        <v>EMPTY</v>
      </c>
      <c r="D798" s="3" t="str">
        <f t="shared" si="37"/>
        <v/>
      </c>
      <c r="E798" s="7"/>
      <c r="F798" s="8" t="str">
        <f t="shared" si="38"/>
        <v/>
      </c>
    </row>
    <row r="799" spans="1:6" x14ac:dyDescent="0.25">
      <c r="A799" s="13" t="str">
        <f>IF(AND($E799="",MAX($A$8:$A798)=0),"",IF(AND($E799&lt;&gt;"",MAX($A$8:$A798)=0),1,IF(AND($E799&lt;&gt;"",MAX($A$8:$A798)&gt;0),MAX($A$8:$A798)+1,"")))</f>
        <v/>
      </c>
      <c r="B799" s="11">
        <v>792</v>
      </c>
      <c r="C799" s="19" t="str">
        <f t="shared" si="36"/>
        <v>EMPTY</v>
      </c>
      <c r="D799" s="3" t="str">
        <f t="shared" si="37"/>
        <v/>
      </c>
      <c r="E799" s="7"/>
      <c r="F799" s="8" t="str">
        <f t="shared" si="38"/>
        <v/>
      </c>
    </row>
    <row r="800" spans="1:6" x14ac:dyDescent="0.25">
      <c r="A800" s="13" t="str">
        <f>IF(AND($E800="",MAX($A$8:$A799)=0),"",IF(AND($E800&lt;&gt;"",MAX($A$8:$A799)=0),1,IF(AND($E800&lt;&gt;"",MAX($A$8:$A799)&gt;0),MAX($A$8:$A799)+1,"")))</f>
        <v/>
      </c>
      <c r="B800" s="11">
        <v>793</v>
      </c>
      <c r="C800" s="19" t="str">
        <f t="shared" si="36"/>
        <v>EMPTY</v>
      </c>
      <c r="D800" s="3" t="str">
        <f t="shared" si="37"/>
        <v/>
      </c>
      <c r="E800" s="7"/>
      <c r="F800" s="8" t="str">
        <f t="shared" si="38"/>
        <v/>
      </c>
    </row>
    <row r="801" spans="1:6" x14ac:dyDescent="0.25">
      <c r="A801" s="13" t="str">
        <f>IF(AND($E801="",MAX($A$8:$A800)=0),"",IF(AND($E801&lt;&gt;"",MAX($A$8:$A800)=0),1,IF(AND($E801&lt;&gt;"",MAX($A$8:$A800)&gt;0),MAX($A$8:$A800)+1,"")))</f>
        <v/>
      </c>
      <c r="B801" s="11">
        <v>794</v>
      </c>
      <c r="C801" s="19" t="str">
        <f t="shared" si="36"/>
        <v>EMPTY</v>
      </c>
      <c r="D801" s="3" t="str">
        <f t="shared" si="37"/>
        <v/>
      </c>
      <c r="E801" s="7"/>
      <c r="F801" s="8" t="str">
        <f t="shared" si="38"/>
        <v/>
      </c>
    </row>
    <row r="802" spans="1:6" x14ac:dyDescent="0.25">
      <c r="A802" s="13" t="str">
        <f>IF(AND($E802="",MAX($A$8:$A801)=0),"",IF(AND($E802&lt;&gt;"",MAX($A$8:$A801)=0),1,IF(AND($E802&lt;&gt;"",MAX($A$8:$A801)&gt;0),MAX($A$8:$A801)+1,"")))</f>
        <v/>
      </c>
      <c r="B802" s="11">
        <v>795</v>
      </c>
      <c r="C802" s="19" t="str">
        <f t="shared" si="36"/>
        <v>EMPTY</v>
      </c>
      <c r="D802" s="3" t="str">
        <f t="shared" si="37"/>
        <v/>
      </c>
      <c r="E802" s="7"/>
      <c r="F802" s="8" t="str">
        <f t="shared" si="38"/>
        <v/>
      </c>
    </row>
    <row r="803" spans="1:6" x14ac:dyDescent="0.25">
      <c r="A803" s="13" t="str">
        <f>IF(AND($E803="",MAX($A$8:$A802)=0),"",IF(AND($E803&lt;&gt;"",MAX($A$8:$A802)=0),1,IF(AND($E803&lt;&gt;"",MAX($A$8:$A802)&gt;0),MAX($A$8:$A802)+1,"")))</f>
        <v/>
      </c>
      <c r="B803" s="11">
        <v>796</v>
      </c>
      <c r="C803" s="19" t="str">
        <f t="shared" si="36"/>
        <v>EMPTY</v>
      </c>
      <c r="D803" s="3" t="str">
        <f t="shared" si="37"/>
        <v/>
      </c>
      <c r="E803" s="7"/>
      <c r="F803" s="8" t="str">
        <f t="shared" si="38"/>
        <v/>
      </c>
    </row>
    <row r="804" spans="1:6" x14ac:dyDescent="0.25">
      <c r="A804" s="13" t="str">
        <f>IF(AND($E804="",MAX($A$8:$A803)=0),"",IF(AND($E804&lt;&gt;"",MAX($A$8:$A803)=0),1,IF(AND($E804&lt;&gt;"",MAX($A$8:$A803)&gt;0),MAX($A$8:$A803)+1,"")))</f>
        <v/>
      </c>
      <c r="B804" s="11">
        <v>797</v>
      </c>
      <c r="C804" s="19" t="str">
        <f t="shared" si="36"/>
        <v>EMPTY</v>
      </c>
      <c r="D804" s="3" t="str">
        <f t="shared" si="37"/>
        <v/>
      </c>
      <c r="E804" s="7"/>
      <c r="F804" s="8" t="str">
        <f t="shared" si="38"/>
        <v/>
      </c>
    </row>
    <row r="805" spans="1:6" x14ac:dyDescent="0.25">
      <c r="A805" s="13" t="str">
        <f>IF(AND($E805="",MAX($A$8:$A804)=0),"",IF(AND($E805&lt;&gt;"",MAX($A$8:$A804)=0),1,IF(AND($E805&lt;&gt;"",MAX($A$8:$A804)&gt;0),MAX($A$8:$A804)+1,"")))</f>
        <v/>
      </c>
      <c r="B805" s="11">
        <v>798</v>
      </c>
      <c r="C805" s="19" t="str">
        <f t="shared" si="36"/>
        <v>EMPTY</v>
      </c>
      <c r="D805" s="3" t="str">
        <f t="shared" si="37"/>
        <v/>
      </c>
      <c r="E805" s="7"/>
      <c r="F805" s="8" t="str">
        <f t="shared" si="38"/>
        <v/>
      </c>
    </row>
    <row r="806" spans="1:6" x14ac:dyDescent="0.25">
      <c r="A806" s="13" t="str">
        <f>IF(AND($E806="",MAX($A$8:$A805)=0),"",IF(AND($E806&lt;&gt;"",MAX($A$8:$A805)=0),1,IF(AND($E806&lt;&gt;"",MAX($A$8:$A805)&gt;0),MAX($A$8:$A805)+1,"")))</f>
        <v/>
      </c>
      <c r="B806" s="11">
        <v>799</v>
      </c>
      <c r="C806" s="19" t="str">
        <f t="shared" si="36"/>
        <v>EMPTY</v>
      </c>
      <c r="D806" s="3" t="str">
        <f t="shared" si="37"/>
        <v/>
      </c>
      <c r="E806" s="7"/>
      <c r="F806" s="8" t="str">
        <f t="shared" si="38"/>
        <v/>
      </c>
    </row>
    <row r="807" spans="1:6" x14ac:dyDescent="0.25">
      <c r="A807" s="13" t="str">
        <f>IF(AND($E807="",MAX($A$8:$A806)=0),"",IF(AND($E807&lt;&gt;"",MAX($A$8:$A806)=0),1,IF(AND($E807&lt;&gt;"",MAX($A$8:$A806)&gt;0),MAX($A$8:$A806)+1,"")))</f>
        <v/>
      </c>
      <c r="B807" s="11">
        <v>800</v>
      </c>
      <c r="C807" s="19" t="str">
        <f t="shared" si="36"/>
        <v>EMPTY</v>
      </c>
      <c r="D807" s="3" t="str">
        <f t="shared" si="37"/>
        <v/>
      </c>
      <c r="E807" s="7"/>
      <c r="F807" s="8" t="str">
        <f t="shared" si="38"/>
        <v/>
      </c>
    </row>
    <row r="808" spans="1:6" x14ac:dyDescent="0.25">
      <c r="A808" s="13" t="str">
        <f>IF(AND($E808="",MAX($A$8:$A807)=0),"",IF(AND($E808&lt;&gt;"",MAX($A$8:$A807)=0),1,IF(AND($E808&lt;&gt;"",MAX($A$8:$A807)&gt;0),MAX($A$8:$A807)+1,"")))</f>
        <v/>
      </c>
      <c r="B808" s="11">
        <v>801</v>
      </c>
      <c r="C808" s="19" t="str">
        <f t="shared" si="36"/>
        <v>EMPTY</v>
      </c>
      <c r="D808" s="3" t="str">
        <f t="shared" si="37"/>
        <v/>
      </c>
      <c r="E808" s="7"/>
      <c r="F808" s="8" t="str">
        <f t="shared" si="38"/>
        <v/>
      </c>
    </row>
    <row r="809" spans="1:6" x14ac:dyDescent="0.25">
      <c r="A809" s="13" t="str">
        <f>IF(AND($E809="",MAX($A$8:$A808)=0),"",IF(AND($E809&lt;&gt;"",MAX($A$8:$A808)=0),1,IF(AND($E809&lt;&gt;"",MAX($A$8:$A808)&gt;0),MAX($A$8:$A808)+1,"")))</f>
        <v/>
      </c>
      <c r="B809" s="11">
        <v>802</v>
      </c>
      <c r="C809" s="19" t="str">
        <f t="shared" si="36"/>
        <v>EMPTY</v>
      </c>
      <c r="D809" s="3" t="str">
        <f t="shared" si="37"/>
        <v/>
      </c>
      <c r="E809" s="7"/>
      <c r="F809" s="8" t="str">
        <f t="shared" si="38"/>
        <v/>
      </c>
    </row>
    <row r="810" spans="1:6" x14ac:dyDescent="0.25">
      <c r="A810" s="13" t="str">
        <f>IF(AND($E810="",MAX($A$8:$A809)=0),"",IF(AND($E810&lt;&gt;"",MAX($A$8:$A809)=0),1,IF(AND($E810&lt;&gt;"",MAX($A$8:$A809)&gt;0),MAX($A$8:$A809)+1,"")))</f>
        <v/>
      </c>
      <c r="B810" s="11">
        <v>803</v>
      </c>
      <c r="C810" s="19" t="str">
        <f t="shared" si="36"/>
        <v>EMPTY</v>
      </c>
      <c r="D810" s="3" t="str">
        <f t="shared" si="37"/>
        <v/>
      </c>
      <c r="E810" s="7"/>
      <c r="F810" s="8" t="str">
        <f t="shared" si="38"/>
        <v/>
      </c>
    </row>
    <row r="811" spans="1:6" x14ac:dyDescent="0.25">
      <c r="A811" s="13" t="str">
        <f>IF(AND($E811="",MAX($A$8:$A810)=0),"",IF(AND($E811&lt;&gt;"",MAX($A$8:$A810)=0),1,IF(AND($E811&lt;&gt;"",MAX($A$8:$A810)&gt;0),MAX($A$8:$A810)+1,"")))</f>
        <v/>
      </c>
      <c r="B811" s="11">
        <v>804</v>
      </c>
      <c r="C811" s="19" t="str">
        <f t="shared" si="36"/>
        <v>EMPTY</v>
      </c>
      <c r="D811" s="3" t="str">
        <f t="shared" si="37"/>
        <v/>
      </c>
      <c r="E811" s="7"/>
      <c r="F811" s="8" t="str">
        <f t="shared" si="38"/>
        <v/>
      </c>
    </row>
    <row r="812" spans="1:6" x14ac:dyDescent="0.25">
      <c r="A812" s="13" t="str">
        <f>IF(AND($E812="",MAX($A$8:$A811)=0),"",IF(AND($E812&lt;&gt;"",MAX($A$8:$A811)=0),1,IF(AND($E812&lt;&gt;"",MAX($A$8:$A811)&gt;0),MAX($A$8:$A811)+1,"")))</f>
        <v/>
      </c>
      <c r="B812" s="11">
        <v>805</v>
      </c>
      <c r="C812" s="19" t="str">
        <f t="shared" si="36"/>
        <v>EMPTY</v>
      </c>
      <c r="D812" s="3" t="str">
        <f t="shared" si="37"/>
        <v/>
      </c>
      <c r="E812" s="7"/>
      <c r="F812" s="8" t="str">
        <f t="shared" si="38"/>
        <v/>
      </c>
    </row>
    <row r="813" spans="1:6" x14ac:dyDescent="0.25">
      <c r="A813" s="13" t="str">
        <f>IF(AND($E813="",MAX($A$8:$A812)=0),"",IF(AND($E813&lt;&gt;"",MAX($A$8:$A812)=0),1,IF(AND($E813&lt;&gt;"",MAX($A$8:$A812)&gt;0),MAX($A$8:$A812)+1,"")))</f>
        <v/>
      </c>
      <c r="B813" s="11">
        <v>806</v>
      </c>
      <c r="C813" s="19" t="str">
        <f t="shared" si="36"/>
        <v>EMPTY</v>
      </c>
      <c r="D813" s="3" t="str">
        <f t="shared" si="37"/>
        <v/>
      </c>
      <c r="E813" s="7"/>
      <c r="F813" s="8" t="str">
        <f t="shared" si="38"/>
        <v/>
      </c>
    </row>
    <row r="814" spans="1:6" x14ac:dyDescent="0.25">
      <c r="A814" s="13" t="str">
        <f>IF(AND($E814="",MAX($A$8:$A813)=0),"",IF(AND($E814&lt;&gt;"",MAX($A$8:$A813)=0),1,IF(AND($E814&lt;&gt;"",MAX($A$8:$A813)&gt;0),MAX($A$8:$A813)+1,"")))</f>
        <v/>
      </c>
      <c r="B814" s="11">
        <v>807</v>
      </c>
      <c r="C814" s="19" t="str">
        <f t="shared" si="36"/>
        <v>EMPTY</v>
      </c>
      <c r="D814" s="3" t="str">
        <f t="shared" si="37"/>
        <v/>
      </c>
      <c r="E814" s="7"/>
      <c r="F814" s="8" t="str">
        <f t="shared" si="38"/>
        <v/>
      </c>
    </row>
    <row r="815" spans="1:6" x14ac:dyDescent="0.25">
      <c r="A815" s="13" t="str">
        <f>IF(AND($E815="",MAX($A$8:$A814)=0),"",IF(AND($E815&lt;&gt;"",MAX($A$8:$A814)=0),1,IF(AND($E815&lt;&gt;"",MAX($A$8:$A814)&gt;0),MAX($A$8:$A814)+1,"")))</f>
        <v/>
      </c>
      <c r="B815" s="11">
        <v>808</v>
      </c>
      <c r="C815" s="19" t="str">
        <f t="shared" si="36"/>
        <v>EMPTY</v>
      </c>
      <c r="D815" s="3" t="str">
        <f t="shared" si="37"/>
        <v/>
      </c>
      <c r="E815" s="7"/>
      <c r="F815" s="8" t="str">
        <f t="shared" si="38"/>
        <v/>
      </c>
    </row>
    <row r="816" spans="1:6" x14ac:dyDescent="0.25">
      <c r="A816" s="13" t="str">
        <f>IF(AND($E816="",MAX($A$8:$A815)=0),"",IF(AND($E816&lt;&gt;"",MAX($A$8:$A815)=0),1,IF(AND($E816&lt;&gt;"",MAX($A$8:$A815)&gt;0),MAX($A$8:$A815)+1,"")))</f>
        <v/>
      </c>
      <c r="B816" s="11">
        <v>809</v>
      </c>
      <c r="C816" s="19" t="str">
        <f t="shared" si="36"/>
        <v>EMPTY</v>
      </c>
      <c r="D816" s="3" t="str">
        <f t="shared" si="37"/>
        <v/>
      </c>
      <c r="E816" s="7"/>
      <c r="F816" s="8" t="str">
        <f t="shared" si="38"/>
        <v/>
      </c>
    </row>
    <row r="817" spans="1:6" x14ac:dyDescent="0.25">
      <c r="A817" s="13" t="str">
        <f>IF(AND($E817="",MAX($A$8:$A816)=0),"",IF(AND($E817&lt;&gt;"",MAX($A$8:$A816)=0),1,IF(AND($E817&lt;&gt;"",MAX($A$8:$A816)&gt;0),MAX($A$8:$A816)+1,"")))</f>
        <v/>
      </c>
      <c r="B817" s="11">
        <v>810</v>
      </c>
      <c r="C817" s="19" t="str">
        <f t="shared" si="36"/>
        <v>EMPTY</v>
      </c>
      <c r="D817" s="3" t="str">
        <f t="shared" si="37"/>
        <v/>
      </c>
      <c r="E817" s="7"/>
      <c r="F817" s="8" t="str">
        <f t="shared" si="38"/>
        <v/>
      </c>
    </row>
    <row r="818" spans="1:6" x14ac:dyDescent="0.25">
      <c r="A818" s="13" t="str">
        <f>IF(AND($E818="",MAX($A$8:$A817)=0),"",IF(AND($E818&lt;&gt;"",MAX($A$8:$A817)=0),1,IF(AND($E818&lt;&gt;"",MAX($A$8:$A817)&gt;0),MAX($A$8:$A817)+1,"")))</f>
        <v/>
      </c>
      <c r="B818" s="11">
        <v>811</v>
      </c>
      <c r="C818" s="19" t="str">
        <f t="shared" si="36"/>
        <v>EMPTY</v>
      </c>
      <c r="D818" s="3" t="str">
        <f t="shared" si="37"/>
        <v/>
      </c>
      <c r="E818" s="7"/>
      <c r="F818" s="8" t="str">
        <f t="shared" si="38"/>
        <v/>
      </c>
    </row>
    <row r="819" spans="1:6" x14ac:dyDescent="0.25">
      <c r="A819" s="13" t="str">
        <f>IF(AND($E819="",MAX($A$8:$A818)=0),"",IF(AND($E819&lt;&gt;"",MAX($A$8:$A818)=0),1,IF(AND($E819&lt;&gt;"",MAX($A$8:$A818)&gt;0),MAX($A$8:$A818)+1,"")))</f>
        <v/>
      </c>
      <c r="B819" s="11">
        <v>812</v>
      </c>
      <c r="C819" s="19" t="str">
        <f t="shared" si="36"/>
        <v>EMPTY</v>
      </c>
      <c r="D819" s="3" t="str">
        <f t="shared" si="37"/>
        <v/>
      </c>
      <c r="E819" s="7"/>
      <c r="F819" s="8" t="str">
        <f t="shared" si="38"/>
        <v/>
      </c>
    </row>
    <row r="820" spans="1:6" x14ac:dyDescent="0.25">
      <c r="A820" s="13" t="str">
        <f>IF(AND($E820="",MAX($A$8:$A819)=0),"",IF(AND($E820&lt;&gt;"",MAX($A$8:$A819)=0),1,IF(AND($E820&lt;&gt;"",MAX($A$8:$A819)&gt;0),MAX($A$8:$A819)+1,"")))</f>
        <v/>
      </c>
      <c r="B820" s="11">
        <v>813</v>
      </c>
      <c r="C820" s="19" t="str">
        <f t="shared" si="36"/>
        <v>EMPTY</v>
      </c>
      <c r="D820" s="3" t="str">
        <f t="shared" si="37"/>
        <v/>
      </c>
      <c r="E820" s="7"/>
      <c r="F820" s="8" t="str">
        <f t="shared" si="38"/>
        <v/>
      </c>
    </row>
    <row r="821" spans="1:6" x14ac:dyDescent="0.25">
      <c r="A821" s="13" t="str">
        <f>IF(AND($E821="",MAX($A$8:$A820)=0),"",IF(AND($E821&lt;&gt;"",MAX($A$8:$A820)=0),1,IF(AND($E821&lt;&gt;"",MAX($A$8:$A820)&gt;0),MAX($A$8:$A820)+1,"")))</f>
        <v/>
      </c>
      <c r="B821" s="11">
        <v>814</v>
      </c>
      <c r="C821" s="19" t="str">
        <f t="shared" si="36"/>
        <v>EMPTY</v>
      </c>
      <c r="D821" s="3" t="str">
        <f t="shared" si="37"/>
        <v/>
      </c>
      <c r="E821" s="7"/>
      <c r="F821" s="8" t="str">
        <f t="shared" si="38"/>
        <v/>
      </c>
    </row>
    <row r="822" spans="1:6" x14ac:dyDescent="0.25">
      <c r="A822" s="13" t="str">
        <f>IF(AND($E822="",MAX($A$8:$A821)=0),"",IF(AND($E822&lt;&gt;"",MAX($A$8:$A821)=0),1,IF(AND($E822&lt;&gt;"",MAX($A$8:$A821)&gt;0),MAX($A$8:$A821)+1,"")))</f>
        <v/>
      </c>
      <c r="B822" s="11">
        <v>815</v>
      </c>
      <c r="C822" s="19" t="str">
        <f t="shared" si="36"/>
        <v>EMPTY</v>
      </c>
      <c r="D822" s="3" t="str">
        <f t="shared" si="37"/>
        <v/>
      </c>
      <c r="E822" s="7"/>
      <c r="F822" s="8" t="str">
        <f t="shared" si="38"/>
        <v/>
      </c>
    </row>
    <row r="823" spans="1:6" x14ac:dyDescent="0.25">
      <c r="A823" s="13" t="str">
        <f>IF(AND($E823="",MAX($A$8:$A822)=0),"",IF(AND($E823&lt;&gt;"",MAX($A$8:$A822)=0),1,IF(AND($E823&lt;&gt;"",MAX($A$8:$A822)&gt;0),MAX($A$8:$A822)+1,"")))</f>
        <v/>
      </c>
      <c r="B823" s="11">
        <v>816</v>
      </c>
      <c r="C823" s="19" t="str">
        <f t="shared" si="36"/>
        <v>EMPTY</v>
      </c>
      <c r="D823" s="3" t="str">
        <f t="shared" si="37"/>
        <v/>
      </c>
      <c r="E823" s="7"/>
      <c r="F823" s="8" t="str">
        <f t="shared" si="38"/>
        <v/>
      </c>
    </row>
    <row r="824" spans="1:6" x14ac:dyDescent="0.25">
      <c r="A824" s="13" t="str">
        <f>IF(AND($E824="",MAX($A$8:$A823)=0),"",IF(AND($E824&lt;&gt;"",MAX($A$8:$A823)=0),1,IF(AND($E824&lt;&gt;"",MAX($A$8:$A823)&gt;0),MAX($A$8:$A823)+1,"")))</f>
        <v/>
      </c>
      <c r="B824" s="11">
        <v>817</v>
      </c>
      <c r="C824" s="19" t="str">
        <f t="shared" si="36"/>
        <v>EMPTY</v>
      </c>
      <c r="D824" s="3" t="str">
        <f t="shared" si="37"/>
        <v/>
      </c>
      <c r="E824" s="7"/>
      <c r="F824" s="8" t="str">
        <f t="shared" si="38"/>
        <v/>
      </c>
    </row>
    <row r="825" spans="1:6" x14ac:dyDescent="0.25">
      <c r="A825" s="13" t="str">
        <f>IF(AND($E825="",MAX($A$8:$A824)=0),"",IF(AND($E825&lt;&gt;"",MAX($A$8:$A824)=0),1,IF(AND($E825&lt;&gt;"",MAX($A$8:$A824)&gt;0),MAX($A$8:$A824)+1,"")))</f>
        <v/>
      </c>
      <c r="B825" s="11">
        <v>818</v>
      </c>
      <c r="C825" s="19" t="str">
        <f t="shared" si="36"/>
        <v>EMPTY</v>
      </c>
      <c r="D825" s="3" t="str">
        <f t="shared" si="37"/>
        <v/>
      </c>
      <c r="E825" s="7"/>
      <c r="F825" s="8" t="str">
        <f t="shared" si="38"/>
        <v/>
      </c>
    </row>
    <row r="826" spans="1:6" x14ac:dyDescent="0.25">
      <c r="A826" s="13" t="str">
        <f>IF(AND($E826="",MAX($A$8:$A825)=0),"",IF(AND($E826&lt;&gt;"",MAX($A$8:$A825)=0),1,IF(AND($E826&lt;&gt;"",MAX($A$8:$A825)&gt;0),MAX($A$8:$A825)+1,"")))</f>
        <v/>
      </c>
      <c r="B826" s="11">
        <v>819</v>
      </c>
      <c r="C826" s="19" t="str">
        <f t="shared" si="36"/>
        <v>EMPTY</v>
      </c>
      <c r="D826" s="3" t="str">
        <f t="shared" si="37"/>
        <v/>
      </c>
      <c r="E826" s="7"/>
      <c r="F826" s="8" t="str">
        <f t="shared" si="38"/>
        <v/>
      </c>
    </row>
    <row r="827" spans="1:6" x14ac:dyDescent="0.25">
      <c r="A827" s="13" t="str">
        <f>IF(AND($E827="",MAX($A$8:$A826)=0),"",IF(AND($E827&lt;&gt;"",MAX($A$8:$A826)=0),1,IF(AND($E827&lt;&gt;"",MAX($A$8:$A826)&gt;0),MAX($A$8:$A826)+1,"")))</f>
        <v/>
      </c>
      <c r="B827" s="11">
        <v>820</v>
      </c>
      <c r="C827" s="19" t="str">
        <f t="shared" si="36"/>
        <v>EMPTY</v>
      </c>
      <c r="D827" s="3" t="str">
        <f t="shared" si="37"/>
        <v/>
      </c>
      <c r="E827" s="7"/>
      <c r="F827" s="8" t="str">
        <f t="shared" si="38"/>
        <v/>
      </c>
    </row>
    <row r="828" spans="1:6" x14ac:dyDescent="0.25">
      <c r="A828" s="13" t="str">
        <f>IF(AND($E828="",MAX($A$8:$A827)=0),"",IF(AND($E828&lt;&gt;"",MAX($A$8:$A827)=0),1,IF(AND($E828&lt;&gt;"",MAX($A$8:$A827)&gt;0),MAX($A$8:$A827)+1,"")))</f>
        <v/>
      </c>
      <c r="B828" s="11">
        <v>821</v>
      </c>
      <c r="C828" s="19" t="str">
        <f t="shared" si="36"/>
        <v>EMPTY</v>
      </c>
      <c r="D828" s="3" t="str">
        <f t="shared" si="37"/>
        <v/>
      </c>
      <c r="E828" s="7"/>
      <c r="F828" s="8" t="str">
        <f t="shared" si="38"/>
        <v/>
      </c>
    </row>
    <row r="829" spans="1:6" x14ac:dyDescent="0.25">
      <c r="A829" s="13" t="str">
        <f>IF(AND($E829="",MAX($A$8:$A828)=0),"",IF(AND($E829&lt;&gt;"",MAX($A$8:$A828)=0),1,IF(AND($E829&lt;&gt;"",MAX($A$8:$A828)&gt;0),MAX($A$8:$A828)+1,"")))</f>
        <v/>
      </c>
      <c r="B829" s="11">
        <v>822</v>
      </c>
      <c r="C829" s="19" t="str">
        <f t="shared" si="36"/>
        <v>EMPTY</v>
      </c>
      <c r="D829" s="3" t="str">
        <f t="shared" si="37"/>
        <v/>
      </c>
      <c r="E829" s="7"/>
      <c r="F829" s="8" t="str">
        <f t="shared" si="38"/>
        <v/>
      </c>
    </row>
    <row r="830" spans="1:6" x14ac:dyDescent="0.25">
      <c r="A830" s="13" t="str">
        <f>IF(AND($E830="",MAX($A$8:$A829)=0),"",IF(AND($E830&lt;&gt;"",MAX($A$8:$A829)=0),1,IF(AND($E830&lt;&gt;"",MAX($A$8:$A829)&gt;0),MAX($A$8:$A829)+1,"")))</f>
        <v/>
      </c>
      <c r="B830" s="11">
        <v>823</v>
      </c>
      <c r="C830" s="19" t="str">
        <f t="shared" si="36"/>
        <v>EMPTY</v>
      </c>
      <c r="D830" s="3" t="str">
        <f t="shared" si="37"/>
        <v/>
      </c>
      <c r="E830" s="7"/>
      <c r="F830" s="8" t="str">
        <f t="shared" si="38"/>
        <v/>
      </c>
    </row>
    <row r="831" spans="1:6" x14ac:dyDescent="0.25">
      <c r="A831" s="13" t="str">
        <f>IF(AND($E831="",MAX($A$8:$A830)=0),"",IF(AND($E831&lt;&gt;"",MAX($A$8:$A830)=0),1,IF(AND($E831&lt;&gt;"",MAX($A$8:$A830)&gt;0),MAX($A$8:$A830)+1,"")))</f>
        <v/>
      </c>
      <c r="B831" s="11">
        <v>824</v>
      </c>
      <c r="C831" s="19" t="str">
        <f t="shared" si="36"/>
        <v>EMPTY</v>
      </c>
      <c r="D831" s="3" t="str">
        <f t="shared" si="37"/>
        <v/>
      </c>
      <c r="E831" s="7"/>
      <c r="F831" s="8" t="str">
        <f t="shared" si="38"/>
        <v/>
      </c>
    </row>
    <row r="832" spans="1:6" x14ac:dyDescent="0.25">
      <c r="A832" s="13" t="str">
        <f>IF(AND($E832="",MAX($A$8:$A831)=0),"",IF(AND($E832&lt;&gt;"",MAX($A$8:$A831)=0),1,IF(AND($E832&lt;&gt;"",MAX($A$8:$A831)&gt;0),MAX($A$8:$A831)+1,"")))</f>
        <v/>
      </c>
      <c r="B832" s="11">
        <v>825</v>
      </c>
      <c r="C832" s="19" t="str">
        <f t="shared" si="36"/>
        <v>EMPTY</v>
      </c>
      <c r="D832" s="3" t="str">
        <f t="shared" si="37"/>
        <v/>
      </c>
      <c r="E832" s="7"/>
      <c r="F832" s="8" t="str">
        <f t="shared" si="38"/>
        <v/>
      </c>
    </row>
    <row r="833" spans="1:6" x14ac:dyDescent="0.25">
      <c r="A833" s="13" t="str">
        <f>IF(AND($E833="",MAX($A$8:$A832)=0),"",IF(AND($E833&lt;&gt;"",MAX($A$8:$A832)=0),1,IF(AND($E833&lt;&gt;"",MAX($A$8:$A832)&gt;0),MAX($A$8:$A832)+1,"")))</f>
        <v/>
      </c>
      <c r="B833" s="11">
        <v>826</v>
      </c>
      <c r="C833" s="19" t="str">
        <f t="shared" si="36"/>
        <v>EMPTY</v>
      </c>
      <c r="D833" s="3" t="str">
        <f t="shared" si="37"/>
        <v/>
      </c>
      <c r="E833" s="7"/>
      <c r="F833" s="8" t="str">
        <f t="shared" si="38"/>
        <v/>
      </c>
    </row>
    <row r="834" spans="1:6" x14ac:dyDescent="0.25">
      <c r="A834" s="13" t="str">
        <f>IF(AND($E834="",MAX($A$8:$A833)=0),"",IF(AND($E834&lt;&gt;"",MAX($A$8:$A833)=0),1,IF(AND($E834&lt;&gt;"",MAX($A$8:$A833)&gt;0),MAX($A$8:$A833)+1,"")))</f>
        <v/>
      </c>
      <c r="B834" s="11">
        <v>827</v>
      </c>
      <c r="C834" s="19" t="str">
        <f t="shared" si="36"/>
        <v>EMPTY</v>
      </c>
      <c r="D834" s="3" t="str">
        <f t="shared" si="37"/>
        <v/>
      </c>
      <c r="E834" s="7"/>
      <c r="F834" s="8" t="str">
        <f t="shared" si="38"/>
        <v/>
      </c>
    </row>
    <row r="835" spans="1:6" x14ac:dyDescent="0.25">
      <c r="A835" s="13" t="str">
        <f>IF(AND($E835="",MAX($A$8:$A834)=0),"",IF(AND($E835&lt;&gt;"",MAX($A$8:$A834)=0),1,IF(AND($E835&lt;&gt;"",MAX($A$8:$A834)&gt;0),MAX($A$8:$A834)+1,"")))</f>
        <v/>
      </c>
      <c r="B835" s="11">
        <v>828</v>
      </c>
      <c r="C835" s="19" t="str">
        <f t="shared" si="36"/>
        <v>EMPTY</v>
      </c>
      <c r="D835" s="3" t="str">
        <f t="shared" si="37"/>
        <v/>
      </c>
      <c r="E835" s="7"/>
      <c r="F835" s="8" t="str">
        <f t="shared" si="38"/>
        <v/>
      </c>
    </row>
    <row r="836" spans="1:6" x14ac:dyDescent="0.25">
      <c r="A836" s="13" t="str">
        <f>IF(AND($E836="",MAX($A$8:$A835)=0),"",IF(AND($E836&lt;&gt;"",MAX($A$8:$A835)=0),1,IF(AND($E836&lt;&gt;"",MAX($A$8:$A835)&gt;0),MAX($A$8:$A835)+1,"")))</f>
        <v/>
      </c>
      <c r="B836" s="11">
        <v>829</v>
      </c>
      <c r="C836" s="19" t="str">
        <f t="shared" si="36"/>
        <v>EMPTY</v>
      </c>
      <c r="D836" s="3" t="str">
        <f t="shared" si="37"/>
        <v/>
      </c>
      <c r="E836" s="7"/>
      <c r="F836" s="8" t="str">
        <f t="shared" si="38"/>
        <v/>
      </c>
    </row>
    <row r="837" spans="1:6" x14ac:dyDescent="0.25">
      <c r="A837" s="13" t="str">
        <f>IF(AND($E837="",MAX($A$8:$A836)=0),"",IF(AND($E837&lt;&gt;"",MAX($A$8:$A836)=0),1,IF(AND($E837&lt;&gt;"",MAX($A$8:$A836)&gt;0),MAX($A$8:$A836)+1,"")))</f>
        <v/>
      </c>
      <c r="B837" s="11">
        <v>830</v>
      </c>
      <c r="C837" s="19" t="str">
        <f t="shared" si="36"/>
        <v>EMPTY</v>
      </c>
      <c r="D837" s="3" t="str">
        <f t="shared" si="37"/>
        <v/>
      </c>
      <c r="E837" s="7"/>
      <c r="F837" s="8" t="str">
        <f t="shared" si="38"/>
        <v/>
      </c>
    </row>
    <row r="838" spans="1:6" x14ac:dyDescent="0.25">
      <c r="A838" s="13" t="str">
        <f>IF(AND($E838="",MAX($A$8:$A837)=0),"",IF(AND($E838&lt;&gt;"",MAX($A$8:$A837)=0),1,IF(AND($E838&lt;&gt;"",MAX($A$8:$A837)&gt;0),MAX($A$8:$A837)+1,"")))</f>
        <v/>
      </c>
      <c r="B838" s="11">
        <v>831</v>
      </c>
      <c r="C838" s="19" t="str">
        <f t="shared" si="36"/>
        <v>EMPTY</v>
      </c>
      <c r="D838" s="3" t="str">
        <f t="shared" si="37"/>
        <v/>
      </c>
      <c r="E838" s="7"/>
      <c r="F838" s="8" t="str">
        <f t="shared" si="38"/>
        <v/>
      </c>
    </row>
    <row r="839" spans="1:6" x14ac:dyDescent="0.25">
      <c r="A839" s="13" t="str">
        <f>IF(AND($E839="",MAX($A$8:$A838)=0),"",IF(AND($E839&lt;&gt;"",MAX($A$8:$A838)=0),1,IF(AND($E839&lt;&gt;"",MAX($A$8:$A838)&gt;0),MAX($A$8:$A838)+1,"")))</f>
        <v/>
      </c>
      <c r="B839" s="11">
        <v>832</v>
      </c>
      <c r="C839" s="19" t="str">
        <f t="shared" si="36"/>
        <v>EMPTY</v>
      </c>
      <c r="D839" s="3" t="str">
        <f t="shared" si="37"/>
        <v/>
      </c>
      <c r="E839" s="7"/>
      <c r="F839" s="8" t="str">
        <f t="shared" si="38"/>
        <v/>
      </c>
    </row>
    <row r="840" spans="1:6" x14ac:dyDescent="0.25">
      <c r="A840" s="13" t="str">
        <f>IF(AND($E840="",MAX($A$8:$A839)=0),"",IF(AND($E840&lt;&gt;"",MAX($A$8:$A839)=0),1,IF(AND($E840&lt;&gt;"",MAX($A$8:$A839)&gt;0),MAX($A$8:$A839)+1,"")))</f>
        <v/>
      </c>
      <c r="B840" s="11">
        <v>833</v>
      </c>
      <c r="C840" s="19" t="str">
        <f t="shared" si="36"/>
        <v>EMPTY</v>
      </c>
      <c r="D840" s="3" t="str">
        <f t="shared" si="37"/>
        <v/>
      </c>
      <c r="E840" s="7"/>
      <c r="F840" s="8" t="str">
        <f t="shared" si="38"/>
        <v/>
      </c>
    </row>
    <row r="841" spans="1:6" x14ac:dyDescent="0.25">
      <c r="A841" s="13" t="str">
        <f>IF(AND($E841="",MAX($A$8:$A840)=0),"",IF(AND($E841&lt;&gt;"",MAX($A$8:$A840)=0),1,IF(AND($E841&lt;&gt;"",MAX($A$8:$A840)&gt;0),MAX($A$8:$A840)+1,"")))</f>
        <v/>
      </c>
      <c r="B841" s="11">
        <v>834</v>
      </c>
      <c r="C841" s="19" t="str">
        <f t="shared" ref="C841:C904" si="39">IF($E841="","EMPTY",IF(MID($E841,1,9)&lt;&gt;"Dialogue:","HIDE",IF(MID($E841,1,9)="Dialogue:","SHOW","")))</f>
        <v>EMPTY</v>
      </c>
      <c r="D841" s="3" t="str">
        <f t="shared" ref="D841:D904" si="40">IF($C841="SHOW",CONCATENATE("[",MID($E841,FIND(",",$E841,1)+3,8),"]",MID($E841,FIND("0,,",$E841,1)+3,1000)),"")</f>
        <v/>
      </c>
      <c r="E841" s="7"/>
      <c r="F841" s="8" t="str">
        <f t="shared" ref="F841:F904" si="41">$D841</f>
        <v/>
      </c>
    </row>
    <row r="842" spans="1:6" x14ac:dyDescent="0.25">
      <c r="A842" s="13" t="str">
        <f>IF(AND($E842="",MAX($A$8:$A841)=0),"",IF(AND($E842&lt;&gt;"",MAX($A$8:$A841)=0),1,IF(AND($E842&lt;&gt;"",MAX($A$8:$A841)&gt;0),MAX($A$8:$A841)+1,"")))</f>
        <v/>
      </c>
      <c r="B842" s="11">
        <v>835</v>
      </c>
      <c r="C842" s="19" t="str">
        <f t="shared" si="39"/>
        <v>EMPTY</v>
      </c>
      <c r="D842" s="3" t="str">
        <f t="shared" si="40"/>
        <v/>
      </c>
      <c r="E842" s="7"/>
      <c r="F842" s="8" t="str">
        <f t="shared" si="41"/>
        <v/>
      </c>
    </row>
    <row r="843" spans="1:6" x14ac:dyDescent="0.25">
      <c r="A843" s="13" t="str">
        <f>IF(AND($E843="",MAX($A$8:$A842)=0),"",IF(AND($E843&lt;&gt;"",MAX($A$8:$A842)=0),1,IF(AND($E843&lt;&gt;"",MAX($A$8:$A842)&gt;0),MAX($A$8:$A842)+1,"")))</f>
        <v/>
      </c>
      <c r="B843" s="11">
        <v>836</v>
      </c>
      <c r="C843" s="19" t="str">
        <f t="shared" si="39"/>
        <v>EMPTY</v>
      </c>
      <c r="D843" s="3" t="str">
        <f t="shared" si="40"/>
        <v/>
      </c>
      <c r="E843" s="7"/>
      <c r="F843" s="8" t="str">
        <f t="shared" si="41"/>
        <v/>
      </c>
    </row>
    <row r="844" spans="1:6" x14ac:dyDescent="0.25">
      <c r="A844" s="13" t="str">
        <f>IF(AND($E844="",MAX($A$8:$A843)=0),"",IF(AND($E844&lt;&gt;"",MAX($A$8:$A843)=0),1,IF(AND($E844&lt;&gt;"",MAX($A$8:$A843)&gt;0),MAX($A$8:$A843)+1,"")))</f>
        <v/>
      </c>
      <c r="B844" s="11">
        <v>837</v>
      </c>
      <c r="C844" s="19" t="str">
        <f t="shared" si="39"/>
        <v>EMPTY</v>
      </c>
      <c r="D844" s="3" t="str">
        <f t="shared" si="40"/>
        <v/>
      </c>
      <c r="E844" s="7"/>
      <c r="F844" s="8" t="str">
        <f t="shared" si="41"/>
        <v/>
      </c>
    </row>
    <row r="845" spans="1:6" x14ac:dyDescent="0.25">
      <c r="A845" s="13" t="str">
        <f>IF(AND($E845="",MAX($A$8:$A844)=0),"",IF(AND($E845&lt;&gt;"",MAX($A$8:$A844)=0),1,IF(AND($E845&lt;&gt;"",MAX($A$8:$A844)&gt;0),MAX($A$8:$A844)+1,"")))</f>
        <v/>
      </c>
      <c r="B845" s="11">
        <v>838</v>
      </c>
      <c r="C845" s="19" t="str">
        <f t="shared" si="39"/>
        <v>EMPTY</v>
      </c>
      <c r="D845" s="3" t="str">
        <f t="shared" si="40"/>
        <v/>
      </c>
      <c r="E845" s="7"/>
      <c r="F845" s="8" t="str">
        <f t="shared" si="41"/>
        <v/>
      </c>
    </row>
    <row r="846" spans="1:6" x14ac:dyDescent="0.25">
      <c r="A846" s="13" t="str">
        <f>IF(AND($E846="",MAX($A$8:$A845)=0),"",IF(AND($E846&lt;&gt;"",MAX($A$8:$A845)=0),1,IF(AND($E846&lt;&gt;"",MAX($A$8:$A845)&gt;0),MAX($A$8:$A845)+1,"")))</f>
        <v/>
      </c>
      <c r="B846" s="11">
        <v>839</v>
      </c>
      <c r="C846" s="19" t="str">
        <f t="shared" si="39"/>
        <v>EMPTY</v>
      </c>
      <c r="D846" s="3" t="str">
        <f t="shared" si="40"/>
        <v/>
      </c>
      <c r="E846" s="7"/>
      <c r="F846" s="8" t="str">
        <f t="shared" si="41"/>
        <v/>
      </c>
    </row>
    <row r="847" spans="1:6" x14ac:dyDescent="0.25">
      <c r="A847" s="13" t="str">
        <f>IF(AND($E847="",MAX($A$8:$A846)=0),"",IF(AND($E847&lt;&gt;"",MAX($A$8:$A846)=0),1,IF(AND($E847&lt;&gt;"",MAX($A$8:$A846)&gt;0),MAX($A$8:$A846)+1,"")))</f>
        <v/>
      </c>
      <c r="B847" s="11">
        <v>840</v>
      </c>
      <c r="C847" s="19" t="str">
        <f t="shared" si="39"/>
        <v>EMPTY</v>
      </c>
      <c r="D847" s="3" t="str">
        <f t="shared" si="40"/>
        <v/>
      </c>
      <c r="E847" s="7"/>
      <c r="F847" s="8" t="str">
        <f t="shared" si="41"/>
        <v/>
      </c>
    </row>
    <row r="848" spans="1:6" x14ac:dyDescent="0.25">
      <c r="A848" s="13" t="str">
        <f>IF(AND($E848="",MAX($A$8:$A847)=0),"",IF(AND($E848&lt;&gt;"",MAX($A$8:$A847)=0),1,IF(AND($E848&lt;&gt;"",MAX($A$8:$A847)&gt;0),MAX($A$8:$A847)+1,"")))</f>
        <v/>
      </c>
      <c r="B848" s="11">
        <v>841</v>
      </c>
      <c r="C848" s="19" t="str">
        <f t="shared" si="39"/>
        <v>EMPTY</v>
      </c>
      <c r="D848" s="3" t="str">
        <f t="shared" si="40"/>
        <v/>
      </c>
      <c r="E848" s="7"/>
      <c r="F848" s="8" t="str">
        <f t="shared" si="41"/>
        <v/>
      </c>
    </row>
    <row r="849" spans="1:6" x14ac:dyDescent="0.25">
      <c r="A849" s="13" t="str">
        <f>IF(AND($E849="",MAX($A$8:$A848)=0),"",IF(AND($E849&lt;&gt;"",MAX($A$8:$A848)=0),1,IF(AND($E849&lt;&gt;"",MAX($A$8:$A848)&gt;0),MAX($A$8:$A848)+1,"")))</f>
        <v/>
      </c>
      <c r="B849" s="11">
        <v>842</v>
      </c>
      <c r="C849" s="19" t="str">
        <f t="shared" si="39"/>
        <v>EMPTY</v>
      </c>
      <c r="D849" s="3" t="str">
        <f t="shared" si="40"/>
        <v/>
      </c>
      <c r="E849" s="7"/>
      <c r="F849" s="8" t="str">
        <f t="shared" si="41"/>
        <v/>
      </c>
    </row>
    <row r="850" spans="1:6" x14ac:dyDescent="0.25">
      <c r="A850" s="13" t="str">
        <f>IF(AND($E850="",MAX($A$8:$A849)=0),"",IF(AND($E850&lt;&gt;"",MAX($A$8:$A849)=0),1,IF(AND($E850&lt;&gt;"",MAX($A$8:$A849)&gt;0),MAX($A$8:$A849)+1,"")))</f>
        <v/>
      </c>
      <c r="B850" s="11">
        <v>843</v>
      </c>
      <c r="C850" s="19" t="str">
        <f t="shared" si="39"/>
        <v>EMPTY</v>
      </c>
      <c r="D850" s="3" t="str">
        <f t="shared" si="40"/>
        <v/>
      </c>
      <c r="E850" s="7"/>
      <c r="F850" s="8" t="str">
        <f t="shared" si="41"/>
        <v/>
      </c>
    </row>
    <row r="851" spans="1:6" x14ac:dyDescent="0.25">
      <c r="A851" s="13" t="str">
        <f>IF(AND($E851="",MAX($A$8:$A850)=0),"",IF(AND($E851&lt;&gt;"",MAX($A$8:$A850)=0),1,IF(AND($E851&lt;&gt;"",MAX($A$8:$A850)&gt;0),MAX($A$8:$A850)+1,"")))</f>
        <v/>
      </c>
      <c r="B851" s="11">
        <v>844</v>
      </c>
      <c r="C851" s="19" t="str">
        <f t="shared" si="39"/>
        <v>EMPTY</v>
      </c>
      <c r="D851" s="3" t="str">
        <f t="shared" si="40"/>
        <v/>
      </c>
      <c r="E851" s="7"/>
      <c r="F851" s="8" t="str">
        <f t="shared" si="41"/>
        <v/>
      </c>
    </row>
    <row r="852" spans="1:6" x14ac:dyDescent="0.25">
      <c r="A852" s="13" t="str">
        <f>IF(AND($E852="",MAX($A$8:$A851)=0),"",IF(AND($E852&lt;&gt;"",MAX($A$8:$A851)=0),1,IF(AND($E852&lt;&gt;"",MAX($A$8:$A851)&gt;0),MAX($A$8:$A851)+1,"")))</f>
        <v/>
      </c>
      <c r="B852" s="11">
        <v>845</v>
      </c>
      <c r="C852" s="19" t="str">
        <f t="shared" si="39"/>
        <v>EMPTY</v>
      </c>
      <c r="D852" s="3" t="str">
        <f t="shared" si="40"/>
        <v/>
      </c>
      <c r="E852" s="7"/>
      <c r="F852" s="8" t="str">
        <f t="shared" si="41"/>
        <v/>
      </c>
    </row>
    <row r="853" spans="1:6" x14ac:dyDescent="0.25">
      <c r="A853" s="13" t="str">
        <f>IF(AND($E853="",MAX($A$8:$A852)=0),"",IF(AND($E853&lt;&gt;"",MAX($A$8:$A852)=0),1,IF(AND($E853&lt;&gt;"",MAX($A$8:$A852)&gt;0),MAX($A$8:$A852)+1,"")))</f>
        <v/>
      </c>
      <c r="B853" s="11">
        <v>846</v>
      </c>
      <c r="C853" s="19" t="str">
        <f t="shared" si="39"/>
        <v>EMPTY</v>
      </c>
      <c r="D853" s="3" t="str">
        <f t="shared" si="40"/>
        <v/>
      </c>
      <c r="E853" s="7"/>
      <c r="F853" s="8" t="str">
        <f t="shared" si="41"/>
        <v/>
      </c>
    </row>
    <row r="854" spans="1:6" x14ac:dyDescent="0.25">
      <c r="A854" s="13" t="str">
        <f>IF(AND($E854="",MAX($A$8:$A853)=0),"",IF(AND($E854&lt;&gt;"",MAX($A$8:$A853)=0),1,IF(AND($E854&lt;&gt;"",MAX($A$8:$A853)&gt;0),MAX($A$8:$A853)+1,"")))</f>
        <v/>
      </c>
      <c r="B854" s="11">
        <v>847</v>
      </c>
      <c r="C854" s="19" t="str">
        <f t="shared" si="39"/>
        <v>EMPTY</v>
      </c>
      <c r="D854" s="3" t="str">
        <f t="shared" si="40"/>
        <v/>
      </c>
      <c r="E854" s="7"/>
      <c r="F854" s="8" t="str">
        <f t="shared" si="41"/>
        <v/>
      </c>
    </row>
    <row r="855" spans="1:6" x14ac:dyDescent="0.25">
      <c r="A855" s="13" t="str">
        <f>IF(AND($E855="",MAX($A$8:$A854)=0),"",IF(AND($E855&lt;&gt;"",MAX($A$8:$A854)=0),1,IF(AND($E855&lt;&gt;"",MAX($A$8:$A854)&gt;0),MAX($A$8:$A854)+1,"")))</f>
        <v/>
      </c>
      <c r="B855" s="11">
        <v>848</v>
      </c>
      <c r="C855" s="19" t="str">
        <f t="shared" si="39"/>
        <v>EMPTY</v>
      </c>
      <c r="D855" s="3" t="str">
        <f t="shared" si="40"/>
        <v/>
      </c>
      <c r="E855" s="7"/>
      <c r="F855" s="8" t="str">
        <f t="shared" si="41"/>
        <v/>
      </c>
    </row>
    <row r="856" spans="1:6" x14ac:dyDescent="0.25">
      <c r="A856" s="13" t="str">
        <f>IF(AND($E856="",MAX($A$8:$A855)=0),"",IF(AND($E856&lt;&gt;"",MAX($A$8:$A855)=0),1,IF(AND($E856&lt;&gt;"",MAX($A$8:$A855)&gt;0),MAX($A$8:$A855)+1,"")))</f>
        <v/>
      </c>
      <c r="B856" s="11">
        <v>849</v>
      </c>
      <c r="C856" s="19" t="str">
        <f t="shared" si="39"/>
        <v>EMPTY</v>
      </c>
      <c r="D856" s="3" t="str">
        <f t="shared" si="40"/>
        <v/>
      </c>
      <c r="E856" s="7"/>
      <c r="F856" s="8" t="str">
        <f t="shared" si="41"/>
        <v/>
      </c>
    </row>
    <row r="857" spans="1:6" x14ac:dyDescent="0.25">
      <c r="A857" s="13" t="str">
        <f>IF(AND($E857="",MAX($A$8:$A856)=0),"",IF(AND($E857&lt;&gt;"",MAX($A$8:$A856)=0),1,IF(AND($E857&lt;&gt;"",MAX($A$8:$A856)&gt;0),MAX($A$8:$A856)+1,"")))</f>
        <v/>
      </c>
      <c r="B857" s="11">
        <v>850</v>
      </c>
      <c r="C857" s="19" t="str">
        <f t="shared" si="39"/>
        <v>EMPTY</v>
      </c>
      <c r="D857" s="3" t="str">
        <f t="shared" si="40"/>
        <v/>
      </c>
      <c r="E857" s="7"/>
      <c r="F857" s="8" t="str">
        <f t="shared" si="41"/>
        <v/>
      </c>
    </row>
    <row r="858" spans="1:6" x14ac:dyDescent="0.25">
      <c r="A858" s="13" t="str">
        <f>IF(AND($E858="",MAX($A$8:$A857)=0),"",IF(AND($E858&lt;&gt;"",MAX($A$8:$A857)=0),1,IF(AND($E858&lt;&gt;"",MAX($A$8:$A857)&gt;0),MAX($A$8:$A857)+1,"")))</f>
        <v/>
      </c>
      <c r="B858" s="11">
        <v>851</v>
      </c>
      <c r="C858" s="19" t="str">
        <f t="shared" si="39"/>
        <v>EMPTY</v>
      </c>
      <c r="D858" s="3" t="str">
        <f t="shared" si="40"/>
        <v/>
      </c>
      <c r="E858" s="7"/>
      <c r="F858" s="8" t="str">
        <f t="shared" si="41"/>
        <v/>
      </c>
    </row>
    <row r="859" spans="1:6" x14ac:dyDescent="0.25">
      <c r="A859" s="13" t="str">
        <f>IF(AND($E859="",MAX($A$8:$A858)=0),"",IF(AND($E859&lt;&gt;"",MAX($A$8:$A858)=0),1,IF(AND($E859&lt;&gt;"",MAX($A$8:$A858)&gt;0),MAX($A$8:$A858)+1,"")))</f>
        <v/>
      </c>
      <c r="B859" s="11">
        <v>852</v>
      </c>
      <c r="C859" s="19" t="str">
        <f t="shared" si="39"/>
        <v>EMPTY</v>
      </c>
      <c r="D859" s="3" t="str">
        <f t="shared" si="40"/>
        <v/>
      </c>
      <c r="E859" s="7"/>
      <c r="F859" s="8" t="str">
        <f t="shared" si="41"/>
        <v/>
      </c>
    </row>
    <row r="860" spans="1:6" x14ac:dyDescent="0.25">
      <c r="A860" s="13" t="str">
        <f>IF(AND($E860="",MAX($A$8:$A859)=0),"",IF(AND($E860&lt;&gt;"",MAX($A$8:$A859)=0),1,IF(AND($E860&lt;&gt;"",MAX($A$8:$A859)&gt;0),MAX($A$8:$A859)+1,"")))</f>
        <v/>
      </c>
      <c r="B860" s="11">
        <v>853</v>
      </c>
      <c r="C860" s="19" t="str">
        <f t="shared" si="39"/>
        <v>EMPTY</v>
      </c>
      <c r="D860" s="3" t="str">
        <f t="shared" si="40"/>
        <v/>
      </c>
      <c r="E860" s="7"/>
      <c r="F860" s="8" t="str">
        <f t="shared" si="41"/>
        <v/>
      </c>
    </row>
    <row r="861" spans="1:6" x14ac:dyDescent="0.25">
      <c r="A861" s="13" t="str">
        <f>IF(AND($E861="",MAX($A$8:$A860)=0),"",IF(AND($E861&lt;&gt;"",MAX($A$8:$A860)=0),1,IF(AND($E861&lt;&gt;"",MAX($A$8:$A860)&gt;0),MAX($A$8:$A860)+1,"")))</f>
        <v/>
      </c>
      <c r="B861" s="11">
        <v>854</v>
      </c>
      <c r="C861" s="19" t="str">
        <f t="shared" si="39"/>
        <v>EMPTY</v>
      </c>
      <c r="D861" s="3" t="str">
        <f t="shared" si="40"/>
        <v/>
      </c>
      <c r="E861" s="7"/>
      <c r="F861" s="8" t="str">
        <f t="shared" si="41"/>
        <v/>
      </c>
    </row>
    <row r="862" spans="1:6" x14ac:dyDescent="0.25">
      <c r="A862" s="13" t="str">
        <f>IF(AND($E862="",MAX($A$8:$A861)=0),"",IF(AND($E862&lt;&gt;"",MAX($A$8:$A861)=0),1,IF(AND($E862&lt;&gt;"",MAX($A$8:$A861)&gt;0),MAX($A$8:$A861)+1,"")))</f>
        <v/>
      </c>
      <c r="B862" s="11">
        <v>855</v>
      </c>
      <c r="C862" s="19" t="str">
        <f t="shared" si="39"/>
        <v>EMPTY</v>
      </c>
      <c r="D862" s="3" t="str">
        <f t="shared" si="40"/>
        <v/>
      </c>
      <c r="E862" s="7"/>
      <c r="F862" s="8" t="str">
        <f t="shared" si="41"/>
        <v/>
      </c>
    </row>
    <row r="863" spans="1:6" x14ac:dyDescent="0.25">
      <c r="A863" s="13" t="str">
        <f>IF(AND($E863="",MAX($A$8:$A862)=0),"",IF(AND($E863&lt;&gt;"",MAX($A$8:$A862)=0),1,IF(AND($E863&lt;&gt;"",MAX($A$8:$A862)&gt;0),MAX($A$8:$A862)+1,"")))</f>
        <v/>
      </c>
      <c r="B863" s="11">
        <v>856</v>
      </c>
      <c r="C863" s="19" t="str">
        <f t="shared" si="39"/>
        <v>EMPTY</v>
      </c>
      <c r="D863" s="3" t="str">
        <f t="shared" si="40"/>
        <v/>
      </c>
      <c r="E863" s="7"/>
      <c r="F863" s="8" t="str">
        <f t="shared" si="41"/>
        <v/>
      </c>
    </row>
    <row r="864" spans="1:6" x14ac:dyDescent="0.25">
      <c r="A864" s="13" t="str">
        <f>IF(AND($E864="",MAX($A$8:$A863)=0),"",IF(AND($E864&lt;&gt;"",MAX($A$8:$A863)=0),1,IF(AND($E864&lt;&gt;"",MAX($A$8:$A863)&gt;0),MAX($A$8:$A863)+1,"")))</f>
        <v/>
      </c>
      <c r="B864" s="11">
        <v>857</v>
      </c>
      <c r="C864" s="19" t="str">
        <f t="shared" si="39"/>
        <v>EMPTY</v>
      </c>
      <c r="D864" s="3" t="str">
        <f t="shared" si="40"/>
        <v/>
      </c>
      <c r="E864" s="7"/>
      <c r="F864" s="8" t="str">
        <f t="shared" si="41"/>
        <v/>
      </c>
    </row>
    <row r="865" spans="1:6" x14ac:dyDescent="0.25">
      <c r="A865" s="13" t="str">
        <f>IF(AND($E865="",MAX($A$8:$A864)=0),"",IF(AND($E865&lt;&gt;"",MAX($A$8:$A864)=0),1,IF(AND($E865&lt;&gt;"",MAX($A$8:$A864)&gt;0),MAX($A$8:$A864)+1,"")))</f>
        <v/>
      </c>
      <c r="B865" s="11">
        <v>858</v>
      </c>
      <c r="C865" s="19" t="str">
        <f t="shared" si="39"/>
        <v>EMPTY</v>
      </c>
      <c r="D865" s="3" t="str">
        <f t="shared" si="40"/>
        <v/>
      </c>
      <c r="E865" s="7"/>
      <c r="F865" s="8" t="str">
        <f t="shared" si="41"/>
        <v/>
      </c>
    </row>
    <row r="866" spans="1:6" x14ac:dyDescent="0.25">
      <c r="A866" s="13" t="str">
        <f>IF(AND($E866="",MAX($A$8:$A865)=0),"",IF(AND($E866&lt;&gt;"",MAX($A$8:$A865)=0),1,IF(AND($E866&lt;&gt;"",MAX($A$8:$A865)&gt;0),MAX($A$8:$A865)+1,"")))</f>
        <v/>
      </c>
      <c r="B866" s="11">
        <v>859</v>
      </c>
      <c r="C866" s="19" t="str">
        <f t="shared" si="39"/>
        <v>EMPTY</v>
      </c>
      <c r="D866" s="3" t="str">
        <f t="shared" si="40"/>
        <v/>
      </c>
      <c r="E866" s="7"/>
      <c r="F866" s="8" t="str">
        <f t="shared" si="41"/>
        <v/>
      </c>
    </row>
    <row r="867" spans="1:6" x14ac:dyDescent="0.25">
      <c r="A867" s="13" t="str">
        <f>IF(AND($E867="",MAX($A$8:$A866)=0),"",IF(AND($E867&lt;&gt;"",MAX($A$8:$A866)=0),1,IF(AND($E867&lt;&gt;"",MAX($A$8:$A866)&gt;0),MAX($A$8:$A866)+1,"")))</f>
        <v/>
      </c>
      <c r="B867" s="11">
        <v>860</v>
      </c>
      <c r="C867" s="19" t="str">
        <f t="shared" si="39"/>
        <v>EMPTY</v>
      </c>
      <c r="D867" s="3" t="str">
        <f t="shared" si="40"/>
        <v/>
      </c>
      <c r="E867" s="7"/>
      <c r="F867" s="8" t="str">
        <f t="shared" si="41"/>
        <v/>
      </c>
    </row>
    <row r="868" spans="1:6" x14ac:dyDescent="0.25">
      <c r="A868" s="13" t="str">
        <f>IF(AND($E868="",MAX($A$8:$A867)=0),"",IF(AND($E868&lt;&gt;"",MAX($A$8:$A867)=0),1,IF(AND($E868&lt;&gt;"",MAX($A$8:$A867)&gt;0),MAX($A$8:$A867)+1,"")))</f>
        <v/>
      </c>
      <c r="B868" s="11">
        <v>861</v>
      </c>
      <c r="C868" s="19" t="str">
        <f t="shared" si="39"/>
        <v>EMPTY</v>
      </c>
      <c r="D868" s="3" t="str">
        <f t="shared" si="40"/>
        <v/>
      </c>
      <c r="E868" s="7"/>
      <c r="F868" s="8" t="str">
        <f t="shared" si="41"/>
        <v/>
      </c>
    </row>
    <row r="869" spans="1:6" x14ac:dyDescent="0.25">
      <c r="A869" s="13" t="str">
        <f>IF(AND($E869="",MAX($A$8:$A868)=0),"",IF(AND($E869&lt;&gt;"",MAX($A$8:$A868)=0),1,IF(AND($E869&lt;&gt;"",MAX($A$8:$A868)&gt;0),MAX($A$8:$A868)+1,"")))</f>
        <v/>
      </c>
      <c r="B869" s="11">
        <v>862</v>
      </c>
      <c r="C869" s="19" t="str">
        <f t="shared" si="39"/>
        <v>EMPTY</v>
      </c>
      <c r="D869" s="3" t="str">
        <f t="shared" si="40"/>
        <v/>
      </c>
      <c r="E869" s="7"/>
      <c r="F869" s="8" t="str">
        <f t="shared" si="41"/>
        <v/>
      </c>
    </row>
    <row r="870" spans="1:6" x14ac:dyDescent="0.25">
      <c r="A870" s="13" t="str">
        <f>IF(AND($E870="",MAX($A$8:$A869)=0),"",IF(AND($E870&lt;&gt;"",MAX($A$8:$A869)=0),1,IF(AND($E870&lt;&gt;"",MAX($A$8:$A869)&gt;0),MAX($A$8:$A869)+1,"")))</f>
        <v/>
      </c>
      <c r="B870" s="11">
        <v>863</v>
      </c>
      <c r="C870" s="19" t="str">
        <f t="shared" si="39"/>
        <v>EMPTY</v>
      </c>
      <c r="D870" s="3" t="str">
        <f t="shared" si="40"/>
        <v/>
      </c>
      <c r="E870" s="7"/>
      <c r="F870" s="8" t="str">
        <f t="shared" si="41"/>
        <v/>
      </c>
    </row>
    <row r="871" spans="1:6" x14ac:dyDescent="0.25">
      <c r="A871" s="13" t="str">
        <f>IF(AND($E871="",MAX($A$8:$A870)=0),"",IF(AND($E871&lt;&gt;"",MAX($A$8:$A870)=0),1,IF(AND($E871&lt;&gt;"",MAX($A$8:$A870)&gt;0),MAX($A$8:$A870)+1,"")))</f>
        <v/>
      </c>
      <c r="B871" s="11">
        <v>864</v>
      </c>
      <c r="C871" s="19" t="str">
        <f t="shared" si="39"/>
        <v>EMPTY</v>
      </c>
      <c r="D871" s="3" t="str">
        <f t="shared" si="40"/>
        <v/>
      </c>
      <c r="E871" s="7"/>
      <c r="F871" s="8" t="str">
        <f t="shared" si="41"/>
        <v/>
      </c>
    </row>
    <row r="872" spans="1:6" x14ac:dyDescent="0.25">
      <c r="A872" s="13" t="str">
        <f>IF(AND($E872="",MAX($A$8:$A871)=0),"",IF(AND($E872&lt;&gt;"",MAX($A$8:$A871)=0),1,IF(AND($E872&lt;&gt;"",MAX($A$8:$A871)&gt;0),MAX($A$8:$A871)+1,"")))</f>
        <v/>
      </c>
      <c r="B872" s="11">
        <v>865</v>
      </c>
      <c r="C872" s="19" t="str">
        <f t="shared" si="39"/>
        <v>EMPTY</v>
      </c>
      <c r="D872" s="3" t="str">
        <f t="shared" si="40"/>
        <v/>
      </c>
      <c r="E872" s="7"/>
      <c r="F872" s="8" t="str">
        <f t="shared" si="41"/>
        <v/>
      </c>
    </row>
    <row r="873" spans="1:6" x14ac:dyDescent="0.25">
      <c r="A873" s="13" t="str">
        <f>IF(AND($E873="",MAX($A$8:$A872)=0),"",IF(AND($E873&lt;&gt;"",MAX($A$8:$A872)=0),1,IF(AND($E873&lt;&gt;"",MAX($A$8:$A872)&gt;0),MAX($A$8:$A872)+1,"")))</f>
        <v/>
      </c>
      <c r="B873" s="11">
        <v>866</v>
      </c>
      <c r="C873" s="19" t="str">
        <f t="shared" si="39"/>
        <v>EMPTY</v>
      </c>
      <c r="D873" s="3" t="str">
        <f t="shared" si="40"/>
        <v/>
      </c>
      <c r="E873" s="7"/>
      <c r="F873" s="8" t="str">
        <f t="shared" si="41"/>
        <v/>
      </c>
    </row>
    <row r="874" spans="1:6" x14ac:dyDescent="0.25">
      <c r="A874" s="13" t="str">
        <f>IF(AND($E874="",MAX($A$8:$A873)=0),"",IF(AND($E874&lt;&gt;"",MAX($A$8:$A873)=0),1,IF(AND($E874&lt;&gt;"",MAX($A$8:$A873)&gt;0),MAX($A$8:$A873)+1,"")))</f>
        <v/>
      </c>
      <c r="B874" s="11">
        <v>867</v>
      </c>
      <c r="C874" s="19" t="str">
        <f t="shared" si="39"/>
        <v>EMPTY</v>
      </c>
      <c r="D874" s="3" t="str">
        <f t="shared" si="40"/>
        <v/>
      </c>
      <c r="E874" s="7"/>
      <c r="F874" s="8" t="str">
        <f t="shared" si="41"/>
        <v/>
      </c>
    </row>
    <row r="875" spans="1:6" x14ac:dyDescent="0.25">
      <c r="A875" s="13" t="str">
        <f>IF(AND($E875="",MAX($A$8:$A874)=0),"",IF(AND($E875&lt;&gt;"",MAX($A$8:$A874)=0),1,IF(AND($E875&lt;&gt;"",MAX($A$8:$A874)&gt;0),MAX($A$8:$A874)+1,"")))</f>
        <v/>
      </c>
      <c r="B875" s="11">
        <v>868</v>
      </c>
      <c r="C875" s="19" t="str">
        <f t="shared" si="39"/>
        <v>EMPTY</v>
      </c>
      <c r="D875" s="3" t="str">
        <f t="shared" si="40"/>
        <v/>
      </c>
      <c r="E875" s="7"/>
      <c r="F875" s="8" t="str">
        <f t="shared" si="41"/>
        <v/>
      </c>
    </row>
    <row r="876" spans="1:6" x14ac:dyDescent="0.25">
      <c r="A876" s="13" t="str">
        <f>IF(AND($E876="",MAX($A$8:$A875)=0),"",IF(AND($E876&lt;&gt;"",MAX($A$8:$A875)=0),1,IF(AND($E876&lt;&gt;"",MAX($A$8:$A875)&gt;0),MAX($A$8:$A875)+1,"")))</f>
        <v/>
      </c>
      <c r="B876" s="11">
        <v>869</v>
      </c>
      <c r="C876" s="19" t="str">
        <f t="shared" si="39"/>
        <v>EMPTY</v>
      </c>
      <c r="D876" s="3" t="str">
        <f t="shared" si="40"/>
        <v/>
      </c>
      <c r="E876" s="7"/>
      <c r="F876" s="8" t="str">
        <f t="shared" si="41"/>
        <v/>
      </c>
    </row>
    <row r="877" spans="1:6" x14ac:dyDescent="0.25">
      <c r="A877" s="13" t="str">
        <f>IF(AND($E877="",MAX($A$8:$A876)=0),"",IF(AND($E877&lt;&gt;"",MAX($A$8:$A876)=0),1,IF(AND($E877&lt;&gt;"",MAX($A$8:$A876)&gt;0),MAX($A$8:$A876)+1,"")))</f>
        <v/>
      </c>
      <c r="B877" s="11">
        <v>870</v>
      </c>
      <c r="C877" s="19" t="str">
        <f t="shared" si="39"/>
        <v>EMPTY</v>
      </c>
      <c r="D877" s="3" t="str">
        <f t="shared" si="40"/>
        <v/>
      </c>
      <c r="E877" s="7"/>
      <c r="F877" s="8" t="str">
        <f t="shared" si="41"/>
        <v/>
      </c>
    </row>
    <row r="878" spans="1:6" x14ac:dyDescent="0.25">
      <c r="A878" s="13" t="str">
        <f>IF(AND($E878="",MAX($A$8:$A877)=0),"",IF(AND($E878&lt;&gt;"",MAX($A$8:$A877)=0),1,IF(AND($E878&lt;&gt;"",MAX($A$8:$A877)&gt;0),MAX($A$8:$A877)+1,"")))</f>
        <v/>
      </c>
      <c r="B878" s="11">
        <v>871</v>
      </c>
      <c r="C878" s="19" t="str">
        <f t="shared" si="39"/>
        <v>EMPTY</v>
      </c>
      <c r="D878" s="3" t="str">
        <f t="shared" si="40"/>
        <v/>
      </c>
      <c r="E878" s="7"/>
      <c r="F878" s="8" t="str">
        <f t="shared" si="41"/>
        <v/>
      </c>
    </row>
    <row r="879" spans="1:6" x14ac:dyDescent="0.25">
      <c r="A879" s="13" t="str">
        <f>IF(AND($E879="",MAX($A$8:$A878)=0),"",IF(AND($E879&lt;&gt;"",MAX($A$8:$A878)=0),1,IF(AND($E879&lt;&gt;"",MAX($A$8:$A878)&gt;0),MAX($A$8:$A878)+1,"")))</f>
        <v/>
      </c>
      <c r="B879" s="11">
        <v>872</v>
      </c>
      <c r="C879" s="19" t="str">
        <f t="shared" si="39"/>
        <v>EMPTY</v>
      </c>
      <c r="D879" s="3" t="str">
        <f t="shared" si="40"/>
        <v/>
      </c>
      <c r="E879" s="7"/>
      <c r="F879" s="8" t="str">
        <f t="shared" si="41"/>
        <v/>
      </c>
    </row>
    <row r="880" spans="1:6" x14ac:dyDescent="0.25">
      <c r="A880" s="13" t="str">
        <f>IF(AND($E880="",MAX($A$8:$A879)=0),"",IF(AND($E880&lt;&gt;"",MAX($A$8:$A879)=0),1,IF(AND($E880&lt;&gt;"",MAX($A$8:$A879)&gt;0),MAX($A$8:$A879)+1,"")))</f>
        <v/>
      </c>
      <c r="B880" s="11">
        <v>873</v>
      </c>
      <c r="C880" s="19" t="str">
        <f t="shared" si="39"/>
        <v>EMPTY</v>
      </c>
      <c r="D880" s="3" t="str">
        <f t="shared" si="40"/>
        <v/>
      </c>
      <c r="E880" s="7"/>
      <c r="F880" s="8" t="str">
        <f t="shared" si="41"/>
        <v/>
      </c>
    </row>
    <row r="881" spans="1:6" x14ac:dyDescent="0.25">
      <c r="A881" s="13" t="str">
        <f>IF(AND($E881="",MAX($A$8:$A880)=0),"",IF(AND($E881&lt;&gt;"",MAX($A$8:$A880)=0),1,IF(AND($E881&lt;&gt;"",MAX($A$8:$A880)&gt;0),MAX($A$8:$A880)+1,"")))</f>
        <v/>
      </c>
      <c r="B881" s="11">
        <v>874</v>
      </c>
      <c r="C881" s="19" t="str">
        <f t="shared" si="39"/>
        <v>EMPTY</v>
      </c>
      <c r="D881" s="3" t="str">
        <f t="shared" si="40"/>
        <v/>
      </c>
      <c r="E881" s="7"/>
      <c r="F881" s="8" t="str">
        <f t="shared" si="41"/>
        <v/>
      </c>
    </row>
    <row r="882" spans="1:6" x14ac:dyDescent="0.25">
      <c r="A882" s="13" t="str">
        <f>IF(AND($E882="",MAX($A$8:$A881)=0),"",IF(AND($E882&lt;&gt;"",MAX($A$8:$A881)=0),1,IF(AND($E882&lt;&gt;"",MAX($A$8:$A881)&gt;0),MAX($A$8:$A881)+1,"")))</f>
        <v/>
      </c>
      <c r="B882" s="11">
        <v>875</v>
      </c>
      <c r="C882" s="19" t="str">
        <f t="shared" si="39"/>
        <v>EMPTY</v>
      </c>
      <c r="D882" s="3" t="str">
        <f t="shared" si="40"/>
        <v/>
      </c>
      <c r="E882" s="7"/>
      <c r="F882" s="8" t="str">
        <f t="shared" si="41"/>
        <v/>
      </c>
    </row>
    <row r="883" spans="1:6" x14ac:dyDescent="0.25">
      <c r="A883" s="13" t="str">
        <f>IF(AND($E883="",MAX($A$8:$A882)=0),"",IF(AND($E883&lt;&gt;"",MAX($A$8:$A882)=0),1,IF(AND($E883&lt;&gt;"",MAX($A$8:$A882)&gt;0),MAX($A$8:$A882)+1,"")))</f>
        <v/>
      </c>
      <c r="B883" s="11">
        <v>876</v>
      </c>
      <c r="C883" s="19" t="str">
        <f t="shared" si="39"/>
        <v>EMPTY</v>
      </c>
      <c r="D883" s="3" t="str">
        <f t="shared" si="40"/>
        <v/>
      </c>
      <c r="E883" s="7"/>
      <c r="F883" s="8" t="str">
        <f t="shared" si="41"/>
        <v/>
      </c>
    </row>
    <row r="884" spans="1:6" x14ac:dyDescent="0.25">
      <c r="A884" s="13" t="str">
        <f>IF(AND($E884="",MAX($A$8:$A883)=0),"",IF(AND($E884&lt;&gt;"",MAX($A$8:$A883)=0),1,IF(AND($E884&lt;&gt;"",MAX($A$8:$A883)&gt;0),MAX($A$8:$A883)+1,"")))</f>
        <v/>
      </c>
      <c r="B884" s="11">
        <v>877</v>
      </c>
      <c r="C884" s="19" t="str">
        <f t="shared" si="39"/>
        <v>EMPTY</v>
      </c>
      <c r="D884" s="3" t="str">
        <f t="shared" si="40"/>
        <v/>
      </c>
      <c r="E884" s="7"/>
      <c r="F884" s="8" t="str">
        <f t="shared" si="41"/>
        <v/>
      </c>
    </row>
    <row r="885" spans="1:6" x14ac:dyDescent="0.25">
      <c r="A885" s="13" t="str">
        <f>IF(AND($E885="",MAX($A$8:$A884)=0),"",IF(AND($E885&lt;&gt;"",MAX($A$8:$A884)=0),1,IF(AND($E885&lt;&gt;"",MAX($A$8:$A884)&gt;0),MAX($A$8:$A884)+1,"")))</f>
        <v/>
      </c>
      <c r="B885" s="11">
        <v>878</v>
      </c>
      <c r="C885" s="19" t="str">
        <f t="shared" si="39"/>
        <v>EMPTY</v>
      </c>
      <c r="D885" s="3" t="str">
        <f t="shared" si="40"/>
        <v/>
      </c>
      <c r="E885" s="7"/>
      <c r="F885" s="8" t="str">
        <f t="shared" si="41"/>
        <v/>
      </c>
    </row>
    <row r="886" spans="1:6" x14ac:dyDescent="0.25">
      <c r="A886" s="13" t="str">
        <f>IF(AND($E886="",MAX($A$8:$A885)=0),"",IF(AND($E886&lt;&gt;"",MAX($A$8:$A885)=0),1,IF(AND($E886&lt;&gt;"",MAX($A$8:$A885)&gt;0),MAX($A$8:$A885)+1,"")))</f>
        <v/>
      </c>
      <c r="B886" s="11">
        <v>879</v>
      </c>
      <c r="C886" s="19" t="str">
        <f t="shared" si="39"/>
        <v>EMPTY</v>
      </c>
      <c r="D886" s="3" t="str">
        <f t="shared" si="40"/>
        <v/>
      </c>
      <c r="E886" s="7"/>
      <c r="F886" s="8" t="str">
        <f t="shared" si="41"/>
        <v/>
      </c>
    </row>
    <row r="887" spans="1:6" x14ac:dyDescent="0.25">
      <c r="A887" s="13" t="str">
        <f>IF(AND($E887="",MAX($A$8:$A886)=0),"",IF(AND($E887&lt;&gt;"",MAX($A$8:$A886)=0),1,IF(AND($E887&lt;&gt;"",MAX($A$8:$A886)&gt;0),MAX($A$8:$A886)+1,"")))</f>
        <v/>
      </c>
      <c r="B887" s="11">
        <v>880</v>
      </c>
      <c r="C887" s="19" t="str">
        <f t="shared" si="39"/>
        <v>EMPTY</v>
      </c>
      <c r="D887" s="3" t="str">
        <f t="shared" si="40"/>
        <v/>
      </c>
      <c r="E887" s="7"/>
      <c r="F887" s="8" t="str">
        <f t="shared" si="41"/>
        <v/>
      </c>
    </row>
    <row r="888" spans="1:6" x14ac:dyDescent="0.25">
      <c r="A888" s="13" t="str">
        <f>IF(AND($E888="",MAX($A$8:$A887)=0),"",IF(AND($E888&lt;&gt;"",MAX($A$8:$A887)=0),1,IF(AND($E888&lt;&gt;"",MAX($A$8:$A887)&gt;0),MAX($A$8:$A887)+1,"")))</f>
        <v/>
      </c>
      <c r="B888" s="11">
        <v>881</v>
      </c>
      <c r="C888" s="19" t="str">
        <f t="shared" si="39"/>
        <v>EMPTY</v>
      </c>
      <c r="D888" s="3" t="str">
        <f t="shared" si="40"/>
        <v/>
      </c>
      <c r="E888" s="7"/>
      <c r="F888" s="8" t="str">
        <f t="shared" si="41"/>
        <v/>
      </c>
    </row>
    <row r="889" spans="1:6" x14ac:dyDescent="0.25">
      <c r="A889" s="13" t="str">
        <f>IF(AND($E889="",MAX($A$8:$A888)=0),"",IF(AND($E889&lt;&gt;"",MAX($A$8:$A888)=0),1,IF(AND($E889&lt;&gt;"",MAX($A$8:$A888)&gt;0),MAX($A$8:$A888)+1,"")))</f>
        <v/>
      </c>
      <c r="B889" s="11">
        <v>882</v>
      </c>
      <c r="C889" s="19" t="str">
        <f t="shared" si="39"/>
        <v>EMPTY</v>
      </c>
      <c r="D889" s="3" t="str">
        <f t="shared" si="40"/>
        <v/>
      </c>
      <c r="E889" s="7"/>
      <c r="F889" s="8" t="str">
        <f t="shared" si="41"/>
        <v/>
      </c>
    </row>
    <row r="890" spans="1:6" x14ac:dyDescent="0.25">
      <c r="A890" s="13" t="str">
        <f>IF(AND($E890="",MAX($A$8:$A889)=0),"",IF(AND($E890&lt;&gt;"",MAX($A$8:$A889)=0),1,IF(AND($E890&lt;&gt;"",MAX($A$8:$A889)&gt;0),MAX($A$8:$A889)+1,"")))</f>
        <v/>
      </c>
      <c r="B890" s="11">
        <v>883</v>
      </c>
      <c r="C890" s="19" t="str">
        <f t="shared" si="39"/>
        <v>EMPTY</v>
      </c>
      <c r="D890" s="3" t="str">
        <f t="shared" si="40"/>
        <v/>
      </c>
      <c r="E890" s="7"/>
      <c r="F890" s="8" t="str">
        <f t="shared" si="41"/>
        <v/>
      </c>
    </row>
    <row r="891" spans="1:6" x14ac:dyDescent="0.25">
      <c r="A891" s="13" t="str">
        <f>IF(AND($E891="",MAX($A$8:$A890)=0),"",IF(AND($E891&lt;&gt;"",MAX($A$8:$A890)=0),1,IF(AND($E891&lt;&gt;"",MAX($A$8:$A890)&gt;0),MAX($A$8:$A890)+1,"")))</f>
        <v/>
      </c>
      <c r="B891" s="11">
        <v>884</v>
      </c>
      <c r="C891" s="19" t="str">
        <f t="shared" si="39"/>
        <v>EMPTY</v>
      </c>
      <c r="D891" s="3" t="str">
        <f t="shared" si="40"/>
        <v/>
      </c>
      <c r="E891" s="7"/>
      <c r="F891" s="8" t="str">
        <f t="shared" si="41"/>
        <v/>
      </c>
    </row>
    <row r="892" spans="1:6" x14ac:dyDescent="0.25">
      <c r="A892" s="13" t="str">
        <f>IF(AND($E892="",MAX($A$8:$A891)=0),"",IF(AND($E892&lt;&gt;"",MAX($A$8:$A891)=0),1,IF(AND($E892&lt;&gt;"",MAX($A$8:$A891)&gt;0),MAX($A$8:$A891)+1,"")))</f>
        <v/>
      </c>
      <c r="B892" s="11">
        <v>885</v>
      </c>
      <c r="C892" s="19" t="str">
        <f t="shared" si="39"/>
        <v>EMPTY</v>
      </c>
      <c r="D892" s="3" t="str">
        <f t="shared" si="40"/>
        <v/>
      </c>
      <c r="E892" s="7"/>
      <c r="F892" s="8" t="str">
        <f t="shared" si="41"/>
        <v/>
      </c>
    </row>
    <row r="893" spans="1:6" x14ac:dyDescent="0.25">
      <c r="A893" s="13" t="str">
        <f>IF(AND($E893="",MAX($A$8:$A892)=0),"",IF(AND($E893&lt;&gt;"",MAX($A$8:$A892)=0),1,IF(AND($E893&lt;&gt;"",MAX($A$8:$A892)&gt;0),MAX($A$8:$A892)+1,"")))</f>
        <v/>
      </c>
      <c r="B893" s="11">
        <v>886</v>
      </c>
      <c r="C893" s="19" t="str">
        <f t="shared" si="39"/>
        <v>EMPTY</v>
      </c>
      <c r="D893" s="3" t="str">
        <f t="shared" si="40"/>
        <v/>
      </c>
      <c r="E893" s="7"/>
      <c r="F893" s="8" t="str">
        <f t="shared" si="41"/>
        <v/>
      </c>
    </row>
    <row r="894" spans="1:6" x14ac:dyDescent="0.25">
      <c r="A894" s="13" t="str">
        <f>IF(AND($E894="",MAX($A$8:$A893)=0),"",IF(AND($E894&lt;&gt;"",MAX($A$8:$A893)=0),1,IF(AND($E894&lt;&gt;"",MAX($A$8:$A893)&gt;0),MAX($A$8:$A893)+1,"")))</f>
        <v/>
      </c>
      <c r="B894" s="11">
        <v>887</v>
      </c>
      <c r="C894" s="19" t="str">
        <f t="shared" si="39"/>
        <v>EMPTY</v>
      </c>
      <c r="D894" s="3" t="str">
        <f t="shared" si="40"/>
        <v/>
      </c>
      <c r="E894" s="7"/>
      <c r="F894" s="8" t="str">
        <f t="shared" si="41"/>
        <v/>
      </c>
    </row>
    <row r="895" spans="1:6" x14ac:dyDescent="0.25">
      <c r="A895" s="13" t="str">
        <f>IF(AND($E895="",MAX($A$8:$A894)=0),"",IF(AND($E895&lt;&gt;"",MAX($A$8:$A894)=0),1,IF(AND($E895&lt;&gt;"",MAX($A$8:$A894)&gt;0),MAX($A$8:$A894)+1,"")))</f>
        <v/>
      </c>
      <c r="B895" s="11">
        <v>888</v>
      </c>
      <c r="C895" s="19" t="str">
        <f t="shared" si="39"/>
        <v>EMPTY</v>
      </c>
      <c r="D895" s="3" t="str">
        <f t="shared" si="40"/>
        <v/>
      </c>
      <c r="E895" s="7"/>
      <c r="F895" s="8" t="str">
        <f t="shared" si="41"/>
        <v/>
      </c>
    </row>
    <row r="896" spans="1:6" x14ac:dyDescent="0.25">
      <c r="A896" s="13" t="str">
        <f>IF(AND($E896="",MAX($A$8:$A895)=0),"",IF(AND($E896&lt;&gt;"",MAX($A$8:$A895)=0),1,IF(AND($E896&lt;&gt;"",MAX($A$8:$A895)&gt;0),MAX($A$8:$A895)+1,"")))</f>
        <v/>
      </c>
      <c r="B896" s="11">
        <v>889</v>
      </c>
      <c r="C896" s="19" t="str">
        <f t="shared" si="39"/>
        <v>EMPTY</v>
      </c>
      <c r="D896" s="3" t="str">
        <f t="shared" si="40"/>
        <v/>
      </c>
      <c r="E896" s="7"/>
      <c r="F896" s="8" t="str">
        <f t="shared" si="41"/>
        <v/>
      </c>
    </row>
    <row r="897" spans="1:6" x14ac:dyDescent="0.25">
      <c r="A897" s="13" t="str">
        <f>IF(AND($E897="",MAX($A$8:$A896)=0),"",IF(AND($E897&lt;&gt;"",MAX($A$8:$A896)=0),1,IF(AND($E897&lt;&gt;"",MAX($A$8:$A896)&gt;0),MAX($A$8:$A896)+1,"")))</f>
        <v/>
      </c>
      <c r="B897" s="11">
        <v>890</v>
      </c>
      <c r="C897" s="19" t="str">
        <f t="shared" si="39"/>
        <v>EMPTY</v>
      </c>
      <c r="D897" s="3" t="str">
        <f t="shared" si="40"/>
        <v/>
      </c>
      <c r="E897" s="7"/>
      <c r="F897" s="8" t="str">
        <f t="shared" si="41"/>
        <v/>
      </c>
    </row>
    <row r="898" spans="1:6" x14ac:dyDescent="0.25">
      <c r="A898" s="13" t="str">
        <f>IF(AND($E898="",MAX($A$8:$A897)=0),"",IF(AND($E898&lt;&gt;"",MAX($A$8:$A897)=0),1,IF(AND($E898&lt;&gt;"",MAX($A$8:$A897)&gt;0),MAX($A$8:$A897)+1,"")))</f>
        <v/>
      </c>
      <c r="B898" s="11">
        <v>891</v>
      </c>
      <c r="C898" s="19" t="str">
        <f t="shared" si="39"/>
        <v>EMPTY</v>
      </c>
      <c r="D898" s="3" t="str">
        <f t="shared" si="40"/>
        <v/>
      </c>
      <c r="E898" s="7"/>
      <c r="F898" s="8" t="str">
        <f t="shared" si="41"/>
        <v/>
      </c>
    </row>
    <row r="899" spans="1:6" x14ac:dyDescent="0.25">
      <c r="A899" s="13" t="str">
        <f>IF(AND($E899="",MAX($A$8:$A898)=0),"",IF(AND($E899&lt;&gt;"",MAX($A$8:$A898)=0),1,IF(AND($E899&lt;&gt;"",MAX($A$8:$A898)&gt;0),MAX($A$8:$A898)+1,"")))</f>
        <v/>
      </c>
      <c r="B899" s="11">
        <v>892</v>
      </c>
      <c r="C899" s="19" t="str">
        <f t="shared" si="39"/>
        <v>EMPTY</v>
      </c>
      <c r="D899" s="3" t="str">
        <f t="shared" si="40"/>
        <v/>
      </c>
      <c r="E899" s="7"/>
      <c r="F899" s="8" t="str">
        <f t="shared" si="41"/>
        <v/>
      </c>
    </row>
    <row r="900" spans="1:6" x14ac:dyDescent="0.25">
      <c r="A900" s="13" t="str">
        <f>IF(AND($E900="",MAX($A$8:$A899)=0),"",IF(AND($E900&lt;&gt;"",MAX($A$8:$A899)=0),1,IF(AND($E900&lt;&gt;"",MAX($A$8:$A899)&gt;0),MAX($A$8:$A899)+1,"")))</f>
        <v/>
      </c>
      <c r="B900" s="11">
        <v>893</v>
      </c>
      <c r="C900" s="19" t="str">
        <f t="shared" si="39"/>
        <v>EMPTY</v>
      </c>
      <c r="D900" s="3" t="str">
        <f t="shared" si="40"/>
        <v/>
      </c>
      <c r="E900" s="7"/>
      <c r="F900" s="8" t="str">
        <f t="shared" si="41"/>
        <v/>
      </c>
    </row>
    <row r="901" spans="1:6" x14ac:dyDescent="0.25">
      <c r="A901" s="13" t="str">
        <f>IF(AND($E901="",MAX($A$8:$A900)=0),"",IF(AND($E901&lt;&gt;"",MAX($A$8:$A900)=0),1,IF(AND($E901&lt;&gt;"",MAX($A$8:$A900)&gt;0),MAX($A$8:$A900)+1,"")))</f>
        <v/>
      </c>
      <c r="B901" s="11">
        <v>894</v>
      </c>
      <c r="C901" s="19" t="str">
        <f t="shared" si="39"/>
        <v>EMPTY</v>
      </c>
      <c r="D901" s="3" t="str">
        <f t="shared" si="40"/>
        <v/>
      </c>
      <c r="E901" s="7"/>
      <c r="F901" s="8" t="str">
        <f t="shared" si="41"/>
        <v/>
      </c>
    </row>
    <row r="902" spans="1:6" x14ac:dyDescent="0.25">
      <c r="A902" s="13" t="str">
        <f>IF(AND($E902="",MAX($A$8:$A901)=0),"",IF(AND($E902&lt;&gt;"",MAX($A$8:$A901)=0),1,IF(AND($E902&lt;&gt;"",MAX($A$8:$A901)&gt;0),MAX($A$8:$A901)+1,"")))</f>
        <v/>
      </c>
      <c r="B902" s="11">
        <v>895</v>
      </c>
      <c r="C902" s="19" t="str">
        <f t="shared" si="39"/>
        <v>EMPTY</v>
      </c>
      <c r="D902" s="3" t="str">
        <f t="shared" si="40"/>
        <v/>
      </c>
      <c r="E902" s="7"/>
      <c r="F902" s="8" t="str">
        <f t="shared" si="41"/>
        <v/>
      </c>
    </row>
    <row r="903" spans="1:6" x14ac:dyDescent="0.25">
      <c r="A903" s="13" t="str">
        <f>IF(AND($E903="",MAX($A$8:$A902)=0),"",IF(AND($E903&lt;&gt;"",MAX($A$8:$A902)=0),1,IF(AND($E903&lt;&gt;"",MAX($A$8:$A902)&gt;0),MAX($A$8:$A902)+1,"")))</f>
        <v/>
      </c>
      <c r="B903" s="11">
        <v>896</v>
      </c>
      <c r="C903" s="19" t="str">
        <f t="shared" si="39"/>
        <v>EMPTY</v>
      </c>
      <c r="D903" s="3" t="str">
        <f t="shared" si="40"/>
        <v/>
      </c>
      <c r="E903" s="7"/>
      <c r="F903" s="8" t="str">
        <f t="shared" si="41"/>
        <v/>
      </c>
    </row>
    <row r="904" spans="1:6" x14ac:dyDescent="0.25">
      <c r="A904" s="13" t="str">
        <f>IF(AND($E904="",MAX($A$8:$A903)=0),"",IF(AND($E904&lt;&gt;"",MAX($A$8:$A903)=0),1,IF(AND($E904&lt;&gt;"",MAX($A$8:$A903)&gt;0),MAX($A$8:$A903)+1,"")))</f>
        <v/>
      </c>
      <c r="B904" s="11">
        <v>897</v>
      </c>
      <c r="C904" s="19" t="str">
        <f t="shared" si="39"/>
        <v>EMPTY</v>
      </c>
      <c r="D904" s="3" t="str">
        <f t="shared" si="40"/>
        <v/>
      </c>
      <c r="E904" s="7"/>
      <c r="F904" s="8" t="str">
        <f t="shared" si="41"/>
        <v/>
      </c>
    </row>
    <row r="905" spans="1:6" x14ac:dyDescent="0.25">
      <c r="A905" s="13" t="str">
        <f>IF(AND($E905="",MAX($A$8:$A904)=0),"",IF(AND($E905&lt;&gt;"",MAX($A$8:$A904)=0),1,IF(AND($E905&lt;&gt;"",MAX($A$8:$A904)&gt;0),MAX($A$8:$A904)+1,"")))</f>
        <v/>
      </c>
      <c r="B905" s="11">
        <v>898</v>
      </c>
      <c r="C905" s="19" t="str">
        <f t="shared" ref="C905:C968" si="42">IF($E905="","EMPTY",IF(MID($E905,1,9)&lt;&gt;"Dialogue:","HIDE",IF(MID($E905,1,9)="Dialogue:","SHOW","")))</f>
        <v>EMPTY</v>
      </c>
      <c r="D905" s="3" t="str">
        <f t="shared" ref="D905:D968" si="43">IF($C905="SHOW",CONCATENATE("[",MID($E905,FIND(",",$E905,1)+3,8),"]",MID($E905,FIND("0,,",$E905,1)+3,1000)),"")</f>
        <v/>
      </c>
      <c r="E905" s="7"/>
      <c r="F905" s="8" t="str">
        <f t="shared" ref="F905:F968" si="44">$D905</f>
        <v/>
      </c>
    </row>
    <row r="906" spans="1:6" x14ac:dyDescent="0.25">
      <c r="A906" s="13" t="str">
        <f>IF(AND($E906="",MAX($A$8:$A905)=0),"",IF(AND($E906&lt;&gt;"",MAX($A$8:$A905)=0),1,IF(AND($E906&lt;&gt;"",MAX($A$8:$A905)&gt;0),MAX($A$8:$A905)+1,"")))</f>
        <v/>
      </c>
      <c r="B906" s="11">
        <v>899</v>
      </c>
      <c r="C906" s="19" t="str">
        <f t="shared" si="42"/>
        <v>EMPTY</v>
      </c>
      <c r="D906" s="3" t="str">
        <f t="shared" si="43"/>
        <v/>
      </c>
      <c r="E906" s="7"/>
      <c r="F906" s="8" t="str">
        <f t="shared" si="44"/>
        <v/>
      </c>
    </row>
    <row r="907" spans="1:6" x14ac:dyDescent="0.25">
      <c r="A907" s="13" t="str">
        <f>IF(AND($E907="",MAX($A$8:$A906)=0),"",IF(AND($E907&lt;&gt;"",MAX($A$8:$A906)=0),1,IF(AND($E907&lt;&gt;"",MAX($A$8:$A906)&gt;0),MAX($A$8:$A906)+1,"")))</f>
        <v/>
      </c>
      <c r="B907" s="11">
        <v>900</v>
      </c>
      <c r="C907" s="19" t="str">
        <f t="shared" si="42"/>
        <v>EMPTY</v>
      </c>
      <c r="D907" s="3" t="str">
        <f t="shared" si="43"/>
        <v/>
      </c>
      <c r="E907" s="7"/>
      <c r="F907" s="8" t="str">
        <f t="shared" si="44"/>
        <v/>
      </c>
    </row>
    <row r="908" spans="1:6" x14ac:dyDescent="0.25">
      <c r="A908" s="13" t="str">
        <f>IF(AND($E908="",MAX($A$8:$A907)=0),"",IF(AND($E908&lt;&gt;"",MAX($A$8:$A907)=0),1,IF(AND($E908&lt;&gt;"",MAX($A$8:$A907)&gt;0),MAX($A$8:$A907)+1,"")))</f>
        <v/>
      </c>
      <c r="B908" s="11">
        <v>901</v>
      </c>
      <c r="C908" s="19" t="str">
        <f t="shared" si="42"/>
        <v>EMPTY</v>
      </c>
      <c r="D908" s="3" t="str">
        <f t="shared" si="43"/>
        <v/>
      </c>
      <c r="E908" s="7"/>
      <c r="F908" s="8" t="str">
        <f t="shared" si="44"/>
        <v/>
      </c>
    </row>
    <row r="909" spans="1:6" x14ac:dyDescent="0.25">
      <c r="A909" s="13" t="str">
        <f>IF(AND($E909="",MAX($A$8:$A908)=0),"",IF(AND($E909&lt;&gt;"",MAX($A$8:$A908)=0),1,IF(AND($E909&lt;&gt;"",MAX($A$8:$A908)&gt;0),MAX($A$8:$A908)+1,"")))</f>
        <v/>
      </c>
      <c r="B909" s="11">
        <v>902</v>
      </c>
      <c r="C909" s="19" t="str">
        <f t="shared" si="42"/>
        <v>EMPTY</v>
      </c>
      <c r="D909" s="3" t="str">
        <f t="shared" si="43"/>
        <v/>
      </c>
      <c r="E909" s="7"/>
      <c r="F909" s="8" t="str">
        <f t="shared" si="44"/>
        <v/>
      </c>
    </row>
    <row r="910" spans="1:6" x14ac:dyDescent="0.25">
      <c r="A910" s="13" t="str">
        <f>IF(AND($E910="",MAX($A$8:$A909)=0),"",IF(AND($E910&lt;&gt;"",MAX($A$8:$A909)=0),1,IF(AND($E910&lt;&gt;"",MAX($A$8:$A909)&gt;0),MAX($A$8:$A909)+1,"")))</f>
        <v/>
      </c>
      <c r="B910" s="11">
        <v>903</v>
      </c>
      <c r="C910" s="19" t="str">
        <f t="shared" si="42"/>
        <v>EMPTY</v>
      </c>
      <c r="D910" s="3" t="str">
        <f t="shared" si="43"/>
        <v/>
      </c>
      <c r="E910" s="7"/>
      <c r="F910" s="8" t="str">
        <f t="shared" si="44"/>
        <v/>
      </c>
    </row>
    <row r="911" spans="1:6" x14ac:dyDescent="0.25">
      <c r="A911" s="13" t="str">
        <f>IF(AND($E911="",MAX($A$8:$A910)=0),"",IF(AND($E911&lt;&gt;"",MAX($A$8:$A910)=0),1,IF(AND($E911&lt;&gt;"",MAX($A$8:$A910)&gt;0),MAX($A$8:$A910)+1,"")))</f>
        <v/>
      </c>
      <c r="B911" s="11">
        <v>904</v>
      </c>
      <c r="C911" s="19" t="str">
        <f t="shared" si="42"/>
        <v>EMPTY</v>
      </c>
      <c r="D911" s="3" t="str">
        <f t="shared" si="43"/>
        <v/>
      </c>
      <c r="E911" s="7"/>
      <c r="F911" s="8" t="str">
        <f t="shared" si="44"/>
        <v/>
      </c>
    </row>
    <row r="912" spans="1:6" x14ac:dyDescent="0.25">
      <c r="A912" s="13" t="str">
        <f>IF(AND($E912="",MAX($A$8:$A911)=0),"",IF(AND($E912&lt;&gt;"",MAX($A$8:$A911)=0),1,IF(AND($E912&lt;&gt;"",MAX($A$8:$A911)&gt;0),MAX($A$8:$A911)+1,"")))</f>
        <v/>
      </c>
      <c r="B912" s="11">
        <v>905</v>
      </c>
      <c r="C912" s="19" t="str">
        <f t="shared" si="42"/>
        <v>EMPTY</v>
      </c>
      <c r="D912" s="3" t="str">
        <f t="shared" si="43"/>
        <v/>
      </c>
      <c r="E912" s="7"/>
      <c r="F912" s="8" t="str">
        <f t="shared" si="44"/>
        <v/>
      </c>
    </row>
    <row r="913" spans="1:6" x14ac:dyDescent="0.25">
      <c r="A913" s="13" t="str">
        <f>IF(AND($E913="",MAX($A$8:$A912)=0),"",IF(AND($E913&lt;&gt;"",MAX($A$8:$A912)=0),1,IF(AND($E913&lt;&gt;"",MAX($A$8:$A912)&gt;0),MAX($A$8:$A912)+1,"")))</f>
        <v/>
      </c>
      <c r="B913" s="11">
        <v>906</v>
      </c>
      <c r="C913" s="19" t="str">
        <f t="shared" si="42"/>
        <v>EMPTY</v>
      </c>
      <c r="D913" s="3" t="str">
        <f t="shared" si="43"/>
        <v/>
      </c>
      <c r="E913" s="7"/>
      <c r="F913" s="8" t="str">
        <f t="shared" si="44"/>
        <v/>
      </c>
    </row>
    <row r="914" spans="1:6" x14ac:dyDescent="0.25">
      <c r="A914" s="13" t="str">
        <f>IF(AND($E914="",MAX($A$8:$A913)=0),"",IF(AND($E914&lt;&gt;"",MAX($A$8:$A913)=0),1,IF(AND($E914&lt;&gt;"",MAX($A$8:$A913)&gt;0),MAX($A$8:$A913)+1,"")))</f>
        <v/>
      </c>
      <c r="B914" s="11">
        <v>907</v>
      </c>
      <c r="C914" s="19" t="str">
        <f t="shared" si="42"/>
        <v>EMPTY</v>
      </c>
      <c r="D914" s="3" t="str">
        <f t="shared" si="43"/>
        <v/>
      </c>
      <c r="E914" s="7"/>
      <c r="F914" s="8" t="str">
        <f t="shared" si="44"/>
        <v/>
      </c>
    </row>
    <row r="915" spans="1:6" x14ac:dyDescent="0.25">
      <c r="A915" s="13" t="str">
        <f>IF(AND($E915="",MAX($A$8:$A914)=0),"",IF(AND($E915&lt;&gt;"",MAX($A$8:$A914)=0),1,IF(AND($E915&lt;&gt;"",MAX($A$8:$A914)&gt;0),MAX($A$8:$A914)+1,"")))</f>
        <v/>
      </c>
      <c r="B915" s="11">
        <v>908</v>
      </c>
      <c r="C915" s="19" t="str">
        <f t="shared" si="42"/>
        <v>EMPTY</v>
      </c>
      <c r="D915" s="3" t="str">
        <f t="shared" si="43"/>
        <v/>
      </c>
      <c r="E915" s="7"/>
      <c r="F915" s="8" t="str">
        <f t="shared" si="44"/>
        <v/>
      </c>
    </row>
    <row r="916" spans="1:6" x14ac:dyDescent="0.25">
      <c r="A916" s="13" t="str">
        <f>IF(AND($E916="",MAX($A$8:$A915)=0),"",IF(AND($E916&lt;&gt;"",MAX($A$8:$A915)=0),1,IF(AND($E916&lt;&gt;"",MAX($A$8:$A915)&gt;0),MAX($A$8:$A915)+1,"")))</f>
        <v/>
      </c>
      <c r="B916" s="11">
        <v>909</v>
      </c>
      <c r="C916" s="19" t="str">
        <f t="shared" si="42"/>
        <v>EMPTY</v>
      </c>
      <c r="D916" s="3" t="str">
        <f t="shared" si="43"/>
        <v/>
      </c>
      <c r="E916" s="7"/>
      <c r="F916" s="8" t="str">
        <f t="shared" si="44"/>
        <v/>
      </c>
    </row>
    <row r="917" spans="1:6" x14ac:dyDescent="0.25">
      <c r="A917" s="13" t="str">
        <f>IF(AND($E917="",MAX($A$8:$A916)=0),"",IF(AND($E917&lt;&gt;"",MAX($A$8:$A916)=0),1,IF(AND($E917&lt;&gt;"",MAX($A$8:$A916)&gt;0),MAX($A$8:$A916)+1,"")))</f>
        <v/>
      </c>
      <c r="B917" s="11">
        <v>910</v>
      </c>
      <c r="C917" s="19" t="str">
        <f t="shared" si="42"/>
        <v>EMPTY</v>
      </c>
      <c r="D917" s="3" t="str">
        <f t="shared" si="43"/>
        <v/>
      </c>
      <c r="E917" s="7"/>
      <c r="F917" s="8" t="str">
        <f t="shared" si="44"/>
        <v/>
      </c>
    </row>
    <row r="918" spans="1:6" x14ac:dyDescent="0.25">
      <c r="A918" s="13" t="str">
        <f>IF(AND($E918="",MAX($A$8:$A917)=0),"",IF(AND($E918&lt;&gt;"",MAX($A$8:$A917)=0),1,IF(AND($E918&lt;&gt;"",MAX($A$8:$A917)&gt;0),MAX($A$8:$A917)+1,"")))</f>
        <v/>
      </c>
      <c r="B918" s="11">
        <v>911</v>
      </c>
      <c r="C918" s="19" t="str">
        <f t="shared" si="42"/>
        <v>EMPTY</v>
      </c>
      <c r="D918" s="3" t="str">
        <f t="shared" si="43"/>
        <v/>
      </c>
      <c r="E918" s="7"/>
      <c r="F918" s="8" t="str">
        <f t="shared" si="44"/>
        <v/>
      </c>
    </row>
    <row r="919" spans="1:6" x14ac:dyDescent="0.25">
      <c r="A919" s="13" t="str">
        <f>IF(AND($E919="",MAX($A$8:$A918)=0),"",IF(AND($E919&lt;&gt;"",MAX($A$8:$A918)=0),1,IF(AND($E919&lt;&gt;"",MAX($A$8:$A918)&gt;0),MAX($A$8:$A918)+1,"")))</f>
        <v/>
      </c>
      <c r="B919" s="11">
        <v>912</v>
      </c>
      <c r="C919" s="19" t="str">
        <f t="shared" si="42"/>
        <v>EMPTY</v>
      </c>
      <c r="D919" s="3" t="str">
        <f t="shared" si="43"/>
        <v/>
      </c>
      <c r="E919" s="7"/>
      <c r="F919" s="8" t="str">
        <f t="shared" si="44"/>
        <v/>
      </c>
    </row>
    <row r="920" spans="1:6" x14ac:dyDescent="0.25">
      <c r="A920" s="13" t="str">
        <f>IF(AND($E920="",MAX($A$8:$A919)=0),"",IF(AND($E920&lt;&gt;"",MAX($A$8:$A919)=0),1,IF(AND($E920&lt;&gt;"",MAX($A$8:$A919)&gt;0),MAX($A$8:$A919)+1,"")))</f>
        <v/>
      </c>
      <c r="B920" s="11">
        <v>913</v>
      </c>
      <c r="C920" s="19" t="str">
        <f t="shared" si="42"/>
        <v>EMPTY</v>
      </c>
      <c r="D920" s="3" t="str">
        <f t="shared" si="43"/>
        <v/>
      </c>
      <c r="E920" s="7"/>
      <c r="F920" s="8" t="str">
        <f t="shared" si="44"/>
        <v/>
      </c>
    </row>
    <row r="921" spans="1:6" x14ac:dyDescent="0.25">
      <c r="A921" s="13" t="str">
        <f>IF(AND($E921="",MAX($A$8:$A920)=0),"",IF(AND($E921&lt;&gt;"",MAX($A$8:$A920)=0),1,IF(AND($E921&lt;&gt;"",MAX($A$8:$A920)&gt;0),MAX($A$8:$A920)+1,"")))</f>
        <v/>
      </c>
      <c r="B921" s="11">
        <v>914</v>
      </c>
      <c r="C921" s="19" t="str">
        <f t="shared" si="42"/>
        <v>EMPTY</v>
      </c>
      <c r="D921" s="3" t="str">
        <f t="shared" si="43"/>
        <v/>
      </c>
      <c r="E921" s="7"/>
      <c r="F921" s="8" t="str">
        <f t="shared" si="44"/>
        <v/>
      </c>
    </row>
    <row r="922" spans="1:6" x14ac:dyDescent="0.25">
      <c r="A922" s="13" t="str">
        <f>IF(AND($E922="",MAX($A$8:$A921)=0),"",IF(AND($E922&lt;&gt;"",MAX($A$8:$A921)=0),1,IF(AND($E922&lt;&gt;"",MAX($A$8:$A921)&gt;0),MAX($A$8:$A921)+1,"")))</f>
        <v/>
      </c>
      <c r="B922" s="11">
        <v>915</v>
      </c>
      <c r="C922" s="19" t="str">
        <f t="shared" si="42"/>
        <v>EMPTY</v>
      </c>
      <c r="D922" s="3" t="str">
        <f t="shared" si="43"/>
        <v/>
      </c>
      <c r="E922" s="7"/>
      <c r="F922" s="8" t="str">
        <f t="shared" si="44"/>
        <v/>
      </c>
    </row>
    <row r="923" spans="1:6" x14ac:dyDescent="0.25">
      <c r="A923" s="13" t="str">
        <f>IF(AND($E923="",MAX($A$8:$A922)=0),"",IF(AND($E923&lt;&gt;"",MAX($A$8:$A922)=0),1,IF(AND($E923&lt;&gt;"",MAX($A$8:$A922)&gt;0),MAX($A$8:$A922)+1,"")))</f>
        <v/>
      </c>
      <c r="B923" s="11">
        <v>916</v>
      </c>
      <c r="C923" s="19" t="str">
        <f t="shared" si="42"/>
        <v>EMPTY</v>
      </c>
      <c r="D923" s="3" t="str">
        <f t="shared" si="43"/>
        <v/>
      </c>
      <c r="E923" s="7"/>
      <c r="F923" s="8" t="str">
        <f t="shared" si="44"/>
        <v/>
      </c>
    </row>
    <row r="924" spans="1:6" x14ac:dyDescent="0.25">
      <c r="A924" s="13" t="str">
        <f>IF(AND($E924="",MAX($A$8:$A923)=0),"",IF(AND($E924&lt;&gt;"",MAX($A$8:$A923)=0),1,IF(AND($E924&lt;&gt;"",MAX($A$8:$A923)&gt;0),MAX($A$8:$A923)+1,"")))</f>
        <v/>
      </c>
      <c r="B924" s="11">
        <v>917</v>
      </c>
      <c r="C924" s="19" t="str">
        <f t="shared" si="42"/>
        <v>EMPTY</v>
      </c>
      <c r="D924" s="3" t="str">
        <f t="shared" si="43"/>
        <v/>
      </c>
      <c r="E924" s="7"/>
      <c r="F924" s="8" t="str">
        <f t="shared" si="44"/>
        <v/>
      </c>
    </row>
    <row r="925" spans="1:6" x14ac:dyDescent="0.25">
      <c r="A925" s="13" t="str">
        <f>IF(AND($E925="",MAX($A$8:$A924)=0),"",IF(AND($E925&lt;&gt;"",MAX($A$8:$A924)=0),1,IF(AND($E925&lt;&gt;"",MAX($A$8:$A924)&gt;0),MAX($A$8:$A924)+1,"")))</f>
        <v/>
      </c>
      <c r="B925" s="11">
        <v>918</v>
      </c>
      <c r="C925" s="19" t="str">
        <f t="shared" si="42"/>
        <v>EMPTY</v>
      </c>
      <c r="D925" s="3" t="str">
        <f t="shared" si="43"/>
        <v/>
      </c>
      <c r="E925" s="7"/>
      <c r="F925" s="8" t="str">
        <f t="shared" si="44"/>
        <v/>
      </c>
    </row>
    <row r="926" spans="1:6" x14ac:dyDescent="0.25">
      <c r="A926" s="13" t="str">
        <f>IF(AND($E926="",MAX($A$8:$A925)=0),"",IF(AND($E926&lt;&gt;"",MAX($A$8:$A925)=0),1,IF(AND($E926&lt;&gt;"",MAX($A$8:$A925)&gt;0),MAX($A$8:$A925)+1,"")))</f>
        <v/>
      </c>
      <c r="B926" s="11">
        <v>919</v>
      </c>
      <c r="C926" s="19" t="str">
        <f t="shared" si="42"/>
        <v>EMPTY</v>
      </c>
      <c r="D926" s="3" t="str">
        <f t="shared" si="43"/>
        <v/>
      </c>
      <c r="E926" s="7"/>
      <c r="F926" s="8" t="str">
        <f t="shared" si="44"/>
        <v/>
      </c>
    </row>
    <row r="927" spans="1:6" x14ac:dyDescent="0.25">
      <c r="A927" s="13" t="str">
        <f>IF(AND($E927="",MAX($A$8:$A926)=0),"",IF(AND($E927&lt;&gt;"",MAX($A$8:$A926)=0),1,IF(AND($E927&lt;&gt;"",MAX($A$8:$A926)&gt;0),MAX($A$8:$A926)+1,"")))</f>
        <v/>
      </c>
      <c r="B927" s="11">
        <v>920</v>
      </c>
      <c r="C927" s="19" t="str">
        <f t="shared" si="42"/>
        <v>EMPTY</v>
      </c>
      <c r="D927" s="3" t="str">
        <f t="shared" si="43"/>
        <v/>
      </c>
      <c r="E927" s="7"/>
      <c r="F927" s="8" t="str">
        <f t="shared" si="44"/>
        <v/>
      </c>
    </row>
    <row r="928" spans="1:6" x14ac:dyDescent="0.25">
      <c r="A928" s="13" t="str">
        <f>IF(AND($E928="",MAX($A$8:$A927)=0),"",IF(AND($E928&lt;&gt;"",MAX($A$8:$A927)=0),1,IF(AND($E928&lt;&gt;"",MAX($A$8:$A927)&gt;0),MAX($A$8:$A927)+1,"")))</f>
        <v/>
      </c>
      <c r="B928" s="11">
        <v>921</v>
      </c>
      <c r="C928" s="19" t="str">
        <f t="shared" si="42"/>
        <v>EMPTY</v>
      </c>
      <c r="D928" s="3" t="str">
        <f t="shared" si="43"/>
        <v/>
      </c>
      <c r="E928" s="7"/>
      <c r="F928" s="8" t="str">
        <f t="shared" si="44"/>
        <v/>
      </c>
    </row>
    <row r="929" spans="1:6" x14ac:dyDescent="0.25">
      <c r="A929" s="13" t="str">
        <f>IF(AND($E929="",MAX($A$8:$A928)=0),"",IF(AND($E929&lt;&gt;"",MAX($A$8:$A928)=0),1,IF(AND($E929&lt;&gt;"",MAX($A$8:$A928)&gt;0),MAX($A$8:$A928)+1,"")))</f>
        <v/>
      </c>
      <c r="B929" s="11">
        <v>922</v>
      </c>
      <c r="C929" s="19" t="str">
        <f t="shared" si="42"/>
        <v>EMPTY</v>
      </c>
      <c r="D929" s="3" t="str">
        <f t="shared" si="43"/>
        <v/>
      </c>
      <c r="E929" s="7"/>
      <c r="F929" s="8" t="str">
        <f t="shared" si="44"/>
        <v/>
      </c>
    </row>
    <row r="930" spans="1:6" x14ac:dyDescent="0.25">
      <c r="A930" s="13" t="str">
        <f>IF(AND($E930="",MAX($A$8:$A929)=0),"",IF(AND($E930&lt;&gt;"",MAX($A$8:$A929)=0),1,IF(AND($E930&lt;&gt;"",MAX($A$8:$A929)&gt;0),MAX($A$8:$A929)+1,"")))</f>
        <v/>
      </c>
      <c r="B930" s="11">
        <v>923</v>
      </c>
      <c r="C930" s="19" t="str">
        <f t="shared" si="42"/>
        <v>EMPTY</v>
      </c>
      <c r="D930" s="3" t="str">
        <f t="shared" si="43"/>
        <v/>
      </c>
      <c r="E930" s="7"/>
      <c r="F930" s="8" t="str">
        <f t="shared" si="44"/>
        <v/>
      </c>
    </row>
    <row r="931" spans="1:6" x14ac:dyDescent="0.25">
      <c r="A931" s="13" t="str">
        <f>IF(AND($E931="",MAX($A$8:$A930)=0),"",IF(AND($E931&lt;&gt;"",MAX($A$8:$A930)=0),1,IF(AND($E931&lt;&gt;"",MAX($A$8:$A930)&gt;0),MAX($A$8:$A930)+1,"")))</f>
        <v/>
      </c>
      <c r="B931" s="11">
        <v>924</v>
      </c>
      <c r="C931" s="19" t="str">
        <f t="shared" si="42"/>
        <v>EMPTY</v>
      </c>
      <c r="D931" s="3" t="str">
        <f t="shared" si="43"/>
        <v/>
      </c>
      <c r="E931" s="7"/>
      <c r="F931" s="8" t="str">
        <f t="shared" si="44"/>
        <v/>
      </c>
    </row>
    <row r="932" spans="1:6" x14ac:dyDescent="0.25">
      <c r="A932" s="13" t="str">
        <f>IF(AND($E932="",MAX($A$8:$A931)=0),"",IF(AND($E932&lt;&gt;"",MAX($A$8:$A931)=0),1,IF(AND($E932&lt;&gt;"",MAX($A$8:$A931)&gt;0),MAX($A$8:$A931)+1,"")))</f>
        <v/>
      </c>
      <c r="B932" s="11">
        <v>925</v>
      </c>
      <c r="C932" s="19" t="str">
        <f t="shared" si="42"/>
        <v>EMPTY</v>
      </c>
      <c r="D932" s="3" t="str">
        <f t="shared" si="43"/>
        <v/>
      </c>
      <c r="E932" s="7"/>
      <c r="F932" s="8" t="str">
        <f t="shared" si="44"/>
        <v/>
      </c>
    </row>
    <row r="933" spans="1:6" x14ac:dyDescent="0.25">
      <c r="A933" s="13" t="str">
        <f>IF(AND($E933="",MAX($A$8:$A932)=0),"",IF(AND($E933&lt;&gt;"",MAX($A$8:$A932)=0),1,IF(AND($E933&lt;&gt;"",MAX($A$8:$A932)&gt;0),MAX($A$8:$A932)+1,"")))</f>
        <v/>
      </c>
      <c r="B933" s="11">
        <v>926</v>
      </c>
      <c r="C933" s="19" t="str">
        <f t="shared" si="42"/>
        <v>EMPTY</v>
      </c>
      <c r="D933" s="3" t="str">
        <f t="shared" si="43"/>
        <v/>
      </c>
      <c r="E933" s="7"/>
      <c r="F933" s="8" t="str">
        <f t="shared" si="44"/>
        <v/>
      </c>
    </row>
    <row r="934" spans="1:6" x14ac:dyDescent="0.25">
      <c r="A934" s="13" t="str">
        <f>IF(AND($E934="",MAX($A$8:$A933)=0),"",IF(AND($E934&lt;&gt;"",MAX($A$8:$A933)=0),1,IF(AND($E934&lt;&gt;"",MAX($A$8:$A933)&gt;0),MAX($A$8:$A933)+1,"")))</f>
        <v/>
      </c>
      <c r="B934" s="11">
        <v>927</v>
      </c>
      <c r="C934" s="19" t="str">
        <f t="shared" si="42"/>
        <v>EMPTY</v>
      </c>
      <c r="D934" s="3" t="str">
        <f t="shared" si="43"/>
        <v/>
      </c>
      <c r="E934" s="7"/>
      <c r="F934" s="8" t="str">
        <f t="shared" si="44"/>
        <v/>
      </c>
    </row>
    <row r="935" spans="1:6" x14ac:dyDescent="0.25">
      <c r="A935" s="13" t="str">
        <f>IF(AND($E935="",MAX($A$8:$A934)=0),"",IF(AND($E935&lt;&gt;"",MAX($A$8:$A934)=0),1,IF(AND($E935&lt;&gt;"",MAX($A$8:$A934)&gt;0),MAX($A$8:$A934)+1,"")))</f>
        <v/>
      </c>
      <c r="B935" s="11">
        <v>928</v>
      </c>
      <c r="C935" s="19" t="str">
        <f t="shared" si="42"/>
        <v>EMPTY</v>
      </c>
      <c r="D935" s="3" t="str">
        <f t="shared" si="43"/>
        <v/>
      </c>
      <c r="E935" s="7"/>
      <c r="F935" s="8" t="str">
        <f t="shared" si="44"/>
        <v/>
      </c>
    </row>
    <row r="936" spans="1:6" x14ac:dyDescent="0.25">
      <c r="A936" s="13" t="str">
        <f>IF(AND($E936="",MAX($A$8:$A935)=0),"",IF(AND($E936&lt;&gt;"",MAX($A$8:$A935)=0),1,IF(AND($E936&lt;&gt;"",MAX($A$8:$A935)&gt;0),MAX($A$8:$A935)+1,"")))</f>
        <v/>
      </c>
      <c r="B936" s="11">
        <v>929</v>
      </c>
      <c r="C936" s="19" t="str">
        <f t="shared" si="42"/>
        <v>EMPTY</v>
      </c>
      <c r="D936" s="3" t="str">
        <f t="shared" si="43"/>
        <v/>
      </c>
      <c r="E936" s="7"/>
      <c r="F936" s="8" t="str">
        <f t="shared" si="44"/>
        <v/>
      </c>
    </row>
    <row r="937" spans="1:6" x14ac:dyDescent="0.25">
      <c r="A937" s="13" t="str">
        <f>IF(AND($E937="",MAX($A$8:$A936)=0),"",IF(AND($E937&lt;&gt;"",MAX($A$8:$A936)=0),1,IF(AND($E937&lt;&gt;"",MAX($A$8:$A936)&gt;0),MAX($A$8:$A936)+1,"")))</f>
        <v/>
      </c>
      <c r="B937" s="11">
        <v>930</v>
      </c>
      <c r="C937" s="19" t="str">
        <f t="shared" si="42"/>
        <v>EMPTY</v>
      </c>
      <c r="D937" s="3" t="str">
        <f t="shared" si="43"/>
        <v/>
      </c>
      <c r="E937" s="7"/>
      <c r="F937" s="8" t="str">
        <f t="shared" si="44"/>
        <v/>
      </c>
    </row>
    <row r="938" spans="1:6" x14ac:dyDescent="0.25">
      <c r="A938" s="13" t="str">
        <f>IF(AND($E938="",MAX($A$8:$A937)=0),"",IF(AND($E938&lt;&gt;"",MAX($A$8:$A937)=0),1,IF(AND($E938&lt;&gt;"",MAX($A$8:$A937)&gt;0),MAX($A$8:$A937)+1,"")))</f>
        <v/>
      </c>
      <c r="B938" s="11">
        <v>931</v>
      </c>
      <c r="C938" s="19" t="str">
        <f t="shared" si="42"/>
        <v>EMPTY</v>
      </c>
      <c r="D938" s="3" t="str">
        <f t="shared" si="43"/>
        <v/>
      </c>
      <c r="E938" s="7"/>
      <c r="F938" s="8" t="str">
        <f t="shared" si="44"/>
        <v/>
      </c>
    </row>
    <row r="939" spans="1:6" x14ac:dyDescent="0.25">
      <c r="A939" s="13" t="str">
        <f>IF(AND($E939="",MAX($A$8:$A938)=0),"",IF(AND($E939&lt;&gt;"",MAX($A$8:$A938)=0),1,IF(AND($E939&lt;&gt;"",MAX($A$8:$A938)&gt;0),MAX($A$8:$A938)+1,"")))</f>
        <v/>
      </c>
      <c r="B939" s="11">
        <v>932</v>
      </c>
      <c r="C939" s="19" t="str">
        <f t="shared" si="42"/>
        <v>EMPTY</v>
      </c>
      <c r="D939" s="3" t="str">
        <f t="shared" si="43"/>
        <v/>
      </c>
      <c r="E939" s="7"/>
      <c r="F939" s="8" t="str">
        <f t="shared" si="44"/>
        <v/>
      </c>
    </row>
    <row r="940" spans="1:6" x14ac:dyDescent="0.25">
      <c r="A940" s="13" t="str">
        <f>IF(AND($E940="",MAX($A$8:$A939)=0),"",IF(AND($E940&lt;&gt;"",MAX($A$8:$A939)=0),1,IF(AND($E940&lt;&gt;"",MAX($A$8:$A939)&gt;0),MAX($A$8:$A939)+1,"")))</f>
        <v/>
      </c>
      <c r="B940" s="11">
        <v>933</v>
      </c>
      <c r="C940" s="19" t="str">
        <f t="shared" si="42"/>
        <v>EMPTY</v>
      </c>
      <c r="D940" s="3" t="str">
        <f t="shared" si="43"/>
        <v/>
      </c>
      <c r="E940" s="7"/>
      <c r="F940" s="8" t="str">
        <f t="shared" si="44"/>
        <v/>
      </c>
    </row>
    <row r="941" spans="1:6" x14ac:dyDescent="0.25">
      <c r="A941" s="13" t="str">
        <f>IF(AND($E941="",MAX($A$8:$A940)=0),"",IF(AND($E941&lt;&gt;"",MAX($A$8:$A940)=0),1,IF(AND($E941&lt;&gt;"",MAX($A$8:$A940)&gt;0),MAX($A$8:$A940)+1,"")))</f>
        <v/>
      </c>
      <c r="B941" s="11">
        <v>934</v>
      </c>
      <c r="C941" s="19" t="str">
        <f t="shared" si="42"/>
        <v>EMPTY</v>
      </c>
      <c r="D941" s="3" t="str">
        <f t="shared" si="43"/>
        <v/>
      </c>
      <c r="E941" s="7"/>
      <c r="F941" s="8" t="str">
        <f t="shared" si="44"/>
        <v/>
      </c>
    </row>
    <row r="942" spans="1:6" x14ac:dyDescent="0.25">
      <c r="A942" s="13" t="str">
        <f>IF(AND($E942="",MAX($A$8:$A941)=0),"",IF(AND($E942&lt;&gt;"",MAX($A$8:$A941)=0),1,IF(AND($E942&lt;&gt;"",MAX($A$8:$A941)&gt;0),MAX($A$8:$A941)+1,"")))</f>
        <v/>
      </c>
      <c r="B942" s="11">
        <v>935</v>
      </c>
      <c r="C942" s="19" t="str">
        <f t="shared" si="42"/>
        <v>EMPTY</v>
      </c>
      <c r="D942" s="3" t="str">
        <f t="shared" si="43"/>
        <v/>
      </c>
      <c r="E942" s="7"/>
      <c r="F942" s="8" t="str">
        <f t="shared" si="44"/>
        <v/>
      </c>
    </row>
    <row r="943" spans="1:6" x14ac:dyDescent="0.25">
      <c r="A943" s="13" t="str">
        <f>IF(AND($E943="",MAX($A$8:$A942)=0),"",IF(AND($E943&lt;&gt;"",MAX($A$8:$A942)=0),1,IF(AND($E943&lt;&gt;"",MAX($A$8:$A942)&gt;0),MAX($A$8:$A942)+1,"")))</f>
        <v/>
      </c>
      <c r="B943" s="11">
        <v>936</v>
      </c>
      <c r="C943" s="19" t="str">
        <f t="shared" si="42"/>
        <v>EMPTY</v>
      </c>
      <c r="D943" s="3" t="str">
        <f t="shared" si="43"/>
        <v/>
      </c>
      <c r="E943" s="7"/>
      <c r="F943" s="8" t="str">
        <f t="shared" si="44"/>
        <v/>
      </c>
    </row>
    <row r="944" spans="1:6" x14ac:dyDescent="0.25">
      <c r="A944" s="13" t="str">
        <f>IF(AND($E944="",MAX($A$8:$A943)=0),"",IF(AND($E944&lt;&gt;"",MAX($A$8:$A943)=0),1,IF(AND($E944&lt;&gt;"",MAX($A$8:$A943)&gt;0),MAX($A$8:$A943)+1,"")))</f>
        <v/>
      </c>
      <c r="B944" s="11">
        <v>937</v>
      </c>
      <c r="C944" s="19" t="str">
        <f t="shared" si="42"/>
        <v>EMPTY</v>
      </c>
      <c r="D944" s="3" t="str">
        <f t="shared" si="43"/>
        <v/>
      </c>
      <c r="E944" s="7"/>
      <c r="F944" s="8" t="str">
        <f t="shared" si="44"/>
        <v/>
      </c>
    </row>
    <row r="945" spans="1:6" x14ac:dyDescent="0.25">
      <c r="A945" s="13" t="str">
        <f>IF(AND($E945="",MAX($A$8:$A944)=0),"",IF(AND($E945&lt;&gt;"",MAX($A$8:$A944)=0),1,IF(AND($E945&lt;&gt;"",MAX($A$8:$A944)&gt;0),MAX($A$8:$A944)+1,"")))</f>
        <v/>
      </c>
      <c r="B945" s="11">
        <v>938</v>
      </c>
      <c r="C945" s="19" t="str">
        <f t="shared" si="42"/>
        <v>EMPTY</v>
      </c>
      <c r="D945" s="3" t="str">
        <f t="shared" si="43"/>
        <v/>
      </c>
      <c r="E945" s="7"/>
      <c r="F945" s="8" t="str">
        <f t="shared" si="44"/>
        <v/>
      </c>
    </row>
    <row r="946" spans="1:6" x14ac:dyDescent="0.25">
      <c r="A946" s="13" t="str">
        <f>IF(AND($E946="",MAX($A$8:$A945)=0),"",IF(AND($E946&lt;&gt;"",MAX($A$8:$A945)=0),1,IF(AND($E946&lt;&gt;"",MAX($A$8:$A945)&gt;0),MAX($A$8:$A945)+1,"")))</f>
        <v/>
      </c>
      <c r="B946" s="11">
        <v>939</v>
      </c>
      <c r="C946" s="19" t="str">
        <f t="shared" si="42"/>
        <v>EMPTY</v>
      </c>
      <c r="D946" s="3" t="str">
        <f t="shared" si="43"/>
        <v/>
      </c>
      <c r="E946" s="7"/>
      <c r="F946" s="8" t="str">
        <f t="shared" si="44"/>
        <v/>
      </c>
    </row>
    <row r="947" spans="1:6" x14ac:dyDescent="0.25">
      <c r="A947" s="13" t="str">
        <f>IF(AND($E947="",MAX($A$8:$A946)=0),"",IF(AND($E947&lt;&gt;"",MAX($A$8:$A946)=0),1,IF(AND($E947&lt;&gt;"",MAX($A$8:$A946)&gt;0),MAX($A$8:$A946)+1,"")))</f>
        <v/>
      </c>
      <c r="B947" s="11">
        <v>940</v>
      </c>
      <c r="C947" s="19" t="str">
        <f t="shared" si="42"/>
        <v>EMPTY</v>
      </c>
      <c r="D947" s="3" t="str">
        <f t="shared" si="43"/>
        <v/>
      </c>
      <c r="E947" s="7"/>
      <c r="F947" s="8" t="str">
        <f t="shared" si="44"/>
        <v/>
      </c>
    </row>
    <row r="948" spans="1:6" x14ac:dyDescent="0.25">
      <c r="A948" s="13" t="str">
        <f>IF(AND($E948="",MAX($A$8:$A947)=0),"",IF(AND($E948&lt;&gt;"",MAX($A$8:$A947)=0),1,IF(AND($E948&lt;&gt;"",MAX($A$8:$A947)&gt;0),MAX($A$8:$A947)+1,"")))</f>
        <v/>
      </c>
      <c r="B948" s="11">
        <v>941</v>
      </c>
      <c r="C948" s="19" t="str">
        <f t="shared" si="42"/>
        <v>EMPTY</v>
      </c>
      <c r="D948" s="3" t="str">
        <f t="shared" si="43"/>
        <v/>
      </c>
      <c r="E948" s="7"/>
      <c r="F948" s="8" t="str">
        <f t="shared" si="44"/>
        <v/>
      </c>
    </row>
    <row r="949" spans="1:6" x14ac:dyDescent="0.25">
      <c r="A949" s="13" t="str">
        <f>IF(AND($E949="",MAX($A$8:$A948)=0),"",IF(AND($E949&lt;&gt;"",MAX($A$8:$A948)=0),1,IF(AND($E949&lt;&gt;"",MAX($A$8:$A948)&gt;0),MAX($A$8:$A948)+1,"")))</f>
        <v/>
      </c>
      <c r="B949" s="11">
        <v>942</v>
      </c>
      <c r="C949" s="19" t="str">
        <f t="shared" si="42"/>
        <v>EMPTY</v>
      </c>
      <c r="D949" s="3" t="str">
        <f t="shared" si="43"/>
        <v/>
      </c>
      <c r="E949" s="7"/>
      <c r="F949" s="8" t="str">
        <f t="shared" si="44"/>
        <v/>
      </c>
    </row>
    <row r="950" spans="1:6" x14ac:dyDescent="0.25">
      <c r="A950" s="13" t="str">
        <f>IF(AND($E950="",MAX($A$8:$A949)=0),"",IF(AND($E950&lt;&gt;"",MAX($A$8:$A949)=0),1,IF(AND($E950&lt;&gt;"",MAX($A$8:$A949)&gt;0),MAX($A$8:$A949)+1,"")))</f>
        <v/>
      </c>
      <c r="B950" s="11">
        <v>943</v>
      </c>
      <c r="C950" s="19" t="str">
        <f t="shared" si="42"/>
        <v>EMPTY</v>
      </c>
      <c r="D950" s="3" t="str">
        <f t="shared" si="43"/>
        <v/>
      </c>
      <c r="E950" s="7"/>
      <c r="F950" s="8" t="str">
        <f t="shared" si="44"/>
        <v/>
      </c>
    </row>
    <row r="951" spans="1:6" x14ac:dyDescent="0.25">
      <c r="A951" s="13" t="str">
        <f>IF(AND($E951="",MAX($A$8:$A950)=0),"",IF(AND($E951&lt;&gt;"",MAX($A$8:$A950)=0),1,IF(AND($E951&lt;&gt;"",MAX($A$8:$A950)&gt;0),MAX($A$8:$A950)+1,"")))</f>
        <v/>
      </c>
      <c r="B951" s="11">
        <v>944</v>
      </c>
      <c r="C951" s="19" t="str">
        <f t="shared" si="42"/>
        <v>EMPTY</v>
      </c>
      <c r="D951" s="3" t="str">
        <f t="shared" si="43"/>
        <v/>
      </c>
      <c r="E951" s="7"/>
      <c r="F951" s="8" t="str">
        <f t="shared" si="44"/>
        <v/>
      </c>
    </row>
    <row r="952" spans="1:6" x14ac:dyDescent="0.25">
      <c r="A952" s="13" t="str">
        <f>IF(AND($E952="",MAX($A$8:$A951)=0),"",IF(AND($E952&lt;&gt;"",MAX($A$8:$A951)=0),1,IF(AND($E952&lt;&gt;"",MAX($A$8:$A951)&gt;0),MAX($A$8:$A951)+1,"")))</f>
        <v/>
      </c>
      <c r="B952" s="11">
        <v>945</v>
      </c>
      <c r="C952" s="19" t="str">
        <f t="shared" si="42"/>
        <v>EMPTY</v>
      </c>
      <c r="D952" s="3" t="str">
        <f t="shared" si="43"/>
        <v/>
      </c>
      <c r="E952" s="7"/>
      <c r="F952" s="8" t="str">
        <f t="shared" si="44"/>
        <v/>
      </c>
    </row>
    <row r="953" spans="1:6" x14ac:dyDescent="0.25">
      <c r="A953" s="13" t="str">
        <f>IF(AND($E953="",MAX($A$8:$A952)=0),"",IF(AND($E953&lt;&gt;"",MAX($A$8:$A952)=0),1,IF(AND($E953&lt;&gt;"",MAX($A$8:$A952)&gt;0),MAX($A$8:$A952)+1,"")))</f>
        <v/>
      </c>
      <c r="B953" s="11">
        <v>946</v>
      </c>
      <c r="C953" s="19" t="str">
        <f t="shared" si="42"/>
        <v>EMPTY</v>
      </c>
      <c r="D953" s="3" t="str">
        <f t="shared" si="43"/>
        <v/>
      </c>
      <c r="E953" s="7"/>
      <c r="F953" s="8" t="str">
        <f t="shared" si="44"/>
        <v/>
      </c>
    </row>
    <row r="954" spans="1:6" x14ac:dyDescent="0.25">
      <c r="A954" s="13" t="str">
        <f>IF(AND($E954="",MAX($A$8:$A953)=0),"",IF(AND($E954&lt;&gt;"",MAX($A$8:$A953)=0),1,IF(AND($E954&lt;&gt;"",MAX($A$8:$A953)&gt;0),MAX($A$8:$A953)+1,"")))</f>
        <v/>
      </c>
      <c r="B954" s="11">
        <v>947</v>
      </c>
      <c r="C954" s="19" t="str">
        <f t="shared" si="42"/>
        <v>EMPTY</v>
      </c>
      <c r="D954" s="3" t="str">
        <f t="shared" si="43"/>
        <v/>
      </c>
      <c r="E954" s="7"/>
      <c r="F954" s="8" t="str">
        <f t="shared" si="44"/>
        <v/>
      </c>
    </row>
    <row r="955" spans="1:6" x14ac:dyDescent="0.25">
      <c r="A955" s="13" t="str">
        <f>IF(AND($E955="",MAX($A$8:$A954)=0),"",IF(AND($E955&lt;&gt;"",MAX($A$8:$A954)=0),1,IF(AND($E955&lt;&gt;"",MAX($A$8:$A954)&gt;0),MAX($A$8:$A954)+1,"")))</f>
        <v/>
      </c>
      <c r="B955" s="11">
        <v>948</v>
      </c>
      <c r="C955" s="19" t="str">
        <f t="shared" si="42"/>
        <v>EMPTY</v>
      </c>
      <c r="D955" s="3" t="str">
        <f t="shared" si="43"/>
        <v/>
      </c>
      <c r="E955" s="7"/>
      <c r="F955" s="8" t="str">
        <f t="shared" si="44"/>
        <v/>
      </c>
    </row>
    <row r="956" spans="1:6" x14ac:dyDescent="0.25">
      <c r="A956" s="13" t="str">
        <f>IF(AND($E956="",MAX($A$8:$A955)=0),"",IF(AND($E956&lt;&gt;"",MAX($A$8:$A955)=0),1,IF(AND($E956&lt;&gt;"",MAX($A$8:$A955)&gt;0),MAX($A$8:$A955)+1,"")))</f>
        <v/>
      </c>
      <c r="B956" s="11">
        <v>949</v>
      </c>
      <c r="C956" s="19" t="str">
        <f t="shared" si="42"/>
        <v>EMPTY</v>
      </c>
      <c r="D956" s="3" t="str">
        <f t="shared" si="43"/>
        <v/>
      </c>
      <c r="E956" s="7"/>
      <c r="F956" s="8" t="str">
        <f t="shared" si="44"/>
        <v/>
      </c>
    </row>
    <row r="957" spans="1:6" x14ac:dyDescent="0.25">
      <c r="A957" s="13" t="str">
        <f>IF(AND($E957="",MAX($A$8:$A956)=0),"",IF(AND($E957&lt;&gt;"",MAX($A$8:$A956)=0),1,IF(AND($E957&lt;&gt;"",MAX($A$8:$A956)&gt;0),MAX($A$8:$A956)+1,"")))</f>
        <v/>
      </c>
      <c r="B957" s="11">
        <v>950</v>
      </c>
      <c r="C957" s="19" t="str">
        <f t="shared" si="42"/>
        <v>EMPTY</v>
      </c>
      <c r="D957" s="3" t="str">
        <f t="shared" si="43"/>
        <v/>
      </c>
      <c r="E957" s="7"/>
      <c r="F957" s="8" t="str">
        <f t="shared" si="44"/>
        <v/>
      </c>
    </row>
    <row r="958" spans="1:6" x14ac:dyDescent="0.25">
      <c r="A958" s="13" t="str">
        <f>IF(AND($E958="",MAX($A$8:$A957)=0),"",IF(AND($E958&lt;&gt;"",MAX($A$8:$A957)=0),1,IF(AND($E958&lt;&gt;"",MAX($A$8:$A957)&gt;0),MAX($A$8:$A957)+1,"")))</f>
        <v/>
      </c>
      <c r="B958" s="11">
        <v>951</v>
      </c>
      <c r="C958" s="19" t="str">
        <f t="shared" si="42"/>
        <v>EMPTY</v>
      </c>
      <c r="D958" s="3" t="str">
        <f t="shared" si="43"/>
        <v/>
      </c>
      <c r="E958" s="7"/>
      <c r="F958" s="8" t="str">
        <f t="shared" si="44"/>
        <v/>
      </c>
    </row>
    <row r="959" spans="1:6" x14ac:dyDescent="0.25">
      <c r="A959" s="13" t="str">
        <f>IF(AND($E959="",MAX($A$8:$A958)=0),"",IF(AND($E959&lt;&gt;"",MAX($A$8:$A958)=0),1,IF(AND($E959&lt;&gt;"",MAX($A$8:$A958)&gt;0),MAX($A$8:$A958)+1,"")))</f>
        <v/>
      </c>
      <c r="B959" s="11">
        <v>952</v>
      </c>
      <c r="C959" s="19" t="str">
        <f t="shared" si="42"/>
        <v>EMPTY</v>
      </c>
      <c r="D959" s="3" t="str">
        <f t="shared" si="43"/>
        <v/>
      </c>
      <c r="E959" s="7"/>
      <c r="F959" s="8" t="str">
        <f t="shared" si="44"/>
        <v/>
      </c>
    </row>
    <row r="960" spans="1:6" x14ac:dyDescent="0.25">
      <c r="A960" s="13" t="str">
        <f>IF(AND($E960="",MAX($A$8:$A959)=0),"",IF(AND($E960&lt;&gt;"",MAX($A$8:$A959)=0),1,IF(AND($E960&lt;&gt;"",MAX($A$8:$A959)&gt;0),MAX($A$8:$A959)+1,"")))</f>
        <v/>
      </c>
      <c r="B960" s="11">
        <v>953</v>
      </c>
      <c r="C960" s="19" t="str">
        <f t="shared" si="42"/>
        <v>EMPTY</v>
      </c>
      <c r="D960" s="3" t="str">
        <f t="shared" si="43"/>
        <v/>
      </c>
      <c r="E960" s="7"/>
      <c r="F960" s="8" t="str">
        <f t="shared" si="44"/>
        <v/>
      </c>
    </row>
    <row r="961" spans="1:6" x14ac:dyDescent="0.25">
      <c r="A961" s="13" t="str">
        <f>IF(AND($E961="",MAX($A$8:$A960)=0),"",IF(AND($E961&lt;&gt;"",MAX($A$8:$A960)=0),1,IF(AND($E961&lt;&gt;"",MAX($A$8:$A960)&gt;0),MAX($A$8:$A960)+1,"")))</f>
        <v/>
      </c>
      <c r="B961" s="11">
        <v>954</v>
      </c>
      <c r="C961" s="19" t="str">
        <f t="shared" si="42"/>
        <v>EMPTY</v>
      </c>
      <c r="D961" s="3" t="str">
        <f t="shared" si="43"/>
        <v/>
      </c>
      <c r="E961" s="7"/>
      <c r="F961" s="8" t="str">
        <f t="shared" si="44"/>
        <v/>
      </c>
    </row>
    <row r="962" spans="1:6" x14ac:dyDescent="0.25">
      <c r="A962" s="13" t="str">
        <f>IF(AND($E962="",MAX($A$8:$A961)=0),"",IF(AND($E962&lt;&gt;"",MAX($A$8:$A961)=0),1,IF(AND($E962&lt;&gt;"",MAX($A$8:$A961)&gt;0),MAX($A$8:$A961)+1,"")))</f>
        <v/>
      </c>
      <c r="B962" s="11">
        <v>955</v>
      </c>
      <c r="C962" s="19" t="str">
        <f t="shared" si="42"/>
        <v>EMPTY</v>
      </c>
      <c r="D962" s="3" t="str">
        <f t="shared" si="43"/>
        <v/>
      </c>
      <c r="E962" s="7"/>
      <c r="F962" s="8" t="str">
        <f t="shared" si="44"/>
        <v/>
      </c>
    </row>
    <row r="963" spans="1:6" x14ac:dyDescent="0.25">
      <c r="A963" s="13" t="str">
        <f>IF(AND($E963="",MAX($A$8:$A962)=0),"",IF(AND($E963&lt;&gt;"",MAX($A$8:$A962)=0),1,IF(AND($E963&lt;&gt;"",MAX($A$8:$A962)&gt;0),MAX($A$8:$A962)+1,"")))</f>
        <v/>
      </c>
      <c r="B963" s="11">
        <v>956</v>
      </c>
      <c r="C963" s="19" t="str">
        <f t="shared" si="42"/>
        <v>EMPTY</v>
      </c>
      <c r="D963" s="3" t="str">
        <f t="shared" si="43"/>
        <v/>
      </c>
      <c r="E963" s="7"/>
      <c r="F963" s="8" t="str">
        <f t="shared" si="44"/>
        <v/>
      </c>
    </row>
    <row r="964" spans="1:6" x14ac:dyDescent="0.25">
      <c r="A964" s="13" t="str">
        <f>IF(AND($E964="",MAX($A$8:$A963)=0),"",IF(AND($E964&lt;&gt;"",MAX($A$8:$A963)=0),1,IF(AND($E964&lt;&gt;"",MAX($A$8:$A963)&gt;0),MAX($A$8:$A963)+1,"")))</f>
        <v/>
      </c>
      <c r="B964" s="11">
        <v>957</v>
      </c>
      <c r="C964" s="19" t="str">
        <f t="shared" si="42"/>
        <v>EMPTY</v>
      </c>
      <c r="D964" s="3" t="str">
        <f t="shared" si="43"/>
        <v/>
      </c>
      <c r="E964" s="7"/>
      <c r="F964" s="8" t="str">
        <f t="shared" si="44"/>
        <v/>
      </c>
    </row>
    <row r="965" spans="1:6" x14ac:dyDescent="0.25">
      <c r="A965" s="13" t="str">
        <f>IF(AND($E965="",MAX($A$8:$A964)=0),"",IF(AND($E965&lt;&gt;"",MAX($A$8:$A964)=0),1,IF(AND($E965&lt;&gt;"",MAX($A$8:$A964)&gt;0),MAX($A$8:$A964)+1,"")))</f>
        <v/>
      </c>
      <c r="B965" s="11">
        <v>958</v>
      </c>
      <c r="C965" s="19" t="str">
        <f t="shared" si="42"/>
        <v>EMPTY</v>
      </c>
      <c r="D965" s="3" t="str">
        <f t="shared" si="43"/>
        <v/>
      </c>
      <c r="E965" s="7"/>
      <c r="F965" s="8" t="str">
        <f t="shared" si="44"/>
        <v/>
      </c>
    </row>
    <row r="966" spans="1:6" x14ac:dyDescent="0.25">
      <c r="A966" s="13" t="str">
        <f>IF(AND($E966="",MAX($A$8:$A965)=0),"",IF(AND($E966&lt;&gt;"",MAX($A$8:$A965)=0),1,IF(AND($E966&lt;&gt;"",MAX($A$8:$A965)&gt;0),MAX($A$8:$A965)+1,"")))</f>
        <v/>
      </c>
      <c r="B966" s="11">
        <v>959</v>
      </c>
      <c r="C966" s="19" t="str">
        <f t="shared" si="42"/>
        <v>EMPTY</v>
      </c>
      <c r="D966" s="3" t="str">
        <f t="shared" si="43"/>
        <v/>
      </c>
      <c r="E966" s="7"/>
      <c r="F966" s="8" t="str">
        <f t="shared" si="44"/>
        <v/>
      </c>
    </row>
    <row r="967" spans="1:6" x14ac:dyDescent="0.25">
      <c r="A967" s="13" t="str">
        <f>IF(AND($E967="",MAX($A$8:$A966)=0),"",IF(AND($E967&lt;&gt;"",MAX($A$8:$A966)=0),1,IF(AND($E967&lt;&gt;"",MAX($A$8:$A966)&gt;0),MAX($A$8:$A966)+1,"")))</f>
        <v/>
      </c>
      <c r="B967" s="11">
        <v>960</v>
      </c>
      <c r="C967" s="19" t="str">
        <f t="shared" si="42"/>
        <v>EMPTY</v>
      </c>
      <c r="D967" s="3" t="str">
        <f t="shared" si="43"/>
        <v/>
      </c>
      <c r="E967" s="7"/>
      <c r="F967" s="8" t="str">
        <f t="shared" si="44"/>
        <v/>
      </c>
    </row>
    <row r="968" spans="1:6" x14ac:dyDescent="0.25">
      <c r="A968" s="13" t="str">
        <f>IF(AND($E968="",MAX($A$8:$A967)=0),"",IF(AND($E968&lt;&gt;"",MAX($A$8:$A967)=0),1,IF(AND($E968&lt;&gt;"",MAX($A$8:$A967)&gt;0),MAX($A$8:$A967)+1,"")))</f>
        <v/>
      </c>
      <c r="B968" s="11">
        <v>961</v>
      </c>
      <c r="C968" s="19" t="str">
        <f t="shared" si="42"/>
        <v>EMPTY</v>
      </c>
      <c r="D968" s="3" t="str">
        <f t="shared" si="43"/>
        <v/>
      </c>
      <c r="E968" s="7"/>
      <c r="F968" s="8" t="str">
        <f t="shared" si="44"/>
        <v/>
      </c>
    </row>
    <row r="969" spans="1:6" x14ac:dyDescent="0.25">
      <c r="A969" s="13" t="str">
        <f>IF(AND($E969="",MAX($A$8:$A968)=0),"",IF(AND($E969&lt;&gt;"",MAX($A$8:$A968)=0),1,IF(AND($E969&lt;&gt;"",MAX($A$8:$A968)&gt;0),MAX($A$8:$A968)+1,"")))</f>
        <v/>
      </c>
      <c r="B969" s="11">
        <v>962</v>
      </c>
      <c r="C969" s="19" t="str">
        <f t="shared" ref="C969:C1007" si="45">IF($E969="","EMPTY",IF(MID($E969,1,9)&lt;&gt;"Dialogue:","HIDE",IF(MID($E969,1,9)="Dialogue:","SHOW","")))</f>
        <v>EMPTY</v>
      </c>
      <c r="D969" s="3" t="str">
        <f t="shared" ref="D969:D1007" si="46">IF($C969="SHOW",CONCATENATE("[",MID($E969,FIND(",",$E969,1)+3,8),"]",MID($E969,FIND("0,,",$E969,1)+3,1000)),"")</f>
        <v/>
      </c>
      <c r="E969" s="7"/>
      <c r="F969" s="8" t="str">
        <f t="shared" ref="F969:F1007" si="47">$D969</f>
        <v/>
      </c>
    </row>
    <row r="970" spans="1:6" x14ac:dyDescent="0.25">
      <c r="A970" s="13" t="str">
        <f>IF(AND($E970="",MAX($A$8:$A969)=0),"",IF(AND($E970&lt;&gt;"",MAX($A$8:$A969)=0),1,IF(AND($E970&lt;&gt;"",MAX($A$8:$A969)&gt;0),MAX($A$8:$A969)+1,"")))</f>
        <v/>
      </c>
      <c r="B970" s="11">
        <v>963</v>
      </c>
      <c r="C970" s="19" t="str">
        <f t="shared" si="45"/>
        <v>EMPTY</v>
      </c>
      <c r="D970" s="3" t="str">
        <f t="shared" si="46"/>
        <v/>
      </c>
      <c r="E970" s="7"/>
      <c r="F970" s="8" t="str">
        <f t="shared" si="47"/>
        <v/>
      </c>
    </row>
    <row r="971" spans="1:6" x14ac:dyDescent="0.25">
      <c r="A971" s="13" t="str">
        <f>IF(AND($E971="",MAX($A$8:$A970)=0),"",IF(AND($E971&lt;&gt;"",MAX($A$8:$A970)=0),1,IF(AND($E971&lt;&gt;"",MAX($A$8:$A970)&gt;0),MAX($A$8:$A970)+1,"")))</f>
        <v/>
      </c>
      <c r="B971" s="11">
        <v>964</v>
      </c>
      <c r="C971" s="19" t="str">
        <f t="shared" si="45"/>
        <v>EMPTY</v>
      </c>
      <c r="D971" s="3" t="str">
        <f t="shared" si="46"/>
        <v/>
      </c>
      <c r="E971" s="7"/>
      <c r="F971" s="8" t="str">
        <f t="shared" si="47"/>
        <v/>
      </c>
    </row>
    <row r="972" spans="1:6" x14ac:dyDescent="0.25">
      <c r="A972" s="13" t="str">
        <f>IF(AND($E972="",MAX($A$8:$A971)=0),"",IF(AND($E972&lt;&gt;"",MAX($A$8:$A971)=0),1,IF(AND($E972&lt;&gt;"",MAX($A$8:$A971)&gt;0),MAX($A$8:$A971)+1,"")))</f>
        <v/>
      </c>
      <c r="B972" s="11">
        <v>965</v>
      </c>
      <c r="C972" s="19" t="str">
        <f t="shared" si="45"/>
        <v>EMPTY</v>
      </c>
      <c r="D972" s="3" t="str">
        <f t="shared" si="46"/>
        <v/>
      </c>
      <c r="E972" s="7"/>
      <c r="F972" s="8" t="str">
        <f t="shared" si="47"/>
        <v/>
      </c>
    </row>
    <row r="973" spans="1:6" x14ac:dyDescent="0.25">
      <c r="A973" s="13" t="str">
        <f>IF(AND($E973="",MAX($A$8:$A972)=0),"",IF(AND($E973&lt;&gt;"",MAX($A$8:$A972)=0),1,IF(AND($E973&lt;&gt;"",MAX($A$8:$A972)&gt;0),MAX($A$8:$A972)+1,"")))</f>
        <v/>
      </c>
      <c r="B973" s="11">
        <v>966</v>
      </c>
      <c r="C973" s="19" t="str">
        <f t="shared" si="45"/>
        <v>EMPTY</v>
      </c>
      <c r="D973" s="3" t="str">
        <f t="shared" si="46"/>
        <v/>
      </c>
      <c r="E973" s="7"/>
      <c r="F973" s="8" t="str">
        <f t="shared" si="47"/>
        <v/>
      </c>
    </row>
    <row r="974" spans="1:6" x14ac:dyDescent="0.25">
      <c r="A974" s="13" t="str">
        <f>IF(AND($E974="",MAX($A$8:$A973)=0),"",IF(AND($E974&lt;&gt;"",MAX($A$8:$A973)=0),1,IF(AND($E974&lt;&gt;"",MAX($A$8:$A973)&gt;0),MAX($A$8:$A973)+1,"")))</f>
        <v/>
      </c>
      <c r="B974" s="11">
        <v>967</v>
      </c>
      <c r="C974" s="19" t="str">
        <f t="shared" si="45"/>
        <v>EMPTY</v>
      </c>
      <c r="D974" s="3" t="str">
        <f t="shared" si="46"/>
        <v/>
      </c>
      <c r="E974" s="7"/>
      <c r="F974" s="8" t="str">
        <f t="shared" si="47"/>
        <v/>
      </c>
    </row>
    <row r="975" spans="1:6" x14ac:dyDescent="0.25">
      <c r="A975" s="13" t="str">
        <f>IF(AND($E975="",MAX($A$8:$A974)=0),"",IF(AND($E975&lt;&gt;"",MAX($A$8:$A974)=0),1,IF(AND($E975&lt;&gt;"",MAX($A$8:$A974)&gt;0),MAX($A$8:$A974)+1,"")))</f>
        <v/>
      </c>
      <c r="B975" s="11">
        <v>968</v>
      </c>
      <c r="C975" s="19" t="str">
        <f t="shared" si="45"/>
        <v>EMPTY</v>
      </c>
      <c r="D975" s="3" t="str">
        <f t="shared" si="46"/>
        <v/>
      </c>
      <c r="E975" s="7"/>
      <c r="F975" s="8" t="str">
        <f t="shared" si="47"/>
        <v/>
      </c>
    </row>
    <row r="976" spans="1:6" x14ac:dyDescent="0.25">
      <c r="A976" s="13" t="str">
        <f>IF(AND($E976="",MAX($A$8:$A975)=0),"",IF(AND($E976&lt;&gt;"",MAX($A$8:$A975)=0),1,IF(AND($E976&lt;&gt;"",MAX($A$8:$A975)&gt;0),MAX($A$8:$A975)+1,"")))</f>
        <v/>
      </c>
      <c r="B976" s="11">
        <v>969</v>
      </c>
      <c r="C976" s="19" t="str">
        <f t="shared" si="45"/>
        <v>EMPTY</v>
      </c>
      <c r="D976" s="3" t="str">
        <f t="shared" si="46"/>
        <v/>
      </c>
      <c r="E976" s="7"/>
      <c r="F976" s="8" t="str">
        <f t="shared" si="47"/>
        <v/>
      </c>
    </row>
    <row r="977" spans="1:6" x14ac:dyDescent="0.25">
      <c r="A977" s="13" t="str">
        <f>IF(AND($E977="",MAX($A$8:$A976)=0),"",IF(AND($E977&lt;&gt;"",MAX($A$8:$A976)=0),1,IF(AND($E977&lt;&gt;"",MAX($A$8:$A976)&gt;0),MAX($A$8:$A976)+1,"")))</f>
        <v/>
      </c>
      <c r="B977" s="11">
        <v>970</v>
      </c>
      <c r="C977" s="19" t="str">
        <f t="shared" si="45"/>
        <v>EMPTY</v>
      </c>
      <c r="D977" s="3" t="str">
        <f t="shared" si="46"/>
        <v/>
      </c>
      <c r="E977" s="7"/>
      <c r="F977" s="8" t="str">
        <f t="shared" si="47"/>
        <v/>
      </c>
    </row>
    <row r="978" spans="1:6" x14ac:dyDescent="0.25">
      <c r="A978" s="13" t="str">
        <f>IF(AND($E978="",MAX($A$8:$A977)=0),"",IF(AND($E978&lt;&gt;"",MAX($A$8:$A977)=0),1,IF(AND($E978&lt;&gt;"",MAX($A$8:$A977)&gt;0),MAX($A$8:$A977)+1,"")))</f>
        <v/>
      </c>
      <c r="B978" s="11">
        <v>971</v>
      </c>
      <c r="C978" s="19" t="str">
        <f t="shared" si="45"/>
        <v>EMPTY</v>
      </c>
      <c r="D978" s="3" t="str">
        <f t="shared" si="46"/>
        <v/>
      </c>
      <c r="E978" s="7"/>
      <c r="F978" s="8" t="str">
        <f t="shared" si="47"/>
        <v/>
      </c>
    </row>
    <row r="979" spans="1:6" x14ac:dyDescent="0.25">
      <c r="A979" s="13" t="str">
        <f>IF(AND($E979="",MAX($A$8:$A978)=0),"",IF(AND($E979&lt;&gt;"",MAX($A$8:$A978)=0),1,IF(AND($E979&lt;&gt;"",MAX($A$8:$A978)&gt;0),MAX($A$8:$A978)+1,"")))</f>
        <v/>
      </c>
      <c r="B979" s="11">
        <v>972</v>
      </c>
      <c r="C979" s="19" t="str">
        <f t="shared" si="45"/>
        <v>EMPTY</v>
      </c>
      <c r="D979" s="3" t="str">
        <f t="shared" si="46"/>
        <v/>
      </c>
      <c r="E979" s="7"/>
      <c r="F979" s="8" t="str">
        <f t="shared" si="47"/>
        <v/>
      </c>
    </row>
    <row r="980" spans="1:6" x14ac:dyDescent="0.25">
      <c r="A980" s="13" t="str">
        <f>IF(AND($E980="",MAX($A$8:$A979)=0),"",IF(AND($E980&lt;&gt;"",MAX($A$8:$A979)=0),1,IF(AND($E980&lt;&gt;"",MAX($A$8:$A979)&gt;0),MAX($A$8:$A979)+1,"")))</f>
        <v/>
      </c>
      <c r="B980" s="11">
        <v>973</v>
      </c>
      <c r="C980" s="19" t="str">
        <f t="shared" si="45"/>
        <v>EMPTY</v>
      </c>
      <c r="D980" s="3" t="str">
        <f t="shared" si="46"/>
        <v/>
      </c>
      <c r="E980" s="7"/>
      <c r="F980" s="8" t="str">
        <f t="shared" si="47"/>
        <v/>
      </c>
    </row>
    <row r="981" spans="1:6" x14ac:dyDescent="0.25">
      <c r="A981" s="13" t="str">
        <f>IF(AND($E981="",MAX($A$8:$A980)=0),"",IF(AND($E981&lt;&gt;"",MAX($A$8:$A980)=0),1,IF(AND($E981&lt;&gt;"",MAX($A$8:$A980)&gt;0),MAX($A$8:$A980)+1,"")))</f>
        <v/>
      </c>
      <c r="B981" s="11">
        <v>974</v>
      </c>
      <c r="C981" s="19" t="str">
        <f t="shared" si="45"/>
        <v>EMPTY</v>
      </c>
      <c r="D981" s="3" t="str">
        <f t="shared" si="46"/>
        <v/>
      </c>
      <c r="E981" s="7"/>
      <c r="F981" s="8" t="str">
        <f t="shared" si="47"/>
        <v/>
      </c>
    </row>
    <row r="982" spans="1:6" x14ac:dyDescent="0.25">
      <c r="A982" s="13" t="str">
        <f>IF(AND($E982="",MAX($A$8:$A981)=0),"",IF(AND($E982&lt;&gt;"",MAX($A$8:$A981)=0),1,IF(AND($E982&lt;&gt;"",MAX($A$8:$A981)&gt;0),MAX($A$8:$A981)+1,"")))</f>
        <v/>
      </c>
      <c r="B982" s="11">
        <v>975</v>
      </c>
      <c r="C982" s="19" t="str">
        <f t="shared" si="45"/>
        <v>EMPTY</v>
      </c>
      <c r="D982" s="3" t="str">
        <f t="shared" si="46"/>
        <v/>
      </c>
      <c r="E982" s="7"/>
      <c r="F982" s="8" t="str">
        <f t="shared" si="47"/>
        <v/>
      </c>
    </row>
    <row r="983" spans="1:6" x14ac:dyDescent="0.25">
      <c r="A983" s="13" t="str">
        <f>IF(AND($E983="",MAX($A$8:$A982)=0),"",IF(AND($E983&lt;&gt;"",MAX($A$8:$A982)=0),1,IF(AND($E983&lt;&gt;"",MAX($A$8:$A982)&gt;0),MAX($A$8:$A982)+1,"")))</f>
        <v/>
      </c>
      <c r="B983" s="11">
        <v>976</v>
      </c>
      <c r="C983" s="19" t="str">
        <f t="shared" si="45"/>
        <v>EMPTY</v>
      </c>
      <c r="D983" s="3" t="str">
        <f t="shared" si="46"/>
        <v/>
      </c>
      <c r="E983" s="7"/>
      <c r="F983" s="8" t="str">
        <f t="shared" si="47"/>
        <v/>
      </c>
    </row>
    <row r="984" spans="1:6" x14ac:dyDescent="0.25">
      <c r="A984" s="13" t="str">
        <f>IF(AND($E984="",MAX($A$8:$A983)=0),"",IF(AND($E984&lt;&gt;"",MAX($A$8:$A983)=0),1,IF(AND($E984&lt;&gt;"",MAX($A$8:$A983)&gt;0),MAX($A$8:$A983)+1,"")))</f>
        <v/>
      </c>
      <c r="B984" s="11">
        <v>977</v>
      </c>
      <c r="C984" s="19" t="str">
        <f t="shared" si="45"/>
        <v>EMPTY</v>
      </c>
      <c r="D984" s="3" t="str">
        <f t="shared" si="46"/>
        <v/>
      </c>
      <c r="E984" s="7"/>
      <c r="F984" s="8" t="str">
        <f t="shared" si="47"/>
        <v/>
      </c>
    </row>
    <row r="985" spans="1:6" x14ac:dyDescent="0.25">
      <c r="A985" s="13" t="str">
        <f>IF(AND($E985="",MAX($A$8:$A984)=0),"",IF(AND($E985&lt;&gt;"",MAX($A$8:$A984)=0),1,IF(AND($E985&lt;&gt;"",MAX($A$8:$A984)&gt;0),MAX($A$8:$A984)+1,"")))</f>
        <v/>
      </c>
      <c r="B985" s="11">
        <v>978</v>
      </c>
      <c r="C985" s="19" t="str">
        <f t="shared" si="45"/>
        <v>EMPTY</v>
      </c>
      <c r="D985" s="3" t="str">
        <f t="shared" si="46"/>
        <v/>
      </c>
      <c r="E985" s="7"/>
      <c r="F985" s="8" t="str">
        <f t="shared" si="47"/>
        <v/>
      </c>
    </row>
    <row r="986" spans="1:6" x14ac:dyDescent="0.25">
      <c r="A986" s="13" t="str">
        <f>IF(AND($E986="",MAX($A$8:$A985)=0),"",IF(AND($E986&lt;&gt;"",MAX($A$8:$A985)=0),1,IF(AND($E986&lt;&gt;"",MAX($A$8:$A985)&gt;0),MAX($A$8:$A985)+1,"")))</f>
        <v/>
      </c>
      <c r="B986" s="11">
        <v>979</v>
      </c>
      <c r="C986" s="19" t="str">
        <f t="shared" si="45"/>
        <v>EMPTY</v>
      </c>
      <c r="D986" s="3" t="str">
        <f t="shared" si="46"/>
        <v/>
      </c>
      <c r="E986" s="7"/>
      <c r="F986" s="8" t="str">
        <f t="shared" si="47"/>
        <v/>
      </c>
    </row>
    <row r="987" spans="1:6" x14ac:dyDescent="0.25">
      <c r="A987" s="13" t="str">
        <f>IF(AND($E987="",MAX($A$8:$A986)=0),"",IF(AND($E987&lt;&gt;"",MAX($A$8:$A986)=0),1,IF(AND($E987&lt;&gt;"",MAX($A$8:$A986)&gt;0),MAX($A$8:$A986)+1,"")))</f>
        <v/>
      </c>
      <c r="B987" s="11">
        <v>980</v>
      </c>
      <c r="C987" s="19" t="str">
        <f t="shared" si="45"/>
        <v>EMPTY</v>
      </c>
      <c r="D987" s="3" t="str">
        <f t="shared" si="46"/>
        <v/>
      </c>
      <c r="E987" s="7"/>
      <c r="F987" s="8" t="str">
        <f t="shared" si="47"/>
        <v/>
      </c>
    </row>
    <row r="988" spans="1:6" x14ac:dyDescent="0.25">
      <c r="A988" s="13" t="str">
        <f>IF(AND($E988="",MAX($A$8:$A987)=0),"",IF(AND($E988&lt;&gt;"",MAX($A$8:$A987)=0),1,IF(AND($E988&lt;&gt;"",MAX($A$8:$A987)&gt;0),MAX($A$8:$A987)+1,"")))</f>
        <v/>
      </c>
      <c r="B988" s="11">
        <v>981</v>
      </c>
      <c r="C988" s="19" t="str">
        <f t="shared" si="45"/>
        <v>EMPTY</v>
      </c>
      <c r="D988" s="3" t="str">
        <f t="shared" si="46"/>
        <v/>
      </c>
      <c r="E988" s="7"/>
      <c r="F988" s="8" t="str">
        <f t="shared" si="47"/>
        <v/>
      </c>
    </row>
    <row r="989" spans="1:6" x14ac:dyDescent="0.25">
      <c r="A989" s="13" t="str">
        <f>IF(AND($E989="",MAX($A$8:$A988)=0),"",IF(AND($E989&lt;&gt;"",MAX($A$8:$A988)=0),1,IF(AND($E989&lt;&gt;"",MAX($A$8:$A988)&gt;0),MAX($A$8:$A988)+1,"")))</f>
        <v/>
      </c>
      <c r="B989" s="11">
        <v>982</v>
      </c>
      <c r="C989" s="19" t="str">
        <f t="shared" si="45"/>
        <v>EMPTY</v>
      </c>
      <c r="D989" s="3" t="str">
        <f t="shared" si="46"/>
        <v/>
      </c>
      <c r="E989" s="7"/>
      <c r="F989" s="8" t="str">
        <f t="shared" si="47"/>
        <v/>
      </c>
    </row>
    <row r="990" spans="1:6" x14ac:dyDescent="0.25">
      <c r="A990" s="13" t="str">
        <f>IF(AND($E990="",MAX($A$8:$A989)=0),"",IF(AND($E990&lt;&gt;"",MAX($A$8:$A989)=0),1,IF(AND($E990&lt;&gt;"",MAX($A$8:$A989)&gt;0),MAX($A$8:$A989)+1,"")))</f>
        <v/>
      </c>
      <c r="B990" s="11">
        <v>983</v>
      </c>
      <c r="C990" s="19" t="str">
        <f t="shared" si="45"/>
        <v>EMPTY</v>
      </c>
      <c r="D990" s="3" t="str">
        <f t="shared" si="46"/>
        <v/>
      </c>
      <c r="E990" s="7"/>
      <c r="F990" s="8" t="str">
        <f t="shared" si="47"/>
        <v/>
      </c>
    </row>
    <row r="991" spans="1:6" x14ac:dyDescent="0.25">
      <c r="A991" s="13" t="str">
        <f>IF(AND($E991="",MAX($A$8:$A990)=0),"",IF(AND($E991&lt;&gt;"",MAX($A$8:$A990)=0),1,IF(AND($E991&lt;&gt;"",MAX($A$8:$A990)&gt;0),MAX($A$8:$A990)+1,"")))</f>
        <v/>
      </c>
      <c r="B991" s="11">
        <v>984</v>
      </c>
      <c r="C991" s="19" t="str">
        <f t="shared" si="45"/>
        <v>EMPTY</v>
      </c>
      <c r="D991" s="3" t="str">
        <f t="shared" si="46"/>
        <v/>
      </c>
      <c r="E991" s="7"/>
      <c r="F991" s="8" t="str">
        <f t="shared" si="47"/>
        <v/>
      </c>
    </row>
    <row r="992" spans="1:6" x14ac:dyDescent="0.25">
      <c r="A992" s="13" t="str">
        <f>IF(AND($E992="",MAX($A$8:$A991)=0),"",IF(AND($E992&lt;&gt;"",MAX($A$8:$A991)=0),1,IF(AND($E992&lt;&gt;"",MAX($A$8:$A991)&gt;0),MAX($A$8:$A991)+1,"")))</f>
        <v/>
      </c>
      <c r="B992" s="11">
        <v>985</v>
      </c>
      <c r="C992" s="19" t="str">
        <f t="shared" si="45"/>
        <v>EMPTY</v>
      </c>
      <c r="D992" s="3" t="str">
        <f t="shared" si="46"/>
        <v/>
      </c>
      <c r="E992" s="7"/>
      <c r="F992" s="8" t="str">
        <f t="shared" si="47"/>
        <v/>
      </c>
    </row>
    <row r="993" spans="1:6" x14ac:dyDescent="0.25">
      <c r="A993" s="13" t="str">
        <f>IF(AND($E993="",MAX($A$8:$A992)=0),"",IF(AND($E993&lt;&gt;"",MAX($A$8:$A992)=0),1,IF(AND($E993&lt;&gt;"",MAX($A$8:$A992)&gt;0),MAX($A$8:$A992)+1,"")))</f>
        <v/>
      </c>
      <c r="B993" s="11">
        <v>986</v>
      </c>
      <c r="C993" s="19" t="str">
        <f t="shared" si="45"/>
        <v>EMPTY</v>
      </c>
      <c r="D993" s="3" t="str">
        <f t="shared" si="46"/>
        <v/>
      </c>
      <c r="E993" s="7"/>
      <c r="F993" s="8" t="str">
        <f t="shared" si="47"/>
        <v/>
      </c>
    </row>
    <row r="994" spans="1:6" x14ac:dyDescent="0.25">
      <c r="A994" s="13" t="str">
        <f>IF(AND($E994="",MAX($A$8:$A993)=0),"",IF(AND($E994&lt;&gt;"",MAX($A$8:$A993)=0),1,IF(AND($E994&lt;&gt;"",MAX($A$8:$A993)&gt;0),MAX($A$8:$A993)+1,"")))</f>
        <v/>
      </c>
      <c r="B994" s="11">
        <v>987</v>
      </c>
      <c r="C994" s="19" t="str">
        <f t="shared" si="45"/>
        <v>EMPTY</v>
      </c>
      <c r="D994" s="3" t="str">
        <f t="shared" si="46"/>
        <v/>
      </c>
      <c r="E994" s="7"/>
      <c r="F994" s="8" t="str">
        <f t="shared" si="47"/>
        <v/>
      </c>
    </row>
    <row r="995" spans="1:6" x14ac:dyDescent="0.25">
      <c r="A995" s="13" t="str">
        <f>IF(AND($E995="",MAX($A$8:$A994)=0),"",IF(AND($E995&lt;&gt;"",MAX($A$8:$A994)=0),1,IF(AND($E995&lt;&gt;"",MAX($A$8:$A994)&gt;0),MAX($A$8:$A994)+1,"")))</f>
        <v/>
      </c>
      <c r="B995" s="11">
        <v>988</v>
      </c>
      <c r="C995" s="19" t="str">
        <f t="shared" si="45"/>
        <v>EMPTY</v>
      </c>
      <c r="D995" s="3" t="str">
        <f t="shared" si="46"/>
        <v/>
      </c>
      <c r="E995" s="7"/>
      <c r="F995" s="8" t="str">
        <f t="shared" si="47"/>
        <v/>
      </c>
    </row>
    <row r="996" spans="1:6" x14ac:dyDescent="0.25">
      <c r="A996" s="13" t="str">
        <f>IF(AND($E996="",MAX($A$8:$A995)=0),"",IF(AND($E996&lt;&gt;"",MAX($A$8:$A995)=0),1,IF(AND($E996&lt;&gt;"",MAX($A$8:$A995)&gt;0),MAX($A$8:$A995)+1,"")))</f>
        <v/>
      </c>
      <c r="B996" s="11">
        <v>989</v>
      </c>
      <c r="C996" s="19" t="str">
        <f t="shared" si="45"/>
        <v>EMPTY</v>
      </c>
      <c r="D996" s="3" t="str">
        <f t="shared" si="46"/>
        <v/>
      </c>
      <c r="E996" s="7"/>
      <c r="F996" s="8" t="str">
        <f t="shared" si="47"/>
        <v/>
      </c>
    </row>
    <row r="997" spans="1:6" x14ac:dyDescent="0.25">
      <c r="A997" s="13" t="str">
        <f>IF(AND($E997="",MAX($A$8:$A996)=0),"",IF(AND($E997&lt;&gt;"",MAX($A$8:$A996)=0),1,IF(AND($E997&lt;&gt;"",MAX($A$8:$A996)&gt;0),MAX($A$8:$A996)+1,"")))</f>
        <v/>
      </c>
      <c r="B997" s="11">
        <v>990</v>
      </c>
      <c r="C997" s="19" t="str">
        <f t="shared" si="45"/>
        <v>EMPTY</v>
      </c>
      <c r="D997" s="3" t="str">
        <f t="shared" si="46"/>
        <v/>
      </c>
      <c r="E997" s="7"/>
      <c r="F997" s="8" t="str">
        <f t="shared" si="47"/>
        <v/>
      </c>
    </row>
    <row r="998" spans="1:6" x14ac:dyDescent="0.25">
      <c r="A998" s="13" t="str">
        <f>IF(AND($E998="",MAX($A$8:$A997)=0),"",IF(AND($E998&lt;&gt;"",MAX($A$8:$A997)=0),1,IF(AND($E998&lt;&gt;"",MAX($A$8:$A997)&gt;0),MAX($A$8:$A997)+1,"")))</f>
        <v/>
      </c>
      <c r="B998" s="11">
        <v>991</v>
      </c>
      <c r="C998" s="19" t="str">
        <f t="shared" si="45"/>
        <v>EMPTY</v>
      </c>
      <c r="D998" s="3" t="str">
        <f t="shared" si="46"/>
        <v/>
      </c>
      <c r="E998" s="7"/>
      <c r="F998" s="8" t="str">
        <f t="shared" si="47"/>
        <v/>
      </c>
    </row>
    <row r="999" spans="1:6" x14ac:dyDescent="0.25">
      <c r="A999" s="13" t="str">
        <f>IF(AND($E999="",MAX($A$8:$A998)=0),"",IF(AND($E999&lt;&gt;"",MAX($A$8:$A998)=0),1,IF(AND($E999&lt;&gt;"",MAX($A$8:$A998)&gt;0),MAX($A$8:$A998)+1,"")))</f>
        <v/>
      </c>
      <c r="B999" s="11">
        <v>992</v>
      </c>
      <c r="C999" s="19" t="str">
        <f t="shared" si="45"/>
        <v>EMPTY</v>
      </c>
      <c r="D999" s="3" t="str">
        <f t="shared" si="46"/>
        <v/>
      </c>
      <c r="E999" s="7"/>
      <c r="F999" s="8" t="str">
        <f t="shared" si="47"/>
        <v/>
      </c>
    </row>
    <row r="1000" spans="1:6" x14ac:dyDescent="0.25">
      <c r="A1000" s="13" t="str">
        <f>IF(AND($E1000="",MAX($A$8:$A999)=0),"",IF(AND($E1000&lt;&gt;"",MAX($A$8:$A999)=0),1,IF(AND($E1000&lt;&gt;"",MAX($A$8:$A999)&gt;0),MAX($A$8:$A999)+1,"")))</f>
        <v/>
      </c>
      <c r="B1000" s="11">
        <v>993</v>
      </c>
      <c r="C1000" s="19" t="str">
        <f t="shared" si="45"/>
        <v>EMPTY</v>
      </c>
      <c r="D1000" s="3" t="str">
        <f t="shared" si="46"/>
        <v/>
      </c>
      <c r="E1000" s="7"/>
      <c r="F1000" s="8" t="str">
        <f t="shared" si="47"/>
        <v/>
      </c>
    </row>
    <row r="1001" spans="1:6" x14ac:dyDescent="0.25">
      <c r="A1001" s="13" t="str">
        <f>IF(AND($E1001="",MAX($A$8:$A1000)=0),"",IF(AND($E1001&lt;&gt;"",MAX($A$8:$A1000)=0),1,IF(AND($E1001&lt;&gt;"",MAX($A$8:$A1000)&gt;0),MAX($A$8:$A1000)+1,"")))</f>
        <v/>
      </c>
      <c r="B1001" s="11">
        <v>994</v>
      </c>
      <c r="C1001" s="19" t="str">
        <f t="shared" si="45"/>
        <v>EMPTY</v>
      </c>
      <c r="D1001" s="3" t="str">
        <f t="shared" si="46"/>
        <v/>
      </c>
      <c r="E1001" s="7"/>
      <c r="F1001" s="8" t="str">
        <f t="shared" si="47"/>
        <v/>
      </c>
    </row>
    <row r="1002" spans="1:6" x14ac:dyDescent="0.25">
      <c r="A1002" s="13" t="str">
        <f>IF(AND($E1002="",MAX($A$8:$A1001)=0),"",IF(AND($E1002&lt;&gt;"",MAX($A$8:$A1001)=0),1,IF(AND($E1002&lt;&gt;"",MAX($A$8:$A1001)&gt;0),MAX($A$8:$A1001)+1,"")))</f>
        <v/>
      </c>
      <c r="B1002" s="11">
        <v>995</v>
      </c>
      <c r="C1002" s="19" t="str">
        <f t="shared" si="45"/>
        <v>EMPTY</v>
      </c>
      <c r="D1002" s="3" t="str">
        <f t="shared" si="46"/>
        <v/>
      </c>
      <c r="E1002" s="7"/>
      <c r="F1002" s="8" t="str">
        <f t="shared" si="47"/>
        <v/>
      </c>
    </row>
    <row r="1003" spans="1:6" x14ac:dyDescent="0.25">
      <c r="A1003" s="13" t="str">
        <f>IF(AND($E1003="",MAX($A$8:$A1002)=0),"",IF(AND($E1003&lt;&gt;"",MAX($A$8:$A1002)=0),1,IF(AND($E1003&lt;&gt;"",MAX($A$8:$A1002)&gt;0),MAX($A$8:$A1002)+1,"")))</f>
        <v/>
      </c>
      <c r="B1003" s="11">
        <v>996</v>
      </c>
      <c r="C1003" s="19" t="str">
        <f t="shared" si="45"/>
        <v>EMPTY</v>
      </c>
      <c r="D1003" s="3" t="str">
        <f t="shared" si="46"/>
        <v/>
      </c>
      <c r="E1003" s="7"/>
      <c r="F1003" s="8" t="str">
        <f t="shared" si="47"/>
        <v/>
      </c>
    </row>
    <row r="1004" spans="1:6" x14ac:dyDescent="0.25">
      <c r="A1004" s="13" t="str">
        <f>IF(AND($E1004="",MAX($A$8:$A1003)=0),"",IF(AND($E1004&lt;&gt;"",MAX($A$8:$A1003)=0),1,IF(AND($E1004&lt;&gt;"",MAX($A$8:$A1003)&gt;0),MAX($A$8:$A1003)+1,"")))</f>
        <v/>
      </c>
      <c r="B1004" s="11">
        <v>997</v>
      </c>
      <c r="C1004" s="19" t="str">
        <f t="shared" si="45"/>
        <v>EMPTY</v>
      </c>
      <c r="D1004" s="3" t="str">
        <f t="shared" si="46"/>
        <v/>
      </c>
      <c r="E1004" s="7"/>
      <c r="F1004" s="8" t="str">
        <f t="shared" si="47"/>
        <v/>
      </c>
    </row>
    <row r="1005" spans="1:6" x14ac:dyDescent="0.25">
      <c r="A1005" s="13" t="str">
        <f>IF(AND($E1005="",MAX($A$8:$A1004)=0),"",IF(AND($E1005&lt;&gt;"",MAX($A$8:$A1004)=0),1,IF(AND($E1005&lt;&gt;"",MAX($A$8:$A1004)&gt;0),MAX($A$8:$A1004)+1,"")))</f>
        <v/>
      </c>
      <c r="B1005" s="11">
        <v>998</v>
      </c>
      <c r="C1005" s="19" t="str">
        <f t="shared" si="45"/>
        <v>EMPTY</v>
      </c>
      <c r="D1005" s="3" t="str">
        <f t="shared" si="46"/>
        <v/>
      </c>
      <c r="E1005" s="7"/>
      <c r="F1005" s="8" t="str">
        <f t="shared" si="47"/>
        <v/>
      </c>
    </row>
    <row r="1006" spans="1:6" x14ac:dyDescent="0.25">
      <c r="A1006" s="13" t="str">
        <f>IF(AND($E1006="",MAX($A$8:$A1005)=0),"",IF(AND($E1006&lt;&gt;"",MAX($A$8:$A1005)=0),1,IF(AND($E1006&lt;&gt;"",MAX($A$8:$A1005)&gt;0),MAX($A$8:$A1005)+1,"")))</f>
        <v/>
      </c>
      <c r="B1006" s="11">
        <v>999</v>
      </c>
      <c r="C1006" s="19" t="str">
        <f t="shared" si="45"/>
        <v>EMPTY</v>
      </c>
      <c r="D1006" s="3" t="str">
        <f t="shared" si="46"/>
        <v/>
      </c>
      <c r="E1006" s="7"/>
      <c r="F1006" s="8" t="str">
        <f t="shared" si="47"/>
        <v/>
      </c>
    </row>
    <row r="1007" spans="1:6" x14ac:dyDescent="0.25">
      <c r="A1007" s="13" t="str">
        <f>IF(AND($E1007="",MAX($A$8:$A1006)=0),"",IF(AND($E1007&lt;&gt;"",MAX($A$8:$A1006)=0),1,IF(AND($E1007&lt;&gt;"",MAX($A$8:$A1006)&gt;0),MAX($A$8:$A1006)+1,"")))</f>
        <v/>
      </c>
      <c r="B1007" s="11">
        <v>1000</v>
      </c>
      <c r="C1007" s="19" t="str">
        <f t="shared" si="45"/>
        <v>EMPTY</v>
      </c>
      <c r="D1007" s="3" t="str">
        <f t="shared" si="46"/>
        <v/>
      </c>
      <c r="E1007" s="7"/>
      <c r="F1007" s="8" t="str">
        <f t="shared" si="47"/>
        <v/>
      </c>
    </row>
    <row r="1008" spans="1:6" x14ac:dyDescent="0.25">
      <c r="A1008" s="52" t="s">
        <v>18</v>
      </c>
      <c r="B1008" s="52"/>
      <c r="C1008" s="52"/>
      <c r="D1008" s="52"/>
      <c r="E1008" s="52"/>
      <c r="F1008" s="52"/>
    </row>
    <row r="1009" spans="1:6" x14ac:dyDescent="0.25">
      <c r="A1009" s="52"/>
      <c r="B1009" s="52"/>
      <c r="C1009" s="52"/>
      <c r="D1009" s="52"/>
      <c r="E1009" s="52"/>
      <c r="F1009" s="52"/>
    </row>
    <row r="1010" spans="1:6" hidden="1" x14ac:dyDescent="0.25">
      <c r="A1010" s="10"/>
      <c r="B1010" s="10"/>
      <c r="C1010" s="21"/>
      <c r="D1010" s="6"/>
      <c r="E1010" s="6"/>
    </row>
    <row r="1011" spans="1:6" hidden="1" x14ac:dyDescent="0.25">
      <c r="A1011" s="10"/>
      <c r="B1011" s="10"/>
      <c r="C1011" s="21"/>
      <c r="D1011" s="6"/>
      <c r="E1011" s="6"/>
    </row>
    <row r="1012" spans="1:6" hidden="1" x14ac:dyDescent="0.25">
      <c r="A1012" s="10"/>
      <c r="B1012" s="10"/>
      <c r="C1012" s="21"/>
      <c r="D1012" s="6"/>
      <c r="E1012" s="6"/>
    </row>
    <row r="1013" spans="1:6" hidden="1" x14ac:dyDescent="0.25">
      <c r="A1013" s="10"/>
      <c r="B1013" s="10"/>
      <c r="C1013" s="21"/>
      <c r="D1013" s="6"/>
      <c r="E1013" s="6"/>
    </row>
    <row r="1014" spans="1:6" hidden="1" x14ac:dyDescent="0.25">
      <c r="A1014" s="10"/>
      <c r="B1014" s="10"/>
      <c r="C1014" s="21"/>
      <c r="D1014" s="6"/>
      <c r="E1014" s="6"/>
    </row>
    <row r="1015" spans="1:6" hidden="1" x14ac:dyDescent="0.25">
      <c r="A1015" s="10"/>
      <c r="B1015" s="10"/>
      <c r="C1015" s="21"/>
      <c r="D1015" s="6"/>
      <c r="E1015" s="6"/>
    </row>
  </sheetData>
  <mergeCells count="2">
    <mergeCell ref="A6:F6"/>
    <mergeCell ref="A1008:F100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1015"/>
  <sheetViews>
    <sheetView showGridLines="0" showRowColHeaders="0" workbookViewId="0">
      <pane ySplit="7" topLeftCell="A8" activePane="bottomLeft" state="frozen"/>
      <selection pane="bottomLeft" activeCell="E8" sqref="E8"/>
    </sheetView>
  </sheetViews>
  <sheetFormatPr defaultColWidth="0" defaultRowHeight="15.75" customHeight="1" zeroHeight="1" x14ac:dyDescent="0.25"/>
  <cols>
    <col min="1" max="1" width="5.7109375" style="5" customWidth="1"/>
    <col min="2" max="2" width="12.5703125" style="5" hidden="1" customWidth="1"/>
    <col min="3" max="3" width="20.140625" style="20" hidden="1" customWidth="1"/>
    <col min="4" max="4" width="29.5703125" style="3" hidden="1" customWidth="1"/>
    <col min="5" max="5" width="92.7109375" style="3" customWidth="1"/>
    <col min="6" max="6" width="92.7109375" style="6" customWidth="1"/>
    <col min="7" max="7" width="9.140625" hidden="1" customWidth="1"/>
    <col min="8" max="16384" width="9.140625" style="4" hidden="1"/>
  </cols>
  <sheetData>
    <row r="1" spans="1:13" x14ac:dyDescent="0.25">
      <c r="A1" s="17"/>
      <c r="B1" s="17"/>
      <c r="C1" s="19"/>
      <c r="D1" s="17"/>
      <c r="E1" s="17"/>
      <c r="F1" s="17"/>
    </row>
    <row r="2" spans="1:13" ht="15.75" customHeight="1" x14ac:dyDescent="0.25">
      <c r="A2" s="17"/>
      <c r="B2" s="17"/>
      <c r="C2" s="19"/>
      <c r="D2" s="17"/>
      <c r="E2" s="17"/>
      <c r="F2" s="17"/>
    </row>
    <row r="3" spans="1:13" ht="15.75" customHeight="1" x14ac:dyDescent="0.25">
      <c r="A3" s="17"/>
      <c r="B3" s="17"/>
      <c r="C3" s="19"/>
      <c r="D3" s="17"/>
      <c r="E3" s="17"/>
      <c r="F3" s="17"/>
    </row>
    <row r="4" spans="1:13" x14ac:dyDescent="0.25">
      <c r="A4" s="17"/>
      <c r="B4" s="17"/>
      <c r="C4" s="19"/>
      <c r="D4" s="17"/>
      <c r="E4" s="17"/>
      <c r="F4" s="17"/>
    </row>
    <row r="5" spans="1:13" x14ac:dyDescent="0.25">
      <c r="A5" s="17"/>
      <c r="B5" s="17"/>
      <c r="C5" s="19"/>
      <c r="D5" s="17"/>
      <c r="E5" s="17"/>
      <c r="F5" s="17"/>
    </row>
    <row r="6" spans="1:13" x14ac:dyDescent="0.25">
      <c r="A6" s="51" t="str">
        <f>IF(COUNTIF($C$8:$C$1007,"SHOW")&gt;0,"Synchronize current start time with end time of the latest line before. Paste copied text to aegisub!","")</f>
        <v/>
      </c>
      <c r="B6" s="51"/>
      <c r="C6" s="51"/>
      <c r="D6" s="51"/>
      <c r="E6" s="51"/>
      <c r="F6" s="51"/>
    </row>
    <row r="7" spans="1:13" x14ac:dyDescent="0.25">
      <c r="A7" s="14"/>
      <c r="B7" s="12" t="s">
        <v>4</v>
      </c>
      <c r="C7" s="12" t="s">
        <v>3</v>
      </c>
      <c r="D7" s="9" t="s">
        <v>0</v>
      </c>
      <c r="E7" s="15" t="s">
        <v>1</v>
      </c>
      <c r="F7" s="16" t="s">
        <v>2</v>
      </c>
    </row>
    <row r="8" spans="1:13" x14ac:dyDescent="0.25">
      <c r="A8" s="13" t="str">
        <f>IF($E8&lt;&gt;"",1,"")</f>
        <v/>
      </c>
      <c r="B8" s="11"/>
      <c r="C8" s="19" t="str">
        <f>IF(E8="","EMPTY",IF(MID(E8,1,9)&lt;&gt;"Dialogue:","HIDE",IF(MID(E8,1,9)="Dialogue:","SHOW","")))</f>
        <v>EMPTY</v>
      </c>
      <c r="D8" s="3" t="str">
        <f>IF(C8="SHOW",E8,"")</f>
        <v/>
      </c>
      <c r="E8" s="7"/>
      <c r="F8" s="8" t="str">
        <f>$D8</f>
        <v/>
      </c>
      <c r="G8" t="s">
        <v>5</v>
      </c>
      <c r="H8" s="4" t="s">
        <v>5</v>
      </c>
      <c r="I8" s="4" t="s">
        <v>5</v>
      </c>
      <c r="J8" s="4" t="s">
        <v>5</v>
      </c>
      <c r="K8" s="4" t="s">
        <v>5</v>
      </c>
      <c r="L8" s="4" t="s">
        <v>5</v>
      </c>
      <c r="M8" s="4" t="s">
        <v>5</v>
      </c>
    </row>
    <row r="9" spans="1:13" x14ac:dyDescent="0.25">
      <c r="A9" s="13" t="str">
        <f>IF(AND($E9="",MAX($A$8:$A8)=0),"",IF(AND($E9&lt;&gt;"",MAX($A$8:$A8)=0),1,IF(AND($E9&lt;&gt;"",MAX($A$8:$A8)&gt;0),MAX($A$8:$A8)+1,"")))</f>
        <v/>
      </c>
      <c r="B9" s="11"/>
      <c r="C9" s="19" t="str">
        <f t="shared" ref="C9:C72" si="0">IF(E9="","EMPTY",IF(MID(E9,1,9)&lt;&gt;"Dialogue:","HIDE",IF(MID(E9,1,9)="Dialogue:","SHOW","")))</f>
        <v>EMPTY</v>
      </c>
      <c r="D9" s="3" t="str">
        <f>IF(C9="SHOW",CONCATENATE(Temp!G5,Temp!H5,",",Temp!I5,",",Temp!J5,Temp!K5),"")</f>
        <v/>
      </c>
      <c r="E9" s="7"/>
      <c r="F9" s="8" t="str">
        <f t="shared" ref="F9:F72" si="1">$D9</f>
        <v/>
      </c>
      <c r="I9" s="4" t="s">
        <v>5</v>
      </c>
      <c r="J9" s="4" t="s">
        <v>5</v>
      </c>
      <c r="K9" s="4" t="s">
        <v>5</v>
      </c>
      <c r="L9" s="4" t="s">
        <v>5</v>
      </c>
      <c r="M9" s="4" t="s">
        <v>5</v>
      </c>
    </row>
    <row r="10" spans="1:13" x14ac:dyDescent="0.25">
      <c r="A10" s="13" t="str">
        <f>IF(AND($E10="",MAX($A$8:$A9)=0),"",IF(AND($E10&lt;&gt;"",MAX($A$8:$A9)=0),1,IF(AND($E10&lt;&gt;"",MAX($A$8:$A9)&gt;0),MAX($A$8:$A9)+1,"")))</f>
        <v/>
      </c>
      <c r="B10" s="11"/>
      <c r="C10" s="19" t="str">
        <f t="shared" si="0"/>
        <v>EMPTY</v>
      </c>
      <c r="D10" s="3" t="str">
        <f>IF(C10="SHOW",CONCATENATE(Temp!G6,Temp!H6,",",Temp!I6,",",Temp!J6,Temp!K6),"")</f>
        <v/>
      </c>
      <c r="E10" s="7"/>
      <c r="F10" s="8" t="str">
        <f t="shared" si="1"/>
        <v/>
      </c>
      <c r="I10" s="4" t="s">
        <v>5</v>
      </c>
      <c r="J10" s="4" t="s">
        <v>5</v>
      </c>
      <c r="K10" s="4" t="s">
        <v>5</v>
      </c>
      <c r="L10" s="4" t="s">
        <v>5</v>
      </c>
      <c r="M10" s="4" t="s">
        <v>5</v>
      </c>
    </row>
    <row r="11" spans="1:13" x14ac:dyDescent="0.25">
      <c r="A11" s="13" t="str">
        <f>IF(AND($E11="",MAX($A$8:$A10)=0),"",IF(AND($E11&lt;&gt;"",MAX($A$8:$A10)=0),1,IF(AND($E11&lt;&gt;"",MAX($A$8:$A10)&gt;0),MAX($A$8:$A10)+1,"")))</f>
        <v/>
      </c>
      <c r="B11" s="11"/>
      <c r="C11" s="19" t="str">
        <f t="shared" si="0"/>
        <v>EMPTY</v>
      </c>
      <c r="D11" s="3" t="str">
        <f>IF(C11="SHOW",CONCATENATE(Temp!G7,Temp!H7,",",Temp!I7,",",Temp!J7,Temp!K7),"")</f>
        <v/>
      </c>
      <c r="E11" s="7"/>
      <c r="F11" s="8" t="str">
        <f t="shared" si="1"/>
        <v/>
      </c>
      <c r="I11" s="4" t="s">
        <v>5</v>
      </c>
      <c r="J11" s="4" t="s">
        <v>5</v>
      </c>
      <c r="K11" s="4" t="s">
        <v>5</v>
      </c>
      <c r="L11" s="4" t="s">
        <v>5</v>
      </c>
      <c r="M11" s="4" t="s">
        <v>5</v>
      </c>
    </row>
    <row r="12" spans="1:13" x14ac:dyDescent="0.25">
      <c r="A12" s="13" t="str">
        <f>IF(AND($E12="",MAX($A$8:$A11)=0),"",IF(AND($E12&lt;&gt;"",MAX($A$8:$A11)=0),1,IF(AND($E12&lt;&gt;"",MAX($A$8:$A11)&gt;0),MAX($A$8:$A11)+1,"")))</f>
        <v/>
      </c>
      <c r="B12" s="11"/>
      <c r="C12" s="19" t="str">
        <f t="shared" si="0"/>
        <v>EMPTY</v>
      </c>
      <c r="D12" s="3" t="str">
        <f>IF(C12="SHOW",CONCATENATE(Temp!G8,Temp!H8,",",Temp!I8,",",Temp!J8,Temp!K8),"")</f>
        <v/>
      </c>
      <c r="E12" s="7"/>
      <c r="F12" s="8" t="str">
        <f t="shared" si="1"/>
        <v/>
      </c>
      <c r="G12" t="s">
        <v>5</v>
      </c>
      <c r="H12" s="4" t="s">
        <v>5</v>
      </c>
      <c r="I12" s="4" t="s">
        <v>5</v>
      </c>
      <c r="J12" s="4" t="s">
        <v>5</v>
      </c>
      <c r="K12" s="4" t="s">
        <v>5</v>
      </c>
      <c r="L12" s="4" t="s">
        <v>5</v>
      </c>
      <c r="M12" s="4" t="s">
        <v>5</v>
      </c>
    </row>
    <row r="13" spans="1:13" x14ac:dyDescent="0.25">
      <c r="A13" s="13" t="str">
        <f>IF(AND($E13="",MAX($A$8:$A12)=0),"",IF(AND($E13&lt;&gt;"",MAX($A$8:$A12)=0),1,IF(AND($E13&lt;&gt;"",MAX($A$8:$A12)&gt;0),MAX($A$8:$A12)+1,"")))</f>
        <v/>
      </c>
      <c r="B13" s="11"/>
      <c r="C13" s="19" t="str">
        <f t="shared" si="0"/>
        <v>EMPTY</v>
      </c>
      <c r="D13" s="3" t="str">
        <f>IF(C13="SHOW",CONCATENATE(Temp!G9,Temp!H9,",",Temp!I9,",",Temp!J9,Temp!K9),"")</f>
        <v/>
      </c>
      <c r="E13" s="7"/>
      <c r="F13" s="8" t="str">
        <f t="shared" si="1"/>
        <v/>
      </c>
      <c r="I13" s="4" t="s">
        <v>5</v>
      </c>
      <c r="J13" s="4" t="s">
        <v>5</v>
      </c>
      <c r="K13" s="4" t="s">
        <v>5</v>
      </c>
      <c r="L13" s="4" t="s">
        <v>5</v>
      </c>
      <c r="M13" s="4" t="s">
        <v>5</v>
      </c>
    </row>
    <row r="14" spans="1:13" x14ac:dyDescent="0.25">
      <c r="A14" s="13" t="str">
        <f>IF(AND($E14="",MAX($A$8:$A13)=0),"",IF(AND($E14&lt;&gt;"",MAX($A$8:$A13)=0),1,IF(AND($E14&lt;&gt;"",MAX($A$8:$A13)&gt;0),MAX($A$8:$A13)+1,"")))</f>
        <v/>
      </c>
      <c r="B14" s="11"/>
      <c r="C14" s="19" t="str">
        <f t="shared" si="0"/>
        <v>EMPTY</v>
      </c>
      <c r="D14" s="3" t="str">
        <f>IF(C14="SHOW",CONCATENATE(Temp!G10,Temp!H10,",",Temp!I10,",",Temp!J10,Temp!K10),"")</f>
        <v/>
      </c>
      <c r="E14" s="7"/>
      <c r="F14" s="8" t="str">
        <f t="shared" si="1"/>
        <v/>
      </c>
      <c r="G14" t="s">
        <v>5</v>
      </c>
      <c r="H14" s="4" t="s">
        <v>5</v>
      </c>
      <c r="I14" s="4" t="s">
        <v>5</v>
      </c>
      <c r="J14" s="4" t="s">
        <v>5</v>
      </c>
      <c r="K14" s="4" t="s">
        <v>5</v>
      </c>
      <c r="L14" s="4" t="s">
        <v>5</v>
      </c>
      <c r="M14" s="4" t="s">
        <v>5</v>
      </c>
    </row>
    <row r="15" spans="1:13" x14ac:dyDescent="0.25">
      <c r="A15" s="13" t="str">
        <f>IF(AND($E15="",MAX($A$8:$A14)=0),"",IF(AND($E15&lt;&gt;"",MAX($A$8:$A14)=0),1,IF(AND($E15&lt;&gt;"",MAX($A$8:$A14)&gt;0),MAX($A$8:$A14)+1,"")))</f>
        <v/>
      </c>
      <c r="B15" s="11"/>
      <c r="C15" s="19" t="str">
        <f t="shared" si="0"/>
        <v>EMPTY</v>
      </c>
      <c r="D15" s="3" t="str">
        <f>IF(C15="SHOW",CONCATENATE(Temp!G11,Temp!H11,",",Temp!I11,",",Temp!J11,Temp!K11),"")</f>
        <v/>
      </c>
      <c r="E15" s="7"/>
      <c r="F15" s="8" t="str">
        <f t="shared" si="1"/>
        <v/>
      </c>
      <c r="I15" s="4" t="s">
        <v>5</v>
      </c>
      <c r="J15" s="4" t="s">
        <v>5</v>
      </c>
      <c r="K15" s="4" t="s">
        <v>5</v>
      </c>
      <c r="L15" s="4" t="s">
        <v>5</v>
      </c>
      <c r="M15" s="4" t="s">
        <v>5</v>
      </c>
    </row>
    <row r="16" spans="1:13" x14ac:dyDescent="0.25">
      <c r="A16" s="13" t="str">
        <f>IF(AND($E16="",MAX($A$8:$A15)=0),"",IF(AND($E16&lt;&gt;"",MAX($A$8:$A15)=0),1,IF(AND($E16&lt;&gt;"",MAX($A$8:$A15)&gt;0),MAX($A$8:$A15)+1,"")))</f>
        <v/>
      </c>
      <c r="B16" s="11"/>
      <c r="C16" s="19" t="str">
        <f t="shared" si="0"/>
        <v>EMPTY</v>
      </c>
      <c r="D16" s="3" t="str">
        <f>IF(C16="SHOW",CONCATENATE(Temp!G12,Temp!H12,",",Temp!I12,",",Temp!J12,Temp!K12),"")</f>
        <v/>
      </c>
      <c r="E16" s="7"/>
      <c r="F16" s="8" t="str">
        <f t="shared" si="1"/>
        <v/>
      </c>
      <c r="I16" s="4" t="s">
        <v>5</v>
      </c>
      <c r="J16" s="4" t="s">
        <v>5</v>
      </c>
      <c r="K16" s="4" t="s">
        <v>5</v>
      </c>
      <c r="L16" s="4" t="s">
        <v>5</v>
      </c>
      <c r="M16" s="4" t="s">
        <v>5</v>
      </c>
    </row>
    <row r="17" spans="1:13" x14ac:dyDescent="0.25">
      <c r="A17" s="13" t="str">
        <f>IF(AND($E17="",MAX($A$8:$A16)=0),"",IF(AND($E17&lt;&gt;"",MAX($A$8:$A16)=0),1,IF(AND($E17&lt;&gt;"",MAX($A$8:$A16)&gt;0),MAX($A$8:$A16)+1,"")))</f>
        <v/>
      </c>
      <c r="B17" s="11"/>
      <c r="C17" s="19" t="str">
        <f t="shared" si="0"/>
        <v>EMPTY</v>
      </c>
      <c r="D17" s="3" t="str">
        <f>IF(C17="SHOW",CONCATENATE(Temp!G13,Temp!H13,",",Temp!I13,",",Temp!J13,Temp!K13),"")</f>
        <v/>
      </c>
      <c r="E17" s="7"/>
      <c r="F17" s="8" t="str">
        <f t="shared" si="1"/>
        <v/>
      </c>
      <c r="I17" s="4" t="s">
        <v>5</v>
      </c>
      <c r="J17" s="4" t="s">
        <v>5</v>
      </c>
      <c r="K17" s="4" t="s">
        <v>5</v>
      </c>
      <c r="L17" s="4" t="s">
        <v>5</v>
      </c>
      <c r="M17" s="4" t="s">
        <v>5</v>
      </c>
    </row>
    <row r="18" spans="1:13" x14ac:dyDescent="0.25">
      <c r="A18" s="13" t="str">
        <f>IF(AND($E18="",MAX($A$8:$A17)=0),"",IF(AND($E18&lt;&gt;"",MAX($A$8:$A17)=0),1,IF(AND($E18&lt;&gt;"",MAX($A$8:$A17)&gt;0),MAX($A$8:$A17)+1,"")))</f>
        <v/>
      </c>
      <c r="B18" s="11">
        <v>11</v>
      </c>
      <c r="C18" s="19" t="str">
        <f t="shared" si="0"/>
        <v>EMPTY</v>
      </c>
      <c r="D18" s="3" t="str">
        <f>IF(C18="SHOW",CONCATENATE(Temp!G14,Temp!H14,",",Temp!I14,",",Temp!J14,Temp!K14),"")</f>
        <v/>
      </c>
      <c r="E18" s="7"/>
      <c r="F18" s="8" t="str">
        <f t="shared" si="1"/>
        <v/>
      </c>
      <c r="I18" s="4" t="s">
        <v>5</v>
      </c>
      <c r="J18" s="4" t="s">
        <v>5</v>
      </c>
      <c r="K18" s="4" t="s">
        <v>5</v>
      </c>
      <c r="L18" s="4" t="s">
        <v>5</v>
      </c>
      <c r="M18" s="4" t="s">
        <v>5</v>
      </c>
    </row>
    <row r="19" spans="1:13" x14ac:dyDescent="0.25">
      <c r="A19" s="13" t="str">
        <f>IF(AND($E19="",MAX($A$8:$A18)=0),"",IF(AND($E19&lt;&gt;"",MAX($A$8:$A18)=0),1,IF(AND($E19&lt;&gt;"",MAX($A$8:$A18)&gt;0),MAX($A$8:$A18)+1,"")))</f>
        <v/>
      </c>
      <c r="B19" s="11">
        <v>12</v>
      </c>
      <c r="C19" s="19" t="str">
        <f t="shared" si="0"/>
        <v>EMPTY</v>
      </c>
      <c r="D19" s="3" t="str">
        <f>IF(C19="SHOW",CONCATENATE(Temp!G15,Temp!H15,",",Temp!I15,",",Temp!J15,Temp!K15),"")</f>
        <v/>
      </c>
      <c r="E19" s="7"/>
      <c r="F19" s="8" t="str">
        <f t="shared" si="1"/>
        <v/>
      </c>
      <c r="I19" s="4" t="s">
        <v>5</v>
      </c>
      <c r="J19" s="4" t="s">
        <v>5</v>
      </c>
      <c r="K19" s="4" t="s">
        <v>5</v>
      </c>
      <c r="L19" s="4" t="s">
        <v>5</v>
      </c>
      <c r="M19" s="4" t="s">
        <v>5</v>
      </c>
    </row>
    <row r="20" spans="1:13" x14ac:dyDescent="0.25">
      <c r="A20" s="13" t="str">
        <f>IF(AND($E20="",MAX($A$8:$A19)=0),"",IF(AND($E20&lt;&gt;"",MAX($A$8:$A19)=0),1,IF(AND($E20&lt;&gt;"",MAX($A$8:$A19)&gt;0),MAX($A$8:$A19)+1,"")))</f>
        <v/>
      </c>
      <c r="B20" s="11">
        <v>13</v>
      </c>
      <c r="C20" s="19" t="str">
        <f t="shared" si="0"/>
        <v>EMPTY</v>
      </c>
      <c r="D20" s="3" t="str">
        <f>IF(C20="SHOW",CONCATENATE(Temp!G16,Temp!H16,",",Temp!I16,",",Temp!J16,Temp!K16),"")</f>
        <v/>
      </c>
      <c r="E20" s="7"/>
      <c r="F20" s="8" t="str">
        <f t="shared" si="1"/>
        <v/>
      </c>
      <c r="I20" s="4" t="s">
        <v>5</v>
      </c>
      <c r="J20" s="4" t="s">
        <v>5</v>
      </c>
      <c r="K20" s="4" t="s">
        <v>5</v>
      </c>
      <c r="L20" s="4" t="s">
        <v>5</v>
      </c>
      <c r="M20" s="4" t="s">
        <v>5</v>
      </c>
    </row>
    <row r="21" spans="1:13" x14ac:dyDescent="0.25">
      <c r="A21" s="13" t="str">
        <f>IF(AND($E21="",MAX($A$8:$A20)=0),"",IF(AND($E21&lt;&gt;"",MAX($A$8:$A20)=0),1,IF(AND($E21&lt;&gt;"",MAX($A$8:$A20)&gt;0),MAX($A$8:$A20)+1,"")))</f>
        <v/>
      </c>
      <c r="B21" s="11">
        <v>14</v>
      </c>
      <c r="C21" s="19" t="str">
        <f t="shared" si="0"/>
        <v>EMPTY</v>
      </c>
      <c r="D21" s="3" t="str">
        <f>IF(C21="SHOW",CONCATENATE(Temp!G17,Temp!H17,",",Temp!I17,",",Temp!J17,Temp!K17),"")</f>
        <v/>
      </c>
      <c r="E21" s="7"/>
      <c r="F21" s="8" t="str">
        <f t="shared" si="1"/>
        <v/>
      </c>
      <c r="I21" s="4" t="s">
        <v>5</v>
      </c>
      <c r="J21" s="4" t="s">
        <v>5</v>
      </c>
      <c r="K21" s="4" t="s">
        <v>5</v>
      </c>
      <c r="L21" s="4" t="s">
        <v>5</v>
      </c>
      <c r="M21" s="4" t="s">
        <v>5</v>
      </c>
    </row>
    <row r="22" spans="1:13" x14ac:dyDescent="0.25">
      <c r="A22" s="13" t="str">
        <f>IF(AND($E22="",MAX($A$8:$A21)=0),"",IF(AND($E22&lt;&gt;"",MAX($A$8:$A21)=0),1,IF(AND($E22&lt;&gt;"",MAX($A$8:$A21)&gt;0),MAX($A$8:$A21)+1,"")))</f>
        <v/>
      </c>
      <c r="B22" s="11">
        <v>15</v>
      </c>
      <c r="C22" s="19" t="str">
        <f t="shared" si="0"/>
        <v>EMPTY</v>
      </c>
      <c r="D22" s="3" t="str">
        <f>IF(C22="SHOW",CONCATENATE(Temp!G18,Temp!H18,",",Temp!I18,",",Temp!J18,Temp!K18),"")</f>
        <v/>
      </c>
      <c r="E22" s="7"/>
      <c r="F22" s="8" t="str">
        <f t="shared" si="1"/>
        <v/>
      </c>
      <c r="I22" s="4" t="s">
        <v>5</v>
      </c>
      <c r="J22" s="4" t="s">
        <v>5</v>
      </c>
      <c r="K22" s="4" t="s">
        <v>5</v>
      </c>
      <c r="L22" s="4" t="s">
        <v>5</v>
      </c>
      <c r="M22" s="4" t="s">
        <v>5</v>
      </c>
    </row>
    <row r="23" spans="1:13" x14ac:dyDescent="0.25">
      <c r="A23" s="13" t="str">
        <f>IF(AND($E23="",MAX($A$8:$A22)=0),"",IF(AND($E23&lt;&gt;"",MAX($A$8:$A22)=0),1,IF(AND($E23&lt;&gt;"",MAX($A$8:$A22)&gt;0),MAX($A$8:$A22)+1,"")))</f>
        <v/>
      </c>
      <c r="B23" s="11">
        <v>16</v>
      </c>
      <c r="C23" s="19" t="str">
        <f t="shared" si="0"/>
        <v>EMPTY</v>
      </c>
      <c r="D23" s="3" t="str">
        <f>IF(C23="SHOW",CONCATENATE(Temp!G19,Temp!H19,",",Temp!I19,",",Temp!J19,Temp!K19),"")</f>
        <v/>
      </c>
      <c r="E23" s="7"/>
      <c r="F23" s="8" t="str">
        <f t="shared" si="1"/>
        <v/>
      </c>
      <c r="I23" s="4" t="s">
        <v>5</v>
      </c>
      <c r="J23" s="4" t="s">
        <v>5</v>
      </c>
      <c r="K23" s="4" t="s">
        <v>5</v>
      </c>
      <c r="L23" s="4" t="s">
        <v>5</v>
      </c>
      <c r="M23" s="4" t="s">
        <v>5</v>
      </c>
    </row>
    <row r="24" spans="1:13" x14ac:dyDescent="0.25">
      <c r="A24" s="13" t="str">
        <f>IF(AND($E24="",MAX($A$8:$A23)=0),"",IF(AND($E24&lt;&gt;"",MAX($A$8:$A23)=0),1,IF(AND($E24&lt;&gt;"",MAX($A$8:$A23)&gt;0),MAX($A$8:$A23)+1,"")))</f>
        <v/>
      </c>
      <c r="B24" s="11">
        <v>17</v>
      </c>
      <c r="C24" s="19" t="str">
        <f t="shared" si="0"/>
        <v>EMPTY</v>
      </c>
      <c r="D24" s="3" t="str">
        <f>IF(C24="SHOW",CONCATENATE(Temp!G20,Temp!H20,",",Temp!I20,",",Temp!J20,Temp!K20),"")</f>
        <v/>
      </c>
      <c r="E24" s="7"/>
      <c r="F24" s="8" t="str">
        <f t="shared" si="1"/>
        <v/>
      </c>
      <c r="I24" s="4" t="s">
        <v>5</v>
      </c>
      <c r="J24" s="4" t="s">
        <v>5</v>
      </c>
      <c r="K24" s="4" t="s">
        <v>5</v>
      </c>
      <c r="L24" s="4" t="s">
        <v>5</v>
      </c>
      <c r="M24" s="4" t="s">
        <v>5</v>
      </c>
    </row>
    <row r="25" spans="1:13" x14ac:dyDescent="0.25">
      <c r="A25" s="13" t="str">
        <f>IF(AND($E25="",MAX($A$8:$A24)=0),"",IF(AND($E25&lt;&gt;"",MAX($A$8:$A24)=0),1,IF(AND($E25&lt;&gt;"",MAX($A$8:$A24)&gt;0),MAX($A$8:$A24)+1,"")))</f>
        <v/>
      </c>
      <c r="B25" s="11">
        <v>18</v>
      </c>
      <c r="C25" s="19" t="str">
        <f t="shared" si="0"/>
        <v>EMPTY</v>
      </c>
      <c r="D25" s="3" t="str">
        <f>IF(C25="SHOW",CONCATENATE(Temp!G21,Temp!H21,",",Temp!I21,",",Temp!J21,Temp!K21),"")</f>
        <v/>
      </c>
      <c r="E25" s="7"/>
      <c r="F25" s="8" t="str">
        <f t="shared" si="1"/>
        <v/>
      </c>
      <c r="I25" s="4" t="s">
        <v>5</v>
      </c>
      <c r="J25" s="4" t="s">
        <v>5</v>
      </c>
      <c r="K25" s="4" t="s">
        <v>5</v>
      </c>
      <c r="L25" s="4" t="s">
        <v>5</v>
      </c>
      <c r="M25" s="4" t="s">
        <v>5</v>
      </c>
    </row>
    <row r="26" spans="1:13" x14ac:dyDescent="0.25">
      <c r="A26" s="13" t="str">
        <f>IF(AND($E26="",MAX($A$8:$A25)=0),"",IF(AND($E26&lt;&gt;"",MAX($A$8:$A25)=0),1,IF(AND($E26&lt;&gt;"",MAX($A$8:$A25)&gt;0),MAX($A$8:$A25)+1,"")))</f>
        <v/>
      </c>
      <c r="B26" s="11">
        <v>19</v>
      </c>
      <c r="C26" s="19" t="str">
        <f t="shared" si="0"/>
        <v>EMPTY</v>
      </c>
      <c r="D26" s="3" t="str">
        <f>IF(C26="SHOW",CONCATENATE(Temp!G22,Temp!H22,",",Temp!I22,",",Temp!J22,Temp!K22),"")</f>
        <v/>
      </c>
      <c r="E26" s="7"/>
      <c r="F26" s="8" t="str">
        <f t="shared" si="1"/>
        <v/>
      </c>
      <c r="I26" s="4" t="s">
        <v>5</v>
      </c>
      <c r="J26" s="4" t="s">
        <v>5</v>
      </c>
      <c r="K26" s="4" t="s">
        <v>5</v>
      </c>
      <c r="L26" s="4" t="s">
        <v>5</v>
      </c>
      <c r="M26" s="4" t="s">
        <v>5</v>
      </c>
    </row>
    <row r="27" spans="1:13" x14ac:dyDescent="0.25">
      <c r="A27" s="13" t="str">
        <f>IF(AND($E27="",MAX($A$8:$A26)=0),"",IF(AND($E27&lt;&gt;"",MAX($A$8:$A26)=0),1,IF(AND($E27&lt;&gt;"",MAX($A$8:$A26)&gt;0),MAX($A$8:$A26)+1,"")))</f>
        <v/>
      </c>
      <c r="B27" s="11">
        <v>20</v>
      </c>
      <c r="C27" s="19" t="str">
        <f t="shared" si="0"/>
        <v>EMPTY</v>
      </c>
      <c r="D27" s="3" t="str">
        <f>IF(C27="SHOW",CONCATENATE(Temp!G23,Temp!H23,",",Temp!I23,",",Temp!J23,Temp!K23),"")</f>
        <v/>
      </c>
      <c r="E27" s="7"/>
      <c r="F27" s="8" t="str">
        <f t="shared" si="1"/>
        <v/>
      </c>
      <c r="I27" s="4" t="s">
        <v>5</v>
      </c>
      <c r="J27" s="4" t="s">
        <v>5</v>
      </c>
      <c r="K27" s="4" t="s">
        <v>5</v>
      </c>
      <c r="L27" s="4" t="s">
        <v>5</v>
      </c>
      <c r="M27" s="4" t="s">
        <v>5</v>
      </c>
    </row>
    <row r="28" spans="1:13" x14ac:dyDescent="0.25">
      <c r="A28" s="13" t="str">
        <f>IF(AND($E28="",MAX($A$8:$A27)=0),"",IF(AND($E28&lt;&gt;"",MAX($A$8:$A27)=0),1,IF(AND($E28&lt;&gt;"",MAX($A$8:$A27)&gt;0),MAX($A$8:$A27)+1,"")))</f>
        <v/>
      </c>
      <c r="B28" s="11">
        <v>21</v>
      </c>
      <c r="C28" s="19" t="str">
        <f t="shared" si="0"/>
        <v>EMPTY</v>
      </c>
      <c r="D28" s="3" t="str">
        <f>IF(C28="SHOW",CONCATENATE(Temp!G24,Temp!H24,",",Temp!I24,",",Temp!J24,Temp!K24),"")</f>
        <v/>
      </c>
      <c r="E28" s="7"/>
      <c r="F28" s="8" t="str">
        <f t="shared" si="1"/>
        <v/>
      </c>
      <c r="I28" s="4" t="s">
        <v>5</v>
      </c>
      <c r="J28" s="4" t="s">
        <v>5</v>
      </c>
      <c r="K28" s="4" t="s">
        <v>5</v>
      </c>
      <c r="L28" s="4" t="s">
        <v>5</v>
      </c>
      <c r="M28" s="4" t="s">
        <v>5</v>
      </c>
    </row>
    <row r="29" spans="1:13" x14ac:dyDescent="0.25">
      <c r="A29" s="13" t="str">
        <f>IF(AND($E29="",MAX($A$8:$A28)=0),"",IF(AND($E29&lt;&gt;"",MAX($A$8:$A28)=0),1,IF(AND($E29&lt;&gt;"",MAX($A$8:$A28)&gt;0),MAX($A$8:$A28)+1,"")))</f>
        <v/>
      </c>
      <c r="B29" s="11">
        <v>22</v>
      </c>
      <c r="C29" s="19" t="str">
        <f t="shared" si="0"/>
        <v>EMPTY</v>
      </c>
      <c r="D29" s="3" t="str">
        <f>IF(C29="SHOW",CONCATENATE(Temp!G25,Temp!H25,",",Temp!I25,",",Temp!J25,Temp!K25),"")</f>
        <v/>
      </c>
      <c r="E29" s="7"/>
      <c r="F29" s="8" t="str">
        <f t="shared" si="1"/>
        <v/>
      </c>
      <c r="I29" s="4" t="s">
        <v>5</v>
      </c>
      <c r="J29" s="4" t="s">
        <v>5</v>
      </c>
      <c r="K29" s="4" t="s">
        <v>5</v>
      </c>
      <c r="L29" s="4" t="s">
        <v>5</v>
      </c>
      <c r="M29" s="4" t="s">
        <v>5</v>
      </c>
    </row>
    <row r="30" spans="1:13" x14ac:dyDescent="0.25">
      <c r="A30" s="13" t="str">
        <f>IF(AND($E30="",MAX($A$8:$A29)=0),"",IF(AND($E30&lt;&gt;"",MAX($A$8:$A29)=0),1,IF(AND($E30&lt;&gt;"",MAX($A$8:$A29)&gt;0),MAX($A$8:$A29)+1,"")))</f>
        <v/>
      </c>
      <c r="B30" s="11">
        <v>23</v>
      </c>
      <c r="C30" s="19" t="str">
        <f t="shared" si="0"/>
        <v>EMPTY</v>
      </c>
      <c r="D30" s="3" t="str">
        <f>IF(C30="SHOW",CONCATENATE(Temp!G26,Temp!H26,",",Temp!I26,",",Temp!J26,Temp!K26),"")</f>
        <v/>
      </c>
      <c r="E30" s="7"/>
      <c r="F30" s="8" t="str">
        <f t="shared" si="1"/>
        <v/>
      </c>
      <c r="I30" s="4" t="s">
        <v>5</v>
      </c>
      <c r="J30" s="4" t="s">
        <v>5</v>
      </c>
      <c r="K30" s="4" t="s">
        <v>5</v>
      </c>
      <c r="L30" s="4" t="s">
        <v>5</v>
      </c>
      <c r="M30" s="4" t="s">
        <v>5</v>
      </c>
    </row>
    <row r="31" spans="1:13" x14ac:dyDescent="0.25">
      <c r="A31" s="13" t="str">
        <f>IF(AND($E31="",MAX($A$8:$A30)=0),"",IF(AND($E31&lt;&gt;"",MAX($A$8:$A30)=0),1,IF(AND($E31&lt;&gt;"",MAX($A$8:$A30)&gt;0),MAX($A$8:$A30)+1,"")))</f>
        <v/>
      </c>
      <c r="B31" s="11">
        <v>24</v>
      </c>
      <c r="C31" s="19" t="str">
        <f t="shared" si="0"/>
        <v>EMPTY</v>
      </c>
      <c r="D31" s="3" t="str">
        <f>IF(C31="SHOW",CONCATENATE(Temp!G27,Temp!H27,",",Temp!I27,",",Temp!J27,Temp!K27),"")</f>
        <v/>
      </c>
      <c r="E31" s="7"/>
      <c r="F31" s="8" t="str">
        <f t="shared" si="1"/>
        <v/>
      </c>
      <c r="I31" s="4" t="s">
        <v>5</v>
      </c>
      <c r="J31" s="4" t="s">
        <v>5</v>
      </c>
      <c r="K31" s="4" t="s">
        <v>5</v>
      </c>
      <c r="L31" s="4" t="s">
        <v>5</v>
      </c>
      <c r="M31" s="4" t="s">
        <v>5</v>
      </c>
    </row>
    <row r="32" spans="1:13" x14ac:dyDescent="0.25">
      <c r="A32" s="13" t="str">
        <f>IF(AND($E32="",MAX($A$8:$A31)=0),"",IF(AND($E32&lt;&gt;"",MAX($A$8:$A31)=0),1,IF(AND($E32&lt;&gt;"",MAX($A$8:$A31)&gt;0),MAX($A$8:$A31)+1,"")))</f>
        <v/>
      </c>
      <c r="B32" s="11">
        <v>25</v>
      </c>
      <c r="C32" s="19" t="str">
        <f t="shared" si="0"/>
        <v>EMPTY</v>
      </c>
      <c r="D32" s="3" t="str">
        <f>IF(C32="SHOW",CONCATENATE(Temp!G28,Temp!H28,",",Temp!I28,",",Temp!J28,Temp!K28),"")</f>
        <v/>
      </c>
      <c r="E32" s="7"/>
      <c r="F32" s="8" t="str">
        <f t="shared" si="1"/>
        <v/>
      </c>
      <c r="I32" s="4" t="s">
        <v>5</v>
      </c>
      <c r="J32" s="4" t="s">
        <v>5</v>
      </c>
      <c r="K32" s="4" t="s">
        <v>5</v>
      </c>
      <c r="L32" s="4" t="s">
        <v>5</v>
      </c>
      <c r="M32" s="4" t="s">
        <v>5</v>
      </c>
    </row>
    <row r="33" spans="1:13" x14ac:dyDescent="0.25">
      <c r="A33" s="13" t="str">
        <f>IF(AND($E33="",MAX($A$8:$A32)=0),"",IF(AND($E33&lt;&gt;"",MAX($A$8:$A32)=0),1,IF(AND($E33&lt;&gt;"",MAX($A$8:$A32)&gt;0),MAX($A$8:$A32)+1,"")))</f>
        <v/>
      </c>
      <c r="B33" s="11">
        <v>26</v>
      </c>
      <c r="C33" s="19" t="str">
        <f t="shared" si="0"/>
        <v>EMPTY</v>
      </c>
      <c r="D33" s="3" t="str">
        <f>IF(C33="SHOW",CONCATENATE(Temp!G29,Temp!H29,",",Temp!I29,",",Temp!J29,Temp!K29),"")</f>
        <v/>
      </c>
      <c r="E33" s="7"/>
      <c r="F33" s="8" t="str">
        <f t="shared" si="1"/>
        <v/>
      </c>
      <c r="I33" s="4" t="s">
        <v>5</v>
      </c>
      <c r="J33" s="4" t="s">
        <v>5</v>
      </c>
      <c r="K33" s="4" t="s">
        <v>5</v>
      </c>
      <c r="L33" s="4" t="s">
        <v>5</v>
      </c>
      <c r="M33" s="4" t="s">
        <v>5</v>
      </c>
    </row>
    <row r="34" spans="1:13" x14ac:dyDescent="0.25">
      <c r="A34" s="13" t="str">
        <f>IF(AND($E34="",MAX($A$8:$A33)=0),"",IF(AND($E34&lt;&gt;"",MAX($A$8:$A33)=0),1,IF(AND($E34&lt;&gt;"",MAX($A$8:$A33)&gt;0),MAX($A$8:$A33)+1,"")))</f>
        <v/>
      </c>
      <c r="B34" s="11">
        <v>27</v>
      </c>
      <c r="C34" s="19" t="str">
        <f t="shared" si="0"/>
        <v>EMPTY</v>
      </c>
      <c r="D34" s="3" t="str">
        <f>IF(C34="SHOW",CONCATENATE(Temp!G30,Temp!H30,",",Temp!I30,",",Temp!J30,Temp!K30),"")</f>
        <v/>
      </c>
      <c r="E34" s="7"/>
      <c r="F34" s="8" t="str">
        <f t="shared" si="1"/>
        <v/>
      </c>
      <c r="I34" s="4" t="s">
        <v>5</v>
      </c>
      <c r="J34" s="4" t="s">
        <v>5</v>
      </c>
      <c r="K34" s="4" t="s">
        <v>5</v>
      </c>
      <c r="L34" s="4" t="s">
        <v>5</v>
      </c>
      <c r="M34" s="4" t="s">
        <v>5</v>
      </c>
    </row>
    <row r="35" spans="1:13" x14ac:dyDescent="0.25">
      <c r="A35" s="13" t="str">
        <f>IF(AND($E35="",MAX($A$8:$A34)=0),"",IF(AND($E35&lt;&gt;"",MAX($A$8:$A34)=0),1,IF(AND($E35&lt;&gt;"",MAX($A$8:$A34)&gt;0),MAX($A$8:$A34)+1,"")))</f>
        <v/>
      </c>
      <c r="B35" s="11">
        <v>28</v>
      </c>
      <c r="C35" s="19" t="str">
        <f t="shared" si="0"/>
        <v>EMPTY</v>
      </c>
      <c r="D35" s="3" t="str">
        <f>IF(C35="SHOW",CONCATENATE(Temp!G31,Temp!H31,",",Temp!I31,",",Temp!J31,Temp!K31),"")</f>
        <v/>
      </c>
      <c r="E35" s="7"/>
      <c r="F35" s="8" t="str">
        <f t="shared" si="1"/>
        <v/>
      </c>
      <c r="I35" s="4" t="s">
        <v>5</v>
      </c>
      <c r="J35" s="4" t="s">
        <v>5</v>
      </c>
      <c r="K35" s="4" t="s">
        <v>5</v>
      </c>
      <c r="L35" s="4" t="s">
        <v>5</v>
      </c>
      <c r="M35" s="4" t="s">
        <v>5</v>
      </c>
    </row>
    <row r="36" spans="1:13" x14ac:dyDescent="0.25">
      <c r="A36" s="13" t="str">
        <f>IF(AND($E36="",MAX($A$8:$A35)=0),"",IF(AND($E36&lt;&gt;"",MAX($A$8:$A35)=0),1,IF(AND($E36&lt;&gt;"",MAX($A$8:$A35)&gt;0),MAX($A$8:$A35)+1,"")))</f>
        <v/>
      </c>
      <c r="B36" s="11">
        <v>29</v>
      </c>
      <c r="C36" s="19" t="str">
        <f t="shared" si="0"/>
        <v>EMPTY</v>
      </c>
      <c r="D36" s="3" t="str">
        <f>IF(C36="SHOW",CONCATENATE(Temp!G32,Temp!H32,",",Temp!I32,",",Temp!J32,Temp!K32),"")</f>
        <v/>
      </c>
      <c r="E36" s="7"/>
      <c r="F36" s="8" t="str">
        <f t="shared" si="1"/>
        <v/>
      </c>
      <c r="I36" s="4" t="s">
        <v>5</v>
      </c>
      <c r="J36" s="4" t="s">
        <v>5</v>
      </c>
      <c r="K36" s="4" t="s">
        <v>5</v>
      </c>
      <c r="L36" s="4" t="s">
        <v>5</v>
      </c>
      <c r="M36" s="4" t="s">
        <v>5</v>
      </c>
    </row>
    <row r="37" spans="1:13" x14ac:dyDescent="0.25">
      <c r="A37" s="13" t="str">
        <f>IF(AND($E37="",MAX($A$8:$A36)=0),"",IF(AND($E37&lt;&gt;"",MAX($A$8:$A36)=0),1,IF(AND($E37&lt;&gt;"",MAX($A$8:$A36)&gt;0),MAX($A$8:$A36)+1,"")))</f>
        <v/>
      </c>
      <c r="B37" s="11">
        <v>30</v>
      </c>
      <c r="C37" s="19" t="str">
        <f t="shared" si="0"/>
        <v>EMPTY</v>
      </c>
      <c r="D37" s="3" t="str">
        <f>IF(C37="SHOW",CONCATENATE(Temp!G33,Temp!H33,",",Temp!I33,",",Temp!J33,Temp!K33),"")</f>
        <v/>
      </c>
      <c r="E37" s="7"/>
      <c r="F37" s="8" t="str">
        <f t="shared" si="1"/>
        <v/>
      </c>
      <c r="I37" s="4" t="s">
        <v>5</v>
      </c>
      <c r="J37" s="4" t="s">
        <v>5</v>
      </c>
      <c r="K37" s="4" t="s">
        <v>5</v>
      </c>
      <c r="L37" s="4" t="s">
        <v>5</v>
      </c>
      <c r="M37" s="4" t="s">
        <v>5</v>
      </c>
    </row>
    <row r="38" spans="1:13" x14ac:dyDescent="0.25">
      <c r="A38" s="13" t="str">
        <f>IF(AND($E38="",MAX($A$8:$A37)=0),"",IF(AND($E38&lt;&gt;"",MAX($A$8:$A37)=0),1,IF(AND($E38&lt;&gt;"",MAX($A$8:$A37)&gt;0),MAX($A$8:$A37)+1,"")))</f>
        <v/>
      </c>
      <c r="B38" s="11">
        <v>31</v>
      </c>
      <c r="C38" s="19" t="str">
        <f t="shared" si="0"/>
        <v>EMPTY</v>
      </c>
      <c r="D38" s="3" t="str">
        <f>IF(C38="SHOW",CONCATENATE(Temp!G34,Temp!H34,",",Temp!I34,",",Temp!J34,Temp!K34),"")</f>
        <v/>
      </c>
      <c r="E38" s="7"/>
      <c r="F38" s="8" t="str">
        <f t="shared" si="1"/>
        <v/>
      </c>
      <c r="I38" s="4" t="s">
        <v>5</v>
      </c>
      <c r="J38" s="4" t="s">
        <v>5</v>
      </c>
      <c r="K38" s="4" t="s">
        <v>5</v>
      </c>
      <c r="L38" s="4" t="s">
        <v>5</v>
      </c>
      <c r="M38" s="4" t="s">
        <v>5</v>
      </c>
    </row>
    <row r="39" spans="1:13" x14ac:dyDescent="0.25">
      <c r="A39" s="13" t="str">
        <f>IF(AND($E39="",MAX($A$8:$A38)=0),"",IF(AND($E39&lt;&gt;"",MAX($A$8:$A38)=0),1,IF(AND($E39&lt;&gt;"",MAX($A$8:$A38)&gt;0),MAX($A$8:$A38)+1,"")))</f>
        <v/>
      </c>
      <c r="B39" s="11">
        <v>32</v>
      </c>
      <c r="C39" s="19" t="str">
        <f t="shared" si="0"/>
        <v>EMPTY</v>
      </c>
      <c r="D39" s="3" t="str">
        <f>IF(C39="SHOW",CONCATENATE(Temp!G35,Temp!H35,",",Temp!I35,",",Temp!J35,Temp!K35),"")</f>
        <v/>
      </c>
      <c r="E39" s="7"/>
      <c r="F39" s="8" t="str">
        <f t="shared" si="1"/>
        <v/>
      </c>
      <c r="I39" s="4" t="s">
        <v>5</v>
      </c>
      <c r="J39" s="4" t="s">
        <v>5</v>
      </c>
      <c r="K39" s="4" t="s">
        <v>5</v>
      </c>
      <c r="L39" s="4" t="s">
        <v>5</v>
      </c>
      <c r="M39" s="4" t="s">
        <v>5</v>
      </c>
    </row>
    <row r="40" spans="1:13" x14ac:dyDescent="0.25">
      <c r="A40" s="13" t="str">
        <f>IF(AND($E40="",MAX($A$8:$A39)=0),"",IF(AND($E40&lt;&gt;"",MAX($A$8:$A39)=0),1,IF(AND($E40&lt;&gt;"",MAX($A$8:$A39)&gt;0),MAX($A$8:$A39)+1,"")))</f>
        <v/>
      </c>
      <c r="B40" s="11">
        <v>33</v>
      </c>
      <c r="C40" s="19" t="str">
        <f t="shared" si="0"/>
        <v>EMPTY</v>
      </c>
      <c r="D40" s="3" t="str">
        <f>IF(C40="SHOW",CONCATENATE(Temp!G36,Temp!H36,",",Temp!I36,",",Temp!J36,Temp!K36),"")</f>
        <v/>
      </c>
      <c r="E40" s="7"/>
      <c r="F40" s="8" t="str">
        <f t="shared" si="1"/>
        <v/>
      </c>
      <c r="I40" s="4" t="s">
        <v>5</v>
      </c>
      <c r="J40" s="4" t="s">
        <v>5</v>
      </c>
      <c r="K40" s="4" t="s">
        <v>5</v>
      </c>
      <c r="L40" s="4" t="s">
        <v>5</v>
      </c>
      <c r="M40" s="4" t="s">
        <v>5</v>
      </c>
    </row>
    <row r="41" spans="1:13" x14ac:dyDescent="0.25">
      <c r="A41" s="13" t="str">
        <f>IF(AND($E41="",MAX($A$8:$A40)=0),"",IF(AND($E41&lt;&gt;"",MAX($A$8:$A40)=0),1,IF(AND($E41&lt;&gt;"",MAX($A$8:$A40)&gt;0),MAX($A$8:$A40)+1,"")))</f>
        <v/>
      </c>
      <c r="B41" s="11">
        <v>34</v>
      </c>
      <c r="C41" s="19" t="str">
        <f t="shared" si="0"/>
        <v>EMPTY</v>
      </c>
      <c r="D41" s="3" t="str">
        <f>IF(C41="SHOW",CONCATENATE(Temp!G37,Temp!H37,",",Temp!I37,",",Temp!J37,Temp!K37),"")</f>
        <v/>
      </c>
      <c r="E41" s="7"/>
      <c r="F41" s="8" t="str">
        <f t="shared" si="1"/>
        <v/>
      </c>
      <c r="I41" s="4" t="s">
        <v>5</v>
      </c>
      <c r="J41" s="4" t="s">
        <v>5</v>
      </c>
      <c r="K41" s="4" t="s">
        <v>5</v>
      </c>
      <c r="L41" s="4" t="s">
        <v>5</v>
      </c>
      <c r="M41" s="4" t="s">
        <v>5</v>
      </c>
    </row>
    <row r="42" spans="1:13" x14ac:dyDescent="0.25">
      <c r="A42" s="13" t="str">
        <f>IF(AND($E42="",MAX($A$8:$A41)=0),"",IF(AND($E42&lt;&gt;"",MAX($A$8:$A41)=0),1,IF(AND($E42&lt;&gt;"",MAX($A$8:$A41)&gt;0),MAX($A$8:$A41)+1,"")))</f>
        <v/>
      </c>
      <c r="B42" s="11">
        <v>35</v>
      </c>
      <c r="C42" s="19" t="str">
        <f t="shared" si="0"/>
        <v>EMPTY</v>
      </c>
      <c r="D42" s="3" t="str">
        <f>IF(C42="SHOW",CONCATENATE(Temp!G38,Temp!H38,",",Temp!I38,",",Temp!J38,Temp!K38),"")</f>
        <v/>
      </c>
      <c r="E42" s="7"/>
      <c r="F42" s="8" t="str">
        <f t="shared" si="1"/>
        <v/>
      </c>
      <c r="I42" s="4" t="s">
        <v>5</v>
      </c>
      <c r="J42" s="4" t="s">
        <v>5</v>
      </c>
      <c r="K42" s="4" t="s">
        <v>5</v>
      </c>
      <c r="L42" s="4" t="s">
        <v>5</v>
      </c>
      <c r="M42" s="4" t="s">
        <v>5</v>
      </c>
    </row>
    <row r="43" spans="1:13" x14ac:dyDescent="0.25">
      <c r="A43" s="13" t="str">
        <f>IF(AND($E43="",MAX($A$8:$A42)=0),"",IF(AND($E43&lt;&gt;"",MAX($A$8:$A42)=0),1,IF(AND($E43&lt;&gt;"",MAX($A$8:$A42)&gt;0),MAX($A$8:$A42)+1,"")))</f>
        <v/>
      </c>
      <c r="B43" s="11">
        <v>36</v>
      </c>
      <c r="C43" s="19" t="str">
        <f t="shared" si="0"/>
        <v>EMPTY</v>
      </c>
      <c r="D43" s="3" t="str">
        <f>IF(C43="SHOW",CONCATENATE(Temp!G39,Temp!H39,",",Temp!I39,",",Temp!J39,Temp!K39),"")</f>
        <v/>
      </c>
      <c r="E43" s="7"/>
      <c r="F43" s="8" t="str">
        <f t="shared" si="1"/>
        <v/>
      </c>
      <c r="I43" s="4" t="s">
        <v>5</v>
      </c>
      <c r="J43" s="4" t="s">
        <v>5</v>
      </c>
      <c r="K43" s="4" t="s">
        <v>5</v>
      </c>
      <c r="L43" s="4" t="s">
        <v>5</v>
      </c>
      <c r="M43" s="4" t="s">
        <v>5</v>
      </c>
    </row>
    <row r="44" spans="1:13" x14ac:dyDescent="0.25">
      <c r="A44" s="13" t="str">
        <f>IF(AND($E44="",MAX($A$8:$A43)=0),"",IF(AND($E44&lt;&gt;"",MAX($A$8:$A43)=0),1,IF(AND($E44&lt;&gt;"",MAX($A$8:$A43)&gt;0),MAX($A$8:$A43)+1,"")))</f>
        <v/>
      </c>
      <c r="B44" s="11">
        <v>37</v>
      </c>
      <c r="C44" s="19" t="str">
        <f t="shared" si="0"/>
        <v>EMPTY</v>
      </c>
      <c r="D44" s="3" t="str">
        <f>IF(C44="SHOW",CONCATENATE(Temp!G40,Temp!H40,",",Temp!I40,",",Temp!J40,Temp!K40),"")</f>
        <v/>
      </c>
      <c r="E44" s="7"/>
      <c r="F44" s="8" t="str">
        <f t="shared" si="1"/>
        <v/>
      </c>
      <c r="I44" s="4" t="s">
        <v>5</v>
      </c>
      <c r="J44" s="4" t="s">
        <v>5</v>
      </c>
      <c r="K44" s="4" t="s">
        <v>5</v>
      </c>
      <c r="L44" s="4" t="s">
        <v>5</v>
      </c>
      <c r="M44" s="4" t="s">
        <v>5</v>
      </c>
    </row>
    <row r="45" spans="1:13" x14ac:dyDescent="0.25">
      <c r="A45" s="13" t="str">
        <f>IF(AND($E45="",MAX($A$8:$A44)=0),"",IF(AND($E45&lt;&gt;"",MAX($A$8:$A44)=0),1,IF(AND($E45&lt;&gt;"",MAX($A$8:$A44)&gt;0),MAX($A$8:$A44)+1,"")))</f>
        <v/>
      </c>
      <c r="B45" s="11">
        <v>38</v>
      </c>
      <c r="C45" s="19" t="str">
        <f t="shared" si="0"/>
        <v>EMPTY</v>
      </c>
      <c r="D45" s="3" t="str">
        <f>IF(C45="SHOW",CONCATENATE(Temp!G41,Temp!H41,",",Temp!I41,",",Temp!J41,Temp!K41),"")</f>
        <v/>
      </c>
      <c r="E45" s="7"/>
      <c r="F45" s="8" t="str">
        <f t="shared" si="1"/>
        <v/>
      </c>
      <c r="I45" s="4" t="s">
        <v>5</v>
      </c>
      <c r="J45" s="4" t="s">
        <v>5</v>
      </c>
      <c r="K45" s="4" t="s">
        <v>5</v>
      </c>
      <c r="L45" s="4" t="s">
        <v>5</v>
      </c>
      <c r="M45" s="4" t="s">
        <v>5</v>
      </c>
    </row>
    <row r="46" spans="1:13" x14ac:dyDescent="0.25">
      <c r="A46" s="13" t="str">
        <f>IF(AND($E46="",MAX($A$8:$A45)=0),"",IF(AND($E46&lt;&gt;"",MAX($A$8:$A45)=0),1,IF(AND($E46&lt;&gt;"",MAX($A$8:$A45)&gt;0),MAX($A$8:$A45)+1,"")))</f>
        <v/>
      </c>
      <c r="B46" s="11">
        <v>39</v>
      </c>
      <c r="C46" s="19" t="str">
        <f t="shared" si="0"/>
        <v>EMPTY</v>
      </c>
      <c r="D46" s="3" t="str">
        <f>IF(C46="SHOW",CONCATENATE(Temp!G42,Temp!H42,",",Temp!I42,",",Temp!J42,Temp!K42),"")</f>
        <v/>
      </c>
      <c r="E46" s="7"/>
      <c r="F46" s="8" t="str">
        <f t="shared" si="1"/>
        <v/>
      </c>
      <c r="I46" s="4" t="s">
        <v>5</v>
      </c>
      <c r="J46" s="4" t="s">
        <v>5</v>
      </c>
      <c r="K46" s="4" t="s">
        <v>5</v>
      </c>
      <c r="L46" s="4" t="s">
        <v>5</v>
      </c>
      <c r="M46" s="4" t="s">
        <v>5</v>
      </c>
    </row>
    <row r="47" spans="1:13" x14ac:dyDescent="0.25">
      <c r="A47" s="13" t="str">
        <f>IF(AND($E47="",MAX($A$8:$A46)=0),"",IF(AND($E47&lt;&gt;"",MAX($A$8:$A46)=0),1,IF(AND($E47&lt;&gt;"",MAX($A$8:$A46)&gt;0),MAX($A$8:$A46)+1,"")))</f>
        <v/>
      </c>
      <c r="B47" s="11">
        <v>40</v>
      </c>
      <c r="C47" s="19" t="str">
        <f t="shared" si="0"/>
        <v>EMPTY</v>
      </c>
      <c r="D47" s="3" t="str">
        <f>IF(C47="SHOW",CONCATENATE(Temp!G43,Temp!H43,",",Temp!I43,",",Temp!J43,Temp!K43),"")</f>
        <v/>
      </c>
      <c r="E47" s="7"/>
      <c r="F47" s="8" t="str">
        <f t="shared" si="1"/>
        <v/>
      </c>
      <c r="I47" s="4" t="s">
        <v>5</v>
      </c>
      <c r="J47" s="4" t="s">
        <v>5</v>
      </c>
      <c r="K47" s="4" t="s">
        <v>5</v>
      </c>
      <c r="L47" s="4" t="s">
        <v>5</v>
      </c>
      <c r="M47" s="4" t="s">
        <v>5</v>
      </c>
    </row>
    <row r="48" spans="1:13" x14ac:dyDescent="0.25">
      <c r="A48" s="13" t="str">
        <f>IF(AND($E48="",MAX($A$8:$A47)=0),"",IF(AND($E48&lt;&gt;"",MAX($A$8:$A47)=0),1,IF(AND($E48&lt;&gt;"",MAX($A$8:$A47)&gt;0),MAX($A$8:$A47)+1,"")))</f>
        <v/>
      </c>
      <c r="B48" s="11">
        <v>41</v>
      </c>
      <c r="C48" s="19" t="str">
        <f t="shared" si="0"/>
        <v>EMPTY</v>
      </c>
      <c r="D48" s="3" t="str">
        <f>IF(C48="SHOW",CONCATENATE(Temp!G44,Temp!H44,",",Temp!I44,",",Temp!J44,Temp!K44),"")</f>
        <v/>
      </c>
      <c r="E48" s="7"/>
      <c r="F48" s="8" t="str">
        <f t="shared" si="1"/>
        <v/>
      </c>
      <c r="I48" s="4" t="s">
        <v>5</v>
      </c>
      <c r="J48" s="4" t="s">
        <v>5</v>
      </c>
      <c r="K48" s="4" t="s">
        <v>5</v>
      </c>
      <c r="L48" s="4" t="s">
        <v>5</v>
      </c>
      <c r="M48" s="4" t="s">
        <v>5</v>
      </c>
    </row>
    <row r="49" spans="1:13" x14ac:dyDescent="0.25">
      <c r="A49" s="13" t="str">
        <f>IF(AND($E49="",MAX($A$8:$A48)=0),"",IF(AND($E49&lt;&gt;"",MAX($A$8:$A48)=0),1,IF(AND($E49&lt;&gt;"",MAX($A$8:$A48)&gt;0),MAX($A$8:$A48)+1,"")))</f>
        <v/>
      </c>
      <c r="B49" s="11">
        <v>42</v>
      </c>
      <c r="C49" s="19" t="str">
        <f t="shared" si="0"/>
        <v>EMPTY</v>
      </c>
      <c r="D49" s="3" t="str">
        <f>IF(C49="SHOW",CONCATENATE(Temp!G45,Temp!H45,",",Temp!I45,",",Temp!J45,Temp!K45),"")</f>
        <v/>
      </c>
      <c r="E49" s="7"/>
      <c r="F49" s="8" t="str">
        <f t="shared" si="1"/>
        <v/>
      </c>
      <c r="I49" s="4" t="s">
        <v>5</v>
      </c>
      <c r="J49" s="4" t="s">
        <v>5</v>
      </c>
      <c r="K49" s="4" t="s">
        <v>5</v>
      </c>
      <c r="L49" s="4" t="s">
        <v>5</v>
      </c>
      <c r="M49" s="4" t="s">
        <v>5</v>
      </c>
    </row>
    <row r="50" spans="1:13" x14ac:dyDescent="0.25">
      <c r="A50" s="13" t="str">
        <f>IF(AND($E50="",MAX($A$8:$A49)=0),"",IF(AND($E50&lt;&gt;"",MAX($A$8:$A49)=0),1,IF(AND($E50&lt;&gt;"",MAX($A$8:$A49)&gt;0),MAX($A$8:$A49)+1,"")))</f>
        <v/>
      </c>
      <c r="B50" s="11">
        <v>43</v>
      </c>
      <c r="C50" s="19" t="str">
        <f t="shared" si="0"/>
        <v>EMPTY</v>
      </c>
      <c r="D50" s="3" t="str">
        <f>IF(C50="SHOW",CONCATENATE(Temp!G46,Temp!H46,",",Temp!I46,",",Temp!J46,Temp!K46),"")</f>
        <v/>
      </c>
      <c r="E50" s="7"/>
      <c r="F50" s="8" t="str">
        <f t="shared" si="1"/>
        <v/>
      </c>
      <c r="I50" s="4" t="s">
        <v>5</v>
      </c>
      <c r="J50" s="4" t="s">
        <v>5</v>
      </c>
      <c r="K50" s="4" t="s">
        <v>5</v>
      </c>
      <c r="L50" s="4" t="s">
        <v>5</v>
      </c>
      <c r="M50" s="4" t="s">
        <v>5</v>
      </c>
    </row>
    <row r="51" spans="1:13" x14ac:dyDescent="0.25">
      <c r="A51" s="13" t="str">
        <f>IF(AND($E51="",MAX($A$8:$A50)=0),"",IF(AND($E51&lt;&gt;"",MAX($A$8:$A50)=0),1,IF(AND($E51&lt;&gt;"",MAX($A$8:$A50)&gt;0),MAX($A$8:$A50)+1,"")))</f>
        <v/>
      </c>
      <c r="B51" s="11">
        <v>44</v>
      </c>
      <c r="C51" s="19" t="str">
        <f t="shared" si="0"/>
        <v>EMPTY</v>
      </c>
      <c r="D51" s="3" t="str">
        <f>IF(C51="SHOW",CONCATENATE(Temp!G47,Temp!H47,",",Temp!I47,",",Temp!J47,Temp!K47),"")</f>
        <v/>
      </c>
      <c r="E51" s="7"/>
      <c r="F51" s="8" t="str">
        <f t="shared" si="1"/>
        <v/>
      </c>
      <c r="I51" s="4" t="s">
        <v>5</v>
      </c>
      <c r="J51" s="4" t="s">
        <v>5</v>
      </c>
      <c r="K51" s="4" t="s">
        <v>5</v>
      </c>
      <c r="L51" s="4" t="s">
        <v>5</v>
      </c>
      <c r="M51" s="4" t="s">
        <v>5</v>
      </c>
    </row>
    <row r="52" spans="1:13" x14ac:dyDescent="0.25">
      <c r="A52" s="13" t="str">
        <f>IF(AND($E52="",MAX($A$8:$A51)=0),"",IF(AND($E52&lt;&gt;"",MAX($A$8:$A51)=0),1,IF(AND($E52&lt;&gt;"",MAX($A$8:$A51)&gt;0),MAX($A$8:$A51)+1,"")))</f>
        <v/>
      </c>
      <c r="B52" s="11">
        <v>45</v>
      </c>
      <c r="C52" s="19" t="str">
        <f t="shared" si="0"/>
        <v>EMPTY</v>
      </c>
      <c r="D52" s="3" t="str">
        <f>IF(C52="SHOW",CONCATENATE(Temp!G48,Temp!H48,",",Temp!I48,",",Temp!J48,Temp!K48),"")</f>
        <v/>
      </c>
      <c r="E52" s="7"/>
      <c r="F52" s="8" t="str">
        <f t="shared" si="1"/>
        <v/>
      </c>
      <c r="I52" s="4" t="s">
        <v>5</v>
      </c>
      <c r="J52" s="4" t="s">
        <v>5</v>
      </c>
      <c r="K52" s="4" t="s">
        <v>5</v>
      </c>
      <c r="L52" s="4" t="s">
        <v>5</v>
      </c>
      <c r="M52" s="4" t="s">
        <v>5</v>
      </c>
    </row>
    <row r="53" spans="1:13" x14ac:dyDescent="0.25">
      <c r="A53" s="13" t="str">
        <f>IF(AND($E53="",MAX($A$8:$A52)=0),"",IF(AND($E53&lt;&gt;"",MAX($A$8:$A52)=0),1,IF(AND($E53&lt;&gt;"",MAX($A$8:$A52)&gt;0),MAX($A$8:$A52)+1,"")))</f>
        <v/>
      </c>
      <c r="B53" s="11">
        <v>46</v>
      </c>
      <c r="C53" s="19" t="str">
        <f t="shared" si="0"/>
        <v>EMPTY</v>
      </c>
      <c r="D53" s="3" t="str">
        <f>IF(C53="SHOW",CONCATENATE(Temp!G49,Temp!H49,",",Temp!I49,",",Temp!J49,Temp!K49),"")</f>
        <v/>
      </c>
      <c r="E53" s="7"/>
      <c r="F53" s="8" t="str">
        <f t="shared" si="1"/>
        <v/>
      </c>
      <c r="I53" s="4" t="s">
        <v>5</v>
      </c>
      <c r="J53" s="4" t="s">
        <v>5</v>
      </c>
      <c r="K53" s="4" t="s">
        <v>5</v>
      </c>
      <c r="L53" s="4" t="s">
        <v>5</v>
      </c>
      <c r="M53" s="4" t="s">
        <v>5</v>
      </c>
    </row>
    <row r="54" spans="1:13" x14ac:dyDescent="0.25">
      <c r="A54" s="13" t="str">
        <f>IF(AND($E54="",MAX($A$8:$A53)=0),"",IF(AND($E54&lt;&gt;"",MAX($A$8:$A53)=0),1,IF(AND($E54&lt;&gt;"",MAX($A$8:$A53)&gt;0),MAX($A$8:$A53)+1,"")))</f>
        <v/>
      </c>
      <c r="B54" s="11">
        <v>47</v>
      </c>
      <c r="C54" s="19" t="str">
        <f t="shared" si="0"/>
        <v>EMPTY</v>
      </c>
      <c r="D54" s="3" t="str">
        <f>IF(C54="SHOW",CONCATENATE(Temp!G50,Temp!H50,",",Temp!I50,",",Temp!J50,Temp!K50),"")</f>
        <v/>
      </c>
      <c r="E54" s="7"/>
      <c r="F54" s="8" t="str">
        <f t="shared" si="1"/>
        <v/>
      </c>
      <c r="I54" s="4" t="s">
        <v>5</v>
      </c>
      <c r="J54" s="4" t="s">
        <v>5</v>
      </c>
      <c r="K54" s="4" t="s">
        <v>5</v>
      </c>
      <c r="L54" s="4" t="s">
        <v>5</v>
      </c>
      <c r="M54" s="4" t="s">
        <v>5</v>
      </c>
    </row>
    <row r="55" spans="1:13" x14ac:dyDescent="0.25">
      <c r="A55" s="13" t="str">
        <f>IF(AND($E55="",MAX($A$8:$A54)=0),"",IF(AND($E55&lt;&gt;"",MAX($A$8:$A54)=0),1,IF(AND($E55&lt;&gt;"",MAX($A$8:$A54)&gt;0),MAX($A$8:$A54)+1,"")))</f>
        <v/>
      </c>
      <c r="B55" s="11">
        <v>48</v>
      </c>
      <c r="C55" s="19" t="str">
        <f t="shared" si="0"/>
        <v>EMPTY</v>
      </c>
      <c r="D55" s="3" t="str">
        <f>IF(C55="SHOW",CONCATENATE(Temp!G51,Temp!H51,",",Temp!I51,",",Temp!J51,Temp!K51),"")</f>
        <v/>
      </c>
      <c r="E55" s="7"/>
      <c r="F55" s="8" t="str">
        <f t="shared" si="1"/>
        <v/>
      </c>
      <c r="I55" s="4" t="s">
        <v>5</v>
      </c>
      <c r="J55" s="4" t="s">
        <v>5</v>
      </c>
      <c r="K55" s="4" t="s">
        <v>5</v>
      </c>
      <c r="L55" s="4" t="s">
        <v>5</v>
      </c>
      <c r="M55" s="4" t="s">
        <v>5</v>
      </c>
    </row>
    <row r="56" spans="1:13" x14ac:dyDescent="0.25">
      <c r="A56" s="13" t="str">
        <f>IF(AND($E56="",MAX($A$8:$A55)=0),"",IF(AND($E56&lt;&gt;"",MAX($A$8:$A55)=0),1,IF(AND($E56&lt;&gt;"",MAX($A$8:$A55)&gt;0),MAX($A$8:$A55)+1,"")))</f>
        <v/>
      </c>
      <c r="B56" s="11">
        <v>49</v>
      </c>
      <c r="C56" s="19" t="str">
        <f t="shared" si="0"/>
        <v>EMPTY</v>
      </c>
      <c r="D56" s="3" t="str">
        <f>IF(C56="SHOW",CONCATENATE(Temp!G52,Temp!H52,",",Temp!I52,",",Temp!J52,Temp!K52),"")</f>
        <v/>
      </c>
      <c r="E56" s="7"/>
      <c r="F56" s="8" t="str">
        <f t="shared" si="1"/>
        <v/>
      </c>
      <c r="I56" s="4" t="s">
        <v>5</v>
      </c>
      <c r="J56" s="4" t="s">
        <v>5</v>
      </c>
      <c r="K56" s="4" t="s">
        <v>5</v>
      </c>
      <c r="L56" s="4" t="s">
        <v>5</v>
      </c>
      <c r="M56" s="4" t="s">
        <v>5</v>
      </c>
    </row>
    <row r="57" spans="1:13" x14ac:dyDescent="0.25">
      <c r="A57" s="13" t="str">
        <f>IF(AND($E57="",MAX($A$8:$A56)=0),"",IF(AND($E57&lt;&gt;"",MAX($A$8:$A56)=0),1,IF(AND($E57&lt;&gt;"",MAX($A$8:$A56)&gt;0),MAX($A$8:$A56)+1,"")))</f>
        <v/>
      </c>
      <c r="B57" s="11">
        <v>50</v>
      </c>
      <c r="C57" s="19" t="str">
        <f t="shared" si="0"/>
        <v>EMPTY</v>
      </c>
      <c r="D57" s="3" t="str">
        <f>IF(C57="SHOW",CONCATENATE(Temp!G53,Temp!H53,",",Temp!I53,",",Temp!J53,Temp!K53),"")</f>
        <v/>
      </c>
      <c r="E57" s="7"/>
      <c r="F57" s="8" t="str">
        <f t="shared" si="1"/>
        <v/>
      </c>
      <c r="I57" s="4" t="s">
        <v>5</v>
      </c>
      <c r="J57" s="4" t="s">
        <v>5</v>
      </c>
      <c r="K57" s="4" t="s">
        <v>5</v>
      </c>
      <c r="L57" s="4" t="s">
        <v>5</v>
      </c>
      <c r="M57" s="4" t="s">
        <v>5</v>
      </c>
    </row>
    <row r="58" spans="1:13" x14ac:dyDescent="0.25">
      <c r="A58" s="13" t="str">
        <f>IF(AND($E58="",MAX($A$8:$A57)=0),"",IF(AND($E58&lt;&gt;"",MAX($A$8:$A57)=0),1,IF(AND($E58&lt;&gt;"",MAX($A$8:$A57)&gt;0),MAX($A$8:$A57)+1,"")))</f>
        <v/>
      </c>
      <c r="B58" s="11">
        <v>51</v>
      </c>
      <c r="C58" s="19" t="str">
        <f t="shared" si="0"/>
        <v>EMPTY</v>
      </c>
      <c r="D58" s="3" t="str">
        <f>IF(C58="SHOW",CONCATENATE(Temp!G54,Temp!H54,",",Temp!I54,",",Temp!J54,Temp!K54),"")</f>
        <v/>
      </c>
      <c r="E58" s="7"/>
      <c r="F58" s="8" t="str">
        <f t="shared" si="1"/>
        <v/>
      </c>
      <c r="I58" s="4" t="s">
        <v>5</v>
      </c>
      <c r="J58" s="4" t="s">
        <v>5</v>
      </c>
      <c r="K58" s="4" t="s">
        <v>5</v>
      </c>
      <c r="L58" s="4" t="s">
        <v>5</v>
      </c>
      <c r="M58" s="4" t="s">
        <v>5</v>
      </c>
    </row>
    <row r="59" spans="1:13" x14ac:dyDescent="0.25">
      <c r="A59" s="13" t="str">
        <f>IF(AND($E59="",MAX($A$8:$A58)=0),"",IF(AND($E59&lt;&gt;"",MAX($A$8:$A58)=0),1,IF(AND($E59&lt;&gt;"",MAX($A$8:$A58)&gt;0),MAX($A$8:$A58)+1,"")))</f>
        <v/>
      </c>
      <c r="B59" s="11">
        <v>52</v>
      </c>
      <c r="C59" s="19" t="str">
        <f t="shared" si="0"/>
        <v>EMPTY</v>
      </c>
      <c r="D59" s="3" t="str">
        <f>IF(C59="SHOW",CONCATENATE(Temp!G55,Temp!H55,",",Temp!I55,",",Temp!J55,Temp!K55),"")</f>
        <v/>
      </c>
      <c r="E59" s="7"/>
      <c r="F59" s="8" t="str">
        <f t="shared" si="1"/>
        <v/>
      </c>
      <c r="I59" s="4" t="s">
        <v>5</v>
      </c>
      <c r="J59" s="4" t="s">
        <v>5</v>
      </c>
      <c r="K59" s="4" t="s">
        <v>5</v>
      </c>
      <c r="L59" s="4" t="s">
        <v>5</v>
      </c>
      <c r="M59" s="4" t="s">
        <v>5</v>
      </c>
    </row>
    <row r="60" spans="1:13" x14ac:dyDescent="0.25">
      <c r="A60" s="13" t="str">
        <f>IF(AND($E60="",MAX($A$8:$A59)=0),"",IF(AND($E60&lt;&gt;"",MAX($A$8:$A59)=0),1,IF(AND($E60&lt;&gt;"",MAX($A$8:$A59)&gt;0),MAX($A$8:$A59)+1,"")))</f>
        <v/>
      </c>
      <c r="B60" s="11">
        <v>53</v>
      </c>
      <c r="C60" s="19" t="str">
        <f t="shared" si="0"/>
        <v>EMPTY</v>
      </c>
      <c r="D60" s="3" t="str">
        <f>IF(C60="SHOW",CONCATENATE(Temp!G56,Temp!H56,",",Temp!I56,",",Temp!J56,Temp!K56),"")</f>
        <v/>
      </c>
      <c r="E60" s="7"/>
      <c r="F60" s="8" t="str">
        <f t="shared" si="1"/>
        <v/>
      </c>
      <c r="I60" s="4" t="s">
        <v>5</v>
      </c>
      <c r="J60" s="4" t="s">
        <v>5</v>
      </c>
      <c r="K60" s="4" t="s">
        <v>5</v>
      </c>
      <c r="L60" s="4" t="s">
        <v>5</v>
      </c>
      <c r="M60" s="4" t="s">
        <v>5</v>
      </c>
    </row>
    <row r="61" spans="1:13" x14ac:dyDescent="0.25">
      <c r="A61" s="13" t="str">
        <f>IF(AND($E61="",MAX($A$8:$A60)=0),"",IF(AND($E61&lt;&gt;"",MAX($A$8:$A60)=0),1,IF(AND($E61&lt;&gt;"",MAX($A$8:$A60)&gt;0),MAX($A$8:$A60)+1,"")))</f>
        <v/>
      </c>
      <c r="B61" s="11">
        <v>54</v>
      </c>
      <c r="C61" s="19" t="str">
        <f t="shared" si="0"/>
        <v>EMPTY</v>
      </c>
      <c r="D61" s="3" t="str">
        <f>IF(C61="SHOW",CONCATENATE(Temp!G57,Temp!H57,",",Temp!I57,",",Temp!J57,Temp!K57),"")</f>
        <v/>
      </c>
      <c r="E61" s="7"/>
      <c r="F61" s="8" t="str">
        <f t="shared" si="1"/>
        <v/>
      </c>
      <c r="I61" s="4" t="s">
        <v>5</v>
      </c>
      <c r="J61" s="4" t="s">
        <v>5</v>
      </c>
      <c r="K61" s="4" t="s">
        <v>5</v>
      </c>
      <c r="L61" s="4" t="s">
        <v>5</v>
      </c>
      <c r="M61" s="4" t="s">
        <v>5</v>
      </c>
    </row>
    <row r="62" spans="1:13" x14ac:dyDescent="0.25">
      <c r="A62" s="13" t="str">
        <f>IF(AND($E62="",MAX($A$8:$A61)=0),"",IF(AND($E62&lt;&gt;"",MAX($A$8:$A61)=0),1,IF(AND($E62&lt;&gt;"",MAX($A$8:$A61)&gt;0),MAX($A$8:$A61)+1,"")))</f>
        <v/>
      </c>
      <c r="B62" s="11">
        <v>55</v>
      </c>
      <c r="C62" s="19" t="str">
        <f t="shared" si="0"/>
        <v>EMPTY</v>
      </c>
      <c r="D62" s="3" t="str">
        <f>IF(C62="SHOW",CONCATENATE(Temp!G58,Temp!H58,",",Temp!I58,",",Temp!J58,Temp!K58),"")</f>
        <v/>
      </c>
      <c r="E62" s="7"/>
      <c r="F62" s="8" t="str">
        <f t="shared" si="1"/>
        <v/>
      </c>
      <c r="I62" s="4" t="s">
        <v>5</v>
      </c>
      <c r="J62" s="4" t="s">
        <v>5</v>
      </c>
      <c r="K62" s="4" t="s">
        <v>5</v>
      </c>
      <c r="L62" s="4" t="s">
        <v>5</v>
      </c>
    </row>
    <row r="63" spans="1:13" x14ac:dyDescent="0.25">
      <c r="A63" s="13" t="str">
        <f>IF(AND($E63="",MAX($A$8:$A62)=0),"",IF(AND($E63&lt;&gt;"",MAX($A$8:$A62)=0),1,IF(AND($E63&lt;&gt;"",MAX($A$8:$A62)&gt;0),MAX($A$8:$A62)+1,"")))</f>
        <v/>
      </c>
      <c r="B63" s="11">
        <v>56</v>
      </c>
      <c r="C63" s="19" t="str">
        <f t="shared" si="0"/>
        <v>EMPTY</v>
      </c>
      <c r="D63" s="3" t="str">
        <f>IF(C63="SHOW",CONCATENATE(Temp!G59,Temp!H59,",",Temp!I59,",",Temp!J59,Temp!K59),"")</f>
        <v/>
      </c>
      <c r="E63" s="7"/>
      <c r="F63" s="8" t="str">
        <f t="shared" si="1"/>
        <v/>
      </c>
      <c r="I63" s="4" t="s">
        <v>5</v>
      </c>
      <c r="J63" s="4" t="s">
        <v>5</v>
      </c>
      <c r="K63" s="4" t="s">
        <v>5</v>
      </c>
      <c r="L63" s="4" t="s">
        <v>5</v>
      </c>
    </row>
    <row r="64" spans="1:13" x14ac:dyDescent="0.25">
      <c r="A64" s="13" t="str">
        <f>IF(AND($E64="",MAX($A$8:$A63)=0),"",IF(AND($E64&lt;&gt;"",MAX($A$8:$A63)=0),1,IF(AND($E64&lt;&gt;"",MAX($A$8:$A63)&gt;0),MAX($A$8:$A63)+1,"")))</f>
        <v/>
      </c>
      <c r="B64" s="11">
        <v>57</v>
      </c>
      <c r="C64" s="19" t="str">
        <f t="shared" si="0"/>
        <v>EMPTY</v>
      </c>
      <c r="D64" s="3" t="str">
        <f>IF(C64="SHOW",CONCATENATE(Temp!G60,Temp!H60,",",Temp!I60,",",Temp!J60,Temp!K60),"")</f>
        <v/>
      </c>
      <c r="E64" s="7"/>
      <c r="F64" s="8" t="str">
        <f t="shared" si="1"/>
        <v/>
      </c>
      <c r="I64" s="4" t="s">
        <v>5</v>
      </c>
      <c r="J64" s="4" t="s">
        <v>5</v>
      </c>
      <c r="K64" s="4" t="s">
        <v>5</v>
      </c>
      <c r="L64" s="4" t="s">
        <v>5</v>
      </c>
    </row>
    <row r="65" spans="1:12" x14ac:dyDescent="0.25">
      <c r="A65" s="13" t="str">
        <f>IF(AND($E65="",MAX($A$8:$A64)=0),"",IF(AND($E65&lt;&gt;"",MAX($A$8:$A64)=0),1,IF(AND($E65&lt;&gt;"",MAX($A$8:$A64)&gt;0),MAX($A$8:$A64)+1,"")))</f>
        <v/>
      </c>
      <c r="B65" s="11">
        <v>58</v>
      </c>
      <c r="C65" s="19" t="str">
        <f t="shared" si="0"/>
        <v>EMPTY</v>
      </c>
      <c r="D65" s="3" t="str">
        <f>IF(C65="SHOW",CONCATENATE(Temp!G61,Temp!H61,",",Temp!I61,",",Temp!J61,Temp!K61),"")</f>
        <v/>
      </c>
      <c r="E65" s="7"/>
      <c r="F65" s="8" t="str">
        <f t="shared" si="1"/>
        <v/>
      </c>
      <c r="K65" s="4" t="s">
        <v>5</v>
      </c>
      <c r="L65" s="4" t="s">
        <v>5</v>
      </c>
    </row>
    <row r="66" spans="1:12" x14ac:dyDescent="0.25">
      <c r="A66" s="13" t="str">
        <f>IF(AND($E66="",MAX($A$8:$A65)=0),"",IF(AND($E66&lt;&gt;"",MAX($A$8:$A65)=0),1,IF(AND($E66&lt;&gt;"",MAX($A$8:$A65)&gt;0),MAX($A$8:$A65)+1,"")))</f>
        <v/>
      </c>
      <c r="B66" s="11">
        <v>59</v>
      </c>
      <c r="C66" s="19" t="str">
        <f t="shared" si="0"/>
        <v>EMPTY</v>
      </c>
      <c r="D66" s="3" t="str">
        <f>IF(C66="SHOW",CONCATENATE(Temp!G62,Temp!H62,",",Temp!I62,",",Temp!J62,Temp!K62),"")</f>
        <v/>
      </c>
      <c r="E66" s="7"/>
      <c r="F66" s="8" t="str">
        <f t="shared" si="1"/>
        <v/>
      </c>
    </row>
    <row r="67" spans="1:12" x14ac:dyDescent="0.25">
      <c r="A67" s="13" t="str">
        <f>IF(AND($E67="",MAX($A$8:$A66)=0),"",IF(AND($E67&lt;&gt;"",MAX($A$8:$A66)=0),1,IF(AND($E67&lt;&gt;"",MAX($A$8:$A66)&gt;0),MAX($A$8:$A66)+1,"")))</f>
        <v/>
      </c>
      <c r="B67" s="11">
        <v>60</v>
      </c>
      <c r="C67" s="19" t="str">
        <f t="shared" si="0"/>
        <v>EMPTY</v>
      </c>
      <c r="D67" s="3" t="str">
        <f>IF(C67="SHOW",CONCATENATE(Temp!G63,Temp!H63,",",Temp!I63,",",Temp!J63,Temp!K63),"")</f>
        <v/>
      </c>
      <c r="E67" s="7"/>
      <c r="F67" s="8" t="str">
        <f t="shared" si="1"/>
        <v/>
      </c>
    </row>
    <row r="68" spans="1:12" x14ac:dyDescent="0.25">
      <c r="A68" s="13" t="str">
        <f>IF(AND($E68="",MAX($A$8:$A67)=0),"",IF(AND($E68&lt;&gt;"",MAX($A$8:$A67)=0),1,IF(AND($E68&lt;&gt;"",MAX($A$8:$A67)&gt;0),MAX($A$8:$A67)+1,"")))</f>
        <v/>
      </c>
      <c r="B68" s="11">
        <v>61</v>
      </c>
      <c r="C68" s="19" t="str">
        <f t="shared" si="0"/>
        <v>EMPTY</v>
      </c>
      <c r="D68" s="3" t="str">
        <f>IF(C68="SHOW",CONCATENATE(Temp!G64,Temp!H64,",",Temp!I64,",",Temp!J64,Temp!K64),"")</f>
        <v/>
      </c>
      <c r="E68" s="7"/>
      <c r="F68" s="8" t="str">
        <f t="shared" si="1"/>
        <v/>
      </c>
    </row>
    <row r="69" spans="1:12" x14ac:dyDescent="0.25">
      <c r="A69" s="13" t="str">
        <f>IF(AND($E69="",MAX($A$8:$A68)=0),"",IF(AND($E69&lt;&gt;"",MAX($A$8:$A68)=0),1,IF(AND($E69&lt;&gt;"",MAX($A$8:$A68)&gt;0),MAX($A$8:$A68)+1,"")))</f>
        <v/>
      </c>
      <c r="B69" s="11">
        <v>62</v>
      </c>
      <c r="C69" s="19" t="str">
        <f t="shared" si="0"/>
        <v>EMPTY</v>
      </c>
      <c r="D69" s="3" t="str">
        <f>IF(C69="SHOW",CONCATENATE(Temp!G65,Temp!H65,",",Temp!I65,",",Temp!J65,Temp!K65),"")</f>
        <v/>
      </c>
      <c r="E69" s="7"/>
      <c r="F69" s="8" t="str">
        <f t="shared" si="1"/>
        <v/>
      </c>
    </row>
    <row r="70" spans="1:12" x14ac:dyDescent="0.25">
      <c r="A70" s="13" t="str">
        <f>IF(AND($E70="",MAX($A$8:$A69)=0),"",IF(AND($E70&lt;&gt;"",MAX($A$8:$A69)=0),1,IF(AND($E70&lt;&gt;"",MAX($A$8:$A69)&gt;0),MAX($A$8:$A69)+1,"")))</f>
        <v/>
      </c>
      <c r="B70" s="11">
        <v>63</v>
      </c>
      <c r="C70" s="19" t="str">
        <f t="shared" si="0"/>
        <v>EMPTY</v>
      </c>
      <c r="D70" s="3" t="str">
        <f>IF(C70="SHOW",CONCATENATE(Temp!G66,Temp!H66,",",Temp!I66,",",Temp!J66,Temp!K66),"")</f>
        <v/>
      </c>
      <c r="E70" s="7"/>
      <c r="F70" s="8" t="str">
        <f t="shared" si="1"/>
        <v/>
      </c>
    </row>
    <row r="71" spans="1:12" x14ac:dyDescent="0.25">
      <c r="A71" s="13" t="str">
        <f>IF(AND($E71="",MAX($A$8:$A70)=0),"",IF(AND($E71&lt;&gt;"",MAX($A$8:$A70)=0),1,IF(AND($E71&lt;&gt;"",MAX($A$8:$A70)&gt;0),MAX($A$8:$A70)+1,"")))</f>
        <v/>
      </c>
      <c r="B71" s="11">
        <v>64</v>
      </c>
      <c r="C71" s="19" t="str">
        <f t="shared" si="0"/>
        <v>EMPTY</v>
      </c>
      <c r="D71" s="3" t="str">
        <f>IF(C71="SHOW",CONCATENATE(Temp!G67,Temp!H67,",",Temp!I67,",",Temp!J67,Temp!K67),"")</f>
        <v/>
      </c>
      <c r="E71" s="7"/>
      <c r="F71" s="8" t="str">
        <f t="shared" si="1"/>
        <v/>
      </c>
    </row>
    <row r="72" spans="1:12" x14ac:dyDescent="0.25">
      <c r="A72" s="13" t="str">
        <f>IF(AND($E72="",MAX($A$8:$A71)=0),"",IF(AND($E72&lt;&gt;"",MAX($A$8:$A71)=0),1,IF(AND($E72&lt;&gt;"",MAX($A$8:$A71)&gt;0),MAX($A$8:$A71)+1,"")))</f>
        <v/>
      </c>
      <c r="B72" s="11">
        <v>65</v>
      </c>
      <c r="C72" s="19" t="str">
        <f t="shared" si="0"/>
        <v>EMPTY</v>
      </c>
      <c r="D72" s="3" t="str">
        <f>IF(C72="SHOW",CONCATENATE(Temp!G68,Temp!H68,",",Temp!I68,",",Temp!J68,Temp!K68),"")</f>
        <v/>
      </c>
      <c r="E72" s="7"/>
      <c r="F72" s="8" t="str">
        <f t="shared" si="1"/>
        <v/>
      </c>
    </row>
    <row r="73" spans="1:12" x14ac:dyDescent="0.25">
      <c r="A73" s="13" t="str">
        <f>IF(AND($E73="",MAX($A$8:$A72)=0),"",IF(AND($E73&lt;&gt;"",MAX($A$8:$A72)=0),1,IF(AND($E73&lt;&gt;"",MAX($A$8:$A72)&gt;0),MAX($A$8:$A72)+1,"")))</f>
        <v/>
      </c>
      <c r="B73" s="11">
        <v>66</v>
      </c>
      <c r="C73" s="19" t="str">
        <f t="shared" ref="C73:C136" si="2">IF(E73="","EMPTY",IF(MID(E73,1,9)&lt;&gt;"Dialogue:","HIDE",IF(MID(E73,1,9)="Dialogue:","SHOW","")))</f>
        <v>EMPTY</v>
      </c>
      <c r="D73" s="3" t="str">
        <f>IF(C73="SHOW",CONCATENATE(Temp!G69,Temp!H69,",",Temp!I69,",",Temp!J69,Temp!K69),"")</f>
        <v/>
      </c>
      <c r="E73" s="7"/>
      <c r="F73" s="8" t="str">
        <f t="shared" ref="F73:F136" si="3">$D73</f>
        <v/>
      </c>
    </row>
    <row r="74" spans="1:12" x14ac:dyDescent="0.25">
      <c r="A74" s="13" t="str">
        <f>IF(AND($E74="",MAX($A$8:$A73)=0),"",IF(AND($E74&lt;&gt;"",MAX($A$8:$A73)=0),1,IF(AND($E74&lt;&gt;"",MAX($A$8:$A73)&gt;0),MAX($A$8:$A73)+1,"")))</f>
        <v/>
      </c>
      <c r="B74" s="11">
        <v>67</v>
      </c>
      <c r="C74" s="19" t="str">
        <f t="shared" si="2"/>
        <v>EMPTY</v>
      </c>
      <c r="D74" s="3" t="str">
        <f>IF(C74="SHOW",CONCATENATE(Temp!G70,Temp!H70,",",Temp!I70,",",Temp!J70,Temp!K70),"")</f>
        <v/>
      </c>
      <c r="E74" s="7"/>
      <c r="F74" s="8" t="str">
        <f t="shared" si="3"/>
        <v/>
      </c>
    </row>
    <row r="75" spans="1:12" x14ac:dyDescent="0.25">
      <c r="A75" s="13" t="str">
        <f>IF(AND($E75="",MAX($A$8:$A74)=0),"",IF(AND($E75&lt;&gt;"",MAX($A$8:$A74)=0),1,IF(AND($E75&lt;&gt;"",MAX($A$8:$A74)&gt;0),MAX($A$8:$A74)+1,"")))</f>
        <v/>
      </c>
      <c r="B75" s="11">
        <v>68</v>
      </c>
      <c r="C75" s="19" t="str">
        <f t="shared" si="2"/>
        <v>EMPTY</v>
      </c>
      <c r="D75" s="3" t="str">
        <f>IF(C75="SHOW",CONCATENATE(Temp!G71,Temp!H71,",",Temp!I71,",",Temp!J71,Temp!K71),"")</f>
        <v/>
      </c>
      <c r="E75" s="7"/>
      <c r="F75" s="8" t="str">
        <f t="shared" si="3"/>
        <v/>
      </c>
    </row>
    <row r="76" spans="1:12" x14ac:dyDescent="0.25">
      <c r="A76" s="13" t="str">
        <f>IF(AND($E76="",MAX($A$8:$A75)=0),"",IF(AND($E76&lt;&gt;"",MAX($A$8:$A75)=0),1,IF(AND($E76&lt;&gt;"",MAX($A$8:$A75)&gt;0),MAX($A$8:$A75)+1,"")))</f>
        <v/>
      </c>
      <c r="B76" s="11">
        <v>69</v>
      </c>
      <c r="C76" s="19" t="str">
        <f t="shared" si="2"/>
        <v>EMPTY</v>
      </c>
      <c r="D76" s="3" t="str">
        <f>IF(C76="SHOW",CONCATENATE(Temp!G72,Temp!H72,",",Temp!I72,",",Temp!J72,Temp!K72),"")</f>
        <v/>
      </c>
      <c r="E76" s="7"/>
      <c r="F76" s="8" t="str">
        <f t="shared" si="3"/>
        <v/>
      </c>
    </row>
    <row r="77" spans="1:12" x14ac:dyDescent="0.25">
      <c r="A77" s="13" t="str">
        <f>IF(AND($E77="",MAX($A$8:$A76)=0),"",IF(AND($E77&lt;&gt;"",MAX($A$8:$A76)=0),1,IF(AND($E77&lt;&gt;"",MAX($A$8:$A76)&gt;0),MAX($A$8:$A76)+1,"")))</f>
        <v/>
      </c>
      <c r="B77" s="11">
        <v>70</v>
      </c>
      <c r="C77" s="19" t="str">
        <f t="shared" si="2"/>
        <v>EMPTY</v>
      </c>
      <c r="D77" s="3" t="str">
        <f>IF(C77="SHOW",CONCATENATE(Temp!G73,Temp!H73,",",Temp!I73,",",Temp!J73,Temp!K73),"")</f>
        <v/>
      </c>
      <c r="E77" s="7"/>
      <c r="F77" s="8" t="str">
        <f t="shared" si="3"/>
        <v/>
      </c>
    </row>
    <row r="78" spans="1:12" x14ac:dyDescent="0.25">
      <c r="A78" s="13" t="str">
        <f>IF(AND($E78="",MAX($A$8:$A77)=0),"",IF(AND($E78&lt;&gt;"",MAX($A$8:$A77)=0),1,IF(AND($E78&lt;&gt;"",MAX($A$8:$A77)&gt;0),MAX($A$8:$A77)+1,"")))</f>
        <v/>
      </c>
      <c r="B78" s="11">
        <v>71</v>
      </c>
      <c r="C78" s="19" t="str">
        <f t="shared" si="2"/>
        <v>EMPTY</v>
      </c>
      <c r="D78" s="3" t="str">
        <f>IF(C78="SHOW",CONCATENATE(Temp!G74,Temp!H74,",",Temp!I74,",",Temp!J74,Temp!K74),"")</f>
        <v/>
      </c>
      <c r="E78" s="7"/>
      <c r="F78" s="8" t="str">
        <f t="shared" si="3"/>
        <v/>
      </c>
    </row>
    <row r="79" spans="1:12" x14ac:dyDescent="0.25">
      <c r="A79" s="13" t="str">
        <f>IF(AND($E79="",MAX($A$8:$A78)=0),"",IF(AND($E79&lt;&gt;"",MAX($A$8:$A78)=0),1,IF(AND($E79&lt;&gt;"",MAX($A$8:$A78)&gt;0),MAX($A$8:$A78)+1,"")))</f>
        <v/>
      </c>
      <c r="B79" s="11">
        <v>72</v>
      </c>
      <c r="C79" s="19" t="str">
        <f t="shared" si="2"/>
        <v>EMPTY</v>
      </c>
      <c r="D79" s="3" t="str">
        <f>IF(C79="SHOW",CONCATENATE(Temp!G75,Temp!H75,",",Temp!I75,",",Temp!J75,Temp!K75),"")</f>
        <v/>
      </c>
      <c r="E79" s="7"/>
      <c r="F79" s="8" t="str">
        <f t="shared" si="3"/>
        <v/>
      </c>
    </row>
    <row r="80" spans="1:12" x14ac:dyDescent="0.25">
      <c r="A80" s="13" t="str">
        <f>IF(AND($E80="",MAX($A$8:$A79)=0),"",IF(AND($E80&lt;&gt;"",MAX($A$8:$A79)=0),1,IF(AND($E80&lt;&gt;"",MAX($A$8:$A79)&gt;0),MAX($A$8:$A79)+1,"")))</f>
        <v/>
      </c>
      <c r="B80" s="11">
        <v>73</v>
      </c>
      <c r="C80" s="19" t="str">
        <f t="shared" si="2"/>
        <v>EMPTY</v>
      </c>
      <c r="D80" s="3" t="str">
        <f>IF(C80="SHOW",CONCATENATE(Temp!G76,Temp!H76,",",Temp!I76,",",Temp!J76,Temp!K76),"")</f>
        <v/>
      </c>
      <c r="E80" s="7"/>
      <c r="F80" s="8" t="str">
        <f t="shared" si="3"/>
        <v/>
      </c>
    </row>
    <row r="81" spans="1:6" x14ac:dyDescent="0.25">
      <c r="A81" s="13" t="str">
        <f>IF(AND($E81="",MAX($A$8:$A80)=0),"",IF(AND($E81&lt;&gt;"",MAX($A$8:$A80)=0),1,IF(AND($E81&lt;&gt;"",MAX($A$8:$A80)&gt;0),MAX($A$8:$A80)+1,"")))</f>
        <v/>
      </c>
      <c r="B81" s="11">
        <v>74</v>
      </c>
      <c r="C81" s="19" t="str">
        <f t="shared" si="2"/>
        <v>EMPTY</v>
      </c>
      <c r="D81" s="3" t="str">
        <f>IF(C81="SHOW",CONCATENATE(Temp!G77,Temp!H77,",",Temp!I77,",",Temp!J77,Temp!K77),"")</f>
        <v/>
      </c>
      <c r="E81" s="7"/>
      <c r="F81" s="8" t="str">
        <f t="shared" si="3"/>
        <v/>
      </c>
    </row>
    <row r="82" spans="1:6" x14ac:dyDescent="0.25">
      <c r="A82" s="13" t="str">
        <f>IF(AND($E82="",MAX($A$8:$A81)=0),"",IF(AND($E82&lt;&gt;"",MAX($A$8:$A81)=0),1,IF(AND($E82&lt;&gt;"",MAX($A$8:$A81)&gt;0),MAX($A$8:$A81)+1,"")))</f>
        <v/>
      </c>
      <c r="B82" s="11">
        <v>75</v>
      </c>
      <c r="C82" s="19" t="str">
        <f t="shared" si="2"/>
        <v>EMPTY</v>
      </c>
      <c r="D82" s="3" t="str">
        <f>IF(C82="SHOW",CONCATENATE(Temp!G78,Temp!H78,",",Temp!I78,",",Temp!J78,Temp!K78),"")</f>
        <v/>
      </c>
      <c r="E82" s="7"/>
      <c r="F82" s="8" t="str">
        <f t="shared" si="3"/>
        <v/>
      </c>
    </row>
    <row r="83" spans="1:6" x14ac:dyDescent="0.25">
      <c r="A83" s="13" t="str">
        <f>IF(AND($E83="",MAX($A$8:$A82)=0),"",IF(AND($E83&lt;&gt;"",MAX($A$8:$A82)=0),1,IF(AND($E83&lt;&gt;"",MAX($A$8:$A82)&gt;0),MAX($A$8:$A82)+1,"")))</f>
        <v/>
      </c>
      <c r="B83" s="11">
        <v>76</v>
      </c>
      <c r="C83" s="19" t="str">
        <f t="shared" si="2"/>
        <v>EMPTY</v>
      </c>
      <c r="D83" s="3" t="str">
        <f>IF(C83="SHOW",CONCATENATE(Temp!G79,Temp!H79,",",Temp!I79,",",Temp!J79,Temp!K79),"")</f>
        <v/>
      </c>
      <c r="E83" s="7"/>
      <c r="F83" s="8" t="str">
        <f t="shared" si="3"/>
        <v/>
      </c>
    </row>
    <row r="84" spans="1:6" x14ac:dyDescent="0.25">
      <c r="A84" s="13" t="str">
        <f>IF(AND($E84="",MAX($A$8:$A83)=0),"",IF(AND($E84&lt;&gt;"",MAX($A$8:$A83)=0),1,IF(AND($E84&lt;&gt;"",MAX($A$8:$A83)&gt;0),MAX($A$8:$A83)+1,"")))</f>
        <v/>
      </c>
      <c r="B84" s="11">
        <v>77</v>
      </c>
      <c r="C84" s="19" t="str">
        <f t="shared" si="2"/>
        <v>EMPTY</v>
      </c>
      <c r="D84" s="3" t="str">
        <f>IF(C84="SHOW",CONCATENATE(Temp!G80,Temp!H80,",",Temp!I80,",",Temp!J80,Temp!K80),"")</f>
        <v/>
      </c>
      <c r="E84" s="7"/>
      <c r="F84" s="8" t="str">
        <f t="shared" si="3"/>
        <v/>
      </c>
    </row>
    <row r="85" spans="1:6" x14ac:dyDescent="0.25">
      <c r="A85" s="13" t="str">
        <f>IF(AND($E85="",MAX($A$8:$A84)=0),"",IF(AND($E85&lt;&gt;"",MAX($A$8:$A84)=0),1,IF(AND($E85&lt;&gt;"",MAX($A$8:$A84)&gt;0),MAX($A$8:$A84)+1,"")))</f>
        <v/>
      </c>
      <c r="B85" s="11">
        <v>78</v>
      </c>
      <c r="C85" s="19" t="str">
        <f t="shared" si="2"/>
        <v>EMPTY</v>
      </c>
      <c r="D85" s="3" t="str">
        <f>IF(C85="SHOW",CONCATENATE(Temp!G81,Temp!H81,",",Temp!I81,",",Temp!J81,Temp!K81),"")</f>
        <v/>
      </c>
      <c r="E85" s="7"/>
      <c r="F85" s="8" t="str">
        <f t="shared" si="3"/>
        <v/>
      </c>
    </row>
    <row r="86" spans="1:6" x14ac:dyDescent="0.25">
      <c r="A86" s="13" t="str">
        <f>IF(AND($E86="",MAX($A$8:$A85)=0),"",IF(AND($E86&lt;&gt;"",MAX($A$8:$A85)=0),1,IF(AND($E86&lt;&gt;"",MAX($A$8:$A85)&gt;0),MAX($A$8:$A85)+1,"")))</f>
        <v/>
      </c>
      <c r="B86" s="11">
        <v>79</v>
      </c>
      <c r="C86" s="19" t="str">
        <f t="shared" si="2"/>
        <v>EMPTY</v>
      </c>
      <c r="D86" s="3" t="str">
        <f>IF(C86="SHOW",CONCATENATE(Temp!G82,Temp!H82,",",Temp!I82,",",Temp!J82,Temp!K82),"")</f>
        <v/>
      </c>
      <c r="E86" s="7"/>
      <c r="F86" s="8" t="str">
        <f t="shared" si="3"/>
        <v/>
      </c>
    </row>
    <row r="87" spans="1:6" x14ac:dyDescent="0.25">
      <c r="A87" s="13" t="str">
        <f>IF(AND($E87="",MAX($A$8:$A86)=0),"",IF(AND($E87&lt;&gt;"",MAX($A$8:$A86)=0),1,IF(AND($E87&lt;&gt;"",MAX($A$8:$A86)&gt;0),MAX($A$8:$A86)+1,"")))</f>
        <v/>
      </c>
      <c r="B87" s="11">
        <v>80</v>
      </c>
      <c r="C87" s="19" t="str">
        <f t="shared" si="2"/>
        <v>EMPTY</v>
      </c>
      <c r="D87" s="3" t="str">
        <f>IF(C87="SHOW",CONCATENATE(Temp!G83,Temp!H83,",",Temp!I83,",",Temp!J83,Temp!K83),"")</f>
        <v/>
      </c>
      <c r="E87" s="7"/>
      <c r="F87" s="8" t="str">
        <f t="shared" si="3"/>
        <v/>
      </c>
    </row>
    <row r="88" spans="1:6" x14ac:dyDescent="0.25">
      <c r="A88" s="13" t="str">
        <f>IF(AND($E88="",MAX($A$8:$A87)=0),"",IF(AND($E88&lt;&gt;"",MAX($A$8:$A87)=0),1,IF(AND($E88&lt;&gt;"",MAX($A$8:$A87)&gt;0),MAX($A$8:$A87)+1,"")))</f>
        <v/>
      </c>
      <c r="B88" s="11">
        <v>81</v>
      </c>
      <c r="C88" s="19" t="str">
        <f t="shared" si="2"/>
        <v>EMPTY</v>
      </c>
      <c r="D88" s="3" t="str">
        <f>IF(C88="SHOW",CONCATENATE(Temp!G84,Temp!H84,",",Temp!I84,",",Temp!J84,Temp!K84),"")</f>
        <v/>
      </c>
      <c r="E88" s="7"/>
      <c r="F88" s="8" t="str">
        <f t="shared" si="3"/>
        <v/>
      </c>
    </row>
    <row r="89" spans="1:6" x14ac:dyDescent="0.25">
      <c r="A89" s="13" t="str">
        <f>IF(AND($E89="",MAX($A$8:$A88)=0),"",IF(AND($E89&lt;&gt;"",MAX($A$8:$A88)=0),1,IF(AND($E89&lt;&gt;"",MAX($A$8:$A88)&gt;0),MAX($A$8:$A88)+1,"")))</f>
        <v/>
      </c>
      <c r="B89" s="11">
        <v>82</v>
      </c>
      <c r="C89" s="19" t="str">
        <f t="shared" si="2"/>
        <v>EMPTY</v>
      </c>
      <c r="D89" s="3" t="str">
        <f>IF(C89="SHOW",CONCATENATE(Temp!G85,Temp!H85,",",Temp!I85,",",Temp!J85,Temp!K85),"")</f>
        <v/>
      </c>
      <c r="E89" s="7"/>
      <c r="F89" s="8" t="str">
        <f t="shared" si="3"/>
        <v/>
      </c>
    </row>
    <row r="90" spans="1:6" x14ac:dyDescent="0.25">
      <c r="A90" s="13" t="str">
        <f>IF(AND($E90="",MAX($A$8:$A89)=0),"",IF(AND($E90&lt;&gt;"",MAX($A$8:$A89)=0),1,IF(AND($E90&lt;&gt;"",MAX($A$8:$A89)&gt;0),MAX($A$8:$A89)+1,"")))</f>
        <v/>
      </c>
      <c r="B90" s="11">
        <v>83</v>
      </c>
      <c r="C90" s="19" t="str">
        <f t="shared" si="2"/>
        <v>EMPTY</v>
      </c>
      <c r="D90" s="3" t="str">
        <f>IF(C90="SHOW",CONCATENATE(Temp!G86,Temp!H86,",",Temp!I86,",",Temp!J86,Temp!K86),"")</f>
        <v/>
      </c>
      <c r="E90" s="7"/>
      <c r="F90" s="8" t="str">
        <f t="shared" si="3"/>
        <v/>
      </c>
    </row>
    <row r="91" spans="1:6" x14ac:dyDescent="0.25">
      <c r="A91" s="13" t="str">
        <f>IF(AND($E91="",MAX($A$8:$A90)=0),"",IF(AND($E91&lt;&gt;"",MAX($A$8:$A90)=0),1,IF(AND($E91&lt;&gt;"",MAX($A$8:$A90)&gt;0),MAX($A$8:$A90)+1,"")))</f>
        <v/>
      </c>
      <c r="B91" s="11">
        <v>84</v>
      </c>
      <c r="C91" s="19" t="str">
        <f t="shared" si="2"/>
        <v>EMPTY</v>
      </c>
      <c r="D91" s="3" t="str">
        <f>IF(C91="SHOW",CONCATENATE(Temp!G87,Temp!H87,",",Temp!I87,",",Temp!J87,Temp!K87),"")</f>
        <v/>
      </c>
      <c r="E91" s="7"/>
      <c r="F91" s="8" t="str">
        <f t="shared" si="3"/>
        <v/>
      </c>
    </row>
    <row r="92" spans="1:6" x14ac:dyDescent="0.25">
      <c r="A92" s="13" t="str">
        <f>IF(AND($E92="",MAX($A$8:$A91)=0),"",IF(AND($E92&lt;&gt;"",MAX($A$8:$A91)=0),1,IF(AND($E92&lt;&gt;"",MAX($A$8:$A91)&gt;0),MAX($A$8:$A91)+1,"")))</f>
        <v/>
      </c>
      <c r="B92" s="11">
        <v>85</v>
      </c>
      <c r="C92" s="19" t="str">
        <f t="shared" si="2"/>
        <v>EMPTY</v>
      </c>
      <c r="D92" s="3" t="str">
        <f>IF(C92="SHOW",CONCATENATE(Temp!G88,Temp!H88,",",Temp!I88,",",Temp!J88,Temp!K88),"")</f>
        <v/>
      </c>
      <c r="E92" s="7"/>
      <c r="F92" s="8" t="str">
        <f t="shared" si="3"/>
        <v/>
      </c>
    </row>
    <row r="93" spans="1:6" x14ac:dyDescent="0.25">
      <c r="A93" s="13" t="str">
        <f>IF(AND($E93="",MAX($A$8:$A92)=0),"",IF(AND($E93&lt;&gt;"",MAX($A$8:$A92)=0),1,IF(AND($E93&lt;&gt;"",MAX($A$8:$A92)&gt;0),MAX($A$8:$A92)+1,"")))</f>
        <v/>
      </c>
      <c r="B93" s="11">
        <v>86</v>
      </c>
      <c r="C93" s="19" t="str">
        <f t="shared" si="2"/>
        <v>EMPTY</v>
      </c>
      <c r="D93" s="3" t="str">
        <f>IF(C93="SHOW",CONCATENATE(Temp!G89,Temp!H89,",",Temp!I89,",",Temp!J89,Temp!K89),"")</f>
        <v/>
      </c>
      <c r="E93" s="7"/>
      <c r="F93" s="8" t="str">
        <f t="shared" si="3"/>
        <v/>
      </c>
    </row>
    <row r="94" spans="1:6" x14ac:dyDescent="0.25">
      <c r="A94" s="13" t="str">
        <f>IF(AND($E94="",MAX($A$8:$A93)=0),"",IF(AND($E94&lt;&gt;"",MAX($A$8:$A93)=0),1,IF(AND($E94&lt;&gt;"",MAX($A$8:$A93)&gt;0),MAX($A$8:$A93)+1,"")))</f>
        <v/>
      </c>
      <c r="B94" s="11">
        <v>87</v>
      </c>
      <c r="C94" s="19" t="str">
        <f t="shared" si="2"/>
        <v>EMPTY</v>
      </c>
      <c r="D94" s="3" t="str">
        <f>IF(C94="SHOW",CONCATENATE(Temp!G90,Temp!H90,",",Temp!I90,",",Temp!J90,Temp!K90),"")</f>
        <v/>
      </c>
      <c r="E94" s="7"/>
      <c r="F94" s="8" t="str">
        <f t="shared" si="3"/>
        <v/>
      </c>
    </row>
    <row r="95" spans="1:6" x14ac:dyDescent="0.25">
      <c r="A95" s="13" t="str">
        <f>IF(AND($E95="",MAX($A$8:$A94)=0),"",IF(AND($E95&lt;&gt;"",MAX($A$8:$A94)=0),1,IF(AND($E95&lt;&gt;"",MAX($A$8:$A94)&gt;0),MAX($A$8:$A94)+1,"")))</f>
        <v/>
      </c>
      <c r="B95" s="11">
        <v>88</v>
      </c>
      <c r="C95" s="19" t="str">
        <f t="shared" si="2"/>
        <v>EMPTY</v>
      </c>
      <c r="D95" s="3" t="str">
        <f>IF(C95="SHOW",CONCATENATE(Temp!G91,Temp!H91,",",Temp!I91,",",Temp!J91,Temp!K91),"")</f>
        <v/>
      </c>
      <c r="E95" s="7"/>
      <c r="F95" s="8" t="str">
        <f t="shared" si="3"/>
        <v/>
      </c>
    </row>
    <row r="96" spans="1:6" x14ac:dyDescent="0.25">
      <c r="A96" s="13" t="str">
        <f>IF(AND($E96="",MAX($A$8:$A95)=0),"",IF(AND($E96&lt;&gt;"",MAX($A$8:$A95)=0),1,IF(AND($E96&lt;&gt;"",MAX($A$8:$A95)&gt;0),MAX($A$8:$A95)+1,"")))</f>
        <v/>
      </c>
      <c r="B96" s="11">
        <v>89</v>
      </c>
      <c r="C96" s="19" t="str">
        <f t="shared" si="2"/>
        <v>EMPTY</v>
      </c>
      <c r="D96" s="3" t="str">
        <f>IF(C96="SHOW",CONCATENATE(Temp!G92,Temp!H92,",",Temp!I92,",",Temp!J92,Temp!K92),"")</f>
        <v/>
      </c>
      <c r="E96" s="7"/>
      <c r="F96" s="8" t="str">
        <f t="shared" si="3"/>
        <v/>
      </c>
    </row>
    <row r="97" spans="1:6" x14ac:dyDescent="0.25">
      <c r="A97" s="13" t="str">
        <f>IF(AND($E97="",MAX($A$8:$A96)=0),"",IF(AND($E97&lt;&gt;"",MAX($A$8:$A96)=0),1,IF(AND($E97&lt;&gt;"",MAX($A$8:$A96)&gt;0),MAX($A$8:$A96)+1,"")))</f>
        <v/>
      </c>
      <c r="B97" s="11">
        <v>90</v>
      </c>
      <c r="C97" s="19" t="str">
        <f t="shared" si="2"/>
        <v>EMPTY</v>
      </c>
      <c r="D97" s="3" t="str">
        <f>IF(C97="SHOW",CONCATENATE(Temp!G93,Temp!H93,",",Temp!I93,",",Temp!J93,Temp!K93),"")</f>
        <v/>
      </c>
      <c r="E97" s="7"/>
      <c r="F97" s="8" t="str">
        <f t="shared" si="3"/>
        <v/>
      </c>
    </row>
    <row r="98" spans="1:6" x14ac:dyDescent="0.25">
      <c r="A98" s="13" t="str">
        <f>IF(AND($E98="",MAX($A$8:$A97)=0),"",IF(AND($E98&lt;&gt;"",MAX($A$8:$A97)=0),1,IF(AND($E98&lt;&gt;"",MAX($A$8:$A97)&gt;0),MAX($A$8:$A97)+1,"")))</f>
        <v/>
      </c>
      <c r="B98" s="11">
        <v>91</v>
      </c>
      <c r="C98" s="19" t="str">
        <f t="shared" si="2"/>
        <v>EMPTY</v>
      </c>
      <c r="D98" s="3" t="str">
        <f>IF(C98="SHOW",CONCATENATE(Temp!G94,Temp!H94,",",Temp!I94,",",Temp!J94,Temp!K94),"")</f>
        <v/>
      </c>
      <c r="E98" s="7"/>
      <c r="F98" s="8" t="str">
        <f t="shared" si="3"/>
        <v/>
      </c>
    </row>
    <row r="99" spans="1:6" x14ac:dyDescent="0.25">
      <c r="A99" s="13" t="str">
        <f>IF(AND($E99="",MAX($A$8:$A98)=0),"",IF(AND($E99&lt;&gt;"",MAX($A$8:$A98)=0),1,IF(AND($E99&lt;&gt;"",MAX($A$8:$A98)&gt;0),MAX($A$8:$A98)+1,"")))</f>
        <v/>
      </c>
      <c r="B99" s="11">
        <v>92</v>
      </c>
      <c r="C99" s="19" t="str">
        <f t="shared" si="2"/>
        <v>EMPTY</v>
      </c>
      <c r="D99" s="3" t="str">
        <f>IF(C99="SHOW",CONCATENATE(Temp!G95,Temp!H95,",",Temp!I95,",",Temp!J95,Temp!K95),"")</f>
        <v/>
      </c>
      <c r="E99" s="7"/>
      <c r="F99" s="8" t="str">
        <f t="shared" si="3"/>
        <v/>
      </c>
    </row>
    <row r="100" spans="1:6" x14ac:dyDescent="0.25">
      <c r="A100" s="13" t="str">
        <f>IF(AND($E100="",MAX($A$8:$A99)=0),"",IF(AND($E100&lt;&gt;"",MAX($A$8:$A99)=0),1,IF(AND($E100&lt;&gt;"",MAX($A$8:$A99)&gt;0),MAX($A$8:$A99)+1,"")))</f>
        <v/>
      </c>
      <c r="B100" s="11">
        <v>93</v>
      </c>
      <c r="C100" s="19" t="str">
        <f t="shared" si="2"/>
        <v>EMPTY</v>
      </c>
      <c r="D100" s="3" t="str">
        <f>IF(C100="SHOW",CONCATENATE(Temp!G96,Temp!H96,",",Temp!I96,",",Temp!J96,Temp!K96),"")</f>
        <v/>
      </c>
      <c r="E100" s="7"/>
      <c r="F100" s="8" t="str">
        <f t="shared" si="3"/>
        <v/>
      </c>
    </row>
    <row r="101" spans="1:6" x14ac:dyDescent="0.25">
      <c r="A101" s="13" t="str">
        <f>IF(AND($E101="",MAX($A$8:$A100)=0),"",IF(AND($E101&lt;&gt;"",MAX($A$8:$A100)=0),1,IF(AND($E101&lt;&gt;"",MAX($A$8:$A100)&gt;0),MAX($A$8:$A100)+1,"")))</f>
        <v/>
      </c>
      <c r="B101" s="11">
        <v>94</v>
      </c>
      <c r="C101" s="19" t="str">
        <f t="shared" si="2"/>
        <v>EMPTY</v>
      </c>
      <c r="D101" s="3" t="str">
        <f>IF(C101="SHOW",CONCATENATE(Temp!G97,Temp!H97,",",Temp!I97,",",Temp!J97,Temp!K97),"")</f>
        <v/>
      </c>
      <c r="E101" s="7"/>
      <c r="F101" s="8" t="str">
        <f t="shared" si="3"/>
        <v/>
      </c>
    </row>
    <row r="102" spans="1:6" x14ac:dyDescent="0.25">
      <c r="A102" s="13" t="str">
        <f>IF(AND($E102="",MAX($A$8:$A101)=0),"",IF(AND($E102&lt;&gt;"",MAX($A$8:$A101)=0),1,IF(AND($E102&lt;&gt;"",MAX($A$8:$A101)&gt;0),MAX($A$8:$A101)+1,"")))</f>
        <v/>
      </c>
      <c r="B102" s="11">
        <v>95</v>
      </c>
      <c r="C102" s="19" t="str">
        <f t="shared" si="2"/>
        <v>EMPTY</v>
      </c>
      <c r="D102" s="3" t="str">
        <f>IF(C102="SHOW",CONCATENATE(Temp!G98,Temp!H98,",",Temp!I98,",",Temp!J98,Temp!K98),"")</f>
        <v/>
      </c>
      <c r="E102" s="7"/>
      <c r="F102" s="8" t="str">
        <f t="shared" si="3"/>
        <v/>
      </c>
    </row>
    <row r="103" spans="1:6" x14ac:dyDescent="0.25">
      <c r="A103" s="13" t="str">
        <f>IF(AND($E103="",MAX($A$8:$A102)=0),"",IF(AND($E103&lt;&gt;"",MAX($A$8:$A102)=0),1,IF(AND($E103&lt;&gt;"",MAX($A$8:$A102)&gt;0),MAX($A$8:$A102)+1,"")))</f>
        <v/>
      </c>
      <c r="B103" s="11">
        <v>96</v>
      </c>
      <c r="C103" s="19" t="str">
        <f t="shared" si="2"/>
        <v>EMPTY</v>
      </c>
      <c r="D103" s="3" t="str">
        <f>IF(C103="SHOW",CONCATENATE(Temp!G99,Temp!H99,",",Temp!I99,",",Temp!J99,Temp!K99),"")</f>
        <v/>
      </c>
      <c r="E103" s="7"/>
      <c r="F103" s="8" t="str">
        <f t="shared" si="3"/>
        <v/>
      </c>
    </row>
    <row r="104" spans="1:6" x14ac:dyDescent="0.25">
      <c r="A104" s="13" t="str">
        <f>IF(AND($E104="",MAX($A$8:$A103)=0),"",IF(AND($E104&lt;&gt;"",MAX($A$8:$A103)=0),1,IF(AND($E104&lt;&gt;"",MAX($A$8:$A103)&gt;0),MAX($A$8:$A103)+1,"")))</f>
        <v/>
      </c>
      <c r="B104" s="11">
        <v>97</v>
      </c>
      <c r="C104" s="19" t="str">
        <f t="shared" si="2"/>
        <v>EMPTY</v>
      </c>
      <c r="D104" s="3" t="str">
        <f>IF(C104="SHOW",CONCATENATE(Temp!G100,Temp!H100,",",Temp!I100,",",Temp!J100,Temp!K100),"")</f>
        <v/>
      </c>
      <c r="E104" s="7"/>
      <c r="F104" s="8" t="str">
        <f t="shared" si="3"/>
        <v/>
      </c>
    </row>
    <row r="105" spans="1:6" x14ac:dyDescent="0.25">
      <c r="A105" s="13" t="str">
        <f>IF(AND($E105="",MAX($A$8:$A104)=0),"",IF(AND($E105&lt;&gt;"",MAX($A$8:$A104)=0),1,IF(AND($E105&lt;&gt;"",MAX($A$8:$A104)&gt;0),MAX($A$8:$A104)+1,"")))</f>
        <v/>
      </c>
      <c r="B105" s="11">
        <v>98</v>
      </c>
      <c r="C105" s="19" t="str">
        <f t="shared" si="2"/>
        <v>EMPTY</v>
      </c>
      <c r="D105" s="3" t="str">
        <f>IF(C105="SHOW",CONCATENATE(Temp!G101,Temp!H101,",",Temp!I101,",",Temp!J101,Temp!K101),"")</f>
        <v/>
      </c>
      <c r="E105" s="7"/>
      <c r="F105" s="8" t="str">
        <f t="shared" si="3"/>
        <v/>
      </c>
    </row>
    <row r="106" spans="1:6" x14ac:dyDescent="0.25">
      <c r="A106" s="13" t="str">
        <f>IF(AND($E106="",MAX($A$8:$A105)=0),"",IF(AND($E106&lt;&gt;"",MAX($A$8:$A105)=0),1,IF(AND($E106&lt;&gt;"",MAX($A$8:$A105)&gt;0),MAX($A$8:$A105)+1,"")))</f>
        <v/>
      </c>
      <c r="B106" s="11">
        <v>99</v>
      </c>
      <c r="C106" s="19" t="str">
        <f t="shared" si="2"/>
        <v>EMPTY</v>
      </c>
      <c r="D106" s="3" t="str">
        <f>IF(C106="SHOW",CONCATENATE(Temp!G102,Temp!H102,",",Temp!I102,",",Temp!J102,Temp!K102),"")</f>
        <v/>
      </c>
      <c r="E106" s="7"/>
      <c r="F106" s="8" t="str">
        <f t="shared" si="3"/>
        <v/>
      </c>
    </row>
    <row r="107" spans="1:6" x14ac:dyDescent="0.25">
      <c r="A107" s="13" t="str">
        <f>IF(AND($E107="",MAX($A$8:$A106)=0),"",IF(AND($E107&lt;&gt;"",MAX($A$8:$A106)=0),1,IF(AND($E107&lt;&gt;"",MAX($A$8:$A106)&gt;0),MAX($A$8:$A106)+1,"")))</f>
        <v/>
      </c>
      <c r="B107" s="11">
        <v>100</v>
      </c>
      <c r="C107" s="19" t="str">
        <f t="shared" si="2"/>
        <v>EMPTY</v>
      </c>
      <c r="D107" s="3" t="str">
        <f>IF(C107="SHOW",CONCATENATE(Temp!G103,Temp!H103,",",Temp!I103,",",Temp!J103,Temp!K103),"")</f>
        <v/>
      </c>
      <c r="E107" s="7"/>
      <c r="F107" s="8" t="str">
        <f t="shared" si="3"/>
        <v/>
      </c>
    </row>
    <row r="108" spans="1:6" x14ac:dyDescent="0.25">
      <c r="A108" s="13" t="str">
        <f>IF(AND($E108="",MAX($A$8:$A107)=0),"",IF(AND($E108&lt;&gt;"",MAX($A$8:$A107)=0),1,IF(AND($E108&lt;&gt;"",MAX($A$8:$A107)&gt;0),MAX($A$8:$A107)+1,"")))</f>
        <v/>
      </c>
      <c r="B108" s="11">
        <v>101</v>
      </c>
      <c r="C108" s="19" t="str">
        <f t="shared" si="2"/>
        <v>EMPTY</v>
      </c>
      <c r="D108" s="3" t="str">
        <f>IF(C108="SHOW",CONCATENATE(Temp!G104,Temp!H104,",",Temp!I104,",",Temp!J104,Temp!K104),"")</f>
        <v/>
      </c>
      <c r="E108" s="7"/>
      <c r="F108" s="8" t="str">
        <f t="shared" si="3"/>
        <v/>
      </c>
    </row>
    <row r="109" spans="1:6" x14ac:dyDescent="0.25">
      <c r="A109" s="13" t="str">
        <f>IF(AND($E109="",MAX($A$8:$A108)=0),"",IF(AND($E109&lt;&gt;"",MAX($A$8:$A108)=0),1,IF(AND($E109&lt;&gt;"",MAX($A$8:$A108)&gt;0),MAX($A$8:$A108)+1,"")))</f>
        <v/>
      </c>
      <c r="B109" s="11">
        <v>102</v>
      </c>
      <c r="C109" s="19" t="str">
        <f t="shared" si="2"/>
        <v>EMPTY</v>
      </c>
      <c r="D109" s="3" t="str">
        <f>IF(C109="SHOW",CONCATENATE(Temp!G105,Temp!H105,",",Temp!I105,",",Temp!J105,Temp!K105),"")</f>
        <v/>
      </c>
      <c r="E109" s="7"/>
      <c r="F109" s="8" t="str">
        <f t="shared" si="3"/>
        <v/>
      </c>
    </row>
    <row r="110" spans="1:6" x14ac:dyDescent="0.25">
      <c r="A110" s="13" t="str">
        <f>IF(AND($E110="",MAX($A$8:$A109)=0),"",IF(AND($E110&lt;&gt;"",MAX($A$8:$A109)=0),1,IF(AND($E110&lt;&gt;"",MAX($A$8:$A109)&gt;0),MAX($A$8:$A109)+1,"")))</f>
        <v/>
      </c>
      <c r="B110" s="11">
        <v>103</v>
      </c>
      <c r="C110" s="19" t="str">
        <f t="shared" si="2"/>
        <v>EMPTY</v>
      </c>
      <c r="D110" s="3" t="str">
        <f>IF(C110="SHOW",CONCATENATE(Temp!G106,Temp!H106,",",Temp!I106,",",Temp!J106,Temp!K106),"")</f>
        <v/>
      </c>
      <c r="E110" s="7"/>
      <c r="F110" s="8" t="str">
        <f t="shared" si="3"/>
        <v/>
      </c>
    </row>
    <row r="111" spans="1:6" x14ac:dyDescent="0.25">
      <c r="A111" s="13" t="str">
        <f>IF(AND($E111="",MAX($A$8:$A110)=0),"",IF(AND($E111&lt;&gt;"",MAX($A$8:$A110)=0),1,IF(AND($E111&lt;&gt;"",MAX($A$8:$A110)&gt;0),MAX($A$8:$A110)+1,"")))</f>
        <v/>
      </c>
      <c r="B111" s="11">
        <v>104</v>
      </c>
      <c r="C111" s="19" t="str">
        <f t="shared" si="2"/>
        <v>EMPTY</v>
      </c>
      <c r="D111" s="3" t="str">
        <f>IF(C111="SHOW",CONCATENATE(Temp!G107,Temp!H107,",",Temp!I107,",",Temp!J107,Temp!K107),"")</f>
        <v/>
      </c>
      <c r="E111" s="7"/>
      <c r="F111" s="8" t="str">
        <f t="shared" si="3"/>
        <v/>
      </c>
    </row>
    <row r="112" spans="1:6" x14ac:dyDescent="0.25">
      <c r="A112" s="13" t="str">
        <f>IF(AND($E112="",MAX($A$8:$A111)=0),"",IF(AND($E112&lt;&gt;"",MAX($A$8:$A111)=0),1,IF(AND($E112&lt;&gt;"",MAX($A$8:$A111)&gt;0),MAX($A$8:$A111)+1,"")))</f>
        <v/>
      </c>
      <c r="B112" s="11">
        <v>105</v>
      </c>
      <c r="C112" s="19" t="str">
        <f t="shared" si="2"/>
        <v>EMPTY</v>
      </c>
      <c r="D112" s="3" t="str">
        <f>IF(C112="SHOW",CONCATENATE(Temp!G108,Temp!H108,",",Temp!I108,",",Temp!J108,Temp!K108),"")</f>
        <v/>
      </c>
      <c r="E112" s="7"/>
      <c r="F112" s="8" t="str">
        <f t="shared" si="3"/>
        <v/>
      </c>
    </row>
    <row r="113" spans="1:6" x14ac:dyDescent="0.25">
      <c r="A113" s="13" t="str">
        <f>IF(AND($E113="",MAX($A$8:$A112)=0),"",IF(AND($E113&lt;&gt;"",MAX($A$8:$A112)=0),1,IF(AND($E113&lt;&gt;"",MAX($A$8:$A112)&gt;0),MAX($A$8:$A112)+1,"")))</f>
        <v/>
      </c>
      <c r="B113" s="11">
        <v>106</v>
      </c>
      <c r="C113" s="19" t="str">
        <f t="shared" si="2"/>
        <v>EMPTY</v>
      </c>
      <c r="D113" s="3" t="str">
        <f>IF(C113="SHOW",CONCATENATE(Temp!G109,Temp!H109,",",Temp!I109,",",Temp!J109,Temp!K109),"")</f>
        <v/>
      </c>
      <c r="E113" s="7"/>
      <c r="F113" s="8" t="str">
        <f t="shared" si="3"/>
        <v/>
      </c>
    </row>
    <row r="114" spans="1:6" x14ac:dyDescent="0.25">
      <c r="A114" s="13" t="str">
        <f>IF(AND($E114="",MAX($A$8:$A113)=0),"",IF(AND($E114&lt;&gt;"",MAX($A$8:$A113)=0),1,IF(AND($E114&lt;&gt;"",MAX($A$8:$A113)&gt;0),MAX($A$8:$A113)+1,"")))</f>
        <v/>
      </c>
      <c r="B114" s="11">
        <v>107</v>
      </c>
      <c r="C114" s="19" t="str">
        <f t="shared" si="2"/>
        <v>EMPTY</v>
      </c>
      <c r="D114" s="3" t="str">
        <f>IF(C114="SHOW",CONCATENATE(Temp!G110,Temp!H110,",",Temp!I110,",",Temp!J110,Temp!K110),"")</f>
        <v/>
      </c>
      <c r="E114" s="7"/>
      <c r="F114" s="8" t="str">
        <f t="shared" si="3"/>
        <v/>
      </c>
    </row>
    <row r="115" spans="1:6" x14ac:dyDescent="0.25">
      <c r="A115" s="13" t="str">
        <f>IF(AND($E115="",MAX($A$8:$A114)=0),"",IF(AND($E115&lt;&gt;"",MAX($A$8:$A114)=0),1,IF(AND($E115&lt;&gt;"",MAX($A$8:$A114)&gt;0),MAX($A$8:$A114)+1,"")))</f>
        <v/>
      </c>
      <c r="B115" s="11">
        <v>108</v>
      </c>
      <c r="C115" s="19" t="str">
        <f t="shared" si="2"/>
        <v>EMPTY</v>
      </c>
      <c r="D115" s="3" t="str">
        <f>IF(C115="SHOW",CONCATENATE(Temp!G111,Temp!H111,",",Temp!I111,",",Temp!J111,Temp!K111),"")</f>
        <v/>
      </c>
      <c r="E115" s="7"/>
      <c r="F115" s="8" t="str">
        <f t="shared" si="3"/>
        <v/>
      </c>
    </row>
    <row r="116" spans="1:6" x14ac:dyDescent="0.25">
      <c r="A116" s="13" t="str">
        <f>IF(AND($E116="",MAX($A$8:$A115)=0),"",IF(AND($E116&lt;&gt;"",MAX($A$8:$A115)=0),1,IF(AND($E116&lt;&gt;"",MAX($A$8:$A115)&gt;0),MAX($A$8:$A115)+1,"")))</f>
        <v/>
      </c>
      <c r="B116" s="11">
        <v>109</v>
      </c>
      <c r="C116" s="19" t="str">
        <f t="shared" si="2"/>
        <v>EMPTY</v>
      </c>
      <c r="D116" s="3" t="str">
        <f>IF(C116="SHOW",CONCATENATE(Temp!G112,Temp!H112,",",Temp!I112,",",Temp!J112,Temp!K112),"")</f>
        <v/>
      </c>
      <c r="E116" s="7"/>
      <c r="F116" s="8" t="str">
        <f t="shared" si="3"/>
        <v/>
      </c>
    </row>
    <row r="117" spans="1:6" x14ac:dyDescent="0.25">
      <c r="A117" s="13" t="str">
        <f>IF(AND($E117="",MAX($A$8:$A116)=0),"",IF(AND($E117&lt;&gt;"",MAX($A$8:$A116)=0),1,IF(AND($E117&lt;&gt;"",MAX($A$8:$A116)&gt;0),MAX($A$8:$A116)+1,"")))</f>
        <v/>
      </c>
      <c r="B117" s="11">
        <v>110</v>
      </c>
      <c r="C117" s="19" t="str">
        <f t="shared" si="2"/>
        <v>EMPTY</v>
      </c>
      <c r="D117" s="3" t="str">
        <f>IF(C117="SHOW",CONCATENATE(Temp!G113,Temp!H113,",",Temp!I113,",",Temp!J113,Temp!K113),"")</f>
        <v/>
      </c>
      <c r="E117" s="7"/>
      <c r="F117" s="8" t="str">
        <f t="shared" si="3"/>
        <v/>
      </c>
    </row>
    <row r="118" spans="1:6" x14ac:dyDescent="0.25">
      <c r="A118" s="13" t="str">
        <f>IF(AND($E118="",MAX($A$8:$A117)=0),"",IF(AND($E118&lt;&gt;"",MAX($A$8:$A117)=0),1,IF(AND($E118&lt;&gt;"",MAX($A$8:$A117)&gt;0),MAX($A$8:$A117)+1,"")))</f>
        <v/>
      </c>
      <c r="B118" s="11">
        <v>111</v>
      </c>
      <c r="C118" s="19" t="str">
        <f t="shared" si="2"/>
        <v>EMPTY</v>
      </c>
      <c r="D118" s="3" t="str">
        <f>IF(C118="SHOW",CONCATENATE(Temp!G114,Temp!H114,",",Temp!I114,",",Temp!J114,Temp!K114),"")</f>
        <v/>
      </c>
      <c r="E118" s="7"/>
      <c r="F118" s="8" t="str">
        <f t="shared" si="3"/>
        <v/>
      </c>
    </row>
    <row r="119" spans="1:6" x14ac:dyDescent="0.25">
      <c r="A119" s="13" t="str">
        <f>IF(AND($E119="",MAX($A$8:$A118)=0),"",IF(AND($E119&lt;&gt;"",MAX($A$8:$A118)=0),1,IF(AND($E119&lt;&gt;"",MAX($A$8:$A118)&gt;0),MAX($A$8:$A118)+1,"")))</f>
        <v/>
      </c>
      <c r="B119" s="11">
        <v>112</v>
      </c>
      <c r="C119" s="19" t="str">
        <f t="shared" si="2"/>
        <v>EMPTY</v>
      </c>
      <c r="D119" s="3" t="str">
        <f>IF(C119="SHOW",CONCATENATE(Temp!G115,Temp!H115,",",Temp!I115,",",Temp!J115,Temp!K115),"")</f>
        <v/>
      </c>
      <c r="E119" s="7"/>
      <c r="F119" s="8" t="str">
        <f t="shared" si="3"/>
        <v/>
      </c>
    </row>
    <row r="120" spans="1:6" x14ac:dyDescent="0.25">
      <c r="A120" s="13" t="str">
        <f>IF(AND($E120="",MAX($A$8:$A119)=0),"",IF(AND($E120&lt;&gt;"",MAX($A$8:$A119)=0),1,IF(AND($E120&lt;&gt;"",MAX($A$8:$A119)&gt;0),MAX($A$8:$A119)+1,"")))</f>
        <v/>
      </c>
      <c r="B120" s="11">
        <v>113</v>
      </c>
      <c r="C120" s="19" t="str">
        <f t="shared" si="2"/>
        <v>EMPTY</v>
      </c>
      <c r="D120" s="3" t="str">
        <f>IF(C120="SHOW",CONCATENATE(Temp!G116,Temp!H116,",",Temp!I116,",",Temp!J116,Temp!K116),"")</f>
        <v/>
      </c>
      <c r="E120" s="7"/>
      <c r="F120" s="8" t="str">
        <f t="shared" si="3"/>
        <v/>
      </c>
    </row>
    <row r="121" spans="1:6" x14ac:dyDescent="0.25">
      <c r="A121" s="13" t="str">
        <f>IF(AND($E121="",MAX($A$8:$A120)=0),"",IF(AND($E121&lt;&gt;"",MAX($A$8:$A120)=0),1,IF(AND($E121&lt;&gt;"",MAX($A$8:$A120)&gt;0),MAX($A$8:$A120)+1,"")))</f>
        <v/>
      </c>
      <c r="B121" s="11">
        <v>114</v>
      </c>
      <c r="C121" s="19" t="str">
        <f t="shared" si="2"/>
        <v>EMPTY</v>
      </c>
      <c r="D121" s="3" t="str">
        <f>IF(C121="SHOW",CONCATENATE(Temp!G117,Temp!H117,",",Temp!I117,",",Temp!J117,Temp!K117),"")</f>
        <v/>
      </c>
      <c r="E121" s="7"/>
      <c r="F121" s="8" t="str">
        <f t="shared" si="3"/>
        <v/>
      </c>
    </row>
    <row r="122" spans="1:6" x14ac:dyDescent="0.25">
      <c r="A122" s="13" t="str">
        <f>IF(AND($E122="",MAX($A$8:$A121)=0),"",IF(AND($E122&lt;&gt;"",MAX($A$8:$A121)=0),1,IF(AND($E122&lt;&gt;"",MAX($A$8:$A121)&gt;0),MAX($A$8:$A121)+1,"")))</f>
        <v/>
      </c>
      <c r="B122" s="11">
        <v>115</v>
      </c>
      <c r="C122" s="19" t="str">
        <f t="shared" si="2"/>
        <v>EMPTY</v>
      </c>
      <c r="D122" s="3" t="str">
        <f>IF(C122="SHOW",CONCATENATE(Temp!G118,Temp!H118,",",Temp!I118,",",Temp!J118,Temp!K118),"")</f>
        <v/>
      </c>
      <c r="E122" s="7"/>
      <c r="F122" s="8" t="str">
        <f t="shared" si="3"/>
        <v/>
      </c>
    </row>
    <row r="123" spans="1:6" x14ac:dyDescent="0.25">
      <c r="A123" s="13" t="str">
        <f>IF(AND($E123="",MAX($A$8:$A122)=0),"",IF(AND($E123&lt;&gt;"",MAX($A$8:$A122)=0),1,IF(AND($E123&lt;&gt;"",MAX($A$8:$A122)&gt;0),MAX($A$8:$A122)+1,"")))</f>
        <v/>
      </c>
      <c r="B123" s="11">
        <v>116</v>
      </c>
      <c r="C123" s="19" t="str">
        <f t="shared" si="2"/>
        <v>EMPTY</v>
      </c>
      <c r="D123" s="3" t="str">
        <f>IF(C123="SHOW",CONCATENATE(Temp!G119,Temp!H119,",",Temp!I119,",",Temp!J119,Temp!K119),"")</f>
        <v/>
      </c>
      <c r="E123" s="7"/>
      <c r="F123" s="8" t="str">
        <f t="shared" si="3"/>
        <v/>
      </c>
    </row>
    <row r="124" spans="1:6" x14ac:dyDescent="0.25">
      <c r="A124" s="13" t="str">
        <f>IF(AND($E124="",MAX($A$8:$A123)=0),"",IF(AND($E124&lt;&gt;"",MAX($A$8:$A123)=0),1,IF(AND($E124&lt;&gt;"",MAX($A$8:$A123)&gt;0),MAX($A$8:$A123)+1,"")))</f>
        <v/>
      </c>
      <c r="B124" s="11">
        <v>117</v>
      </c>
      <c r="C124" s="19" t="str">
        <f t="shared" si="2"/>
        <v>EMPTY</v>
      </c>
      <c r="D124" s="3" t="str">
        <f>IF(C124="SHOW",CONCATENATE(Temp!G120,Temp!H120,",",Temp!I120,",",Temp!J120,Temp!K120),"")</f>
        <v/>
      </c>
      <c r="E124" s="7"/>
      <c r="F124" s="8" t="str">
        <f t="shared" si="3"/>
        <v/>
      </c>
    </row>
    <row r="125" spans="1:6" x14ac:dyDescent="0.25">
      <c r="A125" s="13" t="str">
        <f>IF(AND($E125="",MAX($A$8:$A124)=0),"",IF(AND($E125&lt;&gt;"",MAX($A$8:$A124)=0),1,IF(AND($E125&lt;&gt;"",MAX($A$8:$A124)&gt;0),MAX($A$8:$A124)+1,"")))</f>
        <v/>
      </c>
      <c r="B125" s="11">
        <v>118</v>
      </c>
      <c r="C125" s="19" t="str">
        <f t="shared" si="2"/>
        <v>EMPTY</v>
      </c>
      <c r="D125" s="3" t="str">
        <f>IF(C125="SHOW",CONCATENATE(Temp!G121,Temp!H121,",",Temp!I121,",",Temp!J121,Temp!K121),"")</f>
        <v/>
      </c>
      <c r="E125" s="7"/>
      <c r="F125" s="8" t="str">
        <f t="shared" si="3"/>
        <v/>
      </c>
    </row>
    <row r="126" spans="1:6" x14ac:dyDescent="0.25">
      <c r="A126" s="13" t="str">
        <f>IF(AND($E126="",MAX($A$8:$A125)=0),"",IF(AND($E126&lt;&gt;"",MAX($A$8:$A125)=0),1,IF(AND($E126&lt;&gt;"",MAX($A$8:$A125)&gt;0),MAX($A$8:$A125)+1,"")))</f>
        <v/>
      </c>
      <c r="B126" s="11">
        <v>119</v>
      </c>
      <c r="C126" s="19" t="str">
        <f t="shared" si="2"/>
        <v>EMPTY</v>
      </c>
      <c r="D126" s="3" t="str">
        <f>IF(C126="SHOW",CONCATENATE(Temp!G122,Temp!H122,",",Temp!I122,",",Temp!J122,Temp!K122),"")</f>
        <v/>
      </c>
      <c r="E126" s="7"/>
      <c r="F126" s="8" t="str">
        <f t="shared" si="3"/>
        <v/>
      </c>
    </row>
    <row r="127" spans="1:6" x14ac:dyDescent="0.25">
      <c r="A127" s="13" t="str">
        <f>IF(AND($E127="",MAX($A$8:$A126)=0),"",IF(AND($E127&lt;&gt;"",MAX($A$8:$A126)=0),1,IF(AND($E127&lt;&gt;"",MAX($A$8:$A126)&gt;0),MAX($A$8:$A126)+1,"")))</f>
        <v/>
      </c>
      <c r="B127" s="11">
        <v>120</v>
      </c>
      <c r="C127" s="19" t="str">
        <f t="shared" si="2"/>
        <v>EMPTY</v>
      </c>
      <c r="D127" s="3" t="str">
        <f>IF(C127="SHOW",CONCATENATE(Temp!G123,Temp!H123,",",Temp!I123,",",Temp!J123,Temp!K123),"")</f>
        <v/>
      </c>
      <c r="E127" s="7"/>
      <c r="F127" s="8" t="str">
        <f t="shared" si="3"/>
        <v/>
      </c>
    </row>
    <row r="128" spans="1:6" x14ac:dyDescent="0.25">
      <c r="A128" s="13" t="str">
        <f>IF(AND($E128="",MAX($A$8:$A127)=0),"",IF(AND($E128&lt;&gt;"",MAX($A$8:$A127)=0),1,IF(AND($E128&lt;&gt;"",MAX($A$8:$A127)&gt;0),MAX($A$8:$A127)+1,"")))</f>
        <v/>
      </c>
      <c r="B128" s="11">
        <v>121</v>
      </c>
      <c r="C128" s="19" t="str">
        <f t="shared" si="2"/>
        <v>EMPTY</v>
      </c>
      <c r="D128" s="3" t="str">
        <f>IF(C128="SHOW",CONCATENATE(Temp!G124,Temp!H124,",",Temp!I124,",",Temp!J124,Temp!K124),"")</f>
        <v/>
      </c>
      <c r="E128" s="7"/>
      <c r="F128" s="8" t="str">
        <f t="shared" si="3"/>
        <v/>
      </c>
    </row>
    <row r="129" spans="1:6" x14ac:dyDescent="0.25">
      <c r="A129" s="13" t="str">
        <f>IF(AND($E129="",MAX($A$8:$A128)=0),"",IF(AND($E129&lt;&gt;"",MAX($A$8:$A128)=0),1,IF(AND($E129&lt;&gt;"",MAX($A$8:$A128)&gt;0),MAX($A$8:$A128)+1,"")))</f>
        <v/>
      </c>
      <c r="B129" s="11">
        <v>122</v>
      </c>
      <c r="C129" s="19" t="str">
        <f t="shared" si="2"/>
        <v>EMPTY</v>
      </c>
      <c r="D129" s="3" t="str">
        <f>IF(C129="SHOW",CONCATENATE(Temp!G125,Temp!H125,",",Temp!I125,",",Temp!J125,Temp!K125),"")</f>
        <v/>
      </c>
      <c r="E129" s="7"/>
      <c r="F129" s="8" t="str">
        <f t="shared" si="3"/>
        <v/>
      </c>
    </row>
    <row r="130" spans="1:6" x14ac:dyDescent="0.25">
      <c r="A130" s="13" t="str">
        <f>IF(AND($E130="",MAX($A$8:$A129)=0),"",IF(AND($E130&lt;&gt;"",MAX($A$8:$A129)=0),1,IF(AND($E130&lt;&gt;"",MAX($A$8:$A129)&gt;0),MAX($A$8:$A129)+1,"")))</f>
        <v/>
      </c>
      <c r="B130" s="11">
        <v>123</v>
      </c>
      <c r="C130" s="19" t="str">
        <f t="shared" si="2"/>
        <v>EMPTY</v>
      </c>
      <c r="D130" s="3" t="str">
        <f>IF(C130="SHOW",CONCATENATE(Temp!G126,Temp!H126,",",Temp!I126,",",Temp!J126,Temp!K126),"")</f>
        <v/>
      </c>
      <c r="E130" s="7"/>
      <c r="F130" s="8" t="str">
        <f t="shared" si="3"/>
        <v/>
      </c>
    </row>
    <row r="131" spans="1:6" x14ac:dyDescent="0.25">
      <c r="A131" s="13" t="str">
        <f>IF(AND($E131="",MAX($A$8:$A130)=0),"",IF(AND($E131&lt;&gt;"",MAX($A$8:$A130)=0),1,IF(AND($E131&lt;&gt;"",MAX($A$8:$A130)&gt;0),MAX($A$8:$A130)+1,"")))</f>
        <v/>
      </c>
      <c r="B131" s="11">
        <v>124</v>
      </c>
      <c r="C131" s="19" t="str">
        <f t="shared" si="2"/>
        <v>EMPTY</v>
      </c>
      <c r="D131" s="3" t="str">
        <f>IF(C131="SHOW",CONCATENATE(Temp!G127,Temp!H127,",",Temp!I127,",",Temp!J127,Temp!K127),"")</f>
        <v/>
      </c>
      <c r="E131" s="7"/>
      <c r="F131" s="8" t="str">
        <f t="shared" si="3"/>
        <v/>
      </c>
    </row>
    <row r="132" spans="1:6" x14ac:dyDescent="0.25">
      <c r="A132" s="13" t="str">
        <f>IF(AND($E132="",MAX($A$8:$A131)=0),"",IF(AND($E132&lt;&gt;"",MAX($A$8:$A131)=0),1,IF(AND($E132&lt;&gt;"",MAX($A$8:$A131)&gt;0),MAX($A$8:$A131)+1,"")))</f>
        <v/>
      </c>
      <c r="B132" s="11">
        <v>125</v>
      </c>
      <c r="C132" s="19" t="str">
        <f t="shared" si="2"/>
        <v>EMPTY</v>
      </c>
      <c r="D132" s="3" t="str">
        <f>IF(C132="SHOW",CONCATENATE(Temp!G128,Temp!H128,",",Temp!I128,",",Temp!J128,Temp!K128),"")</f>
        <v/>
      </c>
      <c r="E132" s="7"/>
      <c r="F132" s="8" t="str">
        <f t="shared" si="3"/>
        <v/>
      </c>
    </row>
    <row r="133" spans="1:6" x14ac:dyDescent="0.25">
      <c r="A133" s="13" t="str">
        <f>IF(AND($E133="",MAX($A$8:$A132)=0),"",IF(AND($E133&lt;&gt;"",MAX($A$8:$A132)=0),1,IF(AND($E133&lt;&gt;"",MAX($A$8:$A132)&gt;0),MAX($A$8:$A132)+1,"")))</f>
        <v/>
      </c>
      <c r="B133" s="11">
        <v>126</v>
      </c>
      <c r="C133" s="19" t="str">
        <f t="shared" si="2"/>
        <v>EMPTY</v>
      </c>
      <c r="D133" s="3" t="str">
        <f>IF(C133="SHOW",CONCATENATE(Temp!G129,Temp!H129,",",Temp!I129,",",Temp!J129,Temp!K129),"")</f>
        <v/>
      </c>
      <c r="E133" s="7"/>
      <c r="F133" s="8" t="str">
        <f t="shared" si="3"/>
        <v/>
      </c>
    </row>
    <row r="134" spans="1:6" x14ac:dyDescent="0.25">
      <c r="A134" s="13" t="str">
        <f>IF(AND($E134="",MAX($A$8:$A133)=0),"",IF(AND($E134&lt;&gt;"",MAX($A$8:$A133)=0),1,IF(AND($E134&lt;&gt;"",MAX($A$8:$A133)&gt;0),MAX($A$8:$A133)+1,"")))</f>
        <v/>
      </c>
      <c r="B134" s="11">
        <v>127</v>
      </c>
      <c r="C134" s="19" t="str">
        <f t="shared" si="2"/>
        <v>EMPTY</v>
      </c>
      <c r="D134" s="3" t="str">
        <f>IF(C134="SHOW",CONCATENATE(Temp!G130,Temp!H130,",",Temp!I130,",",Temp!J130,Temp!K130),"")</f>
        <v/>
      </c>
      <c r="E134" s="7"/>
      <c r="F134" s="8" t="str">
        <f t="shared" si="3"/>
        <v/>
      </c>
    </row>
    <row r="135" spans="1:6" x14ac:dyDescent="0.25">
      <c r="A135" s="13" t="str">
        <f>IF(AND($E135="",MAX($A$8:$A134)=0),"",IF(AND($E135&lt;&gt;"",MAX($A$8:$A134)=0),1,IF(AND($E135&lt;&gt;"",MAX($A$8:$A134)&gt;0),MAX($A$8:$A134)+1,"")))</f>
        <v/>
      </c>
      <c r="B135" s="11">
        <v>128</v>
      </c>
      <c r="C135" s="19" t="str">
        <f t="shared" si="2"/>
        <v>EMPTY</v>
      </c>
      <c r="D135" s="3" t="str">
        <f>IF(C135="SHOW",CONCATENATE(Temp!G131,Temp!H131,",",Temp!I131,",",Temp!J131,Temp!K131),"")</f>
        <v/>
      </c>
      <c r="E135" s="7"/>
      <c r="F135" s="8" t="str">
        <f t="shared" si="3"/>
        <v/>
      </c>
    </row>
    <row r="136" spans="1:6" x14ac:dyDescent="0.25">
      <c r="A136" s="13" t="str">
        <f>IF(AND($E136="",MAX($A$8:$A135)=0),"",IF(AND($E136&lt;&gt;"",MAX($A$8:$A135)=0),1,IF(AND($E136&lt;&gt;"",MAX($A$8:$A135)&gt;0),MAX($A$8:$A135)+1,"")))</f>
        <v/>
      </c>
      <c r="B136" s="11">
        <v>129</v>
      </c>
      <c r="C136" s="19" t="str">
        <f t="shared" si="2"/>
        <v>EMPTY</v>
      </c>
      <c r="D136" s="3" t="str">
        <f>IF(C136="SHOW",CONCATENATE(Temp!G132,Temp!H132,",",Temp!I132,",",Temp!J132,Temp!K132),"")</f>
        <v/>
      </c>
      <c r="E136" s="7"/>
      <c r="F136" s="8" t="str">
        <f t="shared" si="3"/>
        <v/>
      </c>
    </row>
    <row r="137" spans="1:6" x14ac:dyDescent="0.25">
      <c r="A137" s="13" t="str">
        <f>IF(AND($E137="",MAX($A$8:$A136)=0),"",IF(AND($E137&lt;&gt;"",MAX($A$8:$A136)=0),1,IF(AND($E137&lt;&gt;"",MAX($A$8:$A136)&gt;0),MAX($A$8:$A136)+1,"")))</f>
        <v/>
      </c>
      <c r="B137" s="11">
        <v>130</v>
      </c>
      <c r="C137" s="19" t="str">
        <f t="shared" ref="C137:C200" si="4">IF(E137="","EMPTY",IF(MID(E137,1,9)&lt;&gt;"Dialogue:","HIDE",IF(MID(E137,1,9)="Dialogue:","SHOW","")))</f>
        <v>EMPTY</v>
      </c>
      <c r="D137" s="3" t="str">
        <f>IF(C137="SHOW",CONCATENATE(Temp!G133,Temp!H133,",",Temp!I133,",",Temp!J133,Temp!K133),"")</f>
        <v/>
      </c>
      <c r="E137" s="7"/>
      <c r="F137" s="8" t="str">
        <f t="shared" ref="F137:F200" si="5">$D137</f>
        <v/>
      </c>
    </row>
    <row r="138" spans="1:6" x14ac:dyDescent="0.25">
      <c r="A138" s="13" t="str">
        <f>IF(AND($E138="",MAX($A$8:$A137)=0),"",IF(AND($E138&lt;&gt;"",MAX($A$8:$A137)=0),1,IF(AND($E138&lt;&gt;"",MAX($A$8:$A137)&gt;0),MAX($A$8:$A137)+1,"")))</f>
        <v/>
      </c>
      <c r="B138" s="11">
        <v>131</v>
      </c>
      <c r="C138" s="19" t="str">
        <f t="shared" si="4"/>
        <v>EMPTY</v>
      </c>
      <c r="D138" s="3" t="str">
        <f>IF(C138="SHOW",CONCATENATE(Temp!G134,Temp!H134,",",Temp!I134,",",Temp!J134,Temp!K134),"")</f>
        <v/>
      </c>
      <c r="E138" s="7"/>
      <c r="F138" s="8" t="str">
        <f t="shared" si="5"/>
        <v/>
      </c>
    </row>
    <row r="139" spans="1:6" x14ac:dyDescent="0.25">
      <c r="A139" s="13" t="str">
        <f>IF(AND($E139="",MAX($A$8:$A138)=0),"",IF(AND($E139&lt;&gt;"",MAX($A$8:$A138)=0),1,IF(AND($E139&lt;&gt;"",MAX($A$8:$A138)&gt;0),MAX($A$8:$A138)+1,"")))</f>
        <v/>
      </c>
      <c r="B139" s="11">
        <v>132</v>
      </c>
      <c r="C139" s="19" t="str">
        <f t="shared" si="4"/>
        <v>EMPTY</v>
      </c>
      <c r="D139" s="3" t="str">
        <f>IF(C139="SHOW",CONCATENATE(Temp!G135,Temp!H135,",",Temp!I135,",",Temp!J135,Temp!K135),"")</f>
        <v/>
      </c>
      <c r="E139" s="7"/>
      <c r="F139" s="8" t="str">
        <f t="shared" si="5"/>
        <v/>
      </c>
    </row>
    <row r="140" spans="1:6" x14ac:dyDescent="0.25">
      <c r="A140" s="13" t="str">
        <f>IF(AND($E140="",MAX($A$8:$A139)=0),"",IF(AND($E140&lt;&gt;"",MAX($A$8:$A139)=0),1,IF(AND($E140&lt;&gt;"",MAX($A$8:$A139)&gt;0),MAX($A$8:$A139)+1,"")))</f>
        <v/>
      </c>
      <c r="B140" s="11">
        <v>133</v>
      </c>
      <c r="C140" s="19" t="str">
        <f t="shared" si="4"/>
        <v>EMPTY</v>
      </c>
      <c r="D140" s="3" t="str">
        <f>IF(C140="SHOW",CONCATENATE(Temp!G136,Temp!H136,",",Temp!I136,",",Temp!J136,Temp!K136),"")</f>
        <v/>
      </c>
      <c r="E140" s="7"/>
      <c r="F140" s="8" t="str">
        <f t="shared" si="5"/>
        <v/>
      </c>
    </row>
    <row r="141" spans="1:6" x14ac:dyDescent="0.25">
      <c r="A141" s="13" t="str">
        <f>IF(AND($E141="",MAX($A$8:$A140)=0),"",IF(AND($E141&lt;&gt;"",MAX($A$8:$A140)=0),1,IF(AND($E141&lt;&gt;"",MAX($A$8:$A140)&gt;0),MAX($A$8:$A140)+1,"")))</f>
        <v/>
      </c>
      <c r="B141" s="11">
        <v>134</v>
      </c>
      <c r="C141" s="19" t="str">
        <f t="shared" si="4"/>
        <v>EMPTY</v>
      </c>
      <c r="D141" s="3" t="str">
        <f>IF(C141="SHOW",CONCATENATE(Temp!G137,Temp!H137,",",Temp!I137,",",Temp!J137,Temp!K137),"")</f>
        <v/>
      </c>
      <c r="E141" s="7"/>
      <c r="F141" s="8" t="str">
        <f t="shared" si="5"/>
        <v/>
      </c>
    </row>
    <row r="142" spans="1:6" x14ac:dyDescent="0.25">
      <c r="A142" s="13" t="str">
        <f>IF(AND($E142="",MAX($A$8:$A141)=0),"",IF(AND($E142&lt;&gt;"",MAX($A$8:$A141)=0),1,IF(AND($E142&lt;&gt;"",MAX($A$8:$A141)&gt;0),MAX($A$8:$A141)+1,"")))</f>
        <v/>
      </c>
      <c r="B142" s="11">
        <v>135</v>
      </c>
      <c r="C142" s="19" t="str">
        <f t="shared" si="4"/>
        <v>EMPTY</v>
      </c>
      <c r="D142" s="3" t="str">
        <f>IF(C142="SHOW",CONCATENATE(Temp!G138,Temp!H138,",",Temp!I138,",",Temp!J138,Temp!K138),"")</f>
        <v/>
      </c>
      <c r="E142" s="7"/>
      <c r="F142" s="8" t="str">
        <f t="shared" si="5"/>
        <v/>
      </c>
    </row>
    <row r="143" spans="1:6" x14ac:dyDescent="0.25">
      <c r="A143" s="13" t="str">
        <f>IF(AND($E143="",MAX($A$8:$A142)=0),"",IF(AND($E143&lt;&gt;"",MAX($A$8:$A142)=0),1,IF(AND($E143&lt;&gt;"",MAX($A$8:$A142)&gt;0),MAX($A$8:$A142)+1,"")))</f>
        <v/>
      </c>
      <c r="B143" s="11">
        <v>136</v>
      </c>
      <c r="C143" s="19" t="str">
        <f t="shared" si="4"/>
        <v>EMPTY</v>
      </c>
      <c r="D143" s="3" t="str">
        <f>IF(C143="SHOW",CONCATENATE(Temp!G139,Temp!H139,",",Temp!I139,",",Temp!J139,Temp!K139),"")</f>
        <v/>
      </c>
      <c r="E143" s="7"/>
      <c r="F143" s="8" t="str">
        <f t="shared" si="5"/>
        <v/>
      </c>
    </row>
    <row r="144" spans="1:6" x14ac:dyDescent="0.25">
      <c r="A144" s="13" t="str">
        <f>IF(AND($E144="",MAX($A$8:$A143)=0),"",IF(AND($E144&lt;&gt;"",MAX($A$8:$A143)=0),1,IF(AND($E144&lt;&gt;"",MAX($A$8:$A143)&gt;0),MAX($A$8:$A143)+1,"")))</f>
        <v/>
      </c>
      <c r="B144" s="11">
        <v>137</v>
      </c>
      <c r="C144" s="19" t="str">
        <f t="shared" si="4"/>
        <v>EMPTY</v>
      </c>
      <c r="D144" s="3" t="str">
        <f>IF(C144="SHOW",CONCATENATE(Temp!G140,Temp!H140,",",Temp!I140,",",Temp!J140,Temp!K140),"")</f>
        <v/>
      </c>
      <c r="E144" s="7"/>
      <c r="F144" s="8" t="str">
        <f t="shared" si="5"/>
        <v/>
      </c>
    </row>
    <row r="145" spans="1:6" x14ac:dyDescent="0.25">
      <c r="A145" s="13" t="str">
        <f>IF(AND($E145="",MAX($A$8:$A144)=0),"",IF(AND($E145&lt;&gt;"",MAX($A$8:$A144)=0),1,IF(AND($E145&lt;&gt;"",MAX($A$8:$A144)&gt;0),MAX($A$8:$A144)+1,"")))</f>
        <v/>
      </c>
      <c r="B145" s="11">
        <v>138</v>
      </c>
      <c r="C145" s="19" t="str">
        <f t="shared" si="4"/>
        <v>EMPTY</v>
      </c>
      <c r="D145" s="3" t="str">
        <f>IF(C145="SHOW",CONCATENATE(Temp!G141,Temp!H141,",",Temp!I141,",",Temp!J141,Temp!K141),"")</f>
        <v/>
      </c>
      <c r="E145" s="7"/>
      <c r="F145" s="8" t="str">
        <f t="shared" si="5"/>
        <v/>
      </c>
    </row>
    <row r="146" spans="1:6" x14ac:dyDescent="0.25">
      <c r="A146" s="13" t="str">
        <f>IF(AND($E146="",MAX($A$8:$A145)=0),"",IF(AND($E146&lt;&gt;"",MAX($A$8:$A145)=0),1,IF(AND($E146&lt;&gt;"",MAX($A$8:$A145)&gt;0),MAX($A$8:$A145)+1,"")))</f>
        <v/>
      </c>
      <c r="B146" s="11">
        <v>139</v>
      </c>
      <c r="C146" s="19" t="str">
        <f t="shared" si="4"/>
        <v>EMPTY</v>
      </c>
      <c r="D146" s="3" t="str">
        <f>IF(C146="SHOW",CONCATENATE(Temp!G142,Temp!H142,",",Temp!I142,",",Temp!J142,Temp!K142),"")</f>
        <v/>
      </c>
      <c r="E146" s="7"/>
      <c r="F146" s="8" t="str">
        <f t="shared" si="5"/>
        <v/>
      </c>
    </row>
    <row r="147" spans="1:6" x14ac:dyDescent="0.25">
      <c r="A147" s="13" t="str">
        <f>IF(AND($E147="",MAX($A$8:$A146)=0),"",IF(AND($E147&lt;&gt;"",MAX($A$8:$A146)=0),1,IF(AND($E147&lt;&gt;"",MAX($A$8:$A146)&gt;0),MAX($A$8:$A146)+1,"")))</f>
        <v/>
      </c>
      <c r="B147" s="11">
        <v>140</v>
      </c>
      <c r="C147" s="19" t="str">
        <f t="shared" si="4"/>
        <v>EMPTY</v>
      </c>
      <c r="D147" s="3" t="str">
        <f>IF(C147="SHOW",CONCATENATE(Temp!G143,Temp!H143,",",Temp!I143,",",Temp!J143,Temp!K143),"")</f>
        <v/>
      </c>
      <c r="E147" s="7"/>
      <c r="F147" s="8" t="str">
        <f t="shared" si="5"/>
        <v/>
      </c>
    </row>
    <row r="148" spans="1:6" x14ac:dyDescent="0.25">
      <c r="A148" s="13" t="str">
        <f>IF(AND($E148="",MAX($A$8:$A147)=0),"",IF(AND($E148&lt;&gt;"",MAX($A$8:$A147)=0),1,IF(AND($E148&lt;&gt;"",MAX($A$8:$A147)&gt;0),MAX($A$8:$A147)+1,"")))</f>
        <v/>
      </c>
      <c r="B148" s="11">
        <v>141</v>
      </c>
      <c r="C148" s="19" t="str">
        <f t="shared" si="4"/>
        <v>EMPTY</v>
      </c>
      <c r="D148" s="3" t="str">
        <f>IF(C148="SHOW",CONCATENATE(Temp!G144,Temp!H144,",",Temp!I144,",",Temp!J144,Temp!K144),"")</f>
        <v/>
      </c>
      <c r="E148" s="7"/>
      <c r="F148" s="8" t="str">
        <f t="shared" si="5"/>
        <v/>
      </c>
    </row>
    <row r="149" spans="1:6" x14ac:dyDescent="0.25">
      <c r="A149" s="13" t="str">
        <f>IF(AND($E149="",MAX($A$8:$A148)=0),"",IF(AND($E149&lt;&gt;"",MAX($A$8:$A148)=0),1,IF(AND($E149&lt;&gt;"",MAX($A$8:$A148)&gt;0),MAX($A$8:$A148)+1,"")))</f>
        <v/>
      </c>
      <c r="B149" s="11">
        <v>142</v>
      </c>
      <c r="C149" s="19" t="str">
        <f t="shared" si="4"/>
        <v>EMPTY</v>
      </c>
      <c r="D149" s="3" t="str">
        <f>IF(C149="SHOW",CONCATENATE(Temp!G145,Temp!H145,",",Temp!I145,",",Temp!J145,Temp!K145),"")</f>
        <v/>
      </c>
      <c r="E149" s="7"/>
      <c r="F149" s="8" t="str">
        <f t="shared" si="5"/>
        <v/>
      </c>
    </row>
    <row r="150" spans="1:6" x14ac:dyDescent="0.25">
      <c r="A150" s="13" t="str">
        <f>IF(AND($E150="",MAX($A$8:$A149)=0),"",IF(AND($E150&lt;&gt;"",MAX($A$8:$A149)=0),1,IF(AND($E150&lt;&gt;"",MAX($A$8:$A149)&gt;0),MAX($A$8:$A149)+1,"")))</f>
        <v/>
      </c>
      <c r="B150" s="11">
        <v>143</v>
      </c>
      <c r="C150" s="19" t="str">
        <f t="shared" si="4"/>
        <v>EMPTY</v>
      </c>
      <c r="D150" s="3" t="str">
        <f>IF(C150="SHOW",CONCATENATE(Temp!G146,Temp!H146,",",Temp!I146,",",Temp!J146,Temp!K146),"")</f>
        <v/>
      </c>
      <c r="E150" s="7"/>
      <c r="F150" s="8" t="str">
        <f t="shared" si="5"/>
        <v/>
      </c>
    </row>
    <row r="151" spans="1:6" x14ac:dyDescent="0.25">
      <c r="A151" s="13" t="str">
        <f>IF(AND($E151="",MAX($A$8:$A150)=0),"",IF(AND($E151&lt;&gt;"",MAX($A$8:$A150)=0),1,IF(AND($E151&lt;&gt;"",MAX($A$8:$A150)&gt;0),MAX($A$8:$A150)+1,"")))</f>
        <v/>
      </c>
      <c r="B151" s="11">
        <v>144</v>
      </c>
      <c r="C151" s="19" t="str">
        <f t="shared" si="4"/>
        <v>EMPTY</v>
      </c>
      <c r="D151" s="3" t="str">
        <f>IF(C151="SHOW",CONCATENATE(Temp!G147,Temp!H147,",",Temp!I147,",",Temp!J147,Temp!K147),"")</f>
        <v/>
      </c>
      <c r="E151" s="7"/>
      <c r="F151" s="8" t="str">
        <f t="shared" si="5"/>
        <v/>
      </c>
    </row>
    <row r="152" spans="1:6" x14ac:dyDescent="0.25">
      <c r="A152" s="13" t="str">
        <f>IF(AND($E152="",MAX($A$8:$A151)=0),"",IF(AND($E152&lt;&gt;"",MAX($A$8:$A151)=0),1,IF(AND($E152&lt;&gt;"",MAX($A$8:$A151)&gt;0),MAX($A$8:$A151)+1,"")))</f>
        <v/>
      </c>
      <c r="B152" s="11">
        <v>145</v>
      </c>
      <c r="C152" s="19" t="str">
        <f t="shared" si="4"/>
        <v>EMPTY</v>
      </c>
      <c r="D152" s="3" t="str">
        <f>IF(C152="SHOW",CONCATENATE(Temp!G148,Temp!H148,",",Temp!I148,",",Temp!J148,Temp!K148),"")</f>
        <v/>
      </c>
      <c r="E152" s="7"/>
      <c r="F152" s="8" t="str">
        <f t="shared" si="5"/>
        <v/>
      </c>
    </row>
    <row r="153" spans="1:6" x14ac:dyDescent="0.25">
      <c r="A153" s="13" t="str">
        <f>IF(AND($E153="",MAX($A$8:$A152)=0),"",IF(AND($E153&lt;&gt;"",MAX($A$8:$A152)=0),1,IF(AND($E153&lt;&gt;"",MAX($A$8:$A152)&gt;0),MAX($A$8:$A152)+1,"")))</f>
        <v/>
      </c>
      <c r="B153" s="11">
        <v>146</v>
      </c>
      <c r="C153" s="19" t="str">
        <f t="shared" si="4"/>
        <v>EMPTY</v>
      </c>
      <c r="D153" s="3" t="str">
        <f>IF(C153="SHOW",CONCATENATE(Temp!G149,Temp!H149,",",Temp!I149,",",Temp!J149,Temp!K149),"")</f>
        <v/>
      </c>
      <c r="E153" s="7"/>
      <c r="F153" s="8" t="str">
        <f t="shared" si="5"/>
        <v/>
      </c>
    </row>
    <row r="154" spans="1:6" x14ac:dyDescent="0.25">
      <c r="A154" s="13" t="str">
        <f>IF(AND($E154="",MAX($A$8:$A153)=0),"",IF(AND($E154&lt;&gt;"",MAX($A$8:$A153)=0),1,IF(AND($E154&lt;&gt;"",MAX($A$8:$A153)&gt;0),MAX($A$8:$A153)+1,"")))</f>
        <v/>
      </c>
      <c r="B154" s="11">
        <v>147</v>
      </c>
      <c r="C154" s="19" t="str">
        <f t="shared" si="4"/>
        <v>EMPTY</v>
      </c>
      <c r="D154" s="3" t="str">
        <f>IF(C154="SHOW",CONCATENATE(Temp!G150,Temp!H150,",",Temp!I150,",",Temp!J150,Temp!K150),"")</f>
        <v/>
      </c>
      <c r="E154" s="7"/>
      <c r="F154" s="8" t="str">
        <f t="shared" si="5"/>
        <v/>
      </c>
    </row>
    <row r="155" spans="1:6" x14ac:dyDescent="0.25">
      <c r="A155" s="13" t="str">
        <f>IF(AND($E155="",MAX($A$8:$A154)=0),"",IF(AND($E155&lt;&gt;"",MAX($A$8:$A154)=0),1,IF(AND($E155&lt;&gt;"",MAX($A$8:$A154)&gt;0),MAX($A$8:$A154)+1,"")))</f>
        <v/>
      </c>
      <c r="B155" s="11">
        <v>148</v>
      </c>
      <c r="C155" s="19" t="str">
        <f t="shared" si="4"/>
        <v>EMPTY</v>
      </c>
      <c r="D155" s="3" t="str">
        <f>IF(C155="SHOW",CONCATENATE(Temp!G151,Temp!H151,",",Temp!I151,",",Temp!J151,Temp!K151),"")</f>
        <v/>
      </c>
      <c r="E155" s="7"/>
      <c r="F155" s="8" t="str">
        <f t="shared" si="5"/>
        <v/>
      </c>
    </row>
    <row r="156" spans="1:6" x14ac:dyDescent="0.25">
      <c r="A156" s="13" t="str">
        <f>IF(AND($E156="",MAX($A$8:$A155)=0),"",IF(AND($E156&lt;&gt;"",MAX($A$8:$A155)=0),1,IF(AND($E156&lt;&gt;"",MAX($A$8:$A155)&gt;0),MAX($A$8:$A155)+1,"")))</f>
        <v/>
      </c>
      <c r="B156" s="11">
        <v>149</v>
      </c>
      <c r="C156" s="19" t="str">
        <f t="shared" si="4"/>
        <v>EMPTY</v>
      </c>
      <c r="D156" s="3" t="str">
        <f>IF(C156="SHOW",CONCATENATE(Temp!G152,Temp!H152,",",Temp!I152,",",Temp!J152,Temp!K152),"")</f>
        <v/>
      </c>
      <c r="E156" s="7"/>
      <c r="F156" s="8" t="str">
        <f t="shared" si="5"/>
        <v/>
      </c>
    </row>
    <row r="157" spans="1:6" x14ac:dyDescent="0.25">
      <c r="A157" s="13" t="str">
        <f>IF(AND($E157="",MAX($A$8:$A156)=0),"",IF(AND($E157&lt;&gt;"",MAX($A$8:$A156)=0),1,IF(AND($E157&lt;&gt;"",MAX($A$8:$A156)&gt;0),MAX($A$8:$A156)+1,"")))</f>
        <v/>
      </c>
      <c r="B157" s="11">
        <v>150</v>
      </c>
      <c r="C157" s="19" t="str">
        <f t="shared" si="4"/>
        <v>EMPTY</v>
      </c>
      <c r="D157" s="3" t="str">
        <f>IF(C157="SHOW",CONCATENATE(Temp!G153,Temp!H153,",",Temp!I153,",",Temp!J153,Temp!K153),"")</f>
        <v/>
      </c>
      <c r="E157" s="7"/>
      <c r="F157" s="8" t="str">
        <f t="shared" si="5"/>
        <v/>
      </c>
    </row>
    <row r="158" spans="1:6" x14ac:dyDescent="0.25">
      <c r="A158" s="13" t="str">
        <f>IF(AND($E158="",MAX($A$8:$A157)=0),"",IF(AND($E158&lt;&gt;"",MAX($A$8:$A157)=0),1,IF(AND($E158&lt;&gt;"",MAX($A$8:$A157)&gt;0),MAX($A$8:$A157)+1,"")))</f>
        <v/>
      </c>
      <c r="B158" s="11">
        <v>151</v>
      </c>
      <c r="C158" s="19" t="str">
        <f t="shared" si="4"/>
        <v>EMPTY</v>
      </c>
      <c r="D158" s="3" t="str">
        <f>IF(C158="SHOW",CONCATENATE(Temp!G154,Temp!H154,",",Temp!I154,",",Temp!J154,Temp!K154),"")</f>
        <v/>
      </c>
      <c r="E158" s="7"/>
      <c r="F158" s="8" t="str">
        <f t="shared" si="5"/>
        <v/>
      </c>
    </row>
    <row r="159" spans="1:6" x14ac:dyDescent="0.25">
      <c r="A159" s="13" t="str">
        <f>IF(AND($E159="",MAX($A$8:$A158)=0),"",IF(AND($E159&lt;&gt;"",MAX($A$8:$A158)=0),1,IF(AND($E159&lt;&gt;"",MAX($A$8:$A158)&gt;0),MAX($A$8:$A158)+1,"")))</f>
        <v/>
      </c>
      <c r="B159" s="11">
        <v>152</v>
      </c>
      <c r="C159" s="19" t="str">
        <f t="shared" si="4"/>
        <v>EMPTY</v>
      </c>
      <c r="D159" s="3" t="str">
        <f>IF(C159="SHOW",CONCATENATE(Temp!G155,Temp!H155,",",Temp!I155,",",Temp!J155,Temp!K155),"")</f>
        <v/>
      </c>
      <c r="E159" s="7"/>
      <c r="F159" s="8" t="str">
        <f t="shared" si="5"/>
        <v/>
      </c>
    </row>
    <row r="160" spans="1:6" x14ac:dyDescent="0.25">
      <c r="A160" s="13" t="str">
        <f>IF(AND($E160="",MAX($A$8:$A159)=0),"",IF(AND($E160&lt;&gt;"",MAX($A$8:$A159)=0),1,IF(AND($E160&lt;&gt;"",MAX($A$8:$A159)&gt;0),MAX($A$8:$A159)+1,"")))</f>
        <v/>
      </c>
      <c r="B160" s="11">
        <v>153</v>
      </c>
      <c r="C160" s="19" t="str">
        <f t="shared" si="4"/>
        <v>EMPTY</v>
      </c>
      <c r="D160" s="3" t="str">
        <f>IF(C160="SHOW",CONCATENATE(Temp!G156,Temp!H156,",",Temp!I156,",",Temp!J156,Temp!K156),"")</f>
        <v/>
      </c>
      <c r="E160" s="7"/>
      <c r="F160" s="8" t="str">
        <f t="shared" si="5"/>
        <v/>
      </c>
    </row>
    <row r="161" spans="1:6" x14ac:dyDescent="0.25">
      <c r="A161" s="13" t="str">
        <f>IF(AND($E161="",MAX($A$8:$A160)=0),"",IF(AND($E161&lt;&gt;"",MAX($A$8:$A160)=0),1,IF(AND($E161&lt;&gt;"",MAX($A$8:$A160)&gt;0),MAX($A$8:$A160)+1,"")))</f>
        <v/>
      </c>
      <c r="B161" s="11">
        <v>154</v>
      </c>
      <c r="C161" s="19" t="str">
        <f t="shared" si="4"/>
        <v>EMPTY</v>
      </c>
      <c r="D161" s="3" t="str">
        <f>IF(C161="SHOW",CONCATENATE(Temp!G157,Temp!H157,",",Temp!I157,",",Temp!J157,Temp!K157),"")</f>
        <v/>
      </c>
      <c r="E161" s="7"/>
      <c r="F161" s="8" t="str">
        <f t="shared" si="5"/>
        <v/>
      </c>
    </row>
    <row r="162" spans="1:6" x14ac:dyDescent="0.25">
      <c r="A162" s="13" t="str">
        <f>IF(AND($E162="",MAX($A$8:$A161)=0),"",IF(AND($E162&lt;&gt;"",MAX($A$8:$A161)=0),1,IF(AND($E162&lt;&gt;"",MAX($A$8:$A161)&gt;0),MAX($A$8:$A161)+1,"")))</f>
        <v/>
      </c>
      <c r="B162" s="11">
        <v>155</v>
      </c>
      <c r="C162" s="19" t="str">
        <f t="shared" si="4"/>
        <v>EMPTY</v>
      </c>
      <c r="D162" s="3" t="str">
        <f>IF(C162="SHOW",CONCATENATE(Temp!G158,Temp!H158,",",Temp!I158,",",Temp!J158,Temp!K158),"")</f>
        <v/>
      </c>
      <c r="E162" s="7"/>
      <c r="F162" s="8" t="str">
        <f t="shared" si="5"/>
        <v/>
      </c>
    </row>
    <row r="163" spans="1:6" x14ac:dyDescent="0.25">
      <c r="A163" s="13" t="str">
        <f>IF(AND($E163="",MAX($A$8:$A162)=0),"",IF(AND($E163&lt;&gt;"",MAX($A$8:$A162)=0),1,IF(AND($E163&lt;&gt;"",MAX($A$8:$A162)&gt;0),MAX($A$8:$A162)+1,"")))</f>
        <v/>
      </c>
      <c r="B163" s="11">
        <v>156</v>
      </c>
      <c r="C163" s="19" t="str">
        <f t="shared" si="4"/>
        <v>EMPTY</v>
      </c>
      <c r="D163" s="3" t="str">
        <f>IF(C163="SHOW",CONCATENATE(Temp!G159,Temp!H159,",",Temp!I159,",",Temp!J159,Temp!K159),"")</f>
        <v/>
      </c>
      <c r="E163" s="7"/>
      <c r="F163" s="8" t="str">
        <f t="shared" si="5"/>
        <v/>
      </c>
    </row>
    <row r="164" spans="1:6" x14ac:dyDescent="0.25">
      <c r="A164" s="13" t="str">
        <f>IF(AND($E164="",MAX($A$8:$A163)=0),"",IF(AND($E164&lt;&gt;"",MAX($A$8:$A163)=0),1,IF(AND($E164&lt;&gt;"",MAX($A$8:$A163)&gt;0),MAX($A$8:$A163)+1,"")))</f>
        <v/>
      </c>
      <c r="B164" s="11">
        <v>157</v>
      </c>
      <c r="C164" s="19" t="str">
        <f t="shared" si="4"/>
        <v>EMPTY</v>
      </c>
      <c r="D164" s="3" t="str">
        <f>IF(C164="SHOW",CONCATENATE(Temp!G160,Temp!H160,",",Temp!I160,",",Temp!J160,Temp!K160),"")</f>
        <v/>
      </c>
      <c r="E164" s="7"/>
      <c r="F164" s="8" t="str">
        <f t="shared" si="5"/>
        <v/>
      </c>
    </row>
    <row r="165" spans="1:6" x14ac:dyDescent="0.25">
      <c r="A165" s="13" t="str">
        <f>IF(AND($E165="",MAX($A$8:$A164)=0),"",IF(AND($E165&lt;&gt;"",MAX($A$8:$A164)=0),1,IF(AND($E165&lt;&gt;"",MAX($A$8:$A164)&gt;0),MAX($A$8:$A164)+1,"")))</f>
        <v/>
      </c>
      <c r="B165" s="11">
        <v>158</v>
      </c>
      <c r="C165" s="19" t="str">
        <f t="shared" si="4"/>
        <v>EMPTY</v>
      </c>
      <c r="D165" s="3" t="str">
        <f>IF(C165="SHOW",CONCATENATE(Temp!G161,Temp!H161,",",Temp!I161,",",Temp!J161,Temp!K161),"")</f>
        <v/>
      </c>
      <c r="E165" s="7"/>
      <c r="F165" s="8" t="str">
        <f t="shared" si="5"/>
        <v/>
      </c>
    </row>
    <row r="166" spans="1:6" x14ac:dyDescent="0.25">
      <c r="A166" s="13" t="str">
        <f>IF(AND($E166="",MAX($A$8:$A165)=0),"",IF(AND($E166&lt;&gt;"",MAX($A$8:$A165)=0),1,IF(AND($E166&lt;&gt;"",MAX($A$8:$A165)&gt;0),MAX($A$8:$A165)+1,"")))</f>
        <v/>
      </c>
      <c r="B166" s="11">
        <v>159</v>
      </c>
      <c r="C166" s="19" t="str">
        <f t="shared" si="4"/>
        <v>EMPTY</v>
      </c>
      <c r="D166" s="3" t="str">
        <f>IF(C166="SHOW",CONCATENATE(Temp!G162,Temp!H162,",",Temp!I162,",",Temp!J162,Temp!K162),"")</f>
        <v/>
      </c>
      <c r="E166" s="7"/>
      <c r="F166" s="8" t="str">
        <f t="shared" si="5"/>
        <v/>
      </c>
    </row>
    <row r="167" spans="1:6" x14ac:dyDescent="0.25">
      <c r="A167" s="13" t="str">
        <f>IF(AND($E167="",MAX($A$8:$A166)=0),"",IF(AND($E167&lt;&gt;"",MAX($A$8:$A166)=0),1,IF(AND($E167&lt;&gt;"",MAX($A$8:$A166)&gt;0),MAX($A$8:$A166)+1,"")))</f>
        <v/>
      </c>
      <c r="B167" s="11">
        <v>160</v>
      </c>
      <c r="C167" s="19" t="str">
        <f t="shared" si="4"/>
        <v>EMPTY</v>
      </c>
      <c r="D167" s="3" t="str">
        <f>IF(C167="SHOW",CONCATENATE(Temp!G163,Temp!H163,",",Temp!I163,",",Temp!J163,Temp!K163),"")</f>
        <v/>
      </c>
      <c r="E167" s="7"/>
      <c r="F167" s="8" t="str">
        <f t="shared" si="5"/>
        <v/>
      </c>
    </row>
    <row r="168" spans="1:6" x14ac:dyDescent="0.25">
      <c r="A168" s="13" t="str">
        <f>IF(AND($E168="",MAX($A$8:$A167)=0),"",IF(AND($E168&lt;&gt;"",MAX($A$8:$A167)=0),1,IF(AND($E168&lt;&gt;"",MAX($A$8:$A167)&gt;0),MAX($A$8:$A167)+1,"")))</f>
        <v/>
      </c>
      <c r="B168" s="11">
        <v>161</v>
      </c>
      <c r="C168" s="19" t="str">
        <f t="shared" si="4"/>
        <v>EMPTY</v>
      </c>
      <c r="D168" s="3" t="str">
        <f>IF(C168="SHOW",CONCATENATE(Temp!G164,Temp!H164,",",Temp!I164,",",Temp!J164,Temp!K164),"")</f>
        <v/>
      </c>
      <c r="E168" s="7"/>
      <c r="F168" s="8" t="str">
        <f t="shared" si="5"/>
        <v/>
      </c>
    </row>
    <row r="169" spans="1:6" x14ac:dyDescent="0.25">
      <c r="A169" s="13" t="str">
        <f>IF(AND($E169="",MAX($A$8:$A168)=0),"",IF(AND($E169&lt;&gt;"",MAX($A$8:$A168)=0),1,IF(AND($E169&lt;&gt;"",MAX($A$8:$A168)&gt;0),MAX($A$8:$A168)+1,"")))</f>
        <v/>
      </c>
      <c r="B169" s="11">
        <v>162</v>
      </c>
      <c r="C169" s="19" t="str">
        <f t="shared" si="4"/>
        <v>EMPTY</v>
      </c>
      <c r="D169" s="3" t="str">
        <f>IF(C169="SHOW",CONCATENATE(Temp!G165,Temp!H165,",",Temp!I165,",",Temp!J165,Temp!K165),"")</f>
        <v/>
      </c>
      <c r="E169" s="7"/>
      <c r="F169" s="8" t="str">
        <f t="shared" si="5"/>
        <v/>
      </c>
    </row>
    <row r="170" spans="1:6" x14ac:dyDescent="0.25">
      <c r="A170" s="13" t="str">
        <f>IF(AND($E170="",MAX($A$8:$A169)=0),"",IF(AND($E170&lt;&gt;"",MAX($A$8:$A169)=0),1,IF(AND($E170&lt;&gt;"",MAX($A$8:$A169)&gt;0),MAX($A$8:$A169)+1,"")))</f>
        <v/>
      </c>
      <c r="B170" s="11">
        <v>163</v>
      </c>
      <c r="C170" s="19" t="str">
        <f t="shared" si="4"/>
        <v>EMPTY</v>
      </c>
      <c r="D170" s="3" t="str">
        <f>IF(C170="SHOW",CONCATENATE(Temp!G166,Temp!H166,",",Temp!I166,",",Temp!J166,Temp!K166),"")</f>
        <v/>
      </c>
      <c r="E170" s="7"/>
      <c r="F170" s="8" t="str">
        <f t="shared" si="5"/>
        <v/>
      </c>
    </row>
    <row r="171" spans="1:6" x14ac:dyDescent="0.25">
      <c r="A171" s="13" t="str">
        <f>IF(AND($E171="",MAX($A$8:$A170)=0),"",IF(AND($E171&lt;&gt;"",MAX($A$8:$A170)=0),1,IF(AND($E171&lt;&gt;"",MAX($A$8:$A170)&gt;0),MAX($A$8:$A170)+1,"")))</f>
        <v/>
      </c>
      <c r="B171" s="11">
        <v>164</v>
      </c>
      <c r="C171" s="19" t="str">
        <f t="shared" si="4"/>
        <v>EMPTY</v>
      </c>
      <c r="D171" s="3" t="str">
        <f>IF(C171="SHOW",CONCATENATE(Temp!G167,Temp!H167,",",Temp!I167,",",Temp!J167,Temp!K167),"")</f>
        <v/>
      </c>
      <c r="E171" s="7"/>
      <c r="F171" s="8" t="str">
        <f t="shared" si="5"/>
        <v/>
      </c>
    </row>
    <row r="172" spans="1:6" x14ac:dyDescent="0.25">
      <c r="A172" s="13" t="str">
        <f>IF(AND($E172="",MAX($A$8:$A171)=0),"",IF(AND($E172&lt;&gt;"",MAX($A$8:$A171)=0),1,IF(AND($E172&lt;&gt;"",MAX($A$8:$A171)&gt;0),MAX($A$8:$A171)+1,"")))</f>
        <v/>
      </c>
      <c r="B172" s="11">
        <v>165</v>
      </c>
      <c r="C172" s="19" t="str">
        <f t="shared" si="4"/>
        <v>EMPTY</v>
      </c>
      <c r="D172" s="3" t="str">
        <f>IF(C172="SHOW",CONCATENATE(Temp!G168,Temp!H168,",",Temp!I168,",",Temp!J168,Temp!K168),"")</f>
        <v/>
      </c>
      <c r="E172" s="7"/>
      <c r="F172" s="8" t="str">
        <f t="shared" si="5"/>
        <v/>
      </c>
    </row>
    <row r="173" spans="1:6" x14ac:dyDescent="0.25">
      <c r="A173" s="13" t="str">
        <f>IF(AND($E173="",MAX($A$8:$A172)=0),"",IF(AND($E173&lt;&gt;"",MAX($A$8:$A172)=0),1,IF(AND($E173&lt;&gt;"",MAX($A$8:$A172)&gt;0),MAX($A$8:$A172)+1,"")))</f>
        <v/>
      </c>
      <c r="B173" s="11">
        <v>166</v>
      </c>
      <c r="C173" s="19" t="str">
        <f t="shared" si="4"/>
        <v>EMPTY</v>
      </c>
      <c r="D173" s="3" t="str">
        <f>IF(C173="SHOW",CONCATENATE(Temp!G169,Temp!H169,",",Temp!I169,",",Temp!J169,Temp!K169),"")</f>
        <v/>
      </c>
      <c r="E173" s="7"/>
      <c r="F173" s="8" t="str">
        <f t="shared" si="5"/>
        <v/>
      </c>
    </row>
    <row r="174" spans="1:6" x14ac:dyDescent="0.25">
      <c r="A174" s="13" t="str">
        <f>IF(AND($E174="",MAX($A$8:$A173)=0),"",IF(AND($E174&lt;&gt;"",MAX($A$8:$A173)=0),1,IF(AND($E174&lt;&gt;"",MAX($A$8:$A173)&gt;0),MAX($A$8:$A173)+1,"")))</f>
        <v/>
      </c>
      <c r="B174" s="11">
        <v>167</v>
      </c>
      <c r="C174" s="19" t="str">
        <f t="shared" si="4"/>
        <v>EMPTY</v>
      </c>
      <c r="D174" s="3" t="str">
        <f>IF(C174="SHOW",CONCATENATE(Temp!G170,Temp!H170,",",Temp!I170,",",Temp!J170,Temp!K170),"")</f>
        <v/>
      </c>
      <c r="E174" s="7"/>
      <c r="F174" s="8" t="str">
        <f t="shared" si="5"/>
        <v/>
      </c>
    </row>
    <row r="175" spans="1:6" x14ac:dyDescent="0.25">
      <c r="A175" s="13" t="str">
        <f>IF(AND($E175="",MAX($A$8:$A174)=0),"",IF(AND($E175&lt;&gt;"",MAX($A$8:$A174)=0),1,IF(AND($E175&lt;&gt;"",MAX($A$8:$A174)&gt;0),MAX($A$8:$A174)+1,"")))</f>
        <v/>
      </c>
      <c r="B175" s="11">
        <v>168</v>
      </c>
      <c r="C175" s="19" t="str">
        <f t="shared" si="4"/>
        <v>EMPTY</v>
      </c>
      <c r="D175" s="3" t="str">
        <f>IF(C175="SHOW",CONCATENATE(Temp!G171,Temp!H171,",",Temp!I171,",",Temp!J171,Temp!K171),"")</f>
        <v/>
      </c>
      <c r="E175" s="7"/>
      <c r="F175" s="8" t="str">
        <f t="shared" si="5"/>
        <v/>
      </c>
    </row>
    <row r="176" spans="1:6" x14ac:dyDescent="0.25">
      <c r="A176" s="13" t="str">
        <f>IF(AND($E176="",MAX($A$8:$A175)=0),"",IF(AND($E176&lt;&gt;"",MAX($A$8:$A175)=0),1,IF(AND($E176&lt;&gt;"",MAX($A$8:$A175)&gt;0),MAX($A$8:$A175)+1,"")))</f>
        <v/>
      </c>
      <c r="B176" s="11">
        <v>169</v>
      </c>
      <c r="C176" s="19" t="str">
        <f t="shared" si="4"/>
        <v>EMPTY</v>
      </c>
      <c r="D176" s="3" t="str">
        <f>IF(C176="SHOW",CONCATENATE(Temp!G172,Temp!H172,",",Temp!I172,",",Temp!J172,Temp!K172),"")</f>
        <v/>
      </c>
      <c r="E176" s="7"/>
      <c r="F176" s="8" t="str">
        <f t="shared" si="5"/>
        <v/>
      </c>
    </row>
    <row r="177" spans="1:6" x14ac:dyDescent="0.25">
      <c r="A177" s="13" t="str">
        <f>IF(AND($E177="",MAX($A$8:$A176)=0),"",IF(AND($E177&lt;&gt;"",MAX($A$8:$A176)=0),1,IF(AND($E177&lt;&gt;"",MAX($A$8:$A176)&gt;0),MAX($A$8:$A176)+1,"")))</f>
        <v/>
      </c>
      <c r="B177" s="11">
        <v>170</v>
      </c>
      <c r="C177" s="19" t="str">
        <f t="shared" si="4"/>
        <v>EMPTY</v>
      </c>
      <c r="D177" s="3" t="str">
        <f>IF(C177="SHOW",CONCATENATE(Temp!G173,Temp!H173,",",Temp!I173,",",Temp!J173,Temp!K173),"")</f>
        <v/>
      </c>
      <c r="E177" s="7"/>
      <c r="F177" s="8" t="str">
        <f t="shared" si="5"/>
        <v/>
      </c>
    </row>
    <row r="178" spans="1:6" x14ac:dyDescent="0.25">
      <c r="A178" s="13" t="str">
        <f>IF(AND($E178="",MAX($A$8:$A177)=0),"",IF(AND($E178&lt;&gt;"",MAX($A$8:$A177)=0),1,IF(AND($E178&lt;&gt;"",MAX($A$8:$A177)&gt;0),MAX($A$8:$A177)+1,"")))</f>
        <v/>
      </c>
      <c r="B178" s="11">
        <v>171</v>
      </c>
      <c r="C178" s="19" t="str">
        <f t="shared" si="4"/>
        <v>EMPTY</v>
      </c>
      <c r="D178" s="3" t="str">
        <f>IF(C178="SHOW",CONCATENATE(Temp!G174,Temp!H174,",",Temp!I174,",",Temp!J174,Temp!K174),"")</f>
        <v/>
      </c>
      <c r="E178" s="7"/>
      <c r="F178" s="8" t="str">
        <f t="shared" si="5"/>
        <v/>
      </c>
    </row>
    <row r="179" spans="1:6" x14ac:dyDescent="0.25">
      <c r="A179" s="13" t="str">
        <f>IF(AND($E179="",MAX($A$8:$A178)=0),"",IF(AND($E179&lt;&gt;"",MAX($A$8:$A178)=0),1,IF(AND($E179&lt;&gt;"",MAX($A$8:$A178)&gt;0),MAX($A$8:$A178)+1,"")))</f>
        <v/>
      </c>
      <c r="B179" s="11">
        <v>172</v>
      </c>
      <c r="C179" s="19" t="str">
        <f t="shared" si="4"/>
        <v>EMPTY</v>
      </c>
      <c r="D179" s="3" t="str">
        <f>IF(C179="SHOW",CONCATENATE(Temp!G175,Temp!H175,",",Temp!I175,",",Temp!J175,Temp!K175),"")</f>
        <v/>
      </c>
      <c r="E179" s="7"/>
      <c r="F179" s="8" t="str">
        <f t="shared" si="5"/>
        <v/>
      </c>
    </row>
    <row r="180" spans="1:6" x14ac:dyDescent="0.25">
      <c r="A180" s="13" t="str">
        <f>IF(AND($E180="",MAX($A$8:$A179)=0),"",IF(AND($E180&lt;&gt;"",MAX($A$8:$A179)=0),1,IF(AND($E180&lt;&gt;"",MAX($A$8:$A179)&gt;0),MAX($A$8:$A179)+1,"")))</f>
        <v/>
      </c>
      <c r="B180" s="11">
        <v>173</v>
      </c>
      <c r="C180" s="19" t="str">
        <f t="shared" si="4"/>
        <v>EMPTY</v>
      </c>
      <c r="D180" s="3" t="str">
        <f>IF(C180="SHOW",CONCATENATE(Temp!G176,Temp!H176,",",Temp!I176,",",Temp!J176,Temp!K176),"")</f>
        <v/>
      </c>
      <c r="E180" s="7"/>
      <c r="F180" s="8" t="str">
        <f t="shared" si="5"/>
        <v/>
      </c>
    </row>
    <row r="181" spans="1:6" x14ac:dyDescent="0.25">
      <c r="A181" s="13" t="str">
        <f>IF(AND($E181="",MAX($A$8:$A180)=0),"",IF(AND($E181&lt;&gt;"",MAX($A$8:$A180)=0),1,IF(AND($E181&lt;&gt;"",MAX($A$8:$A180)&gt;0),MAX($A$8:$A180)+1,"")))</f>
        <v/>
      </c>
      <c r="B181" s="11">
        <v>174</v>
      </c>
      <c r="C181" s="19" t="str">
        <f t="shared" si="4"/>
        <v>EMPTY</v>
      </c>
      <c r="D181" s="3" t="str">
        <f>IF(C181="SHOW",CONCATENATE(Temp!G177,Temp!H177,",",Temp!I177,",",Temp!J177,Temp!K177),"")</f>
        <v/>
      </c>
      <c r="E181" s="7"/>
      <c r="F181" s="8" t="str">
        <f t="shared" si="5"/>
        <v/>
      </c>
    </row>
    <row r="182" spans="1:6" x14ac:dyDescent="0.25">
      <c r="A182" s="13" t="str">
        <f>IF(AND($E182="",MAX($A$8:$A181)=0),"",IF(AND($E182&lt;&gt;"",MAX($A$8:$A181)=0),1,IF(AND($E182&lt;&gt;"",MAX($A$8:$A181)&gt;0),MAX($A$8:$A181)+1,"")))</f>
        <v/>
      </c>
      <c r="B182" s="11">
        <v>175</v>
      </c>
      <c r="C182" s="19" t="str">
        <f t="shared" si="4"/>
        <v>EMPTY</v>
      </c>
      <c r="D182" s="3" t="str">
        <f>IF(C182="SHOW",CONCATENATE(Temp!G178,Temp!H178,",",Temp!I178,",",Temp!J178,Temp!K178),"")</f>
        <v/>
      </c>
      <c r="E182" s="7"/>
      <c r="F182" s="8" t="str">
        <f t="shared" si="5"/>
        <v/>
      </c>
    </row>
    <row r="183" spans="1:6" x14ac:dyDescent="0.25">
      <c r="A183" s="13" t="str">
        <f>IF(AND($E183="",MAX($A$8:$A182)=0),"",IF(AND($E183&lt;&gt;"",MAX($A$8:$A182)=0),1,IF(AND($E183&lt;&gt;"",MAX($A$8:$A182)&gt;0),MAX($A$8:$A182)+1,"")))</f>
        <v/>
      </c>
      <c r="B183" s="11">
        <v>176</v>
      </c>
      <c r="C183" s="19" t="str">
        <f t="shared" si="4"/>
        <v>EMPTY</v>
      </c>
      <c r="D183" s="3" t="str">
        <f>IF(C183="SHOW",CONCATENATE(Temp!G179,Temp!H179,",",Temp!I179,",",Temp!J179,Temp!K179),"")</f>
        <v/>
      </c>
      <c r="E183" s="7"/>
      <c r="F183" s="8" t="str">
        <f t="shared" si="5"/>
        <v/>
      </c>
    </row>
    <row r="184" spans="1:6" x14ac:dyDescent="0.25">
      <c r="A184" s="13" t="str">
        <f>IF(AND($E184="",MAX($A$8:$A183)=0),"",IF(AND($E184&lt;&gt;"",MAX($A$8:$A183)=0),1,IF(AND($E184&lt;&gt;"",MAX($A$8:$A183)&gt;0),MAX($A$8:$A183)+1,"")))</f>
        <v/>
      </c>
      <c r="B184" s="11">
        <v>177</v>
      </c>
      <c r="C184" s="19" t="str">
        <f t="shared" si="4"/>
        <v>EMPTY</v>
      </c>
      <c r="D184" s="3" t="str">
        <f>IF(C184="SHOW",CONCATENATE(Temp!G180,Temp!H180,",",Temp!I180,",",Temp!J180,Temp!K180),"")</f>
        <v/>
      </c>
      <c r="E184" s="7"/>
      <c r="F184" s="8" t="str">
        <f t="shared" si="5"/>
        <v/>
      </c>
    </row>
    <row r="185" spans="1:6" x14ac:dyDescent="0.25">
      <c r="A185" s="13" t="str">
        <f>IF(AND($E185="",MAX($A$8:$A184)=0),"",IF(AND($E185&lt;&gt;"",MAX($A$8:$A184)=0),1,IF(AND($E185&lt;&gt;"",MAX($A$8:$A184)&gt;0),MAX($A$8:$A184)+1,"")))</f>
        <v/>
      </c>
      <c r="B185" s="11">
        <v>178</v>
      </c>
      <c r="C185" s="19" t="str">
        <f t="shared" si="4"/>
        <v>EMPTY</v>
      </c>
      <c r="D185" s="3" t="str">
        <f>IF(C185="SHOW",CONCATENATE(Temp!G181,Temp!H181,",",Temp!I181,",",Temp!J181,Temp!K181),"")</f>
        <v/>
      </c>
      <c r="E185" s="7"/>
      <c r="F185" s="8" t="str">
        <f t="shared" si="5"/>
        <v/>
      </c>
    </row>
    <row r="186" spans="1:6" x14ac:dyDescent="0.25">
      <c r="A186" s="13" t="str">
        <f>IF(AND($E186="",MAX($A$8:$A185)=0),"",IF(AND($E186&lt;&gt;"",MAX($A$8:$A185)=0),1,IF(AND($E186&lt;&gt;"",MAX($A$8:$A185)&gt;0),MAX($A$8:$A185)+1,"")))</f>
        <v/>
      </c>
      <c r="B186" s="11">
        <v>179</v>
      </c>
      <c r="C186" s="19" t="str">
        <f t="shared" si="4"/>
        <v>EMPTY</v>
      </c>
      <c r="D186" s="3" t="str">
        <f>IF(C186="SHOW",CONCATENATE(Temp!G182,Temp!H182,",",Temp!I182,",",Temp!J182,Temp!K182),"")</f>
        <v/>
      </c>
      <c r="E186" s="7"/>
      <c r="F186" s="8" t="str">
        <f t="shared" si="5"/>
        <v/>
      </c>
    </row>
    <row r="187" spans="1:6" x14ac:dyDescent="0.25">
      <c r="A187" s="13" t="str">
        <f>IF(AND($E187="",MAX($A$8:$A186)=0),"",IF(AND($E187&lt;&gt;"",MAX($A$8:$A186)=0),1,IF(AND($E187&lt;&gt;"",MAX($A$8:$A186)&gt;0),MAX($A$8:$A186)+1,"")))</f>
        <v/>
      </c>
      <c r="B187" s="11">
        <v>180</v>
      </c>
      <c r="C187" s="19" t="str">
        <f t="shared" si="4"/>
        <v>EMPTY</v>
      </c>
      <c r="D187" s="3" t="str">
        <f>IF(C187="SHOW",CONCATENATE(Temp!G183,Temp!H183,",",Temp!I183,",",Temp!J183,Temp!K183),"")</f>
        <v/>
      </c>
      <c r="E187" s="7"/>
      <c r="F187" s="8" t="str">
        <f t="shared" si="5"/>
        <v/>
      </c>
    </row>
    <row r="188" spans="1:6" x14ac:dyDescent="0.25">
      <c r="A188" s="13" t="str">
        <f>IF(AND($E188="",MAX($A$8:$A187)=0),"",IF(AND($E188&lt;&gt;"",MAX($A$8:$A187)=0),1,IF(AND($E188&lt;&gt;"",MAX($A$8:$A187)&gt;0),MAX($A$8:$A187)+1,"")))</f>
        <v/>
      </c>
      <c r="B188" s="11">
        <v>181</v>
      </c>
      <c r="C188" s="19" t="str">
        <f t="shared" si="4"/>
        <v>EMPTY</v>
      </c>
      <c r="D188" s="3" t="str">
        <f>IF(C188="SHOW",CONCATENATE(Temp!G184,Temp!H184,",",Temp!I184,",",Temp!J184,Temp!K184),"")</f>
        <v/>
      </c>
      <c r="E188" s="7"/>
      <c r="F188" s="8" t="str">
        <f t="shared" si="5"/>
        <v/>
      </c>
    </row>
    <row r="189" spans="1:6" x14ac:dyDescent="0.25">
      <c r="A189" s="13" t="str">
        <f>IF(AND($E189="",MAX($A$8:$A188)=0),"",IF(AND($E189&lt;&gt;"",MAX($A$8:$A188)=0),1,IF(AND($E189&lt;&gt;"",MAX($A$8:$A188)&gt;0),MAX($A$8:$A188)+1,"")))</f>
        <v/>
      </c>
      <c r="B189" s="11">
        <v>182</v>
      </c>
      <c r="C189" s="19" t="str">
        <f t="shared" si="4"/>
        <v>EMPTY</v>
      </c>
      <c r="D189" s="3" t="str">
        <f>IF(C189="SHOW",CONCATENATE(Temp!G185,Temp!H185,",",Temp!I185,",",Temp!J185,Temp!K185),"")</f>
        <v/>
      </c>
      <c r="E189" s="7"/>
      <c r="F189" s="8" t="str">
        <f t="shared" si="5"/>
        <v/>
      </c>
    </row>
    <row r="190" spans="1:6" x14ac:dyDescent="0.25">
      <c r="A190" s="13" t="str">
        <f>IF(AND($E190="",MAX($A$8:$A189)=0),"",IF(AND($E190&lt;&gt;"",MAX($A$8:$A189)=0),1,IF(AND($E190&lt;&gt;"",MAX($A$8:$A189)&gt;0),MAX($A$8:$A189)+1,"")))</f>
        <v/>
      </c>
      <c r="B190" s="11">
        <v>183</v>
      </c>
      <c r="C190" s="19" t="str">
        <f t="shared" si="4"/>
        <v>EMPTY</v>
      </c>
      <c r="D190" s="3" t="str">
        <f>IF(C190="SHOW",CONCATENATE(Temp!G186,Temp!H186,",",Temp!I186,",",Temp!J186,Temp!K186),"")</f>
        <v/>
      </c>
      <c r="E190" s="7"/>
      <c r="F190" s="8" t="str">
        <f t="shared" si="5"/>
        <v/>
      </c>
    </row>
    <row r="191" spans="1:6" x14ac:dyDescent="0.25">
      <c r="A191" s="13" t="str">
        <f>IF(AND($E191="",MAX($A$8:$A190)=0),"",IF(AND($E191&lt;&gt;"",MAX($A$8:$A190)=0),1,IF(AND($E191&lt;&gt;"",MAX($A$8:$A190)&gt;0),MAX($A$8:$A190)+1,"")))</f>
        <v/>
      </c>
      <c r="B191" s="11">
        <v>184</v>
      </c>
      <c r="C191" s="19" t="str">
        <f t="shared" si="4"/>
        <v>EMPTY</v>
      </c>
      <c r="D191" s="3" t="str">
        <f>IF(C191="SHOW",CONCATENATE(Temp!G187,Temp!H187,",",Temp!I187,",",Temp!J187,Temp!K187),"")</f>
        <v/>
      </c>
      <c r="E191" s="7"/>
      <c r="F191" s="8" t="str">
        <f t="shared" si="5"/>
        <v/>
      </c>
    </row>
    <row r="192" spans="1:6" x14ac:dyDescent="0.25">
      <c r="A192" s="13" t="str">
        <f>IF(AND($E192="",MAX($A$8:$A191)=0),"",IF(AND($E192&lt;&gt;"",MAX($A$8:$A191)=0),1,IF(AND($E192&lt;&gt;"",MAX($A$8:$A191)&gt;0),MAX($A$8:$A191)+1,"")))</f>
        <v/>
      </c>
      <c r="B192" s="11">
        <v>185</v>
      </c>
      <c r="C192" s="19" t="str">
        <f t="shared" si="4"/>
        <v>EMPTY</v>
      </c>
      <c r="D192" s="3" t="str">
        <f>IF(C192="SHOW",CONCATENATE(Temp!G188,Temp!H188,",",Temp!I188,",",Temp!J188,Temp!K188),"")</f>
        <v/>
      </c>
      <c r="E192" s="7"/>
      <c r="F192" s="8" t="str">
        <f t="shared" si="5"/>
        <v/>
      </c>
    </row>
    <row r="193" spans="1:6" x14ac:dyDescent="0.25">
      <c r="A193" s="13" t="str">
        <f>IF(AND($E193="",MAX($A$8:$A192)=0),"",IF(AND($E193&lt;&gt;"",MAX($A$8:$A192)=0),1,IF(AND($E193&lt;&gt;"",MAX($A$8:$A192)&gt;0),MAX($A$8:$A192)+1,"")))</f>
        <v/>
      </c>
      <c r="B193" s="11">
        <v>186</v>
      </c>
      <c r="C193" s="19" t="str">
        <f t="shared" si="4"/>
        <v>EMPTY</v>
      </c>
      <c r="D193" s="3" t="str">
        <f>IF(C193="SHOW",CONCATENATE(Temp!G189,Temp!H189,",",Temp!I189,",",Temp!J189,Temp!K189),"")</f>
        <v/>
      </c>
      <c r="E193" s="7"/>
      <c r="F193" s="8" t="str">
        <f t="shared" si="5"/>
        <v/>
      </c>
    </row>
    <row r="194" spans="1:6" x14ac:dyDescent="0.25">
      <c r="A194" s="13" t="str">
        <f>IF(AND($E194="",MAX($A$8:$A193)=0),"",IF(AND($E194&lt;&gt;"",MAX($A$8:$A193)=0),1,IF(AND($E194&lt;&gt;"",MAX($A$8:$A193)&gt;0),MAX($A$8:$A193)+1,"")))</f>
        <v/>
      </c>
      <c r="B194" s="11">
        <v>187</v>
      </c>
      <c r="C194" s="19" t="str">
        <f t="shared" si="4"/>
        <v>EMPTY</v>
      </c>
      <c r="D194" s="3" t="str">
        <f>IF(C194="SHOW",CONCATENATE(Temp!G190,Temp!H190,",",Temp!I190,",",Temp!J190,Temp!K190),"")</f>
        <v/>
      </c>
      <c r="E194" s="7"/>
      <c r="F194" s="8" t="str">
        <f t="shared" si="5"/>
        <v/>
      </c>
    </row>
    <row r="195" spans="1:6" x14ac:dyDescent="0.25">
      <c r="A195" s="13" t="str">
        <f>IF(AND($E195="",MAX($A$8:$A194)=0),"",IF(AND($E195&lt;&gt;"",MAX($A$8:$A194)=0),1,IF(AND($E195&lt;&gt;"",MAX($A$8:$A194)&gt;0),MAX($A$8:$A194)+1,"")))</f>
        <v/>
      </c>
      <c r="B195" s="11">
        <v>188</v>
      </c>
      <c r="C195" s="19" t="str">
        <f t="shared" si="4"/>
        <v>EMPTY</v>
      </c>
      <c r="D195" s="3" t="str">
        <f>IF(C195="SHOW",CONCATENATE(Temp!G191,Temp!H191,",",Temp!I191,",",Temp!J191,Temp!K191),"")</f>
        <v/>
      </c>
      <c r="E195" s="7"/>
      <c r="F195" s="8" t="str">
        <f t="shared" si="5"/>
        <v/>
      </c>
    </row>
    <row r="196" spans="1:6" x14ac:dyDescent="0.25">
      <c r="A196" s="13" t="str">
        <f>IF(AND($E196="",MAX($A$8:$A195)=0),"",IF(AND($E196&lt;&gt;"",MAX($A$8:$A195)=0),1,IF(AND($E196&lt;&gt;"",MAX($A$8:$A195)&gt;0),MAX($A$8:$A195)+1,"")))</f>
        <v/>
      </c>
      <c r="B196" s="11">
        <v>189</v>
      </c>
      <c r="C196" s="19" t="str">
        <f t="shared" si="4"/>
        <v>EMPTY</v>
      </c>
      <c r="D196" s="3" t="str">
        <f>IF(C196="SHOW",CONCATENATE(Temp!G192,Temp!H192,",",Temp!I192,",",Temp!J192,Temp!K192),"")</f>
        <v/>
      </c>
      <c r="E196" s="7"/>
      <c r="F196" s="8" t="str">
        <f t="shared" si="5"/>
        <v/>
      </c>
    </row>
    <row r="197" spans="1:6" x14ac:dyDescent="0.25">
      <c r="A197" s="13" t="str">
        <f>IF(AND($E197="",MAX($A$8:$A196)=0),"",IF(AND($E197&lt;&gt;"",MAX($A$8:$A196)=0),1,IF(AND($E197&lt;&gt;"",MAX($A$8:$A196)&gt;0),MAX($A$8:$A196)+1,"")))</f>
        <v/>
      </c>
      <c r="B197" s="11">
        <v>190</v>
      </c>
      <c r="C197" s="19" t="str">
        <f t="shared" si="4"/>
        <v>EMPTY</v>
      </c>
      <c r="D197" s="3" t="str">
        <f>IF(C197="SHOW",CONCATENATE(Temp!G193,Temp!H193,",",Temp!I193,",",Temp!J193,Temp!K193),"")</f>
        <v/>
      </c>
      <c r="E197" s="7"/>
      <c r="F197" s="8" t="str">
        <f t="shared" si="5"/>
        <v/>
      </c>
    </row>
    <row r="198" spans="1:6" x14ac:dyDescent="0.25">
      <c r="A198" s="13" t="str">
        <f>IF(AND($E198="",MAX($A$8:$A197)=0),"",IF(AND($E198&lt;&gt;"",MAX($A$8:$A197)=0),1,IF(AND($E198&lt;&gt;"",MAX($A$8:$A197)&gt;0),MAX($A$8:$A197)+1,"")))</f>
        <v/>
      </c>
      <c r="B198" s="11">
        <v>191</v>
      </c>
      <c r="C198" s="19" t="str">
        <f t="shared" si="4"/>
        <v>EMPTY</v>
      </c>
      <c r="D198" s="3" t="str">
        <f>IF(C198="SHOW",CONCATENATE(Temp!G194,Temp!H194,",",Temp!I194,",",Temp!J194,Temp!K194),"")</f>
        <v/>
      </c>
      <c r="E198" s="7"/>
      <c r="F198" s="8" t="str">
        <f t="shared" si="5"/>
        <v/>
      </c>
    </row>
    <row r="199" spans="1:6" x14ac:dyDescent="0.25">
      <c r="A199" s="13" t="str">
        <f>IF(AND($E199="",MAX($A$8:$A198)=0),"",IF(AND($E199&lt;&gt;"",MAX($A$8:$A198)=0),1,IF(AND($E199&lt;&gt;"",MAX($A$8:$A198)&gt;0),MAX($A$8:$A198)+1,"")))</f>
        <v/>
      </c>
      <c r="B199" s="11">
        <v>192</v>
      </c>
      <c r="C199" s="19" t="str">
        <f t="shared" si="4"/>
        <v>EMPTY</v>
      </c>
      <c r="D199" s="3" t="str">
        <f>IF(C199="SHOW",CONCATENATE(Temp!G195,Temp!H195,",",Temp!I195,",",Temp!J195,Temp!K195),"")</f>
        <v/>
      </c>
      <c r="E199" s="7"/>
      <c r="F199" s="8" t="str">
        <f t="shared" si="5"/>
        <v/>
      </c>
    </row>
    <row r="200" spans="1:6" x14ac:dyDescent="0.25">
      <c r="A200" s="13" t="str">
        <f>IF(AND($E200="",MAX($A$8:$A199)=0),"",IF(AND($E200&lt;&gt;"",MAX($A$8:$A199)=0),1,IF(AND($E200&lt;&gt;"",MAX($A$8:$A199)&gt;0),MAX($A$8:$A199)+1,"")))</f>
        <v/>
      </c>
      <c r="B200" s="11">
        <v>193</v>
      </c>
      <c r="C200" s="19" t="str">
        <f t="shared" si="4"/>
        <v>EMPTY</v>
      </c>
      <c r="D200" s="3" t="str">
        <f>IF(C200="SHOW",CONCATENATE(Temp!G196,Temp!H196,",",Temp!I196,",",Temp!J196,Temp!K196),"")</f>
        <v/>
      </c>
      <c r="E200" s="7"/>
      <c r="F200" s="8" t="str">
        <f t="shared" si="5"/>
        <v/>
      </c>
    </row>
    <row r="201" spans="1:6" x14ac:dyDescent="0.25">
      <c r="A201" s="13" t="str">
        <f>IF(AND($E201="",MAX($A$8:$A200)=0),"",IF(AND($E201&lt;&gt;"",MAX($A$8:$A200)=0),1,IF(AND($E201&lt;&gt;"",MAX($A$8:$A200)&gt;0),MAX($A$8:$A200)+1,"")))</f>
        <v/>
      </c>
      <c r="B201" s="11">
        <v>194</v>
      </c>
      <c r="C201" s="19" t="str">
        <f t="shared" ref="C201:C264" si="6">IF(E201="","EMPTY",IF(MID(E201,1,9)&lt;&gt;"Dialogue:","HIDE",IF(MID(E201,1,9)="Dialogue:","SHOW","")))</f>
        <v>EMPTY</v>
      </c>
      <c r="D201" s="3" t="str">
        <f>IF(C201="SHOW",CONCATENATE(Temp!G197,Temp!H197,",",Temp!I197,",",Temp!J197,Temp!K197),"")</f>
        <v/>
      </c>
      <c r="E201" s="7"/>
      <c r="F201" s="8" t="str">
        <f t="shared" ref="F201:F264" si="7">$D201</f>
        <v/>
      </c>
    </row>
    <row r="202" spans="1:6" x14ac:dyDescent="0.25">
      <c r="A202" s="13" t="str">
        <f>IF(AND($E202="",MAX($A$8:$A201)=0),"",IF(AND($E202&lt;&gt;"",MAX($A$8:$A201)=0),1,IF(AND($E202&lt;&gt;"",MAX($A$8:$A201)&gt;0),MAX($A$8:$A201)+1,"")))</f>
        <v/>
      </c>
      <c r="B202" s="11">
        <v>195</v>
      </c>
      <c r="C202" s="19" t="str">
        <f t="shared" si="6"/>
        <v>EMPTY</v>
      </c>
      <c r="D202" s="3" t="str">
        <f>IF(C202="SHOW",CONCATENATE(Temp!G198,Temp!H198,",",Temp!I198,",",Temp!J198,Temp!K198),"")</f>
        <v/>
      </c>
      <c r="E202" s="7"/>
      <c r="F202" s="8" t="str">
        <f t="shared" si="7"/>
        <v/>
      </c>
    </row>
    <row r="203" spans="1:6" x14ac:dyDescent="0.25">
      <c r="A203" s="13" t="str">
        <f>IF(AND($E203="",MAX($A$8:$A202)=0),"",IF(AND($E203&lt;&gt;"",MAX($A$8:$A202)=0),1,IF(AND($E203&lt;&gt;"",MAX($A$8:$A202)&gt;0),MAX($A$8:$A202)+1,"")))</f>
        <v/>
      </c>
      <c r="B203" s="11">
        <v>196</v>
      </c>
      <c r="C203" s="19" t="str">
        <f t="shared" si="6"/>
        <v>EMPTY</v>
      </c>
      <c r="D203" s="3" t="str">
        <f>IF(C203="SHOW",CONCATENATE(Temp!G199,Temp!H199,",",Temp!I199,",",Temp!J199,Temp!K199),"")</f>
        <v/>
      </c>
      <c r="E203" s="7"/>
      <c r="F203" s="8" t="str">
        <f t="shared" si="7"/>
        <v/>
      </c>
    </row>
    <row r="204" spans="1:6" x14ac:dyDescent="0.25">
      <c r="A204" s="13" t="str">
        <f>IF(AND($E204="",MAX($A$8:$A203)=0),"",IF(AND($E204&lt;&gt;"",MAX($A$8:$A203)=0),1,IF(AND($E204&lt;&gt;"",MAX($A$8:$A203)&gt;0),MAX($A$8:$A203)+1,"")))</f>
        <v/>
      </c>
      <c r="B204" s="11">
        <v>197</v>
      </c>
      <c r="C204" s="19" t="str">
        <f t="shared" si="6"/>
        <v>EMPTY</v>
      </c>
      <c r="D204" s="3" t="str">
        <f>IF(C204="SHOW",CONCATENATE(Temp!G200,Temp!H200,",",Temp!I200,",",Temp!J200,Temp!K200),"")</f>
        <v/>
      </c>
      <c r="E204" s="7"/>
      <c r="F204" s="8" t="str">
        <f t="shared" si="7"/>
        <v/>
      </c>
    </row>
    <row r="205" spans="1:6" x14ac:dyDescent="0.25">
      <c r="A205" s="13" t="str">
        <f>IF(AND($E205="",MAX($A$8:$A204)=0),"",IF(AND($E205&lt;&gt;"",MAX($A$8:$A204)=0),1,IF(AND($E205&lt;&gt;"",MAX($A$8:$A204)&gt;0),MAX($A$8:$A204)+1,"")))</f>
        <v/>
      </c>
      <c r="B205" s="11">
        <v>198</v>
      </c>
      <c r="C205" s="19" t="str">
        <f t="shared" si="6"/>
        <v>EMPTY</v>
      </c>
      <c r="D205" s="3" t="str">
        <f>IF(C205="SHOW",CONCATENATE(Temp!G201,Temp!H201,",",Temp!I201,",",Temp!J201,Temp!K201),"")</f>
        <v/>
      </c>
      <c r="E205" s="7"/>
      <c r="F205" s="8" t="str">
        <f t="shared" si="7"/>
        <v/>
      </c>
    </row>
    <row r="206" spans="1:6" x14ac:dyDescent="0.25">
      <c r="A206" s="13" t="str">
        <f>IF(AND($E206="",MAX($A$8:$A205)=0),"",IF(AND($E206&lt;&gt;"",MAX($A$8:$A205)=0),1,IF(AND($E206&lt;&gt;"",MAX($A$8:$A205)&gt;0),MAX($A$8:$A205)+1,"")))</f>
        <v/>
      </c>
      <c r="B206" s="11">
        <v>199</v>
      </c>
      <c r="C206" s="19" t="str">
        <f t="shared" si="6"/>
        <v>EMPTY</v>
      </c>
      <c r="D206" s="3" t="str">
        <f>IF(C206="SHOW",CONCATENATE(Temp!G202,Temp!H202,",",Temp!I202,",",Temp!J202,Temp!K202),"")</f>
        <v/>
      </c>
      <c r="E206" s="7"/>
      <c r="F206" s="8" t="str">
        <f t="shared" si="7"/>
        <v/>
      </c>
    </row>
    <row r="207" spans="1:6" x14ac:dyDescent="0.25">
      <c r="A207" s="13" t="str">
        <f>IF(AND($E207="",MAX($A$8:$A206)=0),"",IF(AND($E207&lt;&gt;"",MAX($A$8:$A206)=0),1,IF(AND($E207&lt;&gt;"",MAX($A$8:$A206)&gt;0),MAX($A$8:$A206)+1,"")))</f>
        <v/>
      </c>
      <c r="B207" s="11">
        <v>200</v>
      </c>
      <c r="C207" s="19" t="str">
        <f t="shared" si="6"/>
        <v>EMPTY</v>
      </c>
      <c r="D207" s="3" t="str">
        <f>IF(C207="SHOW",CONCATENATE(Temp!G203,Temp!H203,",",Temp!I203,",",Temp!J203,Temp!K203),"")</f>
        <v/>
      </c>
      <c r="E207" s="7"/>
      <c r="F207" s="8" t="str">
        <f t="shared" si="7"/>
        <v/>
      </c>
    </row>
    <row r="208" spans="1:6" x14ac:dyDescent="0.25">
      <c r="A208" s="13" t="str">
        <f>IF(AND($E208="",MAX($A$8:$A207)=0),"",IF(AND($E208&lt;&gt;"",MAX($A$8:$A207)=0),1,IF(AND($E208&lt;&gt;"",MAX($A$8:$A207)&gt;0),MAX($A$8:$A207)+1,"")))</f>
        <v/>
      </c>
      <c r="B208" s="11">
        <v>201</v>
      </c>
      <c r="C208" s="19" t="str">
        <f t="shared" si="6"/>
        <v>EMPTY</v>
      </c>
      <c r="D208" s="3" t="str">
        <f>IF(C208="SHOW",CONCATENATE(Temp!G204,Temp!H204,",",Temp!I204,",",Temp!J204,Temp!K204),"")</f>
        <v/>
      </c>
      <c r="E208" s="7"/>
      <c r="F208" s="8" t="str">
        <f t="shared" si="7"/>
        <v/>
      </c>
    </row>
    <row r="209" spans="1:6" x14ac:dyDescent="0.25">
      <c r="A209" s="13" t="str">
        <f>IF(AND($E209="",MAX($A$8:$A208)=0),"",IF(AND($E209&lt;&gt;"",MAX($A$8:$A208)=0),1,IF(AND($E209&lt;&gt;"",MAX($A$8:$A208)&gt;0),MAX($A$8:$A208)+1,"")))</f>
        <v/>
      </c>
      <c r="B209" s="11">
        <v>202</v>
      </c>
      <c r="C209" s="19" t="str">
        <f t="shared" si="6"/>
        <v>EMPTY</v>
      </c>
      <c r="D209" s="3" t="str">
        <f>IF(C209="SHOW",CONCATENATE(Temp!G205,Temp!H205,",",Temp!I205,",",Temp!J205,Temp!K205),"")</f>
        <v/>
      </c>
      <c r="E209" s="7"/>
      <c r="F209" s="8" t="str">
        <f t="shared" si="7"/>
        <v/>
      </c>
    </row>
    <row r="210" spans="1:6" x14ac:dyDescent="0.25">
      <c r="A210" s="13" t="str">
        <f>IF(AND($E210="",MAX($A$8:$A209)=0),"",IF(AND($E210&lt;&gt;"",MAX($A$8:$A209)=0),1,IF(AND($E210&lt;&gt;"",MAX($A$8:$A209)&gt;0),MAX($A$8:$A209)+1,"")))</f>
        <v/>
      </c>
      <c r="B210" s="11">
        <v>203</v>
      </c>
      <c r="C210" s="19" t="str">
        <f t="shared" si="6"/>
        <v>EMPTY</v>
      </c>
      <c r="D210" s="3" t="str">
        <f>IF(C210="SHOW",CONCATENATE(Temp!G206,Temp!H206,",",Temp!I206,",",Temp!J206,Temp!K206),"")</f>
        <v/>
      </c>
      <c r="E210" s="7"/>
      <c r="F210" s="8" t="str">
        <f t="shared" si="7"/>
        <v/>
      </c>
    </row>
    <row r="211" spans="1:6" x14ac:dyDescent="0.25">
      <c r="A211" s="13" t="str">
        <f>IF(AND($E211="",MAX($A$8:$A210)=0),"",IF(AND($E211&lt;&gt;"",MAX($A$8:$A210)=0),1,IF(AND($E211&lt;&gt;"",MAX($A$8:$A210)&gt;0),MAX($A$8:$A210)+1,"")))</f>
        <v/>
      </c>
      <c r="B211" s="11">
        <v>204</v>
      </c>
      <c r="C211" s="19" t="str">
        <f t="shared" si="6"/>
        <v>EMPTY</v>
      </c>
      <c r="D211" s="3" t="str">
        <f>IF(C211="SHOW",CONCATENATE(Temp!G207,Temp!H207,",",Temp!I207,",",Temp!J207,Temp!K207),"")</f>
        <v/>
      </c>
      <c r="E211" s="7"/>
      <c r="F211" s="8" t="str">
        <f t="shared" si="7"/>
        <v/>
      </c>
    </row>
    <row r="212" spans="1:6" x14ac:dyDescent="0.25">
      <c r="A212" s="13" t="str">
        <f>IF(AND($E212="",MAX($A$8:$A211)=0),"",IF(AND($E212&lt;&gt;"",MAX($A$8:$A211)=0),1,IF(AND($E212&lt;&gt;"",MAX($A$8:$A211)&gt;0),MAX($A$8:$A211)+1,"")))</f>
        <v/>
      </c>
      <c r="B212" s="11">
        <v>205</v>
      </c>
      <c r="C212" s="19" t="str">
        <f t="shared" si="6"/>
        <v>EMPTY</v>
      </c>
      <c r="D212" s="3" t="str">
        <f>IF(C212="SHOW",CONCATENATE(Temp!G208,Temp!H208,",",Temp!I208,",",Temp!J208,Temp!K208),"")</f>
        <v/>
      </c>
      <c r="E212" s="7"/>
      <c r="F212" s="8" t="str">
        <f t="shared" si="7"/>
        <v/>
      </c>
    </row>
    <row r="213" spans="1:6" x14ac:dyDescent="0.25">
      <c r="A213" s="13" t="str">
        <f>IF(AND($E213="",MAX($A$8:$A212)=0),"",IF(AND($E213&lt;&gt;"",MAX($A$8:$A212)=0),1,IF(AND($E213&lt;&gt;"",MAX($A$8:$A212)&gt;0),MAX($A$8:$A212)+1,"")))</f>
        <v/>
      </c>
      <c r="B213" s="11">
        <v>206</v>
      </c>
      <c r="C213" s="19" t="str">
        <f t="shared" si="6"/>
        <v>EMPTY</v>
      </c>
      <c r="D213" s="3" t="str">
        <f>IF(C213="SHOW",CONCATENATE(Temp!G209,Temp!H209,",",Temp!I209,",",Temp!J209,Temp!K209),"")</f>
        <v/>
      </c>
      <c r="E213" s="7"/>
      <c r="F213" s="8" t="str">
        <f t="shared" si="7"/>
        <v/>
      </c>
    </row>
    <row r="214" spans="1:6" x14ac:dyDescent="0.25">
      <c r="A214" s="13" t="str">
        <f>IF(AND($E214="",MAX($A$8:$A213)=0),"",IF(AND($E214&lt;&gt;"",MAX($A$8:$A213)=0),1,IF(AND($E214&lt;&gt;"",MAX($A$8:$A213)&gt;0),MAX($A$8:$A213)+1,"")))</f>
        <v/>
      </c>
      <c r="B214" s="11">
        <v>207</v>
      </c>
      <c r="C214" s="19" t="str">
        <f t="shared" si="6"/>
        <v>EMPTY</v>
      </c>
      <c r="D214" s="3" t="str">
        <f>IF(C214="SHOW",CONCATENATE(Temp!G210,Temp!H210,",",Temp!I210,",",Temp!J210,Temp!K210),"")</f>
        <v/>
      </c>
      <c r="E214" s="7"/>
      <c r="F214" s="8" t="str">
        <f t="shared" si="7"/>
        <v/>
      </c>
    </row>
    <row r="215" spans="1:6" x14ac:dyDescent="0.25">
      <c r="A215" s="13" t="str">
        <f>IF(AND($E215="",MAX($A$8:$A214)=0),"",IF(AND($E215&lt;&gt;"",MAX($A$8:$A214)=0),1,IF(AND($E215&lt;&gt;"",MAX($A$8:$A214)&gt;0),MAX($A$8:$A214)+1,"")))</f>
        <v/>
      </c>
      <c r="B215" s="11">
        <v>208</v>
      </c>
      <c r="C215" s="19" t="str">
        <f t="shared" si="6"/>
        <v>EMPTY</v>
      </c>
      <c r="D215" s="3" t="str">
        <f>IF(C215="SHOW",CONCATENATE(Temp!G211,Temp!H211,",",Temp!I211,",",Temp!J211,Temp!K211),"")</f>
        <v/>
      </c>
      <c r="E215" s="7"/>
      <c r="F215" s="8" t="str">
        <f t="shared" si="7"/>
        <v/>
      </c>
    </row>
    <row r="216" spans="1:6" x14ac:dyDescent="0.25">
      <c r="A216" s="13" t="str">
        <f>IF(AND($E216="",MAX($A$8:$A215)=0),"",IF(AND($E216&lt;&gt;"",MAX($A$8:$A215)=0),1,IF(AND($E216&lt;&gt;"",MAX($A$8:$A215)&gt;0),MAX($A$8:$A215)+1,"")))</f>
        <v/>
      </c>
      <c r="B216" s="11">
        <v>209</v>
      </c>
      <c r="C216" s="19" t="str">
        <f t="shared" si="6"/>
        <v>EMPTY</v>
      </c>
      <c r="D216" s="3" t="str">
        <f>IF(C216="SHOW",CONCATENATE(Temp!G212,Temp!H212,",",Temp!I212,",",Temp!J212,Temp!K212),"")</f>
        <v/>
      </c>
      <c r="E216" s="7"/>
      <c r="F216" s="8" t="str">
        <f t="shared" si="7"/>
        <v/>
      </c>
    </row>
    <row r="217" spans="1:6" x14ac:dyDescent="0.25">
      <c r="A217" s="13" t="str">
        <f>IF(AND($E217="",MAX($A$8:$A216)=0),"",IF(AND($E217&lt;&gt;"",MAX($A$8:$A216)=0),1,IF(AND($E217&lt;&gt;"",MAX($A$8:$A216)&gt;0),MAX($A$8:$A216)+1,"")))</f>
        <v/>
      </c>
      <c r="B217" s="11">
        <v>210</v>
      </c>
      <c r="C217" s="19" t="str">
        <f t="shared" si="6"/>
        <v>EMPTY</v>
      </c>
      <c r="D217" s="3" t="str">
        <f>IF(C217="SHOW",CONCATENATE(Temp!G213,Temp!H213,",",Temp!I213,",",Temp!J213,Temp!K213),"")</f>
        <v/>
      </c>
      <c r="E217" s="7"/>
      <c r="F217" s="8" t="str">
        <f t="shared" si="7"/>
        <v/>
      </c>
    </row>
    <row r="218" spans="1:6" x14ac:dyDescent="0.25">
      <c r="A218" s="13" t="str">
        <f>IF(AND($E218="",MAX($A$8:$A217)=0),"",IF(AND($E218&lt;&gt;"",MAX($A$8:$A217)=0),1,IF(AND($E218&lt;&gt;"",MAX($A$8:$A217)&gt;0),MAX($A$8:$A217)+1,"")))</f>
        <v/>
      </c>
      <c r="B218" s="11">
        <v>211</v>
      </c>
      <c r="C218" s="19" t="str">
        <f t="shared" si="6"/>
        <v>EMPTY</v>
      </c>
      <c r="D218" s="3" t="str">
        <f>IF(C218="SHOW",CONCATENATE(Temp!G214,Temp!H214,",",Temp!I214,",",Temp!J214,Temp!K214),"")</f>
        <v/>
      </c>
      <c r="E218" s="7"/>
      <c r="F218" s="8" t="str">
        <f t="shared" si="7"/>
        <v/>
      </c>
    </row>
    <row r="219" spans="1:6" x14ac:dyDescent="0.25">
      <c r="A219" s="13" t="str">
        <f>IF(AND($E219="",MAX($A$8:$A218)=0),"",IF(AND($E219&lt;&gt;"",MAX($A$8:$A218)=0),1,IF(AND($E219&lt;&gt;"",MAX($A$8:$A218)&gt;0),MAX($A$8:$A218)+1,"")))</f>
        <v/>
      </c>
      <c r="B219" s="11">
        <v>212</v>
      </c>
      <c r="C219" s="19" t="str">
        <f t="shared" si="6"/>
        <v>EMPTY</v>
      </c>
      <c r="D219" s="3" t="str">
        <f>IF(C219="SHOW",CONCATENATE(Temp!G215,Temp!H215,",",Temp!I215,",",Temp!J215,Temp!K215),"")</f>
        <v/>
      </c>
      <c r="E219" s="7"/>
      <c r="F219" s="8" t="str">
        <f t="shared" si="7"/>
        <v/>
      </c>
    </row>
    <row r="220" spans="1:6" x14ac:dyDescent="0.25">
      <c r="A220" s="13" t="str">
        <f>IF(AND($E220="",MAX($A$8:$A219)=0),"",IF(AND($E220&lt;&gt;"",MAX($A$8:$A219)=0),1,IF(AND($E220&lt;&gt;"",MAX($A$8:$A219)&gt;0),MAX($A$8:$A219)+1,"")))</f>
        <v/>
      </c>
      <c r="B220" s="11">
        <v>213</v>
      </c>
      <c r="C220" s="19" t="str">
        <f t="shared" si="6"/>
        <v>EMPTY</v>
      </c>
      <c r="D220" s="3" t="str">
        <f>IF(C220="SHOW",CONCATENATE(Temp!G216,Temp!H216,",",Temp!I216,",",Temp!J216,Temp!K216),"")</f>
        <v/>
      </c>
      <c r="E220" s="7"/>
      <c r="F220" s="8" t="str">
        <f t="shared" si="7"/>
        <v/>
      </c>
    </row>
    <row r="221" spans="1:6" x14ac:dyDescent="0.25">
      <c r="A221" s="13" t="str">
        <f>IF(AND($E221="",MAX($A$8:$A220)=0),"",IF(AND($E221&lt;&gt;"",MAX($A$8:$A220)=0),1,IF(AND($E221&lt;&gt;"",MAX($A$8:$A220)&gt;0),MAX($A$8:$A220)+1,"")))</f>
        <v/>
      </c>
      <c r="B221" s="11">
        <v>214</v>
      </c>
      <c r="C221" s="19" t="str">
        <f t="shared" si="6"/>
        <v>EMPTY</v>
      </c>
      <c r="D221" s="3" t="str">
        <f>IF(C221="SHOW",CONCATENATE(Temp!G217,Temp!H217,",",Temp!I217,",",Temp!J217,Temp!K217),"")</f>
        <v/>
      </c>
      <c r="E221" s="7"/>
      <c r="F221" s="8" t="str">
        <f t="shared" si="7"/>
        <v/>
      </c>
    </row>
    <row r="222" spans="1:6" x14ac:dyDescent="0.25">
      <c r="A222" s="13" t="str">
        <f>IF(AND($E222="",MAX($A$8:$A221)=0),"",IF(AND($E222&lt;&gt;"",MAX($A$8:$A221)=0),1,IF(AND($E222&lt;&gt;"",MAX($A$8:$A221)&gt;0),MAX($A$8:$A221)+1,"")))</f>
        <v/>
      </c>
      <c r="B222" s="11">
        <v>215</v>
      </c>
      <c r="C222" s="19" t="str">
        <f t="shared" si="6"/>
        <v>EMPTY</v>
      </c>
      <c r="D222" s="3" t="str">
        <f>IF(C222="SHOW",CONCATENATE(Temp!G218,Temp!H218,",",Temp!I218,",",Temp!J218,Temp!K218),"")</f>
        <v/>
      </c>
      <c r="E222" s="7"/>
      <c r="F222" s="8" t="str">
        <f t="shared" si="7"/>
        <v/>
      </c>
    </row>
    <row r="223" spans="1:6" x14ac:dyDescent="0.25">
      <c r="A223" s="13" t="str">
        <f>IF(AND($E223="",MAX($A$8:$A222)=0),"",IF(AND($E223&lt;&gt;"",MAX($A$8:$A222)=0),1,IF(AND($E223&lt;&gt;"",MAX($A$8:$A222)&gt;0),MAX($A$8:$A222)+1,"")))</f>
        <v/>
      </c>
      <c r="B223" s="11">
        <v>216</v>
      </c>
      <c r="C223" s="19" t="str">
        <f t="shared" si="6"/>
        <v>EMPTY</v>
      </c>
      <c r="D223" s="3" t="str">
        <f>IF(C223="SHOW",CONCATENATE(Temp!G219,Temp!H219,",",Temp!I219,",",Temp!J219,Temp!K219),"")</f>
        <v/>
      </c>
      <c r="E223" s="7"/>
      <c r="F223" s="8" t="str">
        <f t="shared" si="7"/>
        <v/>
      </c>
    </row>
    <row r="224" spans="1:6" x14ac:dyDescent="0.25">
      <c r="A224" s="13" t="str">
        <f>IF(AND($E224="",MAX($A$8:$A223)=0),"",IF(AND($E224&lt;&gt;"",MAX($A$8:$A223)=0),1,IF(AND($E224&lt;&gt;"",MAX($A$8:$A223)&gt;0),MAX($A$8:$A223)+1,"")))</f>
        <v/>
      </c>
      <c r="B224" s="11">
        <v>217</v>
      </c>
      <c r="C224" s="19" t="str">
        <f t="shared" si="6"/>
        <v>EMPTY</v>
      </c>
      <c r="D224" s="3" t="str">
        <f>IF(C224="SHOW",CONCATENATE(Temp!G220,Temp!H220,",",Temp!I220,",",Temp!J220,Temp!K220),"")</f>
        <v/>
      </c>
      <c r="E224" s="7"/>
      <c r="F224" s="8" t="str">
        <f t="shared" si="7"/>
        <v/>
      </c>
    </row>
    <row r="225" spans="1:6" x14ac:dyDescent="0.25">
      <c r="A225" s="13" t="str">
        <f>IF(AND($E225="",MAX($A$8:$A224)=0),"",IF(AND($E225&lt;&gt;"",MAX($A$8:$A224)=0),1,IF(AND($E225&lt;&gt;"",MAX($A$8:$A224)&gt;0),MAX($A$8:$A224)+1,"")))</f>
        <v/>
      </c>
      <c r="B225" s="11">
        <v>218</v>
      </c>
      <c r="C225" s="19" t="str">
        <f t="shared" si="6"/>
        <v>EMPTY</v>
      </c>
      <c r="D225" s="3" t="str">
        <f>IF(C225="SHOW",CONCATENATE(Temp!G221,Temp!H221,",",Temp!I221,",",Temp!J221,Temp!K221),"")</f>
        <v/>
      </c>
      <c r="E225" s="7"/>
      <c r="F225" s="8" t="str">
        <f t="shared" si="7"/>
        <v/>
      </c>
    </row>
    <row r="226" spans="1:6" x14ac:dyDescent="0.25">
      <c r="A226" s="13" t="str">
        <f>IF(AND($E226="",MAX($A$8:$A225)=0),"",IF(AND($E226&lt;&gt;"",MAX($A$8:$A225)=0),1,IF(AND($E226&lt;&gt;"",MAX($A$8:$A225)&gt;0),MAX($A$8:$A225)+1,"")))</f>
        <v/>
      </c>
      <c r="B226" s="11">
        <v>219</v>
      </c>
      <c r="C226" s="19" t="str">
        <f t="shared" si="6"/>
        <v>EMPTY</v>
      </c>
      <c r="D226" s="3" t="str">
        <f>IF(C226="SHOW",CONCATENATE(Temp!G222,Temp!H222,",",Temp!I222,",",Temp!J222,Temp!K222),"")</f>
        <v/>
      </c>
      <c r="E226" s="7"/>
      <c r="F226" s="8" t="str">
        <f t="shared" si="7"/>
        <v/>
      </c>
    </row>
    <row r="227" spans="1:6" x14ac:dyDescent="0.25">
      <c r="A227" s="13" t="str">
        <f>IF(AND($E227="",MAX($A$8:$A226)=0),"",IF(AND($E227&lt;&gt;"",MAX($A$8:$A226)=0),1,IF(AND($E227&lt;&gt;"",MAX($A$8:$A226)&gt;0),MAX($A$8:$A226)+1,"")))</f>
        <v/>
      </c>
      <c r="B227" s="11">
        <v>220</v>
      </c>
      <c r="C227" s="19" t="str">
        <f t="shared" si="6"/>
        <v>EMPTY</v>
      </c>
      <c r="D227" s="3" t="str">
        <f>IF(C227="SHOW",CONCATENATE(Temp!G223,Temp!H223,",",Temp!I223,",",Temp!J223,Temp!K223),"")</f>
        <v/>
      </c>
      <c r="E227" s="7"/>
      <c r="F227" s="8" t="str">
        <f t="shared" si="7"/>
        <v/>
      </c>
    </row>
    <row r="228" spans="1:6" x14ac:dyDescent="0.25">
      <c r="A228" s="13" t="str">
        <f>IF(AND($E228="",MAX($A$8:$A227)=0),"",IF(AND($E228&lt;&gt;"",MAX($A$8:$A227)=0),1,IF(AND($E228&lt;&gt;"",MAX($A$8:$A227)&gt;0),MAX($A$8:$A227)+1,"")))</f>
        <v/>
      </c>
      <c r="B228" s="11">
        <v>221</v>
      </c>
      <c r="C228" s="19" t="str">
        <f t="shared" si="6"/>
        <v>EMPTY</v>
      </c>
      <c r="D228" s="3" t="str">
        <f>IF(C228="SHOW",CONCATENATE(Temp!G224,Temp!H224,",",Temp!I224,",",Temp!J224,Temp!K224),"")</f>
        <v/>
      </c>
      <c r="E228" s="7"/>
      <c r="F228" s="8" t="str">
        <f t="shared" si="7"/>
        <v/>
      </c>
    </row>
    <row r="229" spans="1:6" x14ac:dyDescent="0.25">
      <c r="A229" s="13" t="str">
        <f>IF(AND($E229="",MAX($A$8:$A228)=0),"",IF(AND($E229&lt;&gt;"",MAX($A$8:$A228)=0),1,IF(AND($E229&lt;&gt;"",MAX($A$8:$A228)&gt;0),MAX($A$8:$A228)+1,"")))</f>
        <v/>
      </c>
      <c r="B229" s="11">
        <v>222</v>
      </c>
      <c r="C229" s="19" t="str">
        <f t="shared" si="6"/>
        <v>EMPTY</v>
      </c>
      <c r="D229" s="3" t="str">
        <f>IF(C229="SHOW",CONCATENATE(Temp!G225,Temp!H225,",",Temp!I225,",",Temp!J225,Temp!K225),"")</f>
        <v/>
      </c>
      <c r="E229" s="7"/>
      <c r="F229" s="8" t="str">
        <f t="shared" si="7"/>
        <v/>
      </c>
    </row>
    <row r="230" spans="1:6" x14ac:dyDescent="0.25">
      <c r="A230" s="13" t="str">
        <f>IF(AND($E230="",MAX($A$8:$A229)=0),"",IF(AND($E230&lt;&gt;"",MAX($A$8:$A229)=0),1,IF(AND($E230&lt;&gt;"",MAX($A$8:$A229)&gt;0),MAX($A$8:$A229)+1,"")))</f>
        <v/>
      </c>
      <c r="B230" s="11">
        <v>223</v>
      </c>
      <c r="C230" s="19" t="str">
        <f t="shared" si="6"/>
        <v>EMPTY</v>
      </c>
      <c r="D230" s="3" t="str">
        <f>IF(C230="SHOW",CONCATENATE(Temp!G226,Temp!H226,",",Temp!I226,",",Temp!J226,Temp!K226),"")</f>
        <v/>
      </c>
      <c r="E230" s="7"/>
      <c r="F230" s="8" t="str">
        <f t="shared" si="7"/>
        <v/>
      </c>
    </row>
    <row r="231" spans="1:6" x14ac:dyDescent="0.25">
      <c r="A231" s="13" t="str">
        <f>IF(AND($E231="",MAX($A$8:$A230)=0),"",IF(AND($E231&lt;&gt;"",MAX($A$8:$A230)=0),1,IF(AND($E231&lt;&gt;"",MAX($A$8:$A230)&gt;0),MAX($A$8:$A230)+1,"")))</f>
        <v/>
      </c>
      <c r="B231" s="11">
        <v>224</v>
      </c>
      <c r="C231" s="19" t="str">
        <f t="shared" si="6"/>
        <v>EMPTY</v>
      </c>
      <c r="D231" s="3" t="str">
        <f>IF(C231="SHOW",CONCATENATE(Temp!G227,Temp!H227,",",Temp!I227,",",Temp!J227,Temp!K227),"")</f>
        <v/>
      </c>
      <c r="E231" s="7"/>
      <c r="F231" s="8" t="str">
        <f t="shared" si="7"/>
        <v/>
      </c>
    </row>
    <row r="232" spans="1:6" x14ac:dyDescent="0.25">
      <c r="A232" s="13" t="str">
        <f>IF(AND($E232="",MAX($A$8:$A231)=0),"",IF(AND($E232&lt;&gt;"",MAX($A$8:$A231)=0),1,IF(AND($E232&lt;&gt;"",MAX($A$8:$A231)&gt;0),MAX($A$8:$A231)+1,"")))</f>
        <v/>
      </c>
      <c r="B232" s="11">
        <v>225</v>
      </c>
      <c r="C232" s="19" t="str">
        <f t="shared" si="6"/>
        <v>EMPTY</v>
      </c>
      <c r="D232" s="3" t="str">
        <f>IF(C232="SHOW",CONCATENATE(Temp!G228,Temp!H228,",",Temp!I228,",",Temp!J228,Temp!K228),"")</f>
        <v/>
      </c>
      <c r="E232" s="7"/>
      <c r="F232" s="8" t="str">
        <f t="shared" si="7"/>
        <v/>
      </c>
    </row>
    <row r="233" spans="1:6" x14ac:dyDescent="0.25">
      <c r="A233" s="13" t="str">
        <f>IF(AND($E233="",MAX($A$8:$A232)=0),"",IF(AND($E233&lt;&gt;"",MAX($A$8:$A232)=0),1,IF(AND($E233&lt;&gt;"",MAX($A$8:$A232)&gt;0),MAX($A$8:$A232)+1,"")))</f>
        <v/>
      </c>
      <c r="B233" s="11">
        <v>226</v>
      </c>
      <c r="C233" s="19" t="str">
        <f t="shared" si="6"/>
        <v>EMPTY</v>
      </c>
      <c r="D233" s="3" t="str">
        <f>IF(C233="SHOW",CONCATENATE(Temp!G229,Temp!H229,",",Temp!I229,",",Temp!J229,Temp!K229),"")</f>
        <v/>
      </c>
      <c r="E233" s="7"/>
      <c r="F233" s="8" t="str">
        <f t="shared" si="7"/>
        <v/>
      </c>
    </row>
    <row r="234" spans="1:6" x14ac:dyDescent="0.25">
      <c r="A234" s="13" t="str">
        <f>IF(AND($E234="",MAX($A$8:$A233)=0),"",IF(AND($E234&lt;&gt;"",MAX($A$8:$A233)=0),1,IF(AND($E234&lt;&gt;"",MAX($A$8:$A233)&gt;0),MAX($A$8:$A233)+1,"")))</f>
        <v/>
      </c>
      <c r="B234" s="11">
        <v>227</v>
      </c>
      <c r="C234" s="19" t="str">
        <f t="shared" si="6"/>
        <v>EMPTY</v>
      </c>
      <c r="D234" s="3" t="str">
        <f>IF(C234="SHOW",CONCATENATE(Temp!G230,Temp!H230,",",Temp!I230,",",Temp!J230,Temp!K230),"")</f>
        <v/>
      </c>
      <c r="E234" s="7"/>
      <c r="F234" s="8" t="str">
        <f t="shared" si="7"/>
        <v/>
      </c>
    </row>
    <row r="235" spans="1:6" x14ac:dyDescent="0.25">
      <c r="A235" s="13" t="str">
        <f>IF(AND($E235="",MAX($A$8:$A234)=0),"",IF(AND($E235&lt;&gt;"",MAX($A$8:$A234)=0),1,IF(AND($E235&lt;&gt;"",MAX($A$8:$A234)&gt;0),MAX($A$8:$A234)+1,"")))</f>
        <v/>
      </c>
      <c r="B235" s="11">
        <v>228</v>
      </c>
      <c r="C235" s="19" t="str">
        <f t="shared" si="6"/>
        <v>EMPTY</v>
      </c>
      <c r="D235" s="3" t="str">
        <f>IF(C235="SHOW",CONCATENATE(Temp!G231,Temp!H231,",",Temp!I231,",",Temp!J231,Temp!K231),"")</f>
        <v/>
      </c>
      <c r="E235" s="7"/>
      <c r="F235" s="8" t="str">
        <f t="shared" si="7"/>
        <v/>
      </c>
    </row>
    <row r="236" spans="1:6" x14ac:dyDescent="0.25">
      <c r="A236" s="13" t="str">
        <f>IF(AND($E236="",MAX($A$8:$A235)=0),"",IF(AND($E236&lt;&gt;"",MAX($A$8:$A235)=0),1,IF(AND($E236&lt;&gt;"",MAX($A$8:$A235)&gt;0),MAX($A$8:$A235)+1,"")))</f>
        <v/>
      </c>
      <c r="B236" s="11">
        <v>229</v>
      </c>
      <c r="C236" s="19" t="str">
        <f t="shared" si="6"/>
        <v>EMPTY</v>
      </c>
      <c r="D236" s="3" t="str">
        <f>IF(C236="SHOW",CONCATENATE(Temp!G232,Temp!H232,",",Temp!I232,",",Temp!J232,Temp!K232),"")</f>
        <v/>
      </c>
      <c r="E236" s="7"/>
      <c r="F236" s="8" t="str">
        <f t="shared" si="7"/>
        <v/>
      </c>
    </row>
    <row r="237" spans="1:6" x14ac:dyDescent="0.25">
      <c r="A237" s="13" t="str">
        <f>IF(AND($E237="",MAX($A$8:$A236)=0),"",IF(AND($E237&lt;&gt;"",MAX($A$8:$A236)=0),1,IF(AND($E237&lt;&gt;"",MAX($A$8:$A236)&gt;0),MAX($A$8:$A236)+1,"")))</f>
        <v/>
      </c>
      <c r="B237" s="11">
        <v>230</v>
      </c>
      <c r="C237" s="19" t="str">
        <f t="shared" si="6"/>
        <v>EMPTY</v>
      </c>
      <c r="D237" s="3" t="str">
        <f>IF(C237="SHOW",CONCATENATE(Temp!G233,Temp!H233,",",Temp!I233,",",Temp!J233,Temp!K233),"")</f>
        <v/>
      </c>
      <c r="E237" s="7"/>
      <c r="F237" s="8" t="str">
        <f t="shared" si="7"/>
        <v/>
      </c>
    </row>
    <row r="238" spans="1:6" x14ac:dyDescent="0.25">
      <c r="A238" s="13" t="str">
        <f>IF(AND($E238="",MAX($A$8:$A237)=0),"",IF(AND($E238&lt;&gt;"",MAX($A$8:$A237)=0),1,IF(AND($E238&lt;&gt;"",MAX($A$8:$A237)&gt;0),MAX($A$8:$A237)+1,"")))</f>
        <v/>
      </c>
      <c r="B238" s="11">
        <v>231</v>
      </c>
      <c r="C238" s="19" t="str">
        <f t="shared" si="6"/>
        <v>EMPTY</v>
      </c>
      <c r="D238" s="3" t="str">
        <f>IF(C238="SHOW",CONCATENATE(Temp!G234,Temp!H234,",",Temp!I234,",",Temp!J234,Temp!K234),"")</f>
        <v/>
      </c>
      <c r="E238" s="7"/>
      <c r="F238" s="8" t="str">
        <f t="shared" si="7"/>
        <v/>
      </c>
    </row>
    <row r="239" spans="1:6" x14ac:dyDescent="0.25">
      <c r="A239" s="13" t="str">
        <f>IF(AND($E239="",MAX($A$8:$A238)=0),"",IF(AND($E239&lt;&gt;"",MAX($A$8:$A238)=0),1,IF(AND($E239&lt;&gt;"",MAX($A$8:$A238)&gt;0),MAX($A$8:$A238)+1,"")))</f>
        <v/>
      </c>
      <c r="B239" s="11">
        <v>232</v>
      </c>
      <c r="C239" s="19" t="str">
        <f t="shared" si="6"/>
        <v>EMPTY</v>
      </c>
      <c r="D239" s="3" t="str">
        <f>IF(C239="SHOW",CONCATENATE(Temp!G235,Temp!H235,",",Temp!I235,",",Temp!J235,Temp!K235),"")</f>
        <v/>
      </c>
      <c r="E239" s="7"/>
      <c r="F239" s="8" t="str">
        <f t="shared" si="7"/>
        <v/>
      </c>
    </row>
    <row r="240" spans="1:6" x14ac:dyDescent="0.25">
      <c r="A240" s="13" t="str">
        <f>IF(AND($E240="",MAX($A$8:$A239)=0),"",IF(AND($E240&lt;&gt;"",MAX($A$8:$A239)=0),1,IF(AND($E240&lt;&gt;"",MAX($A$8:$A239)&gt;0),MAX($A$8:$A239)+1,"")))</f>
        <v/>
      </c>
      <c r="B240" s="11">
        <v>233</v>
      </c>
      <c r="C240" s="19" t="str">
        <f t="shared" si="6"/>
        <v>EMPTY</v>
      </c>
      <c r="D240" s="3" t="str">
        <f>IF(C240="SHOW",CONCATENATE(Temp!G236,Temp!H236,",",Temp!I236,",",Temp!J236,Temp!K236),"")</f>
        <v/>
      </c>
      <c r="E240" s="7"/>
      <c r="F240" s="8" t="str">
        <f t="shared" si="7"/>
        <v/>
      </c>
    </row>
    <row r="241" spans="1:6" x14ac:dyDescent="0.25">
      <c r="A241" s="13" t="str">
        <f>IF(AND($E241="",MAX($A$8:$A240)=0),"",IF(AND($E241&lt;&gt;"",MAX($A$8:$A240)=0),1,IF(AND($E241&lt;&gt;"",MAX($A$8:$A240)&gt;0),MAX($A$8:$A240)+1,"")))</f>
        <v/>
      </c>
      <c r="B241" s="11">
        <v>234</v>
      </c>
      <c r="C241" s="19" t="str">
        <f t="shared" si="6"/>
        <v>EMPTY</v>
      </c>
      <c r="D241" s="3" t="str">
        <f>IF(C241="SHOW",CONCATENATE(Temp!G237,Temp!H237,",",Temp!I237,",",Temp!J237,Temp!K237),"")</f>
        <v/>
      </c>
      <c r="E241" s="7"/>
      <c r="F241" s="8" t="str">
        <f t="shared" si="7"/>
        <v/>
      </c>
    </row>
    <row r="242" spans="1:6" x14ac:dyDescent="0.25">
      <c r="A242" s="13" t="str">
        <f>IF(AND($E242="",MAX($A$8:$A241)=0),"",IF(AND($E242&lt;&gt;"",MAX($A$8:$A241)=0),1,IF(AND($E242&lt;&gt;"",MAX($A$8:$A241)&gt;0),MAX($A$8:$A241)+1,"")))</f>
        <v/>
      </c>
      <c r="B242" s="11">
        <v>235</v>
      </c>
      <c r="C242" s="19" t="str">
        <f t="shared" si="6"/>
        <v>EMPTY</v>
      </c>
      <c r="D242" s="3" t="str">
        <f>IF(C242="SHOW",CONCATENATE(Temp!G238,Temp!H238,",",Temp!I238,",",Temp!J238,Temp!K238),"")</f>
        <v/>
      </c>
      <c r="E242" s="7"/>
      <c r="F242" s="8" t="str">
        <f t="shared" si="7"/>
        <v/>
      </c>
    </row>
    <row r="243" spans="1:6" x14ac:dyDescent="0.25">
      <c r="A243" s="13" t="str">
        <f>IF(AND($E243="",MAX($A$8:$A242)=0),"",IF(AND($E243&lt;&gt;"",MAX($A$8:$A242)=0),1,IF(AND($E243&lt;&gt;"",MAX($A$8:$A242)&gt;0),MAX($A$8:$A242)+1,"")))</f>
        <v/>
      </c>
      <c r="B243" s="11">
        <v>236</v>
      </c>
      <c r="C243" s="19" t="str">
        <f t="shared" si="6"/>
        <v>EMPTY</v>
      </c>
      <c r="D243" s="3" t="str">
        <f>IF(C243="SHOW",CONCATENATE(Temp!G239,Temp!H239,",",Temp!I239,",",Temp!J239,Temp!K239),"")</f>
        <v/>
      </c>
      <c r="E243" s="7"/>
      <c r="F243" s="8" t="str">
        <f t="shared" si="7"/>
        <v/>
      </c>
    </row>
    <row r="244" spans="1:6" x14ac:dyDescent="0.25">
      <c r="A244" s="13" t="str">
        <f>IF(AND($E244="",MAX($A$8:$A243)=0),"",IF(AND($E244&lt;&gt;"",MAX($A$8:$A243)=0),1,IF(AND($E244&lt;&gt;"",MAX($A$8:$A243)&gt;0),MAX($A$8:$A243)+1,"")))</f>
        <v/>
      </c>
      <c r="B244" s="11">
        <v>237</v>
      </c>
      <c r="C244" s="19" t="str">
        <f t="shared" si="6"/>
        <v>EMPTY</v>
      </c>
      <c r="D244" s="3" t="str">
        <f>IF(C244="SHOW",CONCATENATE(Temp!G240,Temp!H240,",",Temp!I240,",",Temp!J240,Temp!K240),"")</f>
        <v/>
      </c>
      <c r="E244" s="7"/>
      <c r="F244" s="8" t="str">
        <f t="shared" si="7"/>
        <v/>
      </c>
    </row>
    <row r="245" spans="1:6" x14ac:dyDescent="0.25">
      <c r="A245" s="13" t="str">
        <f>IF(AND($E245="",MAX($A$8:$A244)=0),"",IF(AND($E245&lt;&gt;"",MAX($A$8:$A244)=0),1,IF(AND($E245&lt;&gt;"",MAX($A$8:$A244)&gt;0),MAX($A$8:$A244)+1,"")))</f>
        <v/>
      </c>
      <c r="B245" s="11">
        <v>238</v>
      </c>
      <c r="C245" s="19" t="str">
        <f t="shared" si="6"/>
        <v>EMPTY</v>
      </c>
      <c r="D245" s="3" t="str">
        <f>IF(C245="SHOW",CONCATENATE(Temp!G241,Temp!H241,",",Temp!I241,",",Temp!J241,Temp!K241),"")</f>
        <v/>
      </c>
      <c r="E245" s="7"/>
      <c r="F245" s="8" t="str">
        <f t="shared" si="7"/>
        <v/>
      </c>
    </row>
    <row r="246" spans="1:6" x14ac:dyDescent="0.25">
      <c r="A246" s="13" t="str">
        <f>IF(AND($E246="",MAX($A$8:$A245)=0),"",IF(AND($E246&lt;&gt;"",MAX($A$8:$A245)=0),1,IF(AND($E246&lt;&gt;"",MAX($A$8:$A245)&gt;0),MAX($A$8:$A245)+1,"")))</f>
        <v/>
      </c>
      <c r="B246" s="11">
        <v>239</v>
      </c>
      <c r="C246" s="19" t="str">
        <f t="shared" si="6"/>
        <v>EMPTY</v>
      </c>
      <c r="D246" s="3" t="str">
        <f>IF(C246="SHOW",CONCATENATE(Temp!G242,Temp!H242,",",Temp!I242,",",Temp!J242,Temp!K242),"")</f>
        <v/>
      </c>
      <c r="E246" s="7"/>
      <c r="F246" s="8" t="str">
        <f t="shared" si="7"/>
        <v/>
      </c>
    </row>
    <row r="247" spans="1:6" x14ac:dyDescent="0.25">
      <c r="A247" s="13" t="str">
        <f>IF(AND($E247="",MAX($A$8:$A246)=0),"",IF(AND($E247&lt;&gt;"",MAX($A$8:$A246)=0),1,IF(AND($E247&lt;&gt;"",MAX($A$8:$A246)&gt;0),MAX($A$8:$A246)+1,"")))</f>
        <v/>
      </c>
      <c r="B247" s="11">
        <v>240</v>
      </c>
      <c r="C247" s="19" t="str">
        <f t="shared" si="6"/>
        <v>EMPTY</v>
      </c>
      <c r="D247" s="3" t="str">
        <f>IF(C247="SHOW",CONCATENATE(Temp!G243,Temp!H243,",",Temp!I243,",",Temp!J243,Temp!K243),"")</f>
        <v/>
      </c>
      <c r="E247" s="7"/>
      <c r="F247" s="8" t="str">
        <f t="shared" si="7"/>
        <v/>
      </c>
    </row>
    <row r="248" spans="1:6" x14ac:dyDescent="0.25">
      <c r="A248" s="13" t="str">
        <f>IF(AND($E248="",MAX($A$8:$A247)=0),"",IF(AND($E248&lt;&gt;"",MAX($A$8:$A247)=0),1,IF(AND($E248&lt;&gt;"",MAX($A$8:$A247)&gt;0),MAX($A$8:$A247)+1,"")))</f>
        <v/>
      </c>
      <c r="B248" s="11">
        <v>241</v>
      </c>
      <c r="C248" s="19" t="str">
        <f t="shared" si="6"/>
        <v>EMPTY</v>
      </c>
      <c r="D248" s="3" t="str">
        <f>IF(C248="SHOW",CONCATENATE(Temp!G244,Temp!H244,",",Temp!I244,",",Temp!J244,Temp!K244),"")</f>
        <v/>
      </c>
      <c r="E248" s="7"/>
      <c r="F248" s="8" t="str">
        <f t="shared" si="7"/>
        <v/>
      </c>
    </row>
    <row r="249" spans="1:6" x14ac:dyDescent="0.25">
      <c r="A249" s="13" t="str">
        <f>IF(AND($E249="",MAX($A$8:$A248)=0),"",IF(AND($E249&lt;&gt;"",MAX($A$8:$A248)=0),1,IF(AND($E249&lt;&gt;"",MAX($A$8:$A248)&gt;0),MAX($A$8:$A248)+1,"")))</f>
        <v/>
      </c>
      <c r="B249" s="11">
        <v>242</v>
      </c>
      <c r="C249" s="19" t="str">
        <f t="shared" si="6"/>
        <v>EMPTY</v>
      </c>
      <c r="D249" s="3" t="str">
        <f>IF(C249="SHOW",CONCATENATE(Temp!G245,Temp!H245,",",Temp!I245,",",Temp!J245,Temp!K245),"")</f>
        <v/>
      </c>
      <c r="E249" s="7"/>
      <c r="F249" s="8" t="str">
        <f t="shared" si="7"/>
        <v/>
      </c>
    </row>
    <row r="250" spans="1:6" x14ac:dyDescent="0.25">
      <c r="A250" s="13" t="str">
        <f>IF(AND($E250="",MAX($A$8:$A249)=0),"",IF(AND($E250&lt;&gt;"",MAX($A$8:$A249)=0),1,IF(AND($E250&lt;&gt;"",MAX($A$8:$A249)&gt;0),MAX($A$8:$A249)+1,"")))</f>
        <v/>
      </c>
      <c r="B250" s="11">
        <v>243</v>
      </c>
      <c r="C250" s="19" t="str">
        <f t="shared" si="6"/>
        <v>EMPTY</v>
      </c>
      <c r="D250" s="3" t="str">
        <f>IF(C250="SHOW",CONCATENATE(Temp!G246,Temp!H246,",",Temp!I246,",",Temp!J246,Temp!K246),"")</f>
        <v/>
      </c>
      <c r="E250" s="7"/>
      <c r="F250" s="8" t="str">
        <f t="shared" si="7"/>
        <v/>
      </c>
    </row>
    <row r="251" spans="1:6" x14ac:dyDescent="0.25">
      <c r="A251" s="13" t="str">
        <f>IF(AND($E251="",MAX($A$8:$A250)=0),"",IF(AND($E251&lt;&gt;"",MAX($A$8:$A250)=0),1,IF(AND($E251&lt;&gt;"",MAX($A$8:$A250)&gt;0),MAX($A$8:$A250)+1,"")))</f>
        <v/>
      </c>
      <c r="B251" s="11">
        <v>244</v>
      </c>
      <c r="C251" s="19" t="str">
        <f t="shared" si="6"/>
        <v>EMPTY</v>
      </c>
      <c r="D251" s="3" t="str">
        <f>IF(C251="SHOW",CONCATENATE(Temp!G247,Temp!H247,",",Temp!I247,",",Temp!J247,Temp!K247),"")</f>
        <v/>
      </c>
      <c r="E251" s="7"/>
      <c r="F251" s="8" t="str">
        <f t="shared" si="7"/>
        <v/>
      </c>
    </row>
    <row r="252" spans="1:6" x14ac:dyDescent="0.25">
      <c r="A252" s="13" t="str">
        <f>IF(AND($E252="",MAX($A$8:$A251)=0),"",IF(AND($E252&lt;&gt;"",MAX($A$8:$A251)=0),1,IF(AND($E252&lt;&gt;"",MAX($A$8:$A251)&gt;0),MAX($A$8:$A251)+1,"")))</f>
        <v/>
      </c>
      <c r="B252" s="11">
        <v>245</v>
      </c>
      <c r="C252" s="19" t="str">
        <f t="shared" si="6"/>
        <v>EMPTY</v>
      </c>
      <c r="D252" s="3" t="str">
        <f>IF(C252="SHOW",CONCATENATE(Temp!G248,Temp!H248,",",Temp!I248,",",Temp!J248,Temp!K248),"")</f>
        <v/>
      </c>
      <c r="E252" s="7"/>
      <c r="F252" s="8" t="str">
        <f t="shared" si="7"/>
        <v/>
      </c>
    </row>
    <row r="253" spans="1:6" x14ac:dyDescent="0.25">
      <c r="A253" s="13" t="str">
        <f>IF(AND($E253="",MAX($A$8:$A252)=0),"",IF(AND($E253&lt;&gt;"",MAX($A$8:$A252)=0),1,IF(AND($E253&lt;&gt;"",MAX($A$8:$A252)&gt;0),MAX($A$8:$A252)+1,"")))</f>
        <v/>
      </c>
      <c r="B253" s="11">
        <v>246</v>
      </c>
      <c r="C253" s="19" t="str">
        <f t="shared" si="6"/>
        <v>EMPTY</v>
      </c>
      <c r="D253" s="3" t="str">
        <f>IF(C253="SHOW",CONCATENATE(Temp!G249,Temp!H249,",",Temp!I249,",",Temp!J249,Temp!K249),"")</f>
        <v/>
      </c>
      <c r="E253" s="7"/>
      <c r="F253" s="8" t="str">
        <f t="shared" si="7"/>
        <v/>
      </c>
    </row>
    <row r="254" spans="1:6" x14ac:dyDescent="0.25">
      <c r="A254" s="13" t="str">
        <f>IF(AND($E254="",MAX($A$8:$A253)=0),"",IF(AND($E254&lt;&gt;"",MAX($A$8:$A253)=0),1,IF(AND($E254&lt;&gt;"",MAX($A$8:$A253)&gt;0),MAX($A$8:$A253)+1,"")))</f>
        <v/>
      </c>
      <c r="B254" s="11">
        <v>247</v>
      </c>
      <c r="C254" s="19" t="str">
        <f t="shared" si="6"/>
        <v>EMPTY</v>
      </c>
      <c r="D254" s="3" t="str">
        <f>IF(C254="SHOW",CONCATENATE(Temp!G250,Temp!H250,",",Temp!I250,",",Temp!J250,Temp!K250),"")</f>
        <v/>
      </c>
      <c r="E254" s="7"/>
      <c r="F254" s="8" t="str">
        <f t="shared" si="7"/>
        <v/>
      </c>
    </row>
    <row r="255" spans="1:6" x14ac:dyDescent="0.25">
      <c r="A255" s="13" t="str">
        <f>IF(AND($E255="",MAX($A$8:$A254)=0),"",IF(AND($E255&lt;&gt;"",MAX($A$8:$A254)=0),1,IF(AND($E255&lt;&gt;"",MAX($A$8:$A254)&gt;0),MAX($A$8:$A254)+1,"")))</f>
        <v/>
      </c>
      <c r="B255" s="11">
        <v>248</v>
      </c>
      <c r="C255" s="19" t="str">
        <f t="shared" si="6"/>
        <v>EMPTY</v>
      </c>
      <c r="D255" s="3" t="str">
        <f>IF(C255="SHOW",CONCATENATE(Temp!G251,Temp!H251,",",Temp!I251,",",Temp!J251,Temp!K251),"")</f>
        <v/>
      </c>
      <c r="E255" s="7"/>
      <c r="F255" s="8" t="str">
        <f t="shared" si="7"/>
        <v/>
      </c>
    </row>
    <row r="256" spans="1:6" x14ac:dyDescent="0.25">
      <c r="A256" s="13" t="str">
        <f>IF(AND($E256="",MAX($A$8:$A255)=0),"",IF(AND($E256&lt;&gt;"",MAX($A$8:$A255)=0),1,IF(AND($E256&lt;&gt;"",MAX($A$8:$A255)&gt;0),MAX($A$8:$A255)+1,"")))</f>
        <v/>
      </c>
      <c r="B256" s="11">
        <v>249</v>
      </c>
      <c r="C256" s="19" t="str">
        <f t="shared" si="6"/>
        <v>EMPTY</v>
      </c>
      <c r="D256" s="3" t="str">
        <f>IF(C256="SHOW",CONCATENATE(Temp!G252,Temp!H252,",",Temp!I252,",",Temp!J252,Temp!K252),"")</f>
        <v/>
      </c>
      <c r="E256" s="7"/>
      <c r="F256" s="8" t="str">
        <f t="shared" si="7"/>
        <v/>
      </c>
    </row>
    <row r="257" spans="1:6" x14ac:dyDescent="0.25">
      <c r="A257" s="13" t="str">
        <f>IF(AND($E257="",MAX($A$8:$A256)=0),"",IF(AND($E257&lt;&gt;"",MAX($A$8:$A256)=0),1,IF(AND($E257&lt;&gt;"",MAX($A$8:$A256)&gt;0),MAX($A$8:$A256)+1,"")))</f>
        <v/>
      </c>
      <c r="B257" s="11">
        <v>250</v>
      </c>
      <c r="C257" s="19" t="str">
        <f t="shared" si="6"/>
        <v>EMPTY</v>
      </c>
      <c r="D257" s="3" t="str">
        <f>IF(C257="SHOW",CONCATENATE(Temp!G253,Temp!H253,",",Temp!I253,",",Temp!J253,Temp!K253),"")</f>
        <v/>
      </c>
      <c r="E257" s="7"/>
      <c r="F257" s="8" t="str">
        <f t="shared" si="7"/>
        <v/>
      </c>
    </row>
    <row r="258" spans="1:6" x14ac:dyDescent="0.25">
      <c r="A258" s="13" t="str">
        <f>IF(AND($E258="",MAX($A$8:$A257)=0),"",IF(AND($E258&lt;&gt;"",MAX($A$8:$A257)=0),1,IF(AND($E258&lt;&gt;"",MAX($A$8:$A257)&gt;0),MAX($A$8:$A257)+1,"")))</f>
        <v/>
      </c>
      <c r="B258" s="11">
        <v>251</v>
      </c>
      <c r="C258" s="19" t="str">
        <f t="shared" si="6"/>
        <v>EMPTY</v>
      </c>
      <c r="D258" s="3" t="str">
        <f>IF(C258="SHOW",CONCATENATE(Temp!G254,Temp!H254,",",Temp!I254,",",Temp!J254,Temp!K254),"")</f>
        <v/>
      </c>
      <c r="E258" s="7"/>
      <c r="F258" s="8" t="str">
        <f t="shared" si="7"/>
        <v/>
      </c>
    </row>
    <row r="259" spans="1:6" x14ac:dyDescent="0.25">
      <c r="A259" s="13" t="str">
        <f>IF(AND($E259="",MAX($A$8:$A258)=0),"",IF(AND($E259&lt;&gt;"",MAX($A$8:$A258)=0),1,IF(AND($E259&lt;&gt;"",MAX($A$8:$A258)&gt;0),MAX($A$8:$A258)+1,"")))</f>
        <v/>
      </c>
      <c r="B259" s="11">
        <v>252</v>
      </c>
      <c r="C259" s="19" t="str">
        <f t="shared" si="6"/>
        <v>EMPTY</v>
      </c>
      <c r="D259" s="3" t="str">
        <f>IF(C259="SHOW",CONCATENATE(Temp!G255,Temp!H255,",",Temp!I255,",",Temp!J255,Temp!K255),"")</f>
        <v/>
      </c>
      <c r="E259" s="7"/>
      <c r="F259" s="8" t="str">
        <f t="shared" si="7"/>
        <v/>
      </c>
    </row>
    <row r="260" spans="1:6" x14ac:dyDescent="0.25">
      <c r="A260" s="13" t="str">
        <f>IF(AND($E260="",MAX($A$8:$A259)=0),"",IF(AND($E260&lt;&gt;"",MAX($A$8:$A259)=0),1,IF(AND($E260&lt;&gt;"",MAX($A$8:$A259)&gt;0),MAX($A$8:$A259)+1,"")))</f>
        <v/>
      </c>
      <c r="B260" s="11">
        <v>253</v>
      </c>
      <c r="C260" s="19" t="str">
        <f t="shared" si="6"/>
        <v>EMPTY</v>
      </c>
      <c r="D260" s="3" t="str">
        <f>IF(C260="SHOW",CONCATENATE(Temp!G256,Temp!H256,",",Temp!I256,",",Temp!J256,Temp!K256),"")</f>
        <v/>
      </c>
      <c r="E260" s="7"/>
      <c r="F260" s="8" t="str">
        <f t="shared" si="7"/>
        <v/>
      </c>
    </row>
    <row r="261" spans="1:6" x14ac:dyDescent="0.25">
      <c r="A261" s="13" t="str">
        <f>IF(AND($E261="",MAX($A$8:$A260)=0),"",IF(AND($E261&lt;&gt;"",MAX($A$8:$A260)=0),1,IF(AND($E261&lt;&gt;"",MAX($A$8:$A260)&gt;0),MAX($A$8:$A260)+1,"")))</f>
        <v/>
      </c>
      <c r="B261" s="11">
        <v>254</v>
      </c>
      <c r="C261" s="19" t="str">
        <f t="shared" si="6"/>
        <v>EMPTY</v>
      </c>
      <c r="D261" s="3" t="str">
        <f>IF(C261="SHOW",CONCATENATE(Temp!G257,Temp!H257,",",Temp!I257,",",Temp!J257,Temp!K257),"")</f>
        <v/>
      </c>
      <c r="E261" s="7"/>
      <c r="F261" s="8" t="str">
        <f t="shared" si="7"/>
        <v/>
      </c>
    </row>
    <row r="262" spans="1:6" x14ac:dyDescent="0.25">
      <c r="A262" s="13" t="str">
        <f>IF(AND($E262="",MAX($A$8:$A261)=0),"",IF(AND($E262&lt;&gt;"",MAX($A$8:$A261)=0),1,IF(AND($E262&lt;&gt;"",MAX($A$8:$A261)&gt;0),MAX($A$8:$A261)+1,"")))</f>
        <v/>
      </c>
      <c r="B262" s="11">
        <v>255</v>
      </c>
      <c r="C262" s="19" t="str">
        <f t="shared" si="6"/>
        <v>EMPTY</v>
      </c>
      <c r="D262" s="3" t="str">
        <f>IF(C262="SHOW",CONCATENATE(Temp!G258,Temp!H258,",",Temp!I258,",",Temp!J258,Temp!K258),"")</f>
        <v/>
      </c>
      <c r="E262" s="7"/>
      <c r="F262" s="8" t="str">
        <f t="shared" si="7"/>
        <v/>
      </c>
    </row>
    <row r="263" spans="1:6" x14ac:dyDescent="0.25">
      <c r="A263" s="13" t="str">
        <f>IF(AND($E263="",MAX($A$8:$A262)=0),"",IF(AND($E263&lt;&gt;"",MAX($A$8:$A262)=0),1,IF(AND($E263&lt;&gt;"",MAX($A$8:$A262)&gt;0),MAX($A$8:$A262)+1,"")))</f>
        <v/>
      </c>
      <c r="B263" s="11">
        <v>256</v>
      </c>
      <c r="C263" s="19" t="str">
        <f t="shared" si="6"/>
        <v>EMPTY</v>
      </c>
      <c r="D263" s="3" t="str">
        <f>IF(C263="SHOW",CONCATENATE(Temp!G259,Temp!H259,",",Temp!I259,",",Temp!J259,Temp!K259),"")</f>
        <v/>
      </c>
      <c r="E263" s="7"/>
      <c r="F263" s="8" t="str">
        <f t="shared" si="7"/>
        <v/>
      </c>
    </row>
    <row r="264" spans="1:6" x14ac:dyDescent="0.25">
      <c r="A264" s="13" t="str">
        <f>IF(AND($E264="",MAX($A$8:$A263)=0),"",IF(AND($E264&lt;&gt;"",MAX($A$8:$A263)=0),1,IF(AND($E264&lt;&gt;"",MAX($A$8:$A263)&gt;0),MAX($A$8:$A263)+1,"")))</f>
        <v/>
      </c>
      <c r="B264" s="11">
        <v>257</v>
      </c>
      <c r="C264" s="19" t="str">
        <f t="shared" si="6"/>
        <v>EMPTY</v>
      </c>
      <c r="D264" s="3" t="str">
        <f>IF(C264="SHOW",CONCATENATE(Temp!G260,Temp!H260,",",Temp!I260,",",Temp!J260,Temp!K260),"")</f>
        <v/>
      </c>
      <c r="E264" s="7"/>
      <c r="F264" s="8" t="str">
        <f t="shared" si="7"/>
        <v/>
      </c>
    </row>
    <row r="265" spans="1:6" x14ac:dyDescent="0.25">
      <c r="A265" s="13" t="str">
        <f>IF(AND($E265="",MAX($A$8:$A264)=0),"",IF(AND($E265&lt;&gt;"",MAX($A$8:$A264)=0),1,IF(AND($E265&lt;&gt;"",MAX($A$8:$A264)&gt;0),MAX($A$8:$A264)+1,"")))</f>
        <v/>
      </c>
      <c r="B265" s="11">
        <v>258</v>
      </c>
      <c r="C265" s="19" t="str">
        <f t="shared" ref="C265:C328" si="8">IF(E265="","EMPTY",IF(MID(E265,1,9)&lt;&gt;"Dialogue:","HIDE",IF(MID(E265,1,9)="Dialogue:","SHOW","")))</f>
        <v>EMPTY</v>
      </c>
      <c r="D265" s="3" t="str">
        <f>IF(C265="SHOW",CONCATENATE(Temp!G261,Temp!H261,",",Temp!I261,",",Temp!J261,Temp!K261),"")</f>
        <v/>
      </c>
      <c r="E265" s="7"/>
      <c r="F265" s="8" t="str">
        <f t="shared" ref="F265:F328" si="9">$D265</f>
        <v/>
      </c>
    </row>
    <row r="266" spans="1:6" x14ac:dyDescent="0.25">
      <c r="A266" s="13" t="str">
        <f>IF(AND($E266="",MAX($A$8:$A265)=0),"",IF(AND($E266&lt;&gt;"",MAX($A$8:$A265)=0),1,IF(AND($E266&lt;&gt;"",MAX($A$8:$A265)&gt;0),MAX($A$8:$A265)+1,"")))</f>
        <v/>
      </c>
      <c r="B266" s="11">
        <v>259</v>
      </c>
      <c r="C266" s="19" t="str">
        <f t="shared" si="8"/>
        <v>EMPTY</v>
      </c>
      <c r="D266" s="3" t="str">
        <f>IF(C266="SHOW",CONCATENATE(Temp!G262,Temp!H262,",",Temp!I262,",",Temp!J262,Temp!K262),"")</f>
        <v/>
      </c>
      <c r="E266" s="7"/>
      <c r="F266" s="8" t="str">
        <f t="shared" si="9"/>
        <v/>
      </c>
    </row>
    <row r="267" spans="1:6" x14ac:dyDescent="0.25">
      <c r="A267" s="13" t="str">
        <f>IF(AND($E267="",MAX($A$8:$A266)=0),"",IF(AND($E267&lt;&gt;"",MAX($A$8:$A266)=0),1,IF(AND($E267&lt;&gt;"",MAX($A$8:$A266)&gt;0),MAX($A$8:$A266)+1,"")))</f>
        <v/>
      </c>
      <c r="B267" s="11">
        <v>260</v>
      </c>
      <c r="C267" s="19" t="str">
        <f t="shared" si="8"/>
        <v>EMPTY</v>
      </c>
      <c r="D267" s="3" t="str">
        <f>IF(C267="SHOW",CONCATENATE(Temp!G263,Temp!H263,",",Temp!I263,",",Temp!J263,Temp!K263),"")</f>
        <v/>
      </c>
      <c r="E267" s="7"/>
      <c r="F267" s="8" t="str">
        <f t="shared" si="9"/>
        <v/>
      </c>
    </row>
    <row r="268" spans="1:6" x14ac:dyDescent="0.25">
      <c r="A268" s="13" t="str">
        <f>IF(AND($E268="",MAX($A$8:$A267)=0),"",IF(AND($E268&lt;&gt;"",MAX($A$8:$A267)=0),1,IF(AND($E268&lt;&gt;"",MAX($A$8:$A267)&gt;0),MAX($A$8:$A267)+1,"")))</f>
        <v/>
      </c>
      <c r="B268" s="11">
        <v>261</v>
      </c>
      <c r="C268" s="19" t="str">
        <f t="shared" si="8"/>
        <v>EMPTY</v>
      </c>
      <c r="D268" s="3" t="str">
        <f>IF(C268="SHOW",CONCATENATE(Temp!G264,Temp!H264,",",Temp!I264,",",Temp!J264,Temp!K264),"")</f>
        <v/>
      </c>
      <c r="E268" s="7"/>
      <c r="F268" s="8" t="str">
        <f t="shared" si="9"/>
        <v/>
      </c>
    </row>
    <row r="269" spans="1:6" x14ac:dyDescent="0.25">
      <c r="A269" s="13" t="str">
        <f>IF(AND($E269="",MAX($A$8:$A268)=0),"",IF(AND($E269&lt;&gt;"",MAX($A$8:$A268)=0),1,IF(AND($E269&lt;&gt;"",MAX($A$8:$A268)&gt;0),MAX($A$8:$A268)+1,"")))</f>
        <v/>
      </c>
      <c r="B269" s="11">
        <v>262</v>
      </c>
      <c r="C269" s="19" t="str">
        <f t="shared" si="8"/>
        <v>EMPTY</v>
      </c>
      <c r="D269" s="3" t="str">
        <f>IF(C269="SHOW",CONCATENATE(Temp!G265,Temp!H265,",",Temp!I265,",",Temp!J265,Temp!K265),"")</f>
        <v/>
      </c>
      <c r="E269" s="7"/>
      <c r="F269" s="8" t="str">
        <f t="shared" si="9"/>
        <v/>
      </c>
    </row>
    <row r="270" spans="1:6" x14ac:dyDescent="0.25">
      <c r="A270" s="13" t="str">
        <f>IF(AND($E270="",MAX($A$8:$A269)=0),"",IF(AND($E270&lt;&gt;"",MAX($A$8:$A269)=0),1,IF(AND($E270&lt;&gt;"",MAX($A$8:$A269)&gt;0),MAX($A$8:$A269)+1,"")))</f>
        <v/>
      </c>
      <c r="B270" s="11">
        <v>263</v>
      </c>
      <c r="C270" s="19" t="str">
        <f t="shared" si="8"/>
        <v>EMPTY</v>
      </c>
      <c r="D270" s="3" t="str">
        <f>IF(C270="SHOW",CONCATENATE(Temp!G266,Temp!H266,",",Temp!I266,",",Temp!J266,Temp!K266),"")</f>
        <v/>
      </c>
      <c r="E270" s="7"/>
      <c r="F270" s="8" t="str">
        <f t="shared" si="9"/>
        <v/>
      </c>
    </row>
    <row r="271" spans="1:6" x14ac:dyDescent="0.25">
      <c r="A271" s="13" t="str">
        <f>IF(AND($E271="",MAX($A$8:$A270)=0),"",IF(AND($E271&lt;&gt;"",MAX($A$8:$A270)=0),1,IF(AND($E271&lt;&gt;"",MAX($A$8:$A270)&gt;0),MAX($A$8:$A270)+1,"")))</f>
        <v/>
      </c>
      <c r="B271" s="11">
        <v>264</v>
      </c>
      <c r="C271" s="19" t="str">
        <f t="shared" si="8"/>
        <v>EMPTY</v>
      </c>
      <c r="D271" s="3" t="str">
        <f>IF(C271="SHOW",CONCATENATE(Temp!G267,Temp!H267,",",Temp!I267,",",Temp!J267,Temp!K267),"")</f>
        <v/>
      </c>
      <c r="E271" s="7"/>
      <c r="F271" s="8" t="str">
        <f t="shared" si="9"/>
        <v/>
      </c>
    </row>
    <row r="272" spans="1:6" x14ac:dyDescent="0.25">
      <c r="A272" s="13" t="str">
        <f>IF(AND($E272="",MAX($A$8:$A271)=0),"",IF(AND($E272&lt;&gt;"",MAX($A$8:$A271)=0),1,IF(AND($E272&lt;&gt;"",MAX($A$8:$A271)&gt;0),MAX($A$8:$A271)+1,"")))</f>
        <v/>
      </c>
      <c r="B272" s="11">
        <v>265</v>
      </c>
      <c r="C272" s="19" t="str">
        <f t="shared" si="8"/>
        <v>EMPTY</v>
      </c>
      <c r="D272" s="3" t="str">
        <f>IF(C272="SHOW",CONCATENATE(Temp!G268,Temp!H268,",",Temp!I268,",",Temp!J268,Temp!K268),"")</f>
        <v/>
      </c>
      <c r="E272" s="7"/>
      <c r="F272" s="8" t="str">
        <f t="shared" si="9"/>
        <v/>
      </c>
    </row>
    <row r="273" spans="1:6" x14ac:dyDescent="0.25">
      <c r="A273" s="13" t="str">
        <f>IF(AND($E273="",MAX($A$8:$A272)=0),"",IF(AND($E273&lt;&gt;"",MAX($A$8:$A272)=0),1,IF(AND($E273&lt;&gt;"",MAX($A$8:$A272)&gt;0),MAX($A$8:$A272)+1,"")))</f>
        <v/>
      </c>
      <c r="B273" s="11">
        <v>266</v>
      </c>
      <c r="C273" s="19" t="str">
        <f t="shared" si="8"/>
        <v>EMPTY</v>
      </c>
      <c r="D273" s="3" t="str">
        <f>IF(C273="SHOW",CONCATENATE(Temp!G269,Temp!H269,",",Temp!I269,",",Temp!J269,Temp!K269),"")</f>
        <v/>
      </c>
      <c r="E273" s="7"/>
      <c r="F273" s="8" t="str">
        <f t="shared" si="9"/>
        <v/>
      </c>
    </row>
    <row r="274" spans="1:6" x14ac:dyDescent="0.25">
      <c r="A274" s="13" t="str">
        <f>IF(AND($E274="",MAX($A$8:$A273)=0),"",IF(AND($E274&lt;&gt;"",MAX($A$8:$A273)=0),1,IF(AND($E274&lt;&gt;"",MAX($A$8:$A273)&gt;0),MAX($A$8:$A273)+1,"")))</f>
        <v/>
      </c>
      <c r="B274" s="11">
        <v>267</v>
      </c>
      <c r="C274" s="19" t="str">
        <f t="shared" si="8"/>
        <v>EMPTY</v>
      </c>
      <c r="D274" s="3" t="str">
        <f>IF(C274="SHOW",CONCATENATE(Temp!G270,Temp!H270,",",Temp!I270,",",Temp!J270,Temp!K270),"")</f>
        <v/>
      </c>
      <c r="E274" s="7"/>
      <c r="F274" s="8" t="str">
        <f t="shared" si="9"/>
        <v/>
      </c>
    </row>
    <row r="275" spans="1:6" x14ac:dyDescent="0.25">
      <c r="A275" s="13" t="str">
        <f>IF(AND($E275="",MAX($A$8:$A274)=0),"",IF(AND($E275&lt;&gt;"",MAX($A$8:$A274)=0),1,IF(AND($E275&lt;&gt;"",MAX($A$8:$A274)&gt;0),MAX($A$8:$A274)+1,"")))</f>
        <v/>
      </c>
      <c r="B275" s="11">
        <v>268</v>
      </c>
      <c r="C275" s="19" t="str">
        <f t="shared" si="8"/>
        <v>EMPTY</v>
      </c>
      <c r="D275" s="3" t="str">
        <f>IF(C275="SHOW",CONCATENATE(Temp!G271,Temp!H271,",",Temp!I271,",",Temp!J271,Temp!K271),"")</f>
        <v/>
      </c>
      <c r="E275" s="7"/>
      <c r="F275" s="8" t="str">
        <f t="shared" si="9"/>
        <v/>
      </c>
    </row>
    <row r="276" spans="1:6" x14ac:dyDescent="0.25">
      <c r="A276" s="13" t="str">
        <f>IF(AND($E276="",MAX($A$8:$A275)=0),"",IF(AND($E276&lt;&gt;"",MAX($A$8:$A275)=0),1,IF(AND($E276&lt;&gt;"",MAX($A$8:$A275)&gt;0),MAX($A$8:$A275)+1,"")))</f>
        <v/>
      </c>
      <c r="B276" s="11">
        <v>269</v>
      </c>
      <c r="C276" s="19" t="str">
        <f t="shared" si="8"/>
        <v>EMPTY</v>
      </c>
      <c r="D276" s="3" t="str">
        <f>IF(C276="SHOW",CONCATENATE(Temp!G272,Temp!H272,",",Temp!I272,",",Temp!J272,Temp!K272),"")</f>
        <v/>
      </c>
      <c r="E276" s="7"/>
      <c r="F276" s="8" t="str">
        <f t="shared" si="9"/>
        <v/>
      </c>
    </row>
    <row r="277" spans="1:6" x14ac:dyDescent="0.25">
      <c r="A277" s="13" t="str">
        <f>IF(AND($E277="",MAX($A$8:$A276)=0),"",IF(AND($E277&lt;&gt;"",MAX($A$8:$A276)=0),1,IF(AND($E277&lt;&gt;"",MAX($A$8:$A276)&gt;0),MAX($A$8:$A276)+1,"")))</f>
        <v/>
      </c>
      <c r="B277" s="11">
        <v>270</v>
      </c>
      <c r="C277" s="19" t="str">
        <f t="shared" si="8"/>
        <v>EMPTY</v>
      </c>
      <c r="D277" s="3" t="str">
        <f>IF(C277="SHOW",CONCATENATE(Temp!G273,Temp!H273,",",Temp!I273,",",Temp!J273,Temp!K273),"")</f>
        <v/>
      </c>
      <c r="E277" s="7"/>
      <c r="F277" s="8" t="str">
        <f t="shared" si="9"/>
        <v/>
      </c>
    </row>
    <row r="278" spans="1:6" x14ac:dyDescent="0.25">
      <c r="A278" s="13" t="str">
        <f>IF(AND($E278="",MAX($A$8:$A277)=0),"",IF(AND($E278&lt;&gt;"",MAX($A$8:$A277)=0),1,IF(AND($E278&lt;&gt;"",MAX($A$8:$A277)&gt;0),MAX($A$8:$A277)+1,"")))</f>
        <v/>
      </c>
      <c r="B278" s="11">
        <v>271</v>
      </c>
      <c r="C278" s="19" t="str">
        <f t="shared" si="8"/>
        <v>EMPTY</v>
      </c>
      <c r="D278" s="3" t="str">
        <f>IF(C278="SHOW",CONCATENATE(Temp!G274,Temp!H274,",",Temp!I274,",",Temp!J274,Temp!K274),"")</f>
        <v/>
      </c>
      <c r="E278" s="7"/>
      <c r="F278" s="8" t="str">
        <f t="shared" si="9"/>
        <v/>
      </c>
    </row>
    <row r="279" spans="1:6" x14ac:dyDescent="0.25">
      <c r="A279" s="13" t="str">
        <f>IF(AND($E279="",MAX($A$8:$A278)=0),"",IF(AND($E279&lt;&gt;"",MAX($A$8:$A278)=0),1,IF(AND($E279&lt;&gt;"",MAX($A$8:$A278)&gt;0),MAX($A$8:$A278)+1,"")))</f>
        <v/>
      </c>
      <c r="B279" s="11">
        <v>272</v>
      </c>
      <c r="C279" s="19" t="str">
        <f t="shared" si="8"/>
        <v>EMPTY</v>
      </c>
      <c r="D279" s="3" t="str">
        <f>IF(C279="SHOW",CONCATENATE(Temp!G275,Temp!H275,",",Temp!I275,",",Temp!J275,Temp!K275),"")</f>
        <v/>
      </c>
      <c r="E279" s="7"/>
      <c r="F279" s="8" t="str">
        <f t="shared" si="9"/>
        <v/>
      </c>
    </row>
    <row r="280" spans="1:6" x14ac:dyDescent="0.25">
      <c r="A280" s="13" t="str">
        <f>IF(AND($E280="",MAX($A$8:$A279)=0),"",IF(AND($E280&lt;&gt;"",MAX($A$8:$A279)=0),1,IF(AND($E280&lt;&gt;"",MAX($A$8:$A279)&gt;0),MAX($A$8:$A279)+1,"")))</f>
        <v/>
      </c>
      <c r="B280" s="11">
        <v>273</v>
      </c>
      <c r="C280" s="19" t="str">
        <f t="shared" si="8"/>
        <v>EMPTY</v>
      </c>
      <c r="D280" s="3" t="str">
        <f>IF(C280="SHOW",CONCATENATE(Temp!G276,Temp!H276,",",Temp!I276,",",Temp!J276,Temp!K276),"")</f>
        <v/>
      </c>
      <c r="E280" s="7"/>
      <c r="F280" s="8" t="str">
        <f t="shared" si="9"/>
        <v/>
      </c>
    </row>
    <row r="281" spans="1:6" x14ac:dyDescent="0.25">
      <c r="A281" s="13" t="str">
        <f>IF(AND($E281="",MAX($A$8:$A280)=0),"",IF(AND($E281&lt;&gt;"",MAX($A$8:$A280)=0),1,IF(AND($E281&lt;&gt;"",MAX($A$8:$A280)&gt;0),MAX($A$8:$A280)+1,"")))</f>
        <v/>
      </c>
      <c r="B281" s="11">
        <v>274</v>
      </c>
      <c r="C281" s="19" t="str">
        <f t="shared" si="8"/>
        <v>EMPTY</v>
      </c>
      <c r="D281" s="3" t="str">
        <f>IF(C281="SHOW",CONCATENATE(Temp!G277,Temp!H277,",",Temp!I277,",",Temp!J277,Temp!K277),"")</f>
        <v/>
      </c>
      <c r="E281" s="7"/>
      <c r="F281" s="8" t="str">
        <f t="shared" si="9"/>
        <v/>
      </c>
    </row>
    <row r="282" spans="1:6" x14ac:dyDescent="0.25">
      <c r="A282" s="13" t="str">
        <f>IF(AND($E282="",MAX($A$8:$A281)=0),"",IF(AND($E282&lt;&gt;"",MAX($A$8:$A281)=0),1,IF(AND($E282&lt;&gt;"",MAX($A$8:$A281)&gt;0),MAX($A$8:$A281)+1,"")))</f>
        <v/>
      </c>
      <c r="B282" s="11">
        <v>275</v>
      </c>
      <c r="C282" s="19" t="str">
        <f t="shared" si="8"/>
        <v>EMPTY</v>
      </c>
      <c r="D282" s="3" t="str">
        <f>IF(C282="SHOW",CONCATENATE(Temp!G278,Temp!H278,",",Temp!I278,",",Temp!J278,Temp!K278),"")</f>
        <v/>
      </c>
      <c r="E282" s="7"/>
      <c r="F282" s="8" t="str">
        <f t="shared" si="9"/>
        <v/>
      </c>
    </row>
    <row r="283" spans="1:6" x14ac:dyDescent="0.25">
      <c r="A283" s="13" t="str">
        <f>IF(AND($E283="",MAX($A$8:$A282)=0),"",IF(AND($E283&lt;&gt;"",MAX($A$8:$A282)=0),1,IF(AND($E283&lt;&gt;"",MAX($A$8:$A282)&gt;0),MAX($A$8:$A282)+1,"")))</f>
        <v/>
      </c>
      <c r="B283" s="11">
        <v>276</v>
      </c>
      <c r="C283" s="19" t="str">
        <f t="shared" si="8"/>
        <v>EMPTY</v>
      </c>
      <c r="D283" s="3" t="str">
        <f>IF(C283="SHOW",CONCATENATE(Temp!G279,Temp!H279,",",Temp!I279,",",Temp!J279,Temp!K279),"")</f>
        <v/>
      </c>
      <c r="E283" s="7"/>
      <c r="F283" s="8" t="str">
        <f t="shared" si="9"/>
        <v/>
      </c>
    </row>
    <row r="284" spans="1:6" x14ac:dyDescent="0.25">
      <c r="A284" s="13" t="str">
        <f>IF(AND($E284="",MAX($A$8:$A283)=0),"",IF(AND($E284&lt;&gt;"",MAX($A$8:$A283)=0),1,IF(AND($E284&lt;&gt;"",MAX($A$8:$A283)&gt;0),MAX($A$8:$A283)+1,"")))</f>
        <v/>
      </c>
      <c r="B284" s="11">
        <v>277</v>
      </c>
      <c r="C284" s="19" t="str">
        <f t="shared" si="8"/>
        <v>EMPTY</v>
      </c>
      <c r="D284" s="3" t="str">
        <f>IF(C284="SHOW",CONCATENATE(Temp!G280,Temp!H280,",",Temp!I280,",",Temp!J280,Temp!K280),"")</f>
        <v/>
      </c>
      <c r="E284" s="7"/>
      <c r="F284" s="8" t="str">
        <f t="shared" si="9"/>
        <v/>
      </c>
    </row>
    <row r="285" spans="1:6" x14ac:dyDescent="0.25">
      <c r="A285" s="13" t="str">
        <f>IF(AND($E285="",MAX($A$8:$A284)=0),"",IF(AND($E285&lt;&gt;"",MAX($A$8:$A284)=0),1,IF(AND($E285&lt;&gt;"",MAX($A$8:$A284)&gt;0),MAX($A$8:$A284)+1,"")))</f>
        <v/>
      </c>
      <c r="B285" s="11">
        <v>278</v>
      </c>
      <c r="C285" s="19" t="str">
        <f t="shared" si="8"/>
        <v>EMPTY</v>
      </c>
      <c r="D285" s="3" t="str">
        <f>IF(C285="SHOW",CONCATENATE(Temp!G281,Temp!H281,",",Temp!I281,",",Temp!J281,Temp!K281),"")</f>
        <v/>
      </c>
      <c r="E285" s="7"/>
      <c r="F285" s="8" t="str">
        <f t="shared" si="9"/>
        <v/>
      </c>
    </row>
    <row r="286" spans="1:6" x14ac:dyDescent="0.25">
      <c r="A286" s="13" t="str">
        <f>IF(AND($E286="",MAX($A$8:$A285)=0),"",IF(AND($E286&lt;&gt;"",MAX($A$8:$A285)=0),1,IF(AND($E286&lt;&gt;"",MAX($A$8:$A285)&gt;0),MAX($A$8:$A285)+1,"")))</f>
        <v/>
      </c>
      <c r="B286" s="11">
        <v>279</v>
      </c>
      <c r="C286" s="19" t="str">
        <f t="shared" si="8"/>
        <v>EMPTY</v>
      </c>
      <c r="D286" s="3" t="str">
        <f>IF(C286="SHOW",CONCATENATE(Temp!G282,Temp!H282,",",Temp!I282,",",Temp!J282,Temp!K282),"")</f>
        <v/>
      </c>
      <c r="E286" s="7"/>
      <c r="F286" s="8" t="str">
        <f t="shared" si="9"/>
        <v/>
      </c>
    </row>
    <row r="287" spans="1:6" x14ac:dyDescent="0.25">
      <c r="A287" s="13" t="str">
        <f>IF(AND($E287="",MAX($A$8:$A286)=0),"",IF(AND($E287&lt;&gt;"",MAX($A$8:$A286)=0),1,IF(AND($E287&lt;&gt;"",MAX($A$8:$A286)&gt;0),MAX($A$8:$A286)+1,"")))</f>
        <v/>
      </c>
      <c r="B287" s="11">
        <v>280</v>
      </c>
      <c r="C287" s="19" t="str">
        <f t="shared" si="8"/>
        <v>EMPTY</v>
      </c>
      <c r="D287" s="3" t="str">
        <f>IF(C287="SHOW",CONCATENATE(Temp!G283,Temp!H283,",",Temp!I283,",",Temp!J283,Temp!K283),"")</f>
        <v/>
      </c>
      <c r="E287" s="7"/>
      <c r="F287" s="8" t="str">
        <f t="shared" si="9"/>
        <v/>
      </c>
    </row>
    <row r="288" spans="1:6" x14ac:dyDescent="0.25">
      <c r="A288" s="13" t="str">
        <f>IF(AND($E288="",MAX($A$8:$A287)=0),"",IF(AND($E288&lt;&gt;"",MAX($A$8:$A287)=0),1,IF(AND($E288&lt;&gt;"",MAX($A$8:$A287)&gt;0),MAX($A$8:$A287)+1,"")))</f>
        <v/>
      </c>
      <c r="B288" s="11">
        <v>281</v>
      </c>
      <c r="C288" s="19" t="str">
        <f t="shared" si="8"/>
        <v>EMPTY</v>
      </c>
      <c r="D288" s="3" t="str">
        <f>IF(C288="SHOW",CONCATENATE(Temp!G284,Temp!H284,",",Temp!I284,",",Temp!J284,Temp!K284),"")</f>
        <v/>
      </c>
      <c r="E288" s="7"/>
      <c r="F288" s="8" t="str">
        <f t="shared" si="9"/>
        <v/>
      </c>
    </row>
    <row r="289" spans="1:6" x14ac:dyDescent="0.25">
      <c r="A289" s="13" t="str">
        <f>IF(AND($E289="",MAX($A$8:$A288)=0),"",IF(AND($E289&lt;&gt;"",MAX($A$8:$A288)=0),1,IF(AND($E289&lt;&gt;"",MAX($A$8:$A288)&gt;0),MAX($A$8:$A288)+1,"")))</f>
        <v/>
      </c>
      <c r="B289" s="11">
        <v>282</v>
      </c>
      <c r="C289" s="19" t="str">
        <f t="shared" si="8"/>
        <v>EMPTY</v>
      </c>
      <c r="D289" s="3" t="str">
        <f>IF(C289="SHOW",CONCATENATE(Temp!G285,Temp!H285,",",Temp!I285,",",Temp!J285,Temp!K285),"")</f>
        <v/>
      </c>
      <c r="E289" s="7"/>
      <c r="F289" s="8" t="str">
        <f t="shared" si="9"/>
        <v/>
      </c>
    </row>
    <row r="290" spans="1:6" x14ac:dyDescent="0.25">
      <c r="A290" s="13" t="str">
        <f>IF(AND($E290="",MAX($A$8:$A289)=0),"",IF(AND($E290&lt;&gt;"",MAX($A$8:$A289)=0),1,IF(AND($E290&lt;&gt;"",MAX($A$8:$A289)&gt;0),MAX($A$8:$A289)+1,"")))</f>
        <v/>
      </c>
      <c r="B290" s="11">
        <v>283</v>
      </c>
      <c r="C290" s="19" t="str">
        <f t="shared" si="8"/>
        <v>EMPTY</v>
      </c>
      <c r="D290" s="3" t="str">
        <f>IF(C290="SHOW",CONCATENATE(Temp!G286,Temp!H286,",",Temp!I286,",",Temp!J286,Temp!K286),"")</f>
        <v/>
      </c>
      <c r="E290" s="7"/>
      <c r="F290" s="8" t="str">
        <f t="shared" si="9"/>
        <v/>
      </c>
    </row>
    <row r="291" spans="1:6" x14ac:dyDescent="0.25">
      <c r="A291" s="13" t="str">
        <f>IF(AND($E291="",MAX($A$8:$A290)=0),"",IF(AND($E291&lt;&gt;"",MAX($A$8:$A290)=0),1,IF(AND($E291&lt;&gt;"",MAX($A$8:$A290)&gt;0),MAX($A$8:$A290)+1,"")))</f>
        <v/>
      </c>
      <c r="B291" s="11">
        <v>284</v>
      </c>
      <c r="C291" s="19" t="str">
        <f t="shared" si="8"/>
        <v>EMPTY</v>
      </c>
      <c r="D291" s="3" t="str">
        <f>IF(C291="SHOW",CONCATENATE(Temp!G287,Temp!H287,",",Temp!I287,",",Temp!J287,Temp!K287),"")</f>
        <v/>
      </c>
      <c r="E291" s="7"/>
      <c r="F291" s="8" t="str">
        <f t="shared" si="9"/>
        <v/>
      </c>
    </row>
    <row r="292" spans="1:6" x14ac:dyDescent="0.25">
      <c r="A292" s="13" t="str">
        <f>IF(AND($E292="",MAX($A$8:$A291)=0),"",IF(AND($E292&lt;&gt;"",MAX($A$8:$A291)=0),1,IF(AND($E292&lt;&gt;"",MAX($A$8:$A291)&gt;0),MAX($A$8:$A291)+1,"")))</f>
        <v/>
      </c>
      <c r="B292" s="11">
        <v>285</v>
      </c>
      <c r="C292" s="19" t="str">
        <f t="shared" si="8"/>
        <v>EMPTY</v>
      </c>
      <c r="D292" s="3" t="str">
        <f>IF(C292="SHOW",CONCATENATE(Temp!G288,Temp!H288,",",Temp!I288,",",Temp!J288,Temp!K288),"")</f>
        <v/>
      </c>
      <c r="E292" s="7"/>
      <c r="F292" s="8" t="str">
        <f t="shared" si="9"/>
        <v/>
      </c>
    </row>
    <row r="293" spans="1:6" x14ac:dyDescent="0.25">
      <c r="A293" s="13" t="str">
        <f>IF(AND($E293="",MAX($A$8:$A292)=0),"",IF(AND($E293&lt;&gt;"",MAX($A$8:$A292)=0),1,IF(AND($E293&lt;&gt;"",MAX($A$8:$A292)&gt;0),MAX($A$8:$A292)+1,"")))</f>
        <v/>
      </c>
      <c r="B293" s="11">
        <v>286</v>
      </c>
      <c r="C293" s="19" t="str">
        <f t="shared" si="8"/>
        <v>EMPTY</v>
      </c>
      <c r="D293" s="3" t="str">
        <f>IF(C293="SHOW",CONCATENATE(Temp!G289,Temp!H289,",",Temp!I289,",",Temp!J289,Temp!K289),"")</f>
        <v/>
      </c>
      <c r="E293" s="7"/>
      <c r="F293" s="8" t="str">
        <f t="shared" si="9"/>
        <v/>
      </c>
    </row>
    <row r="294" spans="1:6" x14ac:dyDescent="0.25">
      <c r="A294" s="13" t="str">
        <f>IF(AND($E294="",MAX($A$8:$A293)=0),"",IF(AND($E294&lt;&gt;"",MAX($A$8:$A293)=0),1,IF(AND($E294&lt;&gt;"",MAX($A$8:$A293)&gt;0),MAX($A$8:$A293)+1,"")))</f>
        <v/>
      </c>
      <c r="B294" s="11">
        <v>287</v>
      </c>
      <c r="C294" s="19" t="str">
        <f t="shared" si="8"/>
        <v>EMPTY</v>
      </c>
      <c r="D294" s="3" t="str">
        <f>IF(C294="SHOW",CONCATENATE(Temp!G290,Temp!H290,",",Temp!I290,",",Temp!J290,Temp!K290),"")</f>
        <v/>
      </c>
      <c r="E294" s="7"/>
      <c r="F294" s="8" t="str">
        <f t="shared" si="9"/>
        <v/>
      </c>
    </row>
    <row r="295" spans="1:6" x14ac:dyDescent="0.25">
      <c r="A295" s="13" t="str">
        <f>IF(AND($E295="",MAX($A$8:$A294)=0),"",IF(AND($E295&lt;&gt;"",MAX($A$8:$A294)=0),1,IF(AND($E295&lt;&gt;"",MAX($A$8:$A294)&gt;0),MAX($A$8:$A294)+1,"")))</f>
        <v/>
      </c>
      <c r="B295" s="11">
        <v>288</v>
      </c>
      <c r="C295" s="19" t="str">
        <f t="shared" si="8"/>
        <v>EMPTY</v>
      </c>
      <c r="D295" s="3" t="str">
        <f>IF(C295="SHOW",CONCATENATE(Temp!G291,Temp!H291,",",Temp!I291,",",Temp!J291,Temp!K291),"")</f>
        <v/>
      </c>
      <c r="E295" s="7"/>
      <c r="F295" s="8" t="str">
        <f t="shared" si="9"/>
        <v/>
      </c>
    </row>
    <row r="296" spans="1:6" x14ac:dyDescent="0.25">
      <c r="A296" s="13" t="str">
        <f>IF(AND($E296="",MAX($A$8:$A295)=0),"",IF(AND($E296&lt;&gt;"",MAX($A$8:$A295)=0),1,IF(AND($E296&lt;&gt;"",MAX($A$8:$A295)&gt;0),MAX($A$8:$A295)+1,"")))</f>
        <v/>
      </c>
      <c r="B296" s="11">
        <v>289</v>
      </c>
      <c r="C296" s="19" t="str">
        <f t="shared" si="8"/>
        <v>EMPTY</v>
      </c>
      <c r="D296" s="3" t="str">
        <f>IF(C296="SHOW",CONCATENATE(Temp!G292,Temp!H292,",",Temp!I292,",",Temp!J292,Temp!K292),"")</f>
        <v/>
      </c>
      <c r="E296" s="7"/>
      <c r="F296" s="8" t="str">
        <f t="shared" si="9"/>
        <v/>
      </c>
    </row>
    <row r="297" spans="1:6" x14ac:dyDescent="0.25">
      <c r="A297" s="13" t="str">
        <f>IF(AND($E297="",MAX($A$8:$A296)=0),"",IF(AND($E297&lt;&gt;"",MAX($A$8:$A296)=0),1,IF(AND($E297&lt;&gt;"",MAX($A$8:$A296)&gt;0),MAX($A$8:$A296)+1,"")))</f>
        <v/>
      </c>
      <c r="B297" s="11">
        <v>290</v>
      </c>
      <c r="C297" s="19" t="str">
        <f t="shared" si="8"/>
        <v>EMPTY</v>
      </c>
      <c r="D297" s="3" t="str">
        <f>IF(C297="SHOW",CONCATENATE(Temp!G293,Temp!H293,",",Temp!I293,",",Temp!J293,Temp!K293),"")</f>
        <v/>
      </c>
      <c r="E297" s="7"/>
      <c r="F297" s="8" t="str">
        <f t="shared" si="9"/>
        <v/>
      </c>
    </row>
    <row r="298" spans="1:6" x14ac:dyDescent="0.25">
      <c r="A298" s="13" t="str">
        <f>IF(AND($E298="",MAX($A$8:$A297)=0),"",IF(AND($E298&lt;&gt;"",MAX($A$8:$A297)=0),1,IF(AND($E298&lt;&gt;"",MAX($A$8:$A297)&gt;0),MAX($A$8:$A297)+1,"")))</f>
        <v/>
      </c>
      <c r="B298" s="11">
        <v>291</v>
      </c>
      <c r="C298" s="19" t="str">
        <f t="shared" si="8"/>
        <v>EMPTY</v>
      </c>
      <c r="D298" s="3" t="str">
        <f>IF(C298="SHOW",CONCATENATE(Temp!G294,Temp!H294,",",Temp!I294,",",Temp!J294,Temp!K294),"")</f>
        <v/>
      </c>
      <c r="E298" s="7"/>
      <c r="F298" s="8" t="str">
        <f t="shared" si="9"/>
        <v/>
      </c>
    </row>
    <row r="299" spans="1:6" x14ac:dyDescent="0.25">
      <c r="A299" s="13" t="str">
        <f>IF(AND($E299="",MAX($A$8:$A298)=0),"",IF(AND($E299&lt;&gt;"",MAX($A$8:$A298)=0),1,IF(AND($E299&lt;&gt;"",MAX($A$8:$A298)&gt;0),MAX($A$8:$A298)+1,"")))</f>
        <v/>
      </c>
      <c r="B299" s="11">
        <v>292</v>
      </c>
      <c r="C299" s="19" t="str">
        <f t="shared" si="8"/>
        <v>EMPTY</v>
      </c>
      <c r="D299" s="3" t="str">
        <f>IF(C299="SHOW",CONCATENATE(Temp!G295,Temp!H295,",",Temp!I295,",",Temp!J295,Temp!K295),"")</f>
        <v/>
      </c>
      <c r="E299" s="7"/>
      <c r="F299" s="8" t="str">
        <f t="shared" si="9"/>
        <v/>
      </c>
    </row>
    <row r="300" spans="1:6" x14ac:dyDescent="0.25">
      <c r="A300" s="13" t="str">
        <f>IF(AND($E300="",MAX($A$8:$A299)=0),"",IF(AND($E300&lt;&gt;"",MAX($A$8:$A299)=0),1,IF(AND($E300&lt;&gt;"",MAX($A$8:$A299)&gt;0),MAX($A$8:$A299)+1,"")))</f>
        <v/>
      </c>
      <c r="B300" s="11">
        <v>293</v>
      </c>
      <c r="C300" s="19" t="str">
        <f t="shared" si="8"/>
        <v>EMPTY</v>
      </c>
      <c r="D300" s="3" t="str">
        <f>IF(C300="SHOW",CONCATENATE(Temp!G296,Temp!H296,",",Temp!I296,",",Temp!J296,Temp!K296),"")</f>
        <v/>
      </c>
      <c r="E300" s="7"/>
      <c r="F300" s="8" t="str">
        <f t="shared" si="9"/>
        <v/>
      </c>
    </row>
    <row r="301" spans="1:6" x14ac:dyDescent="0.25">
      <c r="A301" s="13" t="str">
        <f>IF(AND($E301="",MAX($A$8:$A300)=0),"",IF(AND($E301&lt;&gt;"",MAX($A$8:$A300)=0),1,IF(AND($E301&lt;&gt;"",MAX($A$8:$A300)&gt;0),MAX($A$8:$A300)+1,"")))</f>
        <v/>
      </c>
      <c r="B301" s="11">
        <v>294</v>
      </c>
      <c r="C301" s="19" t="str">
        <f t="shared" si="8"/>
        <v>EMPTY</v>
      </c>
      <c r="D301" s="3" t="str">
        <f>IF(C301="SHOW",CONCATENATE(Temp!G297,Temp!H297,",",Temp!I297,",",Temp!J297,Temp!K297),"")</f>
        <v/>
      </c>
      <c r="E301" s="7"/>
      <c r="F301" s="8" t="str">
        <f t="shared" si="9"/>
        <v/>
      </c>
    </row>
    <row r="302" spans="1:6" x14ac:dyDescent="0.25">
      <c r="A302" s="13" t="str">
        <f>IF(AND($E302="",MAX($A$8:$A301)=0),"",IF(AND($E302&lt;&gt;"",MAX($A$8:$A301)=0),1,IF(AND($E302&lt;&gt;"",MAX($A$8:$A301)&gt;0),MAX($A$8:$A301)+1,"")))</f>
        <v/>
      </c>
      <c r="B302" s="11">
        <v>295</v>
      </c>
      <c r="C302" s="19" t="str">
        <f t="shared" si="8"/>
        <v>EMPTY</v>
      </c>
      <c r="D302" s="3" t="str">
        <f>IF(C302="SHOW",CONCATENATE(Temp!G298,Temp!H298,",",Temp!I298,",",Temp!J298,Temp!K298),"")</f>
        <v/>
      </c>
      <c r="E302" s="7"/>
      <c r="F302" s="8" t="str">
        <f t="shared" si="9"/>
        <v/>
      </c>
    </row>
    <row r="303" spans="1:6" x14ac:dyDescent="0.25">
      <c r="A303" s="13" t="str">
        <f>IF(AND($E303="",MAX($A$8:$A302)=0),"",IF(AND($E303&lt;&gt;"",MAX($A$8:$A302)=0),1,IF(AND($E303&lt;&gt;"",MAX($A$8:$A302)&gt;0),MAX($A$8:$A302)+1,"")))</f>
        <v/>
      </c>
      <c r="B303" s="11">
        <v>296</v>
      </c>
      <c r="C303" s="19" t="str">
        <f t="shared" si="8"/>
        <v>EMPTY</v>
      </c>
      <c r="D303" s="3" t="str">
        <f>IF(C303="SHOW",CONCATENATE(Temp!G299,Temp!H299,",",Temp!I299,",",Temp!J299,Temp!K299),"")</f>
        <v/>
      </c>
      <c r="E303" s="7"/>
      <c r="F303" s="8" t="str">
        <f t="shared" si="9"/>
        <v/>
      </c>
    </row>
    <row r="304" spans="1:6" x14ac:dyDescent="0.25">
      <c r="A304" s="13" t="str">
        <f>IF(AND($E304="",MAX($A$8:$A303)=0),"",IF(AND($E304&lt;&gt;"",MAX($A$8:$A303)=0),1,IF(AND($E304&lt;&gt;"",MAX($A$8:$A303)&gt;0),MAX($A$8:$A303)+1,"")))</f>
        <v/>
      </c>
      <c r="B304" s="11">
        <v>297</v>
      </c>
      <c r="C304" s="19" t="str">
        <f t="shared" si="8"/>
        <v>EMPTY</v>
      </c>
      <c r="D304" s="3" t="str">
        <f>IF(C304="SHOW",CONCATENATE(Temp!G300,Temp!H300,",",Temp!I300,",",Temp!J300,Temp!K300),"")</f>
        <v/>
      </c>
      <c r="E304" s="7"/>
      <c r="F304" s="8" t="str">
        <f t="shared" si="9"/>
        <v/>
      </c>
    </row>
    <row r="305" spans="1:6" x14ac:dyDescent="0.25">
      <c r="A305" s="13" t="str">
        <f>IF(AND($E305="",MAX($A$8:$A304)=0),"",IF(AND($E305&lt;&gt;"",MAX($A$8:$A304)=0),1,IF(AND($E305&lt;&gt;"",MAX($A$8:$A304)&gt;0),MAX($A$8:$A304)+1,"")))</f>
        <v/>
      </c>
      <c r="B305" s="11">
        <v>298</v>
      </c>
      <c r="C305" s="19" t="str">
        <f t="shared" si="8"/>
        <v>EMPTY</v>
      </c>
      <c r="D305" s="3" t="str">
        <f>IF(C305="SHOW",CONCATENATE(Temp!G301,Temp!H301,",",Temp!I301,",",Temp!J301,Temp!K301),"")</f>
        <v/>
      </c>
      <c r="E305" s="7"/>
      <c r="F305" s="8" t="str">
        <f t="shared" si="9"/>
        <v/>
      </c>
    </row>
    <row r="306" spans="1:6" x14ac:dyDescent="0.25">
      <c r="A306" s="13" t="str">
        <f>IF(AND($E306="",MAX($A$8:$A305)=0),"",IF(AND($E306&lt;&gt;"",MAX($A$8:$A305)=0),1,IF(AND($E306&lt;&gt;"",MAX($A$8:$A305)&gt;0),MAX($A$8:$A305)+1,"")))</f>
        <v/>
      </c>
      <c r="B306" s="11">
        <v>299</v>
      </c>
      <c r="C306" s="19" t="str">
        <f t="shared" si="8"/>
        <v>EMPTY</v>
      </c>
      <c r="D306" s="3" t="str">
        <f>IF(C306="SHOW",CONCATENATE(Temp!G302,Temp!H302,",",Temp!I302,",",Temp!J302,Temp!K302),"")</f>
        <v/>
      </c>
      <c r="E306" s="7"/>
      <c r="F306" s="8" t="str">
        <f t="shared" si="9"/>
        <v/>
      </c>
    </row>
    <row r="307" spans="1:6" x14ac:dyDescent="0.25">
      <c r="A307" s="13" t="str">
        <f>IF(AND($E307="",MAX($A$8:$A306)=0),"",IF(AND($E307&lt;&gt;"",MAX($A$8:$A306)=0),1,IF(AND($E307&lt;&gt;"",MAX($A$8:$A306)&gt;0),MAX($A$8:$A306)+1,"")))</f>
        <v/>
      </c>
      <c r="B307" s="11">
        <v>300</v>
      </c>
      <c r="C307" s="19" t="str">
        <f t="shared" si="8"/>
        <v>EMPTY</v>
      </c>
      <c r="D307" s="3" t="str">
        <f>IF(C307="SHOW",CONCATENATE(Temp!G303,Temp!H303,",",Temp!I303,",",Temp!J303,Temp!K303),"")</f>
        <v/>
      </c>
      <c r="E307" s="7"/>
      <c r="F307" s="8" t="str">
        <f t="shared" si="9"/>
        <v/>
      </c>
    </row>
    <row r="308" spans="1:6" x14ac:dyDescent="0.25">
      <c r="A308" s="13" t="str">
        <f>IF(AND($E308="",MAX($A$8:$A307)=0),"",IF(AND($E308&lt;&gt;"",MAX($A$8:$A307)=0),1,IF(AND($E308&lt;&gt;"",MAX($A$8:$A307)&gt;0),MAX($A$8:$A307)+1,"")))</f>
        <v/>
      </c>
      <c r="B308" s="11">
        <v>301</v>
      </c>
      <c r="C308" s="19" t="str">
        <f t="shared" si="8"/>
        <v>EMPTY</v>
      </c>
      <c r="D308" s="3" t="str">
        <f>IF(C308="SHOW",CONCATENATE(Temp!G304,Temp!H304,",",Temp!I304,",",Temp!J304,Temp!K304),"")</f>
        <v/>
      </c>
      <c r="E308" s="7"/>
      <c r="F308" s="8" t="str">
        <f t="shared" si="9"/>
        <v/>
      </c>
    </row>
    <row r="309" spans="1:6" x14ac:dyDescent="0.25">
      <c r="A309" s="13" t="str">
        <f>IF(AND($E309="",MAX($A$8:$A308)=0),"",IF(AND($E309&lt;&gt;"",MAX($A$8:$A308)=0),1,IF(AND($E309&lt;&gt;"",MAX($A$8:$A308)&gt;0),MAX($A$8:$A308)+1,"")))</f>
        <v/>
      </c>
      <c r="B309" s="11">
        <v>302</v>
      </c>
      <c r="C309" s="19" t="str">
        <f t="shared" si="8"/>
        <v>EMPTY</v>
      </c>
      <c r="D309" s="3" t="str">
        <f>IF(C309="SHOW",CONCATENATE(Temp!G305,Temp!H305,",",Temp!I305,",",Temp!J305,Temp!K305),"")</f>
        <v/>
      </c>
      <c r="E309" s="7"/>
      <c r="F309" s="8" t="str">
        <f t="shared" si="9"/>
        <v/>
      </c>
    </row>
    <row r="310" spans="1:6" x14ac:dyDescent="0.25">
      <c r="A310" s="13" t="str">
        <f>IF(AND($E310="",MAX($A$8:$A309)=0),"",IF(AND($E310&lt;&gt;"",MAX($A$8:$A309)=0),1,IF(AND($E310&lt;&gt;"",MAX($A$8:$A309)&gt;0),MAX($A$8:$A309)+1,"")))</f>
        <v/>
      </c>
      <c r="B310" s="11">
        <v>303</v>
      </c>
      <c r="C310" s="19" t="str">
        <f t="shared" si="8"/>
        <v>EMPTY</v>
      </c>
      <c r="D310" s="3" t="str">
        <f>IF(C310="SHOW",CONCATENATE(Temp!G306,Temp!H306,",",Temp!I306,",",Temp!J306,Temp!K306),"")</f>
        <v/>
      </c>
      <c r="E310" s="7"/>
      <c r="F310" s="8" t="str">
        <f t="shared" si="9"/>
        <v/>
      </c>
    </row>
    <row r="311" spans="1:6" x14ac:dyDescent="0.25">
      <c r="A311" s="13" t="str">
        <f>IF(AND($E311="",MAX($A$8:$A310)=0),"",IF(AND($E311&lt;&gt;"",MAX($A$8:$A310)=0),1,IF(AND($E311&lt;&gt;"",MAX($A$8:$A310)&gt;0),MAX($A$8:$A310)+1,"")))</f>
        <v/>
      </c>
      <c r="B311" s="11">
        <v>304</v>
      </c>
      <c r="C311" s="19" t="str">
        <f t="shared" si="8"/>
        <v>EMPTY</v>
      </c>
      <c r="D311" s="3" t="str">
        <f>IF(C311="SHOW",CONCATENATE(Temp!G307,Temp!H307,",",Temp!I307,",",Temp!J307,Temp!K307),"")</f>
        <v/>
      </c>
      <c r="E311" s="7"/>
      <c r="F311" s="8" t="str">
        <f t="shared" si="9"/>
        <v/>
      </c>
    </row>
    <row r="312" spans="1:6" x14ac:dyDescent="0.25">
      <c r="A312" s="13" t="str">
        <f>IF(AND($E312="",MAX($A$8:$A311)=0),"",IF(AND($E312&lt;&gt;"",MAX($A$8:$A311)=0),1,IF(AND($E312&lt;&gt;"",MAX($A$8:$A311)&gt;0),MAX($A$8:$A311)+1,"")))</f>
        <v/>
      </c>
      <c r="B312" s="11">
        <v>305</v>
      </c>
      <c r="C312" s="19" t="str">
        <f t="shared" si="8"/>
        <v>EMPTY</v>
      </c>
      <c r="D312" s="3" t="str">
        <f>IF(C312="SHOW",CONCATENATE(Temp!G308,Temp!H308,",",Temp!I308,",",Temp!J308,Temp!K308),"")</f>
        <v/>
      </c>
      <c r="E312" s="7"/>
      <c r="F312" s="8" t="str">
        <f t="shared" si="9"/>
        <v/>
      </c>
    </row>
    <row r="313" spans="1:6" x14ac:dyDescent="0.25">
      <c r="A313" s="13" t="str">
        <f>IF(AND($E313="",MAX($A$8:$A312)=0),"",IF(AND($E313&lt;&gt;"",MAX($A$8:$A312)=0),1,IF(AND($E313&lt;&gt;"",MAX($A$8:$A312)&gt;0),MAX($A$8:$A312)+1,"")))</f>
        <v/>
      </c>
      <c r="B313" s="11">
        <v>306</v>
      </c>
      <c r="C313" s="19" t="str">
        <f t="shared" si="8"/>
        <v>EMPTY</v>
      </c>
      <c r="D313" s="3" t="str">
        <f>IF(C313="SHOW",CONCATENATE(Temp!G309,Temp!H309,",",Temp!I309,",",Temp!J309,Temp!K309),"")</f>
        <v/>
      </c>
      <c r="E313" s="7"/>
      <c r="F313" s="8" t="str">
        <f t="shared" si="9"/>
        <v/>
      </c>
    </row>
    <row r="314" spans="1:6" x14ac:dyDescent="0.25">
      <c r="A314" s="13" t="str">
        <f>IF(AND($E314="",MAX($A$8:$A313)=0),"",IF(AND($E314&lt;&gt;"",MAX($A$8:$A313)=0),1,IF(AND($E314&lt;&gt;"",MAX($A$8:$A313)&gt;0),MAX($A$8:$A313)+1,"")))</f>
        <v/>
      </c>
      <c r="B314" s="11">
        <v>307</v>
      </c>
      <c r="C314" s="19" t="str">
        <f t="shared" si="8"/>
        <v>EMPTY</v>
      </c>
      <c r="D314" s="3" t="str">
        <f>IF(C314="SHOW",CONCATENATE(Temp!G310,Temp!H310,",",Temp!I310,",",Temp!J310,Temp!K310),"")</f>
        <v/>
      </c>
      <c r="E314" s="7"/>
      <c r="F314" s="8" t="str">
        <f t="shared" si="9"/>
        <v/>
      </c>
    </row>
    <row r="315" spans="1:6" x14ac:dyDescent="0.25">
      <c r="A315" s="13" t="str">
        <f>IF(AND($E315="",MAX($A$8:$A314)=0),"",IF(AND($E315&lt;&gt;"",MAX($A$8:$A314)=0),1,IF(AND($E315&lt;&gt;"",MAX($A$8:$A314)&gt;0),MAX($A$8:$A314)+1,"")))</f>
        <v/>
      </c>
      <c r="B315" s="11">
        <v>308</v>
      </c>
      <c r="C315" s="19" t="str">
        <f t="shared" si="8"/>
        <v>EMPTY</v>
      </c>
      <c r="D315" s="3" t="str">
        <f>IF(C315="SHOW",CONCATENATE(Temp!G311,Temp!H311,",",Temp!I311,",",Temp!J311,Temp!K311),"")</f>
        <v/>
      </c>
      <c r="E315" s="7"/>
      <c r="F315" s="8" t="str">
        <f t="shared" si="9"/>
        <v/>
      </c>
    </row>
    <row r="316" spans="1:6" x14ac:dyDescent="0.25">
      <c r="A316" s="13" t="str">
        <f>IF(AND($E316="",MAX($A$8:$A315)=0),"",IF(AND($E316&lt;&gt;"",MAX($A$8:$A315)=0),1,IF(AND($E316&lt;&gt;"",MAX($A$8:$A315)&gt;0),MAX($A$8:$A315)+1,"")))</f>
        <v/>
      </c>
      <c r="B316" s="11">
        <v>309</v>
      </c>
      <c r="C316" s="19" t="str">
        <f t="shared" si="8"/>
        <v>EMPTY</v>
      </c>
      <c r="D316" s="3" t="str">
        <f>IF(C316="SHOW",CONCATENATE(Temp!G312,Temp!H312,",",Temp!I312,",",Temp!J312,Temp!K312),"")</f>
        <v/>
      </c>
      <c r="E316" s="7"/>
      <c r="F316" s="8" t="str">
        <f t="shared" si="9"/>
        <v/>
      </c>
    </row>
    <row r="317" spans="1:6" x14ac:dyDescent="0.25">
      <c r="A317" s="13" t="str">
        <f>IF(AND($E317="",MAX($A$8:$A316)=0),"",IF(AND($E317&lt;&gt;"",MAX($A$8:$A316)=0),1,IF(AND($E317&lt;&gt;"",MAX($A$8:$A316)&gt;0),MAX($A$8:$A316)+1,"")))</f>
        <v/>
      </c>
      <c r="B317" s="11">
        <v>310</v>
      </c>
      <c r="C317" s="19" t="str">
        <f t="shared" si="8"/>
        <v>EMPTY</v>
      </c>
      <c r="D317" s="3" t="str">
        <f>IF(C317="SHOW",CONCATENATE(Temp!G313,Temp!H313,",",Temp!I313,",",Temp!J313,Temp!K313),"")</f>
        <v/>
      </c>
      <c r="E317" s="7"/>
      <c r="F317" s="8" t="str">
        <f t="shared" si="9"/>
        <v/>
      </c>
    </row>
    <row r="318" spans="1:6" x14ac:dyDescent="0.25">
      <c r="A318" s="13" t="str">
        <f>IF(AND($E318="",MAX($A$8:$A317)=0),"",IF(AND($E318&lt;&gt;"",MAX($A$8:$A317)=0),1,IF(AND($E318&lt;&gt;"",MAX($A$8:$A317)&gt;0),MAX($A$8:$A317)+1,"")))</f>
        <v/>
      </c>
      <c r="B318" s="11">
        <v>311</v>
      </c>
      <c r="C318" s="19" t="str">
        <f t="shared" si="8"/>
        <v>EMPTY</v>
      </c>
      <c r="D318" s="3" t="str">
        <f>IF(C318="SHOW",CONCATENATE(Temp!G314,Temp!H314,",",Temp!I314,",",Temp!J314,Temp!K314),"")</f>
        <v/>
      </c>
      <c r="E318" s="7"/>
      <c r="F318" s="8" t="str">
        <f t="shared" si="9"/>
        <v/>
      </c>
    </row>
    <row r="319" spans="1:6" x14ac:dyDescent="0.25">
      <c r="A319" s="13" t="str">
        <f>IF(AND($E319="",MAX($A$8:$A318)=0),"",IF(AND($E319&lt;&gt;"",MAX($A$8:$A318)=0),1,IF(AND($E319&lt;&gt;"",MAX($A$8:$A318)&gt;0),MAX($A$8:$A318)+1,"")))</f>
        <v/>
      </c>
      <c r="B319" s="11">
        <v>312</v>
      </c>
      <c r="C319" s="19" t="str">
        <f t="shared" si="8"/>
        <v>EMPTY</v>
      </c>
      <c r="D319" s="3" t="str">
        <f>IF(C319="SHOW",CONCATENATE(Temp!G315,Temp!H315,",",Temp!I315,",",Temp!J315,Temp!K315),"")</f>
        <v/>
      </c>
      <c r="E319" s="7"/>
      <c r="F319" s="8" t="str">
        <f t="shared" si="9"/>
        <v/>
      </c>
    </row>
    <row r="320" spans="1:6" x14ac:dyDescent="0.25">
      <c r="A320" s="13" t="str">
        <f>IF(AND($E320="",MAX($A$8:$A319)=0),"",IF(AND($E320&lt;&gt;"",MAX($A$8:$A319)=0),1,IF(AND($E320&lt;&gt;"",MAX($A$8:$A319)&gt;0),MAX($A$8:$A319)+1,"")))</f>
        <v/>
      </c>
      <c r="B320" s="11">
        <v>313</v>
      </c>
      <c r="C320" s="19" t="str">
        <f t="shared" si="8"/>
        <v>EMPTY</v>
      </c>
      <c r="D320" s="3" t="str">
        <f>IF(C320="SHOW",CONCATENATE(Temp!G316,Temp!H316,",",Temp!I316,",",Temp!J316,Temp!K316),"")</f>
        <v/>
      </c>
      <c r="E320" s="7"/>
      <c r="F320" s="8" t="str">
        <f t="shared" si="9"/>
        <v/>
      </c>
    </row>
    <row r="321" spans="1:6" x14ac:dyDescent="0.25">
      <c r="A321" s="13" t="str">
        <f>IF(AND($E321="",MAX($A$8:$A320)=0),"",IF(AND($E321&lt;&gt;"",MAX($A$8:$A320)=0),1,IF(AND($E321&lt;&gt;"",MAX($A$8:$A320)&gt;0),MAX($A$8:$A320)+1,"")))</f>
        <v/>
      </c>
      <c r="B321" s="11">
        <v>314</v>
      </c>
      <c r="C321" s="19" t="str">
        <f t="shared" si="8"/>
        <v>EMPTY</v>
      </c>
      <c r="D321" s="3" t="str">
        <f>IF(C321="SHOW",CONCATENATE(Temp!G317,Temp!H317,",",Temp!I317,",",Temp!J317,Temp!K317),"")</f>
        <v/>
      </c>
      <c r="E321" s="7"/>
      <c r="F321" s="8" t="str">
        <f t="shared" si="9"/>
        <v/>
      </c>
    </row>
    <row r="322" spans="1:6" x14ac:dyDescent="0.25">
      <c r="A322" s="13" t="str">
        <f>IF(AND($E322="",MAX($A$8:$A321)=0),"",IF(AND($E322&lt;&gt;"",MAX($A$8:$A321)=0),1,IF(AND($E322&lt;&gt;"",MAX($A$8:$A321)&gt;0),MAX($A$8:$A321)+1,"")))</f>
        <v/>
      </c>
      <c r="B322" s="11">
        <v>315</v>
      </c>
      <c r="C322" s="19" t="str">
        <f t="shared" si="8"/>
        <v>EMPTY</v>
      </c>
      <c r="D322" s="3" t="str">
        <f>IF(C322="SHOW",CONCATENATE(Temp!G318,Temp!H318,",",Temp!I318,",",Temp!J318,Temp!K318),"")</f>
        <v/>
      </c>
      <c r="E322" s="7"/>
      <c r="F322" s="8" t="str">
        <f t="shared" si="9"/>
        <v/>
      </c>
    </row>
    <row r="323" spans="1:6" x14ac:dyDescent="0.25">
      <c r="A323" s="13" t="str">
        <f>IF(AND($E323="",MAX($A$8:$A322)=0),"",IF(AND($E323&lt;&gt;"",MAX($A$8:$A322)=0),1,IF(AND($E323&lt;&gt;"",MAX($A$8:$A322)&gt;0),MAX($A$8:$A322)+1,"")))</f>
        <v/>
      </c>
      <c r="B323" s="11">
        <v>316</v>
      </c>
      <c r="C323" s="19" t="str">
        <f t="shared" si="8"/>
        <v>EMPTY</v>
      </c>
      <c r="D323" s="3" t="str">
        <f>IF(C323="SHOW",CONCATENATE(Temp!G319,Temp!H319,",",Temp!I319,",",Temp!J319,Temp!K319),"")</f>
        <v/>
      </c>
      <c r="E323" s="7"/>
      <c r="F323" s="8" t="str">
        <f t="shared" si="9"/>
        <v/>
      </c>
    </row>
    <row r="324" spans="1:6" x14ac:dyDescent="0.25">
      <c r="A324" s="13" t="str">
        <f>IF(AND($E324="",MAX($A$8:$A323)=0),"",IF(AND($E324&lt;&gt;"",MAX($A$8:$A323)=0),1,IF(AND($E324&lt;&gt;"",MAX($A$8:$A323)&gt;0),MAX($A$8:$A323)+1,"")))</f>
        <v/>
      </c>
      <c r="B324" s="11">
        <v>317</v>
      </c>
      <c r="C324" s="19" t="str">
        <f t="shared" si="8"/>
        <v>EMPTY</v>
      </c>
      <c r="D324" s="3" t="str">
        <f>IF(C324="SHOW",CONCATENATE(Temp!G320,Temp!H320,",",Temp!I320,",",Temp!J320,Temp!K320),"")</f>
        <v/>
      </c>
      <c r="E324" s="7"/>
      <c r="F324" s="8" t="str">
        <f t="shared" si="9"/>
        <v/>
      </c>
    </row>
    <row r="325" spans="1:6" x14ac:dyDescent="0.25">
      <c r="A325" s="13" t="str">
        <f>IF(AND($E325="",MAX($A$8:$A324)=0),"",IF(AND($E325&lt;&gt;"",MAX($A$8:$A324)=0),1,IF(AND($E325&lt;&gt;"",MAX($A$8:$A324)&gt;0),MAX($A$8:$A324)+1,"")))</f>
        <v/>
      </c>
      <c r="B325" s="11">
        <v>318</v>
      </c>
      <c r="C325" s="19" t="str">
        <f t="shared" si="8"/>
        <v>EMPTY</v>
      </c>
      <c r="D325" s="3" t="str">
        <f>IF(C325="SHOW",CONCATENATE(Temp!G321,Temp!H321,",",Temp!I321,",",Temp!J321,Temp!K321),"")</f>
        <v/>
      </c>
      <c r="E325" s="7"/>
      <c r="F325" s="8" t="str">
        <f t="shared" si="9"/>
        <v/>
      </c>
    </row>
    <row r="326" spans="1:6" x14ac:dyDescent="0.25">
      <c r="A326" s="13" t="str">
        <f>IF(AND($E326="",MAX($A$8:$A325)=0),"",IF(AND($E326&lt;&gt;"",MAX($A$8:$A325)=0),1,IF(AND($E326&lt;&gt;"",MAX($A$8:$A325)&gt;0),MAX($A$8:$A325)+1,"")))</f>
        <v/>
      </c>
      <c r="B326" s="11">
        <v>319</v>
      </c>
      <c r="C326" s="19" t="str">
        <f t="shared" si="8"/>
        <v>EMPTY</v>
      </c>
      <c r="D326" s="3" t="str">
        <f>IF(C326="SHOW",CONCATENATE(Temp!G322,Temp!H322,",",Temp!I322,",",Temp!J322,Temp!K322),"")</f>
        <v/>
      </c>
      <c r="E326" s="7"/>
      <c r="F326" s="8" t="str">
        <f t="shared" si="9"/>
        <v/>
      </c>
    </row>
    <row r="327" spans="1:6" x14ac:dyDescent="0.25">
      <c r="A327" s="13" t="str">
        <f>IF(AND($E327="",MAX($A$8:$A326)=0),"",IF(AND($E327&lt;&gt;"",MAX($A$8:$A326)=0),1,IF(AND($E327&lt;&gt;"",MAX($A$8:$A326)&gt;0),MAX($A$8:$A326)+1,"")))</f>
        <v/>
      </c>
      <c r="B327" s="11">
        <v>320</v>
      </c>
      <c r="C327" s="19" t="str">
        <f t="shared" si="8"/>
        <v>EMPTY</v>
      </c>
      <c r="D327" s="3" t="str">
        <f>IF(C327="SHOW",CONCATENATE(Temp!G323,Temp!H323,",",Temp!I323,",",Temp!J323,Temp!K323),"")</f>
        <v/>
      </c>
      <c r="E327" s="7"/>
      <c r="F327" s="8" t="str">
        <f t="shared" si="9"/>
        <v/>
      </c>
    </row>
    <row r="328" spans="1:6" x14ac:dyDescent="0.25">
      <c r="A328" s="13" t="str">
        <f>IF(AND($E328="",MAX($A$8:$A327)=0),"",IF(AND($E328&lt;&gt;"",MAX($A$8:$A327)=0),1,IF(AND($E328&lt;&gt;"",MAX($A$8:$A327)&gt;0),MAX($A$8:$A327)+1,"")))</f>
        <v/>
      </c>
      <c r="B328" s="11">
        <v>321</v>
      </c>
      <c r="C328" s="19" t="str">
        <f t="shared" si="8"/>
        <v>EMPTY</v>
      </c>
      <c r="D328" s="3" t="str">
        <f>IF(C328="SHOW",CONCATENATE(Temp!G324,Temp!H324,",",Temp!I324,",",Temp!J324,Temp!K324),"")</f>
        <v/>
      </c>
      <c r="E328" s="7"/>
      <c r="F328" s="8" t="str">
        <f t="shared" si="9"/>
        <v/>
      </c>
    </row>
    <row r="329" spans="1:6" x14ac:dyDescent="0.25">
      <c r="A329" s="13" t="str">
        <f>IF(AND($E329="",MAX($A$8:$A328)=0),"",IF(AND($E329&lt;&gt;"",MAX($A$8:$A328)=0),1,IF(AND($E329&lt;&gt;"",MAX($A$8:$A328)&gt;0),MAX($A$8:$A328)+1,"")))</f>
        <v/>
      </c>
      <c r="B329" s="11">
        <v>322</v>
      </c>
      <c r="C329" s="19" t="str">
        <f t="shared" ref="C329:C392" si="10">IF(E329="","EMPTY",IF(MID(E329,1,9)&lt;&gt;"Dialogue:","HIDE",IF(MID(E329,1,9)="Dialogue:","SHOW","")))</f>
        <v>EMPTY</v>
      </c>
      <c r="D329" s="3" t="str">
        <f>IF(C329="SHOW",CONCATENATE(Temp!G325,Temp!H325,",",Temp!I325,",",Temp!J325,Temp!K325),"")</f>
        <v/>
      </c>
      <c r="E329" s="7"/>
      <c r="F329" s="8" t="str">
        <f t="shared" ref="F329:F392" si="11">$D329</f>
        <v/>
      </c>
    </row>
    <row r="330" spans="1:6" x14ac:dyDescent="0.25">
      <c r="A330" s="13" t="str">
        <f>IF(AND($E330="",MAX($A$8:$A329)=0),"",IF(AND($E330&lt;&gt;"",MAX($A$8:$A329)=0),1,IF(AND($E330&lt;&gt;"",MAX($A$8:$A329)&gt;0),MAX($A$8:$A329)+1,"")))</f>
        <v/>
      </c>
      <c r="B330" s="11">
        <v>323</v>
      </c>
      <c r="C330" s="19" t="str">
        <f t="shared" si="10"/>
        <v>EMPTY</v>
      </c>
      <c r="D330" s="3" t="str">
        <f>IF(C330="SHOW",CONCATENATE(Temp!G326,Temp!H326,",",Temp!I326,",",Temp!J326,Temp!K326),"")</f>
        <v/>
      </c>
      <c r="E330" s="7"/>
      <c r="F330" s="8" t="str">
        <f t="shared" si="11"/>
        <v/>
      </c>
    </row>
    <row r="331" spans="1:6" x14ac:dyDescent="0.25">
      <c r="A331" s="13" t="str">
        <f>IF(AND($E331="",MAX($A$8:$A330)=0),"",IF(AND($E331&lt;&gt;"",MAX($A$8:$A330)=0),1,IF(AND($E331&lt;&gt;"",MAX($A$8:$A330)&gt;0),MAX($A$8:$A330)+1,"")))</f>
        <v/>
      </c>
      <c r="B331" s="11">
        <v>324</v>
      </c>
      <c r="C331" s="19" t="str">
        <f t="shared" si="10"/>
        <v>EMPTY</v>
      </c>
      <c r="D331" s="3" t="str">
        <f>IF(C331="SHOW",CONCATENATE(Temp!G327,Temp!H327,",",Temp!I327,",",Temp!J327,Temp!K327),"")</f>
        <v/>
      </c>
      <c r="E331" s="7"/>
      <c r="F331" s="8" t="str">
        <f t="shared" si="11"/>
        <v/>
      </c>
    </row>
    <row r="332" spans="1:6" x14ac:dyDescent="0.25">
      <c r="A332" s="13" t="str">
        <f>IF(AND($E332="",MAX($A$8:$A331)=0),"",IF(AND($E332&lt;&gt;"",MAX($A$8:$A331)=0),1,IF(AND($E332&lt;&gt;"",MAX($A$8:$A331)&gt;0),MAX($A$8:$A331)+1,"")))</f>
        <v/>
      </c>
      <c r="B332" s="11">
        <v>325</v>
      </c>
      <c r="C332" s="19" t="str">
        <f t="shared" si="10"/>
        <v>EMPTY</v>
      </c>
      <c r="D332" s="3" t="str">
        <f>IF(C332="SHOW",CONCATENATE(Temp!G328,Temp!H328,",",Temp!I328,",",Temp!J328,Temp!K328),"")</f>
        <v/>
      </c>
      <c r="E332" s="7"/>
      <c r="F332" s="8" t="str">
        <f t="shared" si="11"/>
        <v/>
      </c>
    </row>
    <row r="333" spans="1:6" x14ac:dyDescent="0.25">
      <c r="A333" s="13" t="str">
        <f>IF(AND($E333="",MAX($A$8:$A332)=0),"",IF(AND($E333&lt;&gt;"",MAX($A$8:$A332)=0),1,IF(AND($E333&lt;&gt;"",MAX($A$8:$A332)&gt;0),MAX($A$8:$A332)+1,"")))</f>
        <v/>
      </c>
      <c r="B333" s="11">
        <v>326</v>
      </c>
      <c r="C333" s="19" t="str">
        <f t="shared" si="10"/>
        <v>EMPTY</v>
      </c>
      <c r="D333" s="3" t="str">
        <f>IF(C333="SHOW",CONCATENATE(Temp!G329,Temp!H329,",",Temp!I329,",",Temp!J329,Temp!K329),"")</f>
        <v/>
      </c>
      <c r="E333" s="7"/>
      <c r="F333" s="8" t="str">
        <f t="shared" si="11"/>
        <v/>
      </c>
    </row>
    <row r="334" spans="1:6" x14ac:dyDescent="0.25">
      <c r="A334" s="13" t="str">
        <f>IF(AND($E334="",MAX($A$8:$A333)=0),"",IF(AND($E334&lt;&gt;"",MAX($A$8:$A333)=0),1,IF(AND($E334&lt;&gt;"",MAX($A$8:$A333)&gt;0),MAX($A$8:$A333)+1,"")))</f>
        <v/>
      </c>
      <c r="B334" s="11">
        <v>327</v>
      </c>
      <c r="C334" s="19" t="str">
        <f t="shared" si="10"/>
        <v>EMPTY</v>
      </c>
      <c r="D334" s="3" t="str">
        <f>IF(C334="SHOW",CONCATENATE(Temp!G330,Temp!H330,",",Temp!I330,",",Temp!J330,Temp!K330),"")</f>
        <v/>
      </c>
      <c r="E334" s="7"/>
      <c r="F334" s="8" t="str">
        <f t="shared" si="11"/>
        <v/>
      </c>
    </row>
    <row r="335" spans="1:6" x14ac:dyDescent="0.25">
      <c r="A335" s="13" t="str">
        <f>IF(AND($E335="",MAX($A$8:$A334)=0),"",IF(AND($E335&lt;&gt;"",MAX($A$8:$A334)=0),1,IF(AND($E335&lt;&gt;"",MAX($A$8:$A334)&gt;0),MAX($A$8:$A334)+1,"")))</f>
        <v/>
      </c>
      <c r="B335" s="11">
        <v>328</v>
      </c>
      <c r="C335" s="19" t="str">
        <f t="shared" si="10"/>
        <v>EMPTY</v>
      </c>
      <c r="D335" s="3" t="str">
        <f>IF(C335="SHOW",CONCATENATE(Temp!G331,Temp!H331,",",Temp!I331,",",Temp!J331,Temp!K331),"")</f>
        <v/>
      </c>
      <c r="E335" s="7"/>
      <c r="F335" s="8" t="str">
        <f t="shared" si="11"/>
        <v/>
      </c>
    </row>
    <row r="336" spans="1:6" x14ac:dyDescent="0.25">
      <c r="A336" s="13" t="str">
        <f>IF(AND($E336="",MAX($A$8:$A335)=0),"",IF(AND($E336&lt;&gt;"",MAX($A$8:$A335)=0),1,IF(AND($E336&lt;&gt;"",MAX($A$8:$A335)&gt;0),MAX($A$8:$A335)+1,"")))</f>
        <v/>
      </c>
      <c r="B336" s="11">
        <v>329</v>
      </c>
      <c r="C336" s="19" t="str">
        <f t="shared" si="10"/>
        <v>EMPTY</v>
      </c>
      <c r="D336" s="3" t="str">
        <f>IF(C336="SHOW",CONCATENATE(Temp!G332,Temp!H332,",",Temp!I332,",",Temp!J332,Temp!K332),"")</f>
        <v/>
      </c>
      <c r="E336" s="7"/>
      <c r="F336" s="8" t="str">
        <f t="shared" si="11"/>
        <v/>
      </c>
    </row>
    <row r="337" spans="1:6" x14ac:dyDescent="0.25">
      <c r="A337" s="13" t="str">
        <f>IF(AND($E337="",MAX($A$8:$A336)=0),"",IF(AND($E337&lt;&gt;"",MAX($A$8:$A336)=0),1,IF(AND($E337&lt;&gt;"",MAX($A$8:$A336)&gt;0),MAX($A$8:$A336)+1,"")))</f>
        <v/>
      </c>
      <c r="B337" s="11">
        <v>330</v>
      </c>
      <c r="C337" s="19" t="str">
        <f t="shared" si="10"/>
        <v>EMPTY</v>
      </c>
      <c r="D337" s="3" t="str">
        <f>IF(C337="SHOW",CONCATENATE(Temp!G333,Temp!H333,",",Temp!I333,",",Temp!J333,Temp!K333),"")</f>
        <v/>
      </c>
      <c r="E337" s="7"/>
      <c r="F337" s="8" t="str">
        <f t="shared" si="11"/>
        <v/>
      </c>
    </row>
    <row r="338" spans="1:6" x14ac:dyDescent="0.25">
      <c r="A338" s="13" t="str">
        <f>IF(AND($E338="",MAX($A$8:$A337)=0),"",IF(AND($E338&lt;&gt;"",MAX($A$8:$A337)=0),1,IF(AND($E338&lt;&gt;"",MAX($A$8:$A337)&gt;0),MAX($A$8:$A337)+1,"")))</f>
        <v/>
      </c>
      <c r="B338" s="11">
        <v>331</v>
      </c>
      <c r="C338" s="19" t="str">
        <f t="shared" si="10"/>
        <v>EMPTY</v>
      </c>
      <c r="D338" s="3" t="str">
        <f>IF(C338="SHOW",CONCATENATE(Temp!G334,Temp!H334,",",Temp!I334,",",Temp!J334,Temp!K334),"")</f>
        <v/>
      </c>
      <c r="E338" s="7"/>
      <c r="F338" s="8" t="str">
        <f t="shared" si="11"/>
        <v/>
      </c>
    </row>
    <row r="339" spans="1:6" x14ac:dyDescent="0.25">
      <c r="A339" s="13" t="str">
        <f>IF(AND($E339="",MAX($A$8:$A338)=0),"",IF(AND($E339&lt;&gt;"",MAX($A$8:$A338)=0),1,IF(AND($E339&lt;&gt;"",MAX($A$8:$A338)&gt;0),MAX($A$8:$A338)+1,"")))</f>
        <v/>
      </c>
      <c r="B339" s="11">
        <v>332</v>
      </c>
      <c r="C339" s="19" t="str">
        <f t="shared" si="10"/>
        <v>EMPTY</v>
      </c>
      <c r="D339" s="3" t="str">
        <f>IF(C339="SHOW",CONCATENATE(Temp!G335,Temp!H335,",",Temp!I335,",",Temp!J335,Temp!K335),"")</f>
        <v/>
      </c>
      <c r="E339" s="7"/>
      <c r="F339" s="8" t="str">
        <f t="shared" si="11"/>
        <v/>
      </c>
    </row>
    <row r="340" spans="1:6" x14ac:dyDescent="0.25">
      <c r="A340" s="13" t="str">
        <f>IF(AND($E340="",MAX($A$8:$A339)=0),"",IF(AND($E340&lt;&gt;"",MAX($A$8:$A339)=0),1,IF(AND($E340&lt;&gt;"",MAX($A$8:$A339)&gt;0),MAX($A$8:$A339)+1,"")))</f>
        <v/>
      </c>
      <c r="B340" s="11">
        <v>333</v>
      </c>
      <c r="C340" s="19" t="str">
        <f t="shared" si="10"/>
        <v>EMPTY</v>
      </c>
      <c r="D340" s="3" t="str">
        <f>IF(C340="SHOW",CONCATENATE(Temp!G336,Temp!H336,",",Temp!I336,",",Temp!J336,Temp!K336),"")</f>
        <v/>
      </c>
      <c r="E340" s="7"/>
      <c r="F340" s="8" t="str">
        <f t="shared" si="11"/>
        <v/>
      </c>
    </row>
    <row r="341" spans="1:6" x14ac:dyDescent="0.25">
      <c r="A341" s="13" t="str">
        <f>IF(AND($E341="",MAX($A$8:$A340)=0),"",IF(AND($E341&lt;&gt;"",MAX($A$8:$A340)=0),1,IF(AND($E341&lt;&gt;"",MAX($A$8:$A340)&gt;0),MAX($A$8:$A340)+1,"")))</f>
        <v/>
      </c>
      <c r="B341" s="11">
        <v>334</v>
      </c>
      <c r="C341" s="19" t="str">
        <f t="shared" si="10"/>
        <v>EMPTY</v>
      </c>
      <c r="D341" s="3" t="str">
        <f>IF(C341="SHOW",CONCATENATE(Temp!G337,Temp!H337,",",Temp!I337,",",Temp!J337,Temp!K337),"")</f>
        <v/>
      </c>
      <c r="E341" s="7"/>
      <c r="F341" s="8" t="str">
        <f t="shared" si="11"/>
        <v/>
      </c>
    </row>
    <row r="342" spans="1:6" x14ac:dyDescent="0.25">
      <c r="A342" s="13" t="str">
        <f>IF(AND($E342="",MAX($A$8:$A341)=0),"",IF(AND($E342&lt;&gt;"",MAX($A$8:$A341)=0),1,IF(AND($E342&lt;&gt;"",MAX($A$8:$A341)&gt;0),MAX($A$8:$A341)+1,"")))</f>
        <v/>
      </c>
      <c r="B342" s="11">
        <v>335</v>
      </c>
      <c r="C342" s="19" t="str">
        <f t="shared" si="10"/>
        <v>EMPTY</v>
      </c>
      <c r="D342" s="3" t="str">
        <f>IF(C342="SHOW",CONCATENATE(Temp!G338,Temp!H338,",",Temp!I338,",",Temp!J338,Temp!K338),"")</f>
        <v/>
      </c>
      <c r="E342" s="7"/>
      <c r="F342" s="8" t="str">
        <f t="shared" si="11"/>
        <v/>
      </c>
    </row>
    <row r="343" spans="1:6" x14ac:dyDescent="0.25">
      <c r="A343" s="13" t="str">
        <f>IF(AND($E343="",MAX($A$8:$A342)=0),"",IF(AND($E343&lt;&gt;"",MAX($A$8:$A342)=0),1,IF(AND($E343&lt;&gt;"",MAX($A$8:$A342)&gt;0),MAX($A$8:$A342)+1,"")))</f>
        <v/>
      </c>
      <c r="B343" s="11">
        <v>336</v>
      </c>
      <c r="C343" s="19" t="str">
        <f t="shared" si="10"/>
        <v>EMPTY</v>
      </c>
      <c r="D343" s="3" t="str">
        <f>IF(C343="SHOW",CONCATENATE(Temp!G339,Temp!H339,",",Temp!I339,",",Temp!J339,Temp!K339),"")</f>
        <v/>
      </c>
      <c r="E343" s="7"/>
      <c r="F343" s="8" t="str">
        <f t="shared" si="11"/>
        <v/>
      </c>
    </row>
    <row r="344" spans="1:6" x14ac:dyDescent="0.25">
      <c r="A344" s="13" t="str">
        <f>IF(AND($E344="",MAX($A$8:$A343)=0),"",IF(AND($E344&lt;&gt;"",MAX($A$8:$A343)=0),1,IF(AND($E344&lt;&gt;"",MAX($A$8:$A343)&gt;0),MAX($A$8:$A343)+1,"")))</f>
        <v/>
      </c>
      <c r="B344" s="11">
        <v>337</v>
      </c>
      <c r="C344" s="19" t="str">
        <f t="shared" si="10"/>
        <v>EMPTY</v>
      </c>
      <c r="D344" s="3" t="str">
        <f>IF(C344="SHOW",CONCATENATE(Temp!G340,Temp!H340,",",Temp!I340,",",Temp!J340,Temp!K340),"")</f>
        <v/>
      </c>
      <c r="E344" s="7"/>
      <c r="F344" s="8" t="str">
        <f t="shared" si="11"/>
        <v/>
      </c>
    </row>
    <row r="345" spans="1:6" x14ac:dyDescent="0.25">
      <c r="A345" s="13" t="str">
        <f>IF(AND($E345="",MAX($A$8:$A344)=0),"",IF(AND($E345&lt;&gt;"",MAX($A$8:$A344)=0),1,IF(AND($E345&lt;&gt;"",MAX($A$8:$A344)&gt;0),MAX($A$8:$A344)+1,"")))</f>
        <v/>
      </c>
      <c r="B345" s="11">
        <v>338</v>
      </c>
      <c r="C345" s="19" t="str">
        <f t="shared" si="10"/>
        <v>EMPTY</v>
      </c>
      <c r="D345" s="3" t="str">
        <f>IF(C345="SHOW",CONCATENATE(Temp!G341,Temp!H341,",",Temp!I341,",",Temp!J341,Temp!K341),"")</f>
        <v/>
      </c>
      <c r="E345" s="7"/>
      <c r="F345" s="8" t="str">
        <f t="shared" si="11"/>
        <v/>
      </c>
    </row>
    <row r="346" spans="1:6" x14ac:dyDescent="0.25">
      <c r="A346" s="13" t="str">
        <f>IF(AND($E346="",MAX($A$8:$A345)=0),"",IF(AND($E346&lt;&gt;"",MAX($A$8:$A345)=0),1,IF(AND($E346&lt;&gt;"",MAX($A$8:$A345)&gt;0),MAX($A$8:$A345)+1,"")))</f>
        <v/>
      </c>
      <c r="B346" s="11">
        <v>339</v>
      </c>
      <c r="C346" s="19" t="str">
        <f t="shared" si="10"/>
        <v>EMPTY</v>
      </c>
      <c r="D346" s="3" t="str">
        <f>IF(C346="SHOW",CONCATENATE(Temp!G342,Temp!H342,",",Temp!I342,",",Temp!J342,Temp!K342),"")</f>
        <v/>
      </c>
      <c r="E346" s="7"/>
      <c r="F346" s="8" t="str">
        <f t="shared" si="11"/>
        <v/>
      </c>
    </row>
    <row r="347" spans="1:6" x14ac:dyDescent="0.25">
      <c r="A347" s="13" t="str">
        <f>IF(AND($E347="",MAX($A$8:$A346)=0),"",IF(AND($E347&lt;&gt;"",MAX($A$8:$A346)=0),1,IF(AND($E347&lt;&gt;"",MAX($A$8:$A346)&gt;0),MAX($A$8:$A346)+1,"")))</f>
        <v/>
      </c>
      <c r="B347" s="11">
        <v>340</v>
      </c>
      <c r="C347" s="19" t="str">
        <f t="shared" si="10"/>
        <v>EMPTY</v>
      </c>
      <c r="D347" s="3" t="str">
        <f>IF(C347="SHOW",CONCATENATE(Temp!G343,Temp!H343,",",Temp!I343,",",Temp!J343,Temp!K343),"")</f>
        <v/>
      </c>
      <c r="E347" s="7"/>
      <c r="F347" s="8" t="str">
        <f t="shared" si="11"/>
        <v/>
      </c>
    </row>
    <row r="348" spans="1:6" x14ac:dyDescent="0.25">
      <c r="A348" s="13" t="str">
        <f>IF(AND($E348="",MAX($A$8:$A347)=0),"",IF(AND($E348&lt;&gt;"",MAX($A$8:$A347)=0),1,IF(AND($E348&lt;&gt;"",MAX($A$8:$A347)&gt;0),MAX($A$8:$A347)+1,"")))</f>
        <v/>
      </c>
      <c r="B348" s="11">
        <v>341</v>
      </c>
      <c r="C348" s="19" t="str">
        <f t="shared" si="10"/>
        <v>EMPTY</v>
      </c>
      <c r="D348" s="3" t="str">
        <f>IF(C348="SHOW",CONCATENATE(Temp!G344,Temp!H344,",",Temp!I344,",",Temp!J344,Temp!K344),"")</f>
        <v/>
      </c>
      <c r="E348" s="7"/>
      <c r="F348" s="8" t="str">
        <f t="shared" si="11"/>
        <v/>
      </c>
    </row>
    <row r="349" spans="1:6" x14ac:dyDescent="0.25">
      <c r="A349" s="13" t="str">
        <f>IF(AND($E349="",MAX($A$8:$A348)=0),"",IF(AND($E349&lt;&gt;"",MAX($A$8:$A348)=0),1,IF(AND($E349&lt;&gt;"",MAX($A$8:$A348)&gt;0),MAX($A$8:$A348)+1,"")))</f>
        <v/>
      </c>
      <c r="B349" s="11">
        <v>342</v>
      </c>
      <c r="C349" s="19" t="str">
        <f t="shared" si="10"/>
        <v>EMPTY</v>
      </c>
      <c r="D349" s="3" t="str">
        <f>IF(C349="SHOW",CONCATENATE(Temp!G345,Temp!H345,",",Temp!I345,",",Temp!J345,Temp!K345),"")</f>
        <v/>
      </c>
      <c r="E349" s="7"/>
      <c r="F349" s="8" t="str">
        <f t="shared" si="11"/>
        <v/>
      </c>
    </row>
    <row r="350" spans="1:6" x14ac:dyDescent="0.25">
      <c r="A350" s="13" t="str">
        <f>IF(AND($E350="",MAX($A$8:$A349)=0),"",IF(AND($E350&lt;&gt;"",MAX($A$8:$A349)=0),1,IF(AND($E350&lt;&gt;"",MAX($A$8:$A349)&gt;0),MAX($A$8:$A349)+1,"")))</f>
        <v/>
      </c>
      <c r="B350" s="11">
        <v>343</v>
      </c>
      <c r="C350" s="19" t="str">
        <f t="shared" si="10"/>
        <v>EMPTY</v>
      </c>
      <c r="D350" s="3" t="str">
        <f>IF(C350="SHOW",CONCATENATE(Temp!G346,Temp!H346,",",Temp!I346,",",Temp!J346,Temp!K346),"")</f>
        <v/>
      </c>
      <c r="E350" s="7"/>
      <c r="F350" s="8" t="str">
        <f t="shared" si="11"/>
        <v/>
      </c>
    </row>
    <row r="351" spans="1:6" x14ac:dyDescent="0.25">
      <c r="A351" s="13" t="str">
        <f>IF(AND($E351="",MAX($A$8:$A350)=0),"",IF(AND($E351&lt;&gt;"",MAX($A$8:$A350)=0),1,IF(AND($E351&lt;&gt;"",MAX($A$8:$A350)&gt;0),MAX($A$8:$A350)+1,"")))</f>
        <v/>
      </c>
      <c r="B351" s="11">
        <v>344</v>
      </c>
      <c r="C351" s="19" t="str">
        <f t="shared" si="10"/>
        <v>EMPTY</v>
      </c>
      <c r="D351" s="3" t="str">
        <f>IF(C351="SHOW",CONCATENATE(Temp!G347,Temp!H347,",",Temp!I347,",",Temp!J347,Temp!K347),"")</f>
        <v/>
      </c>
      <c r="E351" s="7"/>
      <c r="F351" s="8" t="str">
        <f t="shared" si="11"/>
        <v/>
      </c>
    </row>
    <row r="352" spans="1:6" x14ac:dyDescent="0.25">
      <c r="A352" s="13" t="str">
        <f>IF(AND($E352="",MAX($A$8:$A351)=0),"",IF(AND($E352&lt;&gt;"",MAX($A$8:$A351)=0),1,IF(AND($E352&lt;&gt;"",MAX($A$8:$A351)&gt;0),MAX($A$8:$A351)+1,"")))</f>
        <v/>
      </c>
      <c r="B352" s="11">
        <v>345</v>
      </c>
      <c r="C352" s="19" t="str">
        <f t="shared" si="10"/>
        <v>EMPTY</v>
      </c>
      <c r="D352" s="3" t="str">
        <f>IF(C352="SHOW",CONCATENATE(Temp!G348,Temp!H348,",",Temp!I348,",",Temp!J348,Temp!K348),"")</f>
        <v/>
      </c>
      <c r="E352" s="7"/>
      <c r="F352" s="8" t="str">
        <f t="shared" si="11"/>
        <v/>
      </c>
    </row>
    <row r="353" spans="1:6" x14ac:dyDescent="0.25">
      <c r="A353" s="13" t="str">
        <f>IF(AND($E353="",MAX($A$8:$A352)=0),"",IF(AND($E353&lt;&gt;"",MAX($A$8:$A352)=0),1,IF(AND($E353&lt;&gt;"",MAX($A$8:$A352)&gt;0),MAX($A$8:$A352)+1,"")))</f>
        <v/>
      </c>
      <c r="B353" s="11">
        <v>346</v>
      </c>
      <c r="C353" s="19" t="str">
        <f t="shared" si="10"/>
        <v>EMPTY</v>
      </c>
      <c r="D353" s="3" t="str">
        <f>IF(C353="SHOW",CONCATENATE(Temp!G349,Temp!H349,",",Temp!I349,",",Temp!J349,Temp!K349),"")</f>
        <v/>
      </c>
      <c r="E353" s="7"/>
      <c r="F353" s="8" t="str">
        <f t="shared" si="11"/>
        <v/>
      </c>
    </row>
    <row r="354" spans="1:6" x14ac:dyDescent="0.25">
      <c r="A354" s="13" t="str">
        <f>IF(AND($E354="",MAX($A$8:$A353)=0),"",IF(AND($E354&lt;&gt;"",MAX($A$8:$A353)=0),1,IF(AND($E354&lt;&gt;"",MAX($A$8:$A353)&gt;0),MAX($A$8:$A353)+1,"")))</f>
        <v/>
      </c>
      <c r="B354" s="11">
        <v>347</v>
      </c>
      <c r="C354" s="19" t="str">
        <f t="shared" si="10"/>
        <v>EMPTY</v>
      </c>
      <c r="D354" s="3" t="str">
        <f>IF(C354="SHOW",CONCATENATE(Temp!G350,Temp!H350,",",Temp!I350,",",Temp!J350,Temp!K350),"")</f>
        <v/>
      </c>
      <c r="E354" s="7"/>
      <c r="F354" s="8" t="str">
        <f t="shared" si="11"/>
        <v/>
      </c>
    </row>
    <row r="355" spans="1:6" x14ac:dyDescent="0.25">
      <c r="A355" s="13" t="str">
        <f>IF(AND($E355="",MAX($A$8:$A354)=0),"",IF(AND($E355&lt;&gt;"",MAX($A$8:$A354)=0),1,IF(AND($E355&lt;&gt;"",MAX($A$8:$A354)&gt;0),MAX($A$8:$A354)+1,"")))</f>
        <v/>
      </c>
      <c r="B355" s="11">
        <v>348</v>
      </c>
      <c r="C355" s="19" t="str">
        <f t="shared" si="10"/>
        <v>EMPTY</v>
      </c>
      <c r="D355" s="3" t="str">
        <f>IF(C355="SHOW",CONCATENATE(Temp!G351,Temp!H351,",",Temp!I351,",",Temp!J351,Temp!K351),"")</f>
        <v/>
      </c>
      <c r="E355" s="7"/>
      <c r="F355" s="8" t="str">
        <f t="shared" si="11"/>
        <v/>
      </c>
    </row>
    <row r="356" spans="1:6" x14ac:dyDescent="0.25">
      <c r="A356" s="13" t="str">
        <f>IF(AND($E356="",MAX($A$8:$A355)=0),"",IF(AND($E356&lt;&gt;"",MAX($A$8:$A355)=0),1,IF(AND($E356&lt;&gt;"",MAX($A$8:$A355)&gt;0),MAX($A$8:$A355)+1,"")))</f>
        <v/>
      </c>
      <c r="B356" s="11">
        <v>349</v>
      </c>
      <c r="C356" s="19" t="str">
        <f t="shared" si="10"/>
        <v>EMPTY</v>
      </c>
      <c r="D356" s="3" t="str">
        <f>IF(C356="SHOW",CONCATENATE(Temp!G352,Temp!H352,",",Temp!I352,",",Temp!J352,Temp!K352),"")</f>
        <v/>
      </c>
      <c r="E356" s="7"/>
      <c r="F356" s="8" t="str">
        <f t="shared" si="11"/>
        <v/>
      </c>
    </row>
    <row r="357" spans="1:6" x14ac:dyDescent="0.25">
      <c r="A357" s="13" t="str">
        <f>IF(AND($E357="",MAX($A$8:$A356)=0),"",IF(AND($E357&lt;&gt;"",MAX($A$8:$A356)=0),1,IF(AND($E357&lt;&gt;"",MAX($A$8:$A356)&gt;0),MAX($A$8:$A356)+1,"")))</f>
        <v/>
      </c>
      <c r="B357" s="11">
        <v>350</v>
      </c>
      <c r="C357" s="19" t="str">
        <f t="shared" si="10"/>
        <v>EMPTY</v>
      </c>
      <c r="D357" s="3" t="str">
        <f>IF(C357="SHOW",CONCATENATE(Temp!G353,Temp!H353,",",Temp!I353,",",Temp!J353,Temp!K353),"")</f>
        <v/>
      </c>
      <c r="E357" s="7"/>
      <c r="F357" s="8" t="str">
        <f t="shared" si="11"/>
        <v/>
      </c>
    </row>
    <row r="358" spans="1:6" x14ac:dyDescent="0.25">
      <c r="A358" s="13" t="str">
        <f>IF(AND($E358="",MAX($A$8:$A357)=0),"",IF(AND($E358&lt;&gt;"",MAX($A$8:$A357)=0),1,IF(AND($E358&lt;&gt;"",MAX($A$8:$A357)&gt;0),MAX($A$8:$A357)+1,"")))</f>
        <v/>
      </c>
      <c r="B358" s="11">
        <v>351</v>
      </c>
      <c r="C358" s="19" t="str">
        <f t="shared" si="10"/>
        <v>EMPTY</v>
      </c>
      <c r="D358" s="3" t="str">
        <f>IF(C358="SHOW",CONCATENATE(Temp!G354,Temp!H354,",",Temp!I354,",",Temp!J354,Temp!K354),"")</f>
        <v/>
      </c>
      <c r="E358" s="7"/>
      <c r="F358" s="8" t="str">
        <f t="shared" si="11"/>
        <v/>
      </c>
    </row>
    <row r="359" spans="1:6" x14ac:dyDescent="0.25">
      <c r="A359" s="13" t="str">
        <f>IF(AND($E359="",MAX($A$8:$A358)=0),"",IF(AND($E359&lt;&gt;"",MAX($A$8:$A358)=0),1,IF(AND($E359&lt;&gt;"",MAX($A$8:$A358)&gt;0),MAX($A$8:$A358)+1,"")))</f>
        <v/>
      </c>
      <c r="B359" s="11">
        <v>352</v>
      </c>
      <c r="C359" s="19" t="str">
        <f t="shared" si="10"/>
        <v>EMPTY</v>
      </c>
      <c r="D359" s="3" t="str">
        <f>IF(C359="SHOW",CONCATENATE(Temp!G355,Temp!H355,",",Temp!I355,",",Temp!J355,Temp!K355),"")</f>
        <v/>
      </c>
      <c r="E359" s="7"/>
      <c r="F359" s="8" t="str">
        <f t="shared" si="11"/>
        <v/>
      </c>
    </row>
    <row r="360" spans="1:6" x14ac:dyDescent="0.25">
      <c r="A360" s="13" t="str">
        <f>IF(AND($E360="",MAX($A$8:$A359)=0),"",IF(AND($E360&lt;&gt;"",MAX($A$8:$A359)=0),1,IF(AND($E360&lt;&gt;"",MAX($A$8:$A359)&gt;0),MAX($A$8:$A359)+1,"")))</f>
        <v/>
      </c>
      <c r="B360" s="11">
        <v>353</v>
      </c>
      <c r="C360" s="19" t="str">
        <f t="shared" si="10"/>
        <v>EMPTY</v>
      </c>
      <c r="D360" s="3" t="str">
        <f>IF(C360="SHOW",CONCATENATE(Temp!G356,Temp!H356,",",Temp!I356,",",Temp!J356,Temp!K356),"")</f>
        <v/>
      </c>
      <c r="E360" s="7"/>
      <c r="F360" s="8" t="str">
        <f t="shared" si="11"/>
        <v/>
      </c>
    </row>
    <row r="361" spans="1:6" x14ac:dyDescent="0.25">
      <c r="A361" s="13" t="str">
        <f>IF(AND($E361="",MAX($A$8:$A360)=0),"",IF(AND($E361&lt;&gt;"",MAX($A$8:$A360)=0),1,IF(AND($E361&lt;&gt;"",MAX($A$8:$A360)&gt;0),MAX($A$8:$A360)+1,"")))</f>
        <v/>
      </c>
      <c r="B361" s="11">
        <v>354</v>
      </c>
      <c r="C361" s="19" t="str">
        <f t="shared" si="10"/>
        <v>EMPTY</v>
      </c>
      <c r="D361" s="3" t="str">
        <f>IF(C361="SHOW",CONCATENATE(Temp!G357,Temp!H357,",",Temp!I357,",",Temp!J357,Temp!K357),"")</f>
        <v/>
      </c>
      <c r="E361" s="7"/>
      <c r="F361" s="8" t="str">
        <f t="shared" si="11"/>
        <v/>
      </c>
    </row>
    <row r="362" spans="1:6" x14ac:dyDescent="0.25">
      <c r="A362" s="13" t="str">
        <f>IF(AND($E362="",MAX($A$8:$A361)=0),"",IF(AND($E362&lt;&gt;"",MAX($A$8:$A361)=0),1,IF(AND($E362&lt;&gt;"",MAX($A$8:$A361)&gt;0),MAX($A$8:$A361)+1,"")))</f>
        <v/>
      </c>
      <c r="B362" s="11">
        <v>355</v>
      </c>
      <c r="C362" s="19" t="str">
        <f t="shared" si="10"/>
        <v>EMPTY</v>
      </c>
      <c r="D362" s="3" t="str">
        <f>IF(C362="SHOW",CONCATENATE(Temp!G358,Temp!H358,",",Temp!I358,",",Temp!J358,Temp!K358),"")</f>
        <v/>
      </c>
      <c r="E362" s="7"/>
      <c r="F362" s="8" t="str">
        <f t="shared" si="11"/>
        <v/>
      </c>
    </row>
    <row r="363" spans="1:6" x14ac:dyDescent="0.25">
      <c r="A363" s="13" t="str">
        <f>IF(AND($E363="",MAX($A$8:$A362)=0),"",IF(AND($E363&lt;&gt;"",MAX($A$8:$A362)=0),1,IF(AND($E363&lt;&gt;"",MAX($A$8:$A362)&gt;0),MAX($A$8:$A362)+1,"")))</f>
        <v/>
      </c>
      <c r="B363" s="11">
        <v>356</v>
      </c>
      <c r="C363" s="19" t="str">
        <f t="shared" si="10"/>
        <v>EMPTY</v>
      </c>
      <c r="D363" s="3" t="str">
        <f>IF(C363="SHOW",CONCATENATE(Temp!G359,Temp!H359,",",Temp!I359,",",Temp!J359,Temp!K359),"")</f>
        <v/>
      </c>
      <c r="E363" s="7"/>
      <c r="F363" s="8" t="str">
        <f t="shared" si="11"/>
        <v/>
      </c>
    </row>
    <row r="364" spans="1:6" x14ac:dyDescent="0.25">
      <c r="A364" s="13" t="str">
        <f>IF(AND($E364="",MAX($A$8:$A363)=0),"",IF(AND($E364&lt;&gt;"",MAX($A$8:$A363)=0),1,IF(AND($E364&lt;&gt;"",MAX($A$8:$A363)&gt;0),MAX($A$8:$A363)+1,"")))</f>
        <v/>
      </c>
      <c r="B364" s="11">
        <v>357</v>
      </c>
      <c r="C364" s="19" t="str">
        <f t="shared" si="10"/>
        <v>EMPTY</v>
      </c>
      <c r="D364" s="3" t="str">
        <f>IF(C364="SHOW",CONCATENATE(Temp!G360,Temp!H360,",",Temp!I360,",",Temp!J360,Temp!K360),"")</f>
        <v/>
      </c>
      <c r="E364" s="7"/>
      <c r="F364" s="8" t="str">
        <f t="shared" si="11"/>
        <v/>
      </c>
    </row>
    <row r="365" spans="1:6" x14ac:dyDescent="0.25">
      <c r="A365" s="13" t="str">
        <f>IF(AND($E365="",MAX($A$8:$A364)=0),"",IF(AND($E365&lt;&gt;"",MAX($A$8:$A364)=0),1,IF(AND($E365&lt;&gt;"",MAX($A$8:$A364)&gt;0),MAX($A$8:$A364)+1,"")))</f>
        <v/>
      </c>
      <c r="B365" s="11">
        <v>358</v>
      </c>
      <c r="C365" s="19" t="str">
        <f t="shared" si="10"/>
        <v>EMPTY</v>
      </c>
      <c r="D365" s="3" t="str">
        <f>IF(C365="SHOW",CONCATENATE(Temp!G361,Temp!H361,",",Temp!I361,",",Temp!J361,Temp!K361),"")</f>
        <v/>
      </c>
      <c r="E365" s="7"/>
      <c r="F365" s="8" t="str">
        <f t="shared" si="11"/>
        <v/>
      </c>
    </row>
    <row r="366" spans="1:6" x14ac:dyDescent="0.25">
      <c r="A366" s="13" t="str">
        <f>IF(AND($E366="",MAX($A$8:$A365)=0),"",IF(AND($E366&lt;&gt;"",MAX($A$8:$A365)=0),1,IF(AND($E366&lt;&gt;"",MAX($A$8:$A365)&gt;0),MAX($A$8:$A365)+1,"")))</f>
        <v/>
      </c>
      <c r="B366" s="11">
        <v>359</v>
      </c>
      <c r="C366" s="19" t="str">
        <f t="shared" si="10"/>
        <v>EMPTY</v>
      </c>
      <c r="D366" s="3" t="str">
        <f>IF(C366="SHOW",CONCATENATE(Temp!G362,Temp!H362,",",Temp!I362,",",Temp!J362,Temp!K362),"")</f>
        <v/>
      </c>
      <c r="E366" s="7"/>
      <c r="F366" s="8" t="str">
        <f t="shared" si="11"/>
        <v/>
      </c>
    </row>
    <row r="367" spans="1:6" x14ac:dyDescent="0.25">
      <c r="A367" s="13" t="str">
        <f>IF(AND($E367="",MAX($A$8:$A366)=0),"",IF(AND($E367&lt;&gt;"",MAX($A$8:$A366)=0),1,IF(AND($E367&lt;&gt;"",MAX($A$8:$A366)&gt;0),MAX($A$8:$A366)+1,"")))</f>
        <v/>
      </c>
      <c r="B367" s="11">
        <v>360</v>
      </c>
      <c r="C367" s="19" t="str">
        <f t="shared" si="10"/>
        <v>EMPTY</v>
      </c>
      <c r="D367" s="3" t="str">
        <f>IF(C367="SHOW",CONCATENATE(Temp!G363,Temp!H363,",",Temp!I363,",",Temp!J363,Temp!K363),"")</f>
        <v/>
      </c>
      <c r="E367" s="7"/>
      <c r="F367" s="8" t="str">
        <f t="shared" si="11"/>
        <v/>
      </c>
    </row>
    <row r="368" spans="1:6" x14ac:dyDescent="0.25">
      <c r="A368" s="13" t="str">
        <f>IF(AND($E368="",MAX($A$8:$A367)=0),"",IF(AND($E368&lt;&gt;"",MAX($A$8:$A367)=0),1,IF(AND($E368&lt;&gt;"",MAX($A$8:$A367)&gt;0),MAX($A$8:$A367)+1,"")))</f>
        <v/>
      </c>
      <c r="B368" s="11">
        <v>361</v>
      </c>
      <c r="C368" s="19" t="str">
        <f t="shared" si="10"/>
        <v>EMPTY</v>
      </c>
      <c r="D368" s="3" t="str">
        <f>IF(C368="SHOW",CONCATENATE(Temp!G364,Temp!H364,",",Temp!I364,",",Temp!J364,Temp!K364),"")</f>
        <v/>
      </c>
      <c r="E368" s="7"/>
      <c r="F368" s="8" t="str">
        <f t="shared" si="11"/>
        <v/>
      </c>
    </row>
    <row r="369" spans="1:6" x14ac:dyDescent="0.25">
      <c r="A369" s="13" t="str">
        <f>IF(AND($E369="",MAX($A$8:$A368)=0),"",IF(AND($E369&lt;&gt;"",MAX($A$8:$A368)=0),1,IF(AND($E369&lt;&gt;"",MAX($A$8:$A368)&gt;0),MAX($A$8:$A368)+1,"")))</f>
        <v/>
      </c>
      <c r="B369" s="11">
        <v>362</v>
      </c>
      <c r="C369" s="19" t="str">
        <f t="shared" si="10"/>
        <v>EMPTY</v>
      </c>
      <c r="D369" s="3" t="str">
        <f>IF(C369="SHOW",CONCATENATE(Temp!G365,Temp!H365,",",Temp!I365,",",Temp!J365,Temp!K365),"")</f>
        <v/>
      </c>
      <c r="E369" s="7"/>
      <c r="F369" s="8" t="str">
        <f t="shared" si="11"/>
        <v/>
      </c>
    </row>
    <row r="370" spans="1:6" x14ac:dyDescent="0.25">
      <c r="A370" s="13" t="str">
        <f>IF(AND($E370="",MAX($A$8:$A369)=0),"",IF(AND($E370&lt;&gt;"",MAX($A$8:$A369)=0),1,IF(AND($E370&lt;&gt;"",MAX($A$8:$A369)&gt;0),MAX($A$8:$A369)+1,"")))</f>
        <v/>
      </c>
      <c r="B370" s="11">
        <v>363</v>
      </c>
      <c r="C370" s="19" t="str">
        <f t="shared" si="10"/>
        <v>EMPTY</v>
      </c>
      <c r="D370" s="3" t="str">
        <f>IF(C370="SHOW",CONCATENATE(Temp!G366,Temp!H366,",",Temp!I366,",",Temp!J366,Temp!K366),"")</f>
        <v/>
      </c>
      <c r="E370" s="7"/>
      <c r="F370" s="8" t="str">
        <f t="shared" si="11"/>
        <v/>
      </c>
    </row>
    <row r="371" spans="1:6" x14ac:dyDescent="0.25">
      <c r="A371" s="13" t="str">
        <f>IF(AND($E371="",MAX($A$8:$A370)=0),"",IF(AND($E371&lt;&gt;"",MAX($A$8:$A370)=0),1,IF(AND($E371&lt;&gt;"",MAX($A$8:$A370)&gt;0),MAX($A$8:$A370)+1,"")))</f>
        <v/>
      </c>
      <c r="B371" s="11">
        <v>364</v>
      </c>
      <c r="C371" s="19" t="str">
        <f t="shared" si="10"/>
        <v>EMPTY</v>
      </c>
      <c r="D371" s="3" t="str">
        <f>IF(C371="SHOW",CONCATENATE(Temp!G367,Temp!H367,",",Temp!I367,",",Temp!J367,Temp!K367),"")</f>
        <v/>
      </c>
      <c r="E371" s="7"/>
      <c r="F371" s="8" t="str">
        <f t="shared" si="11"/>
        <v/>
      </c>
    </row>
    <row r="372" spans="1:6" x14ac:dyDescent="0.25">
      <c r="A372" s="13" t="str">
        <f>IF(AND($E372="",MAX($A$8:$A371)=0),"",IF(AND($E372&lt;&gt;"",MAX($A$8:$A371)=0),1,IF(AND($E372&lt;&gt;"",MAX($A$8:$A371)&gt;0),MAX($A$8:$A371)+1,"")))</f>
        <v/>
      </c>
      <c r="B372" s="11">
        <v>365</v>
      </c>
      <c r="C372" s="19" t="str">
        <f t="shared" si="10"/>
        <v>EMPTY</v>
      </c>
      <c r="D372" s="3" t="str">
        <f>IF(C372="SHOW",CONCATENATE(Temp!G368,Temp!H368,",",Temp!I368,",",Temp!J368,Temp!K368),"")</f>
        <v/>
      </c>
      <c r="E372" s="7"/>
      <c r="F372" s="8" t="str">
        <f t="shared" si="11"/>
        <v/>
      </c>
    </row>
    <row r="373" spans="1:6" x14ac:dyDescent="0.25">
      <c r="A373" s="13" t="str">
        <f>IF(AND($E373="",MAX($A$8:$A372)=0),"",IF(AND($E373&lt;&gt;"",MAX($A$8:$A372)=0),1,IF(AND($E373&lt;&gt;"",MAX($A$8:$A372)&gt;0),MAX($A$8:$A372)+1,"")))</f>
        <v/>
      </c>
      <c r="B373" s="11">
        <v>366</v>
      </c>
      <c r="C373" s="19" t="str">
        <f t="shared" si="10"/>
        <v>EMPTY</v>
      </c>
      <c r="D373" s="3" t="str">
        <f>IF(C373="SHOW",CONCATENATE(Temp!G369,Temp!H369,",",Temp!I369,",",Temp!J369,Temp!K369),"")</f>
        <v/>
      </c>
      <c r="E373" s="7"/>
      <c r="F373" s="8" t="str">
        <f t="shared" si="11"/>
        <v/>
      </c>
    </row>
    <row r="374" spans="1:6" x14ac:dyDescent="0.25">
      <c r="A374" s="13" t="str">
        <f>IF(AND($E374="",MAX($A$8:$A373)=0),"",IF(AND($E374&lt;&gt;"",MAX($A$8:$A373)=0),1,IF(AND($E374&lt;&gt;"",MAX($A$8:$A373)&gt;0),MAX($A$8:$A373)+1,"")))</f>
        <v/>
      </c>
      <c r="B374" s="11">
        <v>367</v>
      </c>
      <c r="C374" s="19" t="str">
        <f t="shared" si="10"/>
        <v>EMPTY</v>
      </c>
      <c r="D374" s="3" t="str">
        <f>IF(C374="SHOW",CONCATENATE(Temp!G370,Temp!H370,",",Temp!I370,",",Temp!J370,Temp!K370),"")</f>
        <v/>
      </c>
      <c r="E374" s="7"/>
      <c r="F374" s="8" t="str">
        <f t="shared" si="11"/>
        <v/>
      </c>
    </row>
    <row r="375" spans="1:6" x14ac:dyDescent="0.25">
      <c r="A375" s="13" t="str">
        <f>IF(AND($E375="",MAX($A$8:$A374)=0),"",IF(AND($E375&lt;&gt;"",MAX($A$8:$A374)=0),1,IF(AND($E375&lt;&gt;"",MAX($A$8:$A374)&gt;0),MAX($A$8:$A374)+1,"")))</f>
        <v/>
      </c>
      <c r="B375" s="11">
        <v>368</v>
      </c>
      <c r="C375" s="19" t="str">
        <f t="shared" si="10"/>
        <v>EMPTY</v>
      </c>
      <c r="D375" s="3" t="str">
        <f>IF(C375="SHOW",CONCATENATE(Temp!G371,Temp!H371,",",Temp!I371,",",Temp!J371,Temp!K371),"")</f>
        <v/>
      </c>
      <c r="E375" s="7"/>
      <c r="F375" s="8" t="str">
        <f t="shared" si="11"/>
        <v/>
      </c>
    </row>
    <row r="376" spans="1:6" x14ac:dyDescent="0.25">
      <c r="A376" s="13" t="str">
        <f>IF(AND($E376="",MAX($A$8:$A375)=0),"",IF(AND($E376&lt;&gt;"",MAX($A$8:$A375)=0),1,IF(AND($E376&lt;&gt;"",MAX($A$8:$A375)&gt;0),MAX($A$8:$A375)+1,"")))</f>
        <v/>
      </c>
      <c r="B376" s="11">
        <v>369</v>
      </c>
      <c r="C376" s="19" t="str">
        <f t="shared" si="10"/>
        <v>EMPTY</v>
      </c>
      <c r="D376" s="3" t="str">
        <f>IF(C376="SHOW",CONCATENATE(Temp!G372,Temp!H372,",",Temp!I372,",",Temp!J372,Temp!K372),"")</f>
        <v/>
      </c>
      <c r="E376" s="7"/>
      <c r="F376" s="8" t="str">
        <f t="shared" si="11"/>
        <v/>
      </c>
    </row>
    <row r="377" spans="1:6" x14ac:dyDescent="0.25">
      <c r="A377" s="13" t="str">
        <f>IF(AND($E377="",MAX($A$8:$A376)=0),"",IF(AND($E377&lt;&gt;"",MAX($A$8:$A376)=0),1,IF(AND($E377&lt;&gt;"",MAX($A$8:$A376)&gt;0),MAX($A$8:$A376)+1,"")))</f>
        <v/>
      </c>
      <c r="B377" s="11">
        <v>370</v>
      </c>
      <c r="C377" s="19" t="str">
        <f t="shared" si="10"/>
        <v>EMPTY</v>
      </c>
      <c r="D377" s="3" t="str">
        <f>IF(C377="SHOW",CONCATENATE(Temp!G373,Temp!H373,",",Temp!I373,",",Temp!J373,Temp!K373),"")</f>
        <v/>
      </c>
      <c r="E377" s="7"/>
      <c r="F377" s="8" t="str">
        <f t="shared" si="11"/>
        <v/>
      </c>
    </row>
    <row r="378" spans="1:6" x14ac:dyDescent="0.25">
      <c r="A378" s="13" t="str">
        <f>IF(AND($E378="",MAX($A$8:$A377)=0),"",IF(AND($E378&lt;&gt;"",MAX($A$8:$A377)=0),1,IF(AND($E378&lt;&gt;"",MAX($A$8:$A377)&gt;0),MAX($A$8:$A377)+1,"")))</f>
        <v/>
      </c>
      <c r="B378" s="11">
        <v>371</v>
      </c>
      <c r="C378" s="19" t="str">
        <f t="shared" si="10"/>
        <v>EMPTY</v>
      </c>
      <c r="D378" s="3" t="str">
        <f>IF(C378="SHOW",CONCATENATE(Temp!G374,Temp!H374,",",Temp!I374,",",Temp!J374,Temp!K374),"")</f>
        <v/>
      </c>
      <c r="E378" s="7"/>
      <c r="F378" s="8" t="str">
        <f t="shared" si="11"/>
        <v/>
      </c>
    </row>
    <row r="379" spans="1:6" x14ac:dyDescent="0.25">
      <c r="A379" s="13" t="str">
        <f>IF(AND($E379="",MAX($A$8:$A378)=0),"",IF(AND($E379&lt;&gt;"",MAX($A$8:$A378)=0),1,IF(AND($E379&lt;&gt;"",MAX($A$8:$A378)&gt;0),MAX($A$8:$A378)+1,"")))</f>
        <v/>
      </c>
      <c r="B379" s="11">
        <v>372</v>
      </c>
      <c r="C379" s="19" t="str">
        <f t="shared" si="10"/>
        <v>EMPTY</v>
      </c>
      <c r="D379" s="3" t="str">
        <f>IF(C379="SHOW",CONCATENATE(Temp!G375,Temp!H375,",",Temp!I375,",",Temp!J375,Temp!K375),"")</f>
        <v/>
      </c>
      <c r="E379" s="7"/>
      <c r="F379" s="8" t="str">
        <f t="shared" si="11"/>
        <v/>
      </c>
    </row>
    <row r="380" spans="1:6" x14ac:dyDescent="0.25">
      <c r="A380" s="13" t="str">
        <f>IF(AND($E380="",MAX($A$8:$A379)=0),"",IF(AND($E380&lt;&gt;"",MAX($A$8:$A379)=0),1,IF(AND($E380&lt;&gt;"",MAX($A$8:$A379)&gt;0),MAX($A$8:$A379)+1,"")))</f>
        <v/>
      </c>
      <c r="B380" s="11">
        <v>373</v>
      </c>
      <c r="C380" s="19" t="str">
        <f t="shared" si="10"/>
        <v>EMPTY</v>
      </c>
      <c r="D380" s="3" t="str">
        <f>IF(C380="SHOW",CONCATENATE(Temp!G376,Temp!H376,",",Temp!I376,",",Temp!J376,Temp!K376),"")</f>
        <v/>
      </c>
      <c r="E380" s="7"/>
      <c r="F380" s="8" t="str">
        <f t="shared" si="11"/>
        <v/>
      </c>
    </row>
    <row r="381" spans="1:6" x14ac:dyDescent="0.25">
      <c r="A381" s="13" t="str">
        <f>IF(AND($E381="",MAX($A$8:$A380)=0),"",IF(AND($E381&lt;&gt;"",MAX($A$8:$A380)=0),1,IF(AND($E381&lt;&gt;"",MAX($A$8:$A380)&gt;0),MAX($A$8:$A380)+1,"")))</f>
        <v/>
      </c>
      <c r="B381" s="11">
        <v>374</v>
      </c>
      <c r="C381" s="19" t="str">
        <f t="shared" si="10"/>
        <v>EMPTY</v>
      </c>
      <c r="D381" s="3" t="str">
        <f>IF(C381="SHOW",CONCATENATE(Temp!G377,Temp!H377,",",Temp!I377,",",Temp!J377,Temp!K377),"")</f>
        <v/>
      </c>
      <c r="E381" s="7"/>
      <c r="F381" s="8" t="str">
        <f t="shared" si="11"/>
        <v/>
      </c>
    </row>
    <row r="382" spans="1:6" x14ac:dyDescent="0.25">
      <c r="A382" s="13" t="str">
        <f>IF(AND($E382="",MAX($A$8:$A381)=0),"",IF(AND($E382&lt;&gt;"",MAX($A$8:$A381)=0),1,IF(AND($E382&lt;&gt;"",MAX($A$8:$A381)&gt;0),MAX($A$8:$A381)+1,"")))</f>
        <v/>
      </c>
      <c r="B382" s="11">
        <v>375</v>
      </c>
      <c r="C382" s="19" t="str">
        <f t="shared" si="10"/>
        <v>EMPTY</v>
      </c>
      <c r="D382" s="3" t="str">
        <f>IF(C382="SHOW",CONCATENATE(Temp!G378,Temp!H378,",",Temp!I378,",",Temp!J378,Temp!K378),"")</f>
        <v/>
      </c>
      <c r="E382" s="7"/>
      <c r="F382" s="8" t="str">
        <f t="shared" si="11"/>
        <v/>
      </c>
    </row>
    <row r="383" spans="1:6" x14ac:dyDescent="0.25">
      <c r="A383" s="13" t="str">
        <f>IF(AND($E383="",MAX($A$8:$A382)=0),"",IF(AND($E383&lt;&gt;"",MAX($A$8:$A382)=0),1,IF(AND($E383&lt;&gt;"",MAX($A$8:$A382)&gt;0),MAX($A$8:$A382)+1,"")))</f>
        <v/>
      </c>
      <c r="B383" s="11">
        <v>376</v>
      </c>
      <c r="C383" s="19" t="str">
        <f t="shared" si="10"/>
        <v>EMPTY</v>
      </c>
      <c r="D383" s="3" t="str">
        <f>IF(C383="SHOW",CONCATENATE(Temp!G379,Temp!H379,",",Temp!I379,",",Temp!J379,Temp!K379),"")</f>
        <v/>
      </c>
      <c r="E383" s="7"/>
      <c r="F383" s="8" t="str">
        <f t="shared" si="11"/>
        <v/>
      </c>
    </row>
    <row r="384" spans="1:6" x14ac:dyDescent="0.25">
      <c r="A384" s="13" t="str">
        <f>IF(AND($E384="",MAX($A$8:$A383)=0),"",IF(AND($E384&lt;&gt;"",MAX($A$8:$A383)=0),1,IF(AND($E384&lt;&gt;"",MAX($A$8:$A383)&gt;0),MAX($A$8:$A383)+1,"")))</f>
        <v/>
      </c>
      <c r="B384" s="11">
        <v>377</v>
      </c>
      <c r="C384" s="19" t="str">
        <f t="shared" si="10"/>
        <v>EMPTY</v>
      </c>
      <c r="D384" s="3" t="str">
        <f>IF(C384="SHOW",CONCATENATE(Temp!G380,Temp!H380,",",Temp!I380,",",Temp!J380,Temp!K380),"")</f>
        <v/>
      </c>
      <c r="E384" s="7"/>
      <c r="F384" s="8" t="str">
        <f t="shared" si="11"/>
        <v/>
      </c>
    </row>
    <row r="385" spans="1:6" x14ac:dyDescent="0.25">
      <c r="A385" s="13" t="str">
        <f>IF(AND($E385="",MAX($A$8:$A384)=0),"",IF(AND($E385&lt;&gt;"",MAX($A$8:$A384)=0),1,IF(AND($E385&lt;&gt;"",MAX($A$8:$A384)&gt;0),MAX($A$8:$A384)+1,"")))</f>
        <v/>
      </c>
      <c r="B385" s="11">
        <v>378</v>
      </c>
      <c r="C385" s="19" t="str">
        <f t="shared" si="10"/>
        <v>EMPTY</v>
      </c>
      <c r="D385" s="3" t="str">
        <f>IF(C385="SHOW",CONCATENATE(Temp!G381,Temp!H381,",",Temp!I381,",",Temp!J381,Temp!K381),"")</f>
        <v/>
      </c>
      <c r="E385" s="7"/>
      <c r="F385" s="8" t="str">
        <f t="shared" si="11"/>
        <v/>
      </c>
    </row>
    <row r="386" spans="1:6" x14ac:dyDescent="0.25">
      <c r="A386" s="13" t="str">
        <f>IF(AND($E386="",MAX($A$8:$A385)=0),"",IF(AND($E386&lt;&gt;"",MAX($A$8:$A385)=0),1,IF(AND($E386&lt;&gt;"",MAX($A$8:$A385)&gt;0),MAX($A$8:$A385)+1,"")))</f>
        <v/>
      </c>
      <c r="B386" s="11">
        <v>379</v>
      </c>
      <c r="C386" s="19" t="str">
        <f t="shared" si="10"/>
        <v>EMPTY</v>
      </c>
      <c r="D386" s="3" t="str">
        <f>IF(C386="SHOW",CONCATENATE(Temp!G382,Temp!H382,",",Temp!I382,",",Temp!J382,Temp!K382),"")</f>
        <v/>
      </c>
      <c r="E386" s="7"/>
      <c r="F386" s="8" t="str">
        <f t="shared" si="11"/>
        <v/>
      </c>
    </row>
    <row r="387" spans="1:6" x14ac:dyDescent="0.25">
      <c r="A387" s="13" t="str">
        <f>IF(AND($E387="",MAX($A$8:$A386)=0),"",IF(AND($E387&lt;&gt;"",MAX($A$8:$A386)=0),1,IF(AND($E387&lt;&gt;"",MAX($A$8:$A386)&gt;0),MAX($A$8:$A386)+1,"")))</f>
        <v/>
      </c>
      <c r="B387" s="11">
        <v>380</v>
      </c>
      <c r="C387" s="19" t="str">
        <f t="shared" si="10"/>
        <v>EMPTY</v>
      </c>
      <c r="D387" s="3" t="str">
        <f>IF(C387="SHOW",CONCATENATE(Temp!G383,Temp!H383,",",Temp!I383,",",Temp!J383,Temp!K383),"")</f>
        <v/>
      </c>
      <c r="E387" s="7"/>
      <c r="F387" s="8" t="str">
        <f t="shared" si="11"/>
        <v/>
      </c>
    </row>
    <row r="388" spans="1:6" x14ac:dyDescent="0.25">
      <c r="A388" s="13" t="str">
        <f>IF(AND($E388="",MAX($A$8:$A387)=0),"",IF(AND($E388&lt;&gt;"",MAX($A$8:$A387)=0),1,IF(AND($E388&lt;&gt;"",MAX($A$8:$A387)&gt;0),MAX($A$8:$A387)+1,"")))</f>
        <v/>
      </c>
      <c r="B388" s="11">
        <v>381</v>
      </c>
      <c r="C388" s="19" t="str">
        <f t="shared" si="10"/>
        <v>EMPTY</v>
      </c>
      <c r="D388" s="3" t="str">
        <f>IF(C388="SHOW",CONCATENATE(Temp!G384,Temp!H384,",",Temp!I384,",",Temp!J384,Temp!K384),"")</f>
        <v/>
      </c>
      <c r="E388" s="7"/>
      <c r="F388" s="8" t="str">
        <f t="shared" si="11"/>
        <v/>
      </c>
    </row>
    <row r="389" spans="1:6" x14ac:dyDescent="0.25">
      <c r="A389" s="13" t="str">
        <f>IF(AND($E389="",MAX($A$8:$A388)=0),"",IF(AND($E389&lt;&gt;"",MAX($A$8:$A388)=0),1,IF(AND($E389&lt;&gt;"",MAX($A$8:$A388)&gt;0),MAX($A$8:$A388)+1,"")))</f>
        <v/>
      </c>
      <c r="B389" s="11">
        <v>382</v>
      </c>
      <c r="C389" s="19" t="str">
        <f t="shared" si="10"/>
        <v>EMPTY</v>
      </c>
      <c r="D389" s="3" t="str">
        <f>IF(C389="SHOW",CONCATENATE(Temp!G385,Temp!H385,",",Temp!I385,",",Temp!J385,Temp!K385),"")</f>
        <v/>
      </c>
      <c r="E389" s="7"/>
      <c r="F389" s="8" t="str">
        <f t="shared" si="11"/>
        <v/>
      </c>
    </row>
    <row r="390" spans="1:6" x14ac:dyDescent="0.25">
      <c r="A390" s="13" t="str">
        <f>IF(AND($E390="",MAX($A$8:$A389)=0),"",IF(AND($E390&lt;&gt;"",MAX($A$8:$A389)=0),1,IF(AND($E390&lt;&gt;"",MAX($A$8:$A389)&gt;0),MAX($A$8:$A389)+1,"")))</f>
        <v/>
      </c>
      <c r="B390" s="11">
        <v>383</v>
      </c>
      <c r="C390" s="19" t="str">
        <f t="shared" si="10"/>
        <v>EMPTY</v>
      </c>
      <c r="D390" s="3" t="str">
        <f>IF(C390="SHOW",CONCATENATE(Temp!G386,Temp!H386,",",Temp!I386,",",Temp!J386,Temp!K386),"")</f>
        <v/>
      </c>
      <c r="E390" s="7"/>
      <c r="F390" s="8" t="str">
        <f t="shared" si="11"/>
        <v/>
      </c>
    </row>
    <row r="391" spans="1:6" x14ac:dyDescent="0.25">
      <c r="A391" s="13" t="str">
        <f>IF(AND($E391="",MAX($A$8:$A390)=0),"",IF(AND($E391&lt;&gt;"",MAX($A$8:$A390)=0),1,IF(AND($E391&lt;&gt;"",MAX($A$8:$A390)&gt;0),MAX($A$8:$A390)+1,"")))</f>
        <v/>
      </c>
      <c r="B391" s="11">
        <v>384</v>
      </c>
      <c r="C391" s="19" t="str">
        <f t="shared" si="10"/>
        <v>EMPTY</v>
      </c>
      <c r="D391" s="3" t="str">
        <f>IF(C391="SHOW",CONCATENATE(Temp!G387,Temp!H387,",",Temp!I387,",",Temp!J387,Temp!K387),"")</f>
        <v/>
      </c>
      <c r="E391" s="7"/>
      <c r="F391" s="8" t="str">
        <f t="shared" si="11"/>
        <v/>
      </c>
    </row>
    <row r="392" spans="1:6" x14ac:dyDescent="0.25">
      <c r="A392" s="13" t="str">
        <f>IF(AND($E392="",MAX($A$8:$A391)=0),"",IF(AND($E392&lt;&gt;"",MAX($A$8:$A391)=0),1,IF(AND($E392&lt;&gt;"",MAX($A$8:$A391)&gt;0),MAX($A$8:$A391)+1,"")))</f>
        <v/>
      </c>
      <c r="B392" s="11">
        <v>385</v>
      </c>
      <c r="C392" s="19" t="str">
        <f t="shared" si="10"/>
        <v>EMPTY</v>
      </c>
      <c r="D392" s="3" t="str">
        <f>IF(C392="SHOW",CONCATENATE(Temp!G388,Temp!H388,",",Temp!I388,",",Temp!J388,Temp!K388),"")</f>
        <v/>
      </c>
      <c r="E392" s="7"/>
      <c r="F392" s="8" t="str">
        <f t="shared" si="11"/>
        <v/>
      </c>
    </row>
    <row r="393" spans="1:6" x14ac:dyDescent="0.25">
      <c r="A393" s="13" t="str">
        <f>IF(AND($E393="",MAX($A$8:$A392)=0),"",IF(AND($E393&lt;&gt;"",MAX($A$8:$A392)=0),1,IF(AND($E393&lt;&gt;"",MAX($A$8:$A392)&gt;0),MAX($A$8:$A392)+1,"")))</f>
        <v/>
      </c>
      <c r="B393" s="11">
        <v>386</v>
      </c>
      <c r="C393" s="19" t="str">
        <f t="shared" ref="C393:C456" si="12">IF(E393="","EMPTY",IF(MID(E393,1,9)&lt;&gt;"Dialogue:","HIDE",IF(MID(E393,1,9)="Dialogue:","SHOW","")))</f>
        <v>EMPTY</v>
      </c>
      <c r="D393" s="3" t="str">
        <f>IF(C393="SHOW",CONCATENATE(Temp!G389,Temp!H389,",",Temp!I389,",",Temp!J389,Temp!K389),"")</f>
        <v/>
      </c>
      <c r="E393" s="7"/>
      <c r="F393" s="8" t="str">
        <f t="shared" ref="F393:F456" si="13">$D393</f>
        <v/>
      </c>
    </row>
    <row r="394" spans="1:6" x14ac:dyDescent="0.25">
      <c r="A394" s="13" t="str">
        <f>IF(AND($E394="",MAX($A$8:$A393)=0),"",IF(AND($E394&lt;&gt;"",MAX($A$8:$A393)=0),1,IF(AND($E394&lt;&gt;"",MAX($A$8:$A393)&gt;0),MAX($A$8:$A393)+1,"")))</f>
        <v/>
      </c>
      <c r="B394" s="11">
        <v>387</v>
      </c>
      <c r="C394" s="19" t="str">
        <f t="shared" si="12"/>
        <v>EMPTY</v>
      </c>
      <c r="D394" s="3" t="str">
        <f>IF(C394="SHOW",CONCATENATE(Temp!G390,Temp!H390,",",Temp!I390,",",Temp!J390,Temp!K390),"")</f>
        <v/>
      </c>
      <c r="E394" s="7"/>
      <c r="F394" s="8" t="str">
        <f t="shared" si="13"/>
        <v/>
      </c>
    </row>
    <row r="395" spans="1:6" x14ac:dyDescent="0.25">
      <c r="A395" s="13" t="str">
        <f>IF(AND($E395="",MAX($A$8:$A394)=0),"",IF(AND($E395&lt;&gt;"",MAX($A$8:$A394)=0),1,IF(AND($E395&lt;&gt;"",MAX($A$8:$A394)&gt;0),MAX($A$8:$A394)+1,"")))</f>
        <v/>
      </c>
      <c r="B395" s="11">
        <v>388</v>
      </c>
      <c r="C395" s="19" t="str">
        <f t="shared" si="12"/>
        <v>EMPTY</v>
      </c>
      <c r="D395" s="3" t="str">
        <f>IF(C395="SHOW",CONCATENATE(Temp!G391,Temp!H391,",",Temp!I391,",",Temp!J391,Temp!K391),"")</f>
        <v/>
      </c>
      <c r="E395" s="7"/>
      <c r="F395" s="8" t="str">
        <f t="shared" si="13"/>
        <v/>
      </c>
    </row>
    <row r="396" spans="1:6" x14ac:dyDescent="0.25">
      <c r="A396" s="13" t="str">
        <f>IF(AND($E396="",MAX($A$8:$A395)=0),"",IF(AND($E396&lt;&gt;"",MAX($A$8:$A395)=0),1,IF(AND($E396&lt;&gt;"",MAX($A$8:$A395)&gt;0),MAX($A$8:$A395)+1,"")))</f>
        <v/>
      </c>
      <c r="B396" s="11">
        <v>389</v>
      </c>
      <c r="C396" s="19" t="str">
        <f t="shared" si="12"/>
        <v>EMPTY</v>
      </c>
      <c r="D396" s="3" t="str">
        <f>IF(C396="SHOW",CONCATENATE(Temp!G392,Temp!H392,",",Temp!I392,",",Temp!J392,Temp!K392),"")</f>
        <v/>
      </c>
      <c r="E396" s="7"/>
      <c r="F396" s="8" t="str">
        <f t="shared" si="13"/>
        <v/>
      </c>
    </row>
    <row r="397" spans="1:6" x14ac:dyDescent="0.25">
      <c r="A397" s="13" t="str">
        <f>IF(AND($E397="",MAX($A$8:$A396)=0),"",IF(AND($E397&lt;&gt;"",MAX($A$8:$A396)=0),1,IF(AND($E397&lt;&gt;"",MAX($A$8:$A396)&gt;0),MAX($A$8:$A396)+1,"")))</f>
        <v/>
      </c>
      <c r="B397" s="11">
        <v>390</v>
      </c>
      <c r="C397" s="19" t="str">
        <f t="shared" si="12"/>
        <v>EMPTY</v>
      </c>
      <c r="D397" s="3" t="str">
        <f>IF(C397="SHOW",CONCATENATE(Temp!G393,Temp!H393,",",Temp!I393,",",Temp!J393,Temp!K393),"")</f>
        <v/>
      </c>
      <c r="E397" s="7"/>
      <c r="F397" s="8" t="str">
        <f t="shared" si="13"/>
        <v/>
      </c>
    </row>
    <row r="398" spans="1:6" x14ac:dyDescent="0.25">
      <c r="A398" s="13" t="str">
        <f>IF(AND($E398="",MAX($A$8:$A397)=0),"",IF(AND($E398&lt;&gt;"",MAX($A$8:$A397)=0),1,IF(AND($E398&lt;&gt;"",MAX($A$8:$A397)&gt;0),MAX($A$8:$A397)+1,"")))</f>
        <v/>
      </c>
      <c r="B398" s="11">
        <v>391</v>
      </c>
      <c r="C398" s="19" t="str">
        <f t="shared" si="12"/>
        <v>EMPTY</v>
      </c>
      <c r="D398" s="3" t="str">
        <f>IF(C398="SHOW",CONCATENATE(Temp!G394,Temp!H394,",",Temp!I394,",",Temp!J394,Temp!K394),"")</f>
        <v/>
      </c>
      <c r="E398" s="7"/>
      <c r="F398" s="8" t="str">
        <f t="shared" si="13"/>
        <v/>
      </c>
    </row>
    <row r="399" spans="1:6" x14ac:dyDescent="0.25">
      <c r="A399" s="13" t="str">
        <f>IF(AND($E399="",MAX($A$8:$A398)=0),"",IF(AND($E399&lt;&gt;"",MAX($A$8:$A398)=0),1,IF(AND($E399&lt;&gt;"",MAX($A$8:$A398)&gt;0),MAX($A$8:$A398)+1,"")))</f>
        <v/>
      </c>
      <c r="B399" s="11">
        <v>392</v>
      </c>
      <c r="C399" s="19" t="str">
        <f t="shared" si="12"/>
        <v>EMPTY</v>
      </c>
      <c r="D399" s="3" t="str">
        <f>IF(C399="SHOW",CONCATENATE(Temp!G395,Temp!H395,",",Temp!I395,",",Temp!J395,Temp!K395),"")</f>
        <v/>
      </c>
      <c r="E399" s="7"/>
      <c r="F399" s="8" t="str">
        <f t="shared" si="13"/>
        <v/>
      </c>
    </row>
    <row r="400" spans="1:6" x14ac:dyDescent="0.25">
      <c r="A400" s="13" t="str">
        <f>IF(AND($E400="",MAX($A$8:$A399)=0),"",IF(AND($E400&lt;&gt;"",MAX($A$8:$A399)=0),1,IF(AND($E400&lt;&gt;"",MAX($A$8:$A399)&gt;0),MAX($A$8:$A399)+1,"")))</f>
        <v/>
      </c>
      <c r="B400" s="11">
        <v>393</v>
      </c>
      <c r="C400" s="19" t="str">
        <f t="shared" si="12"/>
        <v>EMPTY</v>
      </c>
      <c r="D400" s="3" t="str">
        <f>IF(C400="SHOW",CONCATENATE(Temp!G396,Temp!H396,",",Temp!I396,",",Temp!J396,Temp!K396),"")</f>
        <v/>
      </c>
      <c r="E400" s="7"/>
      <c r="F400" s="8" t="str">
        <f t="shared" si="13"/>
        <v/>
      </c>
    </row>
    <row r="401" spans="1:6" x14ac:dyDescent="0.25">
      <c r="A401" s="13" t="str">
        <f>IF(AND($E401="",MAX($A$8:$A400)=0),"",IF(AND($E401&lt;&gt;"",MAX($A$8:$A400)=0),1,IF(AND($E401&lt;&gt;"",MAX($A$8:$A400)&gt;0),MAX($A$8:$A400)+1,"")))</f>
        <v/>
      </c>
      <c r="B401" s="11">
        <v>394</v>
      </c>
      <c r="C401" s="19" t="str">
        <f t="shared" si="12"/>
        <v>EMPTY</v>
      </c>
      <c r="D401" s="3" t="str">
        <f>IF(C401="SHOW",CONCATENATE(Temp!G397,Temp!H397,",",Temp!I397,",",Temp!J397,Temp!K397),"")</f>
        <v/>
      </c>
      <c r="E401" s="7"/>
      <c r="F401" s="8" t="str">
        <f t="shared" si="13"/>
        <v/>
      </c>
    </row>
    <row r="402" spans="1:6" x14ac:dyDescent="0.25">
      <c r="A402" s="13" t="str">
        <f>IF(AND($E402="",MAX($A$8:$A401)=0),"",IF(AND($E402&lt;&gt;"",MAX($A$8:$A401)=0),1,IF(AND($E402&lt;&gt;"",MAX($A$8:$A401)&gt;0),MAX($A$8:$A401)+1,"")))</f>
        <v/>
      </c>
      <c r="B402" s="11">
        <v>395</v>
      </c>
      <c r="C402" s="19" t="str">
        <f t="shared" si="12"/>
        <v>EMPTY</v>
      </c>
      <c r="D402" s="3" t="str">
        <f>IF(C402="SHOW",CONCATENATE(Temp!G398,Temp!H398,",",Temp!I398,",",Temp!J398,Temp!K398),"")</f>
        <v/>
      </c>
      <c r="E402" s="7"/>
      <c r="F402" s="8" t="str">
        <f t="shared" si="13"/>
        <v/>
      </c>
    </row>
    <row r="403" spans="1:6" x14ac:dyDescent="0.25">
      <c r="A403" s="13" t="str">
        <f>IF(AND($E403="",MAX($A$8:$A402)=0),"",IF(AND($E403&lt;&gt;"",MAX($A$8:$A402)=0),1,IF(AND($E403&lt;&gt;"",MAX($A$8:$A402)&gt;0),MAX($A$8:$A402)+1,"")))</f>
        <v/>
      </c>
      <c r="B403" s="11">
        <v>396</v>
      </c>
      <c r="C403" s="19" t="str">
        <f t="shared" si="12"/>
        <v>EMPTY</v>
      </c>
      <c r="D403" s="3" t="str">
        <f>IF(C403="SHOW",CONCATENATE(Temp!G399,Temp!H399,",",Temp!I399,",",Temp!J399,Temp!K399),"")</f>
        <v/>
      </c>
      <c r="E403" s="7"/>
      <c r="F403" s="8" t="str">
        <f t="shared" si="13"/>
        <v/>
      </c>
    </row>
    <row r="404" spans="1:6" x14ac:dyDescent="0.25">
      <c r="A404" s="13" t="str">
        <f>IF(AND($E404="",MAX($A$8:$A403)=0),"",IF(AND($E404&lt;&gt;"",MAX($A$8:$A403)=0),1,IF(AND($E404&lt;&gt;"",MAX($A$8:$A403)&gt;0),MAX($A$8:$A403)+1,"")))</f>
        <v/>
      </c>
      <c r="B404" s="11">
        <v>397</v>
      </c>
      <c r="C404" s="19" t="str">
        <f t="shared" si="12"/>
        <v>EMPTY</v>
      </c>
      <c r="D404" s="3" t="str">
        <f>IF(C404="SHOW",CONCATENATE(Temp!G400,Temp!H400,",",Temp!I400,",",Temp!J400,Temp!K400),"")</f>
        <v/>
      </c>
      <c r="E404" s="7"/>
      <c r="F404" s="8" t="str">
        <f t="shared" si="13"/>
        <v/>
      </c>
    </row>
    <row r="405" spans="1:6" x14ac:dyDescent="0.25">
      <c r="A405" s="13" t="str">
        <f>IF(AND($E405="",MAX($A$8:$A404)=0),"",IF(AND($E405&lt;&gt;"",MAX($A$8:$A404)=0),1,IF(AND($E405&lt;&gt;"",MAX($A$8:$A404)&gt;0),MAX($A$8:$A404)+1,"")))</f>
        <v/>
      </c>
      <c r="B405" s="11">
        <v>398</v>
      </c>
      <c r="C405" s="19" t="str">
        <f t="shared" si="12"/>
        <v>EMPTY</v>
      </c>
      <c r="D405" s="3" t="str">
        <f>IF(C405="SHOW",CONCATENATE(Temp!G401,Temp!H401,",",Temp!I401,",",Temp!J401,Temp!K401),"")</f>
        <v/>
      </c>
      <c r="E405" s="7"/>
      <c r="F405" s="8" t="str">
        <f t="shared" si="13"/>
        <v/>
      </c>
    </row>
    <row r="406" spans="1:6" x14ac:dyDescent="0.25">
      <c r="A406" s="13" t="str">
        <f>IF(AND($E406="",MAX($A$8:$A405)=0),"",IF(AND($E406&lt;&gt;"",MAX($A$8:$A405)=0),1,IF(AND($E406&lt;&gt;"",MAX($A$8:$A405)&gt;0),MAX($A$8:$A405)+1,"")))</f>
        <v/>
      </c>
      <c r="B406" s="11">
        <v>399</v>
      </c>
      <c r="C406" s="19" t="str">
        <f t="shared" si="12"/>
        <v>EMPTY</v>
      </c>
      <c r="D406" s="3" t="str">
        <f>IF(C406="SHOW",CONCATENATE(Temp!G402,Temp!H402,",",Temp!I402,",",Temp!J402,Temp!K402),"")</f>
        <v/>
      </c>
      <c r="E406" s="7"/>
      <c r="F406" s="8" t="str">
        <f t="shared" si="13"/>
        <v/>
      </c>
    </row>
    <row r="407" spans="1:6" x14ac:dyDescent="0.25">
      <c r="A407" s="13" t="str">
        <f>IF(AND($E407="",MAX($A$8:$A406)=0),"",IF(AND($E407&lt;&gt;"",MAX($A$8:$A406)=0),1,IF(AND($E407&lt;&gt;"",MAX($A$8:$A406)&gt;0),MAX($A$8:$A406)+1,"")))</f>
        <v/>
      </c>
      <c r="B407" s="11">
        <v>400</v>
      </c>
      <c r="C407" s="19" t="str">
        <f t="shared" si="12"/>
        <v>EMPTY</v>
      </c>
      <c r="D407" s="3" t="str">
        <f>IF(C407="SHOW",CONCATENATE(Temp!G403,Temp!H403,",",Temp!I403,",",Temp!J403,Temp!K403),"")</f>
        <v/>
      </c>
      <c r="E407" s="7"/>
      <c r="F407" s="8" t="str">
        <f t="shared" si="13"/>
        <v/>
      </c>
    </row>
    <row r="408" spans="1:6" x14ac:dyDescent="0.25">
      <c r="A408" s="13" t="str">
        <f>IF(AND($E408="",MAX($A$8:$A407)=0),"",IF(AND($E408&lt;&gt;"",MAX($A$8:$A407)=0),1,IF(AND($E408&lt;&gt;"",MAX($A$8:$A407)&gt;0),MAX($A$8:$A407)+1,"")))</f>
        <v/>
      </c>
      <c r="B408" s="11">
        <v>401</v>
      </c>
      <c r="C408" s="19" t="str">
        <f t="shared" si="12"/>
        <v>EMPTY</v>
      </c>
      <c r="D408" s="3" t="str">
        <f>IF(C408="SHOW",CONCATENATE(Temp!G404,Temp!H404,",",Temp!I404,",",Temp!J404,Temp!K404),"")</f>
        <v/>
      </c>
      <c r="E408" s="7"/>
      <c r="F408" s="8" t="str">
        <f t="shared" si="13"/>
        <v/>
      </c>
    </row>
    <row r="409" spans="1:6" x14ac:dyDescent="0.25">
      <c r="A409" s="13" t="str">
        <f>IF(AND($E409="",MAX($A$8:$A408)=0),"",IF(AND($E409&lt;&gt;"",MAX($A$8:$A408)=0),1,IF(AND($E409&lt;&gt;"",MAX($A$8:$A408)&gt;0),MAX($A$8:$A408)+1,"")))</f>
        <v/>
      </c>
      <c r="B409" s="11">
        <v>402</v>
      </c>
      <c r="C409" s="19" t="str">
        <f t="shared" si="12"/>
        <v>EMPTY</v>
      </c>
      <c r="D409" s="3" t="str">
        <f>IF(C409="SHOW",CONCATENATE(Temp!G405,Temp!H405,",",Temp!I405,",",Temp!J405,Temp!K405),"")</f>
        <v/>
      </c>
      <c r="E409" s="7"/>
      <c r="F409" s="8" t="str">
        <f t="shared" si="13"/>
        <v/>
      </c>
    </row>
    <row r="410" spans="1:6" x14ac:dyDescent="0.25">
      <c r="A410" s="13" t="str">
        <f>IF(AND($E410="",MAX($A$8:$A409)=0),"",IF(AND($E410&lt;&gt;"",MAX($A$8:$A409)=0),1,IF(AND($E410&lt;&gt;"",MAX($A$8:$A409)&gt;0),MAX($A$8:$A409)+1,"")))</f>
        <v/>
      </c>
      <c r="B410" s="11">
        <v>403</v>
      </c>
      <c r="C410" s="19" t="str">
        <f t="shared" si="12"/>
        <v>EMPTY</v>
      </c>
      <c r="D410" s="3" t="str">
        <f>IF(C410="SHOW",CONCATENATE(Temp!G406,Temp!H406,",",Temp!I406,",",Temp!J406,Temp!K406),"")</f>
        <v/>
      </c>
      <c r="E410" s="7"/>
      <c r="F410" s="8" t="str">
        <f t="shared" si="13"/>
        <v/>
      </c>
    </row>
    <row r="411" spans="1:6" x14ac:dyDescent="0.25">
      <c r="A411" s="13" t="str">
        <f>IF(AND($E411="",MAX($A$8:$A410)=0),"",IF(AND($E411&lt;&gt;"",MAX($A$8:$A410)=0),1,IF(AND($E411&lt;&gt;"",MAX($A$8:$A410)&gt;0),MAX($A$8:$A410)+1,"")))</f>
        <v/>
      </c>
      <c r="B411" s="11">
        <v>404</v>
      </c>
      <c r="C411" s="19" t="str">
        <f t="shared" si="12"/>
        <v>EMPTY</v>
      </c>
      <c r="D411" s="3" t="str">
        <f>IF(C411="SHOW",CONCATENATE(Temp!G407,Temp!H407,",",Temp!I407,",",Temp!J407,Temp!K407),"")</f>
        <v/>
      </c>
      <c r="E411" s="7"/>
      <c r="F411" s="8" t="str">
        <f t="shared" si="13"/>
        <v/>
      </c>
    </row>
    <row r="412" spans="1:6" x14ac:dyDescent="0.25">
      <c r="A412" s="13" t="str">
        <f>IF(AND($E412="",MAX($A$8:$A411)=0),"",IF(AND($E412&lt;&gt;"",MAX($A$8:$A411)=0),1,IF(AND($E412&lt;&gt;"",MAX($A$8:$A411)&gt;0),MAX($A$8:$A411)+1,"")))</f>
        <v/>
      </c>
      <c r="B412" s="11">
        <v>405</v>
      </c>
      <c r="C412" s="19" t="str">
        <f t="shared" si="12"/>
        <v>EMPTY</v>
      </c>
      <c r="D412" s="3" t="str">
        <f>IF(C412="SHOW",CONCATENATE(Temp!G408,Temp!H408,",",Temp!I408,",",Temp!J408,Temp!K408),"")</f>
        <v/>
      </c>
      <c r="E412" s="7"/>
      <c r="F412" s="8" t="str">
        <f t="shared" si="13"/>
        <v/>
      </c>
    </row>
    <row r="413" spans="1:6" x14ac:dyDescent="0.25">
      <c r="A413" s="13" t="str">
        <f>IF(AND($E413="",MAX($A$8:$A412)=0),"",IF(AND($E413&lt;&gt;"",MAX($A$8:$A412)=0),1,IF(AND($E413&lt;&gt;"",MAX($A$8:$A412)&gt;0),MAX($A$8:$A412)+1,"")))</f>
        <v/>
      </c>
      <c r="B413" s="11">
        <v>406</v>
      </c>
      <c r="C413" s="19" t="str">
        <f t="shared" si="12"/>
        <v>EMPTY</v>
      </c>
      <c r="D413" s="3" t="str">
        <f>IF(C413="SHOW",CONCATENATE(Temp!G409,Temp!H409,",",Temp!I409,",",Temp!J409,Temp!K409),"")</f>
        <v/>
      </c>
      <c r="E413" s="7"/>
      <c r="F413" s="8" t="str">
        <f t="shared" si="13"/>
        <v/>
      </c>
    </row>
    <row r="414" spans="1:6" x14ac:dyDescent="0.25">
      <c r="A414" s="13" t="str">
        <f>IF(AND($E414="",MAX($A$8:$A413)=0),"",IF(AND($E414&lt;&gt;"",MAX($A$8:$A413)=0),1,IF(AND($E414&lt;&gt;"",MAX($A$8:$A413)&gt;0),MAX($A$8:$A413)+1,"")))</f>
        <v/>
      </c>
      <c r="B414" s="11">
        <v>407</v>
      </c>
      <c r="C414" s="19" t="str">
        <f t="shared" si="12"/>
        <v>EMPTY</v>
      </c>
      <c r="D414" s="3" t="str">
        <f>IF(C414="SHOW",CONCATENATE(Temp!G410,Temp!H410,",",Temp!I410,",",Temp!J410,Temp!K410),"")</f>
        <v/>
      </c>
      <c r="E414" s="7"/>
      <c r="F414" s="8" t="str">
        <f t="shared" si="13"/>
        <v/>
      </c>
    </row>
    <row r="415" spans="1:6" x14ac:dyDescent="0.25">
      <c r="A415" s="13" t="str">
        <f>IF(AND($E415="",MAX($A$8:$A414)=0),"",IF(AND($E415&lt;&gt;"",MAX($A$8:$A414)=0),1,IF(AND($E415&lt;&gt;"",MAX($A$8:$A414)&gt;0),MAX($A$8:$A414)+1,"")))</f>
        <v/>
      </c>
      <c r="B415" s="11">
        <v>408</v>
      </c>
      <c r="C415" s="19" t="str">
        <f t="shared" si="12"/>
        <v>EMPTY</v>
      </c>
      <c r="D415" s="3" t="str">
        <f>IF(C415="SHOW",CONCATENATE(Temp!G411,Temp!H411,",",Temp!I411,",",Temp!J411,Temp!K411),"")</f>
        <v/>
      </c>
      <c r="E415" s="7"/>
      <c r="F415" s="8" t="str">
        <f t="shared" si="13"/>
        <v/>
      </c>
    </row>
    <row r="416" spans="1:6" x14ac:dyDescent="0.25">
      <c r="A416" s="13" t="str">
        <f>IF(AND($E416="",MAX($A$8:$A415)=0),"",IF(AND($E416&lt;&gt;"",MAX($A$8:$A415)=0),1,IF(AND($E416&lt;&gt;"",MAX($A$8:$A415)&gt;0),MAX($A$8:$A415)+1,"")))</f>
        <v/>
      </c>
      <c r="B416" s="11">
        <v>409</v>
      </c>
      <c r="C416" s="19" t="str">
        <f t="shared" si="12"/>
        <v>EMPTY</v>
      </c>
      <c r="D416" s="3" t="str">
        <f>IF(C416="SHOW",CONCATENATE(Temp!G412,Temp!H412,",",Temp!I412,",",Temp!J412,Temp!K412),"")</f>
        <v/>
      </c>
      <c r="E416" s="7"/>
      <c r="F416" s="8" t="str">
        <f t="shared" si="13"/>
        <v/>
      </c>
    </row>
    <row r="417" spans="1:6" x14ac:dyDescent="0.25">
      <c r="A417" s="13" t="str">
        <f>IF(AND($E417="",MAX($A$8:$A416)=0),"",IF(AND($E417&lt;&gt;"",MAX($A$8:$A416)=0),1,IF(AND($E417&lt;&gt;"",MAX($A$8:$A416)&gt;0),MAX($A$8:$A416)+1,"")))</f>
        <v/>
      </c>
      <c r="B417" s="11">
        <v>410</v>
      </c>
      <c r="C417" s="19" t="str">
        <f t="shared" si="12"/>
        <v>EMPTY</v>
      </c>
      <c r="D417" s="3" t="str">
        <f>IF(C417="SHOW",CONCATENATE(Temp!G413,Temp!H413,",",Temp!I413,",",Temp!J413,Temp!K413),"")</f>
        <v/>
      </c>
      <c r="E417" s="7"/>
      <c r="F417" s="8" t="str">
        <f t="shared" si="13"/>
        <v/>
      </c>
    </row>
    <row r="418" spans="1:6" x14ac:dyDescent="0.25">
      <c r="A418" s="13" t="str">
        <f>IF(AND($E418="",MAX($A$8:$A417)=0),"",IF(AND($E418&lt;&gt;"",MAX($A$8:$A417)=0),1,IF(AND($E418&lt;&gt;"",MAX($A$8:$A417)&gt;0),MAX($A$8:$A417)+1,"")))</f>
        <v/>
      </c>
      <c r="B418" s="11">
        <v>411</v>
      </c>
      <c r="C418" s="19" t="str">
        <f t="shared" si="12"/>
        <v>EMPTY</v>
      </c>
      <c r="D418" s="3" t="str">
        <f>IF(C418="SHOW",CONCATENATE(Temp!G414,Temp!H414,",",Temp!I414,",",Temp!J414,Temp!K414),"")</f>
        <v/>
      </c>
      <c r="E418" s="7"/>
      <c r="F418" s="8" t="str">
        <f t="shared" si="13"/>
        <v/>
      </c>
    </row>
    <row r="419" spans="1:6" x14ac:dyDescent="0.25">
      <c r="A419" s="13" t="str">
        <f>IF(AND($E419="",MAX($A$8:$A418)=0),"",IF(AND($E419&lt;&gt;"",MAX($A$8:$A418)=0),1,IF(AND($E419&lt;&gt;"",MAX($A$8:$A418)&gt;0),MAX($A$8:$A418)+1,"")))</f>
        <v/>
      </c>
      <c r="B419" s="11">
        <v>412</v>
      </c>
      <c r="C419" s="19" t="str">
        <f t="shared" si="12"/>
        <v>EMPTY</v>
      </c>
      <c r="D419" s="3" t="str">
        <f>IF(C419="SHOW",CONCATENATE(Temp!G415,Temp!H415,",",Temp!I415,",",Temp!J415,Temp!K415),"")</f>
        <v/>
      </c>
      <c r="E419" s="7"/>
      <c r="F419" s="8" t="str">
        <f t="shared" si="13"/>
        <v/>
      </c>
    </row>
    <row r="420" spans="1:6" x14ac:dyDescent="0.25">
      <c r="A420" s="13" t="str">
        <f>IF(AND($E420="",MAX($A$8:$A419)=0),"",IF(AND($E420&lt;&gt;"",MAX($A$8:$A419)=0),1,IF(AND($E420&lt;&gt;"",MAX($A$8:$A419)&gt;0),MAX($A$8:$A419)+1,"")))</f>
        <v/>
      </c>
      <c r="B420" s="11">
        <v>413</v>
      </c>
      <c r="C420" s="19" t="str">
        <f t="shared" si="12"/>
        <v>EMPTY</v>
      </c>
      <c r="D420" s="3" t="str">
        <f>IF(C420="SHOW",CONCATENATE(Temp!G416,Temp!H416,",",Temp!I416,",",Temp!J416,Temp!K416),"")</f>
        <v/>
      </c>
      <c r="E420" s="7"/>
      <c r="F420" s="8" t="str">
        <f t="shared" si="13"/>
        <v/>
      </c>
    </row>
    <row r="421" spans="1:6" x14ac:dyDescent="0.25">
      <c r="A421" s="13" t="str">
        <f>IF(AND($E421="",MAX($A$8:$A420)=0),"",IF(AND($E421&lt;&gt;"",MAX($A$8:$A420)=0),1,IF(AND($E421&lt;&gt;"",MAX($A$8:$A420)&gt;0),MAX($A$8:$A420)+1,"")))</f>
        <v/>
      </c>
      <c r="B421" s="11">
        <v>414</v>
      </c>
      <c r="C421" s="19" t="str">
        <f t="shared" si="12"/>
        <v>EMPTY</v>
      </c>
      <c r="D421" s="3" t="str">
        <f>IF(C421="SHOW",CONCATENATE(Temp!G417,Temp!H417,",",Temp!I417,",",Temp!J417,Temp!K417),"")</f>
        <v/>
      </c>
      <c r="E421" s="7"/>
      <c r="F421" s="8" t="str">
        <f t="shared" si="13"/>
        <v/>
      </c>
    </row>
    <row r="422" spans="1:6" x14ac:dyDescent="0.25">
      <c r="A422" s="13" t="str">
        <f>IF(AND($E422="",MAX($A$8:$A421)=0),"",IF(AND($E422&lt;&gt;"",MAX($A$8:$A421)=0),1,IF(AND($E422&lt;&gt;"",MAX($A$8:$A421)&gt;0),MAX($A$8:$A421)+1,"")))</f>
        <v/>
      </c>
      <c r="B422" s="11">
        <v>415</v>
      </c>
      <c r="C422" s="19" t="str">
        <f t="shared" si="12"/>
        <v>EMPTY</v>
      </c>
      <c r="D422" s="3" t="str">
        <f>IF(C422="SHOW",CONCATENATE(Temp!G418,Temp!H418,",",Temp!I418,",",Temp!J418,Temp!K418),"")</f>
        <v/>
      </c>
      <c r="E422" s="7"/>
      <c r="F422" s="8" t="str">
        <f t="shared" si="13"/>
        <v/>
      </c>
    </row>
    <row r="423" spans="1:6" x14ac:dyDescent="0.25">
      <c r="A423" s="13" t="str">
        <f>IF(AND($E423="",MAX($A$8:$A422)=0),"",IF(AND($E423&lt;&gt;"",MAX($A$8:$A422)=0),1,IF(AND($E423&lt;&gt;"",MAX($A$8:$A422)&gt;0),MAX($A$8:$A422)+1,"")))</f>
        <v/>
      </c>
      <c r="B423" s="11">
        <v>416</v>
      </c>
      <c r="C423" s="19" t="str">
        <f t="shared" si="12"/>
        <v>EMPTY</v>
      </c>
      <c r="D423" s="3" t="str">
        <f>IF(C423="SHOW",CONCATENATE(Temp!G419,Temp!H419,",",Temp!I419,",",Temp!J419,Temp!K419),"")</f>
        <v/>
      </c>
      <c r="E423" s="7"/>
      <c r="F423" s="8" t="str">
        <f t="shared" si="13"/>
        <v/>
      </c>
    </row>
    <row r="424" spans="1:6" x14ac:dyDescent="0.25">
      <c r="A424" s="13" t="str">
        <f>IF(AND($E424="",MAX($A$8:$A423)=0),"",IF(AND($E424&lt;&gt;"",MAX($A$8:$A423)=0),1,IF(AND($E424&lt;&gt;"",MAX($A$8:$A423)&gt;0),MAX($A$8:$A423)+1,"")))</f>
        <v/>
      </c>
      <c r="B424" s="11">
        <v>417</v>
      </c>
      <c r="C424" s="19" t="str">
        <f t="shared" si="12"/>
        <v>EMPTY</v>
      </c>
      <c r="D424" s="3" t="str">
        <f>IF(C424="SHOW",CONCATENATE(Temp!G420,Temp!H420,",",Temp!I420,",",Temp!J420,Temp!K420),"")</f>
        <v/>
      </c>
      <c r="E424" s="7"/>
      <c r="F424" s="8" t="str">
        <f t="shared" si="13"/>
        <v/>
      </c>
    </row>
    <row r="425" spans="1:6" x14ac:dyDescent="0.25">
      <c r="A425" s="13" t="str">
        <f>IF(AND($E425="",MAX($A$8:$A424)=0),"",IF(AND($E425&lt;&gt;"",MAX($A$8:$A424)=0),1,IF(AND($E425&lt;&gt;"",MAX($A$8:$A424)&gt;0),MAX($A$8:$A424)+1,"")))</f>
        <v/>
      </c>
      <c r="B425" s="11">
        <v>418</v>
      </c>
      <c r="C425" s="19" t="str">
        <f t="shared" si="12"/>
        <v>EMPTY</v>
      </c>
      <c r="D425" s="3" t="str">
        <f>IF(C425="SHOW",CONCATENATE(Temp!G421,Temp!H421,",",Temp!I421,",",Temp!J421,Temp!K421),"")</f>
        <v/>
      </c>
      <c r="E425" s="7"/>
      <c r="F425" s="8" t="str">
        <f t="shared" si="13"/>
        <v/>
      </c>
    </row>
    <row r="426" spans="1:6" x14ac:dyDescent="0.25">
      <c r="A426" s="13" t="str">
        <f>IF(AND($E426="",MAX($A$8:$A425)=0),"",IF(AND($E426&lt;&gt;"",MAX($A$8:$A425)=0),1,IF(AND($E426&lt;&gt;"",MAX($A$8:$A425)&gt;0),MAX($A$8:$A425)+1,"")))</f>
        <v/>
      </c>
      <c r="B426" s="11">
        <v>419</v>
      </c>
      <c r="C426" s="19" t="str">
        <f t="shared" si="12"/>
        <v>EMPTY</v>
      </c>
      <c r="D426" s="3" t="str">
        <f>IF(C426="SHOW",CONCATENATE(Temp!G422,Temp!H422,",",Temp!I422,",",Temp!J422,Temp!K422),"")</f>
        <v/>
      </c>
      <c r="E426" s="7"/>
      <c r="F426" s="8" t="str">
        <f t="shared" si="13"/>
        <v/>
      </c>
    </row>
    <row r="427" spans="1:6" x14ac:dyDescent="0.25">
      <c r="A427" s="13" t="str">
        <f>IF(AND($E427="",MAX($A$8:$A426)=0),"",IF(AND($E427&lt;&gt;"",MAX($A$8:$A426)=0),1,IF(AND($E427&lt;&gt;"",MAX($A$8:$A426)&gt;0),MAX($A$8:$A426)+1,"")))</f>
        <v/>
      </c>
      <c r="B427" s="11">
        <v>420</v>
      </c>
      <c r="C427" s="19" t="str">
        <f t="shared" si="12"/>
        <v>EMPTY</v>
      </c>
      <c r="D427" s="3" t="str">
        <f>IF(C427="SHOW",CONCATENATE(Temp!G423,Temp!H423,",",Temp!I423,",",Temp!J423,Temp!K423),"")</f>
        <v/>
      </c>
      <c r="E427" s="7"/>
      <c r="F427" s="8" t="str">
        <f t="shared" si="13"/>
        <v/>
      </c>
    </row>
    <row r="428" spans="1:6" x14ac:dyDescent="0.25">
      <c r="A428" s="13" t="str">
        <f>IF(AND($E428="",MAX($A$8:$A427)=0),"",IF(AND($E428&lt;&gt;"",MAX($A$8:$A427)=0),1,IF(AND($E428&lt;&gt;"",MAX($A$8:$A427)&gt;0),MAX($A$8:$A427)+1,"")))</f>
        <v/>
      </c>
      <c r="B428" s="11">
        <v>421</v>
      </c>
      <c r="C428" s="19" t="str">
        <f t="shared" si="12"/>
        <v>EMPTY</v>
      </c>
      <c r="D428" s="3" t="str">
        <f>IF(C428="SHOW",CONCATENATE(Temp!G424,Temp!H424,",",Temp!I424,",",Temp!J424,Temp!K424),"")</f>
        <v/>
      </c>
      <c r="E428" s="7"/>
      <c r="F428" s="8" t="str">
        <f t="shared" si="13"/>
        <v/>
      </c>
    </row>
    <row r="429" spans="1:6" x14ac:dyDescent="0.25">
      <c r="A429" s="13" t="str">
        <f>IF(AND($E429="",MAX($A$8:$A428)=0),"",IF(AND($E429&lt;&gt;"",MAX($A$8:$A428)=0),1,IF(AND($E429&lt;&gt;"",MAX($A$8:$A428)&gt;0),MAX($A$8:$A428)+1,"")))</f>
        <v/>
      </c>
      <c r="B429" s="11">
        <v>422</v>
      </c>
      <c r="C429" s="19" t="str">
        <f t="shared" si="12"/>
        <v>EMPTY</v>
      </c>
      <c r="D429" s="3" t="str">
        <f>IF(C429="SHOW",CONCATENATE(Temp!G425,Temp!H425,",",Temp!I425,",",Temp!J425,Temp!K425),"")</f>
        <v/>
      </c>
      <c r="E429" s="7"/>
      <c r="F429" s="8" t="str">
        <f t="shared" si="13"/>
        <v/>
      </c>
    </row>
    <row r="430" spans="1:6" x14ac:dyDescent="0.25">
      <c r="A430" s="13" t="str">
        <f>IF(AND($E430="",MAX($A$8:$A429)=0),"",IF(AND($E430&lt;&gt;"",MAX($A$8:$A429)=0),1,IF(AND($E430&lt;&gt;"",MAX($A$8:$A429)&gt;0),MAX($A$8:$A429)+1,"")))</f>
        <v/>
      </c>
      <c r="B430" s="11">
        <v>423</v>
      </c>
      <c r="C430" s="19" t="str">
        <f t="shared" si="12"/>
        <v>EMPTY</v>
      </c>
      <c r="D430" s="3" t="str">
        <f>IF(C430="SHOW",CONCATENATE(Temp!G426,Temp!H426,",",Temp!I426,",",Temp!J426,Temp!K426),"")</f>
        <v/>
      </c>
      <c r="E430" s="7"/>
      <c r="F430" s="8" t="str">
        <f t="shared" si="13"/>
        <v/>
      </c>
    </row>
    <row r="431" spans="1:6" x14ac:dyDescent="0.25">
      <c r="A431" s="13" t="str">
        <f>IF(AND($E431="",MAX($A$8:$A430)=0),"",IF(AND($E431&lt;&gt;"",MAX($A$8:$A430)=0),1,IF(AND($E431&lt;&gt;"",MAX($A$8:$A430)&gt;0),MAX($A$8:$A430)+1,"")))</f>
        <v/>
      </c>
      <c r="B431" s="11">
        <v>424</v>
      </c>
      <c r="C431" s="19" t="str">
        <f t="shared" si="12"/>
        <v>EMPTY</v>
      </c>
      <c r="D431" s="3" t="str">
        <f>IF(C431="SHOW",CONCATENATE(Temp!G427,Temp!H427,",",Temp!I427,",",Temp!J427,Temp!K427),"")</f>
        <v/>
      </c>
      <c r="E431" s="7"/>
      <c r="F431" s="8" t="str">
        <f t="shared" si="13"/>
        <v/>
      </c>
    </row>
    <row r="432" spans="1:6" x14ac:dyDescent="0.25">
      <c r="A432" s="13" t="str">
        <f>IF(AND($E432="",MAX($A$8:$A431)=0),"",IF(AND($E432&lt;&gt;"",MAX($A$8:$A431)=0),1,IF(AND($E432&lt;&gt;"",MAX($A$8:$A431)&gt;0),MAX($A$8:$A431)+1,"")))</f>
        <v/>
      </c>
      <c r="B432" s="11">
        <v>425</v>
      </c>
      <c r="C432" s="19" t="str">
        <f t="shared" si="12"/>
        <v>EMPTY</v>
      </c>
      <c r="D432" s="3" t="str">
        <f>IF(C432="SHOW",CONCATENATE(Temp!G428,Temp!H428,",",Temp!I428,",",Temp!J428,Temp!K428),"")</f>
        <v/>
      </c>
      <c r="E432" s="7"/>
      <c r="F432" s="8" t="str">
        <f t="shared" si="13"/>
        <v/>
      </c>
    </row>
    <row r="433" spans="1:6" x14ac:dyDescent="0.25">
      <c r="A433" s="13" t="str">
        <f>IF(AND($E433="",MAX($A$8:$A432)=0),"",IF(AND($E433&lt;&gt;"",MAX($A$8:$A432)=0),1,IF(AND($E433&lt;&gt;"",MAX($A$8:$A432)&gt;0),MAX($A$8:$A432)+1,"")))</f>
        <v/>
      </c>
      <c r="B433" s="11">
        <v>426</v>
      </c>
      <c r="C433" s="19" t="str">
        <f t="shared" si="12"/>
        <v>EMPTY</v>
      </c>
      <c r="D433" s="3" t="str">
        <f>IF(C433="SHOW",CONCATENATE(Temp!G429,Temp!H429,",",Temp!I429,",",Temp!J429,Temp!K429),"")</f>
        <v/>
      </c>
      <c r="E433" s="7"/>
      <c r="F433" s="8" t="str">
        <f t="shared" si="13"/>
        <v/>
      </c>
    </row>
    <row r="434" spans="1:6" x14ac:dyDescent="0.25">
      <c r="A434" s="13" t="str">
        <f>IF(AND($E434="",MAX($A$8:$A433)=0),"",IF(AND($E434&lt;&gt;"",MAX($A$8:$A433)=0),1,IF(AND($E434&lt;&gt;"",MAX($A$8:$A433)&gt;0),MAX($A$8:$A433)+1,"")))</f>
        <v/>
      </c>
      <c r="B434" s="11">
        <v>427</v>
      </c>
      <c r="C434" s="19" t="str">
        <f t="shared" si="12"/>
        <v>EMPTY</v>
      </c>
      <c r="D434" s="3" t="str">
        <f>IF(C434="SHOW",CONCATENATE(Temp!G430,Temp!H430,",",Temp!I430,",",Temp!J430,Temp!K430),"")</f>
        <v/>
      </c>
      <c r="E434" s="7"/>
      <c r="F434" s="8" t="str">
        <f t="shared" si="13"/>
        <v/>
      </c>
    </row>
    <row r="435" spans="1:6" x14ac:dyDescent="0.25">
      <c r="A435" s="13" t="str">
        <f>IF(AND($E435="",MAX($A$8:$A434)=0),"",IF(AND($E435&lt;&gt;"",MAX($A$8:$A434)=0),1,IF(AND($E435&lt;&gt;"",MAX($A$8:$A434)&gt;0),MAX($A$8:$A434)+1,"")))</f>
        <v/>
      </c>
      <c r="B435" s="11">
        <v>428</v>
      </c>
      <c r="C435" s="19" t="str">
        <f t="shared" si="12"/>
        <v>EMPTY</v>
      </c>
      <c r="D435" s="3" t="str">
        <f>IF(C435="SHOW",CONCATENATE(Temp!G431,Temp!H431,",",Temp!I431,",",Temp!J431,Temp!K431),"")</f>
        <v/>
      </c>
      <c r="E435" s="7"/>
      <c r="F435" s="8" t="str">
        <f t="shared" si="13"/>
        <v/>
      </c>
    </row>
    <row r="436" spans="1:6" x14ac:dyDescent="0.25">
      <c r="A436" s="13" t="str">
        <f>IF(AND($E436="",MAX($A$8:$A435)=0),"",IF(AND($E436&lt;&gt;"",MAX($A$8:$A435)=0),1,IF(AND($E436&lt;&gt;"",MAX($A$8:$A435)&gt;0),MAX($A$8:$A435)+1,"")))</f>
        <v/>
      </c>
      <c r="B436" s="11">
        <v>429</v>
      </c>
      <c r="C436" s="19" t="str">
        <f t="shared" si="12"/>
        <v>EMPTY</v>
      </c>
      <c r="D436" s="3" t="str">
        <f>IF(C436="SHOW",CONCATENATE(Temp!G432,Temp!H432,",",Temp!I432,",",Temp!J432,Temp!K432),"")</f>
        <v/>
      </c>
      <c r="E436" s="7"/>
      <c r="F436" s="8" t="str">
        <f t="shared" si="13"/>
        <v/>
      </c>
    </row>
    <row r="437" spans="1:6" x14ac:dyDescent="0.25">
      <c r="A437" s="13" t="str">
        <f>IF(AND($E437="",MAX($A$8:$A436)=0),"",IF(AND($E437&lt;&gt;"",MAX($A$8:$A436)=0),1,IF(AND($E437&lt;&gt;"",MAX($A$8:$A436)&gt;0),MAX($A$8:$A436)+1,"")))</f>
        <v/>
      </c>
      <c r="B437" s="11">
        <v>430</v>
      </c>
      <c r="C437" s="19" t="str">
        <f t="shared" si="12"/>
        <v>EMPTY</v>
      </c>
      <c r="D437" s="3" t="str">
        <f>IF(C437="SHOW",CONCATENATE(Temp!G433,Temp!H433,",",Temp!I433,",",Temp!J433,Temp!K433),"")</f>
        <v/>
      </c>
      <c r="E437" s="7"/>
      <c r="F437" s="8" t="str">
        <f t="shared" si="13"/>
        <v/>
      </c>
    </row>
    <row r="438" spans="1:6" x14ac:dyDescent="0.25">
      <c r="A438" s="13" t="str">
        <f>IF(AND($E438="",MAX($A$8:$A437)=0),"",IF(AND($E438&lt;&gt;"",MAX($A$8:$A437)=0),1,IF(AND($E438&lt;&gt;"",MAX($A$8:$A437)&gt;0),MAX($A$8:$A437)+1,"")))</f>
        <v/>
      </c>
      <c r="B438" s="11">
        <v>431</v>
      </c>
      <c r="C438" s="19" t="str">
        <f t="shared" si="12"/>
        <v>EMPTY</v>
      </c>
      <c r="D438" s="3" t="str">
        <f>IF(C438="SHOW",CONCATENATE(Temp!G434,Temp!H434,",",Temp!I434,",",Temp!J434,Temp!K434),"")</f>
        <v/>
      </c>
      <c r="E438" s="7"/>
      <c r="F438" s="8" t="str">
        <f t="shared" si="13"/>
        <v/>
      </c>
    </row>
    <row r="439" spans="1:6" x14ac:dyDescent="0.25">
      <c r="A439" s="13" t="str">
        <f>IF(AND($E439="",MAX($A$8:$A438)=0),"",IF(AND($E439&lt;&gt;"",MAX($A$8:$A438)=0),1,IF(AND($E439&lt;&gt;"",MAX($A$8:$A438)&gt;0),MAX($A$8:$A438)+1,"")))</f>
        <v/>
      </c>
      <c r="B439" s="11">
        <v>432</v>
      </c>
      <c r="C439" s="19" t="str">
        <f t="shared" si="12"/>
        <v>EMPTY</v>
      </c>
      <c r="D439" s="3" t="str">
        <f>IF(C439="SHOW",CONCATENATE(Temp!G435,Temp!H435,",",Temp!I435,",",Temp!J435,Temp!K435),"")</f>
        <v/>
      </c>
      <c r="E439" s="7"/>
      <c r="F439" s="8" t="str">
        <f t="shared" si="13"/>
        <v/>
      </c>
    </row>
    <row r="440" spans="1:6" x14ac:dyDescent="0.25">
      <c r="A440" s="13" t="str">
        <f>IF(AND($E440="",MAX($A$8:$A439)=0),"",IF(AND($E440&lt;&gt;"",MAX($A$8:$A439)=0),1,IF(AND($E440&lt;&gt;"",MAX($A$8:$A439)&gt;0),MAX($A$8:$A439)+1,"")))</f>
        <v/>
      </c>
      <c r="B440" s="11">
        <v>433</v>
      </c>
      <c r="C440" s="19" t="str">
        <f t="shared" si="12"/>
        <v>EMPTY</v>
      </c>
      <c r="D440" s="3" t="str">
        <f>IF(C440="SHOW",CONCATENATE(Temp!G436,Temp!H436,",",Temp!I436,",",Temp!J436,Temp!K436),"")</f>
        <v/>
      </c>
      <c r="E440" s="7"/>
      <c r="F440" s="8" t="str">
        <f t="shared" si="13"/>
        <v/>
      </c>
    </row>
    <row r="441" spans="1:6" x14ac:dyDescent="0.25">
      <c r="A441" s="13" t="str">
        <f>IF(AND($E441="",MAX($A$8:$A440)=0),"",IF(AND($E441&lt;&gt;"",MAX($A$8:$A440)=0),1,IF(AND($E441&lt;&gt;"",MAX($A$8:$A440)&gt;0),MAX($A$8:$A440)+1,"")))</f>
        <v/>
      </c>
      <c r="B441" s="11">
        <v>434</v>
      </c>
      <c r="C441" s="19" t="str">
        <f t="shared" si="12"/>
        <v>EMPTY</v>
      </c>
      <c r="D441" s="3" t="str">
        <f>IF(C441="SHOW",CONCATENATE(Temp!G437,Temp!H437,",",Temp!I437,",",Temp!J437,Temp!K437),"")</f>
        <v/>
      </c>
      <c r="E441" s="7"/>
      <c r="F441" s="8" t="str">
        <f t="shared" si="13"/>
        <v/>
      </c>
    </row>
    <row r="442" spans="1:6" x14ac:dyDescent="0.25">
      <c r="A442" s="13" t="str">
        <f>IF(AND($E442="",MAX($A$8:$A441)=0),"",IF(AND($E442&lt;&gt;"",MAX($A$8:$A441)=0),1,IF(AND($E442&lt;&gt;"",MAX($A$8:$A441)&gt;0),MAX($A$8:$A441)+1,"")))</f>
        <v/>
      </c>
      <c r="B442" s="11">
        <v>435</v>
      </c>
      <c r="C442" s="19" t="str">
        <f t="shared" si="12"/>
        <v>EMPTY</v>
      </c>
      <c r="D442" s="3" t="str">
        <f>IF(C442="SHOW",CONCATENATE(Temp!G438,Temp!H438,",",Temp!I438,",",Temp!J438,Temp!K438),"")</f>
        <v/>
      </c>
      <c r="E442" s="7"/>
      <c r="F442" s="8" t="str">
        <f t="shared" si="13"/>
        <v/>
      </c>
    </row>
    <row r="443" spans="1:6" x14ac:dyDescent="0.25">
      <c r="A443" s="13" t="str">
        <f>IF(AND($E443="",MAX($A$8:$A442)=0),"",IF(AND($E443&lt;&gt;"",MAX($A$8:$A442)=0),1,IF(AND($E443&lt;&gt;"",MAX($A$8:$A442)&gt;0),MAX($A$8:$A442)+1,"")))</f>
        <v/>
      </c>
      <c r="B443" s="11">
        <v>436</v>
      </c>
      <c r="C443" s="19" t="str">
        <f t="shared" si="12"/>
        <v>EMPTY</v>
      </c>
      <c r="D443" s="3" t="str">
        <f>IF(C443="SHOW",CONCATENATE(Temp!G439,Temp!H439,",",Temp!I439,",",Temp!J439,Temp!K439),"")</f>
        <v/>
      </c>
      <c r="E443" s="7"/>
      <c r="F443" s="8" t="str">
        <f t="shared" si="13"/>
        <v/>
      </c>
    </row>
    <row r="444" spans="1:6" x14ac:dyDescent="0.25">
      <c r="A444" s="13" t="str">
        <f>IF(AND($E444="",MAX($A$8:$A443)=0),"",IF(AND($E444&lt;&gt;"",MAX($A$8:$A443)=0),1,IF(AND($E444&lt;&gt;"",MAX($A$8:$A443)&gt;0),MAX($A$8:$A443)+1,"")))</f>
        <v/>
      </c>
      <c r="B444" s="11">
        <v>437</v>
      </c>
      <c r="C444" s="19" t="str">
        <f t="shared" si="12"/>
        <v>EMPTY</v>
      </c>
      <c r="D444" s="3" t="str">
        <f>IF(C444="SHOW",CONCATENATE(Temp!G440,Temp!H440,",",Temp!I440,",",Temp!J440,Temp!K440),"")</f>
        <v/>
      </c>
      <c r="E444" s="7"/>
      <c r="F444" s="8" t="str">
        <f t="shared" si="13"/>
        <v/>
      </c>
    </row>
    <row r="445" spans="1:6" x14ac:dyDescent="0.25">
      <c r="A445" s="13" t="str">
        <f>IF(AND($E445="",MAX($A$8:$A444)=0),"",IF(AND($E445&lt;&gt;"",MAX($A$8:$A444)=0),1,IF(AND($E445&lt;&gt;"",MAX($A$8:$A444)&gt;0),MAX($A$8:$A444)+1,"")))</f>
        <v/>
      </c>
      <c r="B445" s="11">
        <v>438</v>
      </c>
      <c r="C445" s="19" t="str">
        <f t="shared" si="12"/>
        <v>EMPTY</v>
      </c>
      <c r="D445" s="3" t="str">
        <f>IF(C445="SHOW",CONCATENATE(Temp!G441,Temp!H441,",",Temp!I441,",",Temp!J441,Temp!K441),"")</f>
        <v/>
      </c>
      <c r="E445" s="7"/>
      <c r="F445" s="8" t="str">
        <f t="shared" si="13"/>
        <v/>
      </c>
    </row>
    <row r="446" spans="1:6" x14ac:dyDescent="0.25">
      <c r="A446" s="13" t="str">
        <f>IF(AND($E446="",MAX($A$8:$A445)=0),"",IF(AND($E446&lt;&gt;"",MAX($A$8:$A445)=0),1,IF(AND($E446&lt;&gt;"",MAX($A$8:$A445)&gt;0),MAX($A$8:$A445)+1,"")))</f>
        <v/>
      </c>
      <c r="B446" s="11">
        <v>439</v>
      </c>
      <c r="C446" s="19" t="str">
        <f t="shared" si="12"/>
        <v>EMPTY</v>
      </c>
      <c r="D446" s="3" t="str">
        <f>IF(C446="SHOW",CONCATENATE(Temp!G442,Temp!H442,",",Temp!I442,",",Temp!J442,Temp!K442),"")</f>
        <v/>
      </c>
      <c r="E446" s="7"/>
      <c r="F446" s="8" t="str">
        <f t="shared" si="13"/>
        <v/>
      </c>
    </row>
    <row r="447" spans="1:6" x14ac:dyDescent="0.25">
      <c r="A447" s="13" t="str">
        <f>IF(AND($E447="",MAX($A$8:$A446)=0),"",IF(AND($E447&lt;&gt;"",MAX($A$8:$A446)=0),1,IF(AND($E447&lt;&gt;"",MAX($A$8:$A446)&gt;0),MAX($A$8:$A446)+1,"")))</f>
        <v/>
      </c>
      <c r="B447" s="11">
        <v>440</v>
      </c>
      <c r="C447" s="19" t="str">
        <f t="shared" si="12"/>
        <v>EMPTY</v>
      </c>
      <c r="D447" s="3" t="str">
        <f>IF(C447="SHOW",CONCATENATE(Temp!G443,Temp!H443,",",Temp!I443,",",Temp!J443,Temp!K443),"")</f>
        <v/>
      </c>
      <c r="E447" s="7"/>
      <c r="F447" s="8" t="str">
        <f t="shared" si="13"/>
        <v/>
      </c>
    </row>
    <row r="448" spans="1:6" x14ac:dyDescent="0.25">
      <c r="A448" s="13" t="str">
        <f>IF(AND($E448="",MAX($A$8:$A447)=0),"",IF(AND($E448&lt;&gt;"",MAX($A$8:$A447)=0),1,IF(AND($E448&lt;&gt;"",MAX($A$8:$A447)&gt;0),MAX($A$8:$A447)+1,"")))</f>
        <v/>
      </c>
      <c r="B448" s="11">
        <v>441</v>
      </c>
      <c r="C448" s="19" t="str">
        <f t="shared" si="12"/>
        <v>EMPTY</v>
      </c>
      <c r="D448" s="3" t="str">
        <f>IF(C448="SHOW",CONCATENATE(Temp!G444,Temp!H444,",",Temp!I444,",",Temp!J444,Temp!K444),"")</f>
        <v/>
      </c>
      <c r="E448" s="7"/>
      <c r="F448" s="8" t="str">
        <f t="shared" si="13"/>
        <v/>
      </c>
    </row>
    <row r="449" spans="1:6" x14ac:dyDescent="0.25">
      <c r="A449" s="13" t="str">
        <f>IF(AND($E449="",MAX($A$8:$A448)=0),"",IF(AND($E449&lt;&gt;"",MAX($A$8:$A448)=0),1,IF(AND($E449&lt;&gt;"",MAX($A$8:$A448)&gt;0),MAX($A$8:$A448)+1,"")))</f>
        <v/>
      </c>
      <c r="B449" s="11">
        <v>442</v>
      </c>
      <c r="C449" s="19" t="str">
        <f t="shared" si="12"/>
        <v>EMPTY</v>
      </c>
      <c r="D449" s="3" t="str">
        <f>IF(C449="SHOW",CONCATENATE(Temp!G445,Temp!H445,",",Temp!I445,",",Temp!J445,Temp!K445),"")</f>
        <v/>
      </c>
      <c r="E449" s="7"/>
      <c r="F449" s="8" t="str">
        <f t="shared" si="13"/>
        <v/>
      </c>
    </row>
    <row r="450" spans="1:6" x14ac:dyDescent="0.25">
      <c r="A450" s="13" t="str">
        <f>IF(AND($E450="",MAX($A$8:$A449)=0),"",IF(AND($E450&lt;&gt;"",MAX($A$8:$A449)=0),1,IF(AND($E450&lt;&gt;"",MAX($A$8:$A449)&gt;0),MAX($A$8:$A449)+1,"")))</f>
        <v/>
      </c>
      <c r="B450" s="11">
        <v>443</v>
      </c>
      <c r="C450" s="19" t="str">
        <f t="shared" si="12"/>
        <v>EMPTY</v>
      </c>
      <c r="D450" s="3" t="str">
        <f>IF(C450="SHOW",CONCATENATE(Temp!G446,Temp!H446,",",Temp!I446,",",Temp!J446,Temp!K446),"")</f>
        <v/>
      </c>
      <c r="E450" s="7"/>
      <c r="F450" s="8" t="str">
        <f t="shared" si="13"/>
        <v/>
      </c>
    </row>
    <row r="451" spans="1:6" x14ac:dyDescent="0.25">
      <c r="A451" s="13" t="str">
        <f>IF(AND($E451="",MAX($A$8:$A450)=0),"",IF(AND($E451&lt;&gt;"",MAX($A$8:$A450)=0),1,IF(AND($E451&lt;&gt;"",MAX($A$8:$A450)&gt;0),MAX($A$8:$A450)+1,"")))</f>
        <v/>
      </c>
      <c r="B451" s="11">
        <v>444</v>
      </c>
      <c r="C451" s="19" t="str">
        <f t="shared" si="12"/>
        <v>EMPTY</v>
      </c>
      <c r="D451" s="3" t="str">
        <f>IF(C451="SHOW",CONCATENATE(Temp!G447,Temp!H447,",",Temp!I447,",",Temp!J447,Temp!K447),"")</f>
        <v/>
      </c>
      <c r="E451" s="7"/>
      <c r="F451" s="8" t="str">
        <f t="shared" si="13"/>
        <v/>
      </c>
    </row>
    <row r="452" spans="1:6" x14ac:dyDescent="0.25">
      <c r="A452" s="13" t="str">
        <f>IF(AND($E452="",MAX($A$8:$A451)=0),"",IF(AND($E452&lt;&gt;"",MAX($A$8:$A451)=0),1,IF(AND($E452&lt;&gt;"",MAX($A$8:$A451)&gt;0),MAX($A$8:$A451)+1,"")))</f>
        <v/>
      </c>
      <c r="B452" s="11">
        <v>445</v>
      </c>
      <c r="C452" s="19" t="str">
        <f t="shared" si="12"/>
        <v>EMPTY</v>
      </c>
      <c r="D452" s="3" t="str">
        <f>IF(C452="SHOW",CONCATENATE(Temp!G448,Temp!H448,",",Temp!I448,",",Temp!J448,Temp!K448),"")</f>
        <v/>
      </c>
      <c r="E452" s="7"/>
      <c r="F452" s="8" t="str">
        <f t="shared" si="13"/>
        <v/>
      </c>
    </row>
    <row r="453" spans="1:6" x14ac:dyDescent="0.25">
      <c r="A453" s="13" t="str">
        <f>IF(AND($E453="",MAX($A$8:$A452)=0),"",IF(AND($E453&lt;&gt;"",MAX($A$8:$A452)=0),1,IF(AND($E453&lt;&gt;"",MAX($A$8:$A452)&gt;0),MAX($A$8:$A452)+1,"")))</f>
        <v/>
      </c>
      <c r="B453" s="11">
        <v>446</v>
      </c>
      <c r="C453" s="19" t="str">
        <f t="shared" si="12"/>
        <v>EMPTY</v>
      </c>
      <c r="D453" s="3" t="str">
        <f>IF(C453="SHOW",CONCATENATE(Temp!G449,Temp!H449,",",Temp!I449,",",Temp!J449,Temp!K449),"")</f>
        <v/>
      </c>
      <c r="E453" s="7"/>
      <c r="F453" s="8" t="str">
        <f t="shared" si="13"/>
        <v/>
      </c>
    </row>
    <row r="454" spans="1:6" x14ac:dyDescent="0.25">
      <c r="A454" s="13" t="str">
        <f>IF(AND($E454="",MAX($A$8:$A453)=0),"",IF(AND($E454&lt;&gt;"",MAX($A$8:$A453)=0),1,IF(AND($E454&lt;&gt;"",MAX($A$8:$A453)&gt;0),MAX($A$8:$A453)+1,"")))</f>
        <v/>
      </c>
      <c r="B454" s="11">
        <v>447</v>
      </c>
      <c r="C454" s="19" t="str">
        <f t="shared" si="12"/>
        <v>EMPTY</v>
      </c>
      <c r="D454" s="3" t="str">
        <f>IF(C454="SHOW",CONCATENATE(Temp!G450,Temp!H450,",",Temp!I450,",",Temp!J450,Temp!K450),"")</f>
        <v/>
      </c>
      <c r="E454" s="7"/>
      <c r="F454" s="8" t="str">
        <f t="shared" si="13"/>
        <v/>
      </c>
    </row>
    <row r="455" spans="1:6" x14ac:dyDescent="0.25">
      <c r="A455" s="13" t="str">
        <f>IF(AND($E455="",MAX($A$8:$A454)=0),"",IF(AND($E455&lt;&gt;"",MAX($A$8:$A454)=0),1,IF(AND($E455&lt;&gt;"",MAX($A$8:$A454)&gt;0),MAX($A$8:$A454)+1,"")))</f>
        <v/>
      </c>
      <c r="B455" s="11">
        <v>448</v>
      </c>
      <c r="C455" s="19" t="str">
        <f t="shared" si="12"/>
        <v>EMPTY</v>
      </c>
      <c r="D455" s="3" t="str">
        <f>IF(C455="SHOW",CONCATENATE(Temp!G451,Temp!H451,",",Temp!I451,",",Temp!J451,Temp!K451),"")</f>
        <v/>
      </c>
      <c r="E455" s="7"/>
      <c r="F455" s="8" t="str">
        <f t="shared" si="13"/>
        <v/>
      </c>
    </row>
    <row r="456" spans="1:6" x14ac:dyDescent="0.25">
      <c r="A456" s="13" t="str">
        <f>IF(AND($E456="",MAX($A$8:$A455)=0),"",IF(AND($E456&lt;&gt;"",MAX($A$8:$A455)=0),1,IF(AND($E456&lt;&gt;"",MAX($A$8:$A455)&gt;0),MAX($A$8:$A455)+1,"")))</f>
        <v/>
      </c>
      <c r="B456" s="11">
        <v>449</v>
      </c>
      <c r="C456" s="19" t="str">
        <f t="shared" si="12"/>
        <v>EMPTY</v>
      </c>
      <c r="D456" s="3" t="str">
        <f>IF(C456="SHOW",CONCATENATE(Temp!G452,Temp!H452,",",Temp!I452,",",Temp!J452,Temp!K452),"")</f>
        <v/>
      </c>
      <c r="E456" s="7"/>
      <c r="F456" s="8" t="str">
        <f t="shared" si="13"/>
        <v/>
      </c>
    </row>
    <row r="457" spans="1:6" x14ac:dyDescent="0.25">
      <c r="A457" s="13" t="str">
        <f>IF(AND($E457="",MAX($A$8:$A456)=0),"",IF(AND($E457&lt;&gt;"",MAX($A$8:$A456)=0),1,IF(AND($E457&lt;&gt;"",MAX($A$8:$A456)&gt;0),MAX($A$8:$A456)+1,"")))</f>
        <v/>
      </c>
      <c r="B457" s="11">
        <v>450</v>
      </c>
      <c r="C457" s="19" t="str">
        <f t="shared" ref="C457:C520" si="14">IF(E457="","EMPTY",IF(MID(E457,1,9)&lt;&gt;"Dialogue:","HIDE",IF(MID(E457,1,9)="Dialogue:","SHOW","")))</f>
        <v>EMPTY</v>
      </c>
      <c r="D457" s="3" t="str">
        <f>IF(C457="SHOW",CONCATENATE(Temp!G453,Temp!H453,",",Temp!I453,",",Temp!J453,Temp!K453),"")</f>
        <v/>
      </c>
      <c r="E457" s="7"/>
      <c r="F457" s="8" t="str">
        <f t="shared" ref="F457:F520" si="15">$D457</f>
        <v/>
      </c>
    </row>
    <row r="458" spans="1:6" x14ac:dyDescent="0.25">
      <c r="A458" s="13" t="str">
        <f>IF(AND($E458="",MAX($A$8:$A457)=0),"",IF(AND($E458&lt;&gt;"",MAX($A$8:$A457)=0),1,IF(AND($E458&lt;&gt;"",MAX($A$8:$A457)&gt;0),MAX($A$8:$A457)+1,"")))</f>
        <v/>
      </c>
      <c r="B458" s="11">
        <v>451</v>
      </c>
      <c r="C458" s="19" t="str">
        <f t="shared" si="14"/>
        <v>EMPTY</v>
      </c>
      <c r="D458" s="3" t="str">
        <f>IF(C458="SHOW",CONCATENATE(Temp!G454,Temp!H454,",",Temp!I454,",",Temp!J454,Temp!K454),"")</f>
        <v/>
      </c>
      <c r="E458" s="7"/>
      <c r="F458" s="8" t="str">
        <f t="shared" si="15"/>
        <v/>
      </c>
    </row>
    <row r="459" spans="1:6" x14ac:dyDescent="0.25">
      <c r="A459" s="13" t="str">
        <f>IF(AND($E459="",MAX($A$8:$A458)=0),"",IF(AND($E459&lt;&gt;"",MAX($A$8:$A458)=0),1,IF(AND($E459&lt;&gt;"",MAX($A$8:$A458)&gt;0),MAX($A$8:$A458)+1,"")))</f>
        <v/>
      </c>
      <c r="B459" s="11">
        <v>452</v>
      </c>
      <c r="C459" s="19" t="str">
        <f t="shared" si="14"/>
        <v>EMPTY</v>
      </c>
      <c r="D459" s="3" t="str">
        <f>IF(C459="SHOW",CONCATENATE(Temp!G455,Temp!H455,",",Temp!I455,",",Temp!J455,Temp!K455),"")</f>
        <v/>
      </c>
      <c r="E459" s="7"/>
      <c r="F459" s="8" t="str">
        <f t="shared" si="15"/>
        <v/>
      </c>
    </row>
    <row r="460" spans="1:6" x14ac:dyDescent="0.25">
      <c r="A460" s="13" t="str">
        <f>IF(AND($E460="",MAX($A$8:$A459)=0),"",IF(AND($E460&lt;&gt;"",MAX($A$8:$A459)=0),1,IF(AND($E460&lt;&gt;"",MAX($A$8:$A459)&gt;0),MAX($A$8:$A459)+1,"")))</f>
        <v/>
      </c>
      <c r="B460" s="11">
        <v>453</v>
      </c>
      <c r="C460" s="19" t="str">
        <f t="shared" si="14"/>
        <v>EMPTY</v>
      </c>
      <c r="D460" s="3" t="str">
        <f>IF(C460="SHOW",CONCATENATE(Temp!G456,Temp!H456,",",Temp!I456,",",Temp!J456,Temp!K456),"")</f>
        <v/>
      </c>
      <c r="E460" s="7"/>
      <c r="F460" s="8" t="str">
        <f t="shared" si="15"/>
        <v/>
      </c>
    </row>
    <row r="461" spans="1:6" x14ac:dyDescent="0.25">
      <c r="A461" s="13" t="str">
        <f>IF(AND($E461="",MAX($A$8:$A460)=0),"",IF(AND($E461&lt;&gt;"",MAX($A$8:$A460)=0),1,IF(AND($E461&lt;&gt;"",MAX($A$8:$A460)&gt;0),MAX($A$8:$A460)+1,"")))</f>
        <v/>
      </c>
      <c r="B461" s="11">
        <v>454</v>
      </c>
      <c r="C461" s="19" t="str">
        <f t="shared" si="14"/>
        <v>EMPTY</v>
      </c>
      <c r="D461" s="3" t="str">
        <f>IF(C461="SHOW",CONCATENATE(Temp!G457,Temp!H457,",",Temp!I457,",",Temp!J457,Temp!K457),"")</f>
        <v/>
      </c>
      <c r="E461" s="7"/>
      <c r="F461" s="8" t="str">
        <f t="shared" si="15"/>
        <v/>
      </c>
    </row>
    <row r="462" spans="1:6" x14ac:dyDescent="0.25">
      <c r="A462" s="13" t="str">
        <f>IF(AND($E462="",MAX($A$8:$A461)=0),"",IF(AND($E462&lt;&gt;"",MAX($A$8:$A461)=0),1,IF(AND($E462&lt;&gt;"",MAX($A$8:$A461)&gt;0),MAX($A$8:$A461)+1,"")))</f>
        <v/>
      </c>
      <c r="B462" s="11">
        <v>455</v>
      </c>
      <c r="C462" s="19" t="str">
        <f t="shared" si="14"/>
        <v>EMPTY</v>
      </c>
      <c r="D462" s="3" t="str">
        <f>IF(C462="SHOW",CONCATENATE(Temp!G458,Temp!H458,",",Temp!I458,",",Temp!J458,Temp!K458),"")</f>
        <v/>
      </c>
      <c r="E462" s="7"/>
      <c r="F462" s="8" t="str">
        <f t="shared" si="15"/>
        <v/>
      </c>
    </row>
    <row r="463" spans="1:6" x14ac:dyDescent="0.25">
      <c r="A463" s="13" t="str">
        <f>IF(AND($E463="",MAX($A$8:$A462)=0),"",IF(AND($E463&lt;&gt;"",MAX($A$8:$A462)=0),1,IF(AND($E463&lt;&gt;"",MAX($A$8:$A462)&gt;0),MAX($A$8:$A462)+1,"")))</f>
        <v/>
      </c>
      <c r="B463" s="11">
        <v>456</v>
      </c>
      <c r="C463" s="19" t="str">
        <f t="shared" si="14"/>
        <v>EMPTY</v>
      </c>
      <c r="D463" s="3" t="str">
        <f>IF(C463="SHOW",CONCATENATE(Temp!G459,Temp!H459,",",Temp!I459,",",Temp!J459,Temp!K459),"")</f>
        <v/>
      </c>
      <c r="E463" s="7"/>
      <c r="F463" s="8" t="str">
        <f t="shared" si="15"/>
        <v/>
      </c>
    </row>
    <row r="464" spans="1:6" x14ac:dyDescent="0.25">
      <c r="A464" s="13" t="str">
        <f>IF(AND($E464="",MAX($A$8:$A463)=0),"",IF(AND($E464&lt;&gt;"",MAX($A$8:$A463)=0),1,IF(AND($E464&lt;&gt;"",MAX($A$8:$A463)&gt;0),MAX($A$8:$A463)+1,"")))</f>
        <v/>
      </c>
      <c r="B464" s="11">
        <v>457</v>
      </c>
      <c r="C464" s="19" t="str">
        <f t="shared" si="14"/>
        <v>EMPTY</v>
      </c>
      <c r="D464" s="3" t="str">
        <f>IF(C464="SHOW",CONCATENATE(Temp!G460,Temp!H460,",",Temp!I460,",",Temp!J460,Temp!K460),"")</f>
        <v/>
      </c>
      <c r="E464" s="7"/>
      <c r="F464" s="8" t="str">
        <f t="shared" si="15"/>
        <v/>
      </c>
    </row>
    <row r="465" spans="1:6" x14ac:dyDescent="0.25">
      <c r="A465" s="13" t="str">
        <f>IF(AND($E465="",MAX($A$8:$A464)=0),"",IF(AND($E465&lt;&gt;"",MAX($A$8:$A464)=0),1,IF(AND($E465&lt;&gt;"",MAX($A$8:$A464)&gt;0),MAX($A$8:$A464)+1,"")))</f>
        <v/>
      </c>
      <c r="B465" s="11">
        <v>458</v>
      </c>
      <c r="C465" s="19" t="str">
        <f t="shared" si="14"/>
        <v>EMPTY</v>
      </c>
      <c r="D465" s="3" t="str">
        <f>IF(C465="SHOW",CONCATENATE(Temp!G461,Temp!H461,",",Temp!I461,",",Temp!J461,Temp!K461),"")</f>
        <v/>
      </c>
      <c r="E465" s="7"/>
      <c r="F465" s="8" t="str">
        <f t="shared" si="15"/>
        <v/>
      </c>
    </row>
    <row r="466" spans="1:6" x14ac:dyDescent="0.25">
      <c r="A466" s="13" t="str">
        <f>IF(AND($E466="",MAX($A$8:$A465)=0),"",IF(AND($E466&lt;&gt;"",MAX($A$8:$A465)=0),1,IF(AND($E466&lt;&gt;"",MAX($A$8:$A465)&gt;0),MAX($A$8:$A465)+1,"")))</f>
        <v/>
      </c>
      <c r="B466" s="11">
        <v>459</v>
      </c>
      <c r="C466" s="19" t="str">
        <f t="shared" si="14"/>
        <v>EMPTY</v>
      </c>
      <c r="D466" s="3" t="str">
        <f>IF(C466="SHOW",CONCATENATE(Temp!G462,Temp!H462,",",Temp!I462,",",Temp!J462,Temp!K462),"")</f>
        <v/>
      </c>
      <c r="E466" s="7"/>
      <c r="F466" s="8" t="str">
        <f t="shared" si="15"/>
        <v/>
      </c>
    </row>
    <row r="467" spans="1:6" x14ac:dyDescent="0.25">
      <c r="A467" s="13" t="str">
        <f>IF(AND($E467="",MAX($A$8:$A466)=0),"",IF(AND($E467&lt;&gt;"",MAX($A$8:$A466)=0),1,IF(AND($E467&lt;&gt;"",MAX($A$8:$A466)&gt;0),MAX($A$8:$A466)+1,"")))</f>
        <v/>
      </c>
      <c r="B467" s="11">
        <v>460</v>
      </c>
      <c r="C467" s="19" t="str">
        <f t="shared" si="14"/>
        <v>EMPTY</v>
      </c>
      <c r="D467" s="3" t="str">
        <f>IF(C467="SHOW",CONCATENATE(Temp!G463,Temp!H463,",",Temp!I463,",",Temp!J463,Temp!K463),"")</f>
        <v/>
      </c>
      <c r="E467" s="7"/>
      <c r="F467" s="8" t="str">
        <f t="shared" si="15"/>
        <v/>
      </c>
    </row>
    <row r="468" spans="1:6" x14ac:dyDescent="0.25">
      <c r="A468" s="13" t="str">
        <f>IF(AND($E468="",MAX($A$8:$A467)=0),"",IF(AND($E468&lt;&gt;"",MAX($A$8:$A467)=0),1,IF(AND($E468&lt;&gt;"",MAX($A$8:$A467)&gt;0),MAX($A$8:$A467)+1,"")))</f>
        <v/>
      </c>
      <c r="B468" s="11">
        <v>461</v>
      </c>
      <c r="C468" s="19" t="str">
        <f t="shared" si="14"/>
        <v>EMPTY</v>
      </c>
      <c r="D468" s="3" t="str">
        <f>IF(C468="SHOW",CONCATENATE(Temp!G464,Temp!H464,",",Temp!I464,",",Temp!J464,Temp!K464),"")</f>
        <v/>
      </c>
      <c r="E468" s="7"/>
      <c r="F468" s="8" t="str">
        <f t="shared" si="15"/>
        <v/>
      </c>
    </row>
    <row r="469" spans="1:6" x14ac:dyDescent="0.25">
      <c r="A469" s="13" t="str">
        <f>IF(AND($E469="",MAX($A$8:$A468)=0),"",IF(AND($E469&lt;&gt;"",MAX($A$8:$A468)=0),1,IF(AND($E469&lt;&gt;"",MAX($A$8:$A468)&gt;0),MAX($A$8:$A468)+1,"")))</f>
        <v/>
      </c>
      <c r="B469" s="11">
        <v>462</v>
      </c>
      <c r="C469" s="19" t="str">
        <f t="shared" si="14"/>
        <v>EMPTY</v>
      </c>
      <c r="D469" s="3" t="str">
        <f>IF(C469="SHOW",CONCATENATE(Temp!G465,Temp!H465,",",Temp!I465,",",Temp!J465,Temp!K465),"")</f>
        <v/>
      </c>
      <c r="E469" s="7"/>
      <c r="F469" s="8" t="str">
        <f t="shared" si="15"/>
        <v/>
      </c>
    </row>
    <row r="470" spans="1:6" x14ac:dyDescent="0.25">
      <c r="A470" s="13" t="str">
        <f>IF(AND($E470="",MAX($A$8:$A469)=0),"",IF(AND($E470&lt;&gt;"",MAX($A$8:$A469)=0),1,IF(AND($E470&lt;&gt;"",MAX($A$8:$A469)&gt;0),MAX($A$8:$A469)+1,"")))</f>
        <v/>
      </c>
      <c r="B470" s="11">
        <v>463</v>
      </c>
      <c r="C470" s="19" t="str">
        <f t="shared" si="14"/>
        <v>EMPTY</v>
      </c>
      <c r="D470" s="3" t="str">
        <f>IF(C470="SHOW",CONCATENATE(Temp!G466,Temp!H466,",",Temp!I466,",",Temp!J466,Temp!K466),"")</f>
        <v/>
      </c>
      <c r="E470" s="7"/>
      <c r="F470" s="8" t="str">
        <f t="shared" si="15"/>
        <v/>
      </c>
    </row>
    <row r="471" spans="1:6" x14ac:dyDescent="0.25">
      <c r="A471" s="13" t="str">
        <f>IF(AND($E471="",MAX($A$8:$A470)=0),"",IF(AND($E471&lt;&gt;"",MAX($A$8:$A470)=0),1,IF(AND($E471&lt;&gt;"",MAX($A$8:$A470)&gt;0),MAX($A$8:$A470)+1,"")))</f>
        <v/>
      </c>
      <c r="B471" s="11">
        <v>464</v>
      </c>
      <c r="C471" s="19" t="str">
        <f t="shared" si="14"/>
        <v>EMPTY</v>
      </c>
      <c r="D471" s="3" t="str">
        <f>IF(C471="SHOW",CONCATENATE(Temp!G467,Temp!H467,",",Temp!I467,",",Temp!J467,Temp!K467),"")</f>
        <v/>
      </c>
      <c r="E471" s="7"/>
      <c r="F471" s="8" t="str">
        <f t="shared" si="15"/>
        <v/>
      </c>
    </row>
    <row r="472" spans="1:6" x14ac:dyDescent="0.25">
      <c r="A472" s="13" t="str">
        <f>IF(AND($E472="",MAX($A$8:$A471)=0),"",IF(AND($E472&lt;&gt;"",MAX($A$8:$A471)=0),1,IF(AND($E472&lt;&gt;"",MAX($A$8:$A471)&gt;0),MAX($A$8:$A471)+1,"")))</f>
        <v/>
      </c>
      <c r="B472" s="11">
        <v>465</v>
      </c>
      <c r="C472" s="19" t="str">
        <f t="shared" si="14"/>
        <v>EMPTY</v>
      </c>
      <c r="D472" s="3" t="str">
        <f>IF(C472="SHOW",CONCATENATE(Temp!G468,Temp!H468,",",Temp!I468,",",Temp!J468,Temp!K468),"")</f>
        <v/>
      </c>
      <c r="E472" s="7"/>
      <c r="F472" s="8" t="str">
        <f t="shared" si="15"/>
        <v/>
      </c>
    </row>
    <row r="473" spans="1:6" x14ac:dyDescent="0.25">
      <c r="A473" s="13" t="str">
        <f>IF(AND($E473="",MAX($A$8:$A472)=0),"",IF(AND($E473&lt;&gt;"",MAX($A$8:$A472)=0),1,IF(AND($E473&lt;&gt;"",MAX($A$8:$A472)&gt;0),MAX($A$8:$A472)+1,"")))</f>
        <v/>
      </c>
      <c r="B473" s="11">
        <v>466</v>
      </c>
      <c r="C473" s="19" t="str">
        <f t="shared" si="14"/>
        <v>EMPTY</v>
      </c>
      <c r="D473" s="3" t="str">
        <f>IF(C473="SHOW",CONCATENATE(Temp!G469,Temp!H469,",",Temp!I469,",",Temp!J469,Temp!K469),"")</f>
        <v/>
      </c>
      <c r="E473" s="7"/>
      <c r="F473" s="8" t="str">
        <f t="shared" si="15"/>
        <v/>
      </c>
    </row>
    <row r="474" spans="1:6" x14ac:dyDescent="0.25">
      <c r="A474" s="13" t="str">
        <f>IF(AND($E474="",MAX($A$8:$A473)=0),"",IF(AND($E474&lt;&gt;"",MAX($A$8:$A473)=0),1,IF(AND($E474&lt;&gt;"",MAX($A$8:$A473)&gt;0),MAX($A$8:$A473)+1,"")))</f>
        <v/>
      </c>
      <c r="B474" s="11">
        <v>467</v>
      </c>
      <c r="C474" s="19" t="str">
        <f t="shared" si="14"/>
        <v>EMPTY</v>
      </c>
      <c r="D474" s="3" t="str">
        <f>IF(C474="SHOW",CONCATENATE(Temp!G470,Temp!H470,",",Temp!I470,",",Temp!J470,Temp!K470),"")</f>
        <v/>
      </c>
      <c r="E474" s="7"/>
      <c r="F474" s="8" t="str">
        <f t="shared" si="15"/>
        <v/>
      </c>
    </row>
    <row r="475" spans="1:6" x14ac:dyDescent="0.25">
      <c r="A475" s="13" t="str">
        <f>IF(AND($E475="",MAX($A$8:$A474)=0),"",IF(AND($E475&lt;&gt;"",MAX($A$8:$A474)=0),1,IF(AND($E475&lt;&gt;"",MAX($A$8:$A474)&gt;0),MAX($A$8:$A474)+1,"")))</f>
        <v/>
      </c>
      <c r="B475" s="11">
        <v>468</v>
      </c>
      <c r="C475" s="19" t="str">
        <f t="shared" si="14"/>
        <v>EMPTY</v>
      </c>
      <c r="D475" s="3" t="str">
        <f>IF(C475="SHOW",CONCATENATE(Temp!G471,Temp!H471,",",Temp!I471,",",Temp!J471,Temp!K471),"")</f>
        <v/>
      </c>
      <c r="E475" s="7"/>
      <c r="F475" s="8" t="str">
        <f t="shared" si="15"/>
        <v/>
      </c>
    </row>
    <row r="476" spans="1:6" x14ac:dyDescent="0.25">
      <c r="A476" s="13" t="str">
        <f>IF(AND($E476="",MAX($A$8:$A475)=0),"",IF(AND($E476&lt;&gt;"",MAX($A$8:$A475)=0),1,IF(AND($E476&lt;&gt;"",MAX($A$8:$A475)&gt;0),MAX($A$8:$A475)+1,"")))</f>
        <v/>
      </c>
      <c r="B476" s="11">
        <v>469</v>
      </c>
      <c r="C476" s="19" t="str">
        <f t="shared" si="14"/>
        <v>EMPTY</v>
      </c>
      <c r="D476" s="3" t="str">
        <f>IF(C476="SHOW",CONCATENATE(Temp!G472,Temp!H472,",",Temp!I472,",",Temp!J472,Temp!K472),"")</f>
        <v/>
      </c>
      <c r="E476" s="7"/>
      <c r="F476" s="8" t="str">
        <f t="shared" si="15"/>
        <v/>
      </c>
    </row>
    <row r="477" spans="1:6" x14ac:dyDescent="0.25">
      <c r="A477" s="13" t="str">
        <f>IF(AND($E477="",MAX($A$8:$A476)=0),"",IF(AND($E477&lt;&gt;"",MAX($A$8:$A476)=0),1,IF(AND($E477&lt;&gt;"",MAX($A$8:$A476)&gt;0),MAX($A$8:$A476)+1,"")))</f>
        <v/>
      </c>
      <c r="B477" s="11">
        <v>470</v>
      </c>
      <c r="C477" s="19" t="str">
        <f t="shared" si="14"/>
        <v>EMPTY</v>
      </c>
      <c r="D477" s="3" t="str">
        <f>IF(C477="SHOW",CONCATENATE(Temp!G473,Temp!H473,",",Temp!I473,",",Temp!J473,Temp!K473),"")</f>
        <v/>
      </c>
      <c r="E477" s="7"/>
      <c r="F477" s="8" t="str">
        <f t="shared" si="15"/>
        <v/>
      </c>
    </row>
    <row r="478" spans="1:6" x14ac:dyDescent="0.25">
      <c r="A478" s="13" t="str">
        <f>IF(AND($E478="",MAX($A$8:$A477)=0),"",IF(AND($E478&lt;&gt;"",MAX($A$8:$A477)=0),1,IF(AND($E478&lt;&gt;"",MAX($A$8:$A477)&gt;0),MAX($A$8:$A477)+1,"")))</f>
        <v/>
      </c>
      <c r="B478" s="11">
        <v>471</v>
      </c>
      <c r="C478" s="19" t="str">
        <f t="shared" si="14"/>
        <v>EMPTY</v>
      </c>
      <c r="D478" s="3" t="str">
        <f>IF(C478="SHOW",CONCATENATE(Temp!G474,Temp!H474,",",Temp!I474,",",Temp!J474,Temp!K474),"")</f>
        <v/>
      </c>
      <c r="E478" s="7"/>
      <c r="F478" s="8" t="str">
        <f t="shared" si="15"/>
        <v/>
      </c>
    </row>
    <row r="479" spans="1:6" x14ac:dyDescent="0.25">
      <c r="A479" s="13" t="str">
        <f>IF(AND($E479="",MAX($A$8:$A478)=0),"",IF(AND($E479&lt;&gt;"",MAX($A$8:$A478)=0),1,IF(AND($E479&lt;&gt;"",MAX($A$8:$A478)&gt;0),MAX($A$8:$A478)+1,"")))</f>
        <v/>
      </c>
      <c r="B479" s="11">
        <v>472</v>
      </c>
      <c r="C479" s="19" t="str">
        <f t="shared" si="14"/>
        <v>EMPTY</v>
      </c>
      <c r="D479" s="3" t="str">
        <f>IF(C479="SHOW",CONCATENATE(Temp!G475,Temp!H475,",",Temp!I475,",",Temp!J475,Temp!K475),"")</f>
        <v/>
      </c>
      <c r="E479" s="7"/>
      <c r="F479" s="8" t="str">
        <f t="shared" si="15"/>
        <v/>
      </c>
    </row>
    <row r="480" spans="1:6" x14ac:dyDescent="0.25">
      <c r="A480" s="13" t="str">
        <f>IF(AND($E480="",MAX($A$8:$A479)=0),"",IF(AND($E480&lt;&gt;"",MAX($A$8:$A479)=0),1,IF(AND($E480&lt;&gt;"",MAX($A$8:$A479)&gt;0),MAX($A$8:$A479)+1,"")))</f>
        <v/>
      </c>
      <c r="B480" s="11">
        <v>473</v>
      </c>
      <c r="C480" s="19" t="str">
        <f t="shared" si="14"/>
        <v>EMPTY</v>
      </c>
      <c r="D480" s="3" t="str">
        <f>IF(C480="SHOW",CONCATENATE(Temp!G476,Temp!H476,",",Temp!I476,",",Temp!J476,Temp!K476),"")</f>
        <v/>
      </c>
      <c r="E480" s="7"/>
      <c r="F480" s="8" t="str">
        <f t="shared" si="15"/>
        <v/>
      </c>
    </row>
    <row r="481" spans="1:6" x14ac:dyDescent="0.25">
      <c r="A481" s="13" t="str">
        <f>IF(AND($E481="",MAX($A$8:$A480)=0),"",IF(AND($E481&lt;&gt;"",MAX($A$8:$A480)=0),1,IF(AND($E481&lt;&gt;"",MAX($A$8:$A480)&gt;0),MAX($A$8:$A480)+1,"")))</f>
        <v/>
      </c>
      <c r="B481" s="11">
        <v>474</v>
      </c>
      <c r="C481" s="19" t="str">
        <f t="shared" si="14"/>
        <v>EMPTY</v>
      </c>
      <c r="D481" s="3" t="str">
        <f>IF(C481="SHOW",CONCATENATE(Temp!G477,Temp!H477,",",Temp!I477,",",Temp!J477,Temp!K477),"")</f>
        <v/>
      </c>
      <c r="E481" s="7"/>
      <c r="F481" s="8" t="str">
        <f t="shared" si="15"/>
        <v/>
      </c>
    </row>
    <row r="482" spans="1:6" x14ac:dyDescent="0.25">
      <c r="A482" s="13" t="str">
        <f>IF(AND($E482="",MAX($A$8:$A481)=0),"",IF(AND($E482&lt;&gt;"",MAX($A$8:$A481)=0),1,IF(AND($E482&lt;&gt;"",MAX($A$8:$A481)&gt;0),MAX($A$8:$A481)+1,"")))</f>
        <v/>
      </c>
      <c r="B482" s="11">
        <v>475</v>
      </c>
      <c r="C482" s="19" t="str">
        <f t="shared" si="14"/>
        <v>EMPTY</v>
      </c>
      <c r="D482" s="3" t="str">
        <f>IF(C482="SHOW",CONCATENATE(Temp!G478,Temp!H478,",",Temp!I478,",",Temp!J478,Temp!K478),"")</f>
        <v/>
      </c>
      <c r="E482" s="7"/>
      <c r="F482" s="8" t="str">
        <f t="shared" si="15"/>
        <v/>
      </c>
    </row>
    <row r="483" spans="1:6" x14ac:dyDescent="0.25">
      <c r="A483" s="13" t="str">
        <f>IF(AND($E483="",MAX($A$8:$A482)=0),"",IF(AND($E483&lt;&gt;"",MAX($A$8:$A482)=0),1,IF(AND($E483&lt;&gt;"",MAX($A$8:$A482)&gt;0),MAX($A$8:$A482)+1,"")))</f>
        <v/>
      </c>
      <c r="B483" s="11">
        <v>476</v>
      </c>
      <c r="C483" s="19" t="str">
        <f t="shared" si="14"/>
        <v>EMPTY</v>
      </c>
      <c r="D483" s="3" t="str">
        <f>IF(C483="SHOW",CONCATENATE(Temp!G479,Temp!H479,",",Temp!I479,",",Temp!J479,Temp!K479),"")</f>
        <v/>
      </c>
      <c r="E483" s="7"/>
      <c r="F483" s="8" t="str">
        <f t="shared" si="15"/>
        <v/>
      </c>
    </row>
    <row r="484" spans="1:6" x14ac:dyDescent="0.25">
      <c r="A484" s="13" t="str">
        <f>IF(AND($E484="",MAX($A$8:$A483)=0),"",IF(AND($E484&lt;&gt;"",MAX($A$8:$A483)=0),1,IF(AND($E484&lt;&gt;"",MAX($A$8:$A483)&gt;0),MAX($A$8:$A483)+1,"")))</f>
        <v/>
      </c>
      <c r="B484" s="11">
        <v>477</v>
      </c>
      <c r="C484" s="19" t="str">
        <f t="shared" si="14"/>
        <v>EMPTY</v>
      </c>
      <c r="D484" s="3" t="str">
        <f>IF(C484="SHOW",CONCATENATE(Temp!G480,Temp!H480,",",Temp!I480,",",Temp!J480,Temp!K480),"")</f>
        <v/>
      </c>
      <c r="E484" s="7"/>
      <c r="F484" s="8" t="str">
        <f t="shared" si="15"/>
        <v/>
      </c>
    </row>
    <row r="485" spans="1:6" x14ac:dyDescent="0.25">
      <c r="A485" s="13" t="str">
        <f>IF(AND($E485="",MAX($A$8:$A484)=0),"",IF(AND($E485&lt;&gt;"",MAX($A$8:$A484)=0),1,IF(AND($E485&lt;&gt;"",MAX($A$8:$A484)&gt;0),MAX($A$8:$A484)+1,"")))</f>
        <v/>
      </c>
      <c r="B485" s="11">
        <v>478</v>
      </c>
      <c r="C485" s="19" t="str">
        <f t="shared" si="14"/>
        <v>EMPTY</v>
      </c>
      <c r="D485" s="3" t="str">
        <f>IF(C485="SHOW",CONCATENATE(Temp!G481,Temp!H481,",",Temp!I481,",",Temp!J481,Temp!K481),"")</f>
        <v/>
      </c>
      <c r="E485" s="7"/>
      <c r="F485" s="8" t="str">
        <f t="shared" si="15"/>
        <v/>
      </c>
    </row>
    <row r="486" spans="1:6" x14ac:dyDescent="0.25">
      <c r="A486" s="13" t="str">
        <f>IF(AND($E486="",MAX($A$8:$A485)=0),"",IF(AND($E486&lt;&gt;"",MAX($A$8:$A485)=0),1,IF(AND($E486&lt;&gt;"",MAX($A$8:$A485)&gt;0),MAX($A$8:$A485)+1,"")))</f>
        <v/>
      </c>
      <c r="B486" s="11">
        <v>479</v>
      </c>
      <c r="C486" s="19" t="str">
        <f t="shared" si="14"/>
        <v>EMPTY</v>
      </c>
      <c r="D486" s="3" t="str">
        <f>IF(C486="SHOW",CONCATENATE(Temp!G482,Temp!H482,",",Temp!I482,",",Temp!J482,Temp!K482),"")</f>
        <v/>
      </c>
      <c r="E486" s="7"/>
      <c r="F486" s="8" t="str">
        <f t="shared" si="15"/>
        <v/>
      </c>
    </row>
    <row r="487" spans="1:6" x14ac:dyDescent="0.25">
      <c r="A487" s="13" t="str">
        <f>IF(AND($E487="",MAX($A$8:$A486)=0),"",IF(AND($E487&lt;&gt;"",MAX($A$8:$A486)=0),1,IF(AND($E487&lt;&gt;"",MAX($A$8:$A486)&gt;0),MAX($A$8:$A486)+1,"")))</f>
        <v/>
      </c>
      <c r="B487" s="11">
        <v>480</v>
      </c>
      <c r="C487" s="19" t="str">
        <f t="shared" si="14"/>
        <v>EMPTY</v>
      </c>
      <c r="D487" s="3" t="str">
        <f>IF(C487="SHOW",CONCATENATE(Temp!G483,Temp!H483,",",Temp!I483,",",Temp!J483,Temp!K483),"")</f>
        <v/>
      </c>
      <c r="E487" s="7"/>
      <c r="F487" s="8" t="str">
        <f t="shared" si="15"/>
        <v/>
      </c>
    </row>
    <row r="488" spans="1:6" x14ac:dyDescent="0.25">
      <c r="A488" s="13" t="str">
        <f>IF(AND($E488="",MAX($A$8:$A487)=0),"",IF(AND($E488&lt;&gt;"",MAX($A$8:$A487)=0),1,IF(AND($E488&lt;&gt;"",MAX($A$8:$A487)&gt;0),MAX($A$8:$A487)+1,"")))</f>
        <v/>
      </c>
      <c r="B488" s="11">
        <v>481</v>
      </c>
      <c r="C488" s="19" t="str">
        <f t="shared" si="14"/>
        <v>EMPTY</v>
      </c>
      <c r="D488" s="3" t="str">
        <f>IF(C488="SHOW",CONCATENATE(Temp!G484,Temp!H484,",",Temp!I484,",",Temp!J484,Temp!K484),"")</f>
        <v/>
      </c>
      <c r="E488" s="7"/>
      <c r="F488" s="8" t="str">
        <f t="shared" si="15"/>
        <v/>
      </c>
    </row>
    <row r="489" spans="1:6" x14ac:dyDescent="0.25">
      <c r="A489" s="13" t="str">
        <f>IF(AND($E489="",MAX($A$8:$A488)=0),"",IF(AND($E489&lt;&gt;"",MAX($A$8:$A488)=0),1,IF(AND($E489&lt;&gt;"",MAX($A$8:$A488)&gt;0),MAX($A$8:$A488)+1,"")))</f>
        <v/>
      </c>
      <c r="B489" s="11">
        <v>482</v>
      </c>
      <c r="C489" s="19" t="str">
        <f t="shared" si="14"/>
        <v>EMPTY</v>
      </c>
      <c r="D489" s="3" t="str">
        <f>IF(C489="SHOW",CONCATENATE(Temp!G485,Temp!H485,",",Temp!I485,",",Temp!J485,Temp!K485),"")</f>
        <v/>
      </c>
      <c r="E489" s="7"/>
      <c r="F489" s="8" t="str">
        <f t="shared" si="15"/>
        <v/>
      </c>
    </row>
    <row r="490" spans="1:6" x14ac:dyDescent="0.25">
      <c r="A490" s="13" t="str">
        <f>IF(AND($E490="",MAX($A$8:$A489)=0),"",IF(AND($E490&lt;&gt;"",MAX($A$8:$A489)=0),1,IF(AND($E490&lt;&gt;"",MAX($A$8:$A489)&gt;0),MAX($A$8:$A489)+1,"")))</f>
        <v/>
      </c>
      <c r="B490" s="11">
        <v>483</v>
      </c>
      <c r="C490" s="19" t="str">
        <f t="shared" si="14"/>
        <v>EMPTY</v>
      </c>
      <c r="D490" s="3" t="str">
        <f>IF(C490="SHOW",CONCATENATE(Temp!G486,Temp!H486,",",Temp!I486,",",Temp!J486,Temp!K486),"")</f>
        <v/>
      </c>
      <c r="E490" s="7"/>
      <c r="F490" s="8" t="str">
        <f t="shared" si="15"/>
        <v/>
      </c>
    </row>
    <row r="491" spans="1:6" x14ac:dyDescent="0.25">
      <c r="A491" s="13" t="str">
        <f>IF(AND($E491="",MAX($A$8:$A490)=0),"",IF(AND($E491&lt;&gt;"",MAX($A$8:$A490)=0),1,IF(AND($E491&lt;&gt;"",MAX($A$8:$A490)&gt;0),MAX($A$8:$A490)+1,"")))</f>
        <v/>
      </c>
      <c r="B491" s="11">
        <v>484</v>
      </c>
      <c r="C491" s="19" t="str">
        <f t="shared" si="14"/>
        <v>EMPTY</v>
      </c>
      <c r="D491" s="3" t="str">
        <f>IF(C491="SHOW",CONCATENATE(Temp!G487,Temp!H487,",",Temp!I487,",",Temp!J487,Temp!K487),"")</f>
        <v/>
      </c>
      <c r="E491" s="7"/>
      <c r="F491" s="8" t="str">
        <f t="shared" si="15"/>
        <v/>
      </c>
    </row>
    <row r="492" spans="1:6" x14ac:dyDescent="0.25">
      <c r="A492" s="13" t="str">
        <f>IF(AND($E492="",MAX($A$8:$A491)=0),"",IF(AND($E492&lt;&gt;"",MAX($A$8:$A491)=0),1,IF(AND($E492&lt;&gt;"",MAX($A$8:$A491)&gt;0),MAX($A$8:$A491)+1,"")))</f>
        <v/>
      </c>
      <c r="B492" s="11">
        <v>485</v>
      </c>
      <c r="C492" s="19" t="str">
        <f t="shared" si="14"/>
        <v>EMPTY</v>
      </c>
      <c r="D492" s="3" t="str">
        <f>IF(C492="SHOW",CONCATENATE(Temp!G488,Temp!H488,",",Temp!I488,",",Temp!J488,Temp!K488),"")</f>
        <v/>
      </c>
      <c r="E492" s="7"/>
      <c r="F492" s="8" t="str">
        <f t="shared" si="15"/>
        <v/>
      </c>
    </row>
    <row r="493" spans="1:6" x14ac:dyDescent="0.25">
      <c r="A493" s="13" t="str">
        <f>IF(AND($E493="",MAX($A$8:$A492)=0),"",IF(AND($E493&lt;&gt;"",MAX($A$8:$A492)=0),1,IF(AND($E493&lt;&gt;"",MAX($A$8:$A492)&gt;0),MAX($A$8:$A492)+1,"")))</f>
        <v/>
      </c>
      <c r="B493" s="11">
        <v>486</v>
      </c>
      <c r="C493" s="19" t="str">
        <f t="shared" si="14"/>
        <v>EMPTY</v>
      </c>
      <c r="D493" s="3" t="str">
        <f>IF(C493="SHOW",CONCATENATE(Temp!G489,Temp!H489,",",Temp!I489,",",Temp!J489,Temp!K489),"")</f>
        <v/>
      </c>
      <c r="E493" s="7"/>
      <c r="F493" s="8" t="str">
        <f t="shared" si="15"/>
        <v/>
      </c>
    </row>
    <row r="494" spans="1:6" x14ac:dyDescent="0.25">
      <c r="A494" s="13" t="str">
        <f>IF(AND($E494="",MAX($A$8:$A493)=0),"",IF(AND($E494&lt;&gt;"",MAX($A$8:$A493)=0),1,IF(AND($E494&lt;&gt;"",MAX($A$8:$A493)&gt;0),MAX($A$8:$A493)+1,"")))</f>
        <v/>
      </c>
      <c r="B494" s="11">
        <v>487</v>
      </c>
      <c r="C494" s="19" t="str">
        <f t="shared" si="14"/>
        <v>EMPTY</v>
      </c>
      <c r="D494" s="3" t="str">
        <f>IF(C494="SHOW",CONCATENATE(Temp!G490,Temp!H490,",",Temp!I490,",",Temp!J490,Temp!K490),"")</f>
        <v/>
      </c>
      <c r="E494" s="7"/>
      <c r="F494" s="8" t="str">
        <f t="shared" si="15"/>
        <v/>
      </c>
    </row>
    <row r="495" spans="1:6" x14ac:dyDescent="0.25">
      <c r="A495" s="13" t="str">
        <f>IF(AND($E495="",MAX($A$8:$A494)=0),"",IF(AND($E495&lt;&gt;"",MAX($A$8:$A494)=0),1,IF(AND($E495&lt;&gt;"",MAX($A$8:$A494)&gt;0),MAX($A$8:$A494)+1,"")))</f>
        <v/>
      </c>
      <c r="B495" s="11">
        <v>488</v>
      </c>
      <c r="C495" s="19" t="str">
        <f t="shared" si="14"/>
        <v>EMPTY</v>
      </c>
      <c r="D495" s="3" t="str">
        <f>IF(C495="SHOW",CONCATENATE(Temp!G491,Temp!H491,",",Temp!I491,",",Temp!J491,Temp!K491),"")</f>
        <v/>
      </c>
      <c r="E495" s="7"/>
      <c r="F495" s="8" t="str">
        <f t="shared" si="15"/>
        <v/>
      </c>
    </row>
    <row r="496" spans="1:6" x14ac:dyDescent="0.25">
      <c r="A496" s="13" t="str">
        <f>IF(AND($E496="",MAX($A$8:$A495)=0),"",IF(AND($E496&lt;&gt;"",MAX($A$8:$A495)=0),1,IF(AND($E496&lt;&gt;"",MAX($A$8:$A495)&gt;0),MAX($A$8:$A495)+1,"")))</f>
        <v/>
      </c>
      <c r="B496" s="11">
        <v>489</v>
      </c>
      <c r="C496" s="19" t="str">
        <f t="shared" si="14"/>
        <v>EMPTY</v>
      </c>
      <c r="D496" s="3" t="str">
        <f>IF(C496="SHOW",CONCATENATE(Temp!G492,Temp!H492,",",Temp!I492,",",Temp!J492,Temp!K492),"")</f>
        <v/>
      </c>
      <c r="E496" s="7"/>
      <c r="F496" s="8" t="str">
        <f t="shared" si="15"/>
        <v/>
      </c>
    </row>
    <row r="497" spans="1:6" x14ac:dyDescent="0.25">
      <c r="A497" s="13" t="str">
        <f>IF(AND($E497="",MAX($A$8:$A496)=0),"",IF(AND($E497&lt;&gt;"",MAX($A$8:$A496)=0),1,IF(AND($E497&lt;&gt;"",MAX($A$8:$A496)&gt;0),MAX($A$8:$A496)+1,"")))</f>
        <v/>
      </c>
      <c r="B497" s="11">
        <v>490</v>
      </c>
      <c r="C497" s="19" t="str">
        <f t="shared" si="14"/>
        <v>EMPTY</v>
      </c>
      <c r="D497" s="3" t="str">
        <f>IF(C497="SHOW",CONCATENATE(Temp!G493,Temp!H493,",",Temp!I493,",",Temp!J493,Temp!K493),"")</f>
        <v/>
      </c>
      <c r="E497" s="7"/>
      <c r="F497" s="8" t="str">
        <f t="shared" si="15"/>
        <v/>
      </c>
    </row>
    <row r="498" spans="1:6" x14ac:dyDescent="0.25">
      <c r="A498" s="13" t="str">
        <f>IF(AND($E498="",MAX($A$8:$A497)=0),"",IF(AND($E498&lt;&gt;"",MAX($A$8:$A497)=0),1,IF(AND($E498&lt;&gt;"",MAX($A$8:$A497)&gt;0),MAX($A$8:$A497)+1,"")))</f>
        <v/>
      </c>
      <c r="B498" s="11">
        <v>491</v>
      </c>
      <c r="C498" s="19" t="str">
        <f t="shared" si="14"/>
        <v>EMPTY</v>
      </c>
      <c r="D498" s="3" t="str">
        <f>IF(C498="SHOW",CONCATENATE(Temp!G494,Temp!H494,",",Temp!I494,",",Temp!J494,Temp!K494),"")</f>
        <v/>
      </c>
      <c r="E498" s="7"/>
      <c r="F498" s="8" t="str">
        <f t="shared" si="15"/>
        <v/>
      </c>
    </row>
    <row r="499" spans="1:6" x14ac:dyDescent="0.25">
      <c r="A499" s="13" t="str">
        <f>IF(AND($E499="",MAX($A$8:$A498)=0),"",IF(AND($E499&lt;&gt;"",MAX($A$8:$A498)=0),1,IF(AND($E499&lt;&gt;"",MAX($A$8:$A498)&gt;0),MAX($A$8:$A498)+1,"")))</f>
        <v/>
      </c>
      <c r="B499" s="11">
        <v>492</v>
      </c>
      <c r="C499" s="19" t="str">
        <f t="shared" si="14"/>
        <v>EMPTY</v>
      </c>
      <c r="D499" s="3" t="str">
        <f>IF(C499="SHOW",CONCATENATE(Temp!G495,Temp!H495,",",Temp!I495,",",Temp!J495,Temp!K495),"")</f>
        <v/>
      </c>
      <c r="E499" s="7"/>
      <c r="F499" s="8" t="str">
        <f t="shared" si="15"/>
        <v/>
      </c>
    </row>
    <row r="500" spans="1:6" x14ac:dyDescent="0.25">
      <c r="A500" s="13" t="str">
        <f>IF(AND($E500="",MAX($A$8:$A499)=0),"",IF(AND($E500&lt;&gt;"",MAX($A$8:$A499)=0),1,IF(AND($E500&lt;&gt;"",MAX($A$8:$A499)&gt;0),MAX($A$8:$A499)+1,"")))</f>
        <v/>
      </c>
      <c r="B500" s="11">
        <v>493</v>
      </c>
      <c r="C500" s="19" t="str">
        <f t="shared" si="14"/>
        <v>EMPTY</v>
      </c>
      <c r="D500" s="3" t="str">
        <f>IF(C500="SHOW",CONCATENATE(Temp!G496,Temp!H496,",",Temp!I496,",",Temp!J496,Temp!K496),"")</f>
        <v/>
      </c>
      <c r="E500" s="7"/>
      <c r="F500" s="8" t="str">
        <f t="shared" si="15"/>
        <v/>
      </c>
    </row>
    <row r="501" spans="1:6" x14ac:dyDescent="0.25">
      <c r="A501" s="13" t="str">
        <f>IF(AND($E501="",MAX($A$8:$A500)=0),"",IF(AND($E501&lt;&gt;"",MAX($A$8:$A500)=0),1,IF(AND($E501&lt;&gt;"",MAX($A$8:$A500)&gt;0),MAX($A$8:$A500)+1,"")))</f>
        <v/>
      </c>
      <c r="B501" s="11">
        <v>494</v>
      </c>
      <c r="C501" s="19" t="str">
        <f t="shared" si="14"/>
        <v>EMPTY</v>
      </c>
      <c r="D501" s="3" t="str">
        <f>IF(C501="SHOW",CONCATENATE(Temp!G497,Temp!H497,",",Temp!I497,",",Temp!J497,Temp!K497),"")</f>
        <v/>
      </c>
      <c r="E501" s="7"/>
      <c r="F501" s="8" t="str">
        <f t="shared" si="15"/>
        <v/>
      </c>
    </row>
    <row r="502" spans="1:6" x14ac:dyDescent="0.25">
      <c r="A502" s="13" t="str">
        <f>IF(AND($E502="",MAX($A$8:$A501)=0),"",IF(AND($E502&lt;&gt;"",MAX($A$8:$A501)=0),1,IF(AND($E502&lt;&gt;"",MAX($A$8:$A501)&gt;0),MAX($A$8:$A501)+1,"")))</f>
        <v/>
      </c>
      <c r="B502" s="11">
        <v>495</v>
      </c>
      <c r="C502" s="19" t="str">
        <f t="shared" si="14"/>
        <v>EMPTY</v>
      </c>
      <c r="D502" s="3" t="str">
        <f>IF(C502="SHOW",CONCATENATE(Temp!G498,Temp!H498,",",Temp!I498,",",Temp!J498,Temp!K498),"")</f>
        <v/>
      </c>
      <c r="E502" s="7"/>
      <c r="F502" s="8" t="str">
        <f t="shared" si="15"/>
        <v/>
      </c>
    </row>
    <row r="503" spans="1:6" x14ac:dyDescent="0.25">
      <c r="A503" s="13" t="str">
        <f>IF(AND($E503="",MAX($A$8:$A502)=0),"",IF(AND($E503&lt;&gt;"",MAX($A$8:$A502)=0),1,IF(AND($E503&lt;&gt;"",MAX($A$8:$A502)&gt;0),MAX($A$8:$A502)+1,"")))</f>
        <v/>
      </c>
      <c r="B503" s="11">
        <v>496</v>
      </c>
      <c r="C503" s="19" t="str">
        <f t="shared" si="14"/>
        <v>EMPTY</v>
      </c>
      <c r="D503" s="3" t="str">
        <f>IF(C503="SHOW",CONCATENATE(Temp!G499,Temp!H499,",",Temp!I499,",",Temp!J499,Temp!K499),"")</f>
        <v/>
      </c>
      <c r="E503" s="7"/>
      <c r="F503" s="8" t="str">
        <f t="shared" si="15"/>
        <v/>
      </c>
    </row>
    <row r="504" spans="1:6" x14ac:dyDescent="0.25">
      <c r="A504" s="13" t="str">
        <f>IF(AND($E504="",MAX($A$8:$A503)=0),"",IF(AND($E504&lt;&gt;"",MAX($A$8:$A503)=0),1,IF(AND($E504&lt;&gt;"",MAX($A$8:$A503)&gt;0),MAX($A$8:$A503)+1,"")))</f>
        <v/>
      </c>
      <c r="B504" s="11">
        <v>497</v>
      </c>
      <c r="C504" s="19" t="str">
        <f t="shared" si="14"/>
        <v>EMPTY</v>
      </c>
      <c r="D504" s="3" t="str">
        <f>IF(C504="SHOW",CONCATENATE(Temp!G500,Temp!H500,",",Temp!I500,",",Temp!J500,Temp!K500),"")</f>
        <v/>
      </c>
      <c r="E504" s="7"/>
      <c r="F504" s="8" t="str">
        <f t="shared" si="15"/>
        <v/>
      </c>
    </row>
    <row r="505" spans="1:6" x14ac:dyDescent="0.25">
      <c r="A505" s="13" t="str">
        <f>IF(AND($E505="",MAX($A$8:$A504)=0),"",IF(AND($E505&lt;&gt;"",MAX($A$8:$A504)=0),1,IF(AND($E505&lt;&gt;"",MAX($A$8:$A504)&gt;0),MAX($A$8:$A504)+1,"")))</f>
        <v/>
      </c>
      <c r="B505" s="11">
        <v>498</v>
      </c>
      <c r="C505" s="19" t="str">
        <f t="shared" si="14"/>
        <v>EMPTY</v>
      </c>
      <c r="D505" s="3" t="str">
        <f>IF(C505="SHOW",CONCATENATE(Temp!G501,Temp!H501,",",Temp!I501,",",Temp!J501,Temp!K501),"")</f>
        <v/>
      </c>
      <c r="E505" s="7"/>
      <c r="F505" s="8" t="str">
        <f t="shared" si="15"/>
        <v/>
      </c>
    </row>
    <row r="506" spans="1:6" x14ac:dyDescent="0.25">
      <c r="A506" s="13" t="str">
        <f>IF(AND($E506="",MAX($A$8:$A505)=0),"",IF(AND($E506&lt;&gt;"",MAX($A$8:$A505)=0),1,IF(AND($E506&lt;&gt;"",MAX($A$8:$A505)&gt;0),MAX($A$8:$A505)+1,"")))</f>
        <v/>
      </c>
      <c r="B506" s="11">
        <v>499</v>
      </c>
      <c r="C506" s="19" t="str">
        <f t="shared" si="14"/>
        <v>EMPTY</v>
      </c>
      <c r="D506" s="3" t="str">
        <f>IF(C506="SHOW",CONCATENATE(Temp!G502,Temp!H502,",",Temp!I502,",",Temp!J502,Temp!K502),"")</f>
        <v/>
      </c>
      <c r="E506" s="7"/>
      <c r="F506" s="8" t="str">
        <f t="shared" si="15"/>
        <v/>
      </c>
    </row>
    <row r="507" spans="1:6" x14ac:dyDescent="0.25">
      <c r="A507" s="13" t="str">
        <f>IF(AND($E507="",MAX($A$8:$A506)=0),"",IF(AND($E507&lt;&gt;"",MAX($A$8:$A506)=0),1,IF(AND($E507&lt;&gt;"",MAX($A$8:$A506)&gt;0),MAX($A$8:$A506)+1,"")))</f>
        <v/>
      </c>
      <c r="B507" s="11">
        <v>500</v>
      </c>
      <c r="C507" s="19" t="str">
        <f t="shared" si="14"/>
        <v>EMPTY</v>
      </c>
      <c r="D507" s="3" t="str">
        <f>IF(C507="SHOW",CONCATENATE(Temp!G503,Temp!H503,",",Temp!I503,",",Temp!J503,Temp!K503),"")</f>
        <v/>
      </c>
      <c r="E507" s="7"/>
      <c r="F507" s="8" t="str">
        <f t="shared" si="15"/>
        <v/>
      </c>
    </row>
    <row r="508" spans="1:6" x14ac:dyDescent="0.25">
      <c r="A508" s="13" t="str">
        <f>IF(AND($E508="",MAX($A$8:$A507)=0),"",IF(AND($E508&lt;&gt;"",MAX($A$8:$A507)=0),1,IF(AND($E508&lt;&gt;"",MAX($A$8:$A507)&gt;0),MAX($A$8:$A507)+1,"")))</f>
        <v/>
      </c>
      <c r="B508" s="11">
        <v>501</v>
      </c>
      <c r="C508" s="19" t="str">
        <f t="shared" si="14"/>
        <v>EMPTY</v>
      </c>
      <c r="D508" s="3" t="str">
        <f>IF(C508="SHOW",CONCATENATE(Temp!G504,Temp!H504,",",Temp!I504,",",Temp!J504,Temp!K504),"")</f>
        <v/>
      </c>
      <c r="E508" s="7"/>
      <c r="F508" s="8" t="str">
        <f t="shared" si="15"/>
        <v/>
      </c>
    </row>
    <row r="509" spans="1:6" x14ac:dyDescent="0.25">
      <c r="A509" s="13" t="str">
        <f>IF(AND($E509="",MAX($A$8:$A508)=0),"",IF(AND($E509&lt;&gt;"",MAX($A$8:$A508)=0),1,IF(AND($E509&lt;&gt;"",MAX($A$8:$A508)&gt;0),MAX($A$8:$A508)+1,"")))</f>
        <v/>
      </c>
      <c r="B509" s="11">
        <v>502</v>
      </c>
      <c r="C509" s="19" t="str">
        <f t="shared" si="14"/>
        <v>EMPTY</v>
      </c>
      <c r="D509" s="3" t="str">
        <f>IF(C509="SHOW",CONCATENATE(Temp!G505,Temp!H505,",",Temp!I505,",",Temp!J505,Temp!K505),"")</f>
        <v/>
      </c>
      <c r="E509" s="7"/>
      <c r="F509" s="8" t="str">
        <f t="shared" si="15"/>
        <v/>
      </c>
    </row>
    <row r="510" spans="1:6" x14ac:dyDescent="0.25">
      <c r="A510" s="13" t="str">
        <f>IF(AND($E510="",MAX($A$8:$A509)=0),"",IF(AND($E510&lt;&gt;"",MAX($A$8:$A509)=0),1,IF(AND($E510&lt;&gt;"",MAX($A$8:$A509)&gt;0),MAX($A$8:$A509)+1,"")))</f>
        <v/>
      </c>
      <c r="B510" s="11">
        <v>503</v>
      </c>
      <c r="C510" s="19" t="str">
        <f t="shared" si="14"/>
        <v>EMPTY</v>
      </c>
      <c r="D510" s="3" t="str">
        <f>IF(C510="SHOW",CONCATENATE(Temp!G506,Temp!H506,",",Temp!I506,",",Temp!J506,Temp!K506),"")</f>
        <v/>
      </c>
      <c r="E510" s="7"/>
      <c r="F510" s="8" t="str">
        <f t="shared" si="15"/>
        <v/>
      </c>
    </row>
    <row r="511" spans="1:6" x14ac:dyDescent="0.25">
      <c r="A511" s="13" t="str">
        <f>IF(AND($E511="",MAX($A$8:$A510)=0),"",IF(AND($E511&lt;&gt;"",MAX($A$8:$A510)=0),1,IF(AND($E511&lt;&gt;"",MAX($A$8:$A510)&gt;0),MAX($A$8:$A510)+1,"")))</f>
        <v/>
      </c>
      <c r="B511" s="11">
        <v>504</v>
      </c>
      <c r="C511" s="19" t="str">
        <f t="shared" si="14"/>
        <v>EMPTY</v>
      </c>
      <c r="D511" s="3" t="str">
        <f>IF(C511="SHOW",CONCATENATE(Temp!G507,Temp!H507,",",Temp!I507,",",Temp!J507,Temp!K507),"")</f>
        <v/>
      </c>
      <c r="E511" s="7"/>
      <c r="F511" s="8" t="str">
        <f t="shared" si="15"/>
        <v/>
      </c>
    </row>
    <row r="512" spans="1:6" x14ac:dyDescent="0.25">
      <c r="A512" s="13" t="str">
        <f>IF(AND($E512="",MAX($A$8:$A511)=0),"",IF(AND($E512&lt;&gt;"",MAX($A$8:$A511)=0),1,IF(AND($E512&lt;&gt;"",MAX($A$8:$A511)&gt;0),MAX($A$8:$A511)+1,"")))</f>
        <v/>
      </c>
      <c r="B512" s="11">
        <v>505</v>
      </c>
      <c r="C512" s="19" t="str">
        <f t="shared" si="14"/>
        <v>EMPTY</v>
      </c>
      <c r="D512" s="3" t="str">
        <f>IF(C512="SHOW",CONCATENATE(Temp!G508,Temp!H508,",",Temp!I508,",",Temp!J508,Temp!K508),"")</f>
        <v/>
      </c>
      <c r="E512" s="7"/>
      <c r="F512" s="8" t="str">
        <f t="shared" si="15"/>
        <v/>
      </c>
    </row>
    <row r="513" spans="1:6" x14ac:dyDescent="0.25">
      <c r="A513" s="13" t="str">
        <f>IF(AND($E513="",MAX($A$8:$A512)=0),"",IF(AND($E513&lt;&gt;"",MAX($A$8:$A512)=0),1,IF(AND($E513&lt;&gt;"",MAX($A$8:$A512)&gt;0),MAX($A$8:$A512)+1,"")))</f>
        <v/>
      </c>
      <c r="B513" s="11">
        <v>506</v>
      </c>
      <c r="C513" s="19" t="str">
        <f t="shared" si="14"/>
        <v>EMPTY</v>
      </c>
      <c r="D513" s="3" t="str">
        <f>IF(C513="SHOW",CONCATENATE(Temp!G509,Temp!H509,",",Temp!I509,",",Temp!J509,Temp!K509),"")</f>
        <v/>
      </c>
      <c r="E513" s="7"/>
      <c r="F513" s="8" t="str">
        <f t="shared" si="15"/>
        <v/>
      </c>
    </row>
    <row r="514" spans="1:6" x14ac:dyDescent="0.25">
      <c r="A514" s="13" t="str">
        <f>IF(AND($E514="",MAX($A$8:$A513)=0),"",IF(AND($E514&lt;&gt;"",MAX($A$8:$A513)=0),1,IF(AND($E514&lt;&gt;"",MAX($A$8:$A513)&gt;0),MAX($A$8:$A513)+1,"")))</f>
        <v/>
      </c>
      <c r="B514" s="11">
        <v>507</v>
      </c>
      <c r="C514" s="19" t="str">
        <f t="shared" si="14"/>
        <v>EMPTY</v>
      </c>
      <c r="D514" s="3" t="str">
        <f>IF(C514="SHOW",CONCATENATE(Temp!G510,Temp!H510,",",Temp!I510,",",Temp!J510,Temp!K510),"")</f>
        <v/>
      </c>
      <c r="E514" s="7"/>
      <c r="F514" s="8" t="str">
        <f t="shared" si="15"/>
        <v/>
      </c>
    </row>
    <row r="515" spans="1:6" x14ac:dyDescent="0.25">
      <c r="A515" s="13" t="str">
        <f>IF(AND($E515="",MAX($A$8:$A514)=0),"",IF(AND($E515&lt;&gt;"",MAX($A$8:$A514)=0),1,IF(AND($E515&lt;&gt;"",MAX($A$8:$A514)&gt;0),MAX($A$8:$A514)+1,"")))</f>
        <v/>
      </c>
      <c r="B515" s="11">
        <v>508</v>
      </c>
      <c r="C515" s="19" t="str">
        <f t="shared" si="14"/>
        <v>EMPTY</v>
      </c>
      <c r="D515" s="3" t="str">
        <f>IF(C515="SHOW",CONCATENATE(Temp!G511,Temp!H511,",",Temp!I511,",",Temp!J511,Temp!K511),"")</f>
        <v/>
      </c>
      <c r="E515" s="7"/>
      <c r="F515" s="8" t="str">
        <f t="shared" si="15"/>
        <v/>
      </c>
    </row>
    <row r="516" spans="1:6" x14ac:dyDescent="0.25">
      <c r="A516" s="13" t="str">
        <f>IF(AND($E516="",MAX($A$8:$A515)=0),"",IF(AND($E516&lt;&gt;"",MAX($A$8:$A515)=0),1,IF(AND($E516&lt;&gt;"",MAX($A$8:$A515)&gt;0),MAX($A$8:$A515)+1,"")))</f>
        <v/>
      </c>
      <c r="B516" s="11">
        <v>509</v>
      </c>
      <c r="C516" s="19" t="str">
        <f t="shared" si="14"/>
        <v>EMPTY</v>
      </c>
      <c r="D516" s="3" t="str">
        <f>IF(C516="SHOW",CONCATENATE(Temp!G512,Temp!H512,",",Temp!I512,",",Temp!J512,Temp!K512),"")</f>
        <v/>
      </c>
      <c r="E516" s="7"/>
      <c r="F516" s="8" t="str">
        <f t="shared" si="15"/>
        <v/>
      </c>
    </row>
    <row r="517" spans="1:6" x14ac:dyDescent="0.25">
      <c r="A517" s="13" t="str">
        <f>IF(AND($E517="",MAX($A$8:$A516)=0),"",IF(AND($E517&lt;&gt;"",MAX($A$8:$A516)=0),1,IF(AND($E517&lt;&gt;"",MAX($A$8:$A516)&gt;0),MAX($A$8:$A516)+1,"")))</f>
        <v/>
      </c>
      <c r="B517" s="11">
        <v>510</v>
      </c>
      <c r="C517" s="19" t="str">
        <f t="shared" si="14"/>
        <v>EMPTY</v>
      </c>
      <c r="D517" s="3" t="str">
        <f>IF(C517="SHOW",CONCATENATE(Temp!G513,Temp!H513,",",Temp!I513,",",Temp!J513,Temp!K513),"")</f>
        <v/>
      </c>
      <c r="E517" s="7"/>
      <c r="F517" s="8" t="str">
        <f t="shared" si="15"/>
        <v/>
      </c>
    </row>
    <row r="518" spans="1:6" x14ac:dyDescent="0.25">
      <c r="A518" s="13" t="str">
        <f>IF(AND($E518="",MAX($A$8:$A517)=0),"",IF(AND($E518&lt;&gt;"",MAX($A$8:$A517)=0),1,IF(AND($E518&lt;&gt;"",MAX($A$8:$A517)&gt;0),MAX($A$8:$A517)+1,"")))</f>
        <v/>
      </c>
      <c r="B518" s="11">
        <v>511</v>
      </c>
      <c r="C518" s="19" t="str">
        <f t="shared" si="14"/>
        <v>EMPTY</v>
      </c>
      <c r="D518" s="3" t="str">
        <f>IF(C518="SHOW",CONCATENATE(Temp!G514,Temp!H514,",",Temp!I514,",",Temp!J514,Temp!K514),"")</f>
        <v/>
      </c>
      <c r="E518" s="7"/>
      <c r="F518" s="8" t="str">
        <f t="shared" si="15"/>
        <v/>
      </c>
    </row>
    <row r="519" spans="1:6" x14ac:dyDescent="0.25">
      <c r="A519" s="13" t="str">
        <f>IF(AND($E519="",MAX($A$8:$A518)=0),"",IF(AND($E519&lt;&gt;"",MAX($A$8:$A518)=0),1,IF(AND($E519&lt;&gt;"",MAX($A$8:$A518)&gt;0),MAX($A$8:$A518)+1,"")))</f>
        <v/>
      </c>
      <c r="B519" s="11">
        <v>512</v>
      </c>
      <c r="C519" s="19" t="str">
        <f t="shared" si="14"/>
        <v>EMPTY</v>
      </c>
      <c r="D519" s="3" t="str">
        <f>IF(C519="SHOW",CONCATENATE(Temp!G515,Temp!H515,",",Temp!I515,",",Temp!J515,Temp!K515),"")</f>
        <v/>
      </c>
      <c r="E519" s="7"/>
      <c r="F519" s="8" t="str">
        <f t="shared" si="15"/>
        <v/>
      </c>
    </row>
    <row r="520" spans="1:6" x14ac:dyDescent="0.25">
      <c r="A520" s="13" t="str">
        <f>IF(AND($E520="",MAX($A$8:$A519)=0),"",IF(AND($E520&lt;&gt;"",MAX($A$8:$A519)=0),1,IF(AND($E520&lt;&gt;"",MAX($A$8:$A519)&gt;0),MAX($A$8:$A519)+1,"")))</f>
        <v/>
      </c>
      <c r="B520" s="11">
        <v>513</v>
      </c>
      <c r="C520" s="19" t="str">
        <f t="shared" si="14"/>
        <v>EMPTY</v>
      </c>
      <c r="D520" s="3" t="str">
        <f>IF(C520="SHOW",CONCATENATE(Temp!G516,Temp!H516,",",Temp!I516,",",Temp!J516,Temp!K516),"")</f>
        <v/>
      </c>
      <c r="E520" s="7"/>
      <c r="F520" s="8" t="str">
        <f t="shared" si="15"/>
        <v/>
      </c>
    </row>
    <row r="521" spans="1:6" x14ac:dyDescent="0.25">
      <c r="A521" s="13" t="str">
        <f>IF(AND($E521="",MAX($A$8:$A520)=0),"",IF(AND($E521&lt;&gt;"",MAX($A$8:$A520)=0),1,IF(AND($E521&lt;&gt;"",MAX($A$8:$A520)&gt;0),MAX($A$8:$A520)+1,"")))</f>
        <v/>
      </c>
      <c r="B521" s="11">
        <v>514</v>
      </c>
      <c r="C521" s="19" t="str">
        <f t="shared" ref="C521:C584" si="16">IF(E521="","EMPTY",IF(MID(E521,1,9)&lt;&gt;"Dialogue:","HIDE",IF(MID(E521,1,9)="Dialogue:","SHOW","")))</f>
        <v>EMPTY</v>
      </c>
      <c r="D521" s="3" t="str">
        <f>IF(C521="SHOW",CONCATENATE(Temp!G517,Temp!H517,",",Temp!I517,",",Temp!J517,Temp!K517),"")</f>
        <v/>
      </c>
      <c r="E521" s="7"/>
      <c r="F521" s="8" t="str">
        <f t="shared" ref="F521:F584" si="17">$D521</f>
        <v/>
      </c>
    </row>
    <row r="522" spans="1:6" x14ac:dyDescent="0.25">
      <c r="A522" s="13" t="str">
        <f>IF(AND($E522="",MAX($A$8:$A521)=0),"",IF(AND($E522&lt;&gt;"",MAX($A$8:$A521)=0),1,IF(AND($E522&lt;&gt;"",MAX($A$8:$A521)&gt;0),MAX($A$8:$A521)+1,"")))</f>
        <v/>
      </c>
      <c r="B522" s="11">
        <v>515</v>
      </c>
      <c r="C522" s="19" t="str">
        <f t="shared" si="16"/>
        <v>EMPTY</v>
      </c>
      <c r="D522" s="3" t="str">
        <f>IF(C522="SHOW",CONCATENATE(Temp!G518,Temp!H518,",",Temp!I518,",",Temp!J518,Temp!K518),"")</f>
        <v/>
      </c>
      <c r="E522" s="7"/>
      <c r="F522" s="8" t="str">
        <f t="shared" si="17"/>
        <v/>
      </c>
    </row>
    <row r="523" spans="1:6" x14ac:dyDescent="0.25">
      <c r="A523" s="13" t="str">
        <f>IF(AND($E523="",MAX($A$8:$A522)=0),"",IF(AND($E523&lt;&gt;"",MAX($A$8:$A522)=0),1,IF(AND($E523&lt;&gt;"",MAX($A$8:$A522)&gt;0),MAX($A$8:$A522)+1,"")))</f>
        <v/>
      </c>
      <c r="B523" s="11">
        <v>516</v>
      </c>
      <c r="C523" s="19" t="str">
        <f t="shared" si="16"/>
        <v>EMPTY</v>
      </c>
      <c r="D523" s="3" t="str">
        <f>IF(C523="SHOW",CONCATENATE(Temp!G519,Temp!H519,",",Temp!I519,",",Temp!J519,Temp!K519),"")</f>
        <v/>
      </c>
      <c r="E523" s="7"/>
      <c r="F523" s="8" t="str">
        <f t="shared" si="17"/>
        <v/>
      </c>
    </row>
    <row r="524" spans="1:6" x14ac:dyDescent="0.25">
      <c r="A524" s="13" t="str">
        <f>IF(AND($E524="",MAX($A$8:$A523)=0),"",IF(AND($E524&lt;&gt;"",MAX($A$8:$A523)=0),1,IF(AND($E524&lt;&gt;"",MAX($A$8:$A523)&gt;0),MAX($A$8:$A523)+1,"")))</f>
        <v/>
      </c>
      <c r="B524" s="11">
        <v>517</v>
      </c>
      <c r="C524" s="19" t="str">
        <f t="shared" si="16"/>
        <v>EMPTY</v>
      </c>
      <c r="D524" s="3" t="str">
        <f>IF(C524="SHOW",CONCATENATE(Temp!G520,Temp!H520,",",Temp!I520,",",Temp!J520,Temp!K520),"")</f>
        <v/>
      </c>
      <c r="E524" s="7"/>
      <c r="F524" s="8" t="str">
        <f t="shared" si="17"/>
        <v/>
      </c>
    </row>
    <row r="525" spans="1:6" x14ac:dyDescent="0.25">
      <c r="A525" s="13" t="str">
        <f>IF(AND($E525="",MAX($A$8:$A524)=0),"",IF(AND($E525&lt;&gt;"",MAX($A$8:$A524)=0),1,IF(AND($E525&lt;&gt;"",MAX($A$8:$A524)&gt;0),MAX($A$8:$A524)+1,"")))</f>
        <v/>
      </c>
      <c r="B525" s="11">
        <v>518</v>
      </c>
      <c r="C525" s="19" t="str">
        <f t="shared" si="16"/>
        <v>EMPTY</v>
      </c>
      <c r="D525" s="3" t="str">
        <f>IF(C525="SHOW",CONCATENATE(Temp!G521,Temp!H521,",",Temp!I521,",",Temp!J521,Temp!K521),"")</f>
        <v/>
      </c>
      <c r="E525" s="7"/>
      <c r="F525" s="8" t="str">
        <f t="shared" si="17"/>
        <v/>
      </c>
    </row>
    <row r="526" spans="1:6" x14ac:dyDescent="0.25">
      <c r="A526" s="13" t="str">
        <f>IF(AND($E526="",MAX($A$8:$A525)=0),"",IF(AND($E526&lt;&gt;"",MAX($A$8:$A525)=0),1,IF(AND($E526&lt;&gt;"",MAX($A$8:$A525)&gt;0),MAX($A$8:$A525)+1,"")))</f>
        <v/>
      </c>
      <c r="B526" s="11">
        <v>519</v>
      </c>
      <c r="C526" s="19" t="str">
        <f t="shared" si="16"/>
        <v>EMPTY</v>
      </c>
      <c r="D526" s="3" t="str">
        <f>IF(C526="SHOW",CONCATENATE(Temp!G522,Temp!H522,",",Temp!I522,",",Temp!J522,Temp!K522),"")</f>
        <v/>
      </c>
      <c r="E526" s="7"/>
      <c r="F526" s="8" t="str">
        <f t="shared" si="17"/>
        <v/>
      </c>
    </row>
    <row r="527" spans="1:6" x14ac:dyDescent="0.25">
      <c r="A527" s="13" t="str">
        <f>IF(AND($E527="",MAX($A$8:$A526)=0),"",IF(AND($E527&lt;&gt;"",MAX($A$8:$A526)=0),1,IF(AND($E527&lt;&gt;"",MAX($A$8:$A526)&gt;0),MAX($A$8:$A526)+1,"")))</f>
        <v/>
      </c>
      <c r="B527" s="11">
        <v>520</v>
      </c>
      <c r="C527" s="19" t="str">
        <f t="shared" si="16"/>
        <v>EMPTY</v>
      </c>
      <c r="D527" s="3" t="str">
        <f>IF(C527="SHOW",CONCATENATE(Temp!G523,Temp!H523,",",Temp!I523,",",Temp!J523,Temp!K523),"")</f>
        <v/>
      </c>
      <c r="E527" s="7"/>
      <c r="F527" s="8" t="str">
        <f t="shared" si="17"/>
        <v/>
      </c>
    </row>
    <row r="528" spans="1:6" x14ac:dyDescent="0.25">
      <c r="A528" s="13" t="str">
        <f>IF(AND($E528="",MAX($A$8:$A527)=0),"",IF(AND($E528&lt;&gt;"",MAX($A$8:$A527)=0),1,IF(AND($E528&lt;&gt;"",MAX($A$8:$A527)&gt;0),MAX($A$8:$A527)+1,"")))</f>
        <v/>
      </c>
      <c r="B528" s="11">
        <v>521</v>
      </c>
      <c r="C528" s="19" t="str">
        <f t="shared" si="16"/>
        <v>EMPTY</v>
      </c>
      <c r="D528" s="3" t="str">
        <f>IF(C528="SHOW",CONCATENATE(Temp!G524,Temp!H524,",",Temp!I524,",",Temp!J524,Temp!K524),"")</f>
        <v/>
      </c>
      <c r="E528" s="7"/>
      <c r="F528" s="8" t="str">
        <f t="shared" si="17"/>
        <v/>
      </c>
    </row>
    <row r="529" spans="1:6" x14ac:dyDescent="0.25">
      <c r="A529" s="13" t="str">
        <f>IF(AND($E529="",MAX($A$8:$A528)=0),"",IF(AND($E529&lt;&gt;"",MAX($A$8:$A528)=0),1,IF(AND($E529&lt;&gt;"",MAX($A$8:$A528)&gt;0),MAX($A$8:$A528)+1,"")))</f>
        <v/>
      </c>
      <c r="B529" s="11">
        <v>522</v>
      </c>
      <c r="C529" s="19" t="str">
        <f t="shared" si="16"/>
        <v>EMPTY</v>
      </c>
      <c r="D529" s="3" t="str">
        <f>IF(C529="SHOW",CONCATENATE(Temp!G525,Temp!H525,",",Temp!I525,",",Temp!J525,Temp!K525),"")</f>
        <v/>
      </c>
      <c r="E529" s="7"/>
      <c r="F529" s="8" t="str">
        <f t="shared" si="17"/>
        <v/>
      </c>
    </row>
    <row r="530" spans="1:6" x14ac:dyDescent="0.25">
      <c r="A530" s="13" t="str">
        <f>IF(AND($E530="",MAX($A$8:$A529)=0),"",IF(AND($E530&lt;&gt;"",MAX($A$8:$A529)=0),1,IF(AND($E530&lt;&gt;"",MAX($A$8:$A529)&gt;0),MAX($A$8:$A529)+1,"")))</f>
        <v/>
      </c>
      <c r="B530" s="11">
        <v>523</v>
      </c>
      <c r="C530" s="19" t="str">
        <f t="shared" si="16"/>
        <v>EMPTY</v>
      </c>
      <c r="D530" s="3" t="str">
        <f>IF(C530="SHOW",CONCATENATE(Temp!G526,Temp!H526,",",Temp!I526,",",Temp!J526,Temp!K526),"")</f>
        <v/>
      </c>
      <c r="E530" s="7"/>
      <c r="F530" s="8" t="str">
        <f t="shared" si="17"/>
        <v/>
      </c>
    </row>
    <row r="531" spans="1:6" x14ac:dyDescent="0.25">
      <c r="A531" s="13" t="str">
        <f>IF(AND($E531="",MAX($A$8:$A530)=0),"",IF(AND($E531&lt;&gt;"",MAX($A$8:$A530)=0),1,IF(AND($E531&lt;&gt;"",MAX($A$8:$A530)&gt;0),MAX($A$8:$A530)+1,"")))</f>
        <v/>
      </c>
      <c r="B531" s="11">
        <v>524</v>
      </c>
      <c r="C531" s="19" t="str">
        <f t="shared" si="16"/>
        <v>EMPTY</v>
      </c>
      <c r="D531" s="3" t="str">
        <f>IF(C531="SHOW",CONCATENATE(Temp!G527,Temp!H527,",",Temp!I527,",",Temp!J527,Temp!K527),"")</f>
        <v/>
      </c>
      <c r="E531" s="7"/>
      <c r="F531" s="8" t="str">
        <f t="shared" si="17"/>
        <v/>
      </c>
    </row>
    <row r="532" spans="1:6" x14ac:dyDescent="0.25">
      <c r="A532" s="13" t="str">
        <f>IF(AND($E532="",MAX($A$8:$A531)=0),"",IF(AND($E532&lt;&gt;"",MAX($A$8:$A531)=0),1,IF(AND($E532&lt;&gt;"",MAX($A$8:$A531)&gt;0),MAX($A$8:$A531)+1,"")))</f>
        <v/>
      </c>
      <c r="B532" s="11">
        <v>525</v>
      </c>
      <c r="C532" s="19" t="str">
        <f t="shared" si="16"/>
        <v>EMPTY</v>
      </c>
      <c r="D532" s="3" t="str">
        <f>IF(C532="SHOW",CONCATENATE(Temp!G528,Temp!H528,",",Temp!I528,",",Temp!J528,Temp!K528),"")</f>
        <v/>
      </c>
      <c r="E532" s="7"/>
      <c r="F532" s="8" t="str">
        <f t="shared" si="17"/>
        <v/>
      </c>
    </row>
    <row r="533" spans="1:6" x14ac:dyDescent="0.25">
      <c r="A533" s="13" t="str">
        <f>IF(AND($E533="",MAX($A$8:$A532)=0),"",IF(AND($E533&lt;&gt;"",MAX($A$8:$A532)=0),1,IF(AND($E533&lt;&gt;"",MAX($A$8:$A532)&gt;0),MAX($A$8:$A532)+1,"")))</f>
        <v/>
      </c>
      <c r="B533" s="11">
        <v>526</v>
      </c>
      <c r="C533" s="19" t="str">
        <f t="shared" si="16"/>
        <v>EMPTY</v>
      </c>
      <c r="D533" s="3" t="str">
        <f>IF(C533="SHOW",CONCATENATE(Temp!G529,Temp!H529,",",Temp!I529,",",Temp!J529,Temp!K529),"")</f>
        <v/>
      </c>
      <c r="E533" s="7"/>
      <c r="F533" s="8" t="str">
        <f t="shared" si="17"/>
        <v/>
      </c>
    </row>
    <row r="534" spans="1:6" x14ac:dyDescent="0.25">
      <c r="A534" s="13" t="str">
        <f>IF(AND($E534="",MAX($A$8:$A533)=0),"",IF(AND($E534&lt;&gt;"",MAX($A$8:$A533)=0),1,IF(AND($E534&lt;&gt;"",MAX($A$8:$A533)&gt;0),MAX($A$8:$A533)+1,"")))</f>
        <v/>
      </c>
      <c r="B534" s="11">
        <v>527</v>
      </c>
      <c r="C534" s="19" t="str">
        <f t="shared" si="16"/>
        <v>EMPTY</v>
      </c>
      <c r="D534" s="3" t="str">
        <f>IF(C534="SHOW",CONCATENATE(Temp!G530,Temp!H530,",",Temp!I530,",",Temp!J530,Temp!K530),"")</f>
        <v/>
      </c>
      <c r="E534" s="7"/>
      <c r="F534" s="8" t="str">
        <f t="shared" si="17"/>
        <v/>
      </c>
    </row>
    <row r="535" spans="1:6" x14ac:dyDescent="0.25">
      <c r="A535" s="13" t="str">
        <f>IF(AND($E535="",MAX($A$8:$A534)=0),"",IF(AND($E535&lt;&gt;"",MAX($A$8:$A534)=0),1,IF(AND($E535&lt;&gt;"",MAX($A$8:$A534)&gt;0),MAX($A$8:$A534)+1,"")))</f>
        <v/>
      </c>
      <c r="B535" s="11">
        <v>528</v>
      </c>
      <c r="C535" s="19" t="str">
        <f t="shared" si="16"/>
        <v>EMPTY</v>
      </c>
      <c r="D535" s="3" t="str">
        <f>IF(C535="SHOW",CONCATENATE(Temp!G531,Temp!H531,",",Temp!I531,",",Temp!J531,Temp!K531),"")</f>
        <v/>
      </c>
      <c r="E535" s="7"/>
      <c r="F535" s="8" t="str">
        <f t="shared" si="17"/>
        <v/>
      </c>
    </row>
    <row r="536" spans="1:6" x14ac:dyDescent="0.25">
      <c r="A536" s="13" t="str">
        <f>IF(AND($E536="",MAX($A$8:$A535)=0),"",IF(AND($E536&lt;&gt;"",MAX($A$8:$A535)=0),1,IF(AND($E536&lt;&gt;"",MAX($A$8:$A535)&gt;0),MAX($A$8:$A535)+1,"")))</f>
        <v/>
      </c>
      <c r="B536" s="11">
        <v>529</v>
      </c>
      <c r="C536" s="19" t="str">
        <f t="shared" si="16"/>
        <v>EMPTY</v>
      </c>
      <c r="D536" s="3" t="str">
        <f>IF(C536="SHOW",CONCATENATE(Temp!G532,Temp!H532,",",Temp!I532,",",Temp!J532,Temp!K532),"")</f>
        <v/>
      </c>
      <c r="E536" s="7"/>
      <c r="F536" s="8" t="str">
        <f t="shared" si="17"/>
        <v/>
      </c>
    </row>
    <row r="537" spans="1:6" x14ac:dyDescent="0.25">
      <c r="A537" s="13" t="str">
        <f>IF(AND($E537="",MAX($A$8:$A536)=0),"",IF(AND($E537&lt;&gt;"",MAX($A$8:$A536)=0),1,IF(AND($E537&lt;&gt;"",MAX($A$8:$A536)&gt;0),MAX($A$8:$A536)+1,"")))</f>
        <v/>
      </c>
      <c r="B537" s="11">
        <v>530</v>
      </c>
      <c r="C537" s="19" t="str">
        <f t="shared" si="16"/>
        <v>EMPTY</v>
      </c>
      <c r="D537" s="3" t="str">
        <f>IF(C537="SHOW",CONCATENATE(Temp!G533,Temp!H533,",",Temp!I533,",",Temp!J533,Temp!K533),"")</f>
        <v/>
      </c>
      <c r="E537" s="7"/>
      <c r="F537" s="8" t="str">
        <f t="shared" si="17"/>
        <v/>
      </c>
    </row>
    <row r="538" spans="1:6" x14ac:dyDescent="0.25">
      <c r="A538" s="13" t="str">
        <f>IF(AND($E538="",MAX($A$8:$A537)=0),"",IF(AND($E538&lt;&gt;"",MAX($A$8:$A537)=0),1,IF(AND($E538&lt;&gt;"",MAX($A$8:$A537)&gt;0),MAX($A$8:$A537)+1,"")))</f>
        <v/>
      </c>
      <c r="B538" s="11">
        <v>531</v>
      </c>
      <c r="C538" s="19" t="str">
        <f t="shared" si="16"/>
        <v>EMPTY</v>
      </c>
      <c r="D538" s="3" t="str">
        <f>IF(C538="SHOW",CONCATENATE(Temp!G534,Temp!H534,",",Temp!I534,",",Temp!J534,Temp!K534),"")</f>
        <v/>
      </c>
      <c r="E538" s="7"/>
      <c r="F538" s="8" t="str">
        <f t="shared" si="17"/>
        <v/>
      </c>
    </row>
    <row r="539" spans="1:6" x14ac:dyDescent="0.25">
      <c r="A539" s="13" t="str">
        <f>IF(AND($E539="",MAX($A$8:$A538)=0),"",IF(AND($E539&lt;&gt;"",MAX($A$8:$A538)=0),1,IF(AND($E539&lt;&gt;"",MAX($A$8:$A538)&gt;0),MAX($A$8:$A538)+1,"")))</f>
        <v/>
      </c>
      <c r="B539" s="11">
        <v>532</v>
      </c>
      <c r="C539" s="19" t="str">
        <f t="shared" si="16"/>
        <v>EMPTY</v>
      </c>
      <c r="D539" s="3" t="str">
        <f>IF(C539="SHOW",CONCATENATE(Temp!G535,Temp!H535,",",Temp!I535,",",Temp!J535,Temp!K535),"")</f>
        <v/>
      </c>
      <c r="E539" s="7"/>
      <c r="F539" s="8" t="str">
        <f t="shared" si="17"/>
        <v/>
      </c>
    </row>
    <row r="540" spans="1:6" x14ac:dyDescent="0.25">
      <c r="A540" s="13" t="str">
        <f>IF(AND($E540="",MAX($A$8:$A539)=0),"",IF(AND($E540&lt;&gt;"",MAX($A$8:$A539)=0),1,IF(AND($E540&lt;&gt;"",MAX($A$8:$A539)&gt;0),MAX($A$8:$A539)+1,"")))</f>
        <v/>
      </c>
      <c r="B540" s="11">
        <v>533</v>
      </c>
      <c r="C540" s="19" t="str">
        <f t="shared" si="16"/>
        <v>EMPTY</v>
      </c>
      <c r="D540" s="3" t="str">
        <f>IF(C540="SHOW",CONCATENATE(Temp!G536,Temp!H536,",",Temp!I536,",",Temp!J536,Temp!K536),"")</f>
        <v/>
      </c>
      <c r="E540" s="7"/>
      <c r="F540" s="8" t="str">
        <f t="shared" si="17"/>
        <v/>
      </c>
    </row>
    <row r="541" spans="1:6" x14ac:dyDescent="0.25">
      <c r="A541" s="13" t="str">
        <f>IF(AND($E541="",MAX($A$8:$A540)=0),"",IF(AND($E541&lt;&gt;"",MAX($A$8:$A540)=0),1,IF(AND($E541&lt;&gt;"",MAX($A$8:$A540)&gt;0),MAX($A$8:$A540)+1,"")))</f>
        <v/>
      </c>
      <c r="B541" s="11">
        <v>534</v>
      </c>
      <c r="C541" s="19" t="str">
        <f t="shared" si="16"/>
        <v>EMPTY</v>
      </c>
      <c r="D541" s="3" t="str">
        <f>IF(C541="SHOW",CONCATENATE(Temp!G537,Temp!H537,",",Temp!I537,",",Temp!J537,Temp!K537),"")</f>
        <v/>
      </c>
      <c r="E541" s="7"/>
      <c r="F541" s="8" t="str">
        <f t="shared" si="17"/>
        <v/>
      </c>
    </row>
    <row r="542" spans="1:6" x14ac:dyDescent="0.25">
      <c r="A542" s="13" t="str">
        <f>IF(AND($E542="",MAX($A$8:$A541)=0),"",IF(AND($E542&lt;&gt;"",MAX($A$8:$A541)=0),1,IF(AND($E542&lt;&gt;"",MAX($A$8:$A541)&gt;0),MAX($A$8:$A541)+1,"")))</f>
        <v/>
      </c>
      <c r="B542" s="11">
        <v>535</v>
      </c>
      <c r="C542" s="19" t="str">
        <f t="shared" si="16"/>
        <v>EMPTY</v>
      </c>
      <c r="D542" s="3" t="str">
        <f>IF(C542="SHOW",CONCATENATE(Temp!G538,Temp!H538,",",Temp!I538,",",Temp!J538,Temp!K538),"")</f>
        <v/>
      </c>
      <c r="E542" s="7"/>
      <c r="F542" s="8" t="str">
        <f t="shared" si="17"/>
        <v/>
      </c>
    </row>
    <row r="543" spans="1:6" x14ac:dyDescent="0.25">
      <c r="A543" s="13" t="str">
        <f>IF(AND($E543="",MAX($A$8:$A542)=0),"",IF(AND($E543&lt;&gt;"",MAX($A$8:$A542)=0),1,IF(AND($E543&lt;&gt;"",MAX($A$8:$A542)&gt;0),MAX($A$8:$A542)+1,"")))</f>
        <v/>
      </c>
      <c r="B543" s="11">
        <v>536</v>
      </c>
      <c r="C543" s="19" t="str">
        <f t="shared" si="16"/>
        <v>EMPTY</v>
      </c>
      <c r="D543" s="3" t="str">
        <f>IF(C543="SHOW",CONCATENATE(Temp!G539,Temp!H539,",",Temp!I539,",",Temp!J539,Temp!K539),"")</f>
        <v/>
      </c>
      <c r="E543" s="7"/>
      <c r="F543" s="8" t="str">
        <f t="shared" si="17"/>
        <v/>
      </c>
    </row>
    <row r="544" spans="1:6" x14ac:dyDescent="0.25">
      <c r="A544" s="13" t="str">
        <f>IF(AND($E544="",MAX($A$8:$A543)=0),"",IF(AND($E544&lt;&gt;"",MAX($A$8:$A543)=0),1,IF(AND($E544&lt;&gt;"",MAX($A$8:$A543)&gt;0),MAX($A$8:$A543)+1,"")))</f>
        <v/>
      </c>
      <c r="B544" s="11">
        <v>537</v>
      </c>
      <c r="C544" s="19" t="str">
        <f t="shared" si="16"/>
        <v>EMPTY</v>
      </c>
      <c r="D544" s="3" t="str">
        <f>IF(C544="SHOW",CONCATENATE(Temp!G540,Temp!H540,",",Temp!I540,",",Temp!J540,Temp!K540),"")</f>
        <v/>
      </c>
      <c r="E544" s="7"/>
      <c r="F544" s="8" t="str">
        <f t="shared" si="17"/>
        <v/>
      </c>
    </row>
    <row r="545" spans="1:6" x14ac:dyDescent="0.25">
      <c r="A545" s="13" t="str">
        <f>IF(AND($E545="",MAX($A$8:$A544)=0),"",IF(AND($E545&lt;&gt;"",MAX($A$8:$A544)=0),1,IF(AND($E545&lt;&gt;"",MAX($A$8:$A544)&gt;0),MAX($A$8:$A544)+1,"")))</f>
        <v/>
      </c>
      <c r="B545" s="11">
        <v>538</v>
      </c>
      <c r="C545" s="19" t="str">
        <f t="shared" si="16"/>
        <v>EMPTY</v>
      </c>
      <c r="D545" s="3" t="str">
        <f>IF(C545="SHOW",CONCATENATE(Temp!G541,Temp!H541,",",Temp!I541,",",Temp!J541,Temp!K541),"")</f>
        <v/>
      </c>
      <c r="E545" s="7"/>
      <c r="F545" s="8" t="str">
        <f t="shared" si="17"/>
        <v/>
      </c>
    </row>
    <row r="546" spans="1:6" x14ac:dyDescent="0.25">
      <c r="A546" s="13" t="str">
        <f>IF(AND($E546="",MAX($A$8:$A545)=0),"",IF(AND($E546&lt;&gt;"",MAX($A$8:$A545)=0),1,IF(AND($E546&lt;&gt;"",MAX($A$8:$A545)&gt;0),MAX($A$8:$A545)+1,"")))</f>
        <v/>
      </c>
      <c r="B546" s="11">
        <v>539</v>
      </c>
      <c r="C546" s="19" t="str">
        <f t="shared" si="16"/>
        <v>EMPTY</v>
      </c>
      <c r="D546" s="3" t="str">
        <f>IF(C546="SHOW",CONCATENATE(Temp!G542,Temp!H542,",",Temp!I542,",",Temp!J542,Temp!K542),"")</f>
        <v/>
      </c>
      <c r="E546" s="7"/>
      <c r="F546" s="8" t="str">
        <f t="shared" si="17"/>
        <v/>
      </c>
    </row>
    <row r="547" spans="1:6" x14ac:dyDescent="0.25">
      <c r="A547" s="13" t="str">
        <f>IF(AND($E547="",MAX($A$8:$A546)=0),"",IF(AND($E547&lt;&gt;"",MAX($A$8:$A546)=0),1,IF(AND($E547&lt;&gt;"",MAX($A$8:$A546)&gt;0),MAX($A$8:$A546)+1,"")))</f>
        <v/>
      </c>
      <c r="B547" s="11">
        <v>540</v>
      </c>
      <c r="C547" s="19" t="str">
        <f t="shared" si="16"/>
        <v>EMPTY</v>
      </c>
      <c r="D547" s="3" t="str">
        <f>IF(C547="SHOW",CONCATENATE(Temp!G543,Temp!H543,",",Temp!I543,",",Temp!J543,Temp!K543),"")</f>
        <v/>
      </c>
      <c r="E547" s="7"/>
      <c r="F547" s="8" t="str">
        <f t="shared" si="17"/>
        <v/>
      </c>
    </row>
    <row r="548" spans="1:6" x14ac:dyDescent="0.25">
      <c r="A548" s="13" t="str">
        <f>IF(AND($E548="",MAX($A$8:$A547)=0),"",IF(AND($E548&lt;&gt;"",MAX($A$8:$A547)=0),1,IF(AND($E548&lt;&gt;"",MAX($A$8:$A547)&gt;0),MAX($A$8:$A547)+1,"")))</f>
        <v/>
      </c>
      <c r="B548" s="11">
        <v>541</v>
      </c>
      <c r="C548" s="19" t="str">
        <f t="shared" si="16"/>
        <v>EMPTY</v>
      </c>
      <c r="D548" s="3" t="str">
        <f>IF(C548="SHOW",CONCATENATE(Temp!G544,Temp!H544,",",Temp!I544,",",Temp!J544,Temp!K544),"")</f>
        <v/>
      </c>
      <c r="E548" s="7"/>
      <c r="F548" s="8" t="str">
        <f t="shared" si="17"/>
        <v/>
      </c>
    </row>
    <row r="549" spans="1:6" x14ac:dyDescent="0.25">
      <c r="A549" s="13" t="str">
        <f>IF(AND($E549="",MAX($A$8:$A548)=0),"",IF(AND($E549&lt;&gt;"",MAX($A$8:$A548)=0),1,IF(AND($E549&lt;&gt;"",MAX($A$8:$A548)&gt;0),MAX($A$8:$A548)+1,"")))</f>
        <v/>
      </c>
      <c r="B549" s="11">
        <v>542</v>
      </c>
      <c r="C549" s="19" t="str">
        <f t="shared" si="16"/>
        <v>EMPTY</v>
      </c>
      <c r="D549" s="3" t="str">
        <f>IF(C549="SHOW",CONCATENATE(Temp!G545,Temp!H545,",",Temp!I545,",",Temp!J545,Temp!K545),"")</f>
        <v/>
      </c>
      <c r="E549" s="7"/>
      <c r="F549" s="8" t="str">
        <f t="shared" si="17"/>
        <v/>
      </c>
    </row>
    <row r="550" spans="1:6" x14ac:dyDescent="0.25">
      <c r="A550" s="13" t="str">
        <f>IF(AND($E550="",MAX($A$8:$A549)=0),"",IF(AND($E550&lt;&gt;"",MAX($A$8:$A549)=0),1,IF(AND($E550&lt;&gt;"",MAX($A$8:$A549)&gt;0),MAX($A$8:$A549)+1,"")))</f>
        <v/>
      </c>
      <c r="B550" s="11">
        <v>543</v>
      </c>
      <c r="C550" s="19" t="str">
        <f t="shared" si="16"/>
        <v>EMPTY</v>
      </c>
      <c r="D550" s="3" t="str">
        <f>IF(C550="SHOW",CONCATENATE(Temp!G546,Temp!H546,",",Temp!I546,",",Temp!J546,Temp!K546),"")</f>
        <v/>
      </c>
      <c r="E550" s="7"/>
      <c r="F550" s="8" t="str">
        <f t="shared" si="17"/>
        <v/>
      </c>
    </row>
    <row r="551" spans="1:6" x14ac:dyDescent="0.25">
      <c r="A551" s="13" t="str">
        <f>IF(AND($E551="",MAX($A$8:$A550)=0),"",IF(AND($E551&lt;&gt;"",MAX($A$8:$A550)=0),1,IF(AND($E551&lt;&gt;"",MAX($A$8:$A550)&gt;0),MAX($A$8:$A550)+1,"")))</f>
        <v/>
      </c>
      <c r="B551" s="11">
        <v>544</v>
      </c>
      <c r="C551" s="19" t="str">
        <f t="shared" si="16"/>
        <v>EMPTY</v>
      </c>
      <c r="D551" s="3" t="str">
        <f>IF(C551="SHOW",CONCATENATE(Temp!G547,Temp!H547,",",Temp!I547,",",Temp!J547,Temp!K547),"")</f>
        <v/>
      </c>
      <c r="E551" s="7"/>
      <c r="F551" s="8" t="str">
        <f t="shared" si="17"/>
        <v/>
      </c>
    </row>
    <row r="552" spans="1:6" x14ac:dyDescent="0.25">
      <c r="A552" s="13" t="str">
        <f>IF(AND($E552="",MAX($A$8:$A551)=0),"",IF(AND($E552&lt;&gt;"",MAX($A$8:$A551)=0),1,IF(AND($E552&lt;&gt;"",MAX($A$8:$A551)&gt;0),MAX($A$8:$A551)+1,"")))</f>
        <v/>
      </c>
      <c r="B552" s="11">
        <v>545</v>
      </c>
      <c r="C552" s="19" t="str">
        <f t="shared" si="16"/>
        <v>EMPTY</v>
      </c>
      <c r="D552" s="3" t="str">
        <f>IF(C552="SHOW",CONCATENATE(Temp!G548,Temp!H548,",",Temp!I548,",",Temp!J548,Temp!K548),"")</f>
        <v/>
      </c>
      <c r="E552" s="7"/>
      <c r="F552" s="8" t="str">
        <f t="shared" si="17"/>
        <v/>
      </c>
    </row>
    <row r="553" spans="1:6" x14ac:dyDescent="0.25">
      <c r="A553" s="13" t="str">
        <f>IF(AND($E553="",MAX($A$8:$A552)=0),"",IF(AND($E553&lt;&gt;"",MAX($A$8:$A552)=0),1,IF(AND($E553&lt;&gt;"",MAX($A$8:$A552)&gt;0),MAX($A$8:$A552)+1,"")))</f>
        <v/>
      </c>
      <c r="B553" s="11">
        <v>546</v>
      </c>
      <c r="C553" s="19" t="str">
        <f t="shared" si="16"/>
        <v>EMPTY</v>
      </c>
      <c r="D553" s="3" t="str">
        <f>IF(C553="SHOW",CONCATENATE(Temp!G549,Temp!H549,",",Temp!I549,",",Temp!J549,Temp!K549),"")</f>
        <v/>
      </c>
      <c r="E553" s="7"/>
      <c r="F553" s="8" t="str">
        <f t="shared" si="17"/>
        <v/>
      </c>
    </row>
    <row r="554" spans="1:6" x14ac:dyDescent="0.25">
      <c r="A554" s="13" t="str">
        <f>IF(AND($E554="",MAX($A$8:$A553)=0),"",IF(AND($E554&lt;&gt;"",MAX($A$8:$A553)=0),1,IF(AND($E554&lt;&gt;"",MAX($A$8:$A553)&gt;0),MAX($A$8:$A553)+1,"")))</f>
        <v/>
      </c>
      <c r="B554" s="11">
        <v>547</v>
      </c>
      <c r="C554" s="19" t="str">
        <f t="shared" si="16"/>
        <v>EMPTY</v>
      </c>
      <c r="D554" s="3" t="str">
        <f>IF(C554="SHOW",CONCATENATE(Temp!G550,Temp!H550,",",Temp!I550,",",Temp!J550,Temp!K550),"")</f>
        <v/>
      </c>
      <c r="E554" s="7"/>
      <c r="F554" s="8" t="str">
        <f t="shared" si="17"/>
        <v/>
      </c>
    </row>
    <row r="555" spans="1:6" x14ac:dyDescent="0.25">
      <c r="A555" s="13" t="str">
        <f>IF(AND($E555="",MAX($A$8:$A554)=0),"",IF(AND($E555&lt;&gt;"",MAX($A$8:$A554)=0),1,IF(AND($E555&lt;&gt;"",MAX($A$8:$A554)&gt;0),MAX($A$8:$A554)+1,"")))</f>
        <v/>
      </c>
      <c r="B555" s="11">
        <v>548</v>
      </c>
      <c r="C555" s="19" t="str">
        <f t="shared" si="16"/>
        <v>EMPTY</v>
      </c>
      <c r="D555" s="3" t="str">
        <f>IF(C555="SHOW",CONCATENATE(Temp!G551,Temp!H551,",",Temp!I551,",",Temp!J551,Temp!K551),"")</f>
        <v/>
      </c>
      <c r="E555" s="7"/>
      <c r="F555" s="8" t="str">
        <f t="shared" si="17"/>
        <v/>
      </c>
    </row>
    <row r="556" spans="1:6" x14ac:dyDescent="0.25">
      <c r="A556" s="13" t="str">
        <f>IF(AND($E556="",MAX($A$8:$A555)=0),"",IF(AND($E556&lt;&gt;"",MAX($A$8:$A555)=0),1,IF(AND($E556&lt;&gt;"",MAX($A$8:$A555)&gt;0),MAX($A$8:$A555)+1,"")))</f>
        <v/>
      </c>
      <c r="B556" s="11">
        <v>549</v>
      </c>
      <c r="C556" s="19" t="str">
        <f t="shared" si="16"/>
        <v>EMPTY</v>
      </c>
      <c r="D556" s="3" t="str">
        <f>IF(C556="SHOW",CONCATENATE(Temp!G552,Temp!H552,",",Temp!I552,",",Temp!J552,Temp!K552),"")</f>
        <v/>
      </c>
      <c r="E556" s="7"/>
      <c r="F556" s="8" t="str">
        <f t="shared" si="17"/>
        <v/>
      </c>
    </row>
    <row r="557" spans="1:6" x14ac:dyDescent="0.25">
      <c r="A557" s="13" t="str">
        <f>IF(AND($E557="",MAX($A$8:$A556)=0),"",IF(AND($E557&lt;&gt;"",MAX($A$8:$A556)=0),1,IF(AND($E557&lt;&gt;"",MAX($A$8:$A556)&gt;0),MAX($A$8:$A556)+1,"")))</f>
        <v/>
      </c>
      <c r="B557" s="11">
        <v>550</v>
      </c>
      <c r="C557" s="19" t="str">
        <f t="shared" si="16"/>
        <v>EMPTY</v>
      </c>
      <c r="D557" s="3" t="str">
        <f>IF(C557="SHOW",CONCATENATE(Temp!G553,Temp!H553,",",Temp!I553,",",Temp!J553,Temp!K553),"")</f>
        <v/>
      </c>
      <c r="E557" s="7"/>
      <c r="F557" s="8" t="str">
        <f t="shared" si="17"/>
        <v/>
      </c>
    </row>
    <row r="558" spans="1:6" x14ac:dyDescent="0.25">
      <c r="A558" s="13" t="str">
        <f>IF(AND($E558="",MAX($A$8:$A557)=0),"",IF(AND($E558&lt;&gt;"",MAX($A$8:$A557)=0),1,IF(AND($E558&lt;&gt;"",MAX($A$8:$A557)&gt;0),MAX($A$8:$A557)+1,"")))</f>
        <v/>
      </c>
      <c r="B558" s="11">
        <v>551</v>
      </c>
      <c r="C558" s="19" t="str">
        <f t="shared" si="16"/>
        <v>EMPTY</v>
      </c>
      <c r="D558" s="3" t="str">
        <f>IF(C558="SHOW",CONCATENATE(Temp!G554,Temp!H554,",",Temp!I554,",",Temp!J554,Temp!K554),"")</f>
        <v/>
      </c>
      <c r="E558" s="7"/>
      <c r="F558" s="8" t="str">
        <f t="shared" si="17"/>
        <v/>
      </c>
    </row>
    <row r="559" spans="1:6" x14ac:dyDescent="0.25">
      <c r="A559" s="13" t="str">
        <f>IF(AND($E559="",MAX($A$8:$A558)=0),"",IF(AND($E559&lt;&gt;"",MAX($A$8:$A558)=0),1,IF(AND($E559&lt;&gt;"",MAX($A$8:$A558)&gt;0),MAX($A$8:$A558)+1,"")))</f>
        <v/>
      </c>
      <c r="B559" s="11">
        <v>552</v>
      </c>
      <c r="C559" s="19" t="str">
        <f t="shared" si="16"/>
        <v>EMPTY</v>
      </c>
      <c r="D559" s="3" t="str">
        <f>IF(C559="SHOW",CONCATENATE(Temp!G555,Temp!H555,",",Temp!I555,",",Temp!J555,Temp!K555),"")</f>
        <v/>
      </c>
      <c r="E559" s="7"/>
      <c r="F559" s="8" t="str">
        <f t="shared" si="17"/>
        <v/>
      </c>
    </row>
    <row r="560" spans="1:6" x14ac:dyDescent="0.25">
      <c r="A560" s="13" t="str">
        <f>IF(AND($E560="",MAX($A$8:$A559)=0),"",IF(AND($E560&lt;&gt;"",MAX($A$8:$A559)=0),1,IF(AND($E560&lt;&gt;"",MAX($A$8:$A559)&gt;0),MAX($A$8:$A559)+1,"")))</f>
        <v/>
      </c>
      <c r="B560" s="11">
        <v>553</v>
      </c>
      <c r="C560" s="19" t="str">
        <f t="shared" si="16"/>
        <v>EMPTY</v>
      </c>
      <c r="D560" s="3" t="str">
        <f>IF(C560="SHOW",CONCATENATE(Temp!G556,Temp!H556,",",Temp!I556,",",Temp!J556,Temp!K556),"")</f>
        <v/>
      </c>
      <c r="E560" s="7"/>
      <c r="F560" s="8" t="str">
        <f t="shared" si="17"/>
        <v/>
      </c>
    </row>
    <row r="561" spans="1:6" x14ac:dyDescent="0.25">
      <c r="A561" s="13" t="str">
        <f>IF(AND($E561="",MAX($A$8:$A560)=0),"",IF(AND($E561&lt;&gt;"",MAX($A$8:$A560)=0),1,IF(AND($E561&lt;&gt;"",MAX($A$8:$A560)&gt;0),MAX($A$8:$A560)+1,"")))</f>
        <v/>
      </c>
      <c r="B561" s="11">
        <v>554</v>
      </c>
      <c r="C561" s="19" t="str">
        <f t="shared" si="16"/>
        <v>EMPTY</v>
      </c>
      <c r="D561" s="3" t="str">
        <f>IF(C561="SHOW",CONCATENATE(Temp!G557,Temp!H557,",",Temp!I557,",",Temp!J557,Temp!K557),"")</f>
        <v/>
      </c>
      <c r="E561" s="7"/>
      <c r="F561" s="8" t="str">
        <f t="shared" si="17"/>
        <v/>
      </c>
    </row>
    <row r="562" spans="1:6" x14ac:dyDescent="0.25">
      <c r="A562" s="13" t="str">
        <f>IF(AND($E562="",MAX($A$8:$A561)=0),"",IF(AND($E562&lt;&gt;"",MAX($A$8:$A561)=0),1,IF(AND($E562&lt;&gt;"",MAX($A$8:$A561)&gt;0),MAX($A$8:$A561)+1,"")))</f>
        <v/>
      </c>
      <c r="B562" s="11">
        <v>555</v>
      </c>
      <c r="C562" s="19" t="str">
        <f t="shared" si="16"/>
        <v>EMPTY</v>
      </c>
      <c r="D562" s="3" t="str">
        <f>IF(C562="SHOW",CONCATENATE(Temp!G558,Temp!H558,",",Temp!I558,",",Temp!J558,Temp!K558),"")</f>
        <v/>
      </c>
      <c r="E562" s="7"/>
      <c r="F562" s="8" t="str">
        <f t="shared" si="17"/>
        <v/>
      </c>
    </row>
    <row r="563" spans="1:6" x14ac:dyDescent="0.25">
      <c r="A563" s="13" t="str">
        <f>IF(AND($E563="",MAX($A$8:$A562)=0),"",IF(AND($E563&lt;&gt;"",MAX($A$8:$A562)=0),1,IF(AND($E563&lt;&gt;"",MAX($A$8:$A562)&gt;0),MAX($A$8:$A562)+1,"")))</f>
        <v/>
      </c>
      <c r="B563" s="11">
        <v>556</v>
      </c>
      <c r="C563" s="19" t="str">
        <f t="shared" si="16"/>
        <v>EMPTY</v>
      </c>
      <c r="D563" s="3" t="str">
        <f>IF(C563="SHOW",CONCATENATE(Temp!G559,Temp!H559,",",Temp!I559,",",Temp!J559,Temp!K559),"")</f>
        <v/>
      </c>
      <c r="E563" s="7"/>
      <c r="F563" s="8" t="str">
        <f t="shared" si="17"/>
        <v/>
      </c>
    </row>
    <row r="564" spans="1:6" x14ac:dyDescent="0.25">
      <c r="A564" s="13" t="str">
        <f>IF(AND($E564="",MAX($A$8:$A563)=0),"",IF(AND($E564&lt;&gt;"",MAX($A$8:$A563)=0),1,IF(AND($E564&lt;&gt;"",MAX($A$8:$A563)&gt;0),MAX($A$8:$A563)+1,"")))</f>
        <v/>
      </c>
      <c r="B564" s="11">
        <v>557</v>
      </c>
      <c r="C564" s="19" t="str">
        <f t="shared" si="16"/>
        <v>EMPTY</v>
      </c>
      <c r="D564" s="3" t="str">
        <f>IF(C564="SHOW",CONCATENATE(Temp!G560,Temp!H560,",",Temp!I560,",",Temp!J560,Temp!K560),"")</f>
        <v/>
      </c>
      <c r="E564" s="7"/>
      <c r="F564" s="8" t="str">
        <f t="shared" si="17"/>
        <v/>
      </c>
    </row>
    <row r="565" spans="1:6" x14ac:dyDescent="0.25">
      <c r="A565" s="13" t="str">
        <f>IF(AND($E565="",MAX($A$8:$A564)=0),"",IF(AND($E565&lt;&gt;"",MAX($A$8:$A564)=0),1,IF(AND($E565&lt;&gt;"",MAX($A$8:$A564)&gt;0),MAX($A$8:$A564)+1,"")))</f>
        <v/>
      </c>
      <c r="B565" s="11">
        <v>558</v>
      </c>
      <c r="C565" s="19" t="str">
        <f t="shared" si="16"/>
        <v>EMPTY</v>
      </c>
      <c r="D565" s="3" t="str">
        <f>IF(C565="SHOW",CONCATENATE(Temp!G561,Temp!H561,",",Temp!I561,",",Temp!J561,Temp!K561),"")</f>
        <v/>
      </c>
      <c r="E565" s="7"/>
      <c r="F565" s="8" t="str">
        <f t="shared" si="17"/>
        <v/>
      </c>
    </row>
    <row r="566" spans="1:6" x14ac:dyDescent="0.25">
      <c r="A566" s="13" t="str">
        <f>IF(AND($E566="",MAX($A$8:$A565)=0),"",IF(AND($E566&lt;&gt;"",MAX($A$8:$A565)=0),1,IF(AND($E566&lt;&gt;"",MAX($A$8:$A565)&gt;0),MAX($A$8:$A565)+1,"")))</f>
        <v/>
      </c>
      <c r="B566" s="11">
        <v>559</v>
      </c>
      <c r="C566" s="19" t="str">
        <f t="shared" si="16"/>
        <v>EMPTY</v>
      </c>
      <c r="D566" s="3" t="str">
        <f>IF(C566="SHOW",CONCATENATE(Temp!G562,Temp!H562,",",Temp!I562,",",Temp!J562,Temp!K562),"")</f>
        <v/>
      </c>
      <c r="E566" s="7"/>
      <c r="F566" s="8" t="str">
        <f t="shared" si="17"/>
        <v/>
      </c>
    </row>
    <row r="567" spans="1:6" x14ac:dyDescent="0.25">
      <c r="A567" s="13" t="str">
        <f>IF(AND($E567="",MAX($A$8:$A566)=0),"",IF(AND($E567&lt;&gt;"",MAX($A$8:$A566)=0),1,IF(AND($E567&lt;&gt;"",MAX($A$8:$A566)&gt;0),MAX($A$8:$A566)+1,"")))</f>
        <v/>
      </c>
      <c r="B567" s="11">
        <v>560</v>
      </c>
      <c r="C567" s="19" t="str">
        <f t="shared" si="16"/>
        <v>EMPTY</v>
      </c>
      <c r="D567" s="3" t="str">
        <f>IF(C567="SHOW",CONCATENATE(Temp!G563,Temp!H563,",",Temp!I563,",",Temp!J563,Temp!K563),"")</f>
        <v/>
      </c>
      <c r="E567" s="7"/>
      <c r="F567" s="8" t="str">
        <f t="shared" si="17"/>
        <v/>
      </c>
    </row>
    <row r="568" spans="1:6" x14ac:dyDescent="0.25">
      <c r="A568" s="13" t="str">
        <f>IF(AND($E568="",MAX($A$8:$A567)=0),"",IF(AND($E568&lt;&gt;"",MAX($A$8:$A567)=0),1,IF(AND($E568&lt;&gt;"",MAX($A$8:$A567)&gt;0),MAX($A$8:$A567)+1,"")))</f>
        <v/>
      </c>
      <c r="B568" s="11">
        <v>561</v>
      </c>
      <c r="C568" s="19" t="str">
        <f t="shared" si="16"/>
        <v>EMPTY</v>
      </c>
      <c r="D568" s="3" t="str">
        <f>IF(C568="SHOW",CONCATENATE(Temp!G564,Temp!H564,",",Temp!I564,",",Temp!J564,Temp!K564),"")</f>
        <v/>
      </c>
      <c r="E568" s="7"/>
      <c r="F568" s="8" t="str">
        <f t="shared" si="17"/>
        <v/>
      </c>
    </row>
    <row r="569" spans="1:6" x14ac:dyDescent="0.25">
      <c r="A569" s="13" t="str">
        <f>IF(AND($E569="",MAX($A$8:$A568)=0),"",IF(AND($E569&lt;&gt;"",MAX($A$8:$A568)=0),1,IF(AND($E569&lt;&gt;"",MAX($A$8:$A568)&gt;0),MAX($A$8:$A568)+1,"")))</f>
        <v/>
      </c>
      <c r="B569" s="11">
        <v>562</v>
      </c>
      <c r="C569" s="19" t="str">
        <f t="shared" si="16"/>
        <v>EMPTY</v>
      </c>
      <c r="D569" s="3" t="str">
        <f>IF(C569="SHOW",CONCATENATE(Temp!G565,Temp!H565,",",Temp!I565,",",Temp!J565,Temp!K565),"")</f>
        <v/>
      </c>
      <c r="E569" s="7"/>
      <c r="F569" s="8" t="str">
        <f t="shared" si="17"/>
        <v/>
      </c>
    </row>
    <row r="570" spans="1:6" x14ac:dyDescent="0.25">
      <c r="A570" s="13" t="str">
        <f>IF(AND($E570="",MAX($A$8:$A569)=0),"",IF(AND($E570&lt;&gt;"",MAX($A$8:$A569)=0),1,IF(AND($E570&lt;&gt;"",MAX($A$8:$A569)&gt;0),MAX($A$8:$A569)+1,"")))</f>
        <v/>
      </c>
      <c r="B570" s="11">
        <v>563</v>
      </c>
      <c r="C570" s="19" t="str">
        <f t="shared" si="16"/>
        <v>EMPTY</v>
      </c>
      <c r="D570" s="3" t="str">
        <f>IF(C570="SHOW",CONCATENATE(Temp!G566,Temp!H566,",",Temp!I566,",",Temp!J566,Temp!K566),"")</f>
        <v/>
      </c>
      <c r="E570" s="7"/>
      <c r="F570" s="8" t="str">
        <f t="shared" si="17"/>
        <v/>
      </c>
    </row>
    <row r="571" spans="1:6" x14ac:dyDescent="0.25">
      <c r="A571" s="13" t="str">
        <f>IF(AND($E571="",MAX($A$8:$A570)=0),"",IF(AND($E571&lt;&gt;"",MAX($A$8:$A570)=0),1,IF(AND($E571&lt;&gt;"",MAX($A$8:$A570)&gt;0),MAX($A$8:$A570)+1,"")))</f>
        <v/>
      </c>
      <c r="B571" s="11">
        <v>564</v>
      </c>
      <c r="C571" s="19" t="str">
        <f t="shared" si="16"/>
        <v>EMPTY</v>
      </c>
      <c r="D571" s="3" t="str">
        <f>IF(C571="SHOW",CONCATENATE(Temp!G567,Temp!H567,",",Temp!I567,",",Temp!J567,Temp!K567),"")</f>
        <v/>
      </c>
      <c r="E571" s="7"/>
      <c r="F571" s="8" t="str">
        <f t="shared" si="17"/>
        <v/>
      </c>
    </row>
    <row r="572" spans="1:6" x14ac:dyDescent="0.25">
      <c r="A572" s="13" t="str">
        <f>IF(AND($E572="",MAX($A$8:$A571)=0),"",IF(AND($E572&lt;&gt;"",MAX($A$8:$A571)=0),1,IF(AND($E572&lt;&gt;"",MAX($A$8:$A571)&gt;0),MAX($A$8:$A571)+1,"")))</f>
        <v/>
      </c>
      <c r="B572" s="11">
        <v>565</v>
      </c>
      <c r="C572" s="19" t="str">
        <f t="shared" si="16"/>
        <v>EMPTY</v>
      </c>
      <c r="D572" s="3" t="str">
        <f>IF(C572="SHOW",CONCATENATE(Temp!G568,Temp!H568,",",Temp!I568,",",Temp!J568,Temp!K568),"")</f>
        <v/>
      </c>
      <c r="E572" s="7"/>
      <c r="F572" s="8" t="str">
        <f t="shared" si="17"/>
        <v/>
      </c>
    </row>
    <row r="573" spans="1:6" x14ac:dyDescent="0.25">
      <c r="A573" s="13" t="str">
        <f>IF(AND($E573="",MAX($A$8:$A572)=0),"",IF(AND($E573&lt;&gt;"",MAX($A$8:$A572)=0),1,IF(AND($E573&lt;&gt;"",MAX($A$8:$A572)&gt;0),MAX($A$8:$A572)+1,"")))</f>
        <v/>
      </c>
      <c r="B573" s="11">
        <v>566</v>
      </c>
      <c r="C573" s="19" t="str">
        <f t="shared" si="16"/>
        <v>EMPTY</v>
      </c>
      <c r="D573" s="3" t="str">
        <f>IF(C573="SHOW",CONCATENATE(Temp!G569,Temp!H569,",",Temp!I569,",",Temp!J569,Temp!K569),"")</f>
        <v/>
      </c>
      <c r="E573" s="7"/>
      <c r="F573" s="8" t="str">
        <f t="shared" si="17"/>
        <v/>
      </c>
    </row>
    <row r="574" spans="1:6" x14ac:dyDescent="0.25">
      <c r="A574" s="13" t="str">
        <f>IF(AND($E574="",MAX($A$8:$A573)=0),"",IF(AND($E574&lt;&gt;"",MAX($A$8:$A573)=0),1,IF(AND($E574&lt;&gt;"",MAX($A$8:$A573)&gt;0),MAX($A$8:$A573)+1,"")))</f>
        <v/>
      </c>
      <c r="B574" s="11">
        <v>567</v>
      </c>
      <c r="C574" s="19" t="str">
        <f t="shared" si="16"/>
        <v>EMPTY</v>
      </c>
      <c r="D574" s="3" t="str">
        <f>IF(C574="SHOW",CONCATENATE(Temp!G570,Temp!H570,",",Temp!I570,",",Temp!J570,Temp!K570),"")</f>
        <v/>
      </c>
      <c r="E574" s="7"/>
      <c r="F574" s="8" t="str">
        <f t="shared" si="17"/>
        <v/>
      </c>
    </row>
    <row r="575" spans="1:6" x14ac:dyDescent="0.25">
      <c r="A575" s="13" t="str">
        <f>IF(AND($E575="",MAX($A$8:$A574)=0),"",IF(AND($E575&lt;&gt;"",MAX($A$8:$A574)=0),1,IF(AND($E575&lt;&gt;"",MAX($A$8:$A574)&gt;0),MAX($A$8:$A574)+1,"")))</f>
        <v/>
      </c>
      <c r="B575" s="11">
        <v>568</v>
      </c>
      <c r="C575" s="19" t="str">
        <f t="shared" si="16"/>
        <v>EMPTY</v>
      </c>
      <c r="D575" s="3" t="str">
        <f>IF(C575="SHOW",CONCATENATE(Temp!G571,Temp!H571,",",Temp!I571,",",Temp!J571,Temp!K571),"")</f>
        <v/>
      </c>
      <c r="E575" s="7"/>
      <c r="F575" s="8" t="str">
        <f t="shared" si="17"/>
        <v/>
      </c>
    </row>
    <row r="576" spans="1:6" x14ac:dyDescent="0.25">
      <c r="A576" s="13" t="str">
        <f>IF(AND($E576="",MAX($A$8:$A575)=0),"",IF(AND($E576&lt;&gt;"",MAX($A$8:$A575)=0),1,IF(AND($E576&lt;&gt;"",MAX($A$8:$A575)&gt;0),MAX($A$8:$A575)+1,"")))</f>
        <v/>
      </c>
      <c r="B576" s="11">
        <v>569</v>
      </c>
      <c r="C576" s="19" t="str">
        <f t="shared" si="16"/>
        <v>EMPTY</v>
      </c>
      <c r="D576" s="3" t="str">
        <f>IF(C576="SHOW",CONCATENATE(Temp!G572,Temp!H572,",",Temp!I572,",",Temp!J572,Temp!K572),"")</f>
        <v/>
      </c>
      <c r="E576" s="7"/>
      <c r="F576" s="8" t="str">
        <f t="shared" si="17"/>
        <v/>
      </c>
    </row>
    <row r="577" spans="1:6" x14ac:dyDescent="0.25">
      <c r="A577" s="13" t="str">
        <f>IF(AND($E577="",MAX($A$8:$A576)=0),"",IF(AND($E577&lt;&gt;"",MAX($A$8:$A576)=0),1,IF(AND($E577&lt;&gt;"",MAX($A$8:$A576)&gt;0),MAX($A$8:$A576)+1,"")))</f>
        <v/>
      </c>
      <c r="B577" s="11">
        <v>570</v>
      </c>
      <c r="C577" s="19" t="str">
        <f t="shared" si="16"/>
        <v>EMPTY</v>
      </c>
      <c r="D577" s="3" t="str">
        <f>IF(C577="SHOW",CONCATENATE(Temp!G573,Temp!H573,",",Temp!I573,",",Temp!J573,Temp!K573),"")</f>
        <v/>
      </c>
      <c r="E577" s="7"/>
      <c r="F577" s="8" t="str">
        <f t="shared" si="17"/>
        <v/>
      </c>
    </row>
    <row r="578" spans="1:6" x14ac:dyDescent="0.25">
      <c r="A578" s="13" t="str">
        <f>IF(AND($E578="",MAX($A$8:$A577)=0),"",IF(AND($E578&lt;&gt;"",MAX($A$8:$A577)=0),1,IF(AND($E578&lt;&gt;"",MAX($A$8:$A577)&gt;0),MAX($A$8:$A577)+1,"")))</f>
        <v/>
      </c>
      <c r="B578" s="11">
        <v>571</v>
      </c>
      <c r="C578" s="19" t="str">
        <f t="shared" si="16"/>
        <v>EMPTY</v>
      </c>
      <c r="D578" s="3" t="str">
        <f>IF(C578="SHOW",CONCATENATE(Temp!G574,Temp!H574,",",Temp!I574,",",Temp!J574,Temp!K574),"")</f>
        <v/>
      </c>
      <c r="E578" s="7"/>
      <c r="F578" s="8" t="str">
        <f t="shared" si="17"/>
        <v/>
      </c>
    </row>
    <row r="579" spans="1:6" x14ac:dyDescent="0.25">
      <c r="A579" s="13" t="str">
        <f>IF(AND($E579="",MAX($A$8:$A578)=0),"",IF(AND($E579&lt;&gt;"",MAX($A$8:$A578)=0),1,IF(AND($E579&lt;&gt;"",MAX($A$8:$A578)&gt;0),MAX($A$8:$A578)+1,"")))</f>
        <v/>
      </c>
      <c r="B579" s="11">
        <v>572</v>
      </c>
      <c r="C579" s="19" t="str">
        <f t="shared" si="16"/>
        <v>EMPTY</v>
      </c>
      <c r="D579" s="3" t="str">
        <f>IF(C579="SHOW",CONCATENATE(Temp!G575,Temp!H575,",",Temp!I575,",",Temp!J575,Temp!K575),"")</f>
        <v/>
      </c>
      <c r="E579" s="7"/>
      <c r="F579" s="8" t="str">
        <f t="shared" si="17"/>
        <v/>
      </c>
    </row>
    <row r="580" spans="1:6" x14ac:dyDescent="0.25">
      <c r="A580" s="13" t="str">
        <f>IF(AND($E580="",MAX($A$8:$A579)=0),"",IF(AND($E580&lt;&gt;"",MAX($A$8:$A579)=0),1,IF(AND($E580&lt;&gt;"",MAX($A$8:$A579)&gt;0),MAX($A$8:$A579)+1,"")))</f>
        <v/>
      </c>
      <c r="B580" s="11">
        <v>573</v>
      </c>
      <c r="C580" s="19" t="str">
        <f t="shared" si="16"/>
        <v>EMPTY</v>
      </c>
      <c r="D580" s="3" t="str">
        <f>IF(C580="SHOW",CONCATENATE(Temp!G576,Temp!H576,",",Temp!I576,",",Temp!J576,Temp!K576),"")</f>
        <v/>
      </c>
      <c r="E580" s="7"/>
      <c r="F580" s="8" t="str">
        <f t="shared" si="17"/>
        <v/>
      </c>
    </row>
    <row r="581" spans="1:6" x14ac:dyDescent="0.25">
      <c r="A581" s="13" t="str">
        <f>IF(AND($E581="",MAX($A$8:$A580)=0),"",IF(AND($E581&lt;&gt;"",MAX($A$8:$A580)=0),1,IF(AND($E581&lt;&gt;"",MAX($A$8:$A580)&gt;0),MAX($A$8:$A580)+1,"")))</f>
        <v/>
      </c>
      <c r="B581" s="11">
        <v>574</v>
      </c>
      <c r="C581" s="19" t="str">
        <f t="shared" si="16"/>
        <v>EMPTY</v>
      </c>
      <c r="D581" s="3" t="str">
        <f>IF(C581="SHOW",CONCATENATE(Temp!G577,Temp!H577,",",Temp!I577,",",Temp!J577,Temp!K577),"")</f>
        <v/>
      </c>
      <c r="E581" s="7"/>
      <c r="F581" s="8" t="str">
        <f t="shared" si="17"/>
        <v/>
      </c>
    </row>
    <row r="582" spans="1:6" x14ac:dyDescent="0.25">
      <c r="A582" s="13" t="str">
        <f>IF(AND($E582="",MAX($A$8:$A581)=0),"",IF(AND($E582&lt;&gt;"",MAX($A$8:$A581)=0),1,IF(AND($E582&lt;&gt;"",MAX($A$8:$A581)&gt;0),MAX($A$8:$A581)+1,"")))</f>
        <v/>
      </c>
      <c r="B582" s="11">
        <v>575</v>
      </c>
      <c r="C582" s="19" t="str">
        <f t="shared" si="16"/>
        <v>EMPTY</v>
      </c>
      <c r="D582" s="3" t="str">
        <f>IF(C582="SHOW",CONCATENATE(Temp!G578,Temp!H578,",",Temp!I578,",",Temp!J578,Temp!K578),"")</f>
        <v/>
      </c>
      <c r="E582" s="7"/>
      <c r="F582" s="8" t="str">
        <f t="shared" si="17"/>
        <v/>
      </c>
    </row>
    <row r="583" spans="1:6" x14ac:dyDescent="0.25">
      <c r="A583" s="13" t="str">
        <f>IF(AND($E583="",MAX($A$8:$A582)=0),"",IF(AND($E583&lt;&gt;"",MAX($A$8:$A582)=0),1,IF(AND($E583&lt;&gt;"",MAX($A$8:$A582)&gt;0),MAX($A$8:$A582)+1,"")))</f>
        <v/>
      </c>
      <c r="B583" s="11">
        <v>576</v>
      </c>
      <c r="C583" s="19" t="str">
        <f t="shared" si="16"/>
        <v>EMPTY</v>
      </c>
      <c r="D583" s="3" t="str">
        <f>IF(C583="SHOW",CONCATENATE(Temp!G579,Temp!H579,",",Temp!I579,",",Temp!J579,Temp!K579),"")</f>
        <v/>
      </c>
      <c r="E583" s="7"/>
      <c r="F583" s="8" t="str">
        <f t="shared" si="17"/>
        <v/>
      </c>
    </row>
    <row r="584" spans="1:6" x14ac:dyDescent="0.25">
      <c r="A584" s="13" t="str">
        <f>IF(AND($E584="",MAX($A$8:$A583)=0),"",IF(AND($E584&lt;&gt;"",MAX($A$8:$A583)=0),1,IF(AND($E584&lt;&gt;"",MAX($A$8:$A583)&gt;0),MAX($A$8:$A583)+1,"")))</f>
        <v/>
      </c>
      <c r="B584" s="11">
        <v>577</v>
      </c>
      <c r="C584" s="19" t="str">
        <f t="shared" si="16"/>
        <v>EMPTY</v>
      </c>
      <c r="D584" s="3" t="str">
        <f>IF(C584="SHOW",CONCATENATE(Temp!G580,Temp!H580,",",Temp!I580,",",Temp!J580,Temp!K580),"")</f>
        <v/>
      </c>
      <c r="E584" s="7"/>
      <c r="F584" s="8" t="str">
        <f t="shared" si="17"/>
        <v/>
      </c>
    </row>
    <row r="585" spans="1:6" x14ac:dyDescent="0.25">
      <c r="A585" s="13" t="str">
        <f>IF(AND($E585="",MAX($A$8:$A584)=0),"",IF(AND($E585&lt;&gt;"",MAX($A$8:$A584)=0),1,IF(AND($E585&lt;&gt;"",MAX($A$8:$A584)&gt;0),MAX($A$8:$A584)+1,"")))</f>
        <v/>
      </c>
      <c r="B585" s="11">
        <v>578</v>
      </c>
      <c r="C585" s="19" t="str">
        <f t="shared" ref="C585:C648" si="18">IF(E585="","EMPTY",IF(MID(E585,1,9)&lt;&gt;"Dialogue:","HIDE",IF(MID(E585,1,9)="Dialogue:","SHOW","")))</f>
        <v>EMPTY</v>
      </c>
      <c r="D585" s="3" t="str">
        <f>IF(C585="SHOW",CONCATENATE(Temp!G581,Temp!H581,",",Temp!I581,",",Temp!J581,Temp!K581),"")</f>
        <v/>
      </c>
      <c r="E585" s="7"/>
      <c r="F585" s="8" t="str">
        <f t="shared" ref="F585:F648" si="19">$D585</f>
        <v/>
      </c>
    </row>
    <row r="586" spans="1:6" x14ac:dyDescent="0.25">
      <c r="A586" s="13" t="str">
        <f>IF(AND($E586="",MAX($A$8:$A585)=0),"",IF(AND($E586&lt;&gt;"",MAX($A$8:$A585)=0),1,IF(AND($E586&lt;&gt;"",MAX($A$8:$A585)&gt;0),MAX($A$8:$A585)+1,"")))</f>
        <v/>
      </c>
      <c r="B586" s="11">
        <v>579</v>
      </c>
      <c r="C586" s="19" t="str">
        <f t="shared" si="18"/>
        <v>EMPTY</v>
      </c>
      <c r="D586" s="3" t="str">
        <f>IF(C586="SHOW",CONCATENATE(Temp!G582,Temp!H582,",",Temp!I582,",",Temp!J582,Temp!K582),"")</f>
        <v/>
      </c>
      <c r="E586" s="7"/>
      <c r="F586" s="8" t="str">
        <f t="shared" si="19"/>
        <v/>
      </c>
    </row>
    <row r="587" spans="1:6" x14ac:dyDescent="0.25">
      <c r="A587" s="13" t="str">
        <f>IF(AND($E587="",MAX($A$8:$A586)=0),"",IF(AND($E587&lt;&gt;"",MAX($A$8:$A586)=0),1,IF(AND($E587&lt;&gt;"",MAX($A$8:$A586)&gt;0),MAX($A$8:$A586)+1,"")))</f>
        <v/>
      </c>
      <c r="B587" s="11">
        <v>580</v>
      </c>
      <c r="C587" s="19" t="str">
        <f t="shared" si="18"/>
        <v>EMPTY</v>
      </c>
      <c r="D587" s="3" t="str">
        <f>IF(C587="SHOW",CONCATENATE(Temp!G583,Temp!H583,",",Temp!I583,",",Temp!J583,Temp!K583),"")</f>
        <v/>
      </c>
      <c r="E587" s="7"/>
      <c r="F587" s="8" t="str">
        <f t="shared" si="19"/>
        <v/>
      </c>
    </row>
    <row r="588" spans="1:6" x14ac:dyDescent="0.25">
      <c r="A588" s="13" t="str">
        <f>IF(AND($E588="",MAX($A$8:$A587)=0),"",IF(AND($E588&lt;&gt;"",MAX($A$8:$A587)=0),1,IF(AND($E588&lt;&gt;"",MAX($A$8:$A587)&gt;0),MAX($A$8:$A587)+1,"")))</f>
        <v/>
      </c>
      <c r="B588" s="11">
        <v>581</v>
      </c>
      <c r="C588" s="19" t="str">
        <f t="shared" si="18"/>
        <v>EMPTY</v>
      </c>
      <c r="D588" s="3" t="str">
        <f>IF(C588="SHOW",CONCATENATE(Temp!G584,Temp!H584,",",Temp!I584,",",Temp!J584,Temp!K584),"")</f>
        <v/>
      </c>
      <c r="E588" s="7"/>
      <c r="F588" s="8" t="str">
        <f t="shared" si="19"/>
        <v/>
      </c>
    </row>
    <row r="589" spans="1:6" x14ac:dyDescent="0.25">
      <c r="A589" s="13" t="str">
        <f>IF(AND($E589="",MAX($A$8:$A588)=0),"",IF(AND($E589&lt;&gt;"",MAX($A$8:$A588)=0),1,IF(AND($E589&lt;&gt;"",MAX($A$8:$A588)&gt;0),MAX($A$8:$A588)+1,"")))</f>
        <v/>
      </c>
      <c r="B589" s="11">
        <v>582</v>
      </c>
      <c r="C589" s="19" t="str">
        <f t="shared" si="18"/>
        <v>EMPTY</v>
      </c>
      <c r="D589" s="3" t="str">
        <f>IF(C589="SHOW",CONCATENATE(Temp!G585,Temp!H585,",",Temp!I585,",",Temp!J585,Temp!K585),"")</f>
        <v/>
      </c>
      <c r="E589" s="7"/>
      <c r="F589" s="8" t="str">
        <f t="shared" si="19"/>
        <v/>
      </c>
    </row>
    <row r="590" spans="1:6" x14ac:dyDescent="0.25">
      <c r="A590" s="13" t="str">
        <f>IF(AND($E590="",MAX($A$8:$A589)=0),"",IF(AND($E590&lt;&gt;"",MAX($A$8:$A589)=0),1,IF(AND($E590&lt;&gt;"",MAX($A$8:$A589)&gt;0),MAX($A$8:$A589)+1,"")))</f>
        <v/>
      </c>
      <c r="B590" s="11">
        <v>583</v>
      </c>
      <c r="C590" s="19" t="str">
        <f t="shared" si="18"/>
        <v>EMPTY</v>
      </c>
      <c r="D590" s="3" t="str">
        <f>IF(C590="SHOW",CONCATENATE(Temp!G586,Temp!H586,",",Temp!I586,",",Temp!J586,Temp!K586),"")</f>
        <v/>
      </c>
      <c r="E590" s="7"/>
      <c r="F590" s="8" t="str">
        <f t="shared" si="19"/>
        <v/>
      </c>
    </row>
    <row r="591" spans="1:6" x14ac:dyDescent="0.25">
      <c r="A591" s="13" t="str">
        <f>IF(AND($E591="",MAX($A$8:$A590)=0),"",IF(AND($E591&lt;&gt;"",MAX($A$8:$A590)=0),1,IF(AND($E591&lt;&gt;"",MAX($A$8:$A590)&gt;0),MAX($A$8:$A590)+1,"")))</f>
        <v/>
      </c>
      <c r="B591" s="11">
        <v>584</v>
      </c>
      <c r="C591" s="19" t="str">
        <f t="shared" si="18"/>
        <v>EMPTY</v>
      </c>
      <c r="D591" s="3" t="str">
        <f>IF(C591="SHOW",CONCATENATE(Temp!G587,Temp!H587,",",Temp!I587,",",Temp!J587,Temp!K587),"")</f>
        <v/>
      </c>
      <c r="E591" s="7"/>
      <c r="F591" s="8" t="str">
        <f t="shared" si="19"/>
        <v/>
      </c>
    </row>
    <row r="592" spans="1:6" x14ac:dyDescent="0.25">
      <c r="A592" s="13" t="str">
        <f>IF(AND($E592="",MAX($A$8:$A591)=0),"",IF(AND($E592&lt;&gt;"",MAX($A$8:$A591)=0),1,IF(AND($E592&lt;&gt;"",MAX($A$8:$A591)&gt;0),MAX($A$8:$A591)+1,"")))</f>
        <v/>
      </c>
      <c r="B592" s="11">
        <v>585</v>
      </c>
      <c r="C592" s="19" t="str">
        <f t="shared" si="18"/>
        <v>EMPTY</v>
      </c>
      <c r="D592" s="3" t="str">
        <f>IF(C592="SHOW",CONCATENATE(Temp!G588,Temp!H588,",",Temp!I588,",",Temp!J588,Temp!K588),"")</f>
        <v/>
      </c>
      <c r="E592" s="7"/>
      <c r="F592" s="8" t="str">
        <f t="shared" si="19"/>
        <v/>
      </c>
    </row>
    <row r="593" spans="1:6" x14ac:dyDescent="0.25">
      <c r="A593" s="13" t="str">
        <f>IF(AND($E593="",MAX($A$8:$A592)=0),"",IF(AND($E593&lt;&gt;"",MAX($A$8:$A592)=0),1,IF(AND($E593&lt;&gt;"",MAX($A$8:$A592)&gt;0),MAX($A$8:$A592)+1,"")))</f>
        <v/>
      </c>
      <c r="B593" s="11">
        <v>586</v>
      </c>
      <c r="C593" s="19" t="str">
        <f t="shared" si="18"/>
        <v>EMPTY</v>
      </c>
      <c r="D593" s="3" t="str">
        <f>IF(C593="SHOW",CONCATENATE(Temp!G589,Temp!H589,",",Temp!I589,",",Temp!J589,Temp!K589),"")</f>
        <v/>
      </c>
      <c r="E593" s="7"/>
      <c r="F593" s="8" t="str">
        <f t="shared" si="19"/>
        <v/>
      </c>
    </row>
    <row r="594" spans="1:6" x14ac:dyDescent="0.25">
      <c r="A594" s="13" t="str">
        <f>IF(AND($E594="",MAX($A$8:$A593)=0),"",IF(AND($E594&lt;&gt;"",MAX($A$8:$A593)=0),1,IF(AND($E594&lt;&gt;"",MAX($A$8:$A593)&gt;0),MAX($A$8:$A593)+1,"")))</f>
        <v/>
      </c>
      <c r="B594" s="11">
        <v>587</v>
      </c>
      <c r="C594" s="19" t="str">
        <f t="shared" si="18"/>
        <v>EMPTY</v>
      </c>
      <c r="D594" s="3" t="str">
        <f>IF(C594="SHOW",CONCATENATE(Temp!G590,Temp!H590,",",Temp!I590,",",Temp!J590,Temp!K590),"")</f>
        <v/>
      </c>
      <c r="E594" s="7"/>
      <c r="F594" s="8" t="str">
        <f t="shared" si="19"/>
        <v/>
      </c>
    </row>
    <row r="595" spans="1:6" x14ac:dyDescent="0.25">
      <c r="A595" s="13" t="str">
        <f>IF(AND($E595="",MAX($A$8:$A594)=0),"",IF(AND($E595&lt;&gt;"",MAX($A$8:$A594)=0),1,IF(AND($E595&lt;&gt;"",MAX($A$8:$A594)&gt;0),MAX($A$8:$A594)+1,"")))</f>
        <v/>
      </c>
      <c r="B595" s="11">
        <v>588</v>
      </c>
      <c r="C595" s="19" t="str">
        <f t="shared" si="18"/>
        <v>EMPTY</v>
      </c>
      <c r="D595" s="3" t="str">
        <f>IF(C595="SHOW",CONCATENATE(Temp!G591,Temp!H591,",",Temp!I591,",",Temp!J591,Temp!K591),"")</f>
        <v/>
      </c>
      <c r="E595" s="7"/>
      <c r="F595" s="8" t="str">
        <f t="shared" si="19"/>
        <v/>
      </c>
    </row>
    <row r="596" spans="1:6" x14ac:dyDescent="0.25">
      <c r="A596" s="13" t="str">
        <f>IF(AND($E596="",MAX($A$8:$A595)=0),"",IF(AND($E596&lt;&gt;"",MAX($A$8:$A595)=0),1,IF(AND($E596&lt;&gt;"",MAX($A$8:$A595)&gt;0),MAX($A$8:$A595)+1,"")))</f>
        <v/>
      </c>
      <c r="B596" s="11">
        <v>589</v>
      </c>
      <c r="C596" s="19" t="str">
        <f t="shared" si="18"/>
        <v>EMPTY</v>
      </c>
      <c r="D596" s="3" t="str">
        <f>IF(C596="SHOW",CONCATENATE(Temp!G592,Temp!H592,",",Temp!I592,",",Temp!J592,Temp!K592),"")</f>
        <v/>
      </c>
      <c r="E596" s="7"/>
      <c r="F596" s="8" t="str">
        <f t="shared" si="19"/>
        <v/>
      </c>
    </row>
    <row r="597" spans="1:6" x14ac:dyDescent="0.25">
      <c r="A597" s="13" t="str">
        <f>IF(AND($E597="",MAX($A$8:$A596)=0),"",IF(AND($E597&lt;&gt;"",MAX($A$8:$A596)=0),1,IF(AND($E597&lt;&gt;"",MAX($A$8:$A596)&gt;0),MAX($A$8:$A596)+1,"")))</f>
        <v/>
      </c>
      <c r="B597" s="11">
        <v>590</v>
      </c>
      <c r="C597" s="19" t="str">
        <f t="shared" si="18"/>
        <v>EMPTY</v>
      </c>
      <c r="D597" s="3" t="str">
        <f>IF(C597="SHOW",CONCATENATE(Temp!G593,Temp!H593,",",Temp!I593,",",Temp!J593,Temp!K593),"")</f>
        <v/>
      </c>
      <c r="E597" s="7"/>
      <c r="F597" s="8" t="str">
        <f t="shared" si="19"/>
        <v/>
      </c>
    </row>
    <row r="598" spans="1:6" x14ac:dyDescent="0.25">
      <c r="A598" s="13" t="str">
        <f>IF(AND($E598="",MAX($A$8:$A597)=0),"",IF(AND($E598&lt;&gt;"",MAX($A$8:$A597)=0),1,IF(AND($E598&lt;&gt;"",MAX($A$8:$A597)&gt;0),MAX($A$8:$A597)+1,"")))</f>
        <v/>
      </c>
      <c r="B598" s="11">
        <v>591</v>
      </c>
      <c r="C598" s="19" t="str">
        <f t="shared" si="18"/>
        <v>EMPTY</v>
      </c>
      <c r="D598" s="3" t="str">
        <f>IF(C598="SHOW",CONCATENATE(Temp!G594,Temp!H594,",",Temp!I594,",",Temp!J594,Temp!K594),"")</f>
        <v/>
      </c>
      <c r="E598" s="7"/>
      <c r="F598" s="8" t="str">
        <f t="shared" si="19"/>
        <v/>
      </c>
    </row>
    <row r="599" spans="1:6" x14ac:dyDescent="0.25">
      <c r="A599" s="13" t="str">
        <f>IF(AND($E599="",MAX($A$8:$A598)=0),"",IF(AND($E599&lt;&gt;"",MAX($A$8:$A598)=0),1,IF(AND($E599&lt;&gt;"",MAX($A$8:$A598)&gt;0),MAX($A$8:$A598)+1,"")))</f>
        <v/>
      </c>
      <c r="B599" s="11">
        <v>592</v>
      </c>
      <c r="C599" s="19" t="str">
        <f t="shared" si="18"/>
        <v>EMPTY</v>
      </c>
      <c r="D599" s="3" t="str">
        <f>IF(C599="SHOW",CONCATENATE(Temp!G595,Temp!H595,",",Temp!I595,",",Temp!J595,Temp!K595),"")</f>
        <v/>
      </c>
      <c r="E599" s="7"/>
      <c r="F599" s="8" t="str">
        <f t="shared" si="19"/>
        <v/>
      </c>
    </row>
    <row r="600" spans="1:6" x14ac:dyDescent="0.25">
      <c r="A600" s="13" t="str">
        <f>IF(AND($E600="",MAX($A$8:$A599)=0),"",IF(AND($E600&lt;&gt;"",MAX($A$8:$A599)=0),1,IF(AND($E600&lt;&gt;"",MAX($A$8:$A599)&gt;0),MAX($A$8:$A599)+1,"")))</f>
        <v/>
      </c>
      <c r="B600" s="11">
        <v>593</v>
      </c>
      <c r="C600" s="19" t="str">
        <f t="shared" si="18"/>
        <v>EMPTY</v>
      </c>
      <c r="D600" s="3" t="str">
        <f>IF(C600="SHOW",CONCATENATE(Temp!G596,Temp!H596,",",Temp!I596,",",Temp!J596,Temp!K596),"")</f>
        <v/>
      </c>
      <c r="E600" s="7"/>
      <c r="F600" s="8" t="str">
        <f t="shared" si="19"/>
        <v/>
      </c>
    </row>
    <row r="601" spans="1:6" x14ac:dyDescent="0.25">
      <c r="A601" s="13" t="str">
        <f>IF(AND($E601="",MAX($A$8:$A600)=0),"",IF(AND($E601&lt;&gt;"",MAX($A$8:$A600)=0),1,IF(AND($E601&lt;&gt;"",MAX($A$8:$A600)&gt;0),MAX($A$8:$A600)+1,"")))</f>
        <v/>
      </c>
      <c r="B601" s="11">
        <v>594</v>
      </c>
      <c r="C601" s="19" t="str">
        <f t="shared" si="18"/>
        <v>EMPTY</v>
      </c>
      <c r="D601" s="3" t="str">
        <f>IF(C601="SHOW",CONCATENATE(Temp!G597,Temp!H597,",",Temp!I597,",",Temp!J597,Temp!K597),"")</f>
        <v/>
      </c>
      <c r="E601" s="7"/>
      <c r="F601" s="8" t="str">
        <f t="shared" si="19"/>
        <v/>
      </c>
    </row>
    <row r="602" spans="1:6" x14ac:dyDescent="0.25">
      <c r="A602" s="13" t="str">
        <f>IF(AND($E602="",MAX($A$8:$A601)=0),"",IF(AND($E602&lt;&gt;"",MAX($A$8:$A601)=0),1,IF(AND($E602&lt;&gt;"",MAX($A$8:$A601)&gt;0),MAX($A$8:$A601)+1,"")))</f>
        <v/>
      </c>
      <c r="B602" s="11">
        <v>595</v>
      </c>
      <c r="C602" s="19" t="str">
        <f t="shared" si="18"/>
        <v>EMPTY</v>
      </c>
      <c r="D602" s="3" t="str">
        <f>IF(C602="SHOW",CONCATENATE(Temp!G598,Temp!H598,",",Temp!I598,",",Temp!J598,Temp!K598),"")</f>
        <v/>
      </c>
      <c r="E602" s="7"/>
      <c r="F602" s="8" t="str">
        <f t="shared" si="19"/>
        <v/>
      </c>
    </row>
    <row r="603" spans="1:6" x14ac:dyDescent="0.25">
      <c r="A603" s="13" t="str">
        <f>IF(AND($E603="",MAX($A$8:$A602)=0),"",IF(AND($E603&lt;&gt;"",MAX($A$8:$A602)=0),1,IF(AND($E603&lt;&gt;"",MAX($A$8:$A602)&gt;0),MAX($A$8:$A602)+1,"")))</f>
        <v/>
      </c>
      <c r="B603" s="11">
        <v>596</v>
      </c>
      <c r="C603" s="19" t="str">
        <f t="shared" si="18"/>
        <v>EMPTY</v>
      </c>
      <c r="D603" s="3" t="str">
        <f>IF(C603="SHOW",CONCATENATE(Temp!G599,Temp!H599,",",Temp!I599,",",Temp!J599,Temp!K599),"")</f>
        <v/>
      </c>
      <c r="E603" s="7"/>
      <c r="F603" s="8" t="str">
        <f t="shared" si="19"/>
        <v/>
      </c>
    </row>
    <row r="604" spans="1:6" x14ac:dyDescent="0.25">
      <c r="A604" s="13" t="str">
        <f>IF(AND($E604="",MAX($A$8:$A603)=0),"",IF(AND($E604&lt;&gt;"",MAX($A$8:$A603)=0),1,IF(AND($E604&lt;&gt;"",MAX($A$8:$A603)&gt;0),MAX($A$8:$A603)+1,"")))</f>
        <v/>
      </c>
      <c r="B604" s="11">
        <v>597</v>
      </c>
      <c r="C604" s="19" t="str">
        <f t="shared" si="18"/>
        <v>EMPTY</v>
      </c>
      <c r="D604" s="3" t="str">
        <f>IF(C604="SHOW",CONCATENATE(Temp!G600,Temp!H600,",",Temp!I600,",",Temp!J600,Temp!K600),"")</f>
        <v/>
      </c>
      <c r="E604" s="7"/>
      <c r="F604" s="8" t="str">
        <f t="shared" si="19"/>
        <v/>
      </c>
    </row>
    <row r="605" spans="1:6" x14ac:dyDescent="0.25">
      <c r="A605" s="13" t="str">
        <f>IF(AND($E605="",MAX($A$8:$A604)=0),"",IF(AND($E605&lt;&gt;"",MAX($A$8:$A604)=0),1,IF(AND($E605&lt;&gt;"",MAX($A$8:$A604)&gt;0),MAX($A$8:$A604)+1,"")))</f>
        <v/>
      </c>
      <c r="B605" s="11">
        <v>598</v>
      </c>
      <c r="C605" s="19" t="str">
        <f t="shared" si="18"/>
        <v>EMPTY</v>
      </c>
      <c r="D605" s="3" t="str">
        <f>IF(C605="SHOW",CONCATENATE(Temp!G601,Temp!H601,",",Temp!I601,",",Temp!J601,Temp!K601),"")</f>
        <v/>
      </c>
      <c r="E605" s="7"/>
      <c r="F605" s="8" t="str">
        <f t="shared" si="19"/>
        <v/>
      </c>
    </row>
    <row r="606" spans="1:6" x14ac:dyDescent="0.25">
      <c r="A606" s="13" t="str">
        <f>IF(AND($E606="",MAX($A$8:$A605)=0),"",IF(AND($E606&lt;&gt;"",MAX($A$8:$A605)=0),1,IF(AND($E606&lt;&gt;"",MAX($A$8:$A605)&gt;0),MAX($A$8:$A605)+1,"")))</f>
        <v/>
      </c>
      <c r="B606" s="11">
        <v>599</v>
      </c>
      <c r="C606" s="19" t="str">
        <f t="shared" si="18"/>
        <v>EMPTY</v>
      </c>
      <c r="D606" s="3" t="str">
        <f>IF(C606="SHOW",CONCATENATE(Temp!G602,Temp!H602,",",Temp!I602,",",Temp!J602,Temp!K602),"")</f>
        <v/>
      </c>
      <c r="E606" s="7"/>
      <c r="F606" s="8" t="str">
        <f t="shared" si="19"/>
        <v/>
      </c>
    </row>
    <row r="607" spans="1:6" x14ac:dyDescent="0.25">
      <c r="A607" s="13" t="str">
        <f>IF(AND($E607="",MAX($A$8:$A606)=0),"",IF(AND($E607&lt;&gt;"",MAX($A$8:$A606)=0),1,IF(AND($E607&lt;&gt;"",MAX($A$8:$A606)&gt;0),MAX($A$8:$A606)+1,"")))</f>
        <v/>
      </c>
      <c r="B607" s="11">
        <v>600</v>
      </c>
      <c r="C607" s="19" t="str">
        <f t="shared" si="18"/>
        <v>EMPTY</v>
      </c>
      <c r="D607" s="3" t="str">
        <f>IF(C607="SHOW",CONCATENATE(Temp!G603,Temp!H603,",",Temp!I603,",",Temp!J603,Temp!K603),"")</f>
        <v/>
      </c>
      <c r="E607" s="7"/>
      <c r="F607" s="8" t="str">
        <f t="shared" si="19"/>
        <v/>
      </c>
    </row>
    <row r="608" spans="1:6" x14ac:dyDescent="0.25">
      <c r="A608" s="13" t="str">
        <f>IF(AND($E608="",MAX($A$8:$A607)=0),"",IF(AND($E608&lt;&gt;"",MAX($A$8:$A607)=0),1,IF(AND($E608&lt;&gt;"",MAX($A$8:$A607)&gt;0),MAX($A$8:$A607)+1,"")))</f>
        <v/>
      </c>
      <c r="B608" s="11">
        <v>601</v>
      </c>
      <c r="C608" s="19" t="str">
        <f t="shared" si="18"/>
        <v>EMPTY</v>
      </c>
      <c r="D608" s="3" t="str">
        <f>IF(C608="SHOW",CONCATENATE(Temp!G604,Temp!H604,",",Temp!I604,",",Temp!J604,Temp!K604),"")</f>
        <v/>
      </c>
      <c r="E608" s="7"/>
      <c r="F608" s="8" t="str">
        <f t="shared" si="19"/>
        <v/>
      </c>
    </row>
    <row r="609" spans="1:6" x14ac:dyDescent="0.25">
      <c r="A609" s="13" t="str">
        <f>IF(AND($E609="",MAX($A$8:$A608)=0),"",IF(AND($E609&lt;&gt;"",MAX($A$8:$A608)=0),1,IF(AND($E609&lt;&gt;"",MAX($A$8:$A608)&gt;0),MAX($A$8:$A608)+1,"")))</f>
        <v/>
      </c>
      <c r="B609" s="11">
        <v>602</v>
      </c>
      <c r="C609" s="19" t="str">
        <f t="shared" si="18"/>
        <v>EMPTY</v>
      </c>
      <c r="D609" s="3" t="str">
        <f>IF(C609="SHOW",CONCATENATE(Temp!G605,Temp!H605,",",Temp!I605,",",Temp!J605,Temp!K605),"")</f>
        <v/>
      </c>
      <c r="E609" s="7"/>
      <c r="F609" s="8" t="str">
        <f t="shared" si="19"/>
        <v/>
      </c>
    </row>
    <row r="610" spans="1:6" x14ac:dyDescent="0.25">
      <c r="A610" s="13" t="str">
        <f>IF(AND($E610="",MAX($A$8:$A609)=0),"",IF(AND($E610&lt;&gt;"",MAX($A$8:$A609)=0),1,IF(AND($E610&lt;&gt;"",MAX($A$8:$A609)&gt;0),MAX($A$8:$A609)+1,"")))</f>
        <v/>
      </c>
      <c r="B610" s="11">
        <v>603</v>
      </c>
      <c r="C610" s="19" t="str">
        <f t="shared" si="18"/>
        <v>EMPTY</v>
      </c>
      <c r="D610" s="3" t="str">
        <f>IF(C610="SHOW",CONCATENATE(Temp!G606,Temp!H606,",",Temp!I606,",",Temp!J606,Temp!K606),"")</f>
        <v/>
      </c>
      <c r="E610" s="7"/>
      <c r="F610" s="8" t="str">
        <f t="shared" si="19"/>
        <v/>
      </c>
    </row>
    <row r="611" spans="1:6" x14ac:dyDescent="0.25">
      <c r="A611" s="13" t="str">
        <f>IF(AND($E611="",MAX($A$8:$A610)=0),"",IF(AND($E611&lt;&gt;"",MAX($A$8:$A610)=0),1,IF(AND($E611&lt;&gt;"",MAX($A$8:$A610)&gt;0),MAX($A$8:$A610)+1,"")))</f>
        <v/>
      </c>
      <c r="B611" s="11">
        <v>604</v>
      </c>
      <c r="C611" s="19" t="str">
        <f t="shared" si="18"/>
        <v>EMPTY</v>
      </c>
      <c r="D611" s="3" t="str">
        <f>IF(C611="SHOW",CONCATENATE(Temp!G607,Temp!H607,",",Temp!I607,",",Temp!J607,Temp!K607),"")</f>
        <v/>
      </c>
      <c r="E611" s="7"/>
      <c r="F611" s="8" t="str">
        <f t="shared" si="19"/>
        <v/>
      </c>
    </row>
    <row r="612" spans="1:6" x14ac:dyDescent="0.25">
      <c r="A612" s="13" t="str">
        <f>IF(AND($E612="",MAX($A$8:$A611)=0),"",IF(AND($E612&lt;&gt;"",MAX($A$8:$A611)=0),1,IF(AND($E612&lt;&gt;"",MAX($A$8:$A611)&gt;0),MAX($A$8:$A611)+1,"")))</f>
        <v/>
      </c>
      <c r="B612" s="11">
        <v>605</v>
      </c>
      <c r="C612" s="19" t="str">
        <f t="shared" si="18"/>
        <v>EMPTY</v>
      </c>
      <c r="D612" s="3" t="str">
        <f>IF(C612="SHOW",CONCATENATE(Temp!G608,Temp!H608,",",Temp!I608,",",Temp!J608,Temp!K608),"")</f>
        <v/>
      </c>
      <c r="E612" s="7"/>
      <c r="F612" s="8" t="str">
        <f t="shared" si="19"/>
        <v/>
      </c>
    </row>
    <row r="613" spans="1:6" x14ac:dyDescent="0.25">
      <c r="A613" s="13" t="str">
        <f>IF(AND($E613="",MAX($A$8:$A612)=0),"",IF(AND($E613&lt;&gt;"",MAX($A$8:$A612)=0),1,IF(AND($E613&lt;&gt;"",MAX($A$8:$A612)&gt;0),MAX($A$8:$A612)+1,"")))</f>
        <v/>
      </c>
      <c r="B613" s="11">
        <v>606</v>
      </c>
      <c r="C613" s="19" t="str">
        <f t="shared" si="18"/>
        <v>EMPTY</v>
      </c>
      <c r="D613" s="3" t="str">
        <f>IF(C613="SHOW",CONCATENATE(Temp!G609,Temp!H609,",",Temp!I609,",",Temp!J609,Temp!K609),"")</f>
        <v/>
      </c>
      <c r="E613" s="7"/>
      <c r="F613" s="8" t="str">
        <f t="shared" si="19"/>
        <v/>
      </c>
    </row>
    <row r="614" spans="1:6" x14ac:dyDescent="0.25">
      <c r="A614" s="13" t="str">
        <f>IF(AND($E614="",MAX($A$8:$A613)=0),"",IF(AND($E614&lt;&gt;"",MAX($A$8:$A613)=0),1,IF(AND($E614&lt;&gt;"",MAX($A$8:$A613)&gt;0),MAX($A$8:$A613)+1,"")))</f>
        <v/>
      </c>
      <c r="B614" s="11">
        <v>607</v>
      </c>
      <c r="C614" s="19" t="str">
        <f t="shared" si="18"/>
        <v>EMPTY</v>
      </c>
      <c r="D614" s="3" t="str">
        <f>IF(C614="SHOW",CONCATENATE(Temp!G610,Temp!H610,",",Temp!I610,",",Temp!J610,Temp!K610),"")</f>
        <v/>
      </c>
      <c r="E614" s="7"/>
      <c r="F614" s="8" t="str">
        <f t="shared" si="19"/>
        <v/>
      </c>
    </row>
    <row r="615" spans="1:6" x14ac:dyDescent="0.25">
      <c r="A615" s="13" t="str">
        <f>IF(AND($E615="",MAX($A$8:$A614)=0),"",IF(AND($E615&lt;&gt;"",MAX($A$8:$A614)=0),1,IF(AND($E615&lt;&gt;"",MAX($A$8:$A614)&gt;0),MAX($A$8:$A614)+1,"")))</f>
        <v/>
      </c>
      <c r="B615" s="11">
        <v>608</v>
      </c>
      <c r="C615" s="19" t="str">
        <f t="shared" si="18"/>
        <v>EMPTY</v>
      </c>
      <c r="D615" s="3" t="str">
        <f>IF(C615="SHOW",CONCATENATE(Temp!G611,Temp!H611,",",Temp!I611,",",Temp!J611,Temp!K611),"")</f>
        <v/>
      </c>
      <c r="E615" s="7"/>
      <c r="F615" s="8" t="str">
        <f t="shared" si="19"/>
        <v/>
      </c>
    </row>
    <row r="616" spans="1:6" x14ac:dyDescent="0.25">
      <c r="A616" s="13" t="str">
        <f>IF(AND($E616="",MAX($A$8:$A615)=0),"",IF(AND($E616&lt;&gt;"",MAX($A$8:$A615)=0),1,IF(AND($E616&lt;&gt;"",MAX($A$8:$A615)&gt;0),MAX($A$8:$A615)+1,"")))</f>
        <v/>
      </c>
      <c r="B616" s="11">
        <v>609</v>
      </c>
      <c r="C616" s="19" t="str">
        <f t="shared" si="18"/>
        <v>EMPTY</v>
      </c>
      <c r="D616" s="3" t="str">
        <f>IF(C616="SHOW",CONCATENATE(Temp!G612,Temp!H612,",",Temp!I612,",",Temp!J612,Temp!K612),"")</f>
        <v/>
      </c>
      <c r="E616" s="7"/>
      <c r="F616" s="8" t="str">
        <f t="shared" si="19"/>
        <v/>
      </c>
    </row>
    <row r="617" spans="1:6" x14ac:dyDescent="0.25">
      <c r="A617" s="13" t="str">
        <f>IF(AND($E617="",MAX($A$8:$A616)=0),"",IF(AND($E617&lt;&gt;"",MAX($A$8:$A616)=0),1,IF(AND($E617&lt;&gt;"",MAX($A$8:$A616)&gt;0),MAX($A$8:$A616)+1,"")))</f>
        <v/>
      </c>
      <c r="B617" s="11">
        <v>610</v>
      </c>
      <c r="C617" s="19" t="str">
        <f t="shared" si="18"/>
        <v>EMPTY</v>
      </c>
      <c r="D617" s="3" t="str">
        <f>IF(C617="SHOW",CONCATENATE(Temp!G613,Temp!H613,",",Temp!I613,",",Temp!J613,Temp!K613),"")</f>
        <v/>
      </c>
      <c r="E617" s="7"/>
      <c r="F617" s="8" t="str">
        <f t="shared" si="19"/>
        <v/>
      </c>
    </row>
    <row r="618" spans="1:6" x14ac:dyDescent="0.25">
      <c r="A618" s="13" t="str">
        <f>IF(AND($E618="",MAX($A$8:$A617)=0),"",IF(AND($E618&lt;&gt;"",MAX($A$8:$A617)=0),1,IF(AND($E618&lt;&gt;"",MAX($A$8:$A617)&gt;0),MAX($A$8:$A617)+1,"")))</f>
        <v/>
      </c>
      <c r="B618" s="11">
        <v>611</v>
      </c>
      <c r="C618" s="19" t="str">
        <f t="shared" si="18"/>
        <v>EMPTY</v>
      </c>
      <c r="D618" s="3" t="str">
        <f>IF(C618="SHOW",CONCATENATE(Temp!G614,Temp!H614,",",Temp!I614,",",Temp!J614,Temp!K614),"")</f>
        <v/>
      </c>
      <c r="E618" s="7"/>
      <c r="F618" s="8" t="str">
        <f t="shared" si="19"/>
        <v/>
      </c>
    </row>
    <row r="619" spans="1:6" x14ac:dyDescent="0.25">
      <c r="A619" s="13" t="str">
        <f>IF(AND($E619="",MAX($A$8:$A618)=0),"",IF(AND($E619&lt;&gt;"",MAX($A$8:$A618)=0),1,IF(AND($E619&lt;&gt;"",MAX($A$8:$A618)&gt;0),MAX($A$8:$A618)+1,"")))</f>
        <v/>
      </c>
      <c r="B619" s="11">
        <v>612</v>
      </c>
      <c r="C619" s="19" t="str">
        <f t="shared" si="18"/>
        <v>EMPTY</v>
      </c>
      <c r="D619" s="3" t="str">
        <f>IF(C619="SHOW",CONCATENATE(Temp!G615,Temp!H615,",",Temp!I615,",",Temp!J615,Temp!K615),"")</f>
        <v/>
      </c>
      <c r="E619" s="7"/>
      <c r="F619" s="8" t="str">
        <f t="shared" si="19"/>
        <v/>
      </c>
    </row>
    <row r="620" spans="1:6" x14ac:dyDescent="0.25">
      <c r="A620" s="13" t="str">
        <f>IF(AND($E620="",MAX($A$8:$A619)=0),"",IF(AND($E620&lt;&gt;"",MAX($A$8:$A619)=0),1,IF(AND($E620&lt;&gt;"",MAX($A$8:$A619)&gt;0),MAX($A$8:$A619)+1,"")))</f>
        <v/>
      </c>
      <c r="B620" s="11">
        <v>613</v>
      </c>
      <c r="C620" s="19" t="str">
        <f t="shared" si="18"/>
        <v>EMPTY</v>
      </c>
      <c r="D620" s="3" t="str">
        <f>IF(C620="SHOW",CONCATENATE(Temp!G616,Temp!H616,",",Temp!I616,",",Temp!J616,Temp!K616),"")</f>
        <v/>
      </c>
      <c r="E620" s="7"/>
      <c r="F620" s="8" t="str">
        <f t="shared" si="19"/>
        <v/>
      </c>
    </row>
    <row r="621" spans="1:6" x14ac:dyDescent="0.25">
      <c r="A621" s="13" t="str">
        <f>IF(AND($E621="",MAX($A$8:$A620)=0),"",IF(AND($E621&lt;&gt;"",MAX($A$8:$A620)=0),1,IF(AND($E621&lt;&gt;"",MAX($A$8:$A620)&gt;0),MAX($A$8:$A620)+1,"")))</f>
        <v/>
      </c>
      <c r="B621" s="11">
        <v>614</v>
      </c>
      <c r="C621" s="19" t="str">
        <f t="shared" si="18"/>
        <v>EMPTY</v>
      </c>
      <c r="D621" s="3" t="str">
        <f>IF(C621="SHOW",CONCATENATE(Temp!G617,Temp!H617,",",Temp!I617,",",Temp!J617,Temp!K617),"")</f>
        <v/>
      </c>
      <c r="E621" s="7"/>
      <c r="F621" s="8" t="str">
        <f t="shared" si="19"/>
        <v/>
      </c>
    </row>
    <row r="622" spans="1:6" x14ac:dyDescent="0.25">
      <c r="A622" s="13" t="str">
        <f>IF(AND($E622="",MAX($A$8:$A621)=0),"",IF(AND($E622&lt;&gt;"",MAX($A$8:$A621)=0),1,IF(AND($E622&lt;&gt;"",MAX($A$8:$A621)&gt;0),MAX($A$8:$A621)+1,"")))</f>
        <v/>
      </c>
      <c r="B622" s="11">
        <v>615</v>
      </c>
      <c r="C622" s="19" t="str">
        <f t="shared" si="18"/>
        <v>EMPTY</v>
      </c>
      <c r="D622" s="3" t="str">
        <f>IF(C622="SHOW",CONCATENATE(Temp!G618,Temp!H618,",",Temp!I618,",",Temp!J618,Temp!K618),"")</f>
        <v/>
      </c>
      <c r="E622" s="7"/>
      <c r="F622" s="8" t="str">
        <f t="shared" si="19"/>
        <v/>
      </c>
    </row>
    <row r="623" spans="1:6" x14ac:dyDescent="0.25">
      <c r="A623" s="13" t="str">
        <f>IF(AND($E623="",MAX($A$8:$A622)=0),"",IF(AND($E623&lt;&gt;"",MAX($A$8:$A622)=0),1,IF(AND($E623&lt;&gt;"",MAX($A$8:$A622)&gt;0),MAX($A$8:$A622)+1,"")))</f>
        <v/>
      </c>
      <c r="B623" s="11">
        <v>616</v>
      </c>
      <c r="C623" s="19" t="str">
        <f t="shared" si="18"/>
        <v>EMPTY</v>
      </c>
      <c r="D623" s="3" t="str">
        <f>IF(C623="SHOW",CONCATENATE(Temp!G619,Temp!H619,",",Temp!I619,",",Temp!J619,Temp!K619),"")</f>
        <v/>
      </c>
      <c r="E623" s="7"/>
      <c r="F623" s="8" t="str">
        <f t="shared" si="19"/>
        <v/>
      </c>
    </row>
    <row r="624" spans="1:6" x14ac:dyDescent="0.25">
      <c r="A624" s="13" t="str">
        <f>IF(AND($E624="",MAX($A$8:$A623)=0),"",IF(AND($E624&lt;&gt;"",MAX($A$8:$A623)=0),1,IF(AND($E624&lt;&gt;"",MAX($A$8:$A623)&gt;0),MAX($A$8:$A623)+1,"")))</f>
        <v/>
      </c>
      <c r="B624" s="11">
        <v>617</v>
      </c>
      <c r="C624" s="19" t="str">
        <f t="shared" si="18"/>
        <v>EMPTY</v>
      </c>
      <c r="D624" s="3" t="str">
        <f>IF(C624="SHOW",CONCATENATE(Temp!G620,Temp!H620,",",Temp!I620,",",Temp!J620,Temp!K620),"")</f>
        <v/>
      </c>
      <c r="E624" s="7"/>
      <c r="F624" s="8" t="str">
        <f t="shared" si="19"/>
        <v/>
      </c>
    </row>
    <row r="625" spans="1:6" x14ac:dyDescent="0.25">
      <c r="A625" s="13" t="str">
        <f>IF(AND($E625="",MAX($A$8:$A624)=0),"",IF(AND($E625&lt;&gt;"",MAX($A$8:$A624)=0),1,IF(AND($E625&lt;&gt;"",MAX($A$8:$A624)&gt;0),MAX($A$8:$A624)+1,"")))</f>
        <v/>
      </c>
      <c r="B625" s="11">
        <v>618</v>
      </c>
      <c r="C625" s="19" t="str">
        <f t="shared" si="18"/>
        <v>EMPTY</v>
      </c>
      <c r="D625" s="3" t="str">
        <f>IF(C625="SHOW",CONCATENATE(Temp!G621,Temp!H621,",",Temp!I621,",",Temp!J621,Temp!K621),"")</f>
        <v/>
      </c>
      <c r="E625" s="7"/>
      <c r="F625" s="8" t="str">
        <f t="shared" si="19"/>
        <v/>
      </c>
    </row>
    <row r="626" spans="1:6" x14ac:dyDescent="0.25">
      <c r="A626" s="13" t="str">
        <f>IF(AND($E626="",MAX($A$8:$A625)=0),"",IF(AND($E626&lt;&gt;"",MAX($A$8:$A625)=0),1,IF(AND($E626&lt;&gt;"",MAX($A$8:$A625)&gt;0),MAX($A$8:$A625)+1,"")))</f>
        <v/>
      </c>
      <c r="B626" s="11">
        <v>619</v>
      </c>
      <c r="C626" s="19" t="str">
        <f t="shared" si="18"/>
        <v>EMPTY</v>
      </c>
      <c r="D626" s="3" t="str">
        <f>IF(C626="SHOW",CONCATENATE(Temp!G622,Temp!H622,",",Temp!I622,",",Temp!J622,Temp!K622),"")</f>
        <v/>
      </c>
      <c r="E626" s="7"/>
      <c r="F626" s="8" t="str">
        <f t="shared" si="19"/>
        <v/>
      </c>
    </row>
    <row r="627" spans="1:6" x14ac:dyDescent="0.25">
      <c r="A627" s="13" t="str">
        <f>IF(AND($E627="",MAX($A$8:$A626)=0),"",IF(AND($E627&lt;&gt;"",MAX($A$8:$A626)=0),1,IF(AND($E627&lt;&gt;"",MAX($A$8:$A626)&gt;0),MAX($A$8:$A626)+1,"")))</f>
        <v/>
      </c>
      <c r="B627" s="11">
        <v>620</v>
      </c>
      <c r="C627" s="19" t="str">
        <f t="shared" si="18"/>
        <v>EMPTY</v>
      </c>
      <c r="D627" s="3" t="str">
        <f>IF(C627="SHOW",CONCATENATE(Temp!G623,Temp!H623,",",Temp!I623,",",Temp!J623,Temp!K623),"")</f>
        <v/>
      </c>
      <c r="E627" s="7"/>
      <c r="F627" s="8" t="str">
        <f t="shared" si="19"/>
        <v/>
      </c>
    </row>
    <row r="628" spans="1:6" x14ac:dyDescent="0.25">
      <c r="A628" s="13" t="str">
        <f>IF(AND($E628="",MAX($A$8:$A627)=0),"",IF(AND($E628&lt;&gt;"",MAX($A$8:$A627)=0),1,IF(AND($E628&lt;&gt;"",MAX($A$8:$A627)&gt;0),MAX($A$8:$A627)+1,"")))</f>
        <v/>
      </c>
      <c r="B628" s="11">
        <v>621</v>
      </c>
      <c r="C628" s="19" t="str">
        <f t="shared" si="18"/>
        <v>EMPTY</v>
      </c>
      <c r="D628" s="3" t="str">
        <f>IF(C628="SHOW",CONCATENATE(Temp!G624,Temp!H624,",",Temp!I624,",",Temp!J624,Temp!K624),"")</f>
        <v/>
      </c>
      <c r="E628" s="7"/>
      <c r="F628" s="8" t="str">
        <f t="shared" si="19"/>
        <v/>
      </c>
    </row>
    <row r="629" spans="1:6" x14ac:dyDescent="0.25">
      <c r="A629" s="13" t="str">
        <f>IF(AND($E629="",MAX($A$8:$A628)=0),"",IF(AND($E629&lt;&gt;"",MAX($A$8:$A628)=0),1,IF(AND($E629&lt;&gt;"",MAX($A$8:$A628)&gt;0),MAX($A$8:$A628)+1,"")))</f>
        <v/>
      </c>
      <c r="B629" s="11">
        <v>622</v>
      </c>
      <c r="C629" s="19" t="str">
        <f t="shared" si="18"/>
        <v>EMPTY</v>
      </c>
      <c r="D629" s="3" t="str">
        <f>IF(C629="SHOW",CONCATENATE(Temp!G625,Temp!H625,",",Temp!I625,",",Temp!J625,Temp!K625),"")</f>
        <v/>
      </c>
      <c r="E629" s="7"/>
      <c r="F629" s="8" t="str">
        <f t="shared" si="19"/>
        <v/>
      </c>
    </row>
    <row r="630" spans="1:6" x14ac:dyDescent="0.25">
      <c r="A630" s="13" t="str">
        <f>IF(AND($E630="",MAX($A$8:$A629)=0),"",IF(AND($E630&lt;&gt;"",MAX($A$8:$A629)=0),1,IF(AND($E630&lt;&gt;"",MAX($A$8:$A629)&gt;0),MAX($A$8:$A629)+1,"")))</f>
        <v/>
      </c>
      <c r="B630" s="11">
        <v>623</v>
      </c>
      <c r="C630" s="19" t="str">
        <f t="shared" si="18"/>
        <v>EMPTY</v>
      </c>
      <c r="D630" s="3" t="str">
        <f>IF(C630="SHOW",CONCATENATE(Temp!G626,Temp!H626,",",Temp!I626,",",Temp!J626,Temp!K626),"")</f>
        <v/>
      </c>
      <c r="E630" s="7"/>
      <c r="F630" s="8" t="str">
        <f t="shared" si="19"/>
        <v/>
      </c>
    </row>
    <row r="631" spans="1:6" x14ac:dyDescent="0.25">
      <c r="A631" s="13" t="str">
        <f>IF(AND($E631="",MAX($A$8:$A630)=0),"",IF(AND($E631&lt;&gt;"",MAX($A$8:$A630)=0),1,IF(AND($E631&lt;&gt;"",MAX($A$8:$A630)&gt;0),MAX($A$8:$A630)+1,"")))</f>
        <v/>
      </c>
      <c r="B631" s="11">
        <v>624</v>
      </c>
      <c r="C631" s="19" t="str">
        <f t="shared" si="18"/>
        <v>EMPTY</v>
      </c>
      <c r="D631" s="3" t="str">
        <f>IF(C631="SHOW",CONCATENATE(Temp!G627,Temp!H627,",",Temp!I627,",",Temp!J627,Temp!K627),"")</f>
        <v/>
      </c>
      <c r="E631" s="7"/>
      <c r="F631" s="8" t="str">
        <f t="shared" si="19"/>
        <v/>
      </c>
    </row>
    <row r="632" spans="1:6" x14ac:dyDescent="0.25">
      <c r="A632" s="13" t="str">
        <f>IF(AND($E632="",MAX($A$8:$A631)=0),"",IF(AND($E632&lt;&gt;"",MAX($A$8:$A631)=0),1,IF(AND($E632&lt;&gt;"",MAX($A$8:$A631)&gt;0),MAX($A$8:$A631)+1,"")))</f>
        <v/>
      </c>
      <c r="B632" s="11">
        <v>625</v>
      </c>
      <c r="C632" s="19" t="str">
        <f t="shared" si="18"/>
        <v>EMPTY</v>
      </c>
      <c r="D632" s="3" t="str">
        <f>IF(C632="SHOW",CONCATENATE(Temp!G628,Temp!H628,",",Temp!I628,",",Temp!J628,Temp!K628),"")</f>
        <v/>
      </c>
      <c r="E632" s="7"/>
      <c r="F632" s="8" t="str">
        <f t="shared" si="19"/>
        <v/>
      </c>
    </row>
    <row r="633" spans="1:6" x14ac:dyDescent="0.25">
      <c r="A633" s="13" t="str">
        <f>IF(AND($E633="",MAX($A$8:$A632)=0),"",IF(AND($E633&lt;&gt;"",MAX($A$8:$A632)=0),1,IF(AND($E633&lt;&gt;"",MAX($A$8:$A632)&gt;0),MAX($A$8:$A632)+1,"")))</f>
        <v/>
      </c>
      <c r="B633" s="11">
        <v>626</v>
      </c>
      <c r="C633" s="19" t="str">
        <f t="shared" si="18"/>
        <v>EMPTY</v>
      </c>
      <c r="D633" s="3" t="str">
        <f>IF(C633="SHOW",CONCATENATE(Temp!G629,Temp!H629,",",Temp!I629,",",Temp!J629,Temp!K629),"")</f>
        <v/>
      </c>
      <c r="E633" s="7"/>
      <c r="F633" s="8" t="str">
        <f t="shared" si="19"/>
        <v/>
      </c>
    </row>
    <row r="634" spans="1:6" x14ac:dyDescent="0.25">
      <c r="A634" s="13" t="str">
        <f>IF(AND($E634="",MAX($A$8:$A633)=0),"",IF(AND($E634&lt;&gt;"",MAX($A$8:$A633)=0),1,IF(AND($E634&lt;&gt;"",MAX($A$8:$A633)&gt;0),MAX($A$8:$A633)+1,"")))</f>
        <v/>
      </c>
      <c r="B634" s="11">
        <v>627</v>
      </c>
      <c r="C634" s="19" t="str">
        <f t="shared" si="18"/>
        <v>EMPTY</v>
      </c>
      <c r="D634" s="3" t="str">
        <f>IF(C634="SHOW",CONCATENATE(Temp!G630,Temp!H630,",",Temp!I630,",",Temp!J630,Temp!K630),"")</f>
        <v/>
      </c>
      <c r="E634" s="7"/>
      <c r="F634" s="8" t="str">
        <f t="shared" si="19"/>
        <v/>
      </c>
    </row>
    <row r="635" spans="1:6" x14ac:dyDescent="0.25">
      <c r="A635" s="13" t="str">
        <f>IF(AND($E635="",MAX($A$8:$A634)=0),"",IF(AND($E635&lt;&gt;"",MAX($A$8:$A634)=0),1,IF(AND($E635&lt;&gt;"",MAX($A$8:$A634)&gt;0),MAX($A$8:$A634)+1,"")))</f>
        <v/>
      </c>
      <c r="B635" s="11">
        <v>628</v>
      </c>
      <c r="C635" s="19" t="str">
        <f t="shared" si="18"/>
        <v>EMPTY</v>
      </c>
      <c r="D635" s="3" t="str">
        <f>IF(C635="SHOW",CONCATENATE(Temp!G631,Temp!H631,",",Temp!I631,",",Temp!J631,Temp!K631),"")</f>
        <v/>
      </c>
      <c r="E635" s="7"/>
      <c r="F635" s="8" t="str">
        <f t="shared" si="19"/>
        <v/>
      </c>
    </row>
    <row r="636" spans="1:6" x14ac:dyDescent="0.25">
      <c r="A636" s="13" t="str">
        <f>IF(AND($E636="",MAX($A$8:$A635)=0),"",IF(AND($E636&lt;&gt;"",MAX($A$8:$A635)=0),1,IF(AND($E636&lt;&gt;"",MAX($A$8:$A635)&gt;0),MAX($A$8:$A635)+1,"")))</f>
        <v/>
      </c>
      <c r="B636" s="11">
        <v>629</v>
      </c>
      <c r="C636" s="19" t="str">
        <f t="shared" si="18"/>
        <v>EMPTY</v>
      </c>
      <c r="D636" s="3" t="str">
        <f>IF(C636="SHOW",CONCATENATE(Temp!G632,Temp!H632,",",Temp!I632,",",Temp!J632,Temp!K632),"")</f>
        <v/>
      </c>
      <c r="E636" s="7"/>
      <c r="F636" s="8" t="str">
        <f t="shared" si="19"/>
        <v/>
      </c>
    </row>
    <row r="637" spans="1:6" x14ac:dyDescent="0.25">
      <c r="A637" s="13" t="str">
        <f>IF(AND($E637="",MAX($A$8:$A636)=0),"",IF(AND($E637&lt;&gt;"",MAX($A$8:$A636)=0),1,IF(AND($E637&lt;&gt;"",MAX($A$8:$A636)&gt;0),MAX($A$8:$A636)+1,"")))</f>
        <v/>
      </c>
      <c r="B637" s="11">
        <v>630</v>
      </c>
      <c r="C637" s="19" t="str">
        <f t="shared" si="18"/>
        <v>EMPTY</v>
      </c>
      <c r="D637" s="3" t="str">
        <f>IF(C637="SHOW",CONCATENATE(Temp!G633,Temp!H633,",",Temp!I633,",",Temp!J633,Temp!K633),"")</f>
        <v/>
      </c>
      <c r="E637" s="7"/>
      <c r="F637" s="8" t="str">
        <f t="shared" si="19"/>
        <v/>
      </c>
    </row>
    <row r="638" spans="1:6" x14ac:dyDescent="0.25">
      <c r="A638" s="13" t="str">
        <f>IF(AND($E638="",MAX($A$8:$A637)=0),"",IF(AND($E638&lt;&gt;"",MAX($A$8:$A637)=0),1,IF(AND($E638&lt;&gt;"",MAX($A$8:$A637)&gt;0),MAX($A$8:$A637)+1,"")))</f>
        <v/>
      </c>
      <c r="B638" s="11">
        <v>631</v>
      </c>
      <c r="C638" s="19" t="str">
        <f t="shared" si="18"/>
        <v>EMPTY</v>
      </c>
      <c r="D638" s="3" t="str">
        <f>IF(C638="SHOW",CONCATENATE(Temp!G634,Temp!H634,",",Temp!I634,",",Temp!J634,Temp!K634),"")</f>
        <v/>
      </c>
      <c r="E638" s="7"/>
      <c r="F638" s="8" t="str">
        <f t="shared" si="19"/>
        <v/>
      </c>
    </row>
    <row r="639" spans="1:6" x14ac:dyDescent="0.25">
      <c r="A639" s="13" t="str">
        <f>IF(AND($E639="",MAX($A$8:$A638)=0),"",IF(AND($E639&lt;&gt;"",MAX($A$8:$A638)=0),1,IF(AND($E639&lt;&gt;"",MAX($A$8:$A638)&gt;0),MAX($A$8:$A638)+1,"")))</f>
        <v/>
      </c>
      <c r="B639" s="11">
        <v>632</v>
      </c>
      <c r="C639" s="19" t="str">
        <f t="shared" si="18"/>
        <v>EMPTY</v>
      </c>
      <c r="D639" s="3" t="str">
        <f>IF(C639="SHOW",CONCATENATE(Temp!G635,Temp!H635,",",Temp!I635,",",Temp!J635,Temp!K635),"")</f>
        <v/>
      </c>
      <c r="E639" s="7"/>
      <c r="F639" s="8" t="str">
        <f t="shared" si="19"/>
        <v/>
      </c>
    </row>
    <row r="640" spans="1:6" x14ac:dyDescent="0.25">
      <c r="A640" s="13" t="str">
        <f>IF(AND($E640="",MAX($A$8:$A639)=0),"",IF(AND($E640&lt;&gt;"",MAX($A$8:$A639)=0),1,IF(AND($E640&lt;&gt;"",MAX($A$8:$A639)&gt;0),MAX($A$8:$A639)+1,"")))</f>
        <v/>
      </c>
      <c r="B640" s="11">
        <v>633</v>
      </c>
      <c r="C640" s="19" t="str">
        <f t="shared" si="18"/>
        <v>EMPTY</v>
      </c>
      <c r="D640" s="3" t="str">
        <f>IF(C640="SHOW",CONCATENATE(Temp!G636,Temp!H636,",",Temp!I636,",",Temp!J636,Temp!K636),"")</f>
        <v/>
      </c>
      <c r="E640" s="7"/>
      <c r="F640" s="8" t="str">
        <f t="shared" si="19"/>
        <v/>
      </c>
    </row>
    <row r="641" spans="1:6" x14ac:dyDescent="0.25">
      <c r="A641" s="13" t="str">
        <f>IF(AND($E641="",MAX($A$8:$A640)=0),"",IF(AND($E641&lt;&gt;"",MAX($A$8:$A640)=0),1,IF(AND($E641&lt;&gt;"",MAX($A$8:$A640)&gt;0),MAX($A$8:$A640)+1,"")))</f>
        <v/>
      </c>
      <c r="B641" s="11">
        <v>634</v>
      </c>
      <c r="C641" s="19" t="str">
        <f t="shared" si="18"/>
        <v>EMPTY</v>
      </c>
      <c r="D641" s="3" t="str">
        <f>IF(C641="SHOW",CONCATENATE(Temp!G637,Temp!H637,",",Temp!I637,",",Temp!J637,Temp!K637),"")</f>
        <v/>
      </c>
      <c r="E641" s="7"/>
      <c r="F641" s="8" t="str">
        <f t="shared" si="19"/>
        <v/>
      </c>
    </row>
    <row r="642" spans="1:6" x14ac:dyDescent="0.25">
      <c r="A642" s="13" t="str">
        <f>IF(AND($E642="",MAX($A$8:$A641)=0),"",IF(AND($E642&lt;&gt;"",MAX($A$8:$A641)=0),1,IF(AND($E642&lt;&gt;"",MAX($A$8:$A641)&gt;0),MAX($A$8:$A641)+1,"")))</f>
        <v/>
      </c>
      <c r="B642" s="11">
        <v>635</v>
      </c>
      <c r="C642" s="19" t="str">
        <f t="shared" si="18"/>
        <v>EMPTY</v>
      </c>
      <c r="D642" s="3" t="str">
        <f>IF(C642="SHOW",CONCATENATE(Temp!G638,Temp!H638,",",Temp!I638,",",Temp!J638,Temp!K638),"")</f>
        <v/>
      </c>
      <c r="E642" s="7"/>
      <c r="F642" s="8" t="str">
        <f t="shared" si="19"/>
        <v/>
      </c>
    </row>
    <row r="643" spans="1:6" x14ac:dyDescent="0.25">
      <c r="A643" s="13" t="str">
        <f>IF(AND($E643="",MAX($A$8:$A642)=0),"",IF(AND($E643&lt;&gt;"",MAX($A$8:$A642)=0),1,IF(AND($E643&lt;&gt;"",MAX($A$8:$A642)&gt;0),MAX($A$8:$A642)+1,"")))</f>
        <v/>
      </c>
      <c r="B643" s="11">
        <v>636</v>
      </c>
      <c r="C643" s="19" t="str">
        <f t="shared" si="18"/>
        <v>EMPTY</v>
      </c>
      <c r="D643" s="3" t="str">
        <f>IF(C643="SHOW",CONCATENATE(Temp!G639,Temp!H639,",",Temp!I639,",",Temp!J639,Temp!K639),"")</f>
        <v/>
      </c>
      <c r="E643" s="7"/>
      <c r="F643" s="8" t="str">
        <f t="shared" si="19"/>
        <v/>
      </c>
    </row>
    <row r="644" spans="1:6" x14ac:dyDescent="0.25">
      <c r="A644" s="13" t="str">
        <f>IF(AND($E644="",MAX($A$8:$A643)=0),"",IF(AND($E644&lt;&gt;"",MAX($A$8:$A643)=0),1,IF(AND($E644&lt;&gt;"",MAX($A$8:$A643)&gt;0),MAX($A$8:$A643)+1,"")))</f>
        <v/>
      </c>
      <c r="B644" s="11">
        <v>637</v>
      </c>
      <c r="C644" s="19" t="str">
        <f t="shared" si="18"/>
        <v>EMPTY</v>
      </c>
      <c r="D644" s="3" t="str">
        <f>IF(C644="SHOW",CONCATENATE(Temp!G640,Temp!H640,",",Temp!I640,",",Temp!J640,Temp!K640),"")</f>
        <v/>
      </c>
      <c r="E644" s="7"/>
      <c r="F644" s="8" t="str">
        <f t="shared" si="19"/>
        <v/>
      </c>
    </row>
    <row r="645" spans="1:6" x14ac:dyDescent="0.25">
      <c r="A645" s="13" t="str">
        <f>IF(AND($E645="",MAX($A$8:$A644)=0),"",IF(AND($E645&lt;&gt;"",MAX($A$8:$A644)=0),1,IF(AND($E645&lt;&gt;"",MAX($A$8:$A644)&gt;0),MAX($A$8:$A644)+1,"")))</f>
        <v/>
      </c>
      <c r="B645" s="11">
        <v>638</v>
      </c>
      <c r="C645" s="19" t="str">
        <f t="shared" si="18"/>
        <v>EMPTY</v>
      </c>
      <c r="D645" s="3" t="str">
        <f>IF(C645="SHOW",CONCATENATE(Temp!G641,Temp!H641,",",Temp!I641,",",Temp!J641,Temp!K641),"")</f>
        <v/>
      </c>
      <c r="E645" s="7"/>
      <c r="F645" s="8" t="str">
        <f t="shared" si="19"/>
        <v/>
      </c>
    </row>
    <row r="646" spans="1:6" x14ac:dyDescent="0.25">
      <c r="A646" s="13" t="str">
        <f>IF(AND($E646="",MAX($A$8:$A645)=0),"",IF(AND($E646&lt;&gt;"",MAX($A$8:$A645)=0),1,IF(AND($E646&lt;&gt;"",MAX($A$8:$A645)&gt;0),MAX($A$8:$A645)+1,"")))</f>
        <v/>
      </c>
      <c r="B646" s="11">
        <v>639</v>
      </c>
      <c r="C646" s="19" t="str">
        <f t="shared" si="18"/>
        <v>EMPTY</v>
      </c>
      <c r="D646" s="3" t="str">
        <f>IF(C646="SHOW",CONCATENATE(Temp!G642,Temp!H642,",",Temp!I642,",",Temp!J642,Temp!K642),"")</f>
        <v/>
      </c>
      <c r="E646" s="7"/>
      <c r="F646" s="8" t="str">
        <f t="shared" si="19"/>
        <v/>
      </c>
    </row>
    <row r="647" spans="1:6" x14ac:dyDescent="0.25">
      <c r="A647" s="13" t="str">
        <f>IF(AND($E647="",MAX($A$8:$A646)=0),"",IF(AND($E647&lt;&gt;"",MAX($A$8:$A646)=0),1,IF(AND($E647&lt;&gt;"",MAX($A$8:$A646)&gt;0),MAX($A$8:$A646)+1,"")))</f>
        <v/>
      </c>
      <c r="B647" s="11">
        <v>640</v>
      </c>
      <c r="C647" s="19" t="str">
        <f t="shared" si="18"/>
        <v>EMPTY</v>
      </c>
      <c r="D647" s="3" t="str">
        <f>IF(C647="SHOW",CONCATENATE(Temp!G643,Temp!H643,",",Temp!I643,",",Temp!J643,Temp!K643),"")</f>
        <v/>
      </c>
      <c r="E647" s="7"/>
      <c r="F647" s="8" t="str">
        <f t="shared" si="19"/>
        <v/>
      </c>
    </row>
    <row r="648" spans="1:6" x14ac:dyDescent="0.25">
      <c r="A648" s="13" t="str">
        <f>IF(AND($E648="",MAX($A$8:$A647)=0),"",IF(AND($E648&lt;&gt;"",MAX($A$8:$A647)=0),1,IF(AND($E648&lt;&gt;"",MAX($A$8:$A647)&gt;0),MAX($A$8:$A647)+1,"")))</f>
        <v/>
      </c>
      <c r="B648" s="11">
        <v>641</v>
      </c>
      <c r="C648" s="19" t="str">
        <f t="shared" si="18"/>
        <v>EMPTY</v>
      </c>
      <c r="D648" s="3" t="str">
        <f>IF(C648="SHOW",CONCATENATE(Temp!G644,Temp!H644,",",Temp!I644,",",Temp!J644,Temp!K644),"")</f>
        <v/>
      </c>
      <c r="E648" s="7"/>
      <c r="F648" s="8" t="str">
        <f t="shared" si="19"/>
        <v/>
      </c>
    </row>
    <row r="649" spans="1:6" x14ac:dyDescent="0.25">
      <c r="A649" s="13" t="str">
        <f>IF(AND($E649="",MAX($A$8:$A648)=0),"",IF(AND($E649&lt;&gt;"",MAX($A$8:$A648)=0),1,IF(AND($E649&lt;&gt;"",MAX($A$8:$A648)&gt;0),MAX($A$8:$A648)+1,"")))</f>
        <v/>
      </c>
      <c r="B649" s="11">
        <v>642</v>
      </c>
      <c r="C649" s="19" t="str">
        <f t="shared" ref="C649:C712" si="20">IF(E649="","EMPTY",IF(MID(E649,1,9)&lt;&gt;"Dialogue:","HIDE",IF(MID(E649,1,9)="Dialogue:","SHOW","")))</f>
        <v>EMPTY</v>
      </c>
      <c r="D649" s="3" t="str">
        <f>IF(C649="SHOW",CONCATENATE(Temp!G645,Temp!H645,",",Temp!I645,",",Temp!J645,Temp!K645),"")</f>
        <v/>
      </c>
      <c r="E649" s="7"/>
      <c r="F649" s="8" t="str">
        <f t="shared" ref="F649:F712" si="21">$D649</f>
        <v/>
      </c>
    </row>
    <row r="650" spans="1:6" x14ac:dyDescent="0.25">
      <c r="A650" s="13" t="str">
        <f>IF(AND($E650="",MAX($A$8:$A649)=0),"",IF(AND($E650&lt;&gt;"",MAX($A$8:$A649)=0),1,IF(AND($E650&lt;&gt;"",MAX($A$8:$A649)&gt;0),MAX($A$8:$A649)+1,"")))</f>
        <v/>
      </c>
      <c r="B650" s="11">
        <v>643</v>
      </c>
      <c r="C650" s="19" t="str">
        <f t="shared" si="20"/>
        <v>EMPTY</v>
      </c>
      <c r="D650" s="3" t="str">
        <f>IF(C650="SHOW",CONCATENATE(Temp!G646,Temp!H646,",",Temp!I646,",",Temp!J646,Temp!K646),"")</f>
        <v/>
      </c>
      <c r="E650" s="7"/>
      <c r="F650" s="8" t="str">
        <f t="shared" si="21"/>
        <v/>
      </c>
    </row>
    <row r="651" spans="1:6" x14ac:dyDescent="0.25">
      <c r="A651" s="13" t="str">
        <f>IF(AND($E651="",MAX($A$8:$A650)=0),"",IF(AND($E651&lt;&gt;"",MAX($A$8:$A650)=0),1,IF(AND($E651&lt;&gt;"",MAX($A$8:$A650)&gt;0),MAX($A$8:$A650)+1,"")))</f>
        <v/>
      </c>
      <c r="B651" s="11">
        <v>644</v>
      </c>
      <c r="C651" s="19" t="str">
        <f t="shared" si="20"/>
        <v>EMPTY</v>
      </c>
      <c r="D651" s="3" t="str">
        <f>IF(C651="SHOW",CONCATENATE(Temp!G647,Temp!H647,",",Temp!I647,",",Temp!J647,Temp!K647),"")</f>
        <v/>
      </c>
      <c r="E651" s="7"/>
      <c r="F651" s="8" t="str">
        <f t="shared" si="21"/>
        <v/>
      </c>
    </row>
    <row r="652" spans="1:6" x14ac:dyDescent="0.25">
      <c r="A652" s="13" t="str">
        <f>IF(AND($E652="",MAX($A$8:$A651)=0),"",IF(AND($E652&lt;&gt;"",MAX($A$8:$A651)=0),1,IF(AND($E652&lt;&gt;"",MAX($A$8:$A651)&gt;0),MAX($A$8:$A651)+1,"")))</f>
        <v/>
      </c>
      <c r="B652" s="11">
        <v>645</v>
      </c>
      <c r="C652" s="19" t="str">
        <f t="shared" si="20"/>
        <v>EMPTY</v>
      </c>
      <c r="D652" s="3" t="str">
        <f>IF(C652="SHOW",CONCATENATE(Temp!G648,Temp!H648,",",Temp!I648,",",Temp!J648,Temp!K648),"")</f>
        <v/>
      </c>
      <c r="E652" s="7"/>
      <c r="F652" s="8" t="str">
        <f t="shared" si="21"/>
        <v/>
      </c>
    </row>
    <row r="653" spans="1:6" x14ac:dyDescent="0.25">
      <c r="A653" s="13" t="str">
        <f>IF(AND($E653="",MAX($A$8:$A652)=0),"",IF(AND($E653&lt;&gt;"",MAX($A$8:$A652)=0),1,IF(AND($E653&lt;&gt;"",MAX($A$8:$A652)&gt;0),MAX($A$8:$A652)+1,"")))</f>
        <v/>
      </c>
      <c r="B653" s="11">
        <v>646</v>
      </c>
      <c r="C653" s="19" t="str">
        <f t="shared" si="20"/>
        <v>EMPTY</v>
      </c>
      <c r="D653" s="3" t="str">
        <f>IF(C653="SHOW",CONCATENATE(Temp!G649,Temp!H649,",",Temp!I649,",",Temp!J649,Temp!K649),"")</f>
        <v/>
      </c>
      <c r="E653" s="7"/>
      <c r="F653" s="8" t="str">
        <f t="shared" si="21"/>
        <v/>
      </c>
    </row>
    <row r="654" spans="1:6" x14ac:dyDescent="0.25">
      <c r="A654" s="13" t="str">
        <f>IF(AND($E654="",MAX($A$8:$A653)=0),"",IF(AND($E654&lt;&gt;"",MAX($A$8:$A653)=0),1,IF(AND($E654&lt;&gt;"",MAX($A$8:$A653)&gt;0),MAX($A$8:$A653)+1,"")))</f>
        <v/>
      </c>
      <c r="B654" s="11">
        <v>647</v>
      </c>
      <c r="C654" s="19" t="str">
        <f t="shared" si="20"/>
        <v>EMPTY</v>
      </c>
      <c r="D654" s="3" t="str">
        <f>IF(C654="SHOW",CONCATENATE(Temp!G650,Temp!H650,",",Temp!I650,",",Temp!J650,Temp!K650),"")</f>
        <v/>
      </c>
      <c r="E654" s="7"/>
      <c r="F654" s="8" t="str">
        <f t="shared" si="21"/>
        <v/>
      </c>
    </row>
    <row r="655" spans="1:6" x14ac:dyDescent="0.25">
      <c r="A655" s="13" t="str">
        <f>IF(AND($E655="",MAX($A$8:$A654)=0),"",IF(AND($E655&lt;&gt;"",MAX($A$8:$A654)=0),1,IF(AND($E655&lt;&gt;"",MAX($A$8:$A654)&gt;0),MAX($A$8:$A654)+1,"")))</f>
        <v/>
      </c>
      <c r="B655" s="11">
        <v>648</v>
      </c>
      <c r="C655" s="19" t="str">
        <f t="shared" si="20"/>
        <v>EMPTY</v>
      </c>
      <c r="D655" s="3" t="str">
        <f>IF(C655="SHOW",CONCATENATE(Temp!G651,Temp!H651,",",Temp!I651,",",Temp!J651,Temp!K651),"")</f>
        <v/>
      </c>
      <c r="E655" s="7"/>
      <c r="F655" s="8" t="str">
        <f t="shared" si="21"/>
        <v/>
      </c>
    </row>
    <row r="656" spans="1:6" x14ac:dyDescent="0.25">
      <c r="A656" s="13" t="str">
        <f>IF(AND($E656="",MAX($A$8:$A655)=0),"",IF(AND($E656&lt;&gt;"",MAX($A$8:$A655)=0),1,IF(AND($E656&lt;&gt;"",MAX($A$8:$A655)&gt;0),MAX($A$8:$A655)+1,"")))</f>
        <v/>
      </c>
      <c r="B656" s="11">
        <v>649</v>
      </c>
      <c r="C656" s="19" t="str">
        <f t="shared" si="20"/>
        <v>EMPTY</v>
      </c>
      <c r="D656" s="3" t="str">
        <f>IF(C656="SHOW",CONCATENATE(Temp!G652,Temp!H652,",",Temp!I652,",",Temp!J652,Temp!K652),"")</f>
        <v/>
      </c>
      <c r="E656" s="7"/>
      <c r="F656" s="8" t="str">
        <f t="shared" si="21"/>
        <v/>
      </c>
    </row>
    <row r="657" spans="1:6" x14ac:dyDescent="0.25">
      <c r="A657" s="13" t="str">
        <f>IF(AND($E657="",MAX($A$8:$A656)=0),"",IF(AND($E657&lt;&gt;"",MAX($A$8:$A656)=0),1,IF(AND($E657&lt;&gt;"",MAX($A$8:$A656)&gt;0),MAX($A$8:$A656)+1,"")))</f>
        <v/>
      </c>
      <c r="B657" s="11">
        <v>650</v>
      </c>
      <c r="C657" s="19" t="str">
        <f t="shared" si="20"/>
        <v>EMPTY</v>
      </c>
      <c r="D657" s="3" t="str">
        <f>IF(C657="SHOW",CONCATENATE(Temp!G653,Temp!H653,",",Temp!I653,",",Temp!J653,Temp!K653),"")</f>
        <v/>
      </c>
      <c r="E657" s="7"/>
      <c r="F657" s="8" t="str">
        <f t="shared" si="21"/>
        <v/>
      </c>
    </row>
    <row r="658" spans="1:6" x14ac:dyDescent="0.25">
      <c r="A658" s="13" t="str">
        <f>IF(AND($E658="",MAX($A$8:$A657)=0),"",IF(AND($E658&lt;&gt;"",MAX($A$8:$A657)=0),1,IF(AND($E658&lt;&gt;"",MAX($A$8:$A657)&gt;0),MAX($A$8:$A657)+1,"")))</f>
        <v/>
      </c>
      <c r="B658" s="11">
        <v>651</v>
      </c>
      <c r="C658" s="19" t="str">
        <f t="shared" si="20"/>
        <v>EMPTY</v>
      </c>
      <c r="D658" s="3" t="str">
        <f>IF(C658="SHOW",CONCATENATE(Temp!G654,Temp!H654,",",Temp!I654,",",Temp!J654,Temp!K654),"")</f>
        <v/>
      </c>
      <c r="E658" s="7"/>
      <c r="F658" s="8" t="str">
        <f t="shared" si="21"/>
        <v/>
      </c>
    </row>
    <row r="659" spans="1:6" x14ac:dyDescent="0.25">
      <c r="A659" s="13" t="str">
        <f>IF(AND($E659="",MAX($A$8:$A658)=0),"",IF(AND($E659&lt;&gt;"",MAX($A$8:$A658)=0),1,IF(AND($E659&lt;&gt;"",MAX($A$8:$A658)&gt;0),MAX($A$8:$A658)+1,"")))</f>
        <v/>
      </c>
      <c r="B659" s="11">
        <v>652</v>
      </c>
      <c r="C659" s="19" t="str">
        <f t="shared" si="20"/>
        <v>EMPTY</v>
      </c>
      <c r="D659" s="3" t="str">
        <f>IF(C659="SHOW",CONCATENATE(Temp!G655,Temp!H655,",",Temp!I655,",",Temp!J655,Temp!K655),"")</f>
        <v/>
      </c>
      <c r="E659" s="7"/>
      <c r="F659" s="8" t="str">
        <f t="shared" si="21"/>
        <v/>
      </c>
    </row>
    <row r="660" spans="1:6" x14ac:dyDescent="0.25">
      <c r="A660" s="13" t="str">
        <f>IF(AND($E660="",MAX($A$8:$A659)=0),"",IF(AND($E660&lt;&gt;"",MAX($A$8:$A659)=0),1,IF(AND($E660&lt;&gt;"",MAX($A$8:$A659)&gt;0),MAX($A$8:$A659)+1,"")))</f>
        <v/>
      </c>
      <c r="B660" s="11">
        <v>653</v>
      </c>
      <c r="C660" s="19" t="str">
        <f t="shared" si="20"/>
        <v>EMPTY</v>
      </c>
      <c r="D660" s="3" t="str">
        <f>IF(C660="SHOW",CONCATENATE(Temp!G656,Temp!H656,",",Temp!I656,",",Temp!J656,Temp!K656),"")</f>
        <v/>
      </c>
      <c r="E660" s="7"/>
      <c r="F660" s="8" t="str">
        <f t="shared" si="21"/>
        <v/>
      </c>
    </row>
    <row r="661" spans="1:6" x14ac:dyDescent="0.25">
      <c r="A661" s="13" t="str">
        <f>IF(AND($E661="",MAX($A$8:$A660)=0),"",IF(AND($E661&lt;&gt;"",MAX($A$8:$A660)=0),1,IF(AND($E661&lt;&gt;"",MAX($A$8:$A660)&gt;0),MAX($A$8:$A660)+1,"")))</f>
        <v/>
      </c>
      <c r="B661" s="11">
        <v>654</v>
      </c>
      <c r="C661" s="19" t="str">
        <f t="shared" si="20"/>
        <v>EMPTY</v>
      </c>
      <c r="D661" s="3" t="str">
        <f>IF(C661="SHOW",CONCATENATE(Temp!G657,Temp!H657,",",Temp!I657,",",Temp!J657,Temp!K657),"")</f>
        <v/>
      </c>
      <c r="E661" s="7"/>
      <c r="F661" s="8" t="str">
        <f t="shared" si="21"/>
        <v/>
      </c>
    </row>
    <row r="662" spans="1:6" x14ac:dyDescent="0.25">
      <c r="A662" s="13" t="str">
        <f>IF(AND($E662="",MAX($A$8:$A661)=0),"",IF(AND($E662&lt;&gt;"",MAX($A$8:$A661)=0),1,IF(AND($E662&lt;&gt;"",MAX($A$8:$A661)&gt;0),MAX($A$8:$A661)+1,"")))</f>
        <v/>
      </c>
      <c r="B662" s="11">
        <v>655</v>
      </c>
      <c r="C662" s="19" t="str">
        <f t="shared" si="20"/>
        <v>EMPTY</v>
      </c>
      <c r="D662" s="3" t="str">
        <f>IF(C662="SHOW",CONCATENATE(Temp!G658,Temp!H658,",",Temp!I658,",",Temp!J658,Temp!K658),"")</f>
        <v/>
      </c>
      <c r="E662" s="7"/>
      <c r="F662" s="8" t="str">
        <f t="shared" si="21"/>
        <v/>
      </c>
    </row>
    <row r="663" spans="1:6" x14ac:dyDescent="0.25">
      <c r="A663" s="13" t="str">
        <f>IF(AND($E663="",MAX($A$8:$A662)=0),"",IF(AND($E663&lt;&gt;"",MAX($A$8:$A662)=0),1,IF(AND($E663&lt;&gt;"",MAX($A$8:$A662)&gt;0),MAX($A$8:$A662)+1,"")))</f>
        <v/>
      </c>
      <c r="B663" s="11">
        <v>656</v>
      </c>
      <c r="C663" s="19" t="str">
        <f t="shared" si="20"/>
        <v>EMPTY</v>
      </c>
      <c r="D663" s="3" t="str">
        <f>IF(C663="SHOW",CONCATENATE(Temp!G659,Temp!H659,",",Temp!I659,",",Temp!J659,Temp!K659),"")</f>
        <v/>
      </c>
      <c r="E663" s="7"/>
      <c r="F663" s="8" t="str">
        <f t="shared" si="21"/>
        <v/>
      </c>
    </row>
    <row r="664" spans="1:6" x14ac:dyDescent="0.25">
      <c r="A664" s="13" t="str">
        <f>IF(AND($E664="",MAX($A$8:$A663)=0),"",IF(AND($E664&lt;&gt;"",MAX($A$8:$A663)=0),1,IF(AND($E664&lt;&gt;"",MAX($A$8:$A663)&gt;0),MAX($A$8:$A663)+1,"")))</f>
        <v/>
      </c>
      <c r="B664" s="11">
        <v>657</v>
      </c>
      <c r="C664" s="19" t="str">
        <f t="shared" si="20"/>
        <v>EMPTY</v>
      </c>
      <c r="D664" s="3" t="str">
        <f>IF(C664="SHOW",CONCATENATE(Temp!G660,Temp!H660,",",Temp!I660,",",Temp!J660,Temp!K660),"")</f>
        <v/>
      </c>
      <c r="E664" s="7"/>
      <c r="F664" s="8" t="str">
        <f t="shared" si="21"/>
        <v/>
      </c>
    </row>
    <row r="665" spans="1:6" x14ac:dyDescent="0.25">
      <c r="A665" s="13" t="str">
        <f>IF(AND($E665="",MAX($A$8:$A664)=0),"",IF(AND($E665&lt;&gt;"",MAX($A$8:$A664)=0),1,IF(AND($E665&lt;&gt;"",MAX($A$8:$A664)&gt;0),MAX($A$8:$A664)+1,"")))</f>
        <v/>
      </c>
      <c r="B665" s="11">
        <v>658</v>
      </c>
      <c r="C665" s="19" t="str">
        <f t="shared" si="20"/>
        <v>EMPTY</v>
      </c>
      <c r="D665" s="3" t="str">
        <f>IF(C665="SHOW",CONCATENATE(Temp!G661,Temp!H661,",",Temp!I661,",",Temp!J661,Temp!K661),"")</f>
        <v/>
      </c>
      <c r="E665" s="7"/>
      <c r="F665" s="8" t="str">
        <f t="shared" si="21"/>
        <v/>
      </c>
    </row>
    <row r="666" spans="1:6" x14ac:dyDescent="0.25">
      <c r="A666" s="13" t="str">
        <f>IF(AND($E666="",MAX($A$8:$A665)=0),"",IF(AND($E666&lt;&gt;"",MAX($A$8:$A665)=0),1,IF(AND($E666&lt;&gt;"",MAX($A$8:$A665)&gt;0),MAX($A$8:$A665)+1,"")))</f>
        <v/>
      </c>
      <c r="B666" s="11">
        <v>659</v>
      </c>
      <c r="C666" s="19" t="str">
        <f t="shared" si="20"/>
        <v>EMPTY</v>
      </c>
      <c r="D666" s="3" t="str">
        <f>IF(C666="SHOW",CONCATENATE(Temp!G662,Temp!H662,",",Temp!I662,",",Temp!J662,Temp!K662),"")</f>
        <v/>
      </c>
      <c r="E666" s="7"/>
      <c r="F666" s="8" t="str">
        <f t="shared" si="21"/>
        <v/>
      </c>
    </row>
    <row r="667" spans="1:6" x14ac:dyDescent="0.25">
      <c r="A667" s="13" t="str">
        <f>IF(AND($E667="",MAX($A$8:$A666)=0),"",IF(AND($E667&lt;&gt;"",MAX($A$8:$A666)=0),1,IF(AND($E667&lt;&gt;"",MAX($A$8:$A666)&gt;0),MAX($A$8:$A666)+1,"")))</f>
        <v/>
      </c>
      <c r="B667" s="11">
        <v>660</v>
      </c>
      <c r="C667" s="19" t="str">
        <f t="shared" si="20"/>
        <v>EMPTY</v>
      </c>
      <c r="D667" s="3" t="str">
        <f>IF(C667="SHOW",CONCATENATE(Temp!G663,Temp!H663,",",Temp!I663,",",Temp!J663,Temp!K663),"")</f>
        <v/>
      </c>
      <c r="E667" s="7"/>
      <c r="F667" s="8" t="str">
        <f t="shared" si="21"/>
        <v/>
      </c>
    </row>
    <row r="668" spans="1:6" x14ac:dyDescent="0.25">
      <c r="A668" s="13" t="str">
        <f>IF(AND($E668="",MAX($A$8:$A667)=0),"",IF(AND($E668&lt;&gt;"",MAX($A$8:$A667)=0),1,IF(AND($E668&lt;&gt;"",MAX($A$8:$A667)&gt;0),MAX($A$8:$A667)+1,"")))</f>
        <v/>
      </c>
      <c r="B668" s="11">
        <v>661</v>
      </c>
      <c r="C668" s="19" t="str">
        <f t="shared" si="20"/>
        <v>EMPTY</v>
      </c>
      <c r="D668" s="3" t="str">
        <f>IF(C668="SHOW",CONCATENATE(Temp!G664,Temp!H664,",",Temp!I664,",",Temp!J664,Temp!K664),"")</f>
        <v/>
      </c>
      <c r="E668" s="7"/>
      <c r="F668" s="8" t="str">
        <f t="shared" si="21"/>
        <v/>
      </c>
    </row>
    <row r="669" spans="1:6" x14ac:dyDescent="0.25">
      <c r="A669" s="13" t="str">
        <f>IF(AND($E669="",MAX($A$8:$A668)=0),"",IF(AND($E669&lt;&gt;"",MAX($A$8:$A668)=0),1,IF(AND($E669&lt;&gt;"",MAX($A$8:$A668)&gt;0),MAX($A$8:$A668)+1,"")))</f>
        <v/>
      </c>
      <c r="B669" s="11">
        <v>662</v>
      </c>
      <c r="C669" s="19" t="str">
        <f t="shared" si="20"/>
        <v>EMPTY</v>
      </c>
      <c r="D669" s="3" t="str">
        <f>IF(C669="SHOW",CONCATENATE(Temp!G665,Temp!H665,",",Temp!I665,",",Temp!J665,Temp!K665),"")</f>
        <v/>
      </c>
      <c r="E669" s="7"/>
      <c r="F669" s="8" t="str">
        <f t="shared" si="21"/>
        <v/>
      </c>
    </row>
    <row r="670" spans="1:6" x14ac:dyDescent="0.25">
      <c r="A670" s="13" t="str">
        <f>IF(AND($E670="",MAX($A$8:$A669)=0),"",IF(AND($E670&lt;&gt;"",MAX($A$8:$A669)=0),1,IF(AND($E670&lt;&gt;"",MAX($A$8:$A669)&gt;0),MAX($A$8:$A669)+1,"")))</f>
        <v/>
      </c>
      <c r="B670" s="11">
        <v>663</v>
      </c>
      <c r="C670" s="19" t="str">
        <f t="shared" si="20"/>
        <v>EMPTY</v>
      </c>
      <c r="D670" s="3" t="str">
        <f>IF(C670="SHOW",CONCATENATE(Temp!G666,Temp!H666,",",Temp!I666,",",Temp!J666,Temp!K666),"")</f>
        <v/>
      </c>
      <c r="E670" s="7"/>
      <c r="F670" s="8" t="str">
        <f t="shared" si="21"/>
        <v/>
      </c>
    </row>
    <row r="671" spans="1:6" x14ac:dyDescent="0.25">
      <c r="A671" s="13" t="str">
        <f>IF(AND($E671="",MAX($A$8:$A670)=0),"",IF(AND($E671&lt;&gt;"",MAX($A$8:$A670)=0),1,IF(AND($E671&lt;&gt;"",MAX($A$8:$A670)&gt;0),MAX($A$8:$A670)+1,"")))</f>
        <v/>
      </c>
      <c r="B671" s="11">
        <v>664</v>
      </c>
      <c r="C671" s="19" t="str">
        <f t="shared" si="20"/>
        <v>EMPTY</v>
      </c>
      <c r="D671" s="3" t="str">
        <f>IF(C671="SHOW",CONCATENATE(Temp!G667,Temp!H667,",",Temp!I667,",",Temp!J667,Temp!K667),"")</f>
        <v/>
      </c>
      <c r="E671" s="7"/>
      <c r="F671" s="8" t="str">
        <f t="shared" si="21"/>
        <v/>
      </c>
    </row>
    <row r="672" spans="1:6" x14ac:dyDescent="0.25">
      <c r="A672" s="13" t="str">
        <f>IF(AND($E672="",MAX($A$8:$A671)=0),"",IF(AND($E672&lt;&gt;"",MAX($A$8:$A671)=0),1,IF(AND($E672&lt;&gt;"",MAX($A$8:$A671)&gt;0),MAX($A$8:$A671)+1,"")))</f>
        <v/>
      </c>
      <c r="B672" s="11">
        <v>665</v>
      </c>
      <c r="C672" s="19" t="str">
        <f t="shared" si="20"/>
        <v>EMPTY</v>
      </c>
      <c r="D672" s="3" t="str">
        <f>IF(C672="SHOW",CONCATENATE(Temp!G668,Temp!H668,",",Temp!I668,",",Temp!J668,Temp!K668),"")</f>
        <v/>
      </c>
      <c r="E672" s="7"/>
      <c r="F672" s="8" t="str">
        <f t="shared" si="21"/>
        <v/>
      </c>
    </row>
    <row r="673" spans="1:6" x14ac:dyDescent="0.25">
      <c r="A673" s="13" t="str">
        <f>IF(AND($E673="",MAX($A$8:$A672)=0),"",IF(AND($E673&lt;&gt;"",MAX($A$8:$A672)=0),1,IF(AND($E673&lt;&gt;"",MAX($A$8:$A672)&gt;0),MAX($A$8:$A672)+1,"")))</f>
        <v/>
      </c>
      <c r="B673" s="11">
        <v>666</v>
      </c>
      <c r="C673" s="19" t="str">
        <f t="shared" si="20"/>
        <v>EMPTY</v>
      </c>
      <c r="D673" s="3" t="str">
        <f>IF(C673="SHOW",CONCATENATE(Temp!G669,Temp!H669,",",Temp!I669,",",Temp!J669,Temp!K669),"")</f>
        <v/>
      </c>
      <c r="E673" s="7"/>
      <c r="F673" s="8" t="str">
        <f t="shared" si="21"/>
        <v/>
      </c>
    </row>
    <row r="674" spans="1:6" x14ac:dyDescent="0.25">
      <c r="A674" s="13" t="str">
        <f>IF(AND($E674="",MAX($A$8:$A673)=0),"",IF(AND($E674&lt;&gt;"",MAX($A$8:$A673)=0),1,IF(AND($E674&lt;&gt;"",MAX($A$8:$A673)&gt;0),MAX($A$8:$A673)+1,"")))</f>
        <v/>
      </c>
      <c r="B674" s="11">
        <v>667</v>
      </c>
      <c r="C674" s="19" t="str">
        <f t="shared" si="20"/>
        <v>EMPTY</v>
      </c>
      <c r="D674" s="3" t="str">
        <f>IF(C674="SHOW",CONCATENATE(Temp!G670,Temp!H670,",",Temp!I670,",",Temp!J670,Temp!K670),"")</f>
        <v/>
      </c>
      <c r="E674" s="7"/>
      <c r="F674" s="8" t="str">
        <f t="shared" si="21"/>
        <v/>
      </c>
    </row>
    <row r="675" spans="1:6" x14ac:dyDescent="0.25">
      <c r="A675" s="13" t="str">
        <f>IF(AND($E675="",MAX($A$8:$A674)=0),"",IF(AND($E675&lt;&gt;"",MAX($A$8:$A674)=0),1,IF(AND($E675&lt;&gt;"",MAX($A$8:$A674)&gt;0),MAX($A$8:$A674)+1,"")))</f>
        <v/>
      </c>
      <c r="B675" s="11">
        <v>668</v>
      </c>
      <c r="C675" s="19" t="str">
        <f t="shared" si="20"/>
        <v>EMPTY</v>
      </c>
      <c r="D675" s="3" t="str">
        <f>IF(C675="SHOW",CONCATENATE(Temp!G671,Temp!H671,",",Temp!I671,",",Temp!J671,Temp!K671),"")</f>
        <v/>
      </c>
      <c r="E675" s="7"/>
      <c r="F675" s="8" t="str">
        <f t="shared" si="21"/>
        <v/>
      </c>
    </row>
    <row r="676" spans="1:6" x14ac:dyDescent="0.25">
      <c r="A676" s="13" t="str">
        <f>IF(AND($E676="",MAX($A$8:$A675)=0),"",IF(AND($E676&lt;&gt;"",MAX($A$8:$A675)=0),1,IF(AND($E676&lt;&gt;"",MAX($A$8:$A675)&gt;0),MAX($A$8:$A675)+1,"")))</f>
        <v/>
      </c>
      <c r="B676" s="11">
        <v>669</v>
      </c>
      <c r="C676" s="19" t="str">
        <f t="shared" si="20"/>
        <v>EMPTY</v>
      </c>
      <c r="D676" s="3" t="str">
        <f>IF(C676="SHOW",CONCATENATE(Temp!G672,Temp!H672,",",Temp!I672,",",Temp!J672,Temp!K672),"")</f>
        <v/>
      </c>
      <c r="E676" s="7"/>
      <c r="F676" s="8" t="str">
        <f t="shared" si="21"/>
        <v/>
      </c>
    </row>
    <row r="677" spans="1:6" x14ac:dyDescent="0.25">
      <c r="A677" s="13" t="str">
        <f>IF(AND($E677="",MAX($A$8:$A676)=0),"",IF(AND($E677&lt;&gt;"",MAX($A$8:$A676)=0),1,IF(AND($E677&lt;&gt;"",MAX($A$8:$A676)&gt;0),MAX($A$8:$A676)+1,"")))</f>
        <v/>
      </c>
      <c r="B677" s="11">
        <v>670</v>
      </c>
      <c r="C677" s="19" t="str">
        <f t="shared" si="20"/>
        <v>EMPTY</v>
      </c>
      <c r="D677" s="3" t="str">
        <f>IF(C677="SHOW",CONCATENATE(Temp!G673,Temp!H673,",",Temp!I673,",",Temp!J673,Temp!K673),"")</f>
        <v/>
      </c>
      <c r="E677" s="7"/>
      <c r="F677" s="8" t="str">
        <f t="shared" si="21"/>
        <v/>
      </c>
    </row>
    <row r="678" spans="1:6" x14ac:dyDescent="0.25">
      <c r="A678" s="13" t="str">
        <f>IF(AND($E678="",MAX($A$8:$A677)=0),"",IF(AND($E678&lt;&gt;"",MAX($A$8:$A677)=0),1,IF(AND($E678&lt;&gt;"",MAX($A$8:$A677)&gt;0),MAX($A$8:$A677)+1,"")))</f>
        <v/>
      </c>
      <c r="B678" s="11">
        <v>671</v>
      </c>
      <c r="C678" s="19" t="str">
        <f t="shared" si="20"/>
        <v>EMPTY</v>
      </c>
      <c r="D678" s="3" t="str">
        <f>IF(C678="SHOW",CONCATENATE(Temp!G674,Temp!H674,",",Temp!I674,",",Temp!J674,Temp!K674),"")</f>
        <v/>
      </c>
      <c r="E678" s="7"/>
      <c r="F678" s="8" t="str">
        <f t="shared" si="21"/>
        <v/>
      </c>
    </row>
    <row r="679" spans="1:6" x14ac:dyDescent="0.25">
      <c r="A679" s="13" t="str">
        <f>IF(AND($E679="",MAX($A$8:$A678)=0),"",IF(AND($E679&lt;&gt;"",MAX($A$8:$A678)=0),1,IF(AND($E679&lt;&gt;"",MAX($A$8:$A678)&gt;0),MAX($A$8:$A678)+1,"")))</f>
        <v/>
      </c>
      <c r="B679" s="11">
        <v>672</v>
      </c>
      <c r="C679" s="19" t="str">
        <f t="shared" si="20"/>
        <v>EMPTY</v>
      </c>
      <c r="D679" s="3" t="str">
        <f>IF(C679="SHOW",CONCATENATE(Temp!G675,Temp!H675,",",Temp!I675,",",Temp!J675,Temp!K675),"")</f>
        <v/>
      </c>
      <c r="E679" s="7"/>
      <c r="F679" s="8" t="str">
        <f t="shared" si="21"/>
        <v/>
      </c>
    </row>
    <row r="680" spans="1:6" x14ac:dyDescent="0.25">
      <c r="A680" s="13" t="str">
        <f>IF(AND($E680="",MAX($A$8:$A679)=0),"",IF(AND($E680&lt;&gt;"",MAX($A$8:$A679)=0),1,IF(AND($E680&lt;&gt;"",MAX($A$8:$A679)&gt;0),MAX($A$8:$A679)+1,"")))</f>
        <v/>
      </c>
      <c r="B680" s="11">
        <v>673</v>
      </c>
      <c r="C680" s="19" t="str">
        <f t="shared" si="20"/>
        <v>EMPTY</v>
      </c>
      <c r="D680" s="3" t="str">
        <f>IF(C680="SHOW",CONCATENATE(Temp!G676,Temp!H676,",",Temp!I676,",",Temp!J676,Temp!K676),"")</f>
        <v/>
      </c>
      <c r="E680" s="7"/>
      <c r="F680" s="8" t="str">
        <f t="shared" si="21"/>
        <v/>
      </c>
    </row>
    <row r="681" spans="1:6" x14ac:dyDescent="0.25">
      <c r="A681" s="13" t="str">
        <f>IF(AND($E681="",MAX($A$8:$A680)=0),"",IF(AND($E681&lt;&gt;"",MAX($A$8:$A680)=0),1,IF(AND($E681&lt;&gt;"",MAX($A$8:$A680)&gt;0),MAX($A$8:$A680)+1,"")))</f>
        <v/>
      </c>
      <c r="B681" s="11">
        <v>674</v>
      </c>
      <c r="C681" s="19" t="str">
        <f t="shared" si="20"/>
        <v>EMPTY</v>
      </c>
      <c r="D681" s="3" t="str">
        <f>IF(C681="SHOW",CONCATENATE(Temp!G677,Temp!H677,",",Temp!I677,",",Temp!J677,Temp!K677),"")</f>
        <v/>
      </c>
      <c r="E681" s="7"/>
      <c r="F681" s="8" t="str">
        <f t="shared" si="21"/>
        <v/>
      </c>
    </row>
    <row r="682" spans="1:6" x14ac:dyDescent="0.25">
      <c r="A682" s="13" t="str">
        <f>IF(AND($E682="",MAX($A$8:$A681)=0),"",IF(AND($E682&lt;&gt;"",MAX($A$8:$A681)=0),1,IF(AND($E682&lt;&gt;"",MAX($A$8:$A681)&gt;0),MAX($A$8:$A681)+1,"")))</f>
        <v/>
      </c>
      <c r="B682" s="11">
        <v>675</v>
      </c>
      <c r="C682" s="19" t="str">
        <f t="shared" si="20"/>
        <v>EMPTY</v>
      </c>
      <c r="D682" s="3" t="str">
        <f>IF(C682="SHOW",CONCATENATE(Temp!G678,Temp!H678,",",Temp!I678,",",Temp!J678,Temp!K678),"")</f>
        <v/>
      </c>
      <c r="E682" s="7"/>
      <c r="F682" s="8" t="str">
        <f t="shared" si="21"/>
        <v/>
      </c>
    </row>
    <row r="683" spans="1:6" x14ac:dyDescent="0.25">
      <c r="A683" s="13" t="str">
        <f>IF(AND($E683="",MAX($A$8:$A682)=0),"",IF(AND($E683&lt;&gt;"",MAX($A$8:$A682)=0),1,IF(AND($E683&lt;&gt;"",MAX($A$8:$A682)&gt;0),MAX($A$8:$A682)+1,"")))</f>
        <v/>
      </c>
      <c r="B683" s="11">
        <v>676</v>
      </c>
      <c r="C683" s="19" t="str">
        <f t="shared" si="20"/>
        <v>EMPTY</v>
      </c>
      <c r="D683" s="3" t="str">
        <f>IF(C683="SHOW",CONCATENATE(Temp!G679,Temp!H679,",",Temp!I679,",",Temp!J679,Temp!K679),"")</f>
        <v/>
      </c>
      <c r="E683" s="7"/>
      <c r="F683" s="8" t="str">
        <f t="shared" si="21"/>
        <v/>
      </c>
    </row>
    <row r="684" spans="1:6" x14ac:dyDescent="0.25">
      <c r="A684" s="13" t="str">
        <f>IF(AND($E684="",MAX($A$8:$A683)=0),"",IF(AND($E684&lt;&gt;"",MAX($A$8:$A683)=0),1,IF(AND($E684&lt;&gt;"",MAX($A$8:$A683)&gt;0),MAX($A$8:$A683)+1,"")))</f>
        <v/>
      </c>
      <c r="B684" s="11">
        <v>677</v>
      </c>
      <c r="C684" s="19" t="str">
        <f t="shared" si="20"/>
        <v>EMPTY</v>
      </c>
      <c r="D684" s="3" t="str">
        <f>IF(C684="SHOW",CONCATENATE(Temp!G680,Temp!H680,",",Temp!I680,",",Temp!J680,Temp!K680),"")</f>
        <v/>
      </c>
      <c r="E684" s="7"/>
      <c r="F684" s="8" t="str">
        <f t="shared" si="21"/>
        <v/>
      </c>
    </row>
    <row r="685" spans="1:6" x14ac:dyDescent="0.25">
      <c r="A685" s="13" t="str">
        <f>IF(AND($E685="",MAX($A$8:$A684)=0),"",IF(AND($E685&lt;&gt;"",MAX($A$8:$A684)=0),1,IF(AND($E685&lt;&gt;"",MAX($A$8:$A684)&gt;0),MAX($A$8:$A684)+1,"")))</f>
        <v/>
      </c>
      <c r="B685" s="11">
        <v>678</v>
      </c>
      <c r="C685" s="19" t="str">
        <f t="shared" si="20"/>
        <v>EMPTY</v>
      </c>
      <c r="D685" s="3" t="str">
        <f>IF(C685="SHOW",CONCATENATE(Temp!G681,Temp!H681,",",Temp!I681,",",Temp!J681,Temp!K681),"")</f>
        <v/>
      </c>
      <c r="E685" s="7"/>
      <c r="F685" s="8" t="str">
        <f t="shared" si="21"/>
        <v/>
      </c>
    </row>
    <row r="686" spans="1:6" x14ac:dyDescent="0.25">
      <c r="A686" s="13" t="str">
        <f>IF(AND($E686="",MAX($A$8:$A685)=0),"",IF(AND($E686&lt;&gt;"",MAX($A$8:$A685)=0),1,IF(AND($E686&lt;&gt;"",MAX($A$8:$A685)&gt;0),MAX($A$8:$A685)+1,"")))</f>
        <v/>
      </c>
      <c r="B686" s="11">
        <v>679</v>
      </c>
      <c r="C686" s="19" t="str">
        <f t="shared" si="20"/>
        <v>EMPTY</v>
      </c>
      <c r="D686" s="3" t="str">
        <f>IF(C686="SHOW",CONCATENATE(Temp!G682,Temp!H682,",",Temp!I682,",",Temp!J682,Temp!K682),"")</f>
        <v/>
      </c>
      <c r="E686" s="7"/>
      <c r="F686" s="8" t="str">
        <f t="shared" si="21"/>
        <v/>
      </c>
    </row>
    <row r="687" spans="1:6" x14ac:dyDescent="0.25">
      <c r="A687" s="13" t="str">
        <f>IF(AND($E687="",MAX($A$8:$A686)=0),"",IF(AND($E687&lt;&gt;"",MAX($A$8:$A686)=0),1,IF(AND($E687&lt;&gt;"",MAX($A$8:$A686)&gt;0),MAX($A$8:$A686)+1,"")))</f>
        <v/>
      </c>
      <c r="B687" s="11">
        <v>680</v>
      </c>
      <c r="C687" s="19" t="str">
        <f t="shared" si="20"/>
        <v>EMPTY</v>
      </c>
      <c r="D687" s="3" t="str">
        <f>IF(C687="SHOW",CONCATENATE(Temp!G683,Temp!H683,",",Temp!I683,",",Temp!J683,Temp!K683),"")</f>
        <v/>
      </c>
      <c r="E687" s="7"/>
      <c r="F687" s="8" t="str">
        <f t="shared" si="21"/>
        <v/>
      </c>
    </row>
    <row r="688" spans="1:6" x14ac:dyDescent="0.25">
      <c r="A688" s="13" t="str">
        <f>IF(AND($E688="",MAX($A$8:$A687)=0),"",IF(AND($E688&lt;&gt;"",MAX($A$8:$A687)=0),1,IF(AND($E688&lt;&gt;"",MAX($A$8:$A687)&gt;0),MAX($A$8:$A687)+1,"")))</f>
        <v/>
      </c>
      <c r="B688" s="11">
        <v>681</v>
      </c>
      <c r="C688" s="19" t="str">
        <f t="shared" si="20"/>
        <v>EMPTY</v>
      </c>
      <c r="D688" s="3" t="str">
        <f>IF(C688="SHOW",CONCATENATE(Temp!G684,Temp!H684,",",Temp!I684,",",Temp!J684,Temp!K684),"")</f>
        <v/>
      </c>
      <c r="E688" s="7"/>
      <c r="F688" s="8" t="str">
        <f t="shared" si="21"/>
        <v/>
      </c>
    </row>
    <row r="689" spans="1:6" x14ac:dyDescent="0.25">
      <c r="A689" s="13" t="str">
        <f>IF(AND($E689="",MAX($A$8:$A688)=0),"",IF(AND($E689&lt;&gt;"",MAX($A$8:$A688)=0),1,IF(AND($E689&lt;&gt;"",MAX($A$8:$A688)&gt;0),MAX($A$8:$A688)+1,"")))</f>
        <v/>
      </c>
      <c r="B689" s="11">
        <v>682</v>
      </c>
      <c r="C689" s="19" t="str">
        <f t="shared" si="20"/>
        <v>EMPTY</v>
      </c>
      <c r="D689" s="3" t="str">
        <f>IF(C689="SHOW",CONCATENATE(Temp!G685,Temp!H685,",",Temp!I685,",",Temp!J685,Temp!K685),"")</f>
        <v/>
      </c>
      <c r="E689" s="7"/>
      <c r="F689" s="8" t="str">
        <f t="shared" si="21"/>
        <v/>
      </c>
    </row>
    <row r="690" spans="1:6" x14ac:dyDescent="0.25">
      <c r="A690" s="13" t="str">
        <f>IF(AND($E690="",MAX($A$8:$A689)=0),"",IF(AND($E690&lt;&gt;"",MAX($A$8:$A689)=0),1,IF(AND($E690&lt;&gt;"",MAX($A$8:$A689)&gt;0),MAX($A$8:$A689)+1,"")))</f>
        <v/>
      </c>
      <c r="B690" s="11">
        <v>683</v>
      </c>
      <c r="C690" s="19" t="str">
        <f t="shared" si="20"/>
        <v>EMPTY</v>
      </c>
      <c r="D690" s="3" t="str">
        <f>IF(C690="SHOW",CONCATENATE(Temp!G686,Temp!H686,",",Temp!I686,",",Temp!J686,Temp!K686),"")</f>
        <v/>
      </c>
      <c r="E690" s="7"/>
      <c r="F690" s="8" t="str">
        <f t="shared" si="21"/>
        <v/>
      </c>
    </row>
    <row r="691" spans="1:6" x14ac:dyDescent="0.25">
      <c r="A691" s="13" t="str">
        <f>IF(AND($E691="",MAX($A$8:$A690)=0),"",IF(AND($E691&lt;&gt;"",MAX($A$8:$A690)=0),1,IF(AND($E691&lt;&gt;"",MAX($A$8:$A690)&gt;0),MAX($A$8:$A690)+1,"")))</f>
        <v/>
      </c>
      <c r="B691" s="11">
        <v>684</v>
      </c>
      <c r="C691" s="19" t="str">
        <f t="shared" si="20"/>
        <v>EMPTY</v>
      </c>
      <c r="D691" s="3" t="str">
        <f>IF(C691="SHOW",CONCATENATE(Temp!G687,Temp!H687,",",Temp!I687,",",Temp!J687,Temp!K687),"")</f>
        <v/>
      </c>
      <c r="E691" s="7"/>
      <c r="F691" s="8" t="str">
        <f t="shared" si="21"/>
        <v/>
      </c>
    </row>
    <row r="692" spans="1:6" x14ac:dyDescent="0.25">
      <c r="A692" s="13" t="str">
        <f>IF(AND($E692="",MAX($A$8:$A691)=0),"",IF(AND($E692&lt;&gt;"",MAX($A$8:$A691)=0),1,IF(AND($E692&lt;&gt;"",MAX($A$8:$A691)&gt;0),MAX($A$8:$A691)+1,"")))</f>
        <v/>
      </c>
      <c r="B692" s="11">
        <v>685</v>
      </c>
      <c r="C692" s="19" t="str">
        <f t="shared" si="20"/>
        <v>EMPTY</v>
      </c>
      <c r="D692" s="3" t="str">
        <f>IF(C692="SHOW",CONCATENATE(Temp!G688,Temp!H688,",",Temp!I688,",",Temp!J688,Temp!K688),"")</f>
        <v/>
      </c>
      <c r="E692" s="7"/>
      <c r="F692" s="8" t="str">
        <f t="shared" si="21"/>
        <v/>
      </c>
    </row>
    <row r="693" spans="1:6" x14ac:dyDescent="0.25">
      <c r="A693" s="13" t="str">
        <f>IF(AND($E693="",MAX($A$8:$A692)=0),"",IF(AND($E693&lt;&gt;"",MAX($A$8:$A692)=0),1,IF(AND($E693&lt;&gt;"",MAX($A$8:$A692)&gt;0),MAX($A$8:$A692)+1,"")))</f>
        <v/>
      </c>
      <c r="B693" s="11">
        <v>686</v>
      </c>
      <c r="C693" s="19" t="str">
        <f t="shared" si="20"/>
        <v>EMPTY</v>
      </c>
      <c r="D693" s="3" t="str">
        <f>IF(C693="SHOW",CONCATENATE(Temp!G689,Temp!H689,",",Temp!I689,",",Temp!J689,Temp!K689),"")</f>
        <v/>
      </c>
      <c r="E693" s="7"/>
      <c r="F693" s="8" t="str">
        <f t="shared" si="21"/>
        <v/>
      </c>
    </row>
    <row r="694" spans="1:6" x14ac:dyDescent="0.25">
      <c r="A694" s="13" t="str">
        <f>IF(AND($E694="",MAX($A$8:$A693)=0),"",IF(AND($E694&lt;&gt;"",MAX($A$8:$A693)=0),1,IF(AND($E694&lt;&gt;"",MAX($A$8:$A693)&gt;0),MAX($A$8:$A693)+1,"")))</f>
        <v/>
      </c>
      <c r="B694" s="11">
        <v>687</v>
      </c>
      <c r="C694" s="19" t="str">
        <f t="shared" si="20"/>
        <v>EMPTY</v>
      </c>
      <c r="D694" s="3" t="str">
        <f>IF(C694="SHOW",CONCATENATE(Temp!G690,Temp!H690,",",Temp!I690,",",Temp!J690,Temp!K690),"")</f>
        <v/>
      </c>
      <c r="E694" s="7"/>
      <c r="F694" s="8" t="str">
        <f t="shared" si="21"/>
        <v/>
      </c>
    </row>
    <row r="695" spans="1:6" x14ac:dyDescent="0.25">
      <c r="A695" s="13" t="str">
        <f>IF(AND($E695="",MAX($A$8:$A694)=0),"",IF(AND($E695&lt;&gt;"",MAX($A$8:$A694)=0),1,IF(AND($E695&lt;&gt;"",MAX($A$8:$A694)&gt;0),MAX($A$8:$A694)+1,"")))</f>
        <v/>
      </c>
      <c r="B695" s="11">
        <v>688</v>
      </c>
      <c r="C695" s="19" t="str">
        <f t="shared" si="20"/>
        <v>EMPTY</v>
      </c>
      <c r="D695" s="3" t="str">
        <f>IF(C695="SHOW",CONCATENATE(Temp!G691,Temp!H691,",",Temp!I691,",",Temp!J691,Temp!K691),"")</f>
        <v/>
      </c>
      <c r="E695" s="7"/>
      <c r="F695" s="8" t="str">
        <f t="shared" si="21"/>
        <v/>
      </c>
    </row>
    <row r="696" spans="1:6" x14ac:dyDescent="0.25">
      <c r="A696" s="13" t="str">
        <f>IF(AND($E696="",MAX($A$8:$A695)=0),"",IF(AND($E696&lt;&gt;"",MAX($A$8:$A695)=0),1,IF(AND($E696&lt;&gt;"",MAX($A$8:$A695)&gt;0),MAX($A$8:$A695)+1,"")))</f>
        <v/>
      </c>
      <c r="B696" s="11">
        <v>689</v>
      </c>
      <c r="C696" s="19" t="str">
        <f t="shared" si="20"/>
        <v>EMPTY</v>
      </c>
      <c r="D696" s="3" t="str">
        <f>IF(C696="SHOW",CONCATENATE(Temp!G692,Temp!H692,",",Temp!I692,",",Temp!J692,Temp!K692),"")</f>
        <v/>
      </c>
      <c r="E696" s="7"/>
      <c r="F696" s="8" t="str">
        <f t="shared" si="21"/>
        <v/>
      </c>
    </row>
    <row r="697" spans="1:6" x14ac:dyDescent="0.25">
      <c r="A697" s="13" t="str">
        <f>IF(AND($E697="",MAX($A$8:$A696)=0),"",IF(AND($E697&lt;&gt;"",MAX($A$8:$A696)=0),1,IF(AND($E697&lt;&gt;"",MAX($A$8:$A696)&gt;0),MAX($A$8:$A696)+1,"")))</f>
        <v/>
      </c>
      <c r="B697" s="11">
        <v>690</v>
      </c>
      <c r="C697" s="19" t="str">
        <f t="shared" si="20"/>
        <v>EMPTY</v>
      </c>
      <c r="D697" s="3" t="str">
        <f>IF(C697="SHOW",CONCATENATE(Temp!G693,Temp!H693,",",Temp!I693,",",Temp!J693,Temp!K693),"")</f>
        <v/>
      </c>
      <c r="E697" s="7"/>
      <c r="F697" s="8" t="str">
        <f t="shared" si="21"/>
        <v/>
      </c>
    </row>
    <row r="698" spans="1:6" x14ac:dyDescent="0.25">
      <c r="A698" s="13" t="str">
        <f>IF(AND($E698="",MAX($A$8:$A697)=0),"",IF(AND($E698&lt;&gt;"",MAX($A$8:$A697)=0),1,IF(AND($E698&lt;&gt;"",MAX($A$8:$A697)&gt;0),MAX($A$8:$A697)+1,"")))</f>
        <v/>
      </c>
      <c r="B698" s="11">
        <v>691</v>
      </c>
      <c r="C698" s="19" t="str">
        <f t="shared" si="20"/>
        <v>EMPTY</v>
      </c>
      <c r="D698" s="3" t="str">
        <f>IF(C698="SHOW",CONCATENATE(Temp!G694,Temp!H694,",",Temp!I694,",",Temp!J694,Temp!K694),"")</f>
        <v/>
      </c>
      <c r="E698" s="7"/>
      <c r="F698" s="8" t="str">
        <f t="shared" si="21"/>
        <v/>
      </c>
    </row>
    <row r="699" spans="1:6" x14ac:dyDescent="0.25">
      <c r="A699" s="13" t="str">
        <f>IF(AND($E699="",MAX($A$8:$A698)=0),"",IF(AND($E699&lt;&gt;"",MAX($A$8:$A698)=0),1,IF(AND($E699&lt;&gt;"",MAX($A$8:$A698)&gt;0),MAX($A$8:$A698)+1,"")))</f>
        <v/>
      </c>
      <c r="B699" s="11">
        <v>692</v>
      </c>
      <c r="C699" s="19" t="str">
        <f t="shared" si="20"/>
        <v>EMPTY</v>
      </c>
      <c r="D699" s="3" t="str">
        <f>IF(C699="SHOW",CONCATENATE(Temp!G695,Temp!H695,",",Temp!I695,",",Temp!J695,Temp!K695),"")</f>
        <v/>
      </c>
      <c r="E699" s="7"/>
      <c r="F699" s="8" t="str">
        <f t="shared" si="21"/>
        <v/>
      </c>
    </row>
    <row r="700" spans="1:6" x14ac:dyDescent="0.25">
      <c r="A700" s="13" t="str">
        <f>IF(AND($E700="",MAX($A$8:$A699)=0),"",IF(AND($E700&lt;&gt;"",MAX($A$8:$A699)=0),1,IF(AND($E700&lt;&gt;"",MAX($A$8:$A699)&gt;0),MAX($A$8:$A699)+1,"")))</f>
        <v/>
      </c>
      <c r="B700" s="11">
        <v>693</v>
      </c>
      <c r="C700" s="19" t="str">
        <f t="shared" si="20"/>
        <v>EMPTY</v>
      </c>
      <c r="D700" s="3" t="str">
        <f>IF(C700="SHOW",CONCATENATE(Temp!G696,Temp!H696,",",Temp!I696,",",Temp!J696,Temp!K696),"")</f>
        <v/>
      </c>
      <c r="E700" s="7"/>
      <c r="F700" s="8" t="str">
        <f t="shared" si="21"/>
        <v/>
      </c>
    </row>
    <row r="701" spans="1:6" x14ac:dyDescent="0.25">
      <c r="A701" s="13" t="str">
        <f>IF(AND($E701="",MAX($A$8:$A700)=0),"",IF(AND($E701&lt;&gt;"",MAX($A$8:$A700)=0),1,IF(AND($E701&lt;&gt;"",MAX($A$8:$A700)&gt;0),MAX($A$8:$A700)+1,"")))</f>
        <v/>
      </c>
      <c r="B701" s="11">
        <v>694</v>
      </c>
      <c r="C701" s="19" t="str">
        <f t="shared" si="20"/>
        <v>EMPTY</v>
      </c>
      <c r="D701" s="3" t="str">
        <f>IF(C701="SHOW",CONCATENATE(Temp!G697,Temp!H697,",",Temp!I697,",",Temp!J697,Temp!K697),"")</f>
        <v/>
      </c>
      <c r="E701" s="7"/>
      <c r="F701" s="8" t="str">
        <f t="shared" si="21"/>
        <v/>
      </c>
    </row>
    <row r="702" spans="1:6" x14ac:dyDescent="0.25">
      <c r="A702" s="13" t="str">
        <f>IF(AND($E702="",MAX($A$8:$A701)=0),"",IF(AND($E702&lt;&gt;"",MAX($A$8:$A701)=0),1,IF(AND($E702&lt;&gt;"",MAX($A$8:$A701)&gt;0),MAX($A$8:$A701)+1,"")))</f>
        <v/>
      </c>
      <c r="B702" s="11">
        <v>695</v>
      </c>
      <c r="C702" s="19" t="str">
        <f t="shared" si="20"/>
        <v>EMPTY</v>
      </c>
      <c r="D702" s="3" t="str">
        <f>IF(C702="SHOW",CONCATENATE(Temp!G698,Temp!H698,",",Temp!I698,",",Temp!J698,Temp!K698),"")</f>
        <v/>
      </c>
      <c r="E702" s="7"/>
      <c r="F702" s="8" t="str">
        <f t="shared" si="21"/>
        <v/>
      </c>
    </row>
    <row r="703" spans="1:6" x14ac:dyDescent="0.25">
      <c r="A703" s="13" t="str">
        <f>IF(AND($E703="",MAX($A$8:$A702)=0),"",IF(AND($E703&lt;&gt;"",MAX($A$8:$A702)=0),1,IF(AND($E703&lt;&gt;"",MAX($A$8:$A702)&gt;0),MAX($A$8:$A702)+1,"")))</f>
        <v/>
      </c>
      <c r="B703" s="11">
        <v>696</v>
      </c>
      <c r="C703" s="19" t="str">
        <f t="shared" si="20"/>
        <v>EMPTY</v>
      </c>
      <c r="D703" s="3" t="str">
        <f>IF(C703="SHOW",CONCATENATE(Temp!G699,Temp!H699,",",Temp!I699,",",Temp!J699,Temp!K699),"")</f>
        <v/>
      </c>
      <c r="E703" s="7"/>
      <c r="F703" s="8" t="str">
        <f t="shared" si="21"/>
        <v/>
      </c>
    </row>
    <row r="704" spans="1:6" x14ac:dyDescent="0.25">
      <c r="A704" s="13" t="str">
        <f>IF(AND($E704="",MAX($A$8:$A703)=0),"",IF(AND($E704&lt;&gt;"",MAX($A$8:$A703)=0),1,IF(AND($E704&lt;&gt;"",MAX($A$8:$A703)&gt;0),MAX($A$8:$A703)+1,"")))</f>
        <v/>
      </c>
      <c r="B704" s="11">
        <v>697</v>
      </c>
      <c r="C704" s="19" t="str">
        <f t="shared" si="20"/>
        <v>EMPTY</v>
      </c>
      <c r="D704" s="3" t="str">
        <f>IF(C704="SHOW",CONCATENATE(Temp!G700,Temp!H700,",",Temp!I700,",",Temp!J700,Temp!K700),"")</f>
        <v/>
      </c>
      <c r="E704" s="7"/>
      <c r="F704" s="8" t="str">
        <f t="shared" si="21"/>
        <v/>
      </c>
    </row>
    <row r="705" spans="1:6" x14ac:dyDescent="0.25">
      <c r="A705" s="13" t="str">
        <f>IF(AND($E705="",MAX($A$8:$A704)=0),"",IF(AND($E705&lt;&gt;"",MAX($A$8:$A704)=0),1,IF(AND($E705&lt;&gt;"",MAX($A$8:$A704)&gt;0),MAX($A$8:$A704)+1,"")))</f>
        <v/>
      </c>
      <c r="B705" s="11">
        <v>698</v>
      </c>
      <c r="C705" s="19" t="str">
        <f t="shared" si="20"/>
        <v>EMPTY</v>
      </c>
      <c r="D705" s="3" t="str">
        <f>IF(C705="SHOW",CONCATENATE(Temp!G701,Temp!H701,",",Temp!I701,",",Temp!J701,Temp!K701),"")</f>
        <v/>
      </c>
      <c r="E705" s="7"/>
      <c r="F705" s="8" t="str">
        <f t="shared" si="21"/>
        <v/>
      </c>
    </row>
    <row r="706" spans="1:6" x14ac:dyDescent="0.25">
      <c r="A706" s="13" t="str">
        <f>IF(AND($E706="",MAX($A$8:$A705)=0),"",IF(AND($E706&lt;&gt;"",MAX($A$8:$A705)=0),1,IF(AND($E706&lt;&gt;"",MAX($A$8:$A705)&gt;0),MAX($A$8:$A705)+1,"")))</f>
        <v/>
      </c>
      <c r="B706" s="11">
        <v>699</v>
      </c>
      <c r="C706" s="19" t="str">
        <f t="shared" si="20"/>
        <v>EMPTY</v>
      </c>
      <c r="D706" s="3" t="str">
        <f>IF(C706="SHOW",CONCATENATE(Temp!G702,Temp!H702,",",Temp!I702,",",Temp!J702,Temp!K702),"")</f>
        <v/>
      </c>
      <c r="E706" s="7"/>
      <c r="F706" s="8" t="str">
        <f t="shared" si="21"/>
        <v/>
      </c>
    </row>
    <row r="707" spans="1:6" x14ac:dyDescent="0.25">
      <c r="A707" s="13" t="str">
        <f>IF(AND($E707="",MAX($A$8:$A706)=0),"",IF(AND($E707&lt;&gt;"",MAX($A$8:$A706)=0),1,IF(AND($E707&lt;&gt;"",MAX($A$8:$A706)&gt;0),MAX($A$8:$A706)+1,"")))</f>
        <v/>
      </c>
      <c r="B707" s="11">
        <v>700</v>
      </c>
      <c r="C707" s="19" t="str">
        <f t="shared" si="20"/>
        <v>EMPTY</v>
      </c>
      <c r="D707" s="3" t="str">
        <f>IF(C707="SHOW",CONCATENATE(Temp!G703,Temp!H703,",",Temp!I703,",",Temp!J703,Temp!K703),"")</f>
        <v/>
      </c>
      <c r="E707" s="7"/>
      <c r="F707" s="8" t="str">
        <f t="shared" si="21"/>
        <v/>
      </c>
    </row>
    <row r="708" spans="1:6" x14ac:dyDescent="0.25">
      <c r="A708" s="13" t="str">
        <f>IF(AND($E708="",MAX($A$8:$A707)=0),"",IF(AND($E708&lt;&gt;"",MAX($A$8:$A707)=0),1,IF(AND($E708&lt;&gt;"",MAX($A$8:$A707)&gt;0),MAX($A$8:$A707)+1,"")))</f>
        <v/>
      </c>
      <c r="B708" s="11">
        <v>701</v>
      </c>
      <c r="C708" s="19" t="str">
        <f t="shared" si="20"/>
        <v>EMPTY</v>
      </c>
      <c r="D708" s="3" t="str">
        <f>IF(C708="SHOW",CONCATENATE(Temp!G704,Temp!H704,",",Temp!I704,",",Temp!J704,Temp!K704),"")</f>
        <v/>
      </c>
      <c r="E708" s="7"/>
      <c r="F708" s="8" t="str">
        <f t="shared" si="21"/>
        <v/>
      </c>
    </row>
    <row r="709" spans="1:6" x14ac:dyDescent="0.25">
      <c r="A709" s="13" t="str">
        <f>IF(AND($E709="",MAX($A$8:$A708)=0),"",IF(AND($E709&lt;&gt;"",MAX($A$8:$A708)=0),1,IF(AND($E709&lt;&gt;"",MAX($A$8:$A708)&gt;0),MAX($A$8:$A708)+1,"")))</f>
        <v/>
      </c>
      <c r="B709" s="11">
        <v>702</v>
      </c>
      <c r="C709" s="19" t="str">
        <f t="shared" si="20"/>
        <v>EMPTY</v>
      </c>
      <c r="D709" s="3" t="str">
        <f>IF(C709="SHOW",CONCATENATE(Temp!G705,Temp!H705,",",Temp!I705,",",Temp!J705,Temp!K705),"")</f>
        <v/>
      </c>
      <c r="E709" s="7"/>
      <c r="F709" s="8" t="str">
        <f t="shared" si="21"/>
        <v/>
      </c>
    </row>
    <row r="710" spans="1:6" x14ac:dyDescent="0.25">
      <c r="A710" s="13" t="str">
        <f>IF(AND($E710="",MAX($A$8:$A709)=0),"",IF(AND($E710&lt;&gt;"",MAX($A$8:$A709)=0),1,IF(AND($E710&lt;&gt;"",MAX($A$8:$A709)&gt;0),MAX($A$8:$A709)+1,"")))</f>
        <v/>
      </c>
      <c r="B710" s="11">
        <v>703</v>
      </c>
      <c r="C710" s="19" t="str">
        <f t="shared" si="20"/>
        <v>EMPTY</v>
      </c>
      <c r="D710" s="3" t="str">
        <f>IF(C710="SHOW",CONCATENATE(Temp!G706,Temp!H706,",",Temp!I706,",",Temp!J706,Temp!K706),"")</f>
        <v/>
      </c>
      <c r="E710" s="7"/>
      <c r="F710" s="8" t="str">
        <f t="shared" si="21"/>
        <v/>
      </c>
    </row>
    <row r="711" spans="1:6" x14ac:dyDescent="0.25">
      <c r="A711" s="13" t="str">
        <f>IF(AND($E711="",MAX($A$8:$A710)=0),"",IF(AND($E711&lt;&gt;"",MAX($A$8:$A710)=0),1,IF(AND($E711&lt;&gt;"",MAX($A$8:$A710)&gt;0),MAX($A$8:$A710)+1,"")))</f>
        <v/>
      </c>
      <c r="B711" s="11">
        <v>704</v>
      </c>
      <c r="C711" s="19" t="str">
        <f t="shared" si="20"/>
        <v>EMPTY</v>
      </c>
      <c r="D711" s="3" t="str">
        <f>IF(C711="SHOW",CONCATENATE(Temp!G707,Temp!H707,",",Temp!I707,",",Temp!J707,Temp!K707),"")</f>
        <v/>
      </c>
      <c r="E711" s="7"/>
      <c r="F711" s="8" t="str">
        <f t="shared" si="21"/>
        <v/>
      </c>
    </row>
    <row r="712" spans="1:6" x14ac:dyDescent="0.25">
      <c r="A712" s="13" t="str">
        <f>IF(AND($E712="",MAX($A$8:$A711)=0),"",IF(AND($E712&lt;&gt;"",MAX($A$8:$A711)=0),1,IF(AND($E712&lt;&gt;"",MAX($A$8:$A711)&gt;0),MAX($A$8:$A711)+1,"")))</f>
        <v/>
      </c>
      <c r="B712" s="11">
        <v>705</v>
      </c>
      <c r="C712" s="19" t="str">
        <f t="shared" si="20"/>
        <v>EMPTY</v>
      </c>
      <c r="D712" s="3" t="str">
        <f>IF(C712="SHOW",CONCATENATE(Temp!G708,Temp!H708,",",Temp!I708,",",Temp!J708,Temp!K708),"")</f>
        <v/>
      </c>
      <c r="E712" s="7"/>
      <c r="F712" s="8" t="str">
        <f t="shared" si="21"/>
        <v/>
      </c>
    </row>
    <row r="713" spans="1:6" x14ac:dyDescent="0.25">
      <c r="A713" s="13" t="str">
        <f>IF(AND($E713="",MAX($A$8:$A712)=0),"",IF(AND($E713&lt;&gt;"",MAX($A$8:$A712)=0),1,IF(AND($E713&lt;&gt;"",MAX($A$8:$A712)&gt;0),MAX($A$8:$A712)+1,"")))</f>
        <v/>
      </c>
      <c r="B713" s="11">
        <v>706</v>
      </c>
      <c r="C713" s="19" t="str">
        <f t="shared" ref="C713:C776" si="22">IF(E713="","EMPTY",IF(MID(E713,1,9)&lt;&gt;"Dialogue:","HIDE",IF(MID(E713,1,9)="Dialogue:","SHOW","")))</f>
        <v>EMPTY</v>
      </c>
      <c r="D713" s="3" t="str">
        <f>IF(C713="SHOW",CONCATENATE(Temp!G709,Temp!H709,",",Temp!I709,",",Temp!J709,Temp!K709),"")</f>
        <v/>
      </c>
      <c r="E713" s="7"/>
      <c r="F713" s="8" t="str">
        <f t="shared" ref="F713:F776" si="23">$D713</f>
        <v/>
      </c>
    </row>
    <row r="714" spans="1:6" x14ac:dyDescent="0.25">
      <c r="A714" s="13" t="str">
        <f>IF(AND($E714="",MAX($A$8:$A713)=0),"",IF(AND($E714&lt;&gt;"",MAX($A$8:$A713)=0),1,IF(AND($E714&lt;&gt;"",MAX($A$8:$A713)&gt;0),MAX($A$8:$A713)+1,"")))</f>
        <v/>
      </c>
      <c r="B714" s="11">
        <v>707</v>
      </c>
      <c r="C714" s="19" t="str">
        <f t="shared" si="22"/>
        <v>EMPTY</v>
      </c>
      <c r="D714" s="3" t="str">
        <f>IF(C714="SHOW",CONCATENATE(Temp!G710,Temp!H710,",",Temp!I710,",",Temp!J710,Temp!K710),"")</f>
        <v/>
      </c>
      <c r="E714" s="7"/>
      <c r="F714" s="8" t="str">
        <f t="shared" si="23"/>
        <v/>
      </c>
    </row>
    <row r="715" spans="1:6" x14ac:dyDescent="0.25">
      <c r="A715" s="13" t="str">
        <f>IF(AND($E715="",MAX($A$8:$A714)=0),"",IF(AND($E715&lt;&gt;"",MAX($A$8:$A714)=0),1,IF(AND($E715&lt;&gt;"",MAX($A$8:$A714)&gt;0),MAX($A$8:$A714)+1,"")))</f>
        <v/>
      </c>
      <c r="B715" s="11">
        <v>708</v>
      </c>
      <c r="C715" s="19" t="str">
        <f t="shared" si="22"/>
        <v>EMPTY</v>
      </c>
      <c r="D715" s="3" t="str">
        <f>IF(C715="SHOW",CONCATENATE(Temp!G711,Temp!H711,",",Temp!I711,",",Temp!J711,Temp!K711),"")</f>
        <v/>
      </c>
      <c r="E715" s="7"/>
      <c r="F715" s="8" t="str">
        <f t="shared" si="23"/>
        <v/>
      </c>
    </row>
    <row r="716" spans="1:6" x14ac:dyDescent="0.25">
      <c r="A716" s="13" t="str">
        <f>IF(AND($E716="",MAX($A$8:$A715)=0),"",IF(AND($E716&lt;&gt;"",MAX($A$8:$A715)=0),1,IF(AND($E716&lt;&gt;"",MAX($A$8:$A715)&gt;0),MAX($A$8:$A715)+1,"")))</f>
        <v/>
      </c>
      <c r="B716" s="11">
        <v>709</v>
      </c>
      <c r="C716" s="19" t="str">
        <f t="shared" si="22"/>
        <v>EMPTY</v>
      </c>
      <c r="D716" s="3" t="str">
        <f>IF(C716="SHOW",CONCATENATE(Temp!G712,Temp!H712,",",Temp!I712,",",Temp!J712,Temp!K712),"")</f>
        <v/>
      </c>
      <c r="E716" s="7"/>
      <c r="F716" s="8" t="str">
        <f t="shared" si="23"/>
        <v/>
      </c>
    </row>
    <row r="717" spans="1:6" x14ac:dyDescent="0.25">
      <c r="A717" s="13" t="str">
        <f>IF(AND($E717="",MAX($A$8:$A716)=0),"",IF(AND($E717&lt;&gt;"",MAX($A$8:$A716)=0),1,IF(AND($E717&lt;&gt;"",MAX($A$8:$A716)&gt;0),MAX($A$8:$A716)+1,"")))</f>
        <v/>
      </c>
      <c r="B717" s="11">
        <v>710</v>
      </c>
      <c r="C717" s="19" t="str">
        <f t="shared" si="22"/>
        <v>EMPTY</v>
      </c>
      <c r="D717" s="3" t="str">
        <f>IF(C717="SHOW",CONCATENATE(Temp!G713,Temp!H713,",",Temp!I713,",",Temp!J713,Temp!K713),"")</f>
        <v/>
      </c>
      <c r="E717" s="7"/>
      <c r="F717" s="8" t="str">
        <f t="shared" si="23"/>
        <v/>
      </c>
    </row>
    <row r="718" spans="1:6" x14ac:dyDescent="0.25">
      <c r="A718" s="13" t="str">
        <f>IF(AND($E718="",MAX($A$8:$A717)=0),"",IF(AND($E718&lt;&gt;"",MAX($A$8:$A717)=0),1,IF(AND($E718&lt;&gt;"",MAX($A$8:$A717)&gt;0),MAX($A$8:$A717)+1,"")))</f>
        <v/>
      </c>
      <c r="B718" s="11">
        <v>711</v>
      </c>
      <c r="C718" s="19" t="str">
        <f t="shared" si="22"/>
        <v>EMPTY</v>
      </c>
      <c r="D718" s="3" t="str">
        <f>IF(C718="SHOW",CONCATENATE(Temp!G714,Temp!H714,",",Temp!I714,",",Temp!J714,Temp!K714),"")</f>
        <v/>
      </c>
      <c r="E718" s="7"/>
      <c r="F718" s="8" t="str">
        <f t="shared" si="23"/>
        <v/>
      </c>
    </row>
    <row r="719" spans="1:6" x14ac:dyDescent="0.25">
      <c r="A719" s="13" t="str">
        <f>IF(AND($E719="",MAX($A$8:$A718)=0),"",IF(AND($E719&lt;&gt;"",MAX($A$8:$A718)=0),1,IF(AND($E719&lt;&gt;"",MAX($A$8:$A718)&gt;0),MAX($A$8:$A718)+1,"")))</f>
        <v/>
      </c>
      <c r="B719" s="11">
        <v>712</v>
      </c>
      <c r="C719" s="19" t="str">
        <f t="shared" si="22"/>
        <v>EMPTY</v>
      </c>
      <c r="D719" s="3" t="str">
        <f>IF(C719="SHOW",CONCATENATE(Temp!G715,Temp!H715,",",Temp!I715,",",Temp!J715,Temp!K715),"")</f>
        <v/>
      </c>
      <c r="E719" s="7"/>
      <c r="F719" s="8" t="str">
        <f t="shared" si="23"/>
        <v/>
      </c>
    </row>
    <row r="720" spans="1:6" x14ac:dyDescent="0.25">
      <c r="A720" s="13" t="str">
        <f>IF(AND($E720="",MAX($A$8:$A719)=0),"",IF(AND($E720&lt;&gt;"",MAX($A$8:$A719)=0),1,IF(AND($E720&lt;&gt;"",MAX($A$8:$A719)&gt;0),MAX($A$8:$A719)+1,"")))</f>
        <v/>
      </c>
      <c r="B720" s="11">
        <v>713</v>
      </c>
      <c r="C720" s="19" t="str">
        <f t="shared" si="22"/>
        <v>EMPTY</v>
      </c>
      <c r="D720" s="3" t="str">
        <f>IF(C720="SHOW",CONCATENATE(Temp!G716,Temp!H716,",",Temp!I716,",",Temp!J716,Temp!K716),"")</f>
        <v/>
      </c>
      <c r="E720" s="7"/>
      <c r="F720" s="8" t="str">
        <f t="shared" si="23"/>
        <v/>
      </c>
    </row>
    <row r="721" spans="1:6" x14ac:dyDescent="0.25">
      <c r="A721" s="13" t="str">
        <f>IF(AND($E721="",MAX($A$8:$A720)=0),"",IF(AND($E721&lt;&gt;"",MAX($A$8:$A720)=0),1,IF(AND($E721&lt;&gt;"",MAX($A$8:$A720)&gt;0),MAX($A$8:$A720)+1,"")))</f>
        <v/>
      </c>
      <c r="B721" s="11">
        <v>714</v>
      </c>
      <c r="C721" s="19" t="str">
        <f t="shared" si="22"/>
        <v>EMPTY</v>
      </c>
      <c r="D721" s="3" t="str">
        <f>IF(C721="SHOW",CONCATENATE(Temp!G717,Temp!H717,",",Temp!I717,",",Temp!J717,Temp!K717),"")</f>
        <v/>
      </c>
      <c r="E721" s="7"/>
      <c r="F721" s="8" t="str">
        <f t="shared" si="23"/>
        <v/>
      </c>
    </row>
    <row r="722" spans="1:6" x14ac:dyDescent="0.25">
      <c r="A722" s="13" t="str">
        <f>IF(AND($E722="",MAX($A$8:$A721)=0),"",IF(AND($E722&lt;&gt;"",MAX($A$8:$A721)=0),1,IF(AND($E722&lt;&gt;"",MAX($A$8:$A721)&gt;0),MAX($A$8:$A721)+1,"")))</f>
        <v/>
      </c>
      <c r="B722" s="11">
        <v>715</v>
      </c>
      <c r="C722" s="19" t="str">
        <f t="shared" si="22"/>
        <v>EMPTY</v>
      </c>
      <c r="D722" s="3" t="str">
        <f>IF(C722="SHOW",CONCATENATE(Temp!G718,Temp!H718,",",Temp!I718,",",Temp!J718,Temp!K718),"")</f>
        <v/>
      </c>
      <c r="E722" s="7"/>
      <c r="F722" s="8" t="str">
        <f t="shared" si="23"/>
        <v/>
      </c>
    </row>
    <row r="723" spans="1:6" x14ac:dyDescent="0.25">
      <c r="A723" s="13" t="str">
        <f>IF(AND($E723="",MAX($A$8:$A722)=0),"",IF(AND($E723&lt;&gt;"",MAX($A$8:$A722)=0),1,IF(AND($E723&lt;&gt;"",MAX($A$8:$A722)&gt;0),MAX($A$8:$A722)+1,"")))</f>
        <v/>
      </c>
      <c r="B723" s="11">
        <v>716</v>
      </c>
      <c r="C723" s="19" t="str">
        <f t="shared" si="22"/>
        <v>EMPTY</v>
      </c>
      <c r="D723" s="3" t="str">
        <f>IF(C723="SHOW",CONCATENATE(Temp!G719,Temp!H719,",",Temp!I719,",",Temp!J719,Temp!K719),"")</f>
        <v/>
      </c>
      <c r="E723" s="7"/>
      <c r="F723" s="8" t="str">
        <f t="shared" si="23"/>
        <v/>
      </c>
    </row>
    <row r="724" spans="1:6" x14ac:dyDescent="0.25">
      <c r="A724" s="13" t="str">
        <f>IF(AND($E724="",MAX($A$8:$A723)=0),"",IF(AND($E724&lt;&gt;"",MAX($A$8:$A723)=0),1,IF(AND($E724&lt;&gt;"",MAX($A$8:$A723)&gt;0),MAX($A$8:$A723)+1,"")))</f>
        <v/>
      </c>
      <c r="B724" s="11">
        <v>717</v>
      </c>
      <c r="C724" s="19" t="str">
        <f t="shared" si="22"/>
        <v>EMPTY</v>
      </c>
      <c r="D724" s="3" t="str">
        <f>IF(C724="SHOW",CONCATENATE(Temp!G720,Temp!H720,",",Temp!I720,",",Temp!J720,Temp!K720),"")</f>
        <v/>
      </c>
      <c r="E724" s="7"/>
      <c r="F724" s="8" t="str">
        <f t="shared" si="23"/>
        <v/>
      </c>
    </row>
    <row r="725" spans="1:6" x14ac:dyDescent="0.25">
      <c r="A725" s="13" t="str">
        <f>IF(AND($E725="",MAX($A$8:$A724)=0),"",IF(AND($E725&lt;&gt;"",MAX($A$8:$A724)=0),1,IF(AND($E725&lt;&gt;"",MAX($A$8:$A724)&gt;0),MAX($A$8:$A724)+1,"")))</f>
        <v/>
      </c>
      <c r="B725" s="11">
        <v>718</v>
      </c>
      <c r="C725" s="19" t="str">
        <f t="shared" si="22"/>
        <v>EMPTY</v>
      </c>
      <c r="D725" s="3" t="str">
        <f>IF(C725="SHOW",CONCATENATE(Temp!G721,Temp!H721,",",Temp!I721,",",Temp!J721,Temp!K721),"")</f>
        <v/>
      </c>
      <c r="E725" s="7"/>
      <c r="F725" s="8" t="str">
        <f t="shared" si="23"/>
        <v/>
      </c>
    </row>
    <row r="726" spans="1:6" x14ac:dyDescent="0.25">
      <c r="A726" s="13" t="str">
        <f>IF(AND($E726="",MAX($A$8:$A725)=0),"",IF(AND($E726&lt;&gt;"",MAX($A$8:$A725)=0),1,IF(AND($E726&lt;&gt;"",MAX($A$8:$A725)&gt;0),MAX($A$8:$A725)+1,"")))</f>
        <v/>
      </c>
      <c r="B726" s="11">
        <v>719</v>
      </c>
      <c r="C726" s="19" t="str">
        <f t="shared" si="22"/>
        <v>EMPTY</v>
      </c>
      <c r="D726" s="3" t="str">
        <f>IF(C726="SHOW",CONCATENATE(Temp!G722,Temp!H722,",",Temp!I722,",",Temp!J722,Temp!K722),"")</f>
        <v/>
      </c>
      <c r="E726" s="7"/>
      <c r="F726" s="8" t="str">
        <f t="shared" si="23"/>
        <v/>
      </c>
    </row>
    <row r="727" spans="1:6" x14ac:dyDescent="0.25">
      <c r="A727" s="13" t="str">
        <f>IF(AND($E727="",MAX($A$8:$A726)=0),"",IF(AND($E727&lt;&gt;"",MAX($A$8:$A726)=0),1,IF(AND($E727&lt;&gt;"",MAX($A$8:$A726)&gt;0),MAX($A$8:$A726)+1,"")))</f>
        <v/>
      </c>
      <c r="B727" s="11">
        <v>720</v>
      </c>
      <c r="C727" s="19" t="str">
        <f t="shared" si="22"/>
        <v>EMPTY</v>
      </c>
      <c r="D727" s="3" t="str">
        <f>IF(C727="SHOW",CONCATENATE(Temp!G723,Temp!H723,",",Temp!I723,",",Temp!J723,Temp!K723),"")</f>
        <v/>
      </c>
      <c r="E727" s="7"/>
      <c r="F727" s="8" t="str">
        <f t="shared" si="23"/>
        <v/>
      </c>
    </row>
    <row r="728" spans="1:6" x14ac:dyDescent="0.25">
      <c r="A728" s="13" t="str">
        <f>IF(AND($E728="",MAX($A$8:$A727)=0),"",IF(AND($E728&lt;&gt;"",MAX($A$8:$A727)=0),1,IF(AND($E728&lt;&gt;"",MAX($A$8:$A727)&gt;0),MAX($A$8:$A727)+1,"")))</f>
        <v/>
      </c>
      <c r="B728" s="11">
        <v>721</v>
      </c>
      <c r="C728" s="19" t="str">
        <f t="shared" si="22"/>
        <v>EMPTY</v>
      </c>
      <c r="D728" s="3" t="str">
        <f>IF(C728="SHOW",CONCATENATE(Temp!G724,Temp!H724,",",Temp!I724,",",Temp!J724,Temp!K724),"")</f>
        <v/>
      </c>
      <c r="E728" s="7"/>
      <c r="F728" s="8" t="str">
        <f t="shared" si="23"/>
        <v/>
      </c>
    </row>
    <row r="729" spans="1:6" x14ac:dyDescent="0.25">
      <c r="A729" s="13" t="str">
        <f>IF(AND($E729="",MAX($A$8:$A728)=0),"",IF(AND($E729&lt;&gt;"",MAX($A$8:$A728)=0),1,IF(AND($E729&lt;&gt;"",MAX($A$8:$A728)&gt;0),MAX($A$8:$A728)+1,"")))</f>
        <v/>
      </c>
      <c r="B729" s="11">
        <v>722</v>
      </c>
      <c r="C729" s="19" t="str">
        <f t="shared" si="22"/>
        <v>EMPTY</v>
      </c>
      <c r="D729" s="3" t="str">
        <f>IF(C729="SHOW",CONCATENATE(Temp!G725,Temp!H725,",",Temp!I725,",",Temp!J725,Temp!K725),"")</f>
        <v/>
      </c>
      <c r="E729" s="7"/>
      <c r="F729" s="8" t="str">
        <f t="shared" si="23"/>
        <v/>
      </c>
    </row>
    <row r="730" spans="1:6" x14ac:dyDescent="0.25">
      <c r="A730" s="13" t="str">
        <f>IF(AND($E730="",MAX($A$8:$A729)=0),"",IF(AND($E730&lt;&gt;"",MAX($A$8:$A729)=0),1,IF(AND($E730&lt;&gt;"",MAX($A$8:$A729)&gt;0),MAX($A$8:$A729)+1,"")))</f>
        <v/>
      </c>
      <c r="B730" s="11">
        <v>723</v>
      </c>
      <c r="C730" s="19" t="str">
        <f t="shared" si="22"/>
        <v>EMPTY</v>
      </c>
      <c r="D730" s="3" t="str">
        <f>IF(C730="SHOW",CONCATENATE(Temp!G726,Temp!H726,",",Temp!I726,",",Temp!J726,Temp!K726),"")</f>
        <v/>
      </c>
      <c r="E730" s="7"/>
      <c r="F730" s="8" t="str">
        <f t="shared" si="23"/>
        <v/>
      </c>
    </row>
    <row r="731" spans="1:6" x14ac:dyDescent="0.25">
      <c r="A731" s="13" t="str">
        <f>IF(AND($E731="",MAX($A$8:$A730)=0),"",IF(AND($E731&lt;&gt;"",MAX($A$8:$A730)=0),1,IF(AND($E731&lt;&gt;"",MAX($A$8:$A730)&gt;0),MAX($A$8:$A730)+1,"")))</f>
        <v/>
      </c>
      <c r="B731" s="11">
        <v>724</v>
      </c>
      <c r="C731" s="19" t="str">
        <f t="shared" si="22"/>
        <v>EMPTY</v>
      </c>
      <c r="D731" s="3" t="str">
        <f>IF(C731="SHOW",CONCATENATE(Temp!G727,Temp!H727,",",Temp!I727,",",Temp!J727,Temp!K727),"")</f>
        <v/>
      </c>
      <c r="E731" s="7"/>
      <c r="F731" s="8" t="str">
        <f t="shared" si="23"/>
        <v/>
      </c>
    </row>
    <row r="732" spans="1:6" x14ac:dyDescent="0.25">
      <c r="A732" s="13" t="str">
        <f>IF(AND($E732="",MAX($A$8:$A731)=0),"",IF(AND($E732&lt;&gt;"",MAX($A$8:$A731)=0),1,IF(AND($E732&lt;&gt;"",MAX($A$8:$A731)&gt;0),MAX($A$8:$A731)+1,"")))</f>
        <v/>
      </c>
      <c r="B732" s="11">
        <v>725</v>
      </c>
      <c r="C732" s="19" t="str">
        <f t="shared" si="22"/>
        <v>EMPTY</v>
      </c>
      <c r="D732" s="3" t="str">
        <f>IF(C732="SHOW",CONCATENATE(Temp!G728,Temp!H728,",",Temp!I728,",",Temp!J728,Temp!K728),"")</f>
        <v/>
      </c>
      <c r="E732" s="7"/>
      <c r="F732" s="8" t="str">
        <f t="shared" si="23"/>
        <v/>
      </c>
    </row>
    <row r="733" spans="1:6" x14ac:dyDescent="0.25">
      <c r="A733" s="13" t="str">
        <f>IF(AND($E733="",MAX($A$8:$A732)=0),"",IF(AND($E733&lt;&gt;"",MAX($A$8:$A732)=0),1,IF(AND($E733&lt;&gt;"",MAX($A$8:$A732)&gt;0),MAX($A$8:$A732)+1,"")))</f>
        <v/>
      </c>
      <c r="B733" s="11">
        <v>726</v>
      </c>
      <c r="C733" s="19" t="str">
        <f t="shared" si="22"/>
        <v>EMPTY</v>
      </c>
      <c r="D733" s="3" t="str">
        <f>IF(C733="SHOW",CONCATENATE(Temp!G729,Temp!H729,",",Temp!I729,",",Temp!J729,Temp!K729),"")</f>
        <v/>
      </c>
      <c r="E733" s="7"/>
      <c r="F733" s="8" t="str">
        <f t="shared" si="23"/>
        <v/>
      </c>
    </row>
    <row r="734" spans="1:6" x14ac:dyDescent="0.25">
      <c r="A734" s="13" t="str">
        <f>IF(AND($E734="",MAX($A$8:$A733)=0),"",IF(AND($E734&lt;&gt;"",MAX($A$8:$A733)=0),1,IF(AND($E734&lt;&gt;"",MAX($A$8:$A733)&gt;0),MAX($A$8:$A733)+1,"")))</f>
        <v/>
      </c>
      <c r="B734" s="11">
        <v>727</v>
      </c>
      <c r="C734" s="19" t="str">
        <f t="shared" si="22"/>
        <v>EMPTY</v>
      </c>
      <c r="D734" s="3" t="str">
        <f>IF(C734="SHOW",CONCATENATE(Temp!G730,Temp!H730,",",Temp!I730,",",Temp!J730,Temp!K730),"")</f>
        <v/>
      </c>
      <c r="E734" s="7"/>
      <c r="F734" s="8" t="str">
        <f t="shared" si="23"/>
        <v/>
      </c>
    </row>
    <row r="735" spans="1:6" x14ac:dyDescent="0.25">
      <c r="A735" s="13" t="str">
        <f>IF(AND($E735="",MAX($A$8:$A734)=0),"",IF(AND($E735&lt;&gt;"",MAX($A$8:$A734)=0),1,IF(AND($E735&lt;&gt;"",MAX($A$8:$A734)&gt;0),MAX($A$8:$A734)+1,"")))</f>
        <v/>
      </c>
      <c r="B735" s="11">
        <v>728</v>
      </c>
      <c r="C735" s="19" t="str">
        <f t="shared" si="22"/>
        <v>EMPTY</v>
      </c>
      <c r="D735" s="3" t="str">
        <f>IF(C735="SHOW",CONCATENATE(Temp!G731,Temp!H731,",",Temp!I731,",",Temp!J731,Temp!K731),"")</f>
        <v/>
      </c>
      <c r="E735" s="7"/>
      <c r="F735" s="8" t="str">
        <f t="shared" si="23"/>
        <v/>
      </c>
    </row>
    <row r="736" spans="1:6" x14ac:dyDescent="0.25">
      <c r="A736" s="13" t="str">
        <f>IF(AND($E736="",MAX($A$8:$A735)=0),"",IF(AND($E736&lt;&gt;"",MAX($A$8:$A735)=0),1,IF(AND($E736&lt;&gt;"",MAX($A$8:$A735)&gt;0),MAX($A$8:$A735)+1,"")))</f>
        <v/>
      </c>
      <c r="B736" s="11">
        <v>729</v>
      </c>
      <c r="C736" s="19" t="str">
        <f t="shared" si="22"/>
        <v>EMPTY</v>
      </c>
      <c r="D736" s="3" t="str">
        <f>IF(C736="SHOW",CONCATENATE(Temp!G732,Temp!H732,",",Temp!I732,",",Temp!J732,Temp!K732),"")</f>
        <v/>
      </c>
      <c r="E736" s="7"/>
      <c r="F736" s="8" t="str">
        <f t="shared" si="23"/>
        <v/>
      </c>
    </row>
    <row r="737" spans="1:6" x14ac:dyDescent="0.25">
      <c r="A737" s="13" t="str">
        <f>IF(AND($E737="",MAX($A$8:$A736)=0),"",IF(AND($E737&lt;&gt;"",MAX($A$8:$A736)=0),1,IF(AND($E737&lt;&gt;"",MAX($A$8:$A736)&gt;0),MAX($A$8:$A736)+1,"")))</f>
        <v/>
      </c>
      <c r="B737" s="11">
        <v>730</v>
      </c>
      <c r="C737" s="19" t="str">
        <f t="shared" si="22"/>
        <v>EMPTY</v>
      </c>
      <c r="D737" s="3" t="str">
        <f>IF(C737="SHOW",CONCATENATE(Temp!G733,Temp!H733,",",Temp!I733,",",Temp!J733,Temp!K733),"")</f>
        <v/>
      </c>
      <c r="E737" s="7"/>
      <c r="F737" s="8" t="str">
        <f t="shared" si="23"/>
        <v/>
      </c>
    </row>
    <row r="738" spans="1:6" x14ac:dyDescent="0.25">
      <c r="A738" s="13" t="str">
        <f>IF(AND($E738="",MAX($A$8:$A737)=0),"",IF(AND($E738&lt;&gt;"",MAX($A$8:$A737)=0),1,IF(AND($E738&lt;&gt;"",MAX($A$8:$A737)&gt;0),MAX($A$8:$A737)+1,"")))</f>
        <v/>
      </c>
      <c r="B738" s="11">
        <v>731</v>
      </c>
      <c r="C738" s="19" t="str">
        <f t="shared" si="22"/>
        <v>EMPTY</v>
      </c>
      <c r="D738" s="3" t="str">
        <f>IF(C738="SHOW",CONCATENATE(Temp!G734,Temp!H734,",",Temp!I734,",",Temp!J734,Temp!K734),"")</f>
        <v/>
      </c>
      <c r="E738" s="7"/>
      <c r="F738" s="8" t="str">
        <f t="shared" si="23"/>
        <v/>
      </c>
    </row>
    <row r="739" spans="1:6" x14ac:dyDescent="0.25">
      <c r="A739" s="13" t="str">
        <f>IF(AND($E739="",MAX($A$8:$A738)=0),"",IF(AND($E739&lt;&gt;"",MAX($A$8:$A738)=0),1,IF(AND($E739&lt;&gt;"",MAX($A$8:$A738)&gt;0),MAX($A$8:$A738)+1,"")))</f>
        <v/>
      </c>
      <c r="B739" s="11">
        <v>732</v>
      </c>
      <c r="C739" s="19" t="str">
        <f t="shared" si="22"/>
        <v>EMPTY</v>
      </c>
      <c r="D739" s="3" t="str">
        <f>IF(C739="SHOW",CONCATENATE(Temp!G735,Temp!H735,",",Temp!I735,",",Temp!J735,Temp!K735),"")</f>
        <v/>
      </c>
      <c r="E739" s="7"/>
      <c r="F739" s="8" t="str">
        <f t="shared" si="23"/>
        <v/>
      </c>
    </row>
    <row r="740" spans="1:6" x14ac:dyDescent="0.25">
      <c r="A740" s="13" t="str">
        <f>IF(AND($E740="",MAX($A$8:$A739)=0),"",IF(AND($E740&lt;&gt;"",MAX($A$8:$A739)=0),1,IF(AND($E740&lt;&gt;"",MAX($A$8:$A739)&gt;0),MAX($A$8:$A739)+1,"")))</f>
        <v/>
      </c>
      <c r="B740" s="11">
        <v>733</v>
      </c>
      <c r="C740" s="19" t="str">
        <f t="shared" si="22"/>
        <v>EMPTY</v>
      </c>
      <c r="D740" s="3" t="str">
        <f>IF(C740="SHOW",CONCATENATE(Temp!G736,Temp!H736,",",Temp!I736,",",Temp!J736,Temp!K736),"")</f>
        <v/>
      </c>
      <c r="E740" s="7"/>
      <c r="F740" s="8" t="str">
        <f t="shared" si="23"/>
        <v/>
      </c>
    </row>
    <row r="741" spans="1:6" x14ac:dyDescent="0.25">
      <c r="A741" s="13" t="str">
        <f>IF(AND($E741="",MAX($A$8:$A740)=0),"",IF(AND($E741&lt;&gt;"",MAX($A$8:$A740)=0),1,IF(AND($E741&lt;&gt;"",MAX($A$8:$A740)&gt;0),MAX($A$8:$A740)+1,"")))</f>
        <v/>
      </c>
      <c r="B741" s="11">
        <v>734</v>
      </c>
      <c r="C741" s="19" t="str">
        <f t="shared" si="22"/>
        <v>EMPTY</v>
      </c>
      <c r="D741" s="3" t="str">
        <f>IF(C741="SHOW",CONCATENATE(Temp!G737,Temp!H737,",",Temp!I737,",",Temp!J737,Temp!K737),"")</f>
        <v/>
      </c>
      <c r="E741" s="7"/>
      <c r="F741" s="8" t="str">
        <f t="shared" si="23"/>
        <v/>
      </c>
    </row>
    <row r="742" spans="1:6" x14ac:dyDescent="0.25">
      <c r="A742" s="13" t="str">
        <f>IF(AND($E742="",MAX($A$8:$A741)=0),"",IF(AND($E742&lt;&gt;"",MAX($A$8:$A741)=0),1,IF(AND($E742&lt;&gt;"",MAX($A$8:$A741)&gt;0),MAX($A$8:$A741)+1,"")))</f>
        <v/>
      </c>
      <c r="B742" s="11">
        <v>735</v>
      </c>
      <c r="C742" s="19" t="str">
        <f t="shared" si="22"/>
        <v>EMPTY</v>
      </c>
      <c r="D742" s="3" t="str">
        <f>IF(C742="SHOW",CONCATENATE(Temp!G738,Temp!H738,",",Temp!I738,",",Temp!J738,Temp!K738),"")</f>
        <v/>
      </c>
      <c r="E742" s="7"/>
      <c r="F742" s="8" t="str">
        <f t="shared" si="23"/>
        <v/>
      </c>
    </row>
    <row r="743" spans="1:6" x14ac:dyDescent="0.25">
      <c r="A743" s="13" t="str">
        <f>IF(AND($E743="",MAX($A$8:$A742)=0),"",IF(AND($E743&lt;&gt;"",MAX($A$8:$A742)=0),1,IF(AND($E743&lt;&gt;"",MAX($A$8:$A742)&gt;0),MAX($A$8:$A742)+1,"")))</f>
        <v/>
      </c>
      <c r="B743" s="11">
        <v>736</v>
      </c>
      <c r="C743" s="19" t="str">
        <f t="shared" si="22"/>
        <v>EMPTY</v>
      </c>
      <c r="D743" s="3" t="str">
        <f>IF(C743="SHOW",CONCATENATE(Temp!G739,Temp!H739,",",Temp!I739,",",Temp!J739,Temp!K739),"")</f>
        <v/>
      </c>
      <c r="E743" s="7"/>
      <c r="F743" s="8" t="str">
        <f t="shared" si="23"/>
        <v/>
      </c>
    </row>
    <row r="744" spans="1:6" x14ac:dyDescent="0.25">
      <c r="A744" s="13" t="str">
        <f>IF(AND($E744="",MAX($A$8:$A743)=0),"",IF(AND($E744&lt;&gt;"",MAX($A$8:$A743)=0),1,IF(AND($E744&lt;&gt;"",MAX($A$8:$A743)&gt;0),MAX($A$8:$A743)+1,"")))</f>
        <v/>
      </c>
      <c r="B744" s="11">
        <v>737</v>
      </c>
      <c r="C744" s="19" t="str">
        <f t="shared" si="22"/>
        <v>EMPTY</v>
      </c>
      <c r="D744" s="3" t="str">
        <f>IF(C744="SHOW",CONCATENATE(Temp!G740,Temp!H740,",",Temp!I740,",",Temp!J740,Temp!K740),"")</f>
        <v/>
      </c>
      <c r="E744" s="7"/>
      <c r="F744" s="8" t="str">
        <f t="shared" si="23"/>
        <v/>
      </c>
    </row>
    <row r="745" spans="1:6" x14ac:dyDescent="0.25">
      <c r="A745" s="13" t="str">
        <f>IF(AND($E745="",MAX($A$8:$A744)=0),"",IF(AND($E745&lt;&gt;"",MAX($A$8:$A744)=0),1,IF(AND($E745&lt;&gt;"",MAX($A$8:$A744)&gt;0),MAX($A$8:$A744)+1,"")))</f>
        <v/>
      </c>
      <c r="B745" s="11">
        <v>738</v>
      </c>
      <c r="C745" s="19" t="str">
        <f t="shared" si="22"/>
        <v>EMPTY</v>
      </c>
      <c r="D745" s="3" t="str">
        <f>IF(C745="SHOW",CONCATENATE(Temp!G741,Temp!H741,",",Temp!I741,",",Temp!J741,Temp!K741),"")</f>
        <v/>
      </c>
      <c r="E745" s="7"/>
      <c r="F745" s="8" t="str">
        <f t="shared" si="23"/>
        <v/>
      </c>
    </row>
    <row r="746" spans="1:6" x14ac:dyDescent="0.25">
      <c r="A746" s="13" t="str">
        <f>IF(AND($E746="",MAX($A$8:$A745)=0),"",IF(AND($E746&lt;&gt;"",MAX($A$8:$A745)=0),1,IF(AND($E746&lt;&gt;"",MAX($A$8:$A745)&gt;0),MAX($A$8:$A745)+1,"")))</f>
        <v/>
      </c>
      <c r="B746" s="11">
        <v>739</v>
      </c>
      <c r="C746" s="19" t="str">
        <f t="shared" si="22"/>
        <v>EMPTY</v>
      </c>
      <c r="D746" s="3" t="str">
        <f>IF(C746="SHOW",CONCATENATE(Temp!G742,Temp!H742,",",Temp!I742,",",Temp!J742,Temp!K742),"")</f>
        <v/>
      </c>
      <c r="E746" s="7"/>
      <c r="F746" s="8" t="str">
        <f t="shared" si="23"/>
        <v/>
      </c>
    </row>
    <row r="747" spans="1:6" x14ac:dyDescent="0.25">
      <c r="A747" s="13" t="str">
        <f>IF(AND($E747="",MAX($A$8:$A746)=0),"",IF(AND($E747&lt;&gt;"",MAX($A$8:$A746)=0),1,IF(AND($E747&lt;&gt;"",MAX($A$8:$A746)&gt;0),MAX($A$8:$A746)+1,"")))</f>
        <v/>
      </c>
      <c r="B747" s="11">
        <v>740</v>
      </c>
      <c r="C747" s="19" t="str">
        <f t="shared" si="22"/>
        <v>EMPTY</v>
      </c>
      <c r="D747" s="3" t="str">
        <f>IF(C747="SHOW",CONCATENATE(Temp!G743,Temp!H743,",",Temp!I743,",",Temp!J743,Temp!K743),"")</f>
        <v/>
      </c>
      <c r="E747" s="7"/>
      <c r="F747" s="8" t="str">
        <f t="shared" si="23"/>
        <v/>
      </c>
    </row>
    <row r="748" spans="1:6" x14ac:dyDescent="0.25">
      <c r="A748" s="13" t="str">
        <f>IF(AND($E748="",MAX($A$8:$A747)=0),"",IF(AND($E748&lt;&gt;"",MAX($A$8:$A747)=0),1,IF(AND($E748&lt;&gt;"",MAX($A$8:$A747)&gt;0),MAX($A$8:$A747)+1,"")))</f>
        <v/>
      </c>
      <c r="B748" s="11">
        <v>741</v>
      </c>
      <c r="C748" s="19" t="str">
        <f t="shared" si="22"/>
        <v>EMPTY</v>
      </c>
      <c r="D748" s="3" t="str">
        <f>IF(C748="SHOW",CONCATENATE(Temp!G744,Temp!H744,",",Temp!I744,",",Temp!J744,Temp!K744),"")</f>
        <v/>
      </c>
      <c r="E748" s="7"/>
      <c r="F748" s="8" t="str">
        <f t="shared" si="23"/>
        <v/>
      </c>
    </row>
    <row r="749" spans="1:6" x14ac:dyDescent="0.25">
      <c r="A749" s="13" t="str">
        <f>IF(AND($E749="",MAX($A$8:$A748)=0),"",IF(AND($E749&lt;&gt;"",MAX($A$8:$A748)=0),1,IF(AND($E749&lt;&gt;"",MAX($A$8:$A748)&gt;0),MAX($A$8:$A748)+1,"")))</f>
        <v/>
      </c>
      <c r="B749" s="11">
        <v>742</v>
      </c>
      <c r="C749" s="19" t="str">
        <f t="shared" si="22"/>
        <v>EMPTY</v>
      </c>
      <c r="D749" s="3" t="str">
        <f>IF(C749="SHOW",CONCATENATE(Temp!G745,Temp!H745,",",Temp!I745,",",Temp!J745,Temp!K745),"")</f>
        <v/>
      </c>
      <c r="E749" s="7"/>
      <c r="F749" s="8" t="str">
        <f t="shared" si="23"/>
        <v/>
      </c>
    </row>
    <row r="750" spans="1:6" x14ac:dyDescent="0.25">
      <c r="A750" s="13" t="str">
        <f>IF(AND($E750="",MAX($A$8:$A749)=0),"",IF(AND($E750&lt;&gt;"",MAX($A$8:$A749)=0),1,IF(AND($E750&lt;&gt;"",MAX($A$8:$A749)&gt;0),MAX($A$8:$A749)+1,"")))</f>
        <v/>
      </c>
      <c r="B750" s="11">
        <v>743</v>
      </c>
      <c r="C750" s="19" t="str">
        <f t="shared" si="22"/>
        <v>EMPTY</v>
      </c>
      <c r="D750" s="3" t="str">
        <f>IF(C750="SHOW",CONCATENATE(Temp!G746,Temp!H746,",",Temp!I746,",",Temp!J746,Temp!K746),"")</f>
        <v/>
      </c>
      <c r="E750" s="7"/>
      <c r="F750" s="8" t="str">
        <f t="shared" si="23"/>
        <v/>
      </c>
    </row>
    <row r="751" spans="1:6" x14ac:dyDescent="0.25">
      <c r="A751" s="13" t="str">
        <f>IF(AND($E751="",MAX($A$8:$A750)=0),"",IF(AND($E751&lt;&gt;"",MAX($A$8:$A750)=0),1,IF(AND($E751&lt;&gt;"",MAX($A$8:$A750)&gt;0),MAX($A$8:$A750)+1,"")))</f>
        <v/>
      </c>
      <c r="B751" s="11">
        <v>744</v>
      </c>
      <c r="C751" s="19" t="str">
        <f t="shared" si="22"/>
        <v>EMPTY</v>
      </c>
      <c r="D751" s="3" t="str">
        <f>IF(C751="SHOW",CONCATENATE(Temp!G747,Temp!H747,",",Temp!I747,",",Temp!J747,Temp!K747),"")</f>
        <v/>
      </c>
      <c r="E751" s="7"/>
      <c r="F751" s="8" t="str">
        <f t="shared" si="23"/>
        <v/>
      </c>
    </row>
    <row r="752" spans="1:6" x14ac:dyDescent="0.25">
      <c r="A752" s="13" t="str">
        <f>IF(AND($E752="",MAX($A$8:$A751)=0),"",IF(AND($E752&lt;&gt;"",MAX($A$8:$A751)=0),1,IF(AND($E752&lt;&gt;"",MAX($A$8:$A751)&gt;0),MAX($A$8:$A751)+1,"")))</f>
        <v/>
      </c>
      <c r="B752" s="11">
        <v>745</v>
      </c>
      <c r="C752" s="19" t="str">
        <f t="shared" si="22"/>
        <v>EMPTY</v>
      </c>
      <c r="D752" s="3" t="str">
        <f>IF(C752="SHOW",CONCATENATE(Temp!G748,Temp!H748,",",Temp!I748,",",Temp!J748,Temp!K748),"")</f>
        <v/>
      </c>
      <c r="E752" s="7"/>
      <c r="F752" s="8" t="str">
        <f t="shared" si="23"/>
        <v/>
      </c>
    </row>
    <row r="753" spans="1:6" x14ac:dyDescent="0.25">
      <c r="A753" s="13" t="str">
        <f>IF(AND($E753="",MAX($A$8:$A752)=0),"",IF(AND($E753&lt;&gt;"",MAX($A$8:$A752)=0),1,IF(AND($E753&lt;&gt;"",MAX($A$8:$A752)&gt;0),MAX($A$8:$A752)+1,"")))</f>
        <v/>
      </c>
      <c r="B753" s="11">
        <v>746</v>
      </c>
      <c r="C753" s="19" t="str">
        <f t="shared" si="22"/>
        <v>EMPTY</v>
      </c>
      <c r="D753" s="3" t="str">
        <f>IF(C753="SHOW",CONCATENATE(Temp!G749,Temp!H749,",",Temp!I749,",",Temp!J749,Temp!K749),"")</f>
        <v/>
      </c>
      <c r="E753" s="7"/>
      <c r="F753" s="8" t="str">
        <f t="shared" si="23"/>
        <v/>
      </c>
    </row>
    <row r="754" spans="1:6" x14ac:dyDescent="0.25">
      <c r="A754" s="13" t="str">
        <f>IF(AND($E754="",MAX($A$8:$A753)=0),"",IF(AND($E754&lt;&gt;"",MAX($A$8:$A753)=0),1,IF(AND($E754&lt;&gt;"",MAX($A$8:$A753)&gt;0),MAX($A$8:$A753)+1,"")))</f>
        <v/>
      </c>
      <c r="B754" s="11">
        <v>747</v>
      </c>
      <c r="C754" s="19" t="str">
        <f t="shared" si="22"/>
        <v>EMPTY</v>
      </c>
      <c r="D754" s="3" t="str">
        <f>IF(C754="SHOW",CONCATENATE(Temp!G750,Temp!H750,",",Temp!I750,",",Temp!J750,Temp!K750),"")</f>
        <v/>
      </c>
      <c r="E754" s="7"/>
      <c r="F754" s="8" t="str">
        <f t="shared" si="23"/>
        <v/>
      </c>
    </row>
    <row r="755" spans="1:6" x14ac:dyDescent="0.25">
      <c r="A755" s="13" t="str">
        <f>IF(AND($E755="",MAX($A$8:$A754)=0),"",IF(AND($E755&lt;&gt;"",MAX($A$8:$A754)=0),1,IF(AND($E755&lt;&gt;"",MAX($A$8:$A754)&gt;0),MAX($A$8:$A754)+1,"")))</f>
        <v/>
      </c>
      <c r="B755" s="11">
        <v>748</v>
      </c>
      <c r="C755" s="19" t="str">
        <f t="shared" si="22"/>
        <v>EMPTY</v>
      </c>
      <c r="D755" s="3" t="str">
        <f>IF(C755="SHOW",CONCATENATE(Temp!G751,Temp!H751,",",Temp!I751,",",Temp!J751,Temp!K751),"")</f>
        <v/>
      </c>
      <c r="E755" s="7"/>
      <c r="F755" s="8" t="str">
        <f t="shared" si="23"/>
        <v/>
      </c>
    </row>
    <row r="756" spans="1:6" x14ac:dyDescent="0.25">
      <c r="A756" s="13" t="str">
        <f>IF(AND($E756="",MAX($A$8:$A755)=0),"",IF(AND($E756&lt;&gt;"",MAX($A$8:$A755)=0),1,IF(AND($E756&lt;&gt;"",MAX($A$8:$A755)&gt;0),MAX($A$8:$A755)+1,"")))</f>
        <v/>
      </c>
      <c r="B756" s="11">
        <v>749</v>
      </c>
      <c r="C756" s="19" t="str">
        <f t="shared" si="22"/>
        <v>EMPTY</v>
      </c>
      <c r="D756" s="3" t="str">
        <f>IF(C756="SHOW",CONCATENATE(Temp!G752,Temp!H752,",",Temp!I752,",",Temp!J752,Temp!K752),"")</f>
        <v/>
      </c>
      <c r="E756" s="7"/>
      <c r="F756" s="8" t="str">
        <f t="shared" si="23"/>
        <v/>
      </c>
    </row>
    <row r="757" spans="1:6" x14ac:dyDescent="0.25">
      <c r="A757" s="13" t="str">
        <f>IF(AND($E757="",MAX($A$8:$A756)=0),"",IF(AND($E757&lt;&gt;"",MAX($A$8:$A756)=0),1,IF(AND($E757&lt;&gt;"",MAX($A$8:$A756)&gt;0),MAX($A$8:$A756)+1,"")))</f>
        <v/>
      </c>
      <c r="B757" s="11">
        <v>750</v>
      </c>
      <c r="C757" s="19" t="str">
        <f t="shared" si="22"/>
        <v>EMPTY</v>
      </c>
      <c r="D757" s="3" t="str">
        <f>IF(C757="SHOW",CONCATENATE(Temp!G753,Temp!H753,",",Temp!I753,",",Temp!J753,Temp!K753),"")</f>
        <v/>
      </c>
      <c r="E757" s="7"/>
      <c r="F757" s="8" t="str">
        <f t="shared" si="23"/>
        <v/>
      </c>
    </row>
    <row r="758" spans="1:6" x14ac:dyDescent="0.25">
      <c r="A758" s="13" t="str">
        <f>IF(AND($E758="",MAX($A$8:$A757)=0),"",IF(AND($E758&lt;&gt;"",MAX($A$8:$A757)=0),1,IF(AND($E758&lt;&gt;"",MAX($A$8:$A757)&gt;0),MAX($A$8:$A757)+1,"")))</f>
        <v/>
      </c>
      <c r="B758" s="11">
        <v>751</v>
      </c>
      <c r="C758" s="19" t="str">
        <f t="shared" si="22"/>
        <v>EMPTY</v>
      </c>
      <c r="D758" s="3" t="str">
        <f>IF(C758="SHOW",CONCATENATE(Temp!G754,Temp!H754,",",Temp!I754,",",Temp!J754,Temp!K754),"")</f>
        <v/>
      </c>
      <c r="E758" s="7"/>
      <c r="F758" s="8" t="str">
        <f t="shared" si="23"/>
        <v/>
      </c>
    </row>
    <row r="759" spans="1:6" x14ac:dyDescent="0.25">
      <c r="A759" s="13" t="str">
        <f>IF(AND($E759="",MAX($A$8:$A758)=0),"",IF(AND($E759&lt;&gt;"",MAX($A$8:$A758)=0),1,IF(AND($E759&lt;&gt;"",MAX($A$8:$A758)&gt;0),MAX($A$8:$A758)+1,"")))</f>
        <v/>
      </c>
      <c r="B759" s="11">
        <v>752</v>
      </c>
      <c r="C759" s="19" t="str">
        <f t="shared" si="22"/>
        <v>EMPTY</v>
      </c>
      <c r="D759" s="3" t="str">
        <f>IF(C759="SHOW",CONCATENATE(Temp!G755,Temp!H755,",",Temp!I755,",",Temp!J755,Temp!K755),"")</f>
        <v/>
      </c>
      <c r="E759" s="7"/>
      <c r="F759" s="8" t="str">
        <f t="shared" si="23"/>
        <v/>
      </c>
    </row>
    <row r="760" spans="1:6" x14ac:dyDescent="0.25">
      <c r="A760" s="13" t="str">
        <f>IF(AND($E760="",MAX($A$8:$A759)=0),"",IF(AND($E760&lt;&gt;"",MAX($A$8:$A759)=0),1,IF(AND($E760&lt;&gt;"",MAX($A$8:$A759)&gt;0),MAX($A$8:$A759)+1,"")))</f>
        <v/>
      </c>
      <c r="B760" s="11">
        <v>753</v>
      </c>
      <c r="C760" s="19" t="str">
        <f t="shared" si="22"/>
        <v>EMPTY</v>
      </c>
      <c r="D760" s="3" t="str">
        <f>IF(C760="SHOW",CONCATENATE(Temp!G756,Temp!H756,",",Temp!I756,",",Temp!J756,Temp!K756),"")</f>
        <v/>
      </c>
      <c r="E760" s="7"/>
      <c r="F760" s="8" t="str">
        <f t="shared" si="23"/>
        <v/>
      </c>
    </row>
    <row r="761" spans="1:6" x14ac:dyDescent="0.25">
      <c r="A761" s="13" t="str">
        <f>IF(AND($E761="",MAX($A$8:$A760)=0),"",IF(AND($E761&lt;&gt;"",MAX($A$8:$A760)=0),1,IF(AND($E761&lt;&gt;"",MAX($A$8:$A760)&gt;0),MAX($A$8:$A760)+1,"")))</f>
        <v/>
      </c>
      <c r="B761" s="11">
        <v>754</v>
      </c>
      <c r="C761" s="19" t="str">
        <f t="shared" si="22"/>
        <v>EMPTY</v>
      </c>
      <c r="D761" s="3" t="str">
        <f>IF(C761="SHOW",CONCATENATE(Temp!G757,Temp!H757,",",Temp!I757,",",Temp!J757,Temp!K757),"")</f>
        <v/>
      </c>
      <c r="E761" s="7"/>
      <c r="F761" s="8" t="str">
        <f t="shared" si="23"/>
        <v/>
      </c>
    </row>
    <row r="762" spans="1:6" x14ac:dyDescent="0.25">
      <c r="A762" s="13" t="str">
        <f>IF(AND($E762="",MAX($A$8:$A761)=0),"",IF(AND($E762&lt;&gt;"",MAX($A$8:$A761)=0),1,IF(AND($E762&lt;&gt;"",MAX($A$8:$A761)&gt;0),MAX($A$8:$A761)+1,"")))</f>
        <v/>
      </c>
      <c r="B762" s="11">
        <v>755</v>
      </c>
      <c r="C762" s="19" t="str">
        <f t="shared" si="22"/>
        <v>EMPTY</v>
      </c>
      <c r="D762" s="3" t="str">
        <f>IF(C762="SHOW",CONCATENATE(Temp!G758,Temp!H758,",",Temp!I758,",",Temp!J758,Temp!K758),"")</f>
        <v/>
      </c>
      <c r="E762" s="7"/>
      <c r="F762" s="8" t="str">
        <f t="shared" si="23"/>
        <v/>
      </c>
    </row>
    <row r="763" spans="1:6" x14ac:dyDescent="0.25">
      <c r="A763" s="13" t="str">
        <f>IF(AND($E763="",MAX($A$8:$A762)=0),"",IF(AND($E763&lt;&gt;"",MAX($A$8:$A762)=0),1,IF(AND($E763&lt;&gt;"",MAX($A$8:$A762)&gt;0),MAX($A$8:$A762)+1,"")))</f>
        <v/>
      </c>
      <c r="B763" s="11">
        <v>756</v>
      </c>
      <c r="C763" s="19" t="str">
        <f t="shared" si="22"/>
        <v>EMPTY</v>
      </c>
      <c r="D763" s="3" t="str">
        <f>IF(C763="SHOW",CONCATENATE(Temp!G759,Temp!H759,",",Temp!I759,",",Temp!J759,Temp!K759),"")</f>
        <v/>
      </c>
      <c r="E763" s="7"/>
      <c r="F763" s="8" t="str">
        <f t="shared" si="23"/>
        <v/>
      </c>
    </row>
    <row r="764" spans="1:6" x14ac:dyDescent="0.25">
      <c r="A764" s="13" t="str">
        <f>IF(AND($E764="",MAX($A$8:$A763)=0),"",IF(AND($E764&lt;&gt;"",MAX($A$8:$A763)=0),1,IF(AND($E764&lt;&gt;"",MAX($A$8:$A763)&gt;0),MAX($A$8:$A763)+1,"")))</f>
        <v/>
      </c>
      <c r="B764" s="11">
        <v>757</v>
      </c>
      <c r="C764" s="19" t="str">
        <f t="shared" si="22"/>
        <v>EMPTY</v>
      </c>
      <c r="D764" s="3" t="str">
        <f>IF(C764="SHOW",CONCATENATE(Temp!G760,Temp!H760,",",Temp!I760,",",Temp!J760,Temp!K760),"")</f>
        <v/>
      </c>
      <c r="E764" s="7"/>
      <c r="F764" s="8" t="str">
        <f t="shared" si="23"/>
        <v/>
      </c>
    </row>
    <row r="765" spans="1:6" x14ac:dyDescent="0.25">
      <c r="A765" s="13" t="str">
        <f>IF(AND($E765="",MAX($A$8:$A764)=0),"",IF(AND($E765&lt;&gt;"",MAX($A$8:$A764)=0),1,IF(AND($E765&lt;&gt;"",MAX($A$8:$A764)&gt;0),MAX($A$8:$A764)+1,"")))</f>
        <v/>
      </c>
      <c r="B765" s="11">
        <v>758</v>
      </c>
      <c r="C765" s="19" t="str">
        <f t="shared" si="22"/>
        <v>EMPTY</v>
      </c>
      <c r="D765" s="3" t="str">
        <f>IF(C765="SHOW",CONCATENATE(Temp!G761,Temp!H761,",",Temp!I761,",",Temp!J761,Temp!K761),"")</f>
        <v/>
      </c>
      <c r="E765" s="7"/>
      <c r="F765" s="8" t="str">
        <f t="shared" si="23"/>
        <v/>
      </c>
    </row>
    <row r="766" spans="1:6" x14ac:dyDescent="0.25">
      <c r="A766" s="13" t="str">
        <f>IF(AND($E766="",MAX($A$8:$A765)=0),"",IF(AND($E766&lt;&gt;"",MAX($A$8:$A765)=0),1,IF(AND($E766&lt;&gt;"",MAX($A$8:$A765)&gt;0),MAX($A$8:$A765)+1,"")))</f>
        <v/>
      </c>
      <c r="B766" s="11">
        <v>759</v>
      </c>
      <c r="C766" s="19" t="str">
        <f t="shared" si="22"/>
        <v>EMPTY</v>
      </c>
      <c r="D766" s="3" t="str">
        <f>IF(C766="SHOW",CONCATENATE(Temp!G762,Temp!H762,",",Temp!I762,",",Temp!J762,Temp!K762),"")</f>
        <v/>
      </c>
      <c r="E766" s="7"/>
      <c r="F766" s="8" t="str">
        <f t="shared" si="23"/>
        <v/>
      </c>
    </row>
    <row r="767" spans="1:6" x14ac:dyDescent="0.25">
      <c r="A767" s="13" t="str">
        <f>IF(AND($E767="",MAX($A$8:$A766)=0),"",IF(AND($E767&lt;&gt;"",MAX($A$8:$A766)=0),1,IF(AND($E767&lt;&gt;"",MAX($A$8:$A766)&gt;0),MAX($A$8:$A766)+1,"")))</f>
        <v/>
      </c>
      <c r="B767" s="11">
        <v>760</v>
      </c>
      <c r="C767" s="19" t="str">
        <f t="shared" si="22"/>
        <v>EMPTY</v>
      </c>
      <c r="D767" s="3" t="str">
        <f>IF(C767="SHOW",CONCATENATE(Temp!G763,Temp!H763,",",Temp!I763,",",Temp!J763,Temp!K763),"")</f>
        <v/>
      </c>
      <c r="E767" s="7"/>
      <c r="F767" s="8" t="str">
        <f t="shared" si="23"/>
        <v/>
      </c>
    </row>
    <row r="768" spans="1:6" x14ac:dyDescent="0.25">
      <c r="A768" s="13" t="str">
        <f>IF(AND($E768="",MAX($A$8:$A767)=0),"",IF(AND($E768&lt;&gt;"",MAX($A$8:$A767)=0),1,IF(AND($E768&lt;&gt;"",MAX($A$8:$A767)&gt;0),MAX($A$8:$A767)+1,"")))</f>
        <v/>
      </c>
      <c r="B768" s="11">
        <v>761</v>
      </c>
      <c r="C768" s="19" t="str">
        <f t="shared" si="22"/>
        <v>EMPTY</v>
      </c>
      <c r="D768" s="3" t="str">
        <f>IF(C768="SHOW",CONCATENATE(Temp!G764,Temp!H764,",",Temp!I764,",",Temp!J764,Temp!K764),"")</f>
        <v/>
      </c>
      <c r="E768" s="7"/>
      <c r="F768" s="8" t="str">
        <f t="shared" si="23"/>
        <v/>
      </c>
    </row>
    <row r="769" spans="1:6" x14ac:dyDescent="0.25">
      <c r="A769" s="13" t="str">
        <f>IF(AND($E769="",MAX($A$8:$A768)=0),"",IF(AND($E769&lt;&gt;"",MAX($A$8:$A768)=0),1,IF(AND($E769&lt;&gt;"",MAX($A$8:$A768)&gt;0),MAX($A$8:$A768)+1,"")))</f>
        <v/>
      </c>
      <c r="B769" s="11">
        <v>762</v>
      </c>
      <c r="C769" s="19" t="str">
        <f t="shared" si="22"/>
        <v>EMPTY</v>
      </c>
      <c r="D769" s="3" t="str">
        <f>IF(C769="SHOW",CONCATENATE(Temp!G765,Temp!H765,",",Temp!I765,",",Temp!J765,Temp!K765),"")</f>
        <v/>
      </c>
      <c r="E769" s="7"/>
      <c r="F769" s="8" t="str">
        <f t="shared" si="23"/>
        <v/>
      </c>
    </row>
    <row r="770" spans="1:6" x14ac:dyDescent="0.25">
      <c r="A770" s="13" t="str">
        <f>IF(AND($E770="",MAX($A$8:$A769)=0),"",IF(AND($E770&lt;&gt;"",MAX($A$8:$A769)=0),1,IF(AND($E770&lt;&gt;"",MAX($A$8:$A769)&gt;0),MAX($A$8:$A769)+1,"")))</f>
        <v/>
      </c>
      <c r="B770" s="11">
        <v>763</v>
      </c>
      <c r="C770" s="19" t="str">
        <f t="shared" si="22"/>
        <v>EMPTY</v>
      </c>
      <c r="D770" s="3" t="str">
        <f>IF(C770="SHOW",CONCATENATE(Temp!G766,Temp!H766,",",Temp!I766,",",Temp!J766,Temp!K766),"")</f>
        <v/>
      </c>
      <c r="E770" s="7"/>
      <c r="F770" s="8" t="str">
        <f t="shared" si="23"/>
        <v/>
      </c>
    </row>
    <row r="771" spans="1:6" x14ac:dyDescent="0.25">
      <c r="A771" s="13" t="str">
        <f>IF(AND($E771="",MAX($A$8:$A770)=0),"",IF(AND($E771&lt;&gt;"",MAX($A$8:$A770)=0),1,IF(AND($E771&lt;&gt;"",MAX($A$8:$A770)&gt;0),MAX($A$8:$A770)+1,"")))</f>
        <v/>
      </c>
      <c r="B771" s="11">
        <v>764</v>
      </c>
      <c r="C771" s="19" t="str">
        <f t="shared" si="22"/>
        <v>EMPTY</v>
      </c>
      <c r="D771" s="3" t="str">
        <f>IF(C771="SHOW",CONCATENATE(Temp!G767,Temp!H767,",",Temp!I767,",",Temp!J767,Temp!K767),"")</f>
        <v/>
      </c>
      <c r="E771" s="7"/>
      <c r="F771" s="8" t="str">
        <f t="shared" si="23"/>
        <v/>
      </c>
    </row>
    <row r="772" spans="1:6" x14ac:dyDescent="0.25">
      <c r="A772" s="13" t="str">
        <f>IF(AND($E772="",MAX($A$8:$A771)=0),"",IF(AND($E772&lt;&gt;"",MAX($A$8:$A771)=0),1,IF(AND($E772&lt;&gt;"",MAX($A$8:$A771)&gt;0),MAX($A$8:$A771)+1,"")))</f>
        <v/>
      </c>
      <c r="B772" s="11">
        <v>765</v>
      </c>
      <c r="C772" s="19" t="str">
        <f t="shared" si="22"/>
        <v>EMPTY</v>
      </c>
      <c r="D772" s="3" t="str">
        <f>IF(C772="SHOW",CONCATENATE(Temp!G768,Temp!H768,",",Temp!I768,",",Temp!J768,Temp!K768),"")</f>
        <v/>
      </c>
      <c r="E772" s="7"/>
      <c r="F772" s="8" t="str">
        <f t="shared" si="23"/>
        <v/>
      </c>
    </row>
    <row r="773" spans="1:6" x14ac:dyDescent="0.25">
      <c r="A773" s="13" t="str">
        <f>IF(AND($E773="",MAX($A$8:$A772)=0),"",IF(AND($E773&lt;&gt;"",MAX($A$8:$A772)=0),1,IF(AND($E773&lt;&gt;"",MAX($A$8:$A772)&gt;0),MAX($A$8:$A772)+1,"")))</f>
        <v/>
      </c>
      <c r="B773" s="11">
        <v>766</v>
      </c>
      <c r="C773" s="19" t="str">
        <f t="shared" si="22"/>
        <v>EMPTY</v>
      </c>
      <c r="D773" s="3" t="str">
        <f>IF(C773="SHOW",CONCATENATE(Temp!G769,Temp!H769,",",Temp!I769,",",Temp!J769,Temp!K769),"")</f>
        <v/>
      </c>
      <c r="E773" s="7"/>
      <c r="F773" s="8" t="str">
        <f t="shared" si="23"/>
        <v/>
      </c>
    </row>
    <row r="774" spans="1:6" x14ac:dyDescent="0.25">
      <c r="A774" s="13" t="str">
        <f>IF(AND($E774="",MAX($A$8:$A773)=0),"",IF(AND($E774&lt;&gt;"",MAX($A$8:$A773)=0),1,IF(AND($E774&lt;&gt;"",MAX($A$8:$A773)&gt;0),MAX($A$8:$A773)+1,"")))</f>
        <v/>
      </c>
      <c r="B774" s="11">
        <v>767</v>
      </c>
      <c r="C774" s="19" t="str">
        <f t="shared" si="22"/>
        <v>EMPTY</v>
      </c>
      <c r="D774" s="3" t="str">
        <f>IF(C774="SHOW",CONCATENATE(Temp!G770,Temp!H770,",",Temp!I770,",",Temp!J770,Temp!K770),"")</f>
        <v/>
      </c>
      <c r="E774" s="7"/>
      <c r="F774" s="8" t="str">
        <f t="shared" si="23"/>
        <v/>
      </c>
    </row>
    <row r="775" spans="1:6" x14ac:dyDescent="0.25">
      <c r="A775" s="13" t="str">
        <f>IF(AND($E775="",MAX($A$8:$A774)=0),"",IF(AND($E775&lt;&gt;"",MAX($A$8:$A774)=0),1,IF(AND($E775&lt;&gt;"",MAX($A$8:$A774)&gt;0),MAX($A$8:$A774)+1,"")))</f>
        <v/>
      </c>
      <c r="B775" s="11">
        <v>768</v>
      </c>
      <c r="C775" s="19" t="str">
        <f t="shared" si="22"/>
        <v>EMPTY</v>
      </c>
      <c r="D775" s="3" t="str">
        <f>IF(C775="SHOW",CONCATENATE(Temp!G771,Temp!H771,",",Temp!I771,",",Temp!J771,Temp!K771),"")</f>
        <v/>
      </c>
      <c r="E775" s="7"/>
      <c r="F775" s="8" t="str">
        <f t="shared" si="23"/>
        <v/>
      </c>
    </row>
    <row r="776" spans="1:6" x14ac:dyDescent="0.25">
      <c r="A776" s="13" t="str">
        <f>IF(AND($E776="",MAX($A$8:$A775)=0),"",IF(AND($E776&lt;&gt;"",MAX($A$8:$A775)=0),1,IF(AND($E776&lt;&gt;"",MAX($A$8:$A775)&gt;0),MAX($A$8:$A775)+1,"")))</f>
        <v/>
      </c>
      <c r="B776" s="11">
        <v>769</v>
      </c>
      <c r="C776" s="19" t="str">
        <f t="shared" si="22"/>
        <v>EMPTY</v>
      </c>
      <c r="D776" s="3" t="str">
        <f>IF(C776="SHOW",CONCATENATE(Temp!G772,Temp!H772,",",Temp!I772,",",Temp!J772,Temp!K772),"")</f>
        <v/>
      </c>
      <c r="E776" s="7"/>
      <c r="F776" s="8" t="str">
        <f t="shared" si="23"/>
        <v/>
      </c>
    </row>
    <row r="777" spans="1:6" x14ac:dyDescent="0.25">
      <c r="A777" s="13" t="str">
        <f>IF(AND($E777="",MAX($A$8:$A776)=0),"",IF(AND($E777&lt;&gt;"",MAX($A$8:$A776)=0),1,IF(AND($E777&lt;&gt;"",MAX($A$8:$A776)&gt;0),MAX($A$8:$A776)+1,"")))</f>
        <v/>
      </c>
      <c r="B777" s="11">
        <v>770</v>
      </c>
      <c r="C777" s="19" t="str">
        <f t="shared" ref="C777:C840" si="24">IF(E777="","EMPTY",IF(MID(E777,1,9)&lt;&gt;"Dialogue:","HIDE",IF(MID(E777,1,9)="Dialogue:","SHOW","")))</f>
        <v>EMPTY</v>
      </c>
      <c r="D777" s="3" t="str">
        <f>IF(C777="SHOW",CONCATENATE(Temp!G773,Temp!H773,",",Temp!I773,",",Temp!J773,Temp!K773),"")</f>
        <v/>
      </c>
      <c r="E777" s="7"/>
      <c r="F777" s="8" t="str">
        <f t="shared" ref="F777:F840" si="25">$D777</f>
        <v/>
      </c>
    </row>
    <row r="778" spans="1:6" x14ac:dyDescent="0.25">
      <c r="A778" s="13" t="str">
        <f>IF(AND($E778="",MAX($A$8:$A777)=0),"",IF(AND($E778&lt;&gt;"",MAX($A$8:$A777)=0),1,IF(AND($E778&lt;&gt;"",MAX($A$8:$A777)&gt;0),MAX($A$8:$A777)+1,"")))</f>
        <v/>
      </c>
      <c r="B778" s="11">
        <v>771</v>
      </c>
      <c r="C778" s="19" t="str">
        <f t="shared" si="24"/>
        <v>EMPTY</v>
      </c>
      <c r="D778" s="3" t="str">
        <f>IF(C778="SHOW",CONCATENATE(Temp!G774,Temp!H774,",",Temp!I774,",",Temp!J774,Temp!K774),"")</f>
        <v/>
      </c>
      <c r="E778" s="7"/>
      <c r="F778" s="8" t="str">
        <f t="shared" si="25"/>
        <v/>
      </c>
    </row>
    <row r="779" spans="1:6" x14ac:dyDescent="0.25">
      <c r="A779" s="13" t="str">
        <f>IF(AND($E779="",MAX($A$8:$A778)=0),"",IF(AND($E779&lt;&gt;"",MAX($A$8:$A778)=0),1,IF(AND($E779&lt;&gt;"",MAX($A$8:$A778)&gt;0),MAX($A$8:$A778)+1,"")))</f>
        <v/>
      </c>
      <c r="B779" s="11">
        <v>772</v>
      </c>
      <c r="C779" s="19" t="str">
        <f t="shared" si="24"/>
        <v>EMPTY</v>
      </c>
      <c r="D779" s="3" t="str">
        <f>IF(C779="SHOW",CONCATENATE(Temp!G775,Temp!H775,",",Temp!I775,",",Temp!J775,Temp!K775),"")</f>
        <v/>
      </c>
      <c r="E779" s="7"/>
      <c r="F779" s="8" t="str">
        <f t="shared" si="25"/>
        <v/>
      </c>
    </row>
    <row r="780" spans="1:6" x14ac:dyDescent="0.25">
      <c r="A780" s="13" t="str">
        <f>IF(AND($E780="",MAX($A$8:$A779)=0),"",IF(AND($E780&lt;&gt;"",MAX($A$8:$A779)=0),1,IF(AND($E780&lt;&gt;"",MAX($A$8:$A779)&gt;0),MAX($A$8:$A779)+1,"")))</f>
        <v/>
      </c>
      <c r="B780" s="11">
        <v>773</v>
      </c>
      <c r="C780" s="19" t="str">
        <f t="shared" si="24"/>
        <v>EMPTY</v>
      </c>
      <c r="D780" s="3" t="str">
        <f>IF(C780="SHOW",CONCATENATE(Temp!G776,Temp!H776,",",Temp!I776,",",Temp!J776,Temp!K776),"")</f>
        <v/>
      </c>
      <c r="E780" s="7"/>
      <c r="F780" s="8" t="str">
        <f t="shared" si="25"/>
        <v/>
      </c>
    </row>
    <row r="781" spans="1:6" x14ac:dyDescent="0.25">
      <c r="A781" s="13" t="str">
        <f>IF(AND($E781="",MAX($A$8:$A780)=0),"",IF(AND($E781&lt;&gt;"",MAX($A$8:$A780)=0),1,IF(AND($E781&lt;&gt;"",MAX($A$8:$A780)&gt;0),MAX($A$8:$A780)+1,"")))</f>
        <v/>
      </c>
      <c r="B781" s="11">
        <v>774</v>
      </c>
      <c r="C781" s="19" t="str">
        <f t="shared" si="24"/>
        <v>EMPTY</v>
      </c>
      <c r="D781" s="3" t="str">
        <f>IF(C781="SHOW",CONCATENATE(Temp!G777,Temp!H777,",",Temp!I777,",",Temp!J777,Temp!K777),"")</f>
        <v/>
      </c>
      <c r="E781" s="7"/>
      <c r="F781" s="8" t="str">
        <f t="shared" si="25"/>
        <v/>
      </c>
    </row>
    <row r="782" spans="1:6" x14ac:dyDescent="0.25">
      <c r="A782" s="13" t="str">
        <f>IF(AND($E782="",MAX($A$8:$A781)=0),"",IF(AND($E782&lt;&gt;"",MAX($A$8:$A781)=0),1,IF(AND($E782&lt;&gt;"",MAX($A$8:$A781)&gt;0),MAX($A$8:$A781)+1,"")))</f>
        <v/>
      </c>
      <c r="B782" s="11">
        <v>775</v>
      </c>
      <c r="C782" s="19" t="str">
        <f t="shared" si="24"/>
        <v>EMPTY</v>
      </c>
      <c r="D782" s="3" t="str">
        <f>IF(C782="SHOW",CONCATENATE(Temp!G778,Temp!H778,",",Temp!I778,",",Temp!J778,Temp!K778),"")</f>
        <v/>
      </c>
      <c r="E782" s="7"/>
      <c r="F782" s="8" t="str">
        <f t="shared" si="25"/>
        <v/>
      </c>
    </row>
    <row r="783" spans="1:6" x14ac:dyDescent="0.25">
      <c r="A783" s="13" t="str">
        <f>IF(AND($E783="",MAX($A$8:$A782)=0),"",IF(AND($E783&lt;&gt;"",MAX($A$8:$A782)=0),1,IF(AND($E783&lt;&gt;"",MAX($A$8:$A782)&gt;0),MAX($A$8:$A782)+1,"")))</f>
        <v/>
      </c>
      <c r="B783" s="11">
        <v>776</v>
      </c>
      <c r="C783" s="19" t="str">
        <f t="shared" si="24"/>
        <v>EMPTY</v>
      </c>
      <c r="D783" s="3" t="str">
        <f>IF(C783="SHOW",CONCATENATE(Temp!G779,Temp!H779,",",Temp!I779,",",Temp!J779,Temp!K779),"")</f>
        <v/>
      </c>
      <c r="E783" s="7"/>
      <c r="F783" s="8" t="str">
        <f t="shared" si="25"/>
        <v/>
      </c>
    </row>
    <row r="784" spans="1:6" x14ac:dyDescent="0.25">
      <c r="A784" s="13" t="str">
        <f>IF(AND($E784="",MAX($A$8:$A783)=0),"",IF(AND($E784&lt;&gt;"",MAX($A$8:$A783)=0),1,IF(AND($E784&lt;&gt;"",MAX($A$8:$A783)&gt;0),MAX($A$8:$A783)+1,"")))</f>
        <v/>
      </c>
      <c r="B784" s="11">
        <v>777</v>
      </c>
      <c r="C784" s="19" t="str">
        <f t="shared" si="24"/>
        <v>EMPTY</v>
      </c>
      <c r="D784" s="3" t="str">
        <f>IF(C784="SHOW",CONCATENATE(Temp!G780,Temp!H780,",",Temp!I780,",",Temp!J780,Temp!K780),"")</f>
        <v/>
      </c>
      <c r="E784" s="7"/>
      <c r="F784" s="8" t="str">
        <f t="shared" si="25"/>
        <v/>
      </c>
    </row>
    <row r="785" spans="1:6" x14ac:dyDescent="0.25">
      <c r="A785" s="13" t="str">
        <f>IF(AND($E785="",MAX($A$8:$A784)=0),"",IF(AND($E785&lt;&gt;"",MAX($A$8:$A784)=0),1,IF(AND($E785&lt;&gt;"",MAX($A$8:$A784)&gt;0),MAX($A$8:$A784)+1,"")))</f>
        <v/>
      </c>
      <c r="B785" s="11">
        <v>778</v>
      </c>
      <c r="C785" s="19" t="str">
        <f t="shared" si="24"/>
        <v>EMPTY</v>
      </c>
      <c r="D785" s="3" t="str">
        <f>IF(C785="SHOW",CONCATENATE(Temp!G781,Temp!H781,",",Temp!I781,",",Temp!J781,Temp!K781),"")</f>
        <v/>
      </c>
      <c r="E785" s="7"/>
      <c r="F785" s="8" t="str">
        <f t="shared" si="25"/>
        <v/>
      </c>
    </row>
    <row r="786" spans="1:6" x14ac:dyDescent="0.25">
      <c r="A786" s="13" t="str">
        <f>IF(AND($E786="",MAX($A$8:$A785)=0),"",IF(AND($E786&lt;&gt;"",MAX($A$8:$A785)=0),1,IF(AND($E786&lt;&gt;"",MAX($A$8:$A785)&gt;0),MAX($A$8:$A785)+1,"")))</f>
        <v/>
      </c>
      <c r="B786" s="11">
        <v>779</v>
      </c>
      <c r="C786" s="19" t="str">
        <f t="shared" si="24"/>
        <v>EMPTY</v>
      </c>
      <c r="D786" s="3" t="str">
        <f>IF(C786="SHOW",CONCATENATE(Temp!G782,Temp!H782,",",Temp!I782,",",Temp!J782,Temp!K782),"")</f>
        <v/>
      </c>
      <c r="E786" s="7"/>
      <c r="F786" s="8" t="str">
        <f t="shared" si="25"/>
        <v/>
      </c>
    </row>
    <row r="787" spans="1:6" x14ac:dyDescent="0.25">
      <c r="A787" s="13" t="str">
        <f>IF(AND($E787="",MAX($A$8:$A786)=0),"",IF(AND($E787&lt;&gt;"",MAX($A$8:$A786)=0),1,IF(AND($E787&lt;&gt;"",MAX($A$8:$A786)&gt;0),MAX($A$8:$A786)+1,"")))</f>
        <v/>
      </c>
      <c r="B787" s="11">
        <v>780</v>
      </c>
      <c r="C787" s="19" t="str">
        <f t="shared" si="24"/>
        <v>EMPTY</v>
      </c>
      <c r="D787" s="3" t="str">
        <f>IF(C787="SHOW",CONCATENATE(Temp!G783,Temp!H783,",",Temp!I783,",",Temp!J783,Temp!K783),"")</f>
        <v/>
      </c>
      <c r="E787" s="7"/>
      <c r="F787" s="8" t="str">
        <f t="shared" si="25"/>
        <v/>
      </c>
    </row>
    <row r="788" spans="1:6" x14ac:dyDescent="0.25">
      <c r="A788" s="13" t="str">
        <f>IF(AND($E788="",MAX($A$8:$A787)=0),"",IF(AND($E788&lt;&gt;"",MAX($A$8:$A787)=0),1,IF(AND($E788&lt;&gt;"",MAX($A$8:$A787)&gt;0),MAX($A$8:$A787)+1,"")))</f>
        <v/>
      </c>
      <c r="B788" s="11">
        <v>781</v>
      </c>
      <c r="C788" s="19" t="str">
        <f t="shared" si="24"/>
        <v>EMPTY</v>
      </c>
      <c r="D788" s="3" t="str">
        <f>IF(C788="SHOW",CONCATENATE(Temp!G784,Temp!H784,",",Temp!I784,",",Temp!J784,Temp!K784),"")</f>
        <v/>
      </c>
      <c r="E788" s="7"/>
      <c r="F788" s="8" t="str">
        <f t="shared" si="25"/>
        <v/>
      </c>
    </row>
    <row r="789" spans="1:6" x14ac:dyDescent="0.25">
      <c r="A789" s="13" t="str">
        <f>IF(AND($E789="",MAX($A$8:$A788)=0),"",IF(AND($E789&lt;&gt;"",MAX($A$8:$A788)=0),1,IF(AND($E789&lt;&gt;"",MAX($A$8:$A788)&gt;0),MAX($A$8:$A788)+1,"")))</f>
        <v/>
      </c>
      <c r="B789" s="11">
        <v>782</v>
      </c>
      <c r="C789" s="19" t="str">
        <f t="shared" si="24"/>
        <v>EMPTY</v>
      </c>
      <c r="D789" s="3" t="str">
        <f>IF(C789="SHOW",CONCATENATE(Temp!G785,Temp!H785,",",Temp!I785,",",Temp!J785,Temp!K785),"")</f>
        <v/>
      </c>
      <c r="E789" s="7"/>
      <c r="F789" s="8" t="str">
        <f t="shared" si="25"/>
        <v/>
      </c>
    </row>
    <row r="790" spans="1:6" x14ac:dyDescent="0.25">
      <c r="A790" s="13" t="str">
        <f>IF(AND($E790="",MAX($A$8:$A789)=0),"",IF(AND($E790&lt;&gt;"",MAX($A$8:$A789)=0),1,IF(AND($E790&lt;&gt;"",MAX($A$8:$A789)&gt;0),MAX($A$8:$A789)+1,"")))</f>
        <v/>
      </c>
      <c r="B790" s="11">
        <v>783</v>
      </c>
      <c r="C790" s="19" t="str">
        <f t="shared" si="24"/>
        <v>EMPTY</v>
      </c>
      <c r="D790" s="3" t="str">
        <f>IF(C790="SHOW",CONCATENATE(Temp!G786,Temp!H786,",",Temp!I786,",",Temp!J786,Temp!K786),"")</f>
        <v/>
      </c>
      <c r="E790" s="7"/>
      <c r="F790" s="8" t="str">
        <f t="shared" si="25"/>
        <v/>
      </c>
    </row>
    <row r="791" spans="1:6" x14ac:dyDescent="0.25">
      <c r="A791" s="13" t="str">
        <f>IF(AND($E791="",MAX($A$8:$A790)=0),"",IF(AND($E791&lt;&gt;"",MAX($A$8:$A790)=0),1,IF(AND($E791&lt;&gt;"",MAX($A$8:$A790)&gt;0),MAX($A$8:$A790)+1,"")))</f>
        <v/>
      </c>
      <c r="B791" s="11">
        <v>784</v>
      </c>
      <c r="C791" s="19" t="str">
        <f t="shared" si="24"/>
        <v>EMPTY</v>
      </c>
      <c r="D791" s="3" t="str">
        <f>IF(C791="SHOW",CONCATENATE(Temp!G787,Temp!H787,",",Temp!I787,",",Temp!J787,Temp!K787),"")</f>
        <v/>
      </c>
      <c r="E791" s="7"/>
      <c r="F791" s="8" t="str">
        <f t="shared" si="25"/>
        <v/>
      </c>
    </row>
    <row r="792" spans="1:6" x14ac:dyDescent="0.25">
      <c r="A792" s="13" t="str">
        <f>IF(AND($E792="",MAX($A$8:$A791)=0),"",IF(AND($E792&lt;&gt;"",MAX($A$8:$A791)=0),1,IF(AND($E792&lt;&gt;"",MAX($A$8:$A791)&gt;0),MAX($A$8:$A791)+1,"")))</f>
        <v/>
      </c>
      <c r="B792" s="11">
        <v>785</v>
      </c>
      <c r="C792" s="19" t="str">
        <f t="shared" si="24"/>
        <v>EMPTY</v>
      </c>
      <c r="D792" s="3" t="str">
        <f>IF(C792="SHOW",CONCATENATE(Temp!G788,Temp!H788,",",Temp!I788,",",Temp!J788,Temp!K788),"")</f>
        <v/>
      </c>
      <c r="E792" s="7"/>
      <c r="F792" s="8" t="str">
        <f t="shared" si="25"/>
        <v/>
      </c>
    </row>
    <row r="793" spans="1:6" x14ac:dyDescent="0.25">
      <c r="A793" s="13" t="str">
        <f>IF(AND($E793="",MAX($A$8:$A792)=0),"",IF(AND($E793&lt;&gt;"",MAX($A$8:$A792)=0),1,IF(AND($E793&lt;&gt;"",MAX($A$8:$A792)&gt;0),MAX($A$8:$A792)+1,"")))</f>
        <v/>
      </c>
      <c r="B793" s="11">
        <v>786</v>
      </c>
      <c r="C793" s="19" t="str">
        <f t="shared" si="24"/>
        <v>EMPTY</v>
      </c>
      <c r="D793" s="3" t="str">
        <f>IF(C793="SHOW",CONCATENATE(Temp!G789,Temp!H789,",",Temp!I789,",",Temp!J789,Temp!K789),"")</f>
        <v/>
      </c>
      <c r="E793" s="7"/>
      <c r="F793" s="8" t="str">
        <f t="shared" si="25"/>
        <v/>
      </c>
    </row>
    <row r="794" spans="1:6" x14ac:dyDescent="0.25">
      <c r="A794" s="13" t="str">
        <f>IF(AND($E794="",MAX($A$8:$A793)=0),"",IF(AND($E794&lt;&gt;"",MAX($A$8:$A793)=0),1,IF(AND($E794&lt;&gt;"",MAX($A$8:$A793)&gt;0),MAX($A$8:$A793)+1,"")))</f>
        <v/>
      </c>
      <c r="B794" s="11">
        <v>787</v>
      </c>
      <c r="C794" s="19" t="str">
        <f t="shared" si="24"/>
        <v>EMPTY</v>
      </c>
      <c r="D794" s="3" t="str">
        <f>IF(C794="SHOW",CONCATENATE(Temp!G790,Temp!H790,",",Temp!I790,",",Temp!J790,Temp!K790),"")</f>
        <v/>
      </c>
      <c r="E794" s="7"/>
      <c r="F794" s="8" t="str">
        <f t="shared" si="25"/>
        <v/>
      </c>
    </row>
    <row r="795" spans="1:6" x14ac:dyDescent="0.25">
      <c r="A795" s="13" t="str">
        <f>IF(AND($E795="",MAX($A$8:$A794)=0),"",IF(AND($E795&lt;&gt;"",MAX($A$8:$A794)=0),1,IF(AND($E795&lt;&gt;"",MAX($A$8:$A794)&gt;0),MAX($A$8:$A794)+1,"")))</f>
        <v/>
      </c>
      <c r="B795" s="11">
        <v>788</v>
      </c>
      <c r="C795" s="19" t="str">
        <f t="shared" si="24"/>
        <v>EMPTY</v>
      </c>
      <c r="D795" s="3" t="str">
        <f>IF(C795="SHOW",CONCATENATE(Temp!G791,Temp!H791,",",Temp!I791,",",Temp!J791,Temp!K791),"")</f>
        <v/>
      </c>
      <c r="E795" s="7"/>
      <c r="F795" s="8" t="str">
        <f t="shared" si="25"/>
        <v/>
      </c>
    </row>
    <row r="796" spans="1:6" x14ac:dyDescent="0.25">
      <c r="A796" s="13" t="str">
        <f>IF(AND($E796="",MAX($A$8:$A795)=0),"",IF(AND($E796&lt;&gt;"",MAX($A$8:$A795)=0),1,IF(AND($E796&lt;&gt;"",MAX($A$8:$A795)&gt;0),MAX($A$8:$A795)+1,"")))</f>
        <v/>
      </c>
      <c r="B796" s="11">
        <v>789</v>
      </c>
      <c r="C796" s="19" t="str">
        <f t="shared" si="24"/>
        <v>EMPTY</v>
      </c>
      <c r="D796" s="3" t="str">
        <f>IF(C796="SHOW",CONCATENATE(Temp!G792,Temp!H792,",",Temp!I792,",",Temp!J792,Temp!K792),"")</f>
        <v/>
      </c>
      <c r="E796" s="7"/>
      <c r="F796" s="8" t="str">
        <f t="shared" si="25"/>
        <v/>
      </c>
    </row>
    <row r="797" spans="1:6" x14ac:dyDescent="0.25">
      <c r="A797" s="13" t="str">
        <f>IF(AND($E797="",MAX($A$8:$A796)=0),"",IF(AND($E797&lt;&gt;"",MAX($A$8:$A796)=0),1,IF(AND($E797&lt;&gt;"",MAX($A$8:$A796)&gt;0),MAX($A$8:$A796)+1,"")))</f>
        <v/>
      </c>
      <c r="B797" s="11">
        <v>790</v>
      </c>
      <c r="C797" s="19" t="str">
        <f t="shared" si="24"/>
        <v>EMPTY</v>
      </c>
      <c r="D797" s="3" t="str">
        <f>IF(C797="SHOW",CONCATENATE(Temp!G793,Temp!H793,",",Temp!I793,",",Temp!J793,Temp!K793),"")</f>
        <v/>
      </c>
      <c r="E797" s="7"/>
      <c r="F797" s="8" t="str">
        <f t="shared" si="25"/>
        <v/>
      </c>
    </row>
    <row r="798" spans="1:6" x14ac:dyDescent="0.25">
      <c r="A798" s="13" t="str">
        <f>IF(AND($E798="",MAX($A$8:$A797)=0),"",IF(AND($E798&lt;&gt;"",MAX($A$8:$A797)=0),1,IF(AND($E798&lt;&gt;"",MAX($A$8:$A797)&gt;0),MAX($A$8:$A797)+1,"")))</f>
        <v/>
      </c>
      <c r="B798" s="11">
        <v>791</v>
      </c>
      <c r="C798" s="19" t="str">
        <f t="shared" si="24"/>
        <v>EMPTY</v>
      </c>
      <c r="D798" s="3" t="str">
        <f>IF(C798="SHOW",CONCATENATE(Temp!G794,Temp!H794,",",Temp!I794,",",Temp!J794,Temp!K794),"")</f>
        <v/>
      </c>
      <c r="E798" s="7"/>
      <c r="F798" s="8" t="str">
        <f t="shared" si="25"/>
        <v/>
      </c>
    </row>
    <row r="799" spans="1:6" x14ac:dyDescent="0.25">
      <c r="A799" s="13" t="str">
        <f>IF(AND($E799="",MAX($A$8:$A798)=0),"",IF(AND($E799&lt;&gt;"",MAX($A$8:$A798)=0),1,IF(AND($E799&lt;&gt;"",MAX($A$8:$A798)&gt;0),MAX($A$8:$A798)+1,"")))</f>
        <v/>
      </c>
      <c r="B799" s="11">
        <v>792</v>
      </c>
      <c r="C799" s="19" t="str">
        <f t="shared" si="24"/>
        <v>EMPTY</v>
      </c>
      <c r="D799" s="3" t="str">
        <f>IF(C799="SHOW",CONCATENATE(Temp!G795,Temp!H795,",",Temp!I795,",",Temp!J795,Temp!K795),"")</f>
        <v/>
      </c>
      <c r="E799" s="7"/>
      <c r="F799" s="8" t="str">
        <f t="shared" si="25"/>
        <v/>
      </c>
    </row>
    <row r="800" spans="1:6" x14ac:dyDescent="0.25">
      <c r="A800" s="13" t="str">
        <f>IF(AND($E800="",MAX($A$8:$A799)=0),"",IF(AND($E800&lt;&gt;"",MAX($A$8:$A799)=0),1,IF(AND($E800&lt;&gt;"",MAX($A$8:$A799)&gt;0),MAX($A$8:$A799)+1,"")))</f>
        <v/>
      </c>
      <c r="B800" s="11">
        <v>793</v>
      </c>
      <c r="C800" s="19" t="str">
        <f t="shared" si="24"/>
        <v>EMPTY</v>
      </c>
      <c r="D800" s="3" t="str">
        <f>IF(C800="SHOW",CONCATENATE(Temp!G796,Temp!H796,",",Temp!I796,",",Temp!J796,Temp!K796),"")</f>
        <v/>
      </c>
      <c r="E800" s="7"/>
      <c r="F800" s="8" t="str">
        <f t="shared" si="25"/>
        <v/>
      </c>
    </row>
    <row r="801" spans="1:6" x14ac:dyDescent="0.25">
      <c r="A801" s="13" t="str">
        <f>IF(AND($E801="",MAX($A$8:$A800)=0),"",IF(AND($E801&lt;&gt;"",MAX($A$8:$A800)=0),1,IF(AND($E801&lt;&gt;"",MAX($A$8:$A800)&gt;0),MAX($A$8:$A800)+1,"")))</f>
        <v/>
      </c>
      <c r="B801" s="11">
        <v>794</v>
      </c>
      <c r="C801" s="19" t="str">
        <f t="shared" si="24"/>
        <v>EMPTY</v>
      </c>
      <c r="D801" s="3" t="str">
        <f>IF(C801="SHOW",CONCATENATE(Temp!G797,Temp!H797,",",Temp!I797,",",Temp!J797,Temp!K797),"")</f>
        <v/>
      </c>
      <c r="E801" s="7"/>
      <c r="F801" s="8" t="str">
        <f t="shared" si="25"/>
        <v/>
      </c>
    </row>
    <row r="802" spans="1:6" x14ac:dyDescent="0.25">
      <c r="A802" s="13" t="str">
        <f>IF(AND($E802="",MAX($A$8:$A801)=0),"",IF(AND($E802&lt;&gt;"",MAX($A$8:$A801)=0),1,IF(AND($E802&lt;&gt;"",MAX($A$8:$A801)&gt;0),MAX($A$8:$A801)+1,"")))</f>
        <v/>
      </c>
      <c r="B802" s="11">
        <v>795</v>
      </c>
      <c r="C802" s="19" t="str">
        <f t="shared" si="24"/>
        <v>EMPTY</v>
      </c>
      <c r="D802" s="3" t="str">
        <f>IF(C802="SHOW",CONCATENATE(Temp!G798,Temp!H798,",",Temp!I798,",",Temp!J798,Temp!K798),"")</f>
        <v/>
      </c>
      <c r="E802" s="7"/>
      <c r="F802" s="8" t="str">
        <f t="shared" si="25"/>
        <v/>
      </c>
    </row>
    <row r="803" spans="1:6" x14ac:dyDescent="0.25">
      <c r="A803" s="13" t="str">
        <f>IF(AND($E803="",MAX($A$8:$A802)=0),"",IF(AND($E803&lt;&gt;"",MAX($A$8:$A802)=0),1,IF(AND($E803&lt;&gt;"",MAX($A$8:$A802)&gt;0),MAX($A$8:$A802)+1,"")))</f>
        <v/>
      </c>
      <c r="B803" s="11">
        <v>796</v>
      </c>
      <c r="C803" s="19" t="str">
        <f t="shared" si="24"/>
        <v>EMPTY</v>
      </c>
      <c r="D803" s="3" t="str">
        <f>IF(C803="SHOW",CONCATENATE(Temp!G799,Temp!H799,",",Temp!I799,",",Temp!J799,Temp!K799),"")</f>
        <v/>
      </c>
      <c r="E803" s="7"/>
      <c r="F803" s="8" t="str">
        <f t="shared" si="25"/>
        <v/>
      </c>
    </row>
    <row r="804" spans="1:6" x14ac:dyDescent="0.25">
      <c r="A804" s="13" t="str">
        <f>IF(AND($E804="",MAX($A$8:$A803)=0),"",IF(AND($E804&lt;&gt;"",MAX($A$8:$A803)=0),1,IF(AND($E804&lt;&gt;"",MAX($A$8:$A803)&gt;0),MAX($A$8:$A803)+1,"")))</f>
        <v/>
      </c>
      <c r="B804" s="11">
        <v>797</v>
      </c>
      <c r="C804" s="19" t="str">
        <f t="shared" si="24"/>
        <v>EMPTY</v>
      </c>
      <c r="D804" s="3" t="str">
        <f>IF(C804="SHOW",CONCATENATE(Temp!G800,Temp!H800,",",Temp!I800,",",Temp!J800,Temp!K800),"")</f>
        <v/>
      </c>
      <c r="E804" s="7"/>
      <c r="F804" s="8" t="str">
        <f t="shared" si="25"/>
        <v/>
      </c>
    </row>
    <row r="805" spans="1:6" x14ac:dyDescent="0.25">
      <c r="A805" s="13" t="str">
        <f>IF(AND($E805="",MAX($A$8:$A804)=0),"",IF(AND($E805&lt;&gt;"",MAX($A$8:$A804)=0),1,IF(AND($E805&lt;&gt;"",MAX($A$8:$A804)&gt;0),MAX($A$8:$A804)+1,"")))</f>
        <v/>
      </c>
      <c r="B805" s="11">
        <v>798</v>
      </c>
      <c r="C805" s="19" t="str">
        <f t="shared" si="24"/>
        <v>EMPTY</v>
      </c>
      <c r="D805" s="3" t="str">
        <f>IF(C805="SHOW",CONCATENATE(Temp!G801,Temp!H801,",",Temp!I801,",",Temp!J801,Temp!K801),"")</f>
        <v/>
      </c>
      <c r="E805" s="7"/>
      <c r="F805" s="8" t="str">
        <f t="shared" si="25"/>
        <v/>
      </c>
    </row>
    <row r="806" spans="1:6" x14ac:dyDescent="0.25">
      <c r="A806" s="13" t="str">
        <f>IF(AND($E806="",MAX($A$8:$A805)=0),"",IF(AND($E806&lt;&gt;"",MAX($A$8:$A805)=0),1,IF(AND($E806&lt;&gt;"",MAX($A$8:$A805)&gt;0),MAX($A$8:$A805)+1,"")))</f>
        <v/>
      </c>
      <c r="B806" s="11">
        <v>799</v>
      </c>
      <c r="C806" s="19" t="str">
        <f t="shared" si="24"/>
        <v>EMPTY</v>
      </c>
      <c r="D806" s="3" t="str">
        <f>IF(C806="SHOW",CONCATENATE(Temp!G802,Temp!H802,",",Temp!I802,",",Temp!J802,Temp!K802),"")</f>
        <v/>
      </c>
      <c r="E806" s="7"/>
      <c r="F806" s="8" t="str">
        <f t="shared" si="25"/>
        <v/>
      </c>
    </row>
    <row r="807" spans="1:6" x14ac:dyDescent="0.25">
      <c r="A807" s="13" t="str">
        <f>IF(AND($E807="",MAX($A$8:$A806)=0),"",IF(AND($E807&lt;&gt;"",MAX($A$8:$A806)=0),1,IF(AND($E807&lt;&gt;"",MAX($A$8:$A806)&gt;0),MAX($A$8:$A806)+1,"")))</f>
        <v/>
      </c>
      <c r="B807" s="11">
        <v>800</v>
      </c>
      <c r="C807" s="19" t="str">
        <f t="shared" si="24"/>
        <v>EMPTY</v>
      </c>
      <c r="D807" s="3" t="str">
        <f>IF(C807="SHOW",CONCATENATE(Temp!G803,Temp!H803,",",Temp!I803,",",Temp!J803,Temp!K803),"")</f>
        <v/>
      </c>
      <c r="E807" s="7"/>
      <c r="F807" s="8" t="str">
        <f t="shared" si="25"/>
        <v/>
      </c>
    </row>
    <row r="808" spans="1:6" x14ac:dyDescent="0.25">
      <c r="A808" s="13" t="str">
        <f>IF(AND($E808="",MAX($A$8:$A807)=0),"",IF(AND($E808&lt;&gt;"",MAX($A$8:$A807)=0),1,IF(AND($E808&lt;&gt;"",MAX($A$8:$A807)&gt;0),MAX($A$8:$A807)+1,"")))</f>
        <v/>
      </c>
      <c r="B808" s="11">
        <v>801</v>
      </c>
      <c r="C808" s="19" t="str">
        <f t="shared" si="24"/>
        <v>EMPTY</v>
      </c>
      <c r="D808" s="3" t="str">
        <f>IF(C808="SHOW",CONCATENATE(Temp!G804,Temp!H804,",",Temp!I804,",",Temp!J804,Temp!K804),"")</f>
        <v/>
      </c>
      <c r="E808" s="7"/>
      <c r="F808" s="8" t="str">
        <f t="shared" si="25"/>
        <v/>
      </c>
    </row>
    <row r="809" spans="1:6" x14ac:dyDescent="0.25">
      <c r="A809" s="13" t="str">
        <f>IF(AND($E809="",MAX($A$8:$A808)=0),"",IF(AND($E809&lt;&gt;"",MAX($A$8:$A808)=0),1,IF(AND($E809&lt;&gt;"",MAX($A$8:$A808)&gt;0),MAX($A$8:$A808)+1,"")))</f>
        <v/>
      </c>
      <c r="B809" s="11">
        <v>802</v>
      </c>
      <c r="C809" s="19" t="str">
        <f t="shared" si="24"/>
        <v>EMPTY</v>
      </c>
      <c r="D809" s="3" t="str">
        <f>IF(C809="SHOW",CONCATENATE(Temp!G805,Temp!H805,",",Temp!I805,",",Temp!J805,Temp!K805),"")</f>
        <v/>
      </c>
      <c r="E809" s="7"/>
      <c r="F809" s="8" t="str">
        <f t="shared" si="25"/>
        <v/>
      </c>
    </row>
    <row r="810" spans="1:6" x14ac:dyDescent="0.25">
      <c r="A810" s="13" t="str">
        <f>IF(AND($E810="",MAX($A$8:$A809)=0),"",IF(AND($E810&lt;&gt;"",MAX($A$8:$A809)=0),1,IF(AND($E810&lt;&gt;"",MAX($A$8:$A809)&gt;0),MAX($A$8:$A809)+1,"")))</f>
        <v/>
      </c>
      <c r="B810" s="11">
        <v>803</v>
      </c>
      <c r="C810" s="19" t="str">
        <f t="shared" si="24"/>
        <v>EMPTY</v>
      </c>
      <c r="D810" s="3" t="str">
        <f>IF(C810="SHOW",CONCATENATE(Temp!G806,Temp!H806,",",Temp!I806,",",Temp!J806,Temp!K806),"")</f>
        <v/>
      </c>
      <c r="E810" s="7"/>
      <c r="F810" s="8" t="str">
        <f t="shared" si="25"/>
        <v/>
      </c>
    </row>
    <row r="811" spans="1:6" x14ac:dyDescent="0.25">
      <c r="A811" s="13" t="str">
        <f>IF(AND($E811="",MAX($A$8:$A810)=0),"",IF(AND($E811&lt;&gt;"",MAX($A$8:$A810)=0),1,IF(AND($E811&lt;&gt;"",MAX($A$8:$A810)&gt;0),MAX($A$8:$A810)+1,"")))</f>
        <v/>
      </c>
      <c r="B811" s="11">
        <v>804</v>
      </c>
      <c r="C811" s="19" t="str">
        <f t="shared" si="24"/>
        <v>EMPTY</v>
      </c>
      <c r="D811" s="3" t="str">
        <f>IF(C811="SHOW",CONCATENATE(Temp!G807,Temp!H807,",",Temp!I807,",",Temp!J807,Temp!K807),"")</f>
        <v/>
      </c>
      <c r="E811" s="7"/>
      <c r="F811" s="8" t="str">
        <f t="shared" si="25"/>
        <v/>
      </c>
    </row>
    <row r="812" spans="1:6" x14ac:dyDescent="0.25">
      <c r="A812" s="13" t="str">
        <f>IF(AND($E812="",MAX($A$8:$A811)=0),"",IF(AND($E812&lt;&gt;"",MAX($A$8:$A811)=0),1,IF(AND($E812&lt;&gt;"",MAX($A$8:$A811)&gt;0),MAX($A$8:$A811)+1,"")))</f>
        <v/>
      </c>
      <c r="B812" s="11">
        <v>805</v>
      </c>
      <c r="C812" s="19" t="str">
        <f t="shared" si="24"/>
        <v>EMPTY</v>
      </c>
      <c r="D812" s="3" t="str">
        <f>IF(C812="SHOW",CONCATENATE(Temp!G808,Temp!H808,",",Temp!I808,",",Temp!J808,Temp!K808),"")</f>
        <v/>
      </c>
      <c r="E812" s="7"/>
      <c r="F812" s="8" t="str">
        <f t="shared" si="25"/>
        <v/>
      </c>
    </row>
    <row r="813" spans="1:6" x14ac:dyDescent="0.25">
      <c r="A813" s="13" t="str">
        <f>IF(AND($E813="",MAX($A$8:$A812)=0),"",IF(AND($E813&lt;&gt;"",MAX($A$8:$A812)=0),1,IF(AND($E813&lt;&gt;"",MAX($A$8:$A812)&gt;0),MAX($A$8:$A812)+1,"")))</f>
        <v/>
      </c>
      <c r="B813" s="11">
        <v>806</v>
      </c>
      <c r="C813" s="19" t="str">
        <f t="shared" si="24"/>
        <v>EMPTY</v>
      </c>
      <c r="D813" s="3" t="str">
        <f>IF(C813="SHOW",CONCATENATE(Temp!G809,Temp!H809,",",Temp!I809,",",Temp!J809,Temp!K809),"")</f>
        <v/>
      </c>
      <c r="E813" s="7"/>
      <c r="F813" s="8" t="str">
        <f t="shared" si="25"/>
        <v/>
      </c>
    </row>
    <row r="814" spans="1:6" x14ac:dyDescent="0.25">
      <c r="A814" s="13" t="str">
        <f>IF(AND($E814="",MAX($A$8:$A813)=0),"",IF(AND($E814&lt;&gt;"",MAX($A$8:$A813)=0),1,IF(AND($E814&lt;&gt;"",MAX($A$8:$A813)&gt;0),MAX($A$8:$A813)+1,"")))</f>
        <v/>
      </c>
      <c r="B814" s="11">
        <v>807</v>
      </c>
      <c r="C814" s="19" t="str">
        <f t="shared" si="24"/>
        <v>EMPTY</v>
      </c>
      <c r="D814" s="3" t="str">
        <f>IF(C814="SHOW",CONCATENATE(Temp!G810,Temp!H810,",",Temp!I810,",",Temp!J810,Temp!K810),"")</f>
        <v/>
      </c>
      <c r="E814" s="7"/>
      <c r="F814" s="8" t="str">
        <f t="shared" si="25"/>
        <v/>
      </c>
    </row>
    <row r="815" spans="1:6" x14ac:dyDescent="0.25">
      <c r="A815" s="13" t="str">
        <f>IF(AND($E815="",MAX($A$8:$A814)=0),"",IF(AND($E815&lt;&gt;"",MAX($A$8:$A814)=0),1,IF(AND($E815&lt;&gt;"",MAX($A$8:$A814)&gt;0),MAX($A$8:$A814)+1,"")))</f>
        <v/>
      </c>
      <c r="B815" s="11">
        <v>808</v>
      </c>
      <c r="C815" s="19" t="str">
        <f t="shared" si="24"/>
        <v>EMPTY</v>
      </c>
      <c r="D815" s="3" t="str">
        <f>IF(C815="SHOW",CONCATENATE(Temp!G811,Temp!H811,",",Temp!I811,",",Temp!J811,Temp!K811),"")</f>
        <v/>
      </c>
      <c r="E815" s="7"/>
      <c r="F815" s="8" t="str">
        <f t="shared" si="25"/>
        <v/>
      </c>
    </row>
    <row r="816" spans="1:6" x14ac:dyDescent="0.25">
      <c r="A816" s="13" t="str">
        <f>IF(AND($E816="",MAX($A$8:$A815)=0),"",IF(AND($E816&lt;&gt;"",MAX($A$8:$A815)=0),1,IF(AND($E816&lt;&gt;"",MAX($A$8:$A815)&gt;0),MAX($A$8:$A815)+1,"")))</f>
        <v/>
      </c>
      <c r="B816" s="11">
        <v>809</v>
      </c>
      <c r="C816" s="19" t="str">
        <f t="shared" si="24"/>
        <v>EMPTY</v>
      </c>
      <c r="D816" s="3" t="str">
        <f>IF(C816="SHOW",CONCATENATE(Temp!G812,Temp!H812,",",Temp!I812,",",Temp!J812,Temp!K812),"")</f>
        <v/>
      </c>
      <c r="E816" s="7"/>
      <c r="F816" s="8" t="str">
        <f t="shared" si="25"/>
        <v/>
      </c>
    </row>
    <row r="817" spans="1:6" x14ac:dyDescent="0.25">
      <c r="A817" s="13" t="str">
        <f>IF(AND($E817="",MAX($A$8:$A816)=0),"",IF(AND($E817&lt;&gt;"",MAX($A$8:$A816)=0),1,IF(AND($E817&lt;&gt;"",MAX($A$8:$A816)&gt;0),MAX($A$8:$A816)+1,"")))</f>
        <v/>
      </c>
      <c r="B817" s="11">
        <v>810</v>
      </c>
      <c r="C817" s="19" t="str">
        <f t="shared" si="24"/>
        <v>EMPTY</v>
      </c>
      <c r="D817" s="3" t="str">
        <f>IF(C817="SHOW",CONCATENATE(Temp!G813,Temp!H813,",",Temp!I813,",",Temp!J813,Temp!K813),"")</f>
        <v/>
      </c>
      <c r="E817" s="7"/>
      <c r="F817" s="8" t="str">
        <f t="shared" si="25"/>
        <v/>
      </c>
    </row>
    <row r="818" spans="1:6" x14ac:dyDescent="0.25">
      <c r="A818" s="13" t="str">
        <f>IF(AND($E818="",MAX($A$8:$A817)=0),"",IF(AND($E818&lt;&gt;"",MAX($A$8:$A817)=0),1,IF(AND($E818&lt;&gt;"",MAX($A$8:$A817)&gt;0),MAX($A$8:$A817)+1,"")))</f>
        <v/>
      </c>
      <c r="B818" s="11">
        <v>811</v>
      </c>
      <c r="C818" s="19" t="str">
        <f t="shared" si="24"/>
        <v>EMPTY</v>
      </c>
      <c r="D818" s="3" t="str">
        <f>IF(C818="SHOW",CONCATENATE(Temp!G814,Temp!H814,",",Temp!I814,",",Temp!J814,Temp!K814),"")</f>
        <v/>
      </c>
      <c r="E818" s="7"/>
      <c r="F818" s="8" t="str">
        <f t="shared" si="25"/>
        <v/>
      </c>
    </row>
    <row r="819" spans="1:6" x14ac:dyDescent="0.25">
      <c r="A819" s="13" t="str">
        <f>IF(AND($E819="",MAX($A$8:$A818)=0),"",IF(AND($E819&lt;&gt;"",MAX($A$8:$A818)=0),1,IF(AND($E819&lt;&gt;"",MAX($A$8:$A818)&gt;0),MAX($A$8:$A818)+1,"")))</f>
        <v/>
      </c>
      <c r="B819" s="11">
        <v>812</v>
      </c>
      <c r="C819" s="19" t="str">
        <f t="shared" si="24"/>
        <v>EMPTY</v>
      </c>
      <c r="D819" s="3" t="str">
        <f>IF(C819="SHOW",CONCATENATE(Temp!G815,Temp!H815,",",Temp!I815,",",Temp!J815,Temp!K815),"")</f>
        <v/>
      </c>
      <c r="E819" s="7"/>
      <c r="F819" s="8" t="str">
        <f t="shared" si="25"/>
        <v/>
      </c>
    </row>
    <row r="820" spans="1:6" x14ac:dyDescent="0.25">
      <c r="A820" s="13" t="str">
        <f>IF(AND($E820="",MAX($A$8:$A819)=0),"",IF(AND($E820&lt;&gt;"",MAX($A$8:$A819)=0),1,IF(AND($E820&lt;&gt;"",MAX($A$8:$A819)&gt;0),MAX($A$8:$A819)+1,"")))</f>
        <v/>
      </c>
      <c r="B820" s="11">
        <v>813</v>
      </c>
      <c r="C820" s="19" t="str">
        <f t="shared" si="24"/>
        <v>EMPTY</v>
      </c>
      <c r="D820" s="3" t="str">
        <f>IF(C820="SHOW",CONCATENATE(Temp!G816,Temp!H816,",",Temp!I816,",",Temp!J816,Temp!K816),"")</f>
        <v/>
      </c>
      <c r="E820" s="7"/>
      <c r="F820" s="8" t="str">
        <f t="shared" si="25"/>
        <v/>
      </c>
    </row>
    <row r="821" spans="1:6" x14ac:dyDescent="0.25">
      <c r="A821" s="13" t="str">
        <f>IF(AND($E821="",MAX($A$8:$A820)=0),"",IF(AND($E821&lt;&gt;"",MAX($A$8:$A820)=0),1,IF(AND($E821&lt;&gt;"",MAX($A$8:$A820)&gt;0),MAX($A$8:$A820)+1,"")))</f>
        <v/>
      </c>
      <c r="B821" s="11">
        <v>814</v>
      </c>
      <c r="C821" s="19" t="str">
        <f t="shared" si="24"/>
        <v>EMPTY</v>
      </c>
      <c r="D821" s="3" t="str">
        <f>IF(C821="SHOW",CONCATENATE(Temp!G817,Temp!H817,",",Temp!I817,",",Temp!J817,Temp!K817),"")</f>
        <v/>
      </c>
      <c r="E821" s="7"/>
      <c r="F821" s="8" t="str">
        <f t="shared" si="25"/>
        <v/>
      </c>
    </row>
    <row r="822" spans="1:6" x14ac:dyDescent="0.25">
      <c r="A822" s="13" t="str">
        <f>IF(AND($E822="",MAX($A$8:$A821)=0),"",IF(AND($E822&lt;&gt;"",MAX($A$8:$A821)=0),1,IF(AND($E822&lt;&gt;"",MAX($A$8:$A821)&gt;0),MAX($A$8:$A821)+1,"")))</f>
        <v/>
      </c>
      <c r="B822" s="11">
        <v>815</v>
      </c>
      <c r="C822" s="19" t="str">
        <f t="shared" si="24"/>
        <v>EMPTY</v>
      </c>
      <c r="D822" s="3" t="str">
        <f>IF(C822="SHOW",CONCATENATE(Temp!G818,Temp!H818,",",Temp!I818,",",Temp!J818,Temp!K818),"")</f>
        <v/>
      </c>
      <c r="E822" s="7"/>
      <c r="F822" s="8" t="str">
        <f t="shared" si="25"/>
        <v/>
      </c>
    </row>
    <row r="823" spans="1:6" x14ac:dyDescent="0.25">
      <c r="A823" s="13" t="str">
        <f>IF(AND($E823="",MAX($A$8:$A822)=0),"",IF(AND($E823&lt;&gt;"",MAX($A$8:$A822)=0),1,IF(AND($E823&lt;&gt;"",MAX($A$8:$A822)&gt;0),MAX($A$8:$A822)+1,"")))</f>
        <v/>
      </c>
      <c r="B823" s="11">
        <v>816</v>
      </c>
      <c r="C823" s="19" t="str">
        <f t="shared" si="24"/>
        <v>EMPTY</v>
      </c>
      <c r="D823" s="3" t="str">
        <f>IF(C823="SHOW",CONCATENATE(Temp!G819,Temp!H819,",",Temp!I819,",",Temp!J819,Temp!K819),"")</f>
        <v/>
      </c>
      <c r="E823" s="7"/>
      <c r="F823" s="8" t="str">
        <f t="shared" si="25"/>
        <v/>
      </c>
    </row>
    <row r="824" spans="1:6" x14ac:dyDescent="0.25">
      <c r="A824" s="13" t="str">
        <f>IF(AND($E824="",MAX($A$8:$A823)=0),"",IF(AND($E824&lt;&gt;"",MAX($A$8:$A823)=0),1,IF(AND($E824&lt;&gt;"",MAX($A$8:$A823)&gt;0),MAX($A$8:$A823)+1,"")))</f>
        <v/>
      </c>
      <c r="B824" s="11">
        <v>817</v>
      </c>
      <c r="C824" s="19" t="str">
        <f t="shared" si="24"/>
        <v>EMPTY</v>
      </c>
      <c r="D824" s="3" t="str">
        <f>IF(C824="SHOW",CONCATENATE(Temp!G820,Temp!H820,",",Temp!I820,",",Temp!J820,Temp!K820),"")</f>
        <v/>
      </c>
      <c r="E824" s="7"/>
      <c r="F824" s="8" t="str">
        <f t="shared" si="25"/>
        <v/>
      </c>
    </row>
    <row r="825" spans="1:6" x14ac:dyDescent="0.25">
      <c r="A825" s="13" t="str">
        <f>IF(AND($E825="",MAX($A$8:$A824)=0),"",IF(AND($E825&lt;&gt;"",MAX($A$8:$A824)=0),1,IF(AND($E825&lt;&gt;"",MAX($A$8:$A824)&gt;0),MAX($A$8:$A824)+1,"")))</f>
        <v/>
      </c>
      <c r="B825" s="11">
        <v>818</v>
      </c>
      <c r="C825" s="19" t="str">
        <f t="shared" si="24"/>
        <v>EMPTY</v>
      </c>
      <c r="D825" s="3" t="str">
        <f>IF(C825="SHOW",CONCATENATE(Temp!G821,Temp!H821,",",Temp!I821,",",Temp!J821,Temp!K821),"")</f>
        <v/>
      </c>
      <c r="E825" s="7"/>
      <c r="F825" s="8" t="str">
        <f t="shared" si="25"/>
        <v/>
      </c>
    </row>
    <row r="826" spans="1:6" x14ac:dyDescent="0.25">
      <c r="A826" s="13" t="str">
        <f>IF(AND($E826="",MAX($A$8:$A825)=0),"",IF(AND($E826&lt;&gt;"",MAX($A$8:$A825)=0),1,IF(AND($E826&lt;&gt;"",MAX($A$8:$A825)&gt;0),MAX($A$8:$A825)+1,"")))</f>
        <v/>
      </c>
      <c r="B826" s="11">
        <v>819</v>
      </c>
      <c r="C826" s="19" t="str">
        <f t="shared" si="24"/>
        <v>EMPTY</v>
      </c>
      <c r="D826" s="3" t="str">
        <f>IF(C826="SHOW",CONCATENATE(Temp!G822,Temp!H822,",",Temp!I822,",",Temp!J822,Temp!K822),"")</f>
        <v/>
      </c>
      <c r="E826" s="7"/>
      <c r="F826" s="8" t="str">
        <f t="shared" si="25"/>
        <v/>
      </c>
    </row>
    <row r="827" spans="1:6" x14ac:dyDescent="0.25">
      <c r="A827" s="13" t="str">
        <f>IF(AND($E827="",MAX($A$8:$A826)=0),"",IF(AND($E827&lt;&gt;"",MAX($A$8:$A826)=0),1,IF(AND($E827&lt;&gt;"",MAX($A$8:$A826)&gt;0),MAX($A$8:$A826)+1,"")))</f>
        <v/>
      </c>
      <c r="B827" s="11">
        <v>820</v>
      </c>
      <c r="C827" s="19" t="str">
        <f t="shared" si="24"/>
        <v>EMPTY</v>
      </c>
      <c r="D827" s="3" t="str">
        <f>IF(C827="SHOW",CONCATENATE(Temp!G823,Temp!H823,",",Temp!I823,",",Temp!J823,Temp!K823),"")</f>
        <v/>
      </c>
      <c r="E827" s="7"/>
      <c r="F827" s="8" t="str">
        <f t="shared" si="25"/>
        <v/>
      </c>
    </row>
    <row r="828" spans="1:6" x14ac:dyDescent="0.25">
      <c r="A828" s="13" t="str">
        <f>IF(AND($E828="",MAX($A$8:$A827)=0),"",IF(AND($E828&lt;&gt;"",MAX($A$8:$A827)=0),1,IF(AND($E828&lt;&gt;"",MAX($A$8:$A827)&gt;0),MAX($A$8:$A827)+1,"")))</f>
        <v/>
      </c>
      <c r="B828" s="11">
        <v>821</v>
      </c>
      <c r="C828" s="19" t="str">
        <f t="shared" si="24"/>
        <v>EMPTY</v>
      </c>
      <c r="D828" s="3" t="str">
        <f>IF(C828="SHOW",CONCATENATE(Temp!G824,Temp!H824,",",Temp!I824,",",Temp!J824,Temp!K824),"")</f>
        <v/>
      </c>
      <c r="E828" s="7"/>
      <c r="F828" s="8" t="str">
        <f t="shared" si="25"/>
        <v/>
      </c>
    </row>
    <row r="829" spans="1:6" x14ac:dyDescent="0.25">
      <c r="A829" s="13" t="str">
        <f>IF(AND($E829="",MAX($A$8:$A828)=0),"",IF(AND($E829&lt;&gt;"",MAX($A$8:$A828)=0),1,IF(AND($E829&lt;&gt;"",MAX($A$8:$A828)&gt;0),MAX($A$8:$A828)+1,"")))</f>
        <v/>
      </c>
      <c r="B829" s="11">
        <v>822</v>
      </c>
      <c r="C829" s="19" t="str">
        <f t="shared" si="24"/>
        <v>EMPTY</v>
      </c>
      <c r="D829" s="3" t="str">
        <f>IF(C829="SHOW",CONCATENATE(Temp!G825,Temp!H825,",",Temp!I825,",",Temp!J825,Temp!K825),"")</f>
        <v/>
      </c>
      <c r="E829" s="7"/>
      <c r="F829" s="8" t="str">
        <f t="shared" si="25"/>
        <v/>
      </c>
    </row>
    <row r="830" spans="1:6" x14ac:dyDescent="0.25">
      <c r="A830" s="13" t="str">
        <f>IF(AND($E830="",MAX($A$8:$A829)=0),"",IF(AND($E830&lt;&gt;"",MAX($A$8:$A829)=0),1,IF(AND($E830&lt;&gt;"",MAX($A$8:$A829)&gt;0),MAX($A$8:$A829)+1,"")))</f>
        <v/>
      </c>
      <c r="B830" s="11">
        <v>823</v>
      </c>
      <c r="C830" s="19" t="str">
        <f t="shared" si="24"/>
        <v>EMPTY</v>
      </c>
      <c r="D830" s="3" t="str">
        <f>IF(C830="SHOW",CONCATENATE(Temp!G826,Temp!H826,",",Temp!I826,",",Temp!J826,Temp!K826),"")</f>
        <v/>
      </c>
      <c r="E830" s="7"/>
      <c r="F830" s="8" t="str">
        <f t="shared" si="25"/>
        <v/>
      </c>
    </row>
    <row r="831" spans="1:6" x14ac:dyDescent="0.25">
      <c r="A831" s="13" t="str">
        <f>IF(AND($E831="",MAX($A$8:$A830)=0),"",IF(AND($E831&lt;&gt;"",MAX($A$8:$A830)=0),1,IF(AND($E831&lt;&gt;"",MAX($A$8:$A830)&gt;0),MAX($A$8:$A830)+1,"")))</f>
        <v/>
      </c>
      <c r="B831" s="11">
        <v>824</v>
      </c>
      <c r="C831" s="19" t="str">
        <f t="shared" si="24"/>
        <v>EMPTY</v>
      </c>
      <c r="D831" s="3" t="str">
        <f>IF(C831="SHOW",CONCATENATE(Temp!G827,Temp!H827,",",Temp!I827,",",Temp!J827,Temp!K827),"")</f>
        <v/>
      </c>
      <c r="E831" s="7"/>
      <c r="F831" s="8" t="str">
        <f t="shared" si="25"/>
        <v/>
      </c>
    </row>
    <row r="832" spans="1:6" x14ac:dyDescent="0.25">
      <c r="A832" s="13" t="str">
        <f>IF(AND($E832="",MAX($A$8:$A831)=0),"",IF(AND($E832&lt;&gt;"",MAX($A$8:$A831)=0),1,IF(AND($E832&lt;&gt;"",MAX($A$8:$A831)&gt;0),MAX($A$8:$A831)+1,"")))</f>
        <v/>
      </c>
      <c r="B832" s="11">
        <v>825</v>
      </c>
      <c r="C832" s="19" t="str">
        <f t="shared" si="24"/>
        <v>EMPTY</v>
      </c>
      <c r="D832" s="3" t="str">
        <f>IF(C832="SHOW",CONCATENATE(Temp!G828,Temp!H828,",",Temp!I828,",",Temp!J828,Temp!K828),"")</f>
        <v/>
      </c>
      <c r="E832" s="7"/>
      <c r="F832" s="8" t="str">
        <f t="shared" si="25"/>
        <v/>
      </c>
    </row>
    <row r="833" spans="1:6" x14ac:dyDescent="0.25">
      <c r="A833" s="13" t="str">
        <f>IF(AND($E833="",MAX($A$8:$A832)=0),"",IF(AND($E833&lt;&gt;"",MAX($A$8:$A832)=0),1,IF(AND($E833&lt;&gt;"",MAX($A$8:$A832)&gt;0),MAX($A$8:$A832)+1,"")))</f>
        <v/>
      </c>
      <c r="B833" s="11">
        <v>826</v>
      </c>
      <c r="C833" s="19" t="str">
        <f t="shared" si="24"/>
        <v>EMPTY</v>
      </c>
      <c r="D833" s="3" t="str">
        <f>IF(C833="SHOW",CONCATENATE(Temp!G829,Temp!H829,",",Temp!I829,",",Temp!J829,Temp!K829),"")</f>
        <v/>
      </c>
      <c r="E833" s="7"/>
      <c r="F833" s="8" t="str">
        <f t="shared" si="25"/>
        <v/>
      </c>
    </row>
    <row r="834" spans="1:6" x14ac:dyDescent="0.25">
      <c r="A834" s="13" t="str">
        <f>IF(AND($E834="",MAX($A$8:$A833)=0),"",IF(AND($E834&lt;&gt;"",MAX($A$8:$A833)=0),1,IF(AND($E834&lt;&gt;"",MAX($A$8:$A833)&gt;0),MAX($A$8:$A833)+1,"")))</f>
        <v/>
      </c>
      <c r="B834" s="11">
        <v>827</v>
      </c>
      <c r="C834" s="19" t="str">
        <f t="shared" si="24"/>
        <v>EMPTY</v>
      </c>
      <c r="D834" s="3" t="str">
        <f>IF(C834="SHOW",CONCATENATE(Temp!G830,Temp!H830,",",Temp!I830,",",Temp!J830,Temp!K830),"")</f>
        <v/>
      </c>
      <c r="E834" s="7"/>
      <c r="F834" s="8" t="str">
        <f t="shared" si="25"/>
        <v/>
      </c>
    </row>
    <row r="835" spans="1:6" x14ac:dyDescent="0.25">
      <c r="A835" s="13" t="str">
        <f>IF(AND($E835="",MAX($A$8:$A834)=0),"",IF(AND($E835&lt;&gt;"",MAX($A$8:$A834)=0),1,IF(AND($E835&lt;&gt;"",MAX($A$8:$A834)&gt;0),MAX($A$8:$A834)+1,"")))</f>
        <v/>
      </c>
      <c r="B835" s="11">
        <v>828</v>
      </c>
      <c r="C835" s="19" t="str">
        <f t="shared" si="24"/>
        <v>EMPTY</v>
      </c>
      <c r="D835" s="3" t="str">
        <f>IF(C835="SHOW",CONCATENATE(Temp!G831,Temp!H831,",",Temp!I831,",",Temp!J831,Temp!K831),"")</f>
        <v/>
      </c>
      <c r="E835" s="7"/>
      <c r="F835" s="8" t="str">
        <f t="shared" si="25"/>
        <v/>
      </c>
    </row>
    <row r="836" spans="1:6" x14ac:dyDescent="0.25">
      <c r="A836" s="13" t="str">
        <f>IF(AND($E836="",MAX($A$8:$A835)=0),"",IF(AND($E836&lt;&gt;"",MAX($A$8:$A835)=0),1,IF(AND($E836&lt;&gt;"",MAX($A$8:$A835)&gt;0),MAX($A$8:$A835)+1,"")))</f>
        <v/>
      </c>
      <c r="B836" s="11">
        <v>829</v>
      </c>
      <c r="C836" s="19" t="str">
        <f t="shared" si="24"/>
        <v>EMPTY</v>
      </c>
      <c r="D836" s="3" t="str">
        <f>IF(C836="SHOW",CONCATENATE(Temp!G832,Temp!H832,",",Temp!I832,",",Temp!J832,Temp!K832),"")</f>
        <v/>
      </c>
      <c r="E836" s="7"/>
      <c r="F836" s="8" t="str">
        <f t="shared" si="25"/>
        <v/>
      </c>
    </row>
    <row r="837" spans="1:6" x14ac:dyDescent="0.25">
      <c r="A837" s="13" t="str">
        <f>IF(AND($E837="",MAX($A$8:$A836)=0),"",IF(AND($E837&lt;&gt;"",MAX($A$8:$A836)=0),1,IF(AND($E837&lt;&gt;"",MAX($A$8:$A836)&gt;0),MAX($A$8:$A836)+1,"")))</f>
        <v/>
      </c>
      <c r="B837" s="11">
        <v>830</v>
      </c>
      <c r="C837" s="19" t="str">
        <f t="shared" si="24"/>
        <v>EMPTY</v>
      </c>
      <c r="D837" s="3" t="str">
        <f>IF(C837="SHOW",CONCATENATE(Temp!G833,Temp!H833,",",Temp!I833,",",Temp!J833,Temp!K833),"")</f>
        <v/>
      </c>
      <c r="E837" s="7"/>
      <c r="F837" s="8" t="str">
        <f t="shared" si="25"/>
        <v/>
      </c>
    </row>
    <row r="838" spans="1:6" x14ac:dyDescent="0.25">
      <c r="A838" s="13" t="str">
        <f>IF(AND($E838="",MAX($A$8:$A837)=0),"",IF(AND($E838&lt;&gt;"",MAX($A$8:$A837)=0),1,IF(AND($E838&lt;&gt;"",MAX($A$8:$A837)&gt;0),MAX($A$8:$A837)+1,"")))</f>
        <v/>
      </c>
      <c r="B838" s="11">
        <v>831</v>
      </c>
      <c r="C838" s="19" t="str">
        <f t="shared" si="24"/>
        <v>EMPTY</v>
      </c>
      <c r="D838" s="3" t="str">
        <f>IF(C838="SHOW",CONCATENATE(Temp!G834,Temp!H834,",",Temp!I834,",",Temp!J834,Temp!K834),"")</f>
        <v/>
      </c>
      <c r="E838" s="7"/>
      <c r="F838" s="8" t="str">
        <f t="shared" si="25"/>
        <v/>
      </c>
    </row>
    <row r="839" spans="1:6" x14ac:dyDescent="0.25">
      <c r="A839" s="13" t="str">
        <f>IF(AND($E839="",MAX($A$8:$A838)=0),"",IF(AND($E839&lt;&gt;"",MAX($A$8:$A838)=0),1,IF(AND($E839&lt;&gt;"",MAX($A$8:$A838)&gt;0),MAX($A$8:$A838)+1,"")))</f>
        <v/>
      </c>
      <c r="B839" s="11">
        <v>832</v>
      </c>
      <c r="C839" s="19" t="str">
        <f t="shared" si="24"/>
        <v>EMPTY</v>
      </c>
      <c r="D839" s="3" t="str">
        <f>IF(C839="SHOW",CONCATENATE(Temp!G835,Temp!H835,",",Temp!I835,",",Temp!J835,Temp!K835),"")</f>
        <v/>
      </c>
      <c r="E839" s="7"/>
      <c r="F839" s="8" t="str">
        <f t="shared" si="25"/>
        <v/>
      </c>
    </row>
    <row r="840" spans="1:6" x14ac:dyDescent="0.25">
      <c r="A840" s="13" t="str">
        <f>IF(AND($E840="",MAX($A$8:$A839)=0),"",IF(AND($E840&lt;&gt;"",MAX($A$8:$A839)=0),1,IF(AND($E840&lt;&gt;"",MAX($A$8:$A839)&gt;0),MAX($A$8:$A839)+1,"")))</f>
        <v/>
      </c>
      <c r="B840" s="11">
        <v>833</v>
      </c>
      <c r="C840" s="19" t="str">
        <f t="shared" si="24"/>
        <v>EMPTY</v>
      </c>
      <c r="D840" s="3" t="str">
        <f>IF(C840="SHOW",CONCATENATE(Temp!G836,Temp!H836,",",Temp!I836,",",Temp!J836,Temp!K836),"")</f>
        <v/>
      </c>
      <c r="E840" s="7"/>
      <c r="F840" s="8" t="str">
        <f t="shared" si="25"/>
        <v/>
      </c>
    </row>
    <row r="841" spans="1:6" x14ac:dyDescent="0.25">
      <c r="A841" s="13" t="str">
        <f>IF(AND($E841="",MAX($A$8:$A840)=0),"",IF(AND($E841&lt;&gt;"",MAX($A$8:$A840)=0),1,IF(AND($E841&lt;&gt;"",MAX($A$8:$A840)&gt;0),MAX($A$8:$A840)+1,"")))</f>
        <v/>
      </c>
      <c r="B841" s="11">
        <v>834</v>
      </c>
      <c r="C841" s="19" t="str">
        <f t="shared" ref="C841:C904" si="26">IF(E841="","EMPTY",IF(MID(E841,1,9)&lt;&gt;"Dialogue:","HIDE",IF(MID(E841,1,9)="Dialogue:","SHOW","")))</f>
        <v>EMPTY</v>
      </c>
      <c r="D841" s="3" t="str">
        <f>IF(C841="SHOW",CONCATENATE(Temp!G837,Temp!H837,",",Temp!I837,",",Temp!J837,Temp!K837),"")</f>
        <v/>
      </c>
      <c r="E841" s="7"/>
      <c r="F841" s="8" t="str">
        <f t="shared" ref="F841:F904" si="27">$D841</f>
        <v/>
      </c>
    </row>
    <row r="842" spans="1:6" x14ac:dyDescent="0.25">
      <c r="A842" s="13" t="str">
        <f>IF(AND($E842="",MAX($A$8:$A841)=0),"",IF(AND($E842&lt;&gt;"",MAX($A$8:$A841)=0),1,IF(AND($E842&lt;&gt;"",MAX($A$8:$A841)&gt;0),MAX($A$8:$A841)+1,"")))</f>
        <v/>
      </c>
      <c r="B842" s="11">
        <v>835</v>
      </c>
      <c r="C842" s="19" t="str">
        <f t="shared" si="26"/>
        <v>EMPTY</v>
      </c>
      <c r="D842" s="3" t="str">
        <f>IF(C842="SHOW",CONCATENATE(Temp!G838,Temp!H838,",",Temp!I838,",",Temp!J838,Temp!K838),"")</f>
        <v/>
      </c>
      <c r="E842" s="7"/>
      <c r="F842" s="8" t="str">
        <f t="shared" si="27"/>
        <v/>
      </c>
    </row>
    <row r="843" spans="1:6" x14ac:dyDescent="0.25">
      <c r="A843" s="13" t="str">
        <f>IF(AND($E843="",MAX($A$8:$A842)=0),"",IF(AND($E843&lt;&gt;"",MAX($A$8:$A842)=0),1,IF(AND($E843&lt;&gt;"",MAX($A$8:$A842)&gt;0),MAX($A$8:$A842)+1,"")))</f>
        <v/>
      </c>
      <c r="B843" s="11">
        <v>836</v>
      </c>
      <c r="C843" s="19" t="str">
        <f t="shared" si="26"/>
        <v>EMPTY</v>
      </c>
      <c r="D843" s="3" t="str">
        <f>IF(C843="SHOW",CONCATENATE(Temp!G839,Temp!H839,",",Temp!I839,",",Temp!J839,Temp!K839),"")</f>
        <v/>
      </c>
      <c r="E843" s="7"/>
      <c r="F843" s="8" t="str">
        <f t="shared" si="27"/>
        <v/>
      </c>
    </row>
    <row r="844" spans="1:6" x14ac:dyDescent="0.25">
      <c r="A844" s="13" t="str">
        <f>IF(AND($E844="",MAX($A$8:$A843)=0),"",IF(AND($E844&lt;&gt;"",MAX($A$8:$A843)=0),1,IF(AND($E844&lt;&gt;"",MAX($A$8:$A843)&gt;0),MAX($A$8:$A843)+1,"")))</f>
        <v/>
      </c>
      <c r="B844" s="11">
        <v>837</v>
      </c>
      <c r="C844" s="19" t="str">
        <f t="shared" si="26"/>
        <v>EMPTY</v>
      </c>
      <c r="D844" s="3" t="str">
        <f>IF(C844="SHOW",CONCATENATE(Temp!G840,Temp!H840,",",Temp!I840,",",Temp!J840,Temp!K840),"")</f>
        <v/>
      </c>
      <c r="E844" s="7"/>
      <c r="F844" s="8" t="str">
        <f t="shared" si="27"/>
        <v/>
      </c>
    </row>
    <row r="845" spans="1:6" x14ac:dyDescent="0.25">
      <c r="A845" s="13" t="str">
        <f>IF(AND($E845="",MAX($A$8:$A844)=0),"",IF(AND($E845&lt;&gt;"",MAX($A$8:$A844)=0),1,IF(AND($E845&lt;&gt;"",MAX($A$8:$A844)&gt;0),MAX($A$8:$A844)+1,"")))</f>
        <v/>
      </c>
      <c r="B845" s="11">
        <v>838</v>
      </c>
      <c r="C845" s="19" t="str">
        <f t="shared" si="26"/>
        <v>EMPTY</v>
      </c>
      <c r="D845" s="3" t="str">
        <f>IF(C845="SHOW",CONCATENATE(Temp!G841,Temp!H841,",",Temp!I841,",",Temp!J841,Temp!K841),"")</f>
        <v/>
      </c>
      <c r="E845" s="7"/>
      <c r="F845" s="8" t="str">
        <f t="shared" si="27"/>
        <v/>
      </c>
    </row>
    <row r="846" spans="1:6" x14ac:dyDescent="0.25">
      <c r="A846" s="13" t="str">
        <f>IF(AND($E846="",MAX($A$8:$A845)=0),"",IF(AND($E846&lt;&gt;"",MAX($A$8:$A845)=0),1,IF(AND($E846&lt;&gt;"",MAX($A$8:$A845)&gt;0),MAX($A$8:$A845)+1,"")))</f>
        <v/>
      </c>
      <c r="B846" s="11">
        <v>839</v>
      </c>
      <c r="C846" s="19" t="str">
        <f t="shared" si="26"/>
        <v>EMPTY</v>
      </c>
      <c r="D846" s="3" t="str">
        <f>IF(C846="SHOW",CONCATENATE(Temp!G842,Temp!H842,",",Temp!I842,",",Temp!J842,Temp!K842),"")</f>
        <v/>
      </c>
      <c r="E846" s="7"/>
      <c r="F846" s="8" t="str">
        <f t="shared" si="27"/>
        <v/>
      </c>
    </row>
    <row r="847" spans="1:6" x14ac:dyDescent="0.25">
      <c r="A847" s="13" t="str">
        <f>IF(AND($E847="",MAX($A$8:$A846)=0),"",IF(AND($E847&lt;&gt;"",MAX($A$8:$A846)=0),1,IF(AND($E847&lt;&gt;"",MAX($A$8:$A846)&gt;0),MAX($A$8:$A846)+1,"")))</f>
        <v/>
      </c>
      <c r="B847" s="11">
        <v>840</v>
      </c>
      <c r="C847" s="19" t="str">
        <f t="shared" si="26"/>
        <v>EMPTY</v>
      </c>
      <c r="D847" s="3" t="str">
        <f>IF(C847="SHOW",CONCATENATE(Temp!G843,Temp!H843,",",Temp!I843,",",Temp!J843,Temp!K843),"")</f>
        <v/>
      </c>
      <c r="E847" s="7"/>
      <c r="F847" s="8" t="str">
        <f t="shared" si="27"/>
        <v/>
      </c>
    </row>
    <row r="848" spans="1:6" x14ac:dyDescent="0.25">
      <c r="A848" s="13" t="str">
        <f>IF(AND($E848="",MAX($A$8:$A847)=0),"",IF(AND($E848&lt;&gt;"",MAX($A$8:$A847)=0),1,IF(AND($E848&lt;&gt;"",MAX($A$8:$A847)&gt;0),MAX($A$8:$A847)+1,"")))</f>
        <v/>
      </c>
      <c r="B848" s="11">
        <v>841</v>
      </c>
      <c r="C848" s="19" t="str">
        <f t="shared" si="26"/>
        <v>EMPTY</v>
      </c>
      <c r="D848" s="3" t="str">
        <f>IF(C848="SHOW",CONCATENATE(Temp!G844,Temp!H844,",",Temp!I844,",",Temp!J844,Temp!K844),"")</f>
        <v/>
      </c>
      <c r="E848" s="7"/>
      <c r="F848" s="8" t="str">
        <f t="shared" si="27"/>
        <v/>
      </c>
    </row>
    <row r="849" spans="1:6" x14ac:dyDescent="0.25">
      <c r="A849" s="13" t="str">
        <f>IF(AND($E849="",MAX($A$8:$A848)=0),"",IF(AND($E849&lt;&gt;"",MAX($A$8:$A848)=0),1,IF(AND($E849&lt;&gt;"",MAX($A$8:$A848)&gt;0),MAX($A$8:$A848)+1,"")))</f>
        <v/>
      </c>
      <c r="B849" s="11">
        <v>842</v>
      </c>
      <c r="C849" s="19" t="str">
        <f t="shared" si="26"/>
        <v>EMPTY</v>
      </c>
      <c r="D849" s="3" t="str">
        <f>IF(C849="SHOW",CONCATENATE(Temp!G845,Temp!H845,",",Temp!I845,",",Temp!J845,Temp!K845),"")</f>
        <v/>
      </c>
      <c r="E849" s="7"/>
      <c r="F849" s="8" t="str">
        <f t="shared" si="27"/>
        <v/>
      </c>
    </row>
    <row r="850" spans="1:6" x14ac:dyDescent="0.25">
      <c r="A850" s="13" t="str">
        <f>IF(AND($E850="",MAX($A$8:$A849)=0),"",IF(AND($E850&lt;&gt;"",MAX($A$8:$A849)=0),1,IF(AND($E850&lt;&gt;"",MAX($A$8:$A849)&gt;0),MAX($A$8:$A849)+1,"")))</f>
        <v/>
      </c>
      <c r="B850" s="11">
        <v>843</v>
      </c>
      <c r="C850" s="19" t="str">
        <f t="shared" si="26"/>
        <v>EMPTY</v>
      </c>
      <c r="D850" s="3" t="str">
        <f>IF(C850="SHOW",CONCATENATE(Temp!G846,Temp!H846,",",Temp!I846,",",Temp!J846,Temp!K846),"")</f>
        <v/>
      </c>
      <c r="E850" s="7"/>
      <c r="F850" s="8" t="str">
        <f t="shared" si="27"/>
        <v/>
      </c>
    </row>
    <row r="851" spans="1:6" x14ac:dyDescent="0.25">
      <c r="A851" s="13" t="str">
        <f>IF(AND($E851="",MAX($A$8:$A850)=0),"",IF(AND($E851&lt;&gt;"",MAX($A$8:$A850)=0),1,IF(AND($E851&lt;&gt;"",MAX($A$8:$A850)&gt;0),MAX($A$8:$A850)+1,"")))</f>
        <v/>
      </c>
      <c r="B851" s="11">
        <v>844</v>
      </c>
      <c r="C851" s="19" t="str">
        <f t="shared" si="26"/>
        <v>EMPTY</v>
      </c>
      <c r="D851" s="3" t="str">
        <f>IF(C851="SHOW",CONCATENATE(Temp!G847,Temp!H847,",",Temp!I847,",",Temp!J847,Temp!K847),"")</f>
        <v/>
      </c>
      <c r="E851" s="7"/>
      <c r="F851" s="8" t="str">
        <f t="shared" si="27"/>
        <v/>
      </c>
    </row>
    <row r="852" spans="1:6" x14ac:dyDescent="0.25">
      <c r="A852" s="13" t="str">
        <f>IF(AND($E852="",MAX($A$8:$A851)=0),"",IF(AND($E852&lt;&gt;"",MAX($A$8:$A851)=0),1,IF(AND($E852&lt;&gt;"",MAX($A$8:$A851)&gt;0),MAX($A$8:$A851)+1,"")))</f>
        <v/>
      </c>
      <c r="B852" s="11">
        <v>845</v>
      </c>
      <c r="C852" s="19" t="str">
        <f t="shared" si="26"/>
        <v>EMPTY</v>
      </c>
      <c r="D852" s="3" t="str">
        <f>IF(C852="SHOW",CONCATENATE(Temp!G848,Temp!H848,",",Temp!I848,",",Temp!J848,Temp!K848),"")</f>
        <v/>
      </c>
      <c r="E852" s="7"/>
      <c r="F852" s="8" t="str">
        <f t="shared" si="27"/>
        <v/>
      </c>
    </row>
    <row r="853" spans="1:6" x14ac:dyDescent="0.25">
      <c r="A853" s="13" t="str">
        <f>IF(AND($E853="",MAX($A$8:$A852)=0),"",IF(AND($E853&lt;&gt;"",MAX($A$8:$A852)=0),1,IF(AND($E853&lt;&gt;"",MAX($A$8:$A852)&gt;0),MAX($A$8:$A852)+1,"")))</f>
        <v/>
      </c>
      <c r="B853" s="11">
        <v>846</v>
      </c>
      <c r="C853" s="19" t="str">
        <f t="shared" si="26"/>
        <v>EMPTY</v>
      </c>
      <c r="D853" s="3" t="str">
        <f>IF(C853="SHOW",CONCATENATE(Temp!G849,Temp!H849,",",Temp!I849,",",Temp!J849,Temp!K849),"")</f>
        <v/>
      </c>
      <c r="E853" s="7"/>
      <c r="F853" s="8" t="str">
        <f t="shared" si="27"/>
        <v/>
      </c>
    </row>
    <row r="854" spans="1:6" x14ac:dyDescent="0.25">
      <c r="A854" s="13" t="str">
        <f>IF(AND($E854="",MAX($A$8:$A853)=0),"",IF(AND($E854&lt;&gt;"",MAX($A$8:$A853)=0),1,IF(AND($E854&lt;&gt;"",MAX($A$8:$A853)&gt;0),MAX($A$8:$A853)+1,"")))</f>
        <v/>
      </c>
      <c r="B854" s="11">
        <v>847</v>
      </c>
      <c r="C854" s="19" t="str">
        <f t="shared" si="26"/>
        <v>EMPTY</v>
      </c>
      <c r="D854" s="3" t="str">
        <f>IF(C854="SHOW",CONCATENATE(Temp!G850,Temp!H850,",",Temp!I850,",",Temp!J850,Temp!K850),"")</f>
        <v/>
      </c>
      <c r="E854" s="7"/>
      <c r="F854" s="8" t="str">
        <f t="shared" si="27"/>
        <v/>
      </c>
    </row>
    <row r="855" spans="1:6" x14ac:dyDescent="0.25">
      <c r="A855" s="13" t="str">
        <f>IF(AND($E855="",MAX($A$8:$A854)=0),"",IF(AND($E855&lt;&gt;"",MAX($A$8:$A854)=0),1,IF(AND($E855&lt;&gt;"",MAX($A$8:$A854)&gt;0),MAX($A$8:$A854)+1,"")))</f>
        <v/>
      </c>
      <c r="B855" s="11">
        <v>848</v>
      </c>
      <c r="C855" s="19" t="str">
        <f t="shared" si="26"/>
        <v>EMPTY</v>
      </c>
      <c r="D855" s="3" t="str">
        <f>IF(C855="SHOW",CONCATENATE(Temp!G851,Temp!H851,",",Temp!I851,",",Temp!J851,Temp!K851),"")</f>
        <v/>
      </c>
      <c r="E855" s="7"/>
      <c r="F855" s="8" t="str">
        <f t="shared" si="27"/>
        <v/>
      </c>
    </row>
    <row r="856" spans="1:6" x14ac:dyDescent="0.25">
      <c r="A856" s="13" t="str">
        <f>IF(AND($E856="",MAX($A$8:$A855)=0),"",IF(AND($E856&lt;&gt;"",MAX($A$8:$A855)=0),1,IF(AND($E856&lt;&gt;"",MAX($A$8:$A855)&gt;0),MAX($A$8:$A855)+1,"")))</f>
        <v/>
      </c>
      <c r="B856" s="11">
        <v>849</v>
      </c>
      <c r="C856" s="19" t="str">
        <f t="shared" si="26"/>
        <v>EMPTY</v>
      </c>
      <c r="D856" s="3" t="str">
        <f>IF(C856="SHOW",CONCATENATE(Temp!G852,Temp!H852,",",Temp!I852,",",Temp!J852,Temp!K852),"")</f>
        <v/>
      </c>
      <c r="E856" s="7"/>
      <c r="F856" s="8" t="str">
        <f t="shared" si="27"/>
        <v/>
      </c>
    </row>
    <row r="857" spans="1:6" x14ac:dyDescent="0.25">
      <c r="A857" s="13" t="str">
        <f>IF(AND($E857="",MAX($A$8:$A856)=0),"",IF(AND($E857&lt;&gt;"",MAX($A$8:$A856)=0),1,IF(AND($E857&lt;&gt;"",MAX($A$8:$A856)&gt;0),MAX($A$8:$A856)+1,"")))</f>
        <v/>
      </c>
      <c r="B857" s="11">
        <v>850</v>
      </c>
      <c r="C857" s="19" t="str">
        <f t="shared" si="26"/>
        <v>EMPTY</v>
      </c>
      <c r="D857" s="3" t="str">
        <f>IF(C857="SHOW",CONCATENATE(Temp!G853,Temp!H853,",",Temp!I853,",",Temp!J853,Temp!K853),"")</f>
        <v/>
      </c>
      <c r="E857" s="7"/>
      <c r="F857" s="8" t="str">
        <f t="shared" si="27"/>
        <v/>
      </c>
    </row>
    <row r="858" spans="1:6" x14ac:dyDescent="0.25">
      <c r="A858" s="13" t="str">
        <f>IF(AND($E858="",MAX($A$8:$A857)=0),"",IF(AND($E858&lt;&gt;"",MAX($A$8:$A857)=0),1,IF(AND($E858&lt;&gt;"",MAX($A$8:$A857)&gt;0),MAX($A$8:$A857)+1,"")))</f>
        <v/>
      </c>
      <c r="B858" s="11">
        <v>851</v>
      </c>
      <c r="C858" s="19" t="str">
        <f t="shared" si="26"/>
        <v>EMPTY</v>
      </c>
      <c r="D858" s="3" t="str">
        <f>IF(C858="SHOW",CONCATENATE(Temp!G854,Temp!H854,",",Temp!I854,",",Temp!J854,Temp!K854),"")</f>
        <v/>
      </c>
      <c r="E858" s="7"/>
      <c r="F858" s="8" t="str">
        <f t="shared" si="27"/>
        <v/>
      </c>
    </row>
    <row r="859" spans="1:6" x14ac:dyDescent="0.25">
      <c r="A859" s="13" t="str">
        <f>IF(AND($E859="",MAX($A$8:$A858)=0),"",IF(AND($E859&lt;&gt;"",MAX($A$8:$A858)=0),1,IF(AND($E859&lt;&gt;"",MAX($A$8:$A858)&gt;0),MAX($A$8:$A858)+1,"")))</f>
        <v/>
      </c>
      <c r="B859" s="11">
        <v>852</v>
      </c>
      <c r="C859" s="19" t="str">
        <f t="shared" si="26"/>
        <v>EMPTY</v>
      </c>
      <c r="D859" s="3" t="str">
        <f>IF(C859="SHOW",CONCATENATE(Temp!G855,Temp!H855,",",Temp!I855,",",Temp!J855,Temp!K855),"")</f>
        <v/>
      </c>
      <c r="E859" s="7"/>
      <c r="F859" s="8" t="str">
        <f t="shared" si="27"/>
        <v/>
      </c>
    </row>
    <row r="860" spans="1:6" x14ac:dyDescent="0.25">
      <c r="A860" s="13" t="str">
        <f>IF(AND($E860="",MAX($A$8:$A859)=0),"",IF(AND($E860&lt;&gt;"",MAX($A$8:$A859)=0),1,IF(AND($E860&lt;&gt;"",MAX($A$8:$A859)&gt;0),MAX($A$8:$A859)+1,"")))</f>
        <v/>
      </c>
      <c r="B860" s="11">
        <v>853</v>
      </c>
      <c r="C860" s="19" t="str">
        <f t="shared" si="26"/>
        <v>EMPTY</v>
      </c>
      <c r="D860" s="3" t="str">
        <f>IF(C860="SHOW",CONCATENATE(Temp!G856,Temp!H856,",",Temp!I856,",",Temp!J856,Temp!K856),"")</f>
        <v/>
      </c>
      <c r="E860" s="7"/>
      <c r="F860" s="8" t="str">
        <f t="shared" si="27"/>
        <v/>
      </c>
    </row>
    <row r="861" spans="1:6" x14ac:dyDescent="0.25">
      <c r="A861" s="13" t="str">
        <f>IF(AND($E861="",MAX($A$8:$A860)=0),"",IF(AND($E861&lt;&gt;"",MAX($A$8:$A860)=0),1,IF(AND($E861&lt;&gt;"",MAX($A$8:$A860)&gt;0),MAX($A$8:$A860)+1,"")))</f>
        <v/>
      </c>
      <c r="B861" s="11">
        <v>854</v>
      </c>
      <c r="C861" s="19" t="str">
        <f t="shared" si="26"/>
        <v>EMPTY</v>
      </c>
      <c r="D861" s="3" t="str">
        <f>IF(C861="SHOW",CONCATENATE(Temp!G857,Temp!H857,",",Temp!I857,",",Temp!J857,Temp!K857),"")</f>
        <v/>
      </c>
      <c r="E861" s="7"/>
      <c r="F861" s="8" t="str">
        <f t="shared" si="27"/>
        <v/>
      </c>
    </row>
    <row r="862" spans="1:6" x14ac:dyDescent="0.25">
      <c r="A862" s="13" t="str">
        <f>IF(AND($E862="",MAX($A$8:$A861)=0),"",IF(AND($E862&lt;&gt;"",MAX($A$8:$A861)=0),1,IF(AND($E862&lt;&gt;"",MAX($A$8:$A861)&gt;0),MAX($A$8:$A861)+1,"")))</f>
        <v/>
      </c>
      <c r="B862" s="11">
        <v>855</v>
      </c>
      <c r="C862" s="19" t="str">
        <f t="shared" si="26"/>
        <v>EMPTY</v>
      </c>
      <c r="D862" s="3" t="str">
        <f>IF(C862="SHOW",CONCATENATE(Temp!G858,Temp!H858,",",Temp!I858,",",Temp!J858,Temp!K858),"")</f>
        <v/>
      </c>
      <c r="E862" s="7"/>
      <c r="F862" s="8" t="str">
        <f t="shared" si="27"/>
        <v/>
      </c>
    </row>
    <row r="863" spans="1:6" x14ac:dyDescent="0.25">
      <c r="A863" s="13" t="str">
        <f>IF(AND($E863="",MAX($A$8:$A862)=0),"",IF(AND($E863&lt;&gt;"",MAX($A$8:$A862)=0),1,IF(AND($E863&lt;&gt;"",MAX($A$8:$A862)&gt;0),MAX($A$8:$A862)+1,"")))</f>
        <v/>
      </c>
      <c r="B863" s="11">
        <v>856</v>
      </c>
      <c r="C863" s="19" t="str">
        <f t="shared" si="26"/>
        <v>EMPTY</v>
      </c>
      <c r="D863" s="3" t="str">
        <f>IF(C863="SHOW",CONCATENATE(Temp!G859,Temp!H859,",",Temp!I859,",",Temp!J859,Temp!K859),"")</f>
        <v/>
      </c>
      <c r="E863" s="7"/>
      <c r="F863" s="8" t="str">
        <f t="shared" si="27"/>
        <v/>
      </c>
    </row>
    <row r="864" spans="1:6" x14ac:dyDescent="0.25">
      <c r="A864" s="13" t="str">
        <f>IF(AND($E864="",MAX($A$8:$A863)=0),"",IF(AND($E864&lt;&gt;"",MAX($A$8:$A863)=0),1,IF(AND($E864&lt;&gt;"",MAX($A$8:$A863)&gt;0),MAX($A$8:$A863)+1,"")))</f>
        <v/>
      </c>
      <c r="B864" s="11">
        <v>857</v>
      </c>
      <c r="C864" s="19" t="str">
        <f t="shared" si="26"/>
        <v>EMPTY</v>
      </c>
      <c r="D864" s="3" t="str">
        <f>IF(C864="SHOW",CONCATENATE(Temp!G860,Temp!H860,",",Temp!I860,",",Temp!J860,Temp!K860),"")</f>
        <v/>
      </c>
      <c r="E864" s="7"/>
      <c r="F864" s="8" t="str">
        <f t="shared" si="27"/>
        <v/>
      </c>
    </row>
    <row r="865" spans="1:6" x14ac:dyDescent="0.25">
      <c r="A865" s="13" t="str">
        <f>IF(AND($E865="",MAX($A$8:$A864)=0),"",IF(AND($E865&lt;&gt;"",MAX($A$8:$A864)=0),1,IF(AND($E865&lt;&gt;"",MAX($A$8:$A864)&gt;0),MAX($A$8:$A864)+1,"")))</f>
        <v/>
      </c>
      <c r="B865" s="11">
        <v>858</v>
      </c>
      <c r="C865" s="19" t="str">
        <f t="shared" si="26"/>
        <v>EMPTY</v>
      </c>
      <c r="D865" s="3" t="str">
        <f>IF(C865="SHOW",CONCATENATE(Temp!G861,Temp!H861,",",Temp!I861,",",Temp!J861,Temp!K861),"")</f>
        <v/>
      </c>
      <c r="E865" s="7"/>
      <c r="F865" s="8" t="str">
        <f t="shared" si="27"/>
        <v/>
      </c>
    </row>
    <row r="866" spans="1:6" x14ac:dyDescent="0.25">
      <c r="A866" s="13" t="str">
        <f>IF(AND($E866="",MAX($A$8:$A865)=0),"",IF(AND($E866&lt;&gt;"",MAX($A$8:$A865)=0),1,IF(AND($E866&lt;&gt;"",MAX($A$8:$A865)&gt;0),MAX($A$8:$A865)+1,"")))</f>
        <v/>
      </c>
      <c r="B866" s="11">
        <v>859</v>
      </c>
      <c r="C866" s="19" t="str">
        <f t="shared" si="26"/>
        <v>EMPTY</v>
      </c>
      <c r="D866" s="3" t="str">
        <f>IF(C866="SHOW",CONCATENATE(Temp!G862,Temp!H862,",",Temp!I862,",",Temp!J862,Temp!K862),"")</f>
        <v/>
      </c>
      <c r="E866" s="7"/>
      <c r="F866" s="8" t="str">
        <f t="shared" si="27"/>
        <v/>
      </c>
    </row>
    <row r="867" spans="1:6" x14ac:dyDescent="0.25">
      <c r="A867" s="13" t="str">
        <f>IF(AND($E867="",MAX($A$8:$A866)=0),"",IF(AND($E867&lt;&gt;"",MAX($A$8:$A866)=0),1,IF(AND($E867&lt;&gt;"",MAX($A$8:$A866)&gt;0),MAX($A$8:$A866)+1,"")))</f>
        <v/>
      </c>
      <c r="B867" s="11">
        <v>860</v>
      </c>
      <c r="C867" s="19" t="str">
        <f t="shared" si="26"/>
        <v>EMPTY</v>
      </c>
      <c r="D867" s="3" t="str">
        <f>IF(C867="SHOW",CONCATENATE(Temp!G863,Temp!H863,",",Temp!I863,",",Temp!J863,Temp!K863),"")</f>
        <v/>
      </c>
      <c r="E867" s="7"/>
      <c r="F867" s="8" t="str">
        <f t="shared" si="27"/>
        <v/>
      </c>
    </row>
    <row r="868" spans="1:6" x14ac:dyDescent="0.25">
      <c r="A868" s="13" t="str">
        <f>IF(AND($E868="",MAX($A$8:$A867)=0),"",IF(AND($E868&lt;&gt;"",MAX($A$8:$A867)=0),1,IF(AND($E868&lt;&gt;"",MAX($A$8:$A867)&gt;0),MAX($A$8:$A867)+1,"")))</f>
        <v/>
      </c>
      <c r="B868" s="11">
        <v>861</v>
      </c>
      <c r="C868" s="19" t="str">
        <f t="shared" si="26"/>
        <v>EMPTY</v>
      </c>
      <c r="D868" s="3" t="str">
        <f>IF(C868="SHOW",CONCATENATE(Temp!G864,Temp!H864,",",Temp!I864,",",Temp!J864,Temp!K864),"")</f>
        <v/>
      </c>
      <c r="E868" s="7"/>
      <c r="F868" s="8" t="str">
        <f t="shared" si="27"/>
        <v/>
      </c>
    </row>
    <row r="869" spans="1:6" x14ac:dyDescent="0.25">
      <c r="A869" s="13" t="str">
        <f>IF(AND($E869="",MAX($A$8:$A868)=0),"",IF(AND($E869&lt;&gt;"",MAX($A$8:$A868)=0),1,IF(AND($E869&lt;&gt;"",MAX($A$8:$A868)&gt;0),MAX($A$8:$A868)+1,"")))</f>
        <v/>
      </c>
      <c r="B869" s="11">
        <v>862</v>
      </c>
      <c r="C869" s="19" t="str">
        <f t="shared" si="26"/>
        <v>EMPTY</v>
      </c>
      <c r="D869" s="3" t="str">
        <f>IF(C869="SHOW",CONCATENATE(Temp!G865,Temp!H865,",",Temp!I865,",",Temp!J865,Temp!K865),"")</f>
        <v/>
      </c>
      <c r="E869" s="7"/>
      <c r="F869" s="8" t="str">
        <f t="shared" si="27"/>
        <v/>
      </c>
    </row>
    <row r="870" spans="1:6" x14ac:dyDescent="0.25">
      <c r="A870" s="13" t="str">
        <f>IF(AND($E870="",MAX($A$8:$A869)=0),"",IF(AND($E870&lt;&gt;"",MAX($A$8:$A869)=0),1,IF(AND($E870&lt;&gt;"",MAX($A$8:$A869)&gt;0),MAX($A$8:$A869)+1,"")))</f>
        <v/>
      </c>
      <c r="B870" s="11">
        <v>863</v>
      </c>
      <c r="C870" s="19" t="str">
        <f t="shared" si="26"/>
        <v>EMPTY</v>
      </c>
      <c r="D870" s="3" t="str">
        <f>IF(C870="SHOW",CONCATENATE(Temp!G866,Temp!H866,",",Temp!I866,",",Temp!J866,Temp!K866),"")</f>
        <v/>
      </c>
      <c r="E870" s="7"/>
      <c r="F870" s="8" t="str">
        <f t="shared" si="27"/>
        <v/>
      </c>
    </row>
    <row r="871" spans="1:6" x14ac:dyDescent="0.25">
      <c r="A871" s="13" t="str">
        <f>IF(AND($E871="",MAX($A$8:$A870)=0),"",IF(AND($E871&lt;&gt;"",MAX($A$8:$A870)=0),1,IF(AND($E871&lt;&gt;"",MAX($A$8:$A870)&gt;0),MAX($A$8:$A870)+1,"")))</f>
        <v/>
      </c>
      <c r="B871" s="11">
        <v>864</v>
      </c>
      <c r="C871" s="19" t="str">
        <f t="shared" si="26"/>
        <v>EMPTY</v>
      </c>
      <c r="D871" s="3" t="str">
        <f>IF(C871="SHOW",CONCATENATE(Temp!G867,Temp!H867,",",Temp!I867,",",Temp!J867,Temp!K867),"")</f>
        <v/>
      </c>
      <c r="E871" s="7"/>
      <c r="F871" s="8" t="str">
        <f t="shared" si="27"/>
        <v/>
      </c>
    </row>
    <row r="872" spans="1:6" x14ac:dyDescent="0.25">
      <c r="A872" s="13" t="str">
        <f>IF(AND($E872="",MAX($A$8:$A871)=0),"",IF(AND($E872&lt;&gt;"",MAX($A$8:$A871)=0),1,IF(AND($E872&lt;&gt;"",MAX($A$8:$A871)&gt;0),MAX($A$8:$A871)+1,"")))</f>
        <v/>
      </c>
      <c r="B872" s="11">
        <v>865</v>
      </c>
      <c r="C872" s="19" t="str">
        <f t="shared" si="26"/>
        <v>EMPTY</v>
      </c>
      <c r="D872" s="3" t="str">
        <f>IF(C872="SHOW",CONCATENATE(Temp!G868,Temp!H868,",",Temp!I868,",",Temp!J868,Temp!K868),"")</f>
        <v/>
      </c>
      <c r="E872" s="7"/>
      <c r="F872" s="8" t="str">
        <f t="shared" si="27"/>
        <v/>
      </c>
    </row>
    <row r="873" spans="1:6" x14ac:dyDescent="0.25">
      <c r="A873" s="13" t="str">
        <f>IF(AND($E873="",MAX($A$8:$A872)=0),"",IF(AND($E873&lt;&gt;"",MAX($A$8:$A872)=0),1,IF(AND($E873&lt;&gt;"",MAX($A$8:$A872)&gt;0),MAX($A$8:$A872)+1,"")))</f>
        <v/>
      </c>
      <c r="B873" s="11">
        <v>866</v>
      </c>
      <c r="C873" s="19" t="str">
        <f t="shared" si="26"/>
        <v>EMPTY</v>
      </c>
      <c r="D873" s="3" t="str">
        <f>IF(C873="SHOW",CONCATENATE(Temp!G869,Temp!H869,",",Temp!I869,",",Temp!J869,Temp!K869),"")</f>
        <v/>
      </c>
      <c r="E873" s="7"/>
      <c r="F873" s="8" t="str">
        <f t="shared" si="27"/>
        <v/>
      </c>
    </row>
    <row r="874" spans="1:6" x14ac:dyDescent="0.25">
      <c r="A874" s="13" t="str">
        <f>IF(AND($E874="",MAX($A$8:$A873)=0),"",IF(AND($E874&lt;&gt;"",MAX($A$8:$A873)=0),1,IF(AND($E874&lt;&gt;"",MAX($A$8:$A873)&gt;0),MAX($A$8:$A873)+1,"")))</f>
        <v/>
      </c>
      <c r="B874" s="11">
        <v>867</v>
      </c>
      <c r="C874" s="19" t="str">
        <f t="shared" si="26"/>
        <v>EMPTY</v>
      </c>
      <c r="D874" s="3" t="str">
        <f>IF(C874="SHOW",CONCATENATE(Temp!G870,Temp!H870,",",Temp!I870,",",Temp!J870,Temp!K870),"")</f>
        <v/>
      </c>
      <c r="E874" s="7"/>
      <c r="F874" s="8" t="str">
        <f t="shared" si="27"/>
        <v/>
      </c>
    </row>
    <row r="875" spans="1:6" x14ac:dyDescent="0.25">
      <c r="A875" s="13" t="str">
        <f>IF(AND($E875="",MAX($A$8:$A874)=0),"",IF(AND($E875&lt;&gt;"",MAX($A$8:$A874)=0),1,IF(AND($E875&lt;&gt;"",MAX($A$8:$A874)&gt;0),MAX($A$8:$A874)+1,"")))</f>
        <v/>
      </c>
      <c r="B875" s="11">
        <v>868</v>
      </c>
      <c r="C875" s="19" t="str">
        <f t="shared" si="26"/>
        <v>EMPTY</v>
      </c>
      <c r="D875" s="3" t="str">
        <f>IF(C875="SHOW",CONCATENATE(Temp!G871,Temp!H871,",",Temp!I871,",",Temp!J871,Temp!K871),"")</f>
        <v/>
      </c>
      <c r="E875" s="7"/>
      <c r="F875" s="8" t="str">
        <f t="shared" si="27"/>
        <v/>
      </c>
    </row>
    <row r="876" spans="1:6" x14ac:dyDescent="0.25">
      <c r="A876" s="13" t="str">
        <f>IF(AND($E876="",MAX($A$8:$A875)=0),"",IF(AND($E876&lt;&gt;"",MAX($A$8:$A875)=0),1,IF(AND($E876&lt;&gt;"",MAX($A$8:$A875)&gt;0),MAX($A$8:$A875)+1,"")))</f>
        <v/>
      </c>
      <c r="B876" s="11">
        <v>869</v>
      </c>
      <c r="C876" s="19" t="str">
        <f t="shared" si="26"/>
        <v>EMPTY</v>
      </c>
      <c r="D876" s="3" t="str">
        <f>IF(C876="SHOW",CONCATENATE(Temp!G872,Temp!H872,",",Temp!I872,",",Temp!J872,Temp!K872),"")</f>
        <v/>
      </c>
      <c r="E876" s="7"/>
      <c r="F876" s="8" t="str">
        <f t="shared" si="27"/>
        <v/>
      </c>
    </row>
    <row r="877" spans="1:6" x14ac:dyDescent="0.25">
      <c r="A877" s="13" t="str">
        <f>IF(AND($E877="",MAX($A$8:$A876)=0),"",IF(AND($E877&lt;&gt;"",MAX($A$8:$A876)=0),1,IF(AND($E877&lt;&gt;"",MAX($A$8:$A876)&gt;0),MAX($A$8:$A876)+1,"")))</f>
        <v/>
      </c>
      <c r="B877" s="11">
        <v>870</v>
      </c>
      <c r="C877" s="19" t="str">
        <f t="shared" si="26"/>
        <v>EMPTY</v>
      </c>
      <c r="D877" s="3" t="str">
        <f>IF(C877="SHOW",CONCATENATE(Temp!G873,Temp!H873,",",Temp!I873,",",Temp!J873,Temp!K873),"")</f>
        <v/>
      </c>
      <c r="E877" s="7"/>
      <c r="F877" s="8" t="str">
        <f t="shared" si="27"/>
        <v/>
      </c>
    </row>
    <row r="878" spans="1:6" x14ac:dyDescent="0.25">
      <c r="A878" s="13" t="str">
        <f>IF(AND($E878="",MAX($A$8:$A877)=0),"",IF(AND($E878&lt;&gt;"",MAX($A$8:$A877)=0),1,IF(AND($E878&lt;&gt;"",MAX($A$8:$A877)&gt;0),MAX($A$8:$A877)+1,"")))</f>
        <v/>
      </c>
      <c r="B878" s="11">
        <v>871</v>
      </c>
      <c r="C878" s="19" t="str">
        <f t="shared" si="26"/>
        <v>EMPTY</v>
      </c>
      <c r="D878" s="3" t="str">
        <f>IF(C878="SHOW",CONCATENATE(Temp!G874,Temp!H874,",",Temp!I874,",",Temp!J874,Temp!K874),"")</f>
        <v/>
      </c>
      <c r="E878" s="7"/>
      <c r="F878" s="8" t="str">
        <f t="shared" si="27"/>
        <v/>
      </c>
    </row>
    <row r="879" spans="1:6" x14ac:dyDescent="0.25">
      <c r="A879" s="13" t="str">
        <f>IF(AND($E879="",MAX($A$8:$A878)=0),"",IF(AND($E879&lt;&gt;"",MAX($A$8:$A878)=0),1,IF(AND($E879&lt;&gt;"",MAX($A$8:$A878)&gt;0),MAX($A$8:$A878)+1,"")))</f>
        <v/>
      </c>
      <c r="B879" s="11">
        <v>872</v>
      </c>
      <c r="C879" s="19" t="str">
        <f t="shared" si="26"/>
        <v>EMPTY</v>
      </c>
      <c r="D879" s="3" t="str">
        <f>IF(C879="SHOW",CONCATENATE(Temp!G875,Temp!H875,",",Temp!I875,",",Temp!J875,Temp!K875),"")</f>
        <v/>
      </c>
      <c r="E879" s="7"/>
      <c r="F879" s="8" t="str">
        <f t="shared" si="27"/>
        <v/>
      </c>
    </row>
    <row r="880" spans="1:6" x14ac:dyDescent="0.25">
      <c r="A880" s="13" t="str">
        <f>IF(AND($E880="",MAX($A$8:$A879)=0),"",IF(AND($E880&lt;&gt;"",MAX($A$8:$A879)=0),1,IF(AND($E880&lt;&gt;"",MAX($A$8:$A879)&gt;0),MAX($A$8:$A879)+1,"")))</f>
        <v/>
      </c>
      <c r="B880" s="11">
        <v>873</v>
      </c>
      <c r="C880" s="19" t="str">
        <f t="shared" si="26"/>
        <v>EMPTY</v>
      </c>
      <c r="D880" s="3" t="str">
        <f>IF(C880="SHOW",CONCATENATE(Temp!G876,Temp!H876,",",Temp!I876,",",Temp!J876,Temp!K876),"")</f>
        <v/>
      </c>
      <c r="E880" s="7"/>
      <c r="F880" s="8" t="str">
        <f t="shared" si="27"/>
        <v/>
      </c>
    </row>
    <row r="881" spans="1:6" x14ac:dyDescent="0.25">
      <c r="A881" s="13" t="str">
        <f>IF(AND($E881="",MAX($A$8:$A880)=0),"",IF(AND($E881&lt;&gt;"",MAX($A$8:$A880)=0),1,IF(AND($E881&lt;&gt;"",MAX($A$8:$A880)&gt;0),MAX($A$8:$A880)+1,"")))</f>
        <v/>
      </c>
      <c r="B881" s="11">
        <v>874</v>
      </c>
      <c r="C881" s="19" t="str">
        <f t="shared" si="26"/>
        <v>EMPTY</v>
      </c>
      <c r="D881" s="3" t="str">
        <f>IF(C881="SHOW",CONCATENATE(Temp!G877,Temp!H877,",",Temp!I877,",",Temp!J877,Temp!K877),"")</f>
        <v/>
      </c>
      <c r="E881" s="7"/>
      <c r="F881" s="8" t="str">
        <f t="shared" si="27"/>
        <v/>
      </c>
    </row>
    <row r="882" spans="1:6" x14ac:dyDescent="0.25">
      <c r="A882" s="13" t="str">
        <f>IF(AND($E882="",MAX($A$8:$A881)=0),"",IF(AND($E882&lt;&gt;"",MAX($A$8:$A881)=0),1,IF(AND($E882&lt;&gt;"",MAX($A$8:$A881)&gt;0),MAX($A$8:$A881)+1,"")))</f>
        <v/>
      </c>
      <c r="B882" s="11">
        <v>875</v>
      </c>
      <c r="C882" s="19" t="str">
        <f t="shared" si="26"/>
        <v>EMPTY</v>
      </c>
      <c r="D882" s="3" t="str">
        <f>IF(C882="SHOW",CONCATENATE(Temp!G878,Temp!H878,",",Temp!I878,",",Temp!J878,Temp!K878),"")</f>
        <v/>
      </c>
      <c r="E882" s="7"/>
      <c r="F882" s="8" t="str">
        <f t="shared" si="27"/>
        <v/>
      </c>
    </row>
    <row r="883" spans="1:6" x14ac:dyDescent="0.25">
      <c r="A883" s="13" t="str">
        <f>IF(AND($E883="",MAX($A$8:$A882)=0),"",IF(AND($E883&lt;&gt;"",MAX($A$8:$A882)=0),1,IF(AND($E883&lt;&gt;"",MAX($A$8:$A882)&gt;0),MAX($A$8:$A882)+1,"")))</f>
        <v/>
      </c>
      <c r="B883" s="11">
        <v>876</v>
      </c>
      <c r="C883" s="19" t="str">
        <f t="shared" si="26"/>
        <v>EMPTY</v>
      </c>
      <c r="D883" s="3" t="str">
        <f>IF(C883="SHOW",CONCATENATE(Temp!G879,Temp!H879,",",Temp!I879,",",Temp!J879,Temp!K879),"")</f>
        <v/>
      </c>
      <c r="E883" s="7"/>
      <c r="F883" s="8" t="str">
        <f t="shared" si="27"/>
        <v/>
      </c>
    </row>
    <row r="884" spans="1:6" x14ac:dyDescent="0.25">
      <c r="A884" s="13" t="str">
        <f>IF(AND($E884="",MAX($A$8:$A883)=0),"",IF(AND($E884&lt;&gt;"",MAX($A$8:$A883)=0),1,IF(AND($E884&lt;&gt;"",MAX($A$8:$A883)&gt;0),MAX($A$8:$A883)+1,"")))</f>
        <v/>
      </c>
      <c r="B884" s="11">
        <v>877</v>
      </c>
      <c r="C884" s="19" t="str">
        <f t="shared" si="26"/>
        <v>EMPTY</v>
      </c>
      <c r="D884" s="3" t="str">
        <f>IF(C884="SHOW",CONCATENATE(Temp!G880,Temp!H880,",",Temp!I880,",",Temp!J880,Temp!K880),"")</f>
        <v/>
      </c>
      <c r="E884" s="7"/>
      <c r="F884" s="8" t="str">
        <f t="shared" si="27"/>
        <v/>
      </c>
    </row>
    <row r="885" spans="1:6" x14ac:dyDescent="0.25">
      <c r="A885" s="13" t="str">
        <f>IF(AND($E885="",MAX($A$8:$A884)=0),"",IF(AND($E885&lt;&gt;"",MAX($A$8:$A884)=0),1,IF(AND($E885&lt;&gt;"",MAX($A$8:$A884)&gt;0),MAX($A$8:$A884)+1,"")))</f>
        <v/>
      </c>
      <c r="B885" s="11">
        <v>878</v>
      </c>
      <c r="C885" s="19" t="str">
        <f t="shared" si="26"/>
        <v>EMPTY</v>
      </c>
      <c r="D885" s="3" t="str">
        <f>IF(C885="SHOW",CONCATENATE(Temp!G881,Temp!H881,",",Temp!I881,",",Temp!J881,Temp!K881),"")</f>
        <v/>
      </c>
      <c r="E885" s="7"/>
      <c r="F885" s="8" t="str">
        <f t="shared" si="27"/>
        <v/>
      </c>
    </row>
    <row r="886" spans="1:6" x14ac:dyDescent="0.25">
      <c r="A886" s="13" t="str">
        <f>IF(AND($E886="",MAX($A$8:$A885)=0),"",IF(AND($E886&lt;&gt;"",MAX($A$8:$A885)=0),1,IF(AND($E886&lt;&gt;"",MAX($A$8:$A885)&gt;0),MAX($A$8:$A885)+1,"")))</f>
        <v/>
      </c>
      <c r="B886" s="11">
        <v>879</v>
      </c>
      <c r="C886" s="19" t="str">
        <f t="shared" si="26"/>
        <v>EMPTY</v>
      </c>
      <c r="D886" s="3" t="str">
        <f>IF(C886="SHOW",CONCATENATE(Temp!G882,Temp!H882,",",Temp!I882,",",Temp!J882,Temp!K882),"")</f>
        <v/>
      </c>
      <c r="E886" s="7"/>
      <c r="F886" s="8" t="str">
        <f t="shared" si="27"/>
        <v/>
      </c>
    </row>
    <row r="887" spans="1:6" x14ac:dyDescent="0.25">
      <c r="A887" s="13" t="str">
        <f>IF(AND($E887="",MAX($A$8:$A886)=0),"",IF(AND($E887&lt;&gt;"",MAX($A$8:$A886)=0),1,IF(AND($E887&lt;&gt;"",MAX($A$8:$A886)&gt;0),MAX($A$8:$A886)+1,"")))</f>
        <v/>
      </c>
      <c r="B887" s="11">
        <v>880</v>
      </c>
      <c r="C887" s="19" t="str">
        <f t="shared" si="26"/>
        <v>EMPTY</v>
      </c>
      <c r="D887" s="3" t="str">
        <f>IF(C887="SHOW",CONCATENATE(Temp!G883,Temp!H883,",",Temp!I883,",",Temp!J883,Temp!K883),"")</f>
        <v/>
      </c>
      <c r="E887" s="7"/>
      <c r="F887" s="8" t="str">
        <f t="shared" si="27"/>
        <v/>
      </c>
    </row>
    <row r="888" spans="1:6" x14ac:dyDescent="0.25">
      <c r="A888" s="13" t="str">
        <f>IF(AND($E888="",MAX($A$8:$A887)=0),"",IF(AND($E888&lt;&gt;"",MAX($A$8:$A887)=0),1,IF(AND($E888&lt;&gt;"",MAX($A$8:$A887)&gt;0),MAX($A$8:$A887)+1,"")))</f>
        <v/>
      </c>
      <c r="B888" s="11">
        <v>881</v>
      </c>
      <c r="C888" s="19" t="str">
        <f t="shared" si="26"/>
        <v>EMPTY</v>
      </c>
      <c r="D888" s="3" t="str">
        <f>IF(C888="SHOW",CONCATENATE(Temp!G884,Temp!H884,",",Temp!I884,",",Temp!J884,Temp!K884),"")</f>
        <v/>
      </c>
      <c r="E888" s="7"/>
      <c r="F888" s="8" t="str">
        <f t="shared" si="27"/>
        <v/>
      </c>
    </row>
    <row r="889" spans="1:6" x14ac:dyDescent="0.25">
      <c r="A889" s="13" t="str">
        <f>IF(AND($E889="",MAX($A$8:$A888)=0),"",IF(AND($E889&lt;&gt;"",MAX($A$8:$A888)=0),1,IF(AND($E889&lt;&gt;"",MAX($A$8:$A888)&gt;0),MAX($A$8:$A888)+1,"")))</f>
        <v/>
      </c>
      <c r="B889" s="11">
        <v>882</v>
      </c>
      <c r="C889" s="19" t="str">
        <f t="shared" si="26"/>
        <v>EMPTY</v>
      </c>
      <c r="D889" s="3" t="str">
        <f>IF(C889="SHOW",CONCATENATE(Temp!G885,Temp!H885,",",Temp!I885,",",Temp!J885,Temp!K885),"")</f>
        <v/>
      </c>
      <c r="E889" s="7"/>
      <c r="F889" s="8" t="str">
        <f t="shared" si="27"/>
        <v/>
      </c>
    </row>
    <row r="890" spans="1:6" x14ac:dyDescent="0.25">
      <c r="A890" s="13" t="str">
        <f>IF(AND($E890="",MAX($A$8:$A889)=0),"",IF(AND($E890&lt;&gt;"",MAX($A$8:$A889)=0),1,IF(AND($E890&lt;&gt;"",MAX($A$8:$A889)&gt;0),MAX($A$8:$A889)+1,"")))</f>
        <v/>
      </c>
      <c r="B890" s="11">
        <v>883</v>
      </c>
      <c r="C890" s="19" t="str">
        <f t="shared" si="26"/>
        <v>EMPTY</v>
      </c>
      <c r="D890" s="3" t="str">
        <f>IF(C890="SHOW",CONCATENATE(Temp!G886,Temp!H886,",",Temp!I886,",",Temp!J886,Temp!K886),"")</f>
        <v/>
      </c>
      <c r="E890" s="7"/>
      <c r="F890" s="8" t="str">
        <f t="shared" si="27"/>
        <v/>
      </c>
    </row>
    <row r="891" spans="1:6" x14ac:dyDescent="0.25">
      <c r="A891" s="13" t="str">
        <f>IF(AND($E891="",MAX($A$8:$A890)=0),"",IF(AND($E891&lt;&gt;"",MAX($A$8:$A890)=0),1,IF(AND($E891&lt;&gt;"",MAX($A$8:$A890)&gt;0),MAX($A$8:$A890)+1,"")))</f>
        <v/>
      </c>
      <c r="B891" s="11">
        <v>884</v>
      </c>
      <c r="C891" s="19" t="str">
        <f t="shared" si="26"/>
        <v>EMPTY</v>
      </c>
      <c r="D891" s="3" t="str">
        <f>IF(C891="SHOW",CONCATENATE(Temp!G887,Temp!H887,",",Temp!I887,",",Temp!J887,Temp!K887),"")</f>
        <v/>
      </c>
      <c r="E891" s="7"/>
      <c r="F891" s="8" t="str">
        <f t="shared" si="27"/>
        <v/>
      </c>
    </row>
    <row r="892" spans="1:6" x14ac:dyDescent="0.25">
      <c r="A892" s="13" t="str">
        <f>IF(AND($E892="",MAX($A$8:$A891)=0),"",IF(AND($E892&lt;&gt;"",MAX($A$8:$A891)=0),1,IF(AND($E892&lt;&gt;"",MAX($A$8:$A891)&gt;0),MAX($A$8:$A891)+1,"")))</f>
        <v/>
      </c>
      <c r="B892" s="11">
        <v>885</v>
      </c>
      <c r="C892" s="19" t="str">
        <f t="shared" si="26"/>
        <v>EMPTY</v>
      </c>
      <c r="D892" s="3" t="str">
        <f>IF(C892="SHOW",CONCATENATE(Temp!G888,Temp!H888,",",Temp!I888,",",Temp!J888,Temp!K888),"")</f>
        <v/>
      </c>
      <c r="E892" s="7"/>
      <c r="F892" s="8" t="str">
        <f t="shared" si="27"/>
        <v/>
      </c>
    </row>
    <row r="893" spans="1:6" x14ac:dyDescent="0.25">
      <c r="A893" s="13" t="str">
        <f>IF(AND($E893="",MAX($A$8:$A892)=0),"",IF(AND($E893&lt;&gt;"",MAX($A$8:$A892)=0),1,IF(AND($E893&lt;&gt;"",MAX($A$8:$A892)&gt;0),MAX($A$8:$A892)+1,"")))</f>
        <v/>
      </c>
      <c r="B893" s="11">
        <v>886</v>
      </c>
      <c r="C893" s="19" t="str">
        <f t="shared" si="26"/>
        <v>EMPTY</v>
      </c>
      <c r="D893" s="3" t="str">
        <f>IF(C893="SHOW",CONCATENATE(Temp!G889,Temp!H889,",",Temp!I889,",",Temp!J889,Temp!K889),"")</f>
        <v/>
      </c>
      <c r="E893" s="7"/>
      <c r="F893" s="8" t="str">
        <f t="shared" si="27"/>
        <v/>
      </c>
    </row>
    <row r="894" spans="1:6" x14ac:dyDescent="0.25">
      <c r="A894" s="13" t="str">
        <f>IF(AND($E894="",MAX($A$8:$A893)=0),"",IF(AND($E894&lt;&gt;"",MAX($A$8:$A893)=0),1,IF(AND($E894&lt;&gt;"",MAX($A$8:$A893)&gt;0),MAX($A$8:$A893)+1,"")))</f>
        <v/>
      </c>
      <c r="B894" s="11">
        <v>887</v>
      </c>
      <c r="C894" s="19" t="str">
        <f t="shared" si="26"/>
        <v>EMPTY</v>
      </c>
      <c r="D894" s="3" t="str">
        <f>IF(C894="SHOW",CONCATENATE(Temp!G890,Temp!H890,",",Temp!I890,",",Temp!J890,Temp!K890),"")</f>
        <v/>
      </c>
      <c r="E894" s="7"/>
      <c r="F894" s="8" t="str">
        <f t="shared" si="27"/>
        <v/>
      </c>
    </row>
    <row r="895" spans="1:6" x14ac:dyDescent="0.25">
      <c r="A895" s="13" t="str">
        <f>IF(AND($E895="",MAX($A$8:$A894)=0),"",IF(AND($E895&lt;&gt;"",MAX($A$8:$A894)=0),1,IF(AND($E895&lt;&gt;"",MAX($A$8:$A894)&gt;0),MAX($A$8:$A894)+1,"")))</f>
        <v/>
      </c>
      <c r="B895" s="11">
        <v>888</v>
      </c>
      <c r="C895" s="19" t="str">
        <f t="shared" si="26"/>
        <v>EMPTY</v>
      </c>
      <c r="D895" s="3" t="str">
        <f>IF(C895="SHOW",CONCATENATE(Temp!G891,Temp!H891,",",Temp!I891,",",Temp!J891,Temp!K891),"")</f>
        <v/>
      </c>
      <c r="E895" s="7"/>
      <c r="F895" s="8" t="str">
        <f t="shared" si="27"/>
        <v/>
      </c>
    </row>
    <row r="896" spans="1:6" x14ac:dyDescent="0.25">
      <c r="A896" s="13" t="str">
        <f>IF(AND($E896="",MAX($A$8:$A895)=0),"",IF(AND($E896&lt;&gt;"",MAX($A$8:$A895)=0),1,IF(AND($E896&lt;&gt;"",MAX($A$8:$A895)&gt;0),MAX($A$8:$A895)+1,"")))</f>
        <v/>
      </c>
      <c r="B896" s="11">
        <v>889</v>
      </c>
      <c r="C896" s="19" t="str">
        <f t="shared" si="26"/>
        <v>EMPTY</v>
      </c>
      <c r="D896" s="3" t="str">
        <f>IF(C896="SHOW",CONCATENATE(Temp!G892,Temp!H892,",",Temp!I892,",",Temp!J892,Temp!K892),"")</f>
        <v/>
      </c>
      <c r="E896" s="7"/>
      <c r="F896" s="8" t="str">
        <f t="shared" si="27"/>
        <v/>
      </c>
    </row>
    <row r="897" spans="1:6" x14ac:dyDescent="0.25">
      <c r="A897" s="13" t="str">
        <f>IF(AND($E897="",MAX($A$8:$A896)=0),"",IF(AND($E897&lt;&gt;"",MAX($A$8:$A896)=0),1,IF(AND($E897&lt;&gt;"",MAX($A$8:$A896)&gt;0),MAX($A$8:$A896)+1,"")))</f>
        <v/>
      </c>
      <c r="B897" s="11">
        <v>890</v>
      </c>
      <c r="C897" s="19" t="str">
        <f t="shared" si="26"/>
        <v>EMPTY</v>
      </c>
      <c r="D897" s="3" t="str">
        <f>IF(C897="SHOW",CONCATENATE(Temp!G893,Temp!H893,",",Temp!I893,",",Temp!J893,Temp!K893),"")</f>
        <v/>
      </c>
      <c r="E897" s="7"/>
      <c r="F897" s="8" t="str">
        <f t="shared" si="27"/>
        <v/>
      </c>
    </row>
    <row r="898" spans="1:6" x14ac:dyDescent="0.25">
      <c r="A898" s="13" t="str">
        <f>IF(AND($E898="",MAX($A$8:$A897)=0),"",IF(AND($E898&lt;&gt;"",MAX($A$8:$A897)=0),1,IF(AND($E898&lt;&gt;"",MAX($A$8:$A897)&gt;0),MAX($A$8:$A897)+1,"")))</f>
        <v/>
      </c>
      <c r="B898" s="11">
        <v>891</v>
      </c>
      <c r="C898" s="19" t="str">
        <f t="shared" si="26"/>
        <v>EMPTY</v>
      </c>
      <c r="D898" s="3" t="str">
        <f>IF(C898="SHOW",CONCATENATE(Temp!G894,Temp!H894,",",Temp!I894,",",Temp!J894,Temp!K894),"")</f>
        <v/>
      </c>
      <c r="E898" s="7"/>
      <c r="F898" s="8" t="str">
        <f t="shared" si="27"/>
        <v/>
      </c>
    </row>
    <row r="899" spans="1:6" x14ac:dyDescent="0.25">
      <c r="A899" s="13" t="str">
        <f>IF(AND($E899="",MAX($A$8:$A898)=0),"",IF(AND($E899&lt;&gt;"",MAX($A$8:$A898)=0),1,IF(AND($E899&lt;&gt;"",MAX($A$8:$A898)&gt;0),MAX($A$8:$A898)+1,"")))</f>
        <v/>
      </c>
      <c r="B899" s="11">
        <v>892</v>
      </c>
      <c r="C899" s="19" t="str">
        <f t="shared" si="26"/>
        <v>EMPTY</v>
      </c>
      <c r="D899" s="3" t="str">
        <f>IF(C899="SHOW",CONCATENATE(Temp!G895,Temp!H895,",",Temp!I895,",",Temp!J895,Temp!K895),"")</f>
        <v/>
      </c>
      <c r="E899" s="7"/>
      <c r="F899" s="8" t="str">
        <f t="shared" si="27"/>
        <v/>
      </c>
    </row>
    <row r="900" spans="1:6" x14ac:dyDescent="0.25">
      <c r="A900" s="13" t="str">
        <f>IF(AND($E900="",MAX($A$8:$A899)=0),"",IF(AND($E900&lt;&gt;"",MAX($A$8:$A899)=0),1,IF(AND($E900&lt;&gt;"",MAX($A$8:$A899)&gt;0),MAX($A$8:$A899)+1,"")))</f>
        <v/>
      </c>
      <c r="B900" s="11">
        <v>893</v>
      </c>
      <c r="C900" s="19" t="str">
        <f t="shared" si="26"/>
        <v>EMPTY</v>
      </c>
      <c r="D900" s="3" t="str">
        <f>IF(C900="SHOW",CONCATENATE(Temp!G896,Temp!H896,",",Temp!I896,",",Temp!J896,Temp!K896),"")</f>
        <v/>
      </c>
      <c r="E900" s="7"/>
      <c r="F900" s="8" t="str">
        <f t="shared" si="27"/>
        <v/>
      </c>
    </row>
    <row r="901" spans="1:6" x14ac:dyDescent="0.25">
      <c r="A901" s="13" t="str">
        <f>IF(AND($E901="",MAX($A$8:$A900)=0),"",IF(AND($E901&lt;&gt;"",MAX($A$8:$A900)=0),1,IF(AND($E901&lt;&gt;"",MAX($A$8:$A900)&gt;0),MAX($A$8:$A900)+1,"")))</f>
        <v/>
      </c>
      <c r="B901" s="11">
        <v>894</v>
      </c>
      <c r="C901" s="19" t="str">
        <f t="shared" si="26"/>
        <v>EMPTY</v>
      </c>
      <c r="D901" s="3" t="str">
        <f>IF(C901="SHOW",CONCATENATE(Temp!G897,Temp!H897,",",Temp!I897,",",Temp!J897,Temp!K897),"")</f>
        <v/>
      </c>
      <c r="E901" s="7"/>
      <c r="F901" s="8" t="str">
        <f t="shared" si="27"/>
        <v/>
      </c>
    </row>
    <row r="902" spans="1:6" x14ac:dyDescent="0.25">
      <c r="A902" s="13" t="str">
        <f>IF(AND($E902="",MAX($A$8:$A901)=0),"",IF(AND($E902&lt;&gt;"",MAX($A$8:$A901)=0),1,IF(AND($E902&lt;&gt;"",MAX($A$8:$A901)&gt;0),MAX($A$8:$A901)+1,"")))</f>
        <v/>
      </c>
      <c r="B902" s="11">
        <v>895</v>
      </c>
      <c r="C902" s="19" t="str">
        <f t="shared" si="26"/>
        <v>EMPTY</v>
      </c>
      <c r="D902" s="3" t="str">
        <f>IF(C902="SHOW",CONCATENATE(Temp!G898,Temp!H898,",",Temp!I898,",",Temp!J898,Temp!K898),"")</f>
        <v/>
      </c>
      <c r="E902" s="7"/>
      <c r="F902" s="8" t="str">
        <f t="shared" si="27"/>
        <v/>
      </c>
    </row>
    <row r="903" spans="1:6" x14ac:dyDescent="0.25">
      <c r="A903" s="13" t="str">
        <f>IF(AND($E903="",MAX($A$8:$A902)=0),"",IF(AND($E903&lt;&gt;"",MAX($A$8:$A902)=0),1,IF(AND($E903&lt;&gt;"",MAX($A$8:$A902)&gt;0),MAX($A$8:$A902)+1,"")))</f>
        <v/>
      </c>
      <c r="B903" s="11">
        <v>896</v>
      </c>
      <c r="C903" s="19" t="str">
        <f t="shared" si="26"/>
        <v>EMPTY</v>
      </c>
      <c r="D903" s="3" t="str">
        <f>IF(C903="SHOW",CONCATENATE(Temp!G899,Temp!H899,",",Temp!I899,",",Temp!J899,Temp!K899),"")</f>
        <v/>
      </c>
      <c r="E903" s="7"/>
      <c r="F903" s="8" t="str">
        <f t="shared" si="27"/>
        <v/>
      </c>
    </row>
    <row r="904" spans="1:6" x14ac:dyDescent="0.25">
      <c r="A904" s="13" t="str">
        <f>IF(AND($E904="",MAX($A$8:$A903)=0),"",IF(AND($E904&lt;&gt;"",MAX($A$8:$A903)=0),1,IF(AND($E904&lt;&gt;"",MAX($A$8:$A903)&gt;0),MAX($A$8:$A903)+1,"")))</f>
        <v/>
      </c>
      <c r="B904" s="11">
        <v>897</v>
      </c>
      <c r="C904" s="19" t="str">
        <f t="shared" si="26"/>
        <v>EMPTY</v>
      </c>
      <c r="D904" s="3" t="str">
        <f>IF(C904="SHOW",CONCATENATE(Temp!G900,Temp!H900,",",Temp!I900,",",Temp!J900,Temp!K900),"")</f>
        <v/>
      </c>
      <c r="E904" s="7"/>
      <c r="F904" s="8" t="str">
        <f t="shared" si="27"/>
        <v/>
      </c>
    </row>
    <row r="905" spans="1:6" x14ac:dyDescent="0.25">
      <c r="A905" s="13" t="str">
        <f>IF(AND($E905="",MAX($A$8:$A904)=0),"",IF(AND($E905&lt;&gt;"",MAX($A$8:$A904)=0),1,IF(AND($E905&lt;&gt;"",MAX($A$8:$A904)&gt;0),MAX($A$8:$A904)+1,"")))</f>
        <v/>
      </c>
      <c r="B905" s="11">
        <v>898</v>
      </c>
      <c r="C905" s="19" t="str">
        <f t="shared" ref="C905:C968" si="28">IF(E905="","EMPTY",IF(MID(E905,1,9)&lt;&gt;"Dialogue:","HIDE",IF(MID(E905,1,9)="Dialogue:","SHOW","")))</f>
        <v>EMPTY</v>
      </c>
      <c r="D905" s="3" t="str">
        <f>IF(C905="SHOW",CONCATENATE(Temp!G901,Temp!H901,",",Temp!I901,",",Temp!J901,Temp!K901),"")</f>
        <v/>
      </c>
      <c r="E905" s="7"/>
      <c r="F905" s="8" t="str">
        <f t="shared" ref="F905:F968" si="29">$D905</f>
        <v/>
      </c>
    </row>
    <row r="906" spans="1:6" x14ac:dyDescent="0.25">
      <c r="A906" s="13" t="str">
        <f>IF(AND($E906="",MAX($A$8:$A905)=0),"",IF(AND($E906&lt;&gt;"",MAX($A$8:$A905)=0),1,IF(AND($E906&lt;&gt;"",MAX($A$8:$A905)&gt;0),MAX($A$8:$A905)+1,"")))</f>
        <v/>
      </c>
      <c r="B906" s="11">
        <v>899</v>
      </c>
      <c r="C906" s="19" t="str">
        <f t="shared" si="28"/>
        <v>EMPTY</v>
      </c>
      <c r="D906" s="3" t="str">
        <f>IF(C906="SHOW",CONCATENATE(Temp!G902,Temp!H902,",",Temp!I902,",",Temp!J902,Temp!K902),"")</f>
        <v/>
      </c>
      <c r="E906" s="7"/>
      <c r="F906" s="8" t="str">
        <f t="shared" si="29"/>
        <v/>
      </c>
    </row>
    <row r="907" spans="1:6" x14ac:dyDescent="0.25">
      <c r="A907" s="13" t="str">
        <f>IF(AND($E907="",MAX($A$8:$A906)=0),"",IF(AND($E907&lt;&gt;"",MAX($A$8:$A906)=0),1,IF(AND($E907&lt;&gt;"",MAX($A$8:$A906)&gt;0),MAX($A$8:$A906)+1,"")))</f>
        <v/>
      </c>
      <c r="B907" s="11">
        <v>900</v>
      </c>
      <c r="C907" s="19" t="str">
        <f t="shared" si="28"/>
        <v>EMPTY</v>
      </c>
      <c r="D907" s="3" t="str">
        <f>IF(C907="SHOW",CONCATENATE(Temp!G903,Temp!H903,",",Temp!I903,",",Temp!J903,Temp!K903),"")</f>
        <v/>
      </c>
      <c r="E907" s="7"/>
      <c r="F907" s="8" t="str">
        <f t="shared" si="29"/>
        <v/>
      </c>
    </row>
    <row r="908" spans="1:6" x14ac:dyDescent="0.25">
      <c r="A908" s="13" t="str">
        <f>IF(AND($E908="",MAX($A$8:$A907)=0),"",IF(AND($E908&lt;&gt;"",MAX($A$8:$A907)=0),1,IF(AND($E908&lt;&gt;"",MAX($A$8:$A907)&gt;0),MAX($A$8:$A907)+1,"")))</f>
        <v/>
      </c>
      <c r="B908" s="11">
        <v>901</v>
      </c>
      <c r="C908" s="19" t="str">
        <f t="shared" si="28"/>
        <v>EMPTY</v>
      </c>
      <c r="D908" s="3" t="str">
        <f>IF(C908="SHOW",CONCATENATE(Temp!G904,Temp!H904,",",Temp!I904,",",Temp!J904,Temp!K904),"")</f>
        <v/>
      </c>
      <c r="E908" s="7"/>
      <c r="F908" s="8" t="str">
        <f t="shared" si="29"/>
        <v/>
      </c>
    </row>
    <row r="909" spans="1:6" x14ac:dyDescent="0.25">
      <c r="A909" s="13" t="str">
        <f>IF(AND($E909="",MAX($A$8:$A908)=0),"",IF(AND($E909&lt;&gt;"",MAX($A$8:$A908)=0),1,IF(AND($E909&lt;&gt;"",MAX($A$8:$A908)&gt;0),MAX($A$8:$A908)+1,"")))</f>
        <v/>
      </c>
      <c r="B909" s="11">
        <v>902</v>
      </c>
      <c r="C909" s="19" t="str">
        <f t="shared" si="28"/>
        <v>EMPTY</v>
      </c>
      <c r="D909" s="3" t="str">
        <f>IF(C909="SHOW",CONCATENATE(Temp!G905,Temp!H905,",",Temp!I905,",",Temp!J905,Temp!K905),"")</f>
        <v/>
      </c>
      <c r="E909" s="7"/>
      <c r="F909" s="8" t="str">
        <f t="shared" si="29"/>
        <v/>
      </c>
    </row>
    <row r="910" spans="1:6" x14ac:dyDescent="0.25">
      <c r="A910" s="13" t="str">
        <f>IF(AND($E910="",MAX($A$8:$A909)=0),"",IF(AND($E910&lt;&gt;"",MAX($A$8:$A909)=0),1,IF(AND($E910&lt;&gt;"",MAX($A$8:$A909)&gt;0),MAX($A$8:$A909)+1,"")))</f>
        <v/>
      </c>
      <c r="B910" s="11">
        <v>903</v>
      </c>
      <c r="C910" s="19" t="str">
        <f t="shared" si="28"/>
        <v>EMPTY</v>
      </c>
      <c r="D910" s="3" t="str">
        <f>IF(C910="SHOW",CONCATENATE(Temp!G906,Temp!H906,",",Temp!I906,",",Temp!J906,Temp!K906),"")</f>
        <v/>
      </c>
      <c r="E910" s="7"/>
      <c r="F910" s="8" t="str">
        <f t="shared" si="29"/>
        <v/>
      </c>
    </row>
    <row r="911" spans="1:6" x14ac:dyDescent="0.25">
      <c r="A911" s="13" t="str">
        <f>IF(AND($E911="",MAX($A$8:$A910)=0),"",IF(AND($E911&lt;&gt;"",MAX($A$8:$A910)=0),1,IF(AND($E911&lt;&gt;"",MAX($A$8:$A910)&gt;0),MAX($A$8:$A910)+1,"")))</f>
        <v/>
      </c>
      <c r="B911" s="11">
        <v>904</v>
      </c>
      <c r="C911" s="19" t="str">
        <f t="shared" si="28"/>
        <v>EMPTY</v>
      </c>
      <c r="D911" s="3" t="str">
        <f>IF(C911="SHOW",CONCATENATE(Temp!G907,Temp!H907,",",Temp!I907,",",Temp!J907,Temp!K907),"")</f>
        <v/>
      </c>
      <c r="E911" s="7"/>
      <c r="F911" s="8" t="str">
        <f t="shared" si="29"/>
        <v/>
      </c>
    </row>
    <row r="912" spans="1:6" x14ac:dyDescent="0.25">
      <c r="A912" s="13" t="str">
        <f>IF(AND($E912="",MAX($A$8:$A911)=0),"",IF(AND($E912&lt;&gt;"",MAX($A$8:$A911)=0),1,IF(AND($E912&lt;&gt;"",MAX($A$8:$A911)&gt;0),MAX($A$8:$A911)+1,"")))</f>
        <v/>
      </c>
      <c r="B912" s="11">
        <v>905</v>
      </c>
      <c r="C912" s="19" t="str">
        <f t="shared" si="28"/>
        <v>EMPTY</v>
      </c>
      <c r="D912" s="3" t="str">
        <f>IF(C912="SHOW",CONCATENATE(Temp!G908,Temp!H908,",",Temp!I908,",",Temp!J908,Temp!K908),"")</f>
        <v/>
      </c>
      <c r="E912" s="7"/>
      <c r="F912" s="8" t="str">
        <f t="shared" si="29"/>
        <v/>
      </c>
    </row>
    <row r="913" spans="1:6" x14ac:dyDescent="0.25">
      <c r="A913" s="13" t="str">
        <f>IF(AND($E913="",MAX($A$8:$A912)=0),"",IF(AND($E913&lt;&gt;"",MAX($A$8:$A912)=0),1,IF(AND($E913&lt;&gt;"",MAX($A$8:$A912)&gt;0),MAX($A$8:$A912)+1,"")))</f>
        <v/>
      </c>
      <c r="B913" s="11">
        <v>906</v>
      </c>
      <c r="C913" s="19" t="str">
        <f t="shared" si="28"/>
        <v>EMPTY</v>
      </c>
      <c r="D913" s="3" t="str">
        <f>IF(C913="SHOW",CONCATENATE(Temp!G909,Temp!H909,",",Temp!I909,",",Temp!J909,Temp!K909),"")</f>
        <v/>
      </c>
      <c r="E913" s="7"/>
      <c r="F913" s="8" t="str">
        <f t="shared" si="29"/>
        <v/>
      </c>
    </row>
    <row r="914" spans="1:6" x14ac:dyDescent="0.25">
      <c r="A914" s="13" t="str">
        <f>IF(AND($E914="",MAX($A$8:$A913)=0),"",IF(AND($E914&lt;&gt;"",MAX($A$8:$A913)=0),1,IF(AND($E914&lt;&gt;"",MAX($A$8:$A913)&gt;0),MAX($A$8:$A913)+1,"")))</f>
        <v/>
      </c>
      <c r="B914" s="11">
        <v>907</v>
      </c>
      <c r="C914" s="19" t="str">
        <f t="shared" si="28"/>
        <v>EMPTY</v>
      </c>
      <c r="D914" s="3" t="str">
        <f>IF(C914="SHOW",CONCATENATE(Temp!G910,Temp!H910,",",Temp!I910,",",Temp!J910,Temp!K910),"")</f>
        <v/>
      </c>
      <c r="E914" s="7"/>
      <c r="F914" s="8" t="str">
        <f t="shared" si="29"/>
        <v/>
      </c>
    </row>
    <row r="915" spans="1:6" x14ac:dyDescent="0.25">
      <c r="A915" s="13" t="str">
        <f>IF(AND($E915="",MAX($A$8:$A914)=0),"",IF(AND($E915&lt;&gt;"",MAX($A$8:$A914)=0),1,IF(AND($E915&lt;&gt;"",MAX($A$8:$A914)&gt;0),MAX($A$8:$A914)+1,"")))</f>
        <v/>
      </c>
      <c r="B915" s="11">
        <v>908</v>
      </c>
      <c r="C915" s="19" t="str">
        <f t="shared" si="28"/>
        <v>EMPTY</v>
      </c>
      <c r="D915" s="3" t="str">
        <f>IF(C915="SHOW",CONCATENATE(Temp!G911,Temp!H911,",",Temp!I911,",",Temp!J911,Temp!K911),"")</f>
        <v/>
      </c>
      <c r="E915" s="7"/>
      <c r="F915" s="8" t="str">
        <f t="shared" si="29"/>
        <v/>
      </c>
    </row>
    <row r="916" spans="1:6" x14ac:dyDescent="0.25">
      <c r="A916" s="13" t="str">
        <f>IF(AND($E916="",MAX($A$8:$A915)=0),"",IF(AND($E916&lt;&gt;"",MAX($A$8:$A915)=0),1,IF(AND($E916&lt;&gt;"",MAX($A$8:$A915)&gt;0),MAX($A$8:$A915)+1,"")))</f>
        <v/>
      </c>
      <c r="B916" s="11">
        <v>909</v>
      </c>
      <c r="C916" s="19" t="str">
        <f t="shared" si="28"/>
        <v>EMPTY</v>
      </c>
      <c r="D916" s="3" t="str">
        <f>IF(C916="SHOW",CONCATENATE(Temp!G912,Temp!H912,",",Temp!I912,",",Temp!J912,Temp!K912),"")</f>
        <v/>
      </c>
      <c r="E916" s="7"/>
      <c r="F916" s="8" t="str">
        <f t="shared" si="29"/>
        <v/>
      </c>
    </row>
    <row r="917" spans="1:6" x14ac:dyDescent="0.25">
      <c r="A917" s="13" t="str">
        <f>IF(AND($E917="",MAX($A$8:$A916)=0),"",IF(AND($E917&lt;&gt;"",MAX($A$8:$A916)=0),1,IF(AND($E917&lt;&gt;"",MAX($A$8:$A916)&gt;0),MAX($A$8:$A916)+1,"")))</f>
        <v/>
      </c>
      <c r="B917" s="11">
        <v>910</v>
      </c>
      <c r="C917" s="19" t="str">
        <f t="shared" si="28"/>
        <v>EMPTY</v>
      </c>
      <c r="D917" s="3" t="str">
        <f>IF(C917="SHOW",CONCATENATE(Temp!G913,Temp!H913,",",Temp!I913,",",Temp!J913,Temp!K913),"")</f>
        <v/>
      </c>
      <c r="E917" s="7"/>
      <c r="F917" s="8" t="str">
        <f t="shared" si="29"/>
        <v/>
      </c>
    </row>
    <row r="918" spans="1:6" x14ac:dyDescent="0.25">
      <c r="A918" s="13" t="str">
        <f>IF(AND($E918="",MAX($A$8:$A917)=0),"",IF(AND($E918&lt;&gt;"",MAX($A$8:$A917)=0),1,IF(AND($E918&lt;&gt;"",MAX($A$8:$A917)&gt;0),MAX($A$8:$A917)+1,"")))</f>
        <v/>
      </c>
      <c r="B918" s="11">
        <v>911</v>
      </c>
      <c r="C918" s="19" t="str">
        <f t="shared" si="28"/>
        <v>EMPTY</v>
      </c>
      <c r="D918" s="3" t="str">
        <f>IF(C918="SHOW",CONCATENATE(Temp!G914,Temp!H914,",",Temp!I914,",",Temp!J914,Temp!K914),"")</f>
        <v/>
      </c>
      <c r="E918" s="7"/>
      <c r="F918" s="8" t="str">
        <f t="shared" si="29"/>
        <v/>
      </c>
    </row>
    <row r="919" spans="1:6" x14ac:dyDescent="0.25">
      <c r="A919" s="13" t="str">
        <f>IF(AND($E919="",MAX($A$8:$A918)=0),"",IF(AND($E919&lt;&gt;"",MAX($A$8:$A918)=0),1,IF(AND($E919&lt;&gt;"",MAX($A$8:$A918)&gt;0),MAX($A$8:$A918)+1,"")))</f>
        <v/>
      </c>
      <c r="B919" s="11">
        <v>912</v>
      </c>
      <c r="C919" s="19" t="str">
        <f t="shared" si="28"/>
        <v>EMPTY</v>
      </c>
      <c r="D919" s="3" t="str">
        <f>IF(C919="SHOW",CONCATENATE(Temp!G915,Temp!H915,",",Temp!I915,",",Temp!J915,Temp!K915),"")</f>
        <v/>
      </c>
      <c r="E919" s="7"/>
      <c r="F919" s="8" t="str">
        <f t="shared" si="29"/>
        <v/>
      </c>
    </row>
    <row r="920" spans="1:6" x14ac:dyDescent="0.25">
      <c r="A920" s="13" t="str">
        <f>IF(AND($E920="",MAX($A$8:$A919)=0),"",IF(AND($E920&lt;&gt;"",MAX($A$8:$A919)=0),1,IF(AND($E920&lt;&gt;"",MAX($A$8:$A919)&gt;0),MAX($A$8:$A919)+1,"")))</f>
        <v/>
      </c>
      <c r="B920" s="11">
        <v>913</v>
      </c>
      <c r="C920" s="19" t="str">
        <f t="shared" si="28"/>
        <v>EMPTY</v>
      </c>
      <c r="D920" s="3" t="str">
        <f>IF(C920="SHOW",CONCATENATE(Temp!G916,Temp!H916,",",Temp!I916,",",Temp!J916,Temp!K916),"")</f>
        <v/>
      </c>
      <c r="E920" s="7"/>
      <c r="F920" s="8" t="str">
        <f t="shared" si="29"/>
        <v/>
      </c>
    </row>
    <row r="921" spans="1:6" x14ac:dyDescent="0.25">
      <c r="A921" s="13" t="str">
        <f>IF(AND($E921="",MAX($A$8:$A920)=0),"",IF(AND($E921&lt;&gt;"",MAX($A$8:$A920)=0),1,IF(AND($E921&lt;&gt;"",MAX($A$8:$A920)&gt;0),MAX($A$8:$A920)+1,"")))</f>
        <v/>
      </c>
      <c r="B921" s="11">
        <v>914</v>
      </c>
      <c r="C921" s="19" t="str">
        <f t="shared" si="28"/>
        <v>EMPTY</v>
      </c>
      <c r="D921" s="3" t="str">
        <f>IF(C921="SHOW",CONCATENATE(Temp!G917,Temp!H917,",",Temp!I917,",",Temp!J917,Temp!K917),"")</f>
        <v/>
      </c>
      <c r="E921" s="7"/>
      <c r="F921" s="8" t="str">
        <f t="shared" si="29"/>
        <v/>
      </c>
    </row>
    <row r="922" spans="1:6" x14ac:dyDescent="0.25">
      <c r="A922" s="13" t="str">
        <f>IF(AND($E922="",MAX($A$8:$A921)=0),"",IF(AND($E922&lt;&gt;"",MAX($A$8:$A921)=0),1,IF(AND($E922&lt;&gt;"",MAX($A$8:$A921)&gt;0),MAX($A$8:$A921)+1,"")))</f>
        <v/>
      </c>
      <c r="B922" s="11">
        <v>915</v>
      </c>
      <c r="C922" s="19" t="str">
        <f t="shared" si="28"/>
        <v>EMPTY</v>
      </c>
      <c r="D922" s="3" t="str">
        <f>IF(C922="SHOW",CONCATENATE(Temp!G918,Temp!H918,",",Temp!I918,",",Temp!J918,Temp!K918),"")</f>
        <v/>
      </c>
      <c r="E922" s="7"/>
      <c r="F922" s="8" t="str">
        <f t="shared" si="29"/>
        <v/>
      </c>
    </row>
    <row r="923" spans="1:6" x14ac:dyDescent="0.25">
      <c r="A923" s="13" t="str">
        <f>IF(AND($E923="",MAX($A$8:$A922)=0),"",IF(AND($E923&lt;&gt;"",MAX($A$8:$A922)=0),1,IF(AND($E923&lt;&gt;"",MAX($A$8:$A922)&gt;0),MAX($A$8:$A922)+1,"")))</f>
        <v/>
      </c>
      <c r="B923" s="11">
        <v>916</v>
      </c>
      <c r="C923" s="19" t="str">
        <f t="shared" si="28"/>
        <v>EMPTY</v>
      </c>
      <c r="D923" s="3" t="str">
        <f>IF(C923="SHOW",CONCATENATE(Temp!G919,Temp!H919,",",Temp!I919,",",Temp!J919,Temp!K919),"")</f>
        <v/>
      </c>
      <c r="E923" s="7"/>
      <c r="F923" s="8" t="str">
        <f t="shared" si="29"/>
        <v/>
      </c>
    </row>
    <row r="924" spans="1:6" x14ac:dyDescent="0.25">
      <c r="A924" s="13" t="str">
        <f>IF(AND($E924="",MAX($A$8:$A923)=0),"",IF(AND($E924&lt;&gt;"",MAX($A$8:$A923)=0),1,IF(AND($E924&lt;&gt;"",MAX($A$8:$A923)&gt;0),MAX($A$8:$A923)+1,"")))</f>
        <v/>
      </c>
      <c r="B924" s="11">
        <v>917</v>
      </c>
      <c r="C924" s="19" t="str">
        <f t="shared" si="28"/>
        <v>EMPTY</v>
      </c>
      <c r="D924" s="3" t="str">
        <f>IF(C924="SHOW",CONCATENATE(Temp!G920,Temp!H920,",",Temp!I920,",",Temp!J920,Temp!K920),"")</f>
        <v/>
      </c>
      <c r="E924" s="7"/>
      <c r="F924" s="8" t="str">
        <f t="shared" si="29"/>
        <v/>
      </c>
    </row>
    <row r="925" spans="1:6" x14ac:dyDescent="0.25">
      <c r="A925" s="13" t="str">
        <f>IF(AND($E925="",MAX($A$8:$A924)=0),"",IF(AND($E925&lt;&gt;"",MAX($A$8:$A924)=0),1,IF(AND($E925&lt;&gt;"",MAX($A$8:$A924)&gt;0),MAX($A$8:$A924)+1,"")))</f>
        <v/>
      </c>
      <c r="B925" s="11">
        <v>918</v>
      </c>
      <c r="C925" s="19" t="str">
        <f t="shared" si="28"/>
        <v>EMPTY</v>
      </c>
      <c r="D925" s="3" t="str">
        <f>IF(C925="SHOW",CONCATENATE(Temp!G921,Temp!H921,",",Temp!I921,",",Temp!J921,Temp!K921),"")</f>
        <v/>
      </c>
      <c r="E925" s="7"/>
      <c r="F925" s="8" t="str">
        <f t="shared" si="29"/>
        <v/>
      </c>
    </row>
    <row r="926" spans="1:6" x14ac:dyDescent="0.25">
      <c r="A926" s="13" t="str">
        <f>IF(AND($E926="",MAX($A$8:$A925)=0),"",IF(AND($E926&lt;&gt;"",MAX($A$8:$A925)=0),1,IF(AND($E926&lt;&gt;"",MAX($A$8:$A925)&gt;0),MAX($A$8:$A925)+1,"")))</f>
        <v/>
      </c>
      <c r="B926" s="11">
        <v>919</v>
      </c>
      <c r="C926" s="19" t="str">
        <f t="shared" si="28"/>
        <v>EMPTY</v>
      </c>
      <c r="D926" s="3" t="str">
        <f>IF(C926="SHOW",CONCATENATE(Temp!G922,Temp!H922,",",Temp!I922,",",Temp!J922,Temp!K922),"")</f>
        <v/>
      </c>
      <c r="E926" s="7"/>
      <c r="F926" s="8" t="str">
        <f t="shared" si="29"/>
        <v/>
      </c>
    </row>
    <row r="927" spans="1:6" x14ac:dyDescent="0.25">
      <c r="A927" s="13" t="str">
        <f>IF(AND($E927="",MAX($A$8:$A926)=0),"",IF(AND($E927&lt;&gt;"",MAX($A$8:$A926)=0),1,IF(AND($E927&lt;&gt;"",MAX($A$8:$A926)&gt;0),MAX($A$8:$A926)+1,"")))</f>
        <v/>
      </c>
      <c r="B927" s="11">
        <v>920</v>
      </c>
      <c r="C927" s="19" t="str">
        <f t="shared" si="28"/>
        <v>EMPTY</v>
      </c>
      <c r="D927" s="3" t="str">
        <f>IF(C927="SHOW",CONCATENATE(Temp!G923,Temp!H923,",",Temp!I923,",",Temp!J923,Temp!K923),"")</f>
        <v/>
      </c>
      <c r="E927" s="7"/>
      <c r="F927" s="8" t="str">
        <f t="shared" si="29"/>
        <v/>
      </c>
    </row>
    <row r="928" spans="1:6" x14ac:dyDescent="0.25">
      <c r="A928" s="13" t="str">
        <f>IF(AND($E928="",MAX($A$8:$A927)=0),"",IF(AND($E928&lt;&gt;"",MAX($A$8:$A927)=0),1,IF(AND($E928&lt;&gt;"",MAX($A$8:$A927)&gt;0),MAX($A$8:$A927)+1,"")))</f>
        <v/>
      </c>
      <c r="B928" s="11">
        <v>921</v>
      </c>
      <c r="C928" s="19" t="str">
        <f t="shared" si="28"/>
        <v>EMPTY</v>
      </c>
      <c r="D928" s="3" t="str">
        <f>IF(C928="SHOW",CONCATENATE(Temp!G924,Temp!H924,",",Temp!I924,",",Temp!J924,Temp!K924),"")</f>
        <v/>
      </c>
      <c r="E928" s="7"/>
      <c r="F928" s="8" t="str">
        <f t="shared" si="29"/>
        <v/>
      </c>
    </row>
    <row r="929" spans="1:6" x14ac:dyDescent="0.25">
      <c r="A929" s="13" t="str">
        <f>IF(AND($E929="",MAX($A$8:$A928)=0),"",IF(AND($E929&lt;&gt;"",MAX($A$8:$A928)=0),1,IF(AND($E929&lt;&gt;"",MAX($A$8:$A928)&gt;0),MAX($A$8:$A928)+1,"")))</f>
        <v/>
      </c>
      <c r="B929" s="11">
        <v>922</v>
      </c>
      <c r="C929" s="19" t="str">
        <f t="shared" si="28"/>
        <v>EMPTY</v>
      </c>
      <c r="D929" s="3" t="str">
        <f>IF(C929="SHOW",CONCATENATE(Temp!G925,Temp!H925,",",Temp!I925,",",Temp!J925,Temp!K925),"")</f>
        <v/>
      </c>
      <c r="E929" s="7"/>
      <c r="F929" s="8" t="str">
        <f t="shared" si="29"/>
        <v/>
      </c>
    </row>
    <row r="930" spans="1:6" x14ac:dyDescent="0.25">
      <c r="A930" s="13" t="str">
        <f>IF(AND($E930="",MAX($A$8:$A929)=0),"",IF(AND($E930&lt;&gt;"",MAX($A$8:$A929)=0),1,IF(AND($E930&lt;&gt;"",MAX($A$8:$A929)&gt;0),MAX($A$8:$A929)+1,"")))</f>
        <v/>
      </c>
      <c r="B930" s="11">
        <v>923</v>
      </c>
      <c r="C930" s="19" t="str">
        <f t="shared" si="28"/>
        <v>EMPTY</v>
      </c>
      <c r="D930" s="3" t="str">
        <f>IF(C930="SHOW",CONCATENATE(Temp!G926,Temp!H926,",",Temp!I926,",",Temp!J926,Temp!K926),"")</f>
        <v/>
      </c>
      <c r="E930" s="7"/>
      <c r="F930" s="8" t="str">
        <f t="shared" si="29"/>
        <v/>
      </c>
    </row>
    <row r="931" spans="1:6" x14ac:dyDescent="0.25">
      <c r="A931" s="13" t="str">
        <f>IF(AND($E931="",MAX($A$8:$A930)=0),"",IF(AND($E931&lt;&gt;"",MAX($A$8:$A930)=0),1,IF(AND($E931&lt;&gt;"",MAX($A$8:$A930)&gt;0),MAX($A$8:$A930)+1,"")))</f>
        <v/>
      </c>
      <c r="B931" s="11">
        <v>924</v>
      </c>
      <c r="C931" s="19" t="str">
        <f t="shared" si="28"/>
        <v>EMPTY</v>
      </c>
      <c r="D931" s="3" t="str">
        <f>IF(C931="SHOW",CONCATENATE(Temp!G927,Temp!H927,",",Temp!I927,",",Temp!J927,Temp!K927),"")</f>
        <v/>
      </c>
      <c r="E931" s="7"/>
      <c r="F931" s="8" t="str">
        <f t="shared" si="29"/>
        <v/>
      </c>
    </row>
    <row r="932" spans="1:6" x14ac:dyDescent="0.25">
      <c r="A932" s="13" t="str">
        <f>IF(AND($E932="",MAX($A$8:$A931)=0),"",IF(AND($E932&lt;&gt;"",MAX($A$8:$A931)=0),1,IF(AND($E932&lt;&gt;"",MAX($A$8:$A931)&gt;0),MAX($A$8:$A931)+1,"")))</f>
        <v/>
      </c>
      <c r="B932" s="11">
        <v>925</v>
      </c>
      <c r="C932" s="19" t="str">
        <f t="shared" si="28"/>
        <v>EMPTY</v>
      </c>
      <c r="D932" s="3" t="str">
        <f>IF(C932="SHOW",CONCATENATE(Temp!G928,Temp!H928,",",Temp!I928,",",Temp!J928,Temp!K928),"")</f>
        <v/>
      </c>
      <c r="E932" s="7"/>
      <c r="F932" s="8" t="str">
        <f t="shared" si="29"/>
        <v/>
      </c>
    </row>
    <row r="933" spans="1:6" x14ac:dyDescent="0.25">
      <c r="A933" s="13" t="str">
        <f>IF(AND($E933="",MAX($A$8:$A932)=0),"",IF(AND($E933&lt;&gt;"",MAX($A$8:$A932)=0),1,IF(AND($E933&lt;&gt;"",MAX($A$8:$A932)&gt;0),MAX($A$8:$A932)+1,"")))</f>
        <v/>
      </c>
      <c r="B933" s="11">
        <v>926</v>
      </c>
      <c r="C933" s="19" t="str">
        <f t="shared" si="28"/>
        <v>EMPTY</v>
      </c>
      <c r="D933" s="3" t="str">
        <f>IF(C933="SHOW",CONCATENATE(Temp!G929,Temp!H929,",",Temp!I929,",",Temp!J929,Temp!K929),"")</f>
        <v/>
      </c>
      <c r="E933" s="7"/>
      <c r="F933" s="8" t="str">
        <f t="shared" si="29"/>
        <v/>
      </c>
    </row>
    <row r="934" spans="1:6" x14ac:dyDescent="0.25">
      <c r="A934" s="13" t="str">
        <f>IF(AND($E934="",MAX($A$8:$A933)=0),"",IF(AND($E934&lt;&gt;"",MAX($A$8:$A933)=0),1,IF(AND($E934&lt;&gt;"",MAX($A$8:$A933)&gt;0),MAX($A$8:$A933)+1,"")))</f>
        <v/>
      </c>
      <c r="B934" s="11">
        <v>927</v>
      </c>
      <c r="C934" s="19" t="str">
        <f t="shared" si="28"/>
        <v>EMPTY</v>
      </c>
      <c r="D934" s="3" t="str">
        <f>IF(C934="SHOW",CONCATENATE(Temp!G930,Temp!H930,",",Temp!I930,",",Temp!J930,Temp!K930),"")</f>
        <v/>
      </c>
      <c r="E934" s="7"/>
      <c r="F934" s="8" t="str">
        <f t="shared" si="29"/>
        <v/>
      </c>
    </row>
    <row r="935" spans="1:6" x14ac:dyDescent="0.25">
      <c r="A935" s="13" t="str">
        <f>IF(AND($E935="",MAX($A$8:$A934)=0),"",IF(AND($E935&lt;&gt;"",MAX($A$8:$A934)=0),1,IF(AND($E935&lt;&gt;"",MAX($A$8:$A934)&gt;0),MAX($A$8:$A934)+1,"")))</f>
        <v/>
      </c>
      <c r="B935" s="11">
        <v>928</v>
      </c>
      <c r="C935" s="19" t="str">
        <f t="shared" si="28"/>
        <v>EMPTY</v>
      </c>
      <c r="D935" s="3" t="str">
        <f>IF(C935="SHOW",CONCATENATE(Temp!G931,Temp!H931,",",Temp!I931,",",Temp!J931,Temp!K931),"")</f>
        <v/>
      </c>
      <c r="E935" s="7"/>
      <c r="F935" s="8" t="str">
        <f t="shared" si="29"/>
        <v/>
      </c>
    </row>
    <row r="936" spans="1:6" x14ac:dyDescent="0.25">
      <c r="A936" s="13" t="str">
        <f>IF(AND($E936="",MAX($A$8:$A935)=0),"",IF(AND($E936&lt;&gt;"",MAX($A$8:$A935)=0),1,IF(AND($E936&lt;&gt;"",MAX($A$8:$A935)&gt;0),MAX($A$8:$A935)+1,"")))</f>
        <v/>
      </c>
      <c r="B936" s="11">
        <v>929</v>
      </c>
      <c r="C936" s="19" t="str">
        <f t="shared" si="28"/>
        <v>EMPTY</v>
      </c>
      <c r="D936" s="3" t="str">
        <f>IF(C936="SHOW",CONCATENATE(Temp!G932,Temp!H932,",",Temp!I932,",",Temp!J932,Temp!K932),"")</f>
        <v/>
      </c>
      <c r="E936" s="7"/>
      <c r="F936" s="8" t="str">
        <f t="shared" si="29"/>
        <v/>
      </c>
    </row>
    <row r="937" spans="1:6" x14ac:dyDescent="0.25">
      <c r="A937" s="13" t="str">
        <f>IF(AND($E937="",MAX($A$8:$A936)=0),"",IF(AND($E937&lt;&gt;"",MAX($A$8:$A936)=0),1,IF(AND($E937&lt;&gt;"",MAX($A$8:$A936)&gt;0),MAX($A$8:$A936)+1,"")))</f>
        <v/>
      </c>
      <c r="B937" s="11">
        <v>930</v>
      </c>
      <c r="C937" s="19" t="str">
        <f t="shared" si="28"/>
        <v>EMPTY</v>
      </c>
      <c r="D937" s="3" t="str">
        <f>IF(C937="SHOW",CONCATENATE(Temp!G933,Temp!H933,",",Temp!I933,",",Temp!J933,Temp!K933),"")</f>
        <v/>
      </c>
      <c r="E937" s="7"/>
      <c r="F937" s="8" t="str">
        <f t="shared" si="29"/>
        <v/>
      </c>
    </row>
    <row r="938" spans="1:6" x14ac:dyDescent="0.25">
      <c r="A938" s="13" t="str">
        <f>IF(AND($E938="",MAX($A$8:$A937)=0),"",IF(AND($E938&lt;&gt;"",MAX($A$8:$A937)=0),1,IF(AND($E938&lt;&gt;"",MAX($A$8:$A937)&gt;0),MAX($A$8:$A937)+1,"")))</f>
        <v/>
      </c>
      <c r="B938" s="11">
        <v>931</v>
      </c>
      <c r="C938" s="19" t="str">
        <f t="shared" si="28"/>
        <v>EMPTY</v>
      </c>
      <c r="D938" s="3" t="str">
        <f>IF(C938="SHOW",CONCATENATE(Temp!G934,Temp!H934,",",Temp!I934,",",Temp!J934,Temp!K934),"")</f>
        <v/>
      </c>
      <c r="E938" s="7"/>
      <c r="F938" s="8" t="str">
        <f t="shared" si="29"/>
        <v/>
      </c>
    </row>
    <row r="939" spans="1:6" x14ac:dyDescent="0.25">
      <c r="A939" s="13" t="str">
        <f>IF(AND($E939="",MAX($A$8:$A938)=0),"",IF(AND($E939&lt;&gt;"",MAX($A$8:$A938)=0),1,IF(AND($E939&lt;&gt;"",MAX($A$8:$A938)&gt;0),MAX($A$8:$A938)+1,"")))</f>
        <v/>
      </c>
      <c r="B939" s="11">
        <v>932</v>
      </c>
      <c r="C939" s="19" t="str">
        <f t="shared" si="28"/>
        <v>EMPTY</v>
      </c>
      <c r="D939" s="3" t="str">
        <f>IF(C939="SHOW",CONCATENATE(Temp!G935,Temp!H935,",",Temp!I935,",",Temp!J935,Temp!K935),"")</f>
        <v/>
      </c>
      <c r="E939" s="7"/>
      <c r="F939" s="8" t="str">
        <f t="shared" si="29"/>
        <v/>
      </c>
    </row>
    <row r="940" spans="1:6" x14ac:dyDescent="0.25">
      <c r="A940" s="13" t="str">
        <f>IF(AND($E940="",MAX($A$8:$A939)=0),"",IF(AND($E940&lt;&gt;"",MAX($A$8:$A939)=0),1,IF(AND($E940&lt;&gt;"",MAX($A$8:$A939)&gt;0),MAX($A$8:$A939)+1,"")))</f>
        <v/>
      </c>
      <c r="B940" s="11">
        <v>933</v>
      </c>
      <c r="C940" s="19" t="str">
        <f t="shared" si="28"/>
        <v>EMPTY</v>
      </c>
      <c r="D940" s="3" t="str">
        <f>IF(C940="SHOW",CONCATENATE(Temp!G936,Temp!H936,",",Temp!I936,",",Temp!J936,Temp!K936),"")</f>
        <v/>
      </c>
      <c r="E940" s="7"/>
      <c r="F940" s="8" t="str">
        <f t="shared" si="29"/>
        <v/>
      </c>
    </row>
    <row r="941" spans="1:6" x14ac:dyDescent="0.25">
      <c r="A941" s="13" t="str">
        <f>IF(AND($E941="",MAX($A$8:$A940)=0),"",IF(AND($E941&lt;&gt;"",MAX($A$8:$A940)=0),1,IF(AND($E941&lt;&gt;"",MAX($A$8:$A940)&gt;0),MAX($A$8:$A940)+1,"")))</f>
        <v/>
      </c>
      <c r="B941" s="11">
        <v>934</v>
      </c>
      <c r="C941" s="19" t="str">
        <f t="shared" si="28"/>
        <v>EMPTY</v>
      </c>
      <c r="D941" s="3" t="str">
        <f>IF(C941="SHOW",CONCATENATE(Temp!G937,Temp!H937,",",Temp!I937,",",Temp!J937,Temp!K937),"")</f>
        <v/>
      </c>
      <c r="E941" s="7"/>
      <c r="F941" s="8" t="str">
        <f t="shared" si="29"/>
        <v/>
      </c>
    </row>
    <row r="942" spans="1:6" x14ac:dyDescent="0.25">
      <c r="A942" s="13" t="str">
        <f>IF(AND($E942="",MAX($A$8:$A941)=0),"",IF(AND($E942&lt;&gt;"",MAX($A$8:$A941)=0),1,IF(AND($E942&lt;&gt;"",MAX($A$8:$A941)&gt;0),MAX($A$8:$A941)+1,"")))</f>
        <v/>
      </c>
      <c r="B942" s="11">
        <v>935</v>
      </c>
      <c r="C942" s="19" t="str">
        <f t="shared" si="28"/>
        <v>EMPTY</v>
      </c>
      <c r="D942" s="3" t="str">
        <f>IF(C942="SHOW",CONCATENATE(Temp!G938,Temp!H938,",",Temp!I938,",",Temp!J938,Temp!K938),"")</f>
        <v/>
      </c>
      <c r="E942" s="7"/>
      <c r="F942" s="8" t="str">
        <f t="shared" si="29"/>
        <v/>
      </c>
    </row>
    <row r="943" spans="1:6" x14ac:dyDescent="0.25">
      <c r="A943" s="13" t="str">
        <f>IF(AND($E943="",MAX($A$8:$A942)=0),"",IF(AND($E943&lt;&gt;"",MAX($A$8:$A942)=0),1,IF(AND($E943&lt;&gt;"",MAX($A$8:$A942)&gt;0),MAX($A$8:$A942)+1,"")))</f>
        <v/>
      </c>
      <c r="B943" s="11">
        <v>936</v>
      </c>
      <c r="C943" s="19" t="str">
        <f t="shared" si="28"/>
        <v>EMPTY</v>
      </c>
      <c r="D943" s="3" t="str">
        <f>IF(C943="SHOW",CONCATENATE(Temp!G939,Temp!H939,",",Temp!I939,",",Temp!J939,Temp!K939),"")</f>
        <v/>
      </c>
      <c r="E943" s="7"/>
      <c r="F943" s="8" t="str">
        <f t="shared" si="29"/>
        <v/>
      </c>
    </row>
    <row r="944" spans="1:6" x14ac:dyDescent="0.25">
      <c r="A944" s="13" t="str">
        <f>IF(AND($E944="",MAX($A$8:$A943)=0),"",IF(AND($E944&lt;&gt;"",MAX($A$8:$A943)=0),1,IF(AND($E944&lt;&gt;"",MAX($A$8:$A943)&gt;0),MAX($A$8:$A943)+1,"")))</f>
        <v/>
      </c>
      <c r="B944" s="11">
        <v>937</v>
      </c>
      <c r="C944" s="19" t="str">
        <f t="shared" si="28"/>
        <v>EMPTY</v>
      </c>
      <c r="D944" s="3" t="str">
        <f>IF(C944="SHOW",CONCATENATE(Temp!G940,Temp!H940,",",Temp!I940,",",Temp!J940,Temp!K940),"")</f>
        <v/>
      </c>
      <c r="E944" s="7"/>
      <c r="F944" s="8" t="str">
        <f t="shared" si="29"/>
        <v/>
      </c>
    </row>
    <row r="945" spans="1:6" x14ac:dyDescent="0.25">
      <c r="A945" s="13" t="str">
        <f>IF(AND($E945="",MAX($A$8:$A944)=0),"",IF(AND($E945&lt;&gt;"",MAX($A$8:$A944)=0),1,IF(AND($E945&lt;&gt;"",MAX($A$8:$A944)&gt;0),MAX($A$8:$A944)+1,"")))</f>
        <v/>
      </c>
      <c r="B945" s="11">
        <v>938</v>
      </c>
      <c r="C945" s="19" t="str">
        <f t="shared" si="28"/>
        <v>EMPTY</v>
      </c>
      <c r="D945" s="3" t="str">
        <f>IF(C945="SHOW",CONCATENATE(Temp!G941,Temp!H941,",",Temp!I941,",",Temp!J941,Temp!K941),"")</f>
        <v/>
      </c>
      <c r="E945" s="7"/>
      <c r="F945" s="8" t="str">
        <f t="shared" si="29"/>
        <v/>
      </c>
    </row>
    <row r="946" spans="1:6" x14ac:dyDescent="0.25">
      <c r="A946" s="13" t="str">
        <f>IF(AND($E946="",MAX($A$8:$A945)=0),"",IF(AND($E946&lt;&gt;"",MAX($A$8:$A945)=0),1,IF(AND($E946&lt;&gt;"",MAX($A$8:$A945)&gt;0),MAX($A$8:$A945)+1,"")))</f>
        <v/>
      </c>
      <c r="B946" s="11">
        <v>939</v>
      </c>
      <c r="C946" s="19" t="str">
        <f t="shared" si="28"/>
        <v>EMPTY</v>
      </c>
      <c r="D946" s="3" t="str">
        <f>IF(C946="SHOW",CONCATENATE(Temp!G942,Temp!H942,",",Temp!I942,",",Temp!J942,Temp!K942),"")</f>
        <v/>
      </c>
      <c r="E946" s="7"/>
      <c r="F946" s="8" t="str">
        <f t="shared" si="29"/>
        <v/>
      </c>
    </row>
    <row r="947" spans="1:6" x14ac:dyDescent="0.25">
      <c r="A947" s="13" t="str">
        <f>IF(AND($E947="",MAX($A$8:$A946)=0),"",IF(AND($E947&lt;&gt;"",MAX($A$8:$A946)=0),1,IF(AND($E947&lt;&gt;"",MAX($A$8:$A946)&gt;0),MAX($A$8:$A946)+1,"")))</f>
        <v/>
      </c>
      <c r="B947" s="11">
        <v>940</v>
      </c>
      <c r="C947" s="19" t="str">
        <f t="shared" si="28"/>
        <v>EMPTY</v>
      </c>
      <c r="D947" s="3" t="str">
        <f>IF(C947="SHOW",CONCATENATE(Temp!G943,Temp!H943,",",Temp!I943,",",Temp!J943,Temp!K943),"")</f>
        <v/>
      </c>
      <c r="E947" s="7"/>
      <c r="F947" s="8" t="str">
        <f t="shared" si="29"/>
        <v/>
      </c>
    </row>
    <row r="948" spans="1:6" x14ac:dyDescent="0.25">
      <c r="A948" s="13" t="str">
        <f>IF(AND($E948="",MAX($A$8:$A947)=0),"",IF(AND($E948&lt;&gt;"",MAX($A$8:$A947)=0),1,IF(AND($E948&lt;&gt;"",MAX($A$8:$A947)&gt;0),MAX($A$8:$A947)+1,"")))</f>
        <v/>
      </c>
      <c r="B948" s="11">
        <v>941</v>
      </c>
      <c r="C948" s="19" t="str">
        <f t="shared" si="28"/>
        <v>EMPTY</v>
      </c>
      <c r="D948" s="3" t="str">
        <f>IF(C948="SHOW",CONCATENATE(Temp!G944,Temp!H944,",",Temp!I944,",",Temp!J944,Temp!K944),"")</f>
        <v/>
      </c>
      <c r="E948" s="7"/>
      <c r="F948" s="8" t="str">
        <f t="shared" si="29"/>
        <v/>
      </c>
    </row>
    <row r="949" spans="1:6" x14ac:dyDescent="0.25">
      <c r="A949" s="13" t="str">
        <f>IF(AND($E949="",MAX($A$8:$A948)=0),"",IF(AND($E949&lt;&gt;"",MAX($A$8:$A948)=0),1,IF(AND($E949&lt;&gt;"",MAX($A$8:$A948)&gt;0),MAX($A$8:$A948)+1,"")))</f>
        <v/>
      </c>
      <c r="B949" s="11">
        <v>942</v>
      </c>
      <c r="C949" s="19" t="str">
        <f t="shared" si="28"/>
        <v>EMPTY</v>
      </c>
      <c r="D949" s="3" t="str">
        <f>IF(C949="SHOW",CONCATENATE(Temp!G945,Temp!H945,",",Temp!I945,",",Temp!J945,Temp!K945),"")</f>
        <v/>
      </c>
      <c r="E949" s="7"/>
      <c r="F949" s="8" t="str">
        <f t="shared" si="29"/>
        <v/>
      </c>
    </row>
    <row r="950" spans="1:6" x14ac:dyDescent="0.25">
      <c r="A950" s="13" t="str">
        <f>IF(AND($E950="",MAX($A$8:$A949)=0),"",IF(AND($E950&lt;&gt;"",MAX($A$8:$A949)=0),1,IF(AND($E950&lt;&gt;"",MAX($A$8:$A949)&gt;0),MAX($A$8:$A949)+1,"")))</f>
        <v/>
      </c>
      <c r="B950" s="11">
        <v>943</v>
      </c>
      <c r="C950" s="19" t="str">
        <f t="shared" si="28"/>
        <v>EMPTY</v>
      </c>
      <c r="D950" s="3" t="str">
        <f>IF(C950="SHOW",CONCATENATE(Temp!G946,Temp!H946,",",Temp!I946,",",Temp!J946,Temp!K946),"")</f>
        <v/>
      </c>
      <c r="E950" s="7"/>
      <c r="F950" s="8" t="str">
        <f t="shared" si="29"/>
        <v/>
      </c>
    </row>
    <row r="951" spans="1:6" x14ac:dyDescent="0.25">
      <c r="A951" s="13" t="str">
        <f>IF(AND($E951="",MAX($A$8:$A950)=0),"",IF(AND($E951&lt;&gt;"",MAX($A$8:$A950)=0),1,IF(AND($E951&lt;&gt;"",MAX($A$8:$A950)&gt;0),MAX($A$8:$A950)+1,"")))</f>
        <v/>
      </c>
      <c r="B951" s="11">
        <v>944</v>
      </c>
      <c r="C951" s="19" t="str">
        <f t="shared" si="28"/>
        <v>EMPTY</v>
      </c>
      <c r="D951" s="3" t="str">
        <f>IF(C951="SHOW",CONCATENATE(Temp!G947,Temp!H947,",",Temp!I947,",",Temp!J947,Temp!K947),"")</f>
        <v/>
      </c>
      <c r="E951" s="7"/>
      <c r="F951" s="8" t="str">
        <f t="shared" si="29"/>
        <v/>
      </c>
    </row>
    <row r="952" spans="1:6" x14ac:dyDescent="0.25">
      <c r="A952" s="13" t="str">
        <f>IF(AND($E952="",MAX($A$8:$A951)=0),"",IF(AND($E952&lt;&gt;"",MAX($A$8:$A951)=0),1,IF(AND($E952&lt;&gt;"",MAX($A$8:$A951)&gt;0),MAX($A$8:$A951)+1,"")))</f>
        <v/>
      </c>
      <c r="B952" s="11">
        <v>945</v>
      </c>
      <c r="C952" s="19" t="str">
        <f t="shared" si="28"/>
        <v>EMPTY</v>
      </c>
      <c r="D952" s="3" t="str">
        <f>IF(C952="SHOW",CONCATENATE(Temp!G948,Temp!H948,",",Temp!I948,",",Temp!J948,Temp!K948),"")</f>
        <v/>
      </c>
      <c r="E952" s="7"/>
      <c r="F952" s="8" t="str">
        <f t="shared" si="29"/>
        <v/>
      </c>
    </row>
    <row r="953" spans="1:6" x14ac:dyDescent="0.25">
      <c r="A953" s="13" t="str">
        <f>IF(AND($E953="",MAX($A$8:$A952)=0),"",IF(AND($E953&lt;&gt;"",MAX($A$8:$A952)=0),1,IF(AND($E953&lt;&gt;"",MAX($A$8:$A952)&gt;0),MAX($A$8:$A952)+1,"")))</f>
        <v/>
      </c>
      <c r="B953" s="11">
        <v>946</v>
      </c>
      <c r="C953" s="19" t="str">
        <f t="shared" si="28"/>
        <v>EMPTY</v>
      </c>
      <c r="D953" s="3" t="str">
        <f>IF(C953="SHOW",CONCATENATE(Temp!G949,Temp!H949,",",Temp!I949,",",Temp!J949,Temp!K949),"")</f>
        <v/>
      </c>
      <c r="E953" s="7"/>
      <c r="F953" s="8" t="str">
        <f t="shared" si="29"/>
        <v/>
      </c>
    </row>
    <row r="954" spans="1:6" x14ac:dyDescent="0.25">
      <c r="A954" s="13" t="str">
        <f>IF(AND($E954="",MAX($A$8:$A953)=0),"",IF(AND($E954&lt;&gt;"",MAX($A$8:$A953)=0),1,IF(AND($E954&lt;&gt;"",MAX($A$8:$A953)&gt;0),MAX($A$8:$A953)+1,"")))</f>
        <v/>
      </c>
      <c r="B954" s="11">
        <v>947</v>
      </c>
      <c r="C954" s="19" t="str">
        <f t="shared" si="28"/>
        <v>EMPTY</v>
      </c>
      <c r="D954" s="3" t="str">
        <f>IF(C954="SHOW",CONCATENATE(Temp!G950,Temp!H950,",",Temp!I950,",",Temp!J950,Temp!K950),"")</f>
        <v/>
      </c>
      <c r="E954" s="7"/>
      <c r="F954" s="8" t="str">
        <f t="shared" si="29"/>
        <v/>
      </c>
    </row>
    <row r="955" spans="1:6" x14ac:dyDescent="0.25">
      <c r="A955" s="13" t="str">
        <f>IF(AND($E955="",MAX($A$8:$A954)=0),"",IF(AND($E955&lt;&gt;"",MAX($A$8:$A954)=0),1,IF(AND($E955&lt;&gt;"",MAX($A$8:$A954)&gt;0),MAX($A$8:$A954)+1,"")))</f>
        <v/>
      </c>
      <c r="B955" s="11">
        <v>948</v>
      </c>
      <c r="C955" s="19" t="str">
        <f t="shared" si="28"/>
        <v>EMPTY</v>
      </c>
      <c r="D955" s="3" t="str">
        <f>IF(C955="SHOW",CONCATENATE(Temp!G951,Temp!H951,",",Temp!I951,",",Temp!J951,Temp!K951),"")</f>
        <v/>
      </c>
      <c r="E955" s="7"/>
      <c r="F955" s="8" t="str">
        <f t="shared" si="29"/>
        <v/>
      </c>
    </row>
    <row r="956" spans="1:6" x14ac:dyDescent="0.25">
      <c r="A956" s="13" t="str">
        <f>IF(AND($E956="",MAX($A$8:$A955)=0),"",IF(AND($E956&lt;&gt;"",MAX($A$8:$A955)=0),1,IF(AND($E956&lt;&gt;"",MAX($A$8:$A955)&gt;0),MAX($A$8:$A955)+1,"")))</f>
        <v/>
      </c>
      <c r="B956" s="11">
        <v>949</v>
      </c>
      <c r="C956" s="19" t="str">
        <f t="shared" si="28"/>
        <v>EMPTY</v>
      </c>
      <c r="D956" s="3" t="str">
        <f>IF(C956="SHOW",CONCATENATE(Temp!G952,Temp!H952,",",Temp!I952,",",Temp!J952,Temp!K952),"")</f>
        <v/>
      </c>
      <c r="E956" s="7"/>
      <c r="F956" s="8" t="str">
        <f t="shared" si="29"/>
        <v/>
      </c>
    </row>
    <row r="957" spans="1:6" x14ac:dyDescent="0.25">
      <c r="A957" s="13" t="str">
        <f>IF(AND($E957="",MAX($A$8:$A956)=0),"",IF(AND($E957&lt;&gt;"",MAX($A$8:$A956)=0),1,IF(AND($E957&lt;&gt;"",MAX($A$8:$A956)&gt;0),MAX($A$8:$A956)+1,"")))</f>
        <v/>
      </c>
      <c r="B957" s="11">
        <v>950</v>
      </c>
      <c r="C957" s="19" t="str">
        <f t="shared" si="28"/>
        <v>EMPTY</v>
      </c>
      <c r="D957" s="3" t="str">
        <f>IF(C957="SHOW",CONCATENATE(Temp!G953,Temp!H953,",",Temp!I953,",",Temp!J953,Temp!K953),"")</f>
        <v/>
      </c>
      <c r="E957" s="7"/>
      <c r="F957" s="8" t="str">
        <f t="shared" si="29"/>
        <v/>
      </c>
    </row>
    <row r="958" spans="1:6" x14ac:dyDescent="0.25">
      <c r="A958" s="13" t="str">
        <f>IF(AND($E958="",MAX($A$8:$A957)=0),"",IF(AND($E958&lt;&gt;"",MAX($A$8:$A957)=0),1,IF(AND($E958&lt;&gt;"",MAX($A$8:$A957)&gt;0),MAX($A$8:$A957)+1,"")))</f>
        <v/>
      </c>
      <c r="B958" s="11">
        <v>951</v>
      </c>
      <c r="C958" s="19" t="str">
        <f t="shared" si="28"/>
        <v>EMPTY</v>
      </c>
      <c r="D958" s="3" t="str">
        <f>IF(C958="SHOW",CONCATENATE(Temp!G954,Temp!H954,",",Temp!I954,",",Temp!J954,Temp!K954),"")</f>
        <v/>
      </c>
      <c r="E958" s="7"/>
      <c r="F958" s="8" t="str">
        <f t="shared" si="29"/>
        <v/>
      </c>
    </row>
    <row r="959" spans="1:6" x14ac:dyDescent="0.25">
      <c r="A959" s="13" t="str">
        <f>IF(AND($E959="",MAX($A$8:$A958)=0),"",IF(AND($E959&lt;&gt;"",MAX($A$8:$A958)=0),1,IF(AND($E959&lt;&gt;"",MAX($A$8:$A958)&gt;0),MAX($A$8:$A958)+1,"")))</f>
        <v/>
      </c>
      <c r="B959" s="11">
        <v>952</v>
      </c>
      <c r="C959" s="19" t="str">
        <f t="shared" si="28"/>
        <v>EMPTY</v>
      </c>
      <c r="D959" s="3" t="str">
        <f>IF(C959="SHOW",CONCATENATE(Temp!G955,Temp!H955,",",Temp!I955,",",Temp!J955,Temp!K955),"")</f>
        <v/>
      </c>
      <c r="E959" s="7"/>
      <c r="F959" s="8" t="str">
        <f t="shared" si="29"/>
        <v/>
      </c>
    </row>
    <row r="960" spans="1:6" x14ac:dyDescent="0.25">
      <c r="A960" s="13" t="str">
        <f>IF(AND($E960="",MAX($A$8:$A959)=0),"",IF(AND($E960&lt;&gt;"",MAX($A$8:$A959)=0),1,IF(AND($E960&lt;&gt;"",MAX($A$8:$A959)&gt;0),MAX($A$8:$A959)+1,"")))</f>
        <v/>
      </c>
      <c r="B960" s="11">
        <v>953</v>
      </c>
      <c r="C960" s="19" t="str">
        <f t="shared" si="28"/>
        <v>EMPTY</v>
      </c>
      <c r="D960" s="3" t="str">
        <f>IF(C960="SHOW",CONCATENATE(Temp!G956,Temp!H956,",",Temp!I956,",",Temp!J956,Temp!K956),"")</f>
        <v/>
      </c>
      <c r="E960" s="7"/>
      <c r="F960" s="8" t="str">
        <f t="shared" si="29"/>
        <v/>
      </c>
    </row>
    <row r="961" spans="1:6" x14ac:dyDescent="0.25">
      <c r="A961" s="13" t="str">
        <f>IF(AND($E961="",MAX($A$8:$A960)=0),"",IF(AND($E961&lt;&gt;"",MAX($A$8:$A960)=0),1,IF(AND($E961&lt;&gt;"",MAX($A$8:$A960)&gt;0),MAX($A$8:$A960)+1,"")))</f>
        <v/>
      </c>
      <c r="B961" s="11">
        <v>954</v>
      </c>
      <c r="C961" s="19" t="str">
        <f t="shared" si="28"/>
        <v>EMPTY</v>
      </c>
      <c r="D961" s="3" t="str">
        <f>IF(C961="SHOW",CONCATENATE(Temp!G957,Temp!H957,",",Temp!I957,",",Temp!J957,Temp!K957),"")</f>
        <v/>
      </c>
      <c r="E961" s="7"/>
      <c r="F961" s="8" t="str">
        <f t="shared" si="29"/>
        <v/>
      </c>
    </row>
    <row r="962" spans="1:6" x14ac:dyDescent="0.25">
      <c r="A962" s="13" t="str">
        <f>IF(AND($E962="",MAX($A$8:$A961)=0),"",IF(AND($E962&lt;&gt;"",MAX($A$8:$A961)=0),1,IF(AND($E962&lt;&gt;"",MAX($A$8:$A961)&gt;0),MAX($A$8:$A961)+1,"")))</f>
        <v/>
      </c>
      <c r="B962" s="11">
        <v>955</v>
      </c>
      <c r="C962" s="19" t="str">
        <f t="shared" si="28"/>
        <v>EMPTY</v>
      </c>
      <c r="D962" s="3" t="str">
        <f>IF(C962="SHOW",CONCATENATE(Temp!G958,Temp!H958,",",Temp!I958,",",Temp!J958,Temp!K958),"")</f>
        <v/>
      </c>
      <c r="E962" s="7"/>
      <c r="F962" s="8" t="str">
        <f t="shared" si="29"/>
        <v/>
      </c>
    </row>
    <row r="963" spans="1:6" x14ac:dyDescent="0.25">
      <c r="A963" s="13" t="str">
        <f>IF(AND($E963="",MAX($A$8:$A962)=0),"",IF(AND($E963&lt;&gt;"",MAX($A$8:$A962)=0),1,IF(AND($E963&lt;&gt;"",MAX($A$8:$A962)&gt;0),MAX($A$8:$A962)+1,"")))</f>
        <v/>
      </c>
      <c r="B963" s="11">
        <v>956</v>
      </c>
      <c r="C963" s="19" t="str">
        <f t="shared" si="28"/>
        <v>EMPTY</v>
      </c>
      <c r="D963" s="3" t="str">
        <f>IF(C963="SHOW",CONCATENATE(Temp!G959,Temp!H959,",",Temp!I959,",",Temp!J959,Temp!K959),"")</f>
        <v/>
      </c>
      <c r="E963" s="7"/>
      <c r="F963" s="8" t="str">
        <f t="shared" si="29"/>
        <v/>
      </c>
    </row>
    <row r="964" spans="1:6" x14ac:dyDescent="0.25">
      <c r="A964" s="13" t="str">
        <f>IF(AND($E964="",MAX($A$8:$A963)=0),"",IF(AND($E964&lt;&gt;"",MAX($A$8:$A963)=0),1,IF(AND($E964&lt;&gt;"",MAX($A$8:$A963)&gt;0),MAX($A$8:$A963)+1,"")))</f>
        <v/>
      </c>
      <c r="B964" s="11">
        <v>957</v>
      </c>
      <c r="C964" s="19" t="str">
        <f t="shared" si="28"/>
        <v>EMPTY</v>
      </c>
      <c r="D964" s="3" t="str">
        <f>IF(C964="SHOW",CONCATENATE(Temp!G960,Temp!H960,",",Temp!I960,",",Temp!J960,Temp!K960),"")</f>
        <v/>
      </c>
      <c r="E964" s="7"/>
      <c r="F964" s="8" t="str">
        <f t="shared" si="29"/>
        <v/>
      </c>
    </row>
    <row r="965" spans="1:6" x14ac:dyDescent="0.25">
      <c r="A965" s="13" t="str">
        <f>IF(AND($E965="",MAX($A$8:$A964)=0),"",IF(AND($E965&lt;&gt;"",MAX($A$8:$A964)=0),1,IF(AND($E965&lt;&gt;"",MAX($A$8:$A964)&gt;0),MAX($A$8:$A964)+1,"")))</f>
        <v/>
      </c>
      <c r="B965" s="11">
        <v>958</v>
      </c>
      <c r="C965" s="19" t="str">
        <f t="shared" si="28"/>
        <v>EMPTY</v>
      </c>
      <c r="D965" s="3" t="str">
        <f>IF(C965="SHOW",CONCATENATE(Temp!G961,Temp!H961,",",Temp!I961,",",Temp!J961,Temp!K961),"")</f>
        <v/>
      </c>
      <c r="E965" s="7"/>
      <c r="F965" s="8" t="str">
        <f t="shared" si="29"/>
        <v/>
      </c>
    </row>
    <row r="966" spans="1:6" x14ac:dyDescent="0.25">
      <c r="A966" s="13" t="str">
        <f>IF(AND($E966="",MAX($A$8:$A965)=0),"",IF(AND($E966&lt;&gt;"",MAX($A$8:$A965)=0),1,IF(AND($E966&lt;&gt;"",MAX($A$8:$A965)&gt;0),MAX($A$8:$A965)+1,"")))</f>
        <v/>
      </c>
      <c r="B966" s="11">
        <v>959</v>
      </c>
      <c r="C966" s="19" t="str">
        <f t="shared" si="28"/>
        <v>EMPTY</v>
      </c>
      <c r="D966" s="3" t="str">
        <f>IF(C966="SHOW",CONCATENATE(Temp!G962,Temp!H962,",",Temp!I962,",",Temp!J962,Temp!K962),"")</f>
        <v/>
      </c>
      <c r="E966" s="7"/>
      <c r="F966" s="8" t="str">
        <f t="shared" si="29"/>
        <v/>
      </c>
    </row>
    <row r="967" spans="1:6" x14ac:dyDescent="0.25">
      <c r="A967" s="13" t="str">
        <f>IF(AND($E967="",MAX($A$8:$A966)=0),"",IF(AND($E967&lt;&gt;"",MAX($A$8:$A966)=0),1,IF(AND($E967&lt;&gt;"",MAX($A$8:$A966)&gt;0),MAX($A$8:$A966)+1,"")))</f>
        <v/>
      </c>
      <c r="B967" s="11">
        <v>960</v>
      </c>
      <c r="C967" s="19" t="str">
        <f t="shared" si="28"/>
        <v>EMPTY</v>
      </c>
      <c r="D967" s="3" t="str">
        <f>IF(C967="SHOW",CONCATENATE(Temp!G963,Temp!H963,",",Temp!I963,",",Temp!J963,Temp!K963),"")</f>
        <v/>
      </c>
      <c r="E967" s="7"/>
      <c r="F967" s="8" t="str">
        <f t="shared" si="29"/>
        <v/>
      </c>
    </row>
    <row r="968" spans="1:6" x14ac:dyDescent="0.25">
      <c r="A968" s="13" t="str">
        <f>IF(AND($E968="",MAX($A$8:$A967)=0),"",IF(AND($E968&lt;&gt;"",MAX($A$8:$A967)=0),1,IF(AND($E968&lt;&gt;"",MAX($A$8:$A967)&gt;0),MAX($A$8:$A967)+1,"")))</f>
        <v/>
      </c>
      <c r="B968" s="11">
        <v>961</v>
      </c>
      <c r="C968" s="19" t="str">
        <f t="shared" si="28"/>
        <v>EMPTY</v>
      </c>
      <c r="D968" s="3" t="str">
        <f>IF(C968="SHOW",CONCATENATE(Temp!G964,Temp!H964,",",Temp!I964,",",Temp!J964,Temp!K964),"")</f>
        <v/>
      </c>
      <c r="E968" s="7"/>
      <c r="F968" s="8" t="str">
        <f t="shared" si="29"/>
        <v/>
      </c>
    </row>
    <row r="969" spans="1:6" x14ac:dyDescent="0.25">
      <c r="A969" s="13" t="str">
        <f>IF(AND($E969="",MAX($A$8:$A968)=0),"",IF(AND($E969&lt;&gt;"",MAX($A$8:$A968)=0),1,IF(AND($E969&lt;&gt;"",MAX($A$8:$A968)&gt;0),MAX($A$8:$A968)+1,"")))</f>
        <v/>
      </c>
      <c r="B969" s="11">
        <v>962</v>
      </c>
      <c r="C969" s="19" t="str">
        <f t="shared" ref="C969:C1007" si="30">IF(E969="","EMPTY",IF(MID(E969,1,9)&lt;&gt;"Dialogue:","HIDE",IF(MID(E969,1,9)="Dialogue:","SHOW","")))</f>
        <v>EMPTY</v>
      </c>
      <c r="D969" s="3" t="str">
        <f>IF(C969="SHOW",CONCATENATE(Temp!G965,Temp!H965,",",Temp!I965,",",Temp!J965,Temp!K965),"")</f>
        <v/>
      </c>
      <c r="E969" s="7"/>
      <c r="F969" s="8" t="str">
        <f t="shared" ref="F969:F1007" si="31">$D969</f>
        <v/>
      </c>
    </row>
    <row r="970" spans="1:6" x14ac:dyDescent="0.25">
      <c r="A970" s="13" t="str">
        <f>IF(AND($E970="",MAX($A$8:$A969)=0),"",IF(AND($E970&lt;&gt;"",MAX($A$8:$A969)=0),1,IF(AND($E970&lt;&gt;"",MAX($A$8:$A969)&gt;0),MAX($A$8:$A969)+1,"")))</f>
        <v/>
      </c>
      <c r="B970" s="11">
        <v>963</v>
      </c>
      <c r="C970" s="19" t="str">
        <f t="shared" si="30"/>
        <v>EMPTY</v>
      </c>
      <c r="D970" s="3" t="str">
        <f>IF(C970="SHOW",CONCATENATE(Temp!G966,Temp!H966,",",Temp!I966,",",Temp!J966,Temp!K966),"")</f>
        <v/>
      </c>
      <c r="E970" s="7"/>
      <c r="F970" s="8" t="str">
        <f t="shared" si="31"/>
        <v/>
      </c>
    </row>
    <row r="971" spans="1:6" x14ac:dyDescent="0.25">
      <c r="A971" s="13" t="str">
        <f>IF(AND($E971="",MAX($A$8:$A970)=0),"",IF(AND($E971&lt;&gt;"",MAX($A$8:$A970)=0),1,IF(AND($E971&lt;&gt;"",MAX($A$8:$A970)&gt;0),MAX($A$8:$A970)+1,"")))</f>
        <v/>
      </c>
      <c r="B971" s="11">
        <v>964</v>
      </c>
      <c r="C971" s="19" t="str">
        <f t="shared" si="30"/>
        <v>EMPTY</v>
      </c>
      <c r="D971" s="3" t="str">
        <f>IF(C971="SHOW",CONCATENATE(Temp!G967,Temp!H967,",",Temp!I967,",",Temp!J967,Temp!K967),"")</f>
        <v/>
      </c>
      <c r="E971" s="7"/>
      <c r="F971" s="8" t="str">
        <f t="shared" si="31"/>
        <v/>
      </c>
    </row>
    <row r="972" spans="1:6" x14ac:dyDescent="0.25">
      <c r="A972" s="13" t="str">
        <f>IF(AND($E972="",MAX($A$8:$A971)=0),"",IF(AND($E972&lt;&gt;"",MAX($A$8:$A971)=0),1,IF(AND($E972&lt;&gt;"",MAX($A$8:$A971)&gt;0),MAX($A$8:$A971)+1,"")))</f>
        <v/>
      </c>
      <c r="B972" s="11">
        <v>965</v>
      </c>
      <c r="C972" s="19" t="str">
        <f t="shared" si="30"/>
        <v>EMPTY</v>
      </c>
      <c r="D972" s="3" t="str">
        <f>IF(C972="SHOW",CONCATENATE(Temp!G968,Temp!H968,",",Temp!I968,",",Temp!J968,Temp!K968),"")</f>
        <v/>
      </c>
      <c r="E972" s="7"/>
      <c r="F972" s="8" t="str">
        <f t="shared" si="31"/>
        <v/>
      </c>
    </row>
    <row r="973" spans="1:6" x14ac:dyDescent="0.25">
      <c r="A973" s="13" t="str">
        <f>IF(AND($E973="",MAX($A$8:$A972)=0),"",IF(AND($E973&lt;&gt;"",MAX($A$8:$A972)=0),1,IF(AND($E973&lt;&gt;"",MAX($A$8:$A972)&gt;0),MAX($A$8:$A972)+1,"")))</f>
        <v/>
      </c>
      <c r="B973" s="11">
        <v>966</v>
      </c>
      <c r="C973" s="19" t="str">
        <f t="shared" si="30"/>
        <v>EMPTY</v>
      </c>
      <c r="D973" s="3" t="str">
        <f>IF(C973="SHOW",CONCATENATE(Temp!G969,Temp!H969,",",Temp!I969,",",Temp!J969,Temp!K969),"")</f>
        <v/>
      </c>
      <c r="E973" s="7"/>
      <c r="F973" s="8" t="str">
        <f t="shared" si="31"/>
        <v/>
      </c>
    </row>
    <row r="974" spans="1:6" x14ac:dyDescent="0.25">
      <c r="A974" s="13" t="str">
        <f>IF(AND($E974="",MAX($A$8:$A973)=0),"",IF(AND($E974&lt;&gt;"",MAX($A$8:$A973)=0),1,IF(AND($E974&lt;&gt;"",MAX($A$8:$A973)&gt;0),MAX($A$8:$A973)+1,"")))</f>
        <v/>
      </c>
      <c r="B974" s="11">
        <v>967</v>
      </c>
      <c r="C974" s="19" t="str">
        <f t="shared" si="30"/>
        <v>EMPTY</v>
      </c>
      <c r="D974" s="3" t="str">
        <f>IF(C974="SHOW",CONCATENATE(Temp!G970,Temp!H970,",",Temp!I970,",",Temp!J970,Temp!K970),"")</f>
        <v/>
      </c>
      <c r="E974" s="7"/>
      <c r="F974" s="8" t="str">
        <f t="shared" si="31"/>
        <v/>
      </c>
    </row>
    <row r="975" spans="1:6" x14ac:dyDescent="0.25">
      <c r="A975" s="13" t="str">
        <f>IF(AND($E975="",MAX($A$8:$A974)=0),"",IF(AND($E975&lt;&gt;"",MAX($A$8:$A974)=0),1,IF(AND($E975&lt;&gt;"",MAX($A$8:$A974)&gt;0),MAX($A$8:$A974)+1,"")))</f>
        <v/>
      </c>
      <c r="B975" s="11">
        <v>968</v>
      </c>
      <c r="C975" s="19" t="str">
        <f t="shared" si="30"/>
        <v>EMPTY</v>
      </c>
      <c r="D975" s="3" t="str">
        <f>IF(C975="SHOW",CONCATENATE(Temp!G971,Temp!H971,",",Temp!I971,",",Temp!J971,Temp!K971),"")</f>
        <v/>
      </c>
      <c r="E975" s="7"/>
      <c r="F975" s="8" t="str">
        <f t="shared" si="31"/>
        <v/>
      </c>
    </row>
    <row r="976" spans="1:6" x14ac:dyDescent="0.25">
      <c r="A976" s="13" t="str">
        <f>IF(AND($E976="",MAX($A$8:$A975)=0),"",IF(AND($E976&lt;&gt;"",MAX($A$8:$A975)=0),1,IF(AND($E976&lt;&gt;"",MAX($A$8:$A975)&gt;0),MAX($A$8:$A975)+1,"")))</f>
        <v/>
      </c>
      <c r="B976" s="11">
        <v>969</v>
      </c>
      <c r="C976" s="19" t="str">
        <f t="shared" si="30"/>
        <v>EMPTY</v>
      </c>
      <c r="D976" s="3" t="str">
        <f>IF(C976="SHOW",CONCATENATE(Temp!G972,Temp!H972,",",Temp!I972,",",Temp!J972,Temp!K972),"")</f>
        <v/>
      </c>
      <c r="E976" s="7"/>
      <c r="F976" s="8" t="str">
        <f t="shared" si="31"/>
        <v/>
      </c>
    </row>
    <row r="977" spans="1:6" x14ac:dyDescent="0.25">
      <c r="A977" s="13" t="str">
        <f>IF(AND($E977="",MAX($A$8:$A976)=0),"",IF(AND($E977&lt;&gt;"",MAX($A$8:$A976)=0),1,IF(AND($E977&lt;&gt;"",MAX($A$8:$A976)&gt;0),MAX($A$8:$A976)+1,"")))</f>
        <v/>
      </c>
      <c r="B977" s="11">
        <v>970</v>
      </c>
      <c r="C977" s="19" t="str">
        <f t="shared" si="30"/>
        <v>EMPTY</v>
      </c>
      <c r="D977" s="3" t="str">
        <f>IF(C977="SHOW",CONCATENATE(Temp!G973,Temp!H973,",",Temp!I973,",",Temp!J973,Temp!K973),"")</f>
        <v/>
      </c>
      <c r="E977" s="7"/>
      <c r="F977" s="8" t="str">
        <f t="shared" si="31"/>
        <v/>
      </c>
    </row>
    <row r="978" spans="1:6" x14ac:dyDescent="0.25">
      <c r="A978" s="13" t="str">
        <f>IF(AND($E978="",MAX($A$8:$A977)=0),"",IF(AND($E978&lt;&gt;"",MAX($A$8:$A977)=0),1,IF(AND($E978&lt;&gt;"",MAX($A$8:$A977)&gt;0),MAX($A$8:$A977)+1,"")))</f>
        <v/>
      </c>
      <c r="B978" s="11">
        <v>971</v>
      </c>
      <c r="C978" s="19" t="str">
        <f t="shared" si="30"/>
        <v>EMPTY</v>
      </c>
      <c r="D978" s="3" t="str">
        <f>IF(C978="SHOW",CONCATENATE(Temp!G974,Temp!H974,",",Temp!I974,",",Temp!J974,Temp!K974),"")</f>
        <v/>
      </c>
      <c r="E978" s="7"/>
      <c r="F978" s="8" t="str">
        <f t="shared" si="31"/>
        <v/>
      </c>
    </row>
    <row r="979" spans="1:6" x14ac:dyDescent="0.25">
      <c r="A979" s="13" t="str">
        <f>IF(AND($E979="",MAX($A$8:$A978)=0),"",IF(AND($E979&lt;&gt;"",MAX($A$8:$A978)=0),1,IF(AND($E979&lt;&gt;"",MAX($A$8:$A978)&gt;0),MAX($A$8:$A978)+1,"")))</f>
        <v/>
      </c>
      <c r="B979" s="11">
        <v>972</v>
      </c>
      <c r="C979" s="19" t="str">
        <f t="shared" si="30"/>
        <v>EMPTY</v>
      </c>
      <c r="D979" s="3" t="str">
        <f>IF(C979="SHOW",CONCATENATE(Temp!G975,Temp!H975,",",Temp!I975,",",Temp!J975,Temp!K975),"")</f>
        <v/>
      </c>
      <c r="E979" s="7"/>
      <c r="F979" s="8" t="str">
        <f t="shared" si="31"/>
        <v/>
      </c>
    </row>
    <row r="980" spans="1:6" x14ac:dyDescent="0.25">
      <c r="A980" s="13" t="str">
        <f>IF(AND($E980="",MAX($A$8:$A979)=0),"",IF(AND($E980&lt;&gt;"",MAX($A$8:$A979)=0),1,IF(AND($E980&lt;&gt;"",MAX($A$8:$A979)&gt;0),MAX($A$8:$A979)+1,"")))</f>
        <v/>
      </c>
      <c r="B980" s="11">
        <v>973</v>
      </c>
      <c r="C980" s="19" t="str">
        <f t="shared" si="30"/>
        <v>EMPTY</v>
      </c>
      <c r="D980" s="3" t="str">
        <f>IF(C980="SHOW",CONCATENATE(Temp!G976,Temp!H976,",",Temp!I976,",",Temp!J976,Temp!K976),"")</f>
        <v/>
      </c>
      <c r="E980" s="7"/>
      <c r="F980" s="8" t="str">
        <f t="shared" si="31"/>
        <v/>
      </c>
    </row>
    <row r="981" spans="1:6" x14ac:dyDescent="0.25">
      <c r="A981" s="13" t="str">
        <f>IF(AND($E981="",MAX($A$8:$A980)=0),"",IF(AND($E981&lt;&gt;"",MAX($A$8:$A980)=0),1,IF(AND($E981&lt;&gt;"",MAX($A$8:$A980)&gt;0),MAX($A$8:$A980)+1,"")))</f>
        <v/>
      </c>
      <c r="B981" s="11">
        <v>974</v>
      </c>
      <c r="C981" s="19" t="str">
        <f t="shared" si="30"/>
        <v>EMPTY</v>
      </c>
      <c r="D981" s="3" t="str">
        <f>IF(C981="SHOW",CONCATENATE(Temp!G977,Temp!H977,",",Temp!I977,",",Temp!J977,Temp!K977),"")</f>
        <v/>
      </c>
      <c r="E981" s="7"/>
      <c r="F981" s="8" t="str">
        <f t="shared" si="31"/>
        <v/>
      </c>
    </row>
    <row r="982" spans="1:6" x14ac:dyDescent="0.25">
      <c r="A982" s="13" t="str">
        <f>IF(AND($E982="",MAX($A$8:$A981)=0),"",IF(AND($E982&lt;&gt;"",MAX($A$8:$A981)=0),1,IF(AND($E982&lt;&gt;"",MAX($A$8:$A981)&gt;0),MAX($A$8:$A981)+1,"")))</f>
        <v/>
      </c>
      <c r="B982" s="11">
        <v>975</v>
      </c>
      <c r="C982" s="19" t="str">
        <f t="shared" si="30"/>
        <v>EMPTY</v>
      </c>
      <c r="D982" s="3" t="str">
        <f>IF(C982="SHOW",CONCATENATE(Temp!G978,Temp!H978,",",Temp!I978,",",Temp!J978,Temp!K978),"")</f>
        <v/>
      </c>
      <c r="E982" s="7"/>
      <c r="F982" s="8" t="str">
        <f t="shared" si="31"/>
        <v/>
      </c>
    </row>
    <row r="983" spans="1:6" x14ac:dyDescent="0.25">
      <c r="A983" s="13" t="str">
        <f>IF(AND($E983="",MAX($A$8:$A982)=0),"",IF(AND($E983&lt;&gt;"",MAX($A$8:$A982)=0),1,IF(AND($E983&lt;&gt;"",MAX($A$8:$A982)&gt;0),MAX($A$8:$A982)+1,"")))</f>
        <v/>
      </c>
      <c r="B983" s="11">
        <v>976</v>
      </c>
      <c r="C983" s="19" t="str">
        <f t="shared" si="30"/>
        <v>EMPTY</v>
      </c>
      <c r="D983" s="3" t="str">
        <f>IF(C983="SHOW",CONCATENATE(Temp!G979,Temp!H979,",",Temp!I979,",",Temp!J979,Temp!K979),"")</f>
        <v/>
      </c>
      <c r="E983" s="7"/>
      <c r="F983" s="8" t="str">
        <f t="shared" si="31"/>
        <v/>
      </c>
    </row>
    <row r="984" spans="1:6" x14ac:dyDescent="0.25">
      <c r="A984" s="13" t="str">
        <f>IF(AND($E984="",MAX($A$8:$A983)=0),"",IF(AND($E984&lt;&gt;"",MAX($A$8:$A983)=0),1,IF(AND($E984&lt;&gt;"",MAX($A$8:$A983)&gt;0),MAX($A$8:$A983)+1,"")))</f>
        <v/>
      </c>
      <c r="B984" s="11">
        <v>977</v>
      </c>
      <c r="C984" s="19" t="str">
        <f t="shared" si="30"/>
        <v>EMPTY</v>
      </c>
      <c r="D984" s="3" t="str">
        <f>IF(C984="SHOW",CONCATENATE(Temp!G980,Temp!H980,",",Temp!I980,",",Temp!J980,Temp!K980),"")</f>
        <v/>
      </c>
      <c r="E984" s="7"/>
      <c r="F984" s="8" t="str">
        <f t="shared" si="31"/>
        <v/>
      </c>
    </row>
    <row r="985" spans="1:6" x14ac:dyDescent="0.25">
      <c r="A985" s="13" t="str">
        <f>IF(AND($E985="",MAX($A$8:$A984)=0),"",IF(AND($E985&lt;&gt;"",MAX($A$8:$A984)=0),1,IF(AND($E985&lt;&gt;"",MAX($A$8:$A984)&gt;0),MAX($A$8:$A984)+1,"")))</f>
        <v/>
      </c>
      <c r="B985" s="11">
        <v>978</v>
      </c>
      <c r="C985" s="19" t="str">
        <f t="shared" si="30"/>
        <v>EMPTY</v>
      </c>
      <c r="D985" s="3" t="str">
        <f>IF(C985="SHOW",CONCATENATE(Temp!G981,Temp!H981,",",Temp!I981,",",Temp!J981,Temp!K981),"")</f>
        <v/>
      </c>
      <c r="E985" s="7"/>
      <c r="F985" s="8" t="str">
        <f t="shared" si="31"/>
        <v/>
      </c>
    </row>
    <row r="986" spans="1:6" x14ac:dyDescent="0.25">
      <c r="A986" s="13" t="str">
        <f>IF(AND($E986="",MAX($A$8:$A985)=0),"",IF(AND($E986&lt;&gt;"",MAX($A$8:$A985)=0),1,IF(AND($E986&lt;&gt;"",MAX($A$8:$A985)&gt;0),MAX($A$8:$A985)+1,"")))</f>
        <v/>
      </c>
      <c r="B986" s="11">
        <v>979</v>
      </c>
      <c r="C986" s="19" t="str">
        <f t="shared" si="30"/>
        <v>EMPTY</v>
      </c>
      <c r="D986" s="3" t="str">
        <f>IF(C986="SHOW",CONCATENATE(Temp!G982,Temp!H982,",",Temp!I982,",",Temp!J982,Temp!K982),"")</f>
        <v/>
      </c>
      <c r="E986" s="7"/>
      <c r="F986" s="8" t="str">
        <f t="shared" si="31"/>
        <v/>
      </c>
    </row>
    <row r="987" spans="1:6" x14ac:dyDescent="0.25">
      <c r="A987" s="13" t="str">
        <f>IF(AND($E987="",MAX($A$8:$A986)=0),"",IF(AND($E987&lt;&gt;"",MAX($A$8:$A986)=0),1,IF(AND($E987&lt;&gt;"",MAX($A$8:$A986)&gt;0),MAX($A$8:$A986)+1,"")))</f>
        <v/>
      </c>
      <c r="B987" s="11">
        <v>980</v>
      </c>
      <c r="C987" s="19" t="str">
        <f t="shared" si="30"/>
        <v>EMPTY</v>
      </c>
      <c r="D987" s="3" t="str">
        <f>IF(C987="SHOW",CONCATENATE(Temp!G983,Temp!H983,",",Temp!I983,",",Temp!J983,Temp!K983),"")</f>
        <v/>
      </c>
      <c r="E987" s="7"/>
      <c r="F987" s="8" t="str">
        <f t="shared" si="31"/>
        <v/>
      </c>
    </row>
    <row r="988" spans="1:6" x14ac:dyDescent="0.25">
      <c r="A988" s="13" t="str">
        <f>IF(AND($E988="",MAX($A$8:$A987)=0),"",IF(AND($E988&lt;&gt;"",MAX($A$8:$A987)=0),1,IF(AND($E988&lt;&gt;"",MAX($A$8:$A987)&gt;0),MAX($A$8:$A987)+1,"")))</f>
        <v/>
      </c>
      <c r="B988" s="11">
        <v>981</v>
      </c>
      <c r="C988" s="19" t="str">
        <f t="shared" si="30"/>
        <v>EMPTY</v>
      </c>
      <c r="D988" s="3" t="str">
        <f>IF(C988="SHOW",CONCATENATE(Temp!G984,Temp!H984,",",Temp!I984,",",Temp!J984,Temp!K984),"")</f>
        <v/>
      </c>
      <c r="E988" s="7"/>
      <c r="F988" s="8" t="str">
        <f t="shared" si="31"/>
        <v/>
      </c>
    </row>
    <row r="989" spans="1:6" x14ac:dyDescent="0.25">
      <c r="A989" s="13" t="str">
        <f>IF(AND($E989="",MAX($A$8:$A988)=0),"",IF(AND($E989&lt;&gt;"",MAX($A$8:$A988)=0),1,IF(AND($E989&lt;&gt;"",MAX($A$8:$A988)&gt;0),MAX($A$8:$A988)+1,"")))</f>
        <v/>
      </c>
      <c r="B989" s="11">
        <v>982</v>
      </c>
      <c r="C989" s="19" t="str">
        <f t="shared" si="30"/>
        <v>EMPTY</v>
      </c>
      <c r="D989" s="3" t="str">
        <f>IF(C989="SHOW",CONCATENATE(Temp!G985,Temp!H985,",",Temp!I985,",",Temp!J985,Temp!K985),"")</f>
        <v/>
      </c>
      <c r="E989" s="7"/>
      <c r="F989" s="8" t="str">
        <f t="shared" si="31"/>
        <v/>
      </c>
    </row>
    <row r="990" spans="1:6" x14ac:dyDescent="0.25">
      <c r="A990" s="13" t="str">
        <f>IF(AND($E990="",MAX($A$8:$A989)=0),"",IF(AND($E990&lt;&gt;"",MAX($A$8:$A989)=0),1,IF(AND($E990&lt;&gt;"",MAX($A$8:$A989)&gt;0),MAX($A$8:$A989)+1,"")))</f>
        <v/>
      </c>
      <c r="B990" s="11">
        <v>983</v>
      </c>
      <c r="C990" s="19" t="str">
        <f t="shared" si="30"/>
        <v>EMPTY</v>
      </c>
      <c r="D990" s="3" t="str">
        <f>IF(C990="SHOW",CONCATENATE(Temp!G986,Temp!H986,",",Temp!I986,",",Temp!J986,Temp!K986),"")</f>
        <v/>
      </c>
      <c r="E990" s="7"/>
      <c r="F990" s="8" t="str">
        <f t="shared" si="31"/>
        <v/>
      </c>
    </row>
    <row r="991" spans="1:6" x14ac:dyDescent="0.25">
      <c r="A991" s="13" t="str">
        <f>IF(AND($E991="",MAX($A$8:$A990)=0),"",IF(AND($E991&lt;&gt;"",MAX($A$8:$A990)=0),1,IF(AND($E991&lt;&gt;"",MAX($A$8:$A990)&gt;0),MAX($A$8:$A990)+1,"")))</f>
        <v/>
      </c>
      <c r="B991" s="11">
        <v>984</v>
      </c>
      <c r="C991" s="19" t="str">
        <f t="shared" si="30"/>
        <v>EMPTY</v>
      </c>
      <c r="D991" s="3" t="str">
        <f>IF(C991="SHOW",CONCATENATE(Temp!G987,Temp!H987,",",Temp!I987,",",Temp!J987,Temp!K987),"")</f>
        <v/>
      </c>
      <c r="E991" s="7"/>
      <c r="F991" s="8" t="str">
        <f t="shared" si="31"/>
        <v/>
      </c>
    </row>
    <row r="992" spans="1:6" x14ac:dyDescent="0.25">
      <c r="A992" s="13" t="str">
        <f>IF(AND($E992="",MAX($A$8:$A991)=0),"",IF(AND($E992&lt;&gt;"",MAX($A$8:$A991)=0),1,IF(AND($E992&lt;&gt;"",MAX($A$8:$A991)&gt;0),MAX($A$8:$A991)+1,"")))</f>
        <v/>
      </c>
      <c r="B992" s="11">
        <v>985</v>
      </c>
      <c r="C992" s="19" t="str">
        <f t="shared" si="30"/>
        <v>EMPTY</v>
      </c>
      <c r="D992" s="3" t="str">
        <f>IF(C992="SHOW",CONCATENATE(Temp!G988,Temp!H988,",",Temp!I988,",",Temp!J988,Temp!K988),"")</f>
        <v/>
      </c>
      <c r="E992" s="7"/>
      <c r="F992" s="8" t="str">
        <f t="shared" si="31"/>
        <v/>
      </c>
    </row>
    <row r="993" spans="1:6" x14ac:dyDescent="0.25">
      <c r="A993" s="13" t="str">
        <f>IF(AND($E993="",MAX($A$8:$A992)=0),"",IF(AND($E993&lt;&gt;"",MAX($A$8:$A992)=0),1,IF(AND($E993&lt;&gt;"",MAX($A$8:$A992)&gt;0),MAX($A$8:$A992)+1,"")))</f>
        <v/>
      </c>
      <c r="B993" s="11">
        <v>986</v>
      </c>
      <c r="C993" s="19" t="str">
        <f t="shared" si="30"/>
        <v>EMPTY</v>
      </c>
      <c r="D993" s="3" t="str">
        <f>IF(C993="SHOW",CONCATENATE(Temp!G989,Temp!H989,",",Temp!I989,",",Temp!J989,Temp!K989),"")</f>
        <v/>
      </c>
      <c r="E993" s="7"/>
      <c r="F993" s="8" t="str">
        <f t="shared" si="31"/>
        <v/>
      </c>
    </row>
    <row r="994" spans="1:6" x14ac:dyDescent="0.25">
      <c r="A994" s="13" t="str">
        <f>IF(AND($E994="",MAX($A$8:$A993)=0),"",IF(AND($E994&lt;&gt;"",MAX($A$8:$A993)=0),1,IF(AND($E994&lt;&gt;"",MAX($A$8:$A993)&gt;0),MAX($A$8:$A993)+1,"")))</f>
        <v/>
      </c>
      <c r="B994" s="11">
        <v>987</v>
      </c>
      <c r="C994" s="19" t="str">
        <f t="shared" si="30"/>
        <v>EMPTY</v>
      </c>
      <c r="D994" s="3" t="str">
        <f>IF(C994="SHOW",CONCATENATE(Temp!G990,Temp!H990,",",Temp!I990,",",Temp!J990,Temp!K990),"")</f>
        <v/>
      </c>
      <c r="E994" s="7"/>
      <c r="F994" s="8" t="str">
        <f t="shared" si="31"/>
        <v/>
      </c>
    </row>
    <row r="995" spans="1:6" x14ac:dyDescent="0.25">
      <c r="A995" s="13" t="str">
        <f>IF(AND($E995="",MAX($A$8:$A994)=0),"",IF(AND($E995&lt;&gt;"",MAX($A$8:$A994)=0),1,IF(AND($E995&lt;&gt;"",MAX($A$8:$A994)&gt;0),MAX($A$8:$A994)+1,"")))</f>
        <v/>
      </c>
      <c r="B995" s="11">
        <v>988</v>
      </c>
      <c r="C995" s="19" t="str">
        <f t="shared" si="30"/>
        <v>EMPTY</v>
      </c>
      <c r="D995" s="3" t="str">
        <f>IF(C995="SHOW",CONCATENATE(Temp!G991,Temp!H991,",",Temp!I991,",",Temp!J991,Temp!K991),"")</f>
        <v/>
      </c>
      <c r="E995" s="7"/>
      <c r="F995" s="8" t="str">
        <f t="shared" si="31"/>
        <v/>
      </c>
    </row>
    <row r="996" spans="1:6" x14ac:dyDescent="0.25">
      <c r="A996" s="13" t="str">
        <f>IF(AND($E996="",MAX($A$8:$A995)=0),"",IF(AND($E996&lt;&gt;"",MAX($A$8:$A995)=0),1,IF(AND($E996&lt;&gt;"",MAX($A$8:$A995)&gt;0),MAX($A$8:$A995)+1,"")))</f>
        <v/>
      </c>
      <c r="B996" s="11">
        <v>989</v>
      </c>
      <c r="C996" s="19" t="str">
        <f t="shared" si="30"/>
        <v>EMPTY</v>
      </c>
      <c r="D996" s="3" t="str">
        <f>IF(C996="SHOW",CONCATENATE(Temp!G992,Temp!H992,",",Temp!I992,",",Temp!J992,Temp!K992),"")</f>
        <v/>
      </c>
      <c r="E996" s="7"/>
      <c r="F996" s="8" t="str">
        <f t="shared" si="31"/>
        <v/>
      </c>
    </row>
    <row r="997" spans="1:6" x14ac:dyDescent="0.25">
      <c r="A997" s="13" t="str">
        <f>IF(AND($E997="",MAX($A$8:$A996)=0),"",IF(AND($E997&lt;&gt;"",MAX($A$8:$A996)=0),1,IF(AND($E997&lt;&gt;"",MAX($A$8:$A996)&gt;0),MAX($A$8:$A996)+1,"")))</f>
        <v/>
      </c>
      <c r="B997" s="11">
        <v>990</v>
      </c>
      <c r="C997" s="19" t="str">
        <f t="shared" si="30"/>
        <v>EMPTY</v>
      </c>
      <c r="D997" s="3" t="str">
        <f>IF(C997="SHOW",CONCATENATE(Temp!G993,Temp!H993,",",Temp!I993,",",Temp!J993,Temp!K993),"")</f>
        <v/>
      </c>
      <c r="E997" s="7"/>
      <c r="F997" s="8" t="str">
        <f t="shared" si="31"/>
        <v/>
      </c>
    </row>
    <row r="998" spans="1:6" x14ac:dyDescent="0.25">
      <c r="A998" s="13" t="str">
        <f>IF(AND($E998="",MAX($A$8:$A997)=0),"",IF(AND($E998&lt;&gt;"",MAX($A$8:$A997)=0),1,IF(AND($E998&lt;&gt;"",MAX($A$8:$A997)&gt;0),MAX($A$8:$A997)+1,"")))</f>
        <v/>
      </c>
      <c r="B998" s="11">
        <v>991</v>
      </c>
      <c r="C998" s="19" t="str">
        <f t="shared" si="30"/>
        <v>EMPTY</v>
      </c>
      <c r="D998" s="3" t="str">
        <f>IF(C998="SHOW",CONCATENATE(Temp!G994,Temp!H994,",",Temp!I994,",",Temp!J994,Temp!K994),"")</f>
        <v/>
      </c>
      <c r="E998" s="7"/>
      <c r="F998" s="8" t="str">
        <f t="shared" si="31"/>
        <v/>
      </c>
    </row>
    <row r="999" spans="1:6" x14ac:dyDescent="0.25">
      <c r="A999" s="13" t="str">
        <f>IF(AND($E999="",MAX($A$8:$A998)=0),"",IF(AND($E999&lt;&gt;"",MAX($A$8:$A998)=0),1,IF(AND($E999&lt;&gt;"",MAX($A$8:$A998)&gt;0),MAX($A$8:$A998)+1,"")))</f>
        <v/>
      </c>
      <c r="B999" s="11">
        <v>992</v>
      </c>
      <c r="C999" s="19" t="str">
        <f t="shared" si="30"/>
        <v>EMPTY</v>
      </c>
      <c r="D999" s="3" t="str">
        <f>IF(C999="SHOW",CONCATENATE(Temp!G995,Temp!H995,",",Temp!I995,",",Temp!J995,Temp!K995),"")</f>
        <v/>
      </c>
      <c r="E999" s="7"/>
      <c r="F999" s="8" t="str">
        <f t="shared" si="31"/>
        <v/>
      </c>
    </row>
    <row r="1000" spans="1:6" x14ac:dyDescent="0.25">
      <c r="A1000" s="13" t="str">
        <f>IF(AND($E1000="",MAX($A$8:$A999)=0),"",IF(AND($E1000&lt;&gt;"",MAX($A$8:$A999)=0),1,IF(AND($E1000&lt;&gt;"",MAX($A$8:$A999)&gt;0),MAX($A$8:$A999)+1,"")))</f>
        <v/>
      </c>
      <c r="B1000" s="11">
        <v>993</v>
      </c>
      <c r="C1000" s="19" t="str">
        <f t="shared" si="30"/>
        <v>EMPTY</v>
      </c>
      <c r="D1000" s="3" t="str">
        <f>IF(C1000="SHOW",CONCATENATE(Temp!G996,Temp!H996,",",Temp!I996,",",Temp!J996,Temp!K996),"")</f>
        <v/>
      </c>
      <c r="E1000" s="7"/>
      <c r="F1000" s="8" t="str">
        <f t="shared" si="31"/>
        <v/>
      </c>
    </row>
    <row r="1001" spans="1:6" x14ac:dyDescent="0.25">
      <c r="A1001" s="13" t="str">
        <f>IF(AND($E1001="",MAX($A$8:$A1000)=0),"",IF(AND($E1001&lt;&gt;"",MAX($A$8:$A1000)=0),1,IF(AND($E1001&lt;&gt;"",MAX($A$8:$A1000)&gt;0),MAX($A$8:$A1000)+1,"")))</f>
        <v/>
      </c>
      <c r="B1001" s="11">
        <v>994</v>
      </c>
      <c r="C1001" s="19" t="str">
        <f t="shared" si="30"/>
        <v>EMPTY</v>
      </c>
      <c r="D1001" s="3" t="str">
        <f>IF(C1001="SHOW",CONCATENATE(Temp!G997,Temp!H997,",",Temp!I997,",",Temp!J997,Temp!K997),"")</f>
        <v/>
      </c>
      <c r="E1001" s="7"/>
      <c r="F1001" s="8" t="str">
        <f t="shared" si="31"/>
        <v/>
      </c>
    </row>
    <row r="1002" spans="1:6" x14ac:dyDescent="0.25">
      <c r="A1002" s="13" t="str">
        <f>IF(AND($E1002="",MAX($A$8:$A1001)=0),"",IF(AND($E1002&lt;&gt;"",MAX($A$8:$A1001)=0),1,IF(AND($E1002&lt;&gt;"",MAX($A$8:$A1001)&gt;0),MAX($A$8:$A1001)+1,"")))</f>
        <v/>
      </c>
      <c r="B1002" s="11">
        <v>995</v>
      </c>
      <c r="C1002" s="19" t="str">
        <f t="shared" si="30"/>
        <v>EMPTY</v>
      </c>
      <c r="D1002" s="3" t="str">
        <f>IF(C1002="SHOW",CONCATENATE(Temp!G998,Temp!H998,",",Temp!I998,",",Temp!J998,Temp!K998),"")</f>
        <v/>
      </c>
      <c r="E1002" s="7"/>
      <c r="F1002" s="8" t="str">
        <f t="shared" si="31"/>
        <v/>
      </c>
    </row>
    <row r="1003" spans="1:6" x14ac:dyDescent="0.25">
      <c r="A1003" s="13" t="str">
        <f>IF(AND($E1003="",MAX($A$8:$A1002)=0),"",IF(AND($E1003&lt;&gt;"",MAX($A$8:$A1002)=0),1,IF(AND($E1003&lt;&gt;"",MAX($A$8:$A1002)&gt;0),MAX($A$8:$A1002)+1,"")))</f>
        <v/>
      </c>
      <c r="B1003" s="11">
        <v>996</v>
      </c>
      <c r="C1003" s="19" t="str">
        <f t="shared" si="30"/>
        <v>EMPTY</v>
      </c>
      <c r="D1003" s="3" t="str">
        <f>IF(C1003="SHOW",CONCATENATE(Temp!G999,Temp!H999,",",Temp!I999,",",Temp!J999,Temp!K999),"")</f>
        <v/>
      </c>
      <c r="E1003" s="7"/>
      <c r="F1003" s="8" t="str">
        <f t="shared" si="31"/>
        <v/>
      </c>
    </row>
    <row r="1004" spans="1:6" x14ac:dyDescent="0.25">
      <c r="A1004" s="13" t="str">
        <f>IF(AND($E1004="",MAX($A$8:$A1003)=0),"",IF(AND($E1004&lt;&gt;"",MAX($A$8:$A1003)=0),1,IF(AND($E1004&lt;&gt;"",MAX($A$8:$A1003)&gt;0),MAX($A$8:$A1003)+1,"")))</f>
        <v/>
      </c>
      <c r="B1004" s="11">
        <v>997</v>
      </c>
      <c r="C1004" s="19" t="str">
        <f t="shared" si="30"/>
        <v>EMPTY</v>
      </c>
      <c r="D1004" s="3" t="str">
        <f>IF(C1004="SHOW",CONCATENATE(Temp!G1000,Temp!H1000,",",Temp!I1000,",",Temp!J1000,Temp!K1000),"")</f>
        <v/>
      </c>
      <c r="E1004" s="7"/>
      <c r="F1004" s="8" t="str">
        <f t="shared" si="31"/>
        <v/>
      </c>
    </row>
    <row r="1005" spans="1:6" x14ac:dyDescent="0.25">
      <c r="A1005" s="13" t="str">
        <f>IF(AND($E1005="",MAX($A$8:$A1004)=0),"",IF(AND($E1005&lt;&gt;"",MAX($A$8:$A1004)=0),1,IF(AND($E1005&lt;&gt;"",MAX($A$8:$A1004)&gt;0),MAX($A$8:$A1004)+1,"")))</f>
        <v/>
      </c>
      <c r="B1005" s="11">
        <v>998</v>
      </c>
      <c r="C1005" s="19" t="str">
        <f t="shared" si="30"/>
        <v>EMPTY</v>
      </c>
      <c r="D1005" s="3" t="str">
        <f>IF(C1005="SHOW",CONCATENATE(Temp!G1001,Temp!H1001,",",Temp!I1001,",",Temp!J1001,Temp!K1001),"")</f>
        <v/>
      </c>
      <c r="E1005" s="7"/>
      <c r="F1005" s="8" t="str">
        <f t="shared" si="31"/>
        <v/>
      </c>
    </row>
    <row r="1006" spans="1:6" x14ac:dyDescent="0.25">
      <c r="A1006" s="13" t="str">
        <f>IF(AND($E1006="",MAX($A$8:$A1005)=0),"",IF(AND($E1006&lt;&gt;"",MAX($A$8:$A1005)=0),1,IF(AND($E1006&lt;&gt;"",MAX($A$8:$A1005)&gt;0),MAX($A$8:$A1005)+1,"")))</f>
        <v/>
      </c>
      <c r="B1006" s="11">
        <v>999</v>
      </c>
      <c r="C1006" s="19" t="str">
        <f t="shared" si="30"/>
        <v>EMPTY</v>
      </c>
      <c r="D1006" s="3" t="str">
        <f>IF(C1006="SHOW",CONCATENATE(Temp!G1002,Temp!H1002,",",Temp!I1002,",",Temp!J1002,Temp!K1002),"")</f>
        <v/>
      </c>
      <c r="E1006" s="7"/>
      <c r="F1006" s="8" t="str">
        <f t="shared" si="31"/>
        <v/>
      </c>
    </row>
    <row r="1007" spans="1:6" x14ac:dyDescent="0.25">
      <c r="A1007" s="13" t="str">
        <f>IF(AND($E1007="",MAX($A$8:$A1006)=0),"",IF(AND($E1007&lt;&gt;"",MAX($A$8:$A1006)=0),1,IF(AND($E1007&lt;&gt;"",MAX($A$8:$A1006)&gt;0),MAX($A$8:$A1006)+1,"")))</f>
        <v/>
      </c>
      <c r="B1007" s="11">
        <v>1000</v>
      </c>
      <c r="C1007" s="19" t="str">
        <f t="shared" si="30"/>
        <v>EMPTY</v>
      </c>
      <c r="D1007" s="3" t="str">
        <f>IF(C1007="SHOW",CONCATENATE(Temp!G1003,Temp!H1003,",",Temp!I1003,",",Temp!J1003,Temp!K1003),"")</f>
        <v/>
      </c>
      <c r="E1007" s="7"/>
      <c r="F1007" s="8" t="str">
        <f t="shared" si="31"/>
        <v/>
      </c>
    </row>
    <row r="1008" spans="1:6" x14ac:dyDescent="0.25">
      <c r="A1008" s="52" t="s">
        <v>18</v>
      </c>
      <c r="B1008" s="52"/>
      <c r="C1008" s="52"/>
      <c r="D1008" s="52"/>
      <c r="E1008" s="52"/>
      <c r="F1008" s="52"/>
    </row>
    <row r="1009" spans="1:6" x14ac:dyDescent="0.25">
      <c r="A1009" s="52"/>
      <c r="B1009" s="52"/>
      <c r="C1009" s="52"/>
      <c r="D1009" s="52"/>
      <c r="E1009" s="52"/>
      <c r="F1009" s="52"/>
    </row>
    <row r="1010" spans="1:6" hidden="1" x14ac:dyDescent="0.25">
      <c r="A1010" s="10"/>
      <c r="B1010" s="10"/>
      <c r="C1010" s="21"/>
      <c r="D1010" s="6"/>
      <c r="E1010" s="6"/>
    </row>
    <row r="1011" spans="1:6" hidden="1" x14ac:dyDescent="0.25">
      <c r="A1011" s="10"/>
      <c r="B1011" s="10"/>
      <c r="C1011" s="21"/>
      <c r="D1011" s="6"/>
      <c r="E1011" s="6"/>
    </row>
    <row r="1012" spans="1:6" hidden="1" x14ac:dyDescent="0.25">
      <c r="A1012" s="10"/>
      <c r="B1012" s="10"/>
      <c r="C1012" s="21"/>
      <c r="D1012" s="6"/>
      <c r="E1012" s="6"/>
    </row>
    <row r="1013" spans="1:6" hidden="1" x14ac:dyDescent="0.25">
      <c r="A1013" s="10"/>
      <c r="B1013" s="10"/>
      <c r="C1013" s="21"/>
      <c r="D1013" s="6"/>
      <c r="E1013" s="6"/>
    </row>
    <row r="1014" spans="1:6" hidden="1" x14ac:dyDescent="0.25">
      <c r="A1014" s="10"/>
      <c r="B1014" s="10"/>
      <c r="C1014" s="21"/>
      <c r="D1014" s="6"/>
      <c r="E1014" s="6"/>
    </row>
    <row r="1015" spans="1:6" hidden="1" x14ac:dyDescent="0.25">
      <c r="A1015" s="10"/>
      <c r="B1015" s="10"/>
      <c r="C1015" s="21"/>
      <c r="D1015" s="6"/>
      <c r="E1015" s="6"/>
    </row>
  </sheetData>
  <mergeCells count="2">
    <mergeCell ref="A6:F6"/>
    <mergeCell ref="A1008:F100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U1015"/>
  <sheetViews>
    <sheetView showGridLines="0"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 customHeight="1" zeroHeight="1" x14ac:dyDescent="0.25"/>
  <cols>
    <col min="1" max="1" width="5.7109375" style="5" customWidth="1"/>
    <col min="2" max="2" width="12.5703125" style="5" hidden="1" customWidth="1"/>
    <col min="3" max="3" width="12.42578125" style="20" hidden="1" customWidth="1"/>
    <col min="4" max="4" width="25.140625" style="3" hidden="1" customWidth="1"/>
    <col min="5" max="5" width="92.7109375" style="3" customWidth="1"/>
    <col min="6" max="6" width="92.7109375" style="6" customWidth="1"/>
    <col min="7" max="7" width="9.140625" hidden="1" customWidth="1"/>
    <col min="8" max="16384" width="9.140625" style="4" hidden="1"/>
  </cols>
  <sheetData>
    <row r="1" spans="1:125" x14ac:dyDescent="0.25">
      <c r="A1" s="17"/>
      <c r="B1" s="17"/>
      <c r="C1" s="19"/>
      <c r="D1" s="17"/>
      <c r="E1" s="17"/>
      <c r="F1" s="17"/>
    </row>
    <row r="2" spans="1:125" ht="15.75" customHeight="1" x14ac:dyDescent="0.25">
      <c r="A2" s="17"/>
      <c r="B2" s="17"/>
      <c r="C2" s="19"/>
      <c r="D2" s="17"/>
      <c r="E2" s="17"/>
      <c r="F2" s="17"/>
    </row>
    <row r="3" spans="1:125" ht="15.75" customHeight="1" x14ac:dyDescent="0.25">
      <c r="A3" s="17"/>
      <c r="B3" s="17"/>
      <c r="C3" s="19"/>
      <c r="D3" s="17"/>
      <c r="E3" s="17"/>
      <c r="F3" s="17"/>
    </row>
    <row r="4" spans="1:125" x14ac:dyDescent="0.25">
      <c r="A4" s="17"/>
      <c r="B4" s="17"/>
      <c r="C4" s="19"/>
      <c r="D4" s="17"/>
      <c r="E4" s="17"/>
      <c r="F4" s="17"/>
    </row>
    <row r="5" spans="1:125" x14ac:dyDescent="0.25">
      <c r="A5" s="17"/>
      <c r="B5" s="17"/>
      <c r="C5" s="19"/>
      <c r="D5" s="17"/>
      <c r="E5" s="17"/>
      <c r="F5" s="17"/>
    </row>
    <row r="6" spans="1:125" x14ac:dyDescent="0.25">
      <c r="A6" s="51" t="str">
        <f>IF(COUNTIF($C$8:$C$1007,"SHOW")&gt;0,"Synchronize current end time with start time of next line. Paste copied text to aegisub!","")</f>
        <v/>
      </c>
      <c r="B6" s="51"/>
      <c r="C6" s="51"/>
      <c r="D6" s="51"/>
      <c r="E6" s="51"/>
      <c r="F6" s="51"/>
    </row>
    <row r="7" spans="1:125" x14ac:dyDescent="0.25">
      <c r="A7" s="14"/>
      <c r="B7" s="12" t="s">
        <v>4</v>
      </c>
      <c r="C7" s="12" t="s">
        <v>3</v>
      </c>
      <c r="D7" s="9" t="s">
        <v>0</v>
      </c>
      <c r="E7" s="15" t="s">
        <v>1</v>
      </c>
      <c r="F7" s="16" t="s">
        <v>2</v>
      </c>
    </row>
    <row r="8" spans="1:125" x14ac:dyDescent="0.25">
      <c r="A8" s="13" t="str">
        <f>IF($E8&lt;&gt;"",1,"")</f>
        <v/>
      </c>
      <c r="B8" s="11"/>
      <c r="C8" s="19" t="str">
        <f>IF(E8="","EMPTY",IF(MID(E8,1,9)&lt;&gt;"Dialogue:","HIDE",IF(MID(E8,1,9)="Dialogue:","SHOW","")))</f>
        <v>EMPTY</v>
      </c>
      <c r="D8" s="3" t="str">
        <f>IF(C8="SHOW",CONCATENATE(Temp!T4,Temp!U4,",",Temp!V4,",",Temp!W4,Temp!X4),"")</f>
        <v/>
      </c>
      <c r="E8" s="7"/>
      <c r="F8" s="8" t="str">
        <f>$D8</f>
        <v/>
      </c>
      <c r="G8" t="s">
        <v>5</v>
      </c>
      <c r="H8" s="4" t="s">
        <v>5</v>
      </c>
      <c r="I8" s="4" t="s">
        <v>5</v>
      </c>
      <c r="J8" s="4" t="s">
        <v>5</v>
      </c>
      <c r="K8" s="4" t="s">
        <v>5</v>
      </c>
      <c r="L8" s="4" t="s">
        <v>5</v>
      </c>
      <c r="M8" s="4" t="s">
        <v>5</v>
      </c>
      <c r="N8" s="4" t="s">
        <v>5</v>
      </c>
      <c r="O8" s="4" t="s">
        <v>5</v>
      </c>
      <c r="P8" s="4" t="s">
        <v>5</v>
      </c>
      <c r="Q8" s="4" t="s">
        <v>5</v>
      </c>
      <c r="R8" s="4" t="s">
        <v>5</v>
      </c>
      <c r="S8" s="4" t="s">
        <v>5</v>
      </c>
      <c r="T8" s="4" t="s">
        <v>5</v>
      </c>
      <c r="U8" s="4" t="s">
        <v>5</v>
      </c>
      <c r="V8" s="4" t="s">
        <v>5</v>
      </c>
      <c r="W8" s="4" t="s">
        <v>5</v>
      </c>
      <c r="X8" s="4" t="s">
        <v>5</v>
      </c>
      <c r="Y8" s="4" t="s">
        <v>5</v>
      </c>
      <c r="Z8" s="4" t="s">
        <v>5</v>
      </c>
      <c r="AA8" s="4" t="s">
        <v>5</v>
      </c>
      <c r="AB8" s="4" t="s">
        <v>5</v>
      </c>
      <c r="AC8" s="4" t="s">
        <v>5</v>
      </c>
      <c r="AD8" s="4" t="s">
        <v>5</v>
      </c>
      <c r="AE8" s="4" t="s">
        <v>5</v>
      </c>
      <c r="AF8" s="4" t="s">
        <v>5</v>
      </c>
      <c r="AG8" s="4" t="s">
        <v>5</v>
      </c>
      <c r="AH8" s="4" t="s">
        <v>5</v>
      </c>
      <c r="AI8" s="4" t="s">
        <v>5</v>
      </c>
      <c r="AJ8" s="4" t="s">
        <v>5</v>
      </c>
      <c r="AK8" s="4" t="s">
        <v>5</v>
      </c>
      <c r="AL8" s="4" t="s">
        <v>5</v>
      </c>
      <c r="AM8" s="4" t="s">
        <v>5</v>
      </c>
      <c r="AN8" s="4" t="s">
        <v>5</v>
      </c>
      <c r="AO8" s="4" t="s">
        <v>5</v>
      </c>
      <c r="AP8" s="4" t="s">
        <v>5</v>
      </c>
      <c r="AQ8" s="4" t="s">
        <v>5</v>
      </c>
      <c r="AS8" s="4" t="s">
        <v>5</v>
      </c>
      <c r="AT8" s="4" t="s">
        <v>5</v>
      </c>
      <c r="AU8" s="4" t="s">
        <v>5</v>
      </c>
      <c r="AV8" s="4" t="s">
        <v>5</v>
      </c>
      <c r="AW8" s="4" t="s">
        <v>5</v>
      </c>
      <c r="AX8" s="4" t="s">
        <v>5</v>
      </c>
      <c r="AY8" s="4" t="s">
        <v>5</v>
      </c>
      <c r="AZ8" s="4" t="s">
        <v>5</v>
      </c>
      <c r="BA8" s="4" t="s">
        <v>5</v>
      </c>
      <c r="BB8" s="4" t="s">
        <v>5</v>
      </c>
      <c r="BC8" s="4" t="s">
        <v>5</v>
      </c>
      <c r="BD8" s="4" t="s">
        <v>5</v>
      </c>
      <c r="BE8" s="4" t="s">
        <v>5</v>
      </c>
      <c r="BF8" s="4" t="s">
        <v>5</v>
      </c>
      <c r="BG8" s="4" t="s">
        <v>5</v>
      </c>
      <c r="BH8" s="4" t="s">
        <v>5</v>
      </c>
      <c r="BI8" s="4" t="s">
        <v>5</v>
      </c>
      <c r="BJ8" s="4" t="s">
        <v>5</v>
      </c>
      <c r="BK8" s="4" t="s">
        <v>5</v>
      </c>
      <c r="BL8" s="4" t="s">
        <v>5</v>
      </c>
      <c r="BM8" s="4" t="s">
        <v>5</v>
      </c>
      <c r="BN8" s="4" t="s">
        <v>5</v>
      </c>
      <c r="BO8" s="4" t="s">
        <v>5</v>
      </c>
      <c r="BP8" s="4" t="s">
        <v>5</v>
      </c>
      <c r="BQ8" s="4" t="s">
        <v>5</v>
      </c>
      <c r="BR8" s="4" t="s">
        <v>5</v>
      </c>
      <c r="BS8" s="4" t="s">
        <v>5</v>
      </c>
      <c r="BT8" s="4" t="s">
        <v>5</v>
      </c>
      <c r="BU8" s="4" t="s">
        <v>5</v>
      </c>
      <c r="BV8" s="4" t="s">
        <v>5</v>
      </c>
      <c r="BW8" s="4" t="s">
        <v>5</v>
      </c>
      <c r="BX8" s="4" t="s">
        <v>5</v>
      </c>
      <c r="BZ8" s="4" t="s">
        <v>5</v>
      </c>
      <c r="CA8" s="4" t="s">
        <v>5</v>
      </c>
      <c r="CB8" s="4" t="s">
        <v>5</v>
      </c>
      <c r="CC8" s="4" t="s">
        <v>5</v>
      </c>
      <c r="CD8" s="4" t="s">
        <v>5</v>
      </c>
      <c r="CE8" s="4" t="s">
        <v>5</v>
      </c>
      <c r="CF8" s="4" t="s">
        <v>5</v>
      </c>
      <c r="CG8" s="4" t="s">
        <v>5</v>
      </c>
      <c r="CH8" s="4" t="s">
        <v>5</v>
      </c>
      <c r="CI8" s="4" t="s">
        <v>5</v>
      </c>
      <c r="CJ8" s="4" t="s">
        <v>5</v>
      </c>
      <c r="CK8" s="4" t="s">
        <v>5</v>
      </c>
      <c r="CL8" s="4" t="s">
        <v>5</v>
      </c>
      <c r="CM8" s="4" t="s">
        <v>5</v>
      </c>
      <c r="CN8" s="4" t="s">
        <v>5</v>
      </c>
      <c r="CO8" s="4" t="s">
        <v>5</v>
      </c>
      <c r="CP8" s="4" t="s">
        <v>5</v>
      </c>
      <c r="CQ8" s="4" t="s">
        <v>5</v>
      </c>
      <c r="CR8" s="4" t="s">
        <v>5</v>
      </c>
      <c r="CS8" s="4" t="s">
        <v>5</v>
      </c>
      <c r="CT8" s="4" t="s">
        <v>5</v>
      </c>
      <c r="CU8" s="4" t="s">
        <v>5</v>
      </c>
      <c r="CV8" s="4" t="s">
        <v>5</v>
      </c>
      <c r="CW8" s="4" t="s">
        <v>5</v>
      </c>
      <c r="CX8" s="4" t="s">
        <v>5</v>
      </c>
      <c r="CY8" s="4" t="s">
        <v>5</v>
      </c>
      <c r="CZ8" s="4" t="s">
        <v>5</v>
      </c>
      <c r="DA8" s="4" t="s">
        <v>5</v>
      </c>
      <c r="DB8" s="4" t="s">
        <v>5</v>
      </c>
      <c r="DC8" s="4" t="s">
        <v>5</v>
      </c>
      <c r="DD8" s="4" t="s">
        <v>5</v>
      </c>
      <c r="DE8" s="4" t="s">
        <v>5</v>
      </c>
      <c r="DF8" s="4" t="s">
        <v>5</v>
      </c>
      <c r="DG8" s="4" t="s">
        <v>5</v>
      </c>
      <c r="DH8" s="4" t="s">
        <v>5</v>
      </c>
      <c r="DI8" s="4" t="s">
        <v>5</v>
      </c>
      <c r="DJ8" s="4" t="s">
        <v>5</v>
      </c>
      <c r="DK8" s="4" t="s">
        <v>5</v>
      </c>
      <c r="DL8" s="4" t="s">
        <v>5</v>
      </c>
      <c r="DM8" s="4" t="s">
        <v>5</v>
      </c>
      <c r="DN8" s="4" t="s">
        <v>5</v>
      </c>
      <c r="DO8" s="4" t="s">
        <v>5</v>
      </c>
      <c r="DP8" s="4" t="s">
        <v>5</v>
      </c>
      <c r="DQ8" s="4" t="s">
        <v>5</v>
      </c>
      <c r="DR8" s="4" t="s">
        <v>5</v>
      </c>
      <c r="DS8" s="4" t="s">
        <v>5</v>
      </c>
      <c r="DT8" s="4" t="s">
        <v>5</v>
      </c>
      <c r="DU8" s="4" t="s">
        <v>5</v>
      </c>
    </row>
    <row r="9" spans="1:125" x14ac:dyDescent="0.25">
      <c r="A9" s="13" t="str">
        <f>IF(AND($E9="",MAX($A$8:$A8)=0),"",IF(AND($E9&lt;&gt;"",MAX($A$8:$A8)=0),1,IF(AND($E9&lt;&gt;"",MAX($A$8:$A8)&gt;0),MAX($A$8:$A8)+1,"")))</f>
        <v/>
      </c>
      <c r="B9" s="11"/>
      <c r="C9" s="19" t="str">
        <f t="shared" ref="C9:C72" si="0">IF(E9="","EMPTY",IF(MID(E9,1,9)&lt;&gt;"Dialogue:","HIDE",IF(MID(E9,1,9)="Dialogue:","SHOW","")))</f>
        <v>EMPTY</v>
      </c>
      <c r="D9" s="3" t="str">
        <f>IF(C9="SHOW",CONCATENATE(Temp!T5,Temp!U5,",",Temp!V5,",",Temp!W5,Temp!X5),"")</f>
        <v/>
      </c>
      <c r="E9" s="7"/>
      <c r="F9" s="8" t="str">
        <f t="shared" ref="F9:F72" si="1">$D9</f>
        <v/>
      </c>
      <c r="I9" s="4" t="s">
        <v>5</v>
      </c>
      <c r="J9" s="4" t="s">
        <v>5</v>
      </c>
      <c r="K9" s="4" t="s">
        <v>5</v>
      </c>
      <c r="L9" s="4" t="s">
        <v>5</v>
      </c>
      <c r="M9" s="4" t="s">
        <v>5</v>
      </c>
      <c r="N9" s="4" t="s">
        <v>5</v>
      </c>
      <c r="O9" s="4" t="s">
        <v>5</v>
      </c>
      <c r="P9" s="4" t="s">
        <v>5</v>
      </c>
      <c r="Q9" s="4" t="s">
        <v>5</v>
      </c>
      <c r="R9" s="4" t="s">
        <v>5</v>
      </c>
      <c r="S9" s="4" t="s">
        <v>5</v>
      </c>
      <c r="T9" s="4" t="s">
        <v>5</v>
      </c>
      <c r="U9" s="4" t="s">
        <v>5</v>
      </c>
      <c r="V9" s="4" t="s">
        <v>5</v>
      </c>
      <c r="W9" s="4" t="s">
        <v>5</v>
      </c>
      <c r="X9" s="4" t="s">
        <v>5</v>
      </c>
      <c r="Y9" s="4" t="s">
        <v>5</v>
      </c>
      <c r="Z9" s="4" t="s">
        <v>5</v>
      </c>
      <c r="AA9" s="4" t="s">
        <v>5</v>
      </c>
      <c r="AB9" s="4" t="s">
        <v>5</v>
      </c>
      <c r="AC9" s="4" t="s">
        <v>5</v>
      </c>
      <c r="AD9" s="4" t="s">
        <v>5</v>
      </c>
      <c r="AE9" s="4" t="s">
        <v>5</v>
      </c>
      <c r="AF9" s="4" t="s">
        <v>5</v>
      </c>
      <c r="AG9" s="4" t="s">
        <v>5</v>
      </c>
      <c r="AH9" s="4" t="s">
        <v>5</v>
      </c>
      <c r="AI9" s="4" t="s">
        <v>5</v>
      </c>
      <c r="AJ9" s="4" t="s">
        <v>5</v>
      </c>
      <c r="AK9" s="4" t="s">
        <v>5</v>
      </c>
      <c r="AL9" s="4" t="s">
        <v>5</v>
      </c>
      <c r="AM9" s="4" t="s">
        <v>5</v>
      </c>
      <c r="AN9" s="4" t="s">
        <v>5</v>
      </c>
      <c r="AO9" s="4" t="s">
        <v>5</v>
      </c>
      <c r="AP9" s="4" t="s">
        <v>5</v>
      </c>
      <c r="AQ9" s="4" t="s">
        <v>5</v>
      </c>
      <c r="AR9" s="4" t="s">
        <v>5</v>
      </c>
      <c r="AS9" s="4" t="s">
        <v>5</v>
      </c>
      <c r="AT9" s="4" t="s">
        <v>5</v>
      </c>
      <c r="AU9" s="4" t="s">
        <v>5</v>
      </c>
      <c r="AV9" s="4" t="s">
        <v>5</v>
      </c>
      <c r="AW9" s="4" t="s">
        <v>5</v>
      </c>
      <c r="AX9" s="4" t="s">
        <v>5</v>
      </c>
      <c r="AY9" s="4" t="s">
        <v>5</v>
      </c>
      <c r="AZ9" s="4" t="s">
        <v>5</v>
      </c>
      <c r="BA9" s="4" t="s">
        <v>5</v>
      </c>
      <c r="BB9" s="4" t="s">
        <v>5</v>
      </c>
      <c r="BC9" s="4" t="s">
        <v>5</v>
      </c>
      <c r="BD9" s="4" t="s">
        <v>5</v>
      </c>
      <c r="BE9" s="4" t="s">
        <v>5</v>
      </c>
      <c r="BF9" s="4" t="s">
        <v>5</v>
      </c>
      <c r="BG9" s="4" t="s">
        <v>5</v>
      </c>
      <c r="BH9" s="4" t="s">
        <v>5</v>
      </c>
      <c r="BI9" s="4" t="s">
        <v>5</v>
      </c>
      <c r="BJ9" s="4" t="s">
        <v>5</v>
      </c>
      <c r="BK9" s="4" t="s">
        <v>5</v>
      </c>
      <c r="BL9" s="4" t="s">
        <v>5</v>
      </c>
      <c r="BM9" s="4" t="s">
        <v>5</v>
      </c>
      <c r="BN9" s="4" t="s">
        <v>5</v>
      </c>
      <c r="BO9" s="4" t="s">
        <v>5</v>
      </c>
      <c r="BP9" s="4" t="s">
        <v>5</v>
      </c>
      <c r="BQ9" s="4" t="s">
        <v>5</v>
      </c>
      <c r="BR9" s="4" t="s">
        <v>5</v>
      </c>
      <c r="BS9" s="4" t="s">
        <v>5</v>
      </c>
      <c r="BT9" s="4" t="s">
        <v>5</v>
      </c>
      <c r="BU9" s="4" t="s">
        <v>5</v>
      </c>
      <c r="BV9" s="4" t="s">
        <v>5</v>
      </c>
      <c r="BW9" s="4" t="s">
        <v>5</v>
      </c>
      <c r="BX9" s="4" t="s">
        <v>5</v>
      </c>
      <c r="BY9" s="4" t="s">
        <v>5</v>
      </c>
      <c r="BZ9" s="4" t="s">
        <v>5</v>
      </c>
      <c r="CA9" s="4" t="s">
        <v>5</v>
      </c>
      <c r="CB9" s="4" t="s">
        <v>5</v>
      </c>
      <c r="CC9" s="4" t="s">
        <v>5</v>
      </c>
      <c r="CD9" s="4" t="s">
        <v>5</v>
      </c>
      <c r="CE9" s="4" t="s">
        <v>5</v>
      </c>
      <c r="CF9" s="4" t="s">
        <v>5</v>
      </c>
      <c r="CG9" s="4" t="s">
        <v>5</v>
      </c>
      <c r="CH9" s="4" t="s">
        <v>5</v>
      </c>
      <c r="CI9" s="4" t="s">
        <v>5</v>
      </c>
      <c r="CJ9" s="4" t="s">
        <v>5</v>
      </c>
      <c r="CK9" s="4" t="s">
        <v>5</v>
      </c>
      <c r="CL9" s="4" t="s">
        <v>5</v>
      </c>
      <c r="CM9" s="4" t="s">
        <v>5</v>
      </c>
      <c r="CN9" s="4" t="s">
        <v>5</v>
      </c>
      <c r="CO9" s="4" t="s">
        <v>5</v>
      </c>
      <c r="CP9" s="4" t="s">
        <v>5</v>
      </c>
      <c r="CQ9" s="4" t="s">
        <v>5</v>
      </c>
      <c r="CR9" s="4" t="s">
        <v>5</v>
      </c>
      <c r="CS9" s="4" t="s">
        <v>5</v>
      </c>
      <c r="CT9" s="4" t="s">
        <v>5</v>
      </c>
      <c r="CU9" s="4" t="s">
        <v>5</v>
      </c>
      <c r="CV9" s="4" t="s">
        <v>5</v>
      </c>
      <c r="CW9" s="4" t="s">
        <v>5</v>
      </c>
      <c r="CX9" s="4" t="s">
        <v>5</v>
      </c>
      <c r="CY9" s="4" t="s">
        <v>5</v>
      </c>
      <c r="CZ9" s="4" t="s">
        <v>5</v>
      </c>
      <c r="DA9" s="4" t="s">
        <v>5</v>
      </c>
      <c r="DB9" s="4" t="s">
        <v>5</v>
      </c>
      <c r="DC9" s="4" t="s">
        <v>5</v>
      </c>
      <c r="DD9" s="4" t="s">
        <v>5</v>
      </c>
      <c r="DE9" s="4" t="s">
        <v>5</v>
      </c>
      <c r="DF9" s="4" t="s">
        <v>5</v>
      </c>
      <c r="DG9" s="4" t="s">
        <v>5</v>
      </c>
      <c r="DH9" s="4" t="s">
        <v>5</v>
      </c>
      <c r="DI9" s="4" t="s">
        <v>5</v>
      </c>
      <c r="DJ9" s="4" t="s">
        <v>5</v>
      </c>
      <c r="DK9" s="4" t="s">
        <v>5</v>
      </c>
      <c r="DL9" s="4" t="s">
        <v>5</v>
      </c>
      <c r="DM9" s="4" t="s">
        <v>5</v>
      </c>
      <c r="DN9" s="4" t="s">
        <v>5</v>
      </c>
      <c r="DO9" s="4" t="s">
        <v>5</v>
      </c>
      <c r="DP9" s="4" t="s">
        <v>5</v>
      </c>
      <c r="DQ9" s="4" t="s">
        <v>5</v>
      </c>
      <c r="DR9" s="4" t="s">
        <v>5</v>
      </c>
      <c r="DS9" s="4" t="s">
        <v>5</v>
      </c>
      <c r="DT9" s="4" t="s">
        <v>5</v>
      </c>
      <c r="DU9" s="4" t="s">
        <v>5</v>
      </c>
    </row>
    <row r="10" spans="1:125" x14ac:dyDescent="0.25">
      <c r="A10" s="13" t="str">
        <f>IF(AND($E10="",MAX($A$8:$A9)=0),"",IF(AND($E10&lt;&gt;"",MAX($A$8:$A9)=0),1,IF(AND($E10&lt;&gt;"",MAX($A$8:$A9)&gt;0),MAX($A$8:$A9)+1,"")))</f>
        <v/>
      </c>
      <c r="B10" s="11"/>
      <c r="C10" s="19" t="str">
        <f t="shared" si="0"/>
        <v>EMPTY</v>
      </c>
      <c r="D10" s="3" t="str">
        <f>IF(C10="SHOW",CONCATENATE(Temp!T6,Temp!U6,",",Temp!V6,",",Temp!W6,Temp!X6),"")</f>
        <v/>
      </c>
      <c r="E10" s="7"/>
      <c r="F10" s="8" t="str">
        <f t="shared" si="1"/>
        <v/>
      </c>
      <c r="I10" s="4" t="s">
        <v>5</v>
      </c>
      <c r="J10" s="4" t="s">
        <v>5</v>
      </c>
      <c r="K10" s="4" t="s">
        <v>5</v>
      </c>
      <c r="L10" s="4" t="s">
        <v>5</v>
      </c>
      <c r="M10" s="4" t="s">
        <v>5</v>
      </c>
      <c r="N10" s="4" t="s">
        <v>5</v>
      </c>
      <c r="O10" s="4" t="s">
        <v>5</v>
      </c>
      <c r="P10" s="4" t="s">
        <v>5</v>
      </c>
      <c r="Q10" s="4" t="s">
        <v>5</v>
      </c>
      <c r="R10" s="4" t="s">
        <v>5</v>
      </c>
      <c r="S10" s="4" t="s">
        <v>5</v>
      </c>
      <c r="T10" s="4" t="s">
        <v>5</v>
      </c>
      <c r="U10" s="4" t="s">
        <v>5</v>
      </c>
      <c r="V10" s="4" t="s">
        <v>5</v>
      </c>
      <c r="W10" s="4" t="s">
        <v>5</v>
      </c>
      <c r="X10" s="4" t="s">
        <v>5</v>
      </c>
      <c r="Y10" s="4" t="s">
        <v>5</v>
      </c>
      <c r="Z10" s="4" t="s">
        <v>5</v>
      </c>
      <c r="AA10" s="4" t="s">
        <v>5</v>
      </c>
      <c r="AB10" s="4" t="s">
        <v>5</v>
      </c>
      <c r="AC10" s="4" t="s">
        <v>5</v>
      </c>
      <c r="AD10" s="4" t="s">
        <v>5</v>
      </c>
      <c r="AE10" s="4" t="s">
        <v>5</v>
      </c>
      <c r="AF10" s="4" t="s">
        <v>5</v>
      </c>
      <c r="AG10" s="4" t="s">
        <v>5</v>
      </c>
      <c r="AH10" s="4" t="s">
        <v>5</v>
      </c>
      <c r="AI10" s="4" t="s">
        <v>5</v>
      </c>
      <c r="AJ10" s="4" t="s">
        <v>5</v>
      </c>
      <c r="AK10" s="4" t="s">
        <v>5</v>
      </c>
      <c r="AL10" s="4" t="s">
        <v>5</v>
      </c>
      <c r="AM10" s="4" t="s">
        <v>5</v>
      </c>
      <c r="AN10" s="4" t="s">
        <v>5</v>
      </c>
      <c r="AO10" s="4" t="s">
        <v>5</v>
      </c>
      <c r="AP10" s="4" t="s">
        <v>5</v>
      </c>
      <c r="AQ10" s="4" t="s">
        <v>5</v>
      </c>
      <c r="AR10" s="4" t="s">
        <v>5</v>
      </c>
      <c r="AS10" s="4" t="s">
        <v>5</v>
      </c>
      <c r="AT10" s="4" t="s">
        <v>5</v>
      </c>
      <c r="AU10" s="4" t="s">
        <v>5</v>
      </c>
      <c r="AV10" s="4" t="s">
        <v>5</v>
      </c>
      <c r="AW10" s="4" t="s">
        <v>5</v>
      </c>
      <c r="AX10" s="4" t="s">
        <v>5</v>
      </c>
      <c r="AY10" s="4" t="s">
        <v>5</v>
      </c>
      <c r="AZ10" s="4" t="s">
        <v>5</v>
      </c>
      <c r="BA10" s="4" t="s">
        <v>5</v>
      </c>
      <c r="BB10" s="4" t="s">
        <v>5</v>
      </c>
      <c r="BC10" s="4" t="s">
        <v>5</v>
      </c>
      <c r="BD10" s="4" t="s">
        <v>5</v>
      </c>
      <c r="BE10" s="4" t="s">
        <v>5</v>
      </c>
      <c r="BF10" s="4" t="s">
        <v>5</v>
      </c>
      <c r="BG10" s="4" t="s">
        <v>5</v>
      </c>
      <c r="BH10" s="4" t="s">
        <v>5</v>
      </c>
      <c r="BI10" s="4" t="s">
        <v>5</v>
      </c>
      <c r="BJ10" s="4" t="s">
        <v>5</v>
      </c>
      <c r="BK10" s="4" t="s">
        <v>5</v>
      </c>
      <c r="BL10" s="4" t="s">
        <v>5</v>
      </c>
      <c r="BM10" s="4" t="s">
        <v>5</v>
      </c>
      <c r="BN10" s="4" t="s">
        <v>5</v>
      </c>
      <c r="BO10" s="4" t="s">
        <v>5</v>
      </c>
      <c r="BP10" s="4" t="s">
        <v>5</v>
      </c>
      <c r="BQ10" s="4" t="s">
        <v>5</v>
      </c>
      <c r="BR10" s="4" t="s">
        <v>5</v>
      </c>
      <c r="BS10" s="4" t="s">
        <v>5</v>
      </c>
      <c r="BT10" s="4" t="s">
        <v>5</v>
      </c>
      <c r="BU10" s="4" t="s">
        <v>5</v>
      </c>
      <c r="BV10" s="4" t="s">
        <v>5</v>
      </c>
      <c r="BW10" s="4" t="s">
        <v>5</v>
      </c>
      <c r="BX10" s="4" t="s">
        <v>5</v>
      </c>
      <c r="BY10" s="4" t="s">
        <v>5</v>
      </c>
      <c r="BZ10" s="4" t="s">
        <v>5</v>
      </c>
      <c r="CA10" s="4" t="s">
        <v>5</v>
      </c>
      <c r="CB10" s="4" t="s">
        <v>5</v>
      </c>
      <c r="CC10" s="4" t="s">
        <v>5</v>
      </c>
      <c r="CD10" s="4" t="s">
        <v>5</v>
      </c>
      <c r="CE10" s="4" t="s">
        <v>5</v>
      </c>
      <c r="CF10" s="4" t="s">
        <v>5</v>
      </c>
      <c r="CG10" s="4" t="s">
        <v>5</v>
      </c>
      <c r="CH10" s="4" t="s">
        <v>5</v>
      </c>
      <c r="CI10" s="4" t="s">
        <v>5</v>
      </c>
      <c r="CJ10" s="4" t="s">
        <v>5</v>
      </c>
      <c r="CK10" s="4" t="s">
        <v>5</v>
      </c>
      <c r="CL10" s="4" t="s">
        <v>5</v>
      </c>
      <c r="CM10" s="4" t="s">
        <v>5</v>
      </c>
      <c r="CN10" s="4" t="s">
        <v>5</v>
      </c>
      <c r="CO10" s="4" t="s">
        <v>5</v>
      </c>
      <c r="CP10" s="4" t="s">
        <v>5</v>
      </c>
      <c r="CQ10" s="4" t="s">
        <v>5</v>
      </c>
      <c r="CR10" s="4" t="s">
        <v>5</v>
      </c>
      <c r="CS10" s="4" t="s">
        <v>5</v>
      </c>
      <c r="CT10" s="4" t="s">
        <v>5</v>
      </c>
      <c r="CU10" s="4" t="s">
        <v>5</v>
      </c>
      <c r="CV10" s="4" t="s">
        <v>5</v>
      </c>
      <c r="CW10" s="4" t="s">
        <v>5</v>
      </c>
      <c r="CX10" s="4" t="s">
        <v>5</v>
      </c>
      <c r="CY10" s="4" t="s">
        <v>5</v>
      </c>
      <c r="CZ10" s="4" t="s">
        <v>5</v>
      </c>
      <c r="DA10" s="4" t="s">
        <v>5</v>
      </c>
      <c r="DB10" s="4" t="s">
        <v>5</v>
      </c>
      <c r="DC10" s="4" t="s">
        <v>5</v>
      </c>
      <c r="DD10" s="4" t="s">
        <v>5</v>
      </c>
      <c r="DE10" s="4" t="s">
        <v>5</v>
      </c>
      <c r="DF10" s="4" t="s">
        <v>5</v>
      </c>
      <c r="DG10" s="4" t="s">
        <v>5</v>
      </c>
      <c r="DH10" s="4" t="s">
        <v>5</v>
      </c>
      <c r="DI10" s="4" t="s">
        <v>5</v>
      </c>
      <c r="DJ10" s="4" t="s">
        <v>5</v>
      </c>
      <c r="DK10" s="4" t="s">
        <v>5</v>
      </c>
      <c r="DL10" s="4" t="s">
        <v>5</v>
      </c>
      <c r="DM10" s="4" t="s">
        <v>5</v>
      </c>
      <c r="DN10" s="4" t="s">
        <v>5</v>
      </c>
      <c r="DO10" s="4" t="s">
        <v>5</v>
      </c>
      <c r="DP10" s="4" t="s">
        <v>5</v>
      </c>
      <c r="DQ10" s="4" t="s">
        <v>5</v>
      </c>
      <c r="DR10" s="4" t="s">
        <v>5</v>
      </c>
      <c r="DS10" s="4" t="s">
        <v>5</v>
      </c>
      <c r="DT10" s="4" t="s">
        <v>5</v>
      </c>
      <c r="DU10" s="4" t="s">
        <v>5</v>
      </c>
    </row>
    <row r="11" spans="1:125" x14ac:dyDescent="0.25">
      <c r="A11" s="13" t="str">
        <f>IF(AND($E11="",MAX($A$8:$A10)=0),"",IF(AND($E11&lt;&gt;"",MAX($A$8:$A10)=0),1,IF(AND($E11&lt;&gt;"",MAX($A$8:$A10)&gt;0),MAX($A$8:$A10)+1,"")))</f>
        <v/>
      </c>
      <c r="B11" s="11"/>
      <c r="C11" s="19" t="str">
        <f t="shared" si="0"/>
        <v>EMPTY</v>
      </c>
      <c r="D11" s="3" t="str">
        <f>IF(C11="SHOW",CONCATENATE(Temp!T7,Temp!U7,",",Temp!V7,",",Temp!W7,Temp!X7),"")</f>
        <v/>
      </c>
      <c r="E11" s="7"/>
      <c r="F11" s="8" t="str">
        <f t="shared" si="1"/>
        <v/>
      </c>
      <c r="I11" s="4" t="s">
        <v>5</v>
      </c>
      <c r="J11" s="4" t="s">
        <v>5</v>
      </c>
      <c r="K11" s="4" t="s">
        <v>5</v>
      </c>
      <c r="L11" s="4" t="s">
        <v>5</v>
      </c>
      <c r="M11" s="4" t="s">
        <v>5</v>
      </c>
      <c r="N11" s="4" t="s">
        <v>5</v>
      </c>
      <c r="O11" s="4" t="s">
        <v>5</v>
      </c>
      <c r="P11" s="4" t="s">
        <v>5</v>
      </c>
      <c r="Q11" s="4" t="s">
        <v>5</v>
      </c>
      <c r="R11" s="4" t="s">
        <v>5</v>
      </c>
      <c r="S11" s="4" t="s">
        <v>5</v>
      </c>
      <c r="T11" s="4" t="s">
        <v>5</v>
      </c>
      <c r="U11" s="4" t="s">
        <v>5</v>
      </c>
      <c r="V11" s="4" t="s">
        <v>5</v>
      </c>
      <c r="W11" s="4" t="s">
        <v>5</v>
      </c>
      <c r="X11" s="4" t="s">
        <v>5</v>
      </c>
      <c r="Y11" s="4" t="s">
        <v>5</v>
      </c>
      <c r="Z11" s="4" t="s">
        <v>5</v>
      </c>
      <c r="AA11" s="4" t="s">
        <v>5</v>
      </c>
      <c r="AB11" s="4" t="s">
        <v>5</v>
      </c>
      <c r="AC11" s="4" t="s">
        <v>5</v>
      </c>
      <c r="AD11" s="4" t="s">
        <v>5</v>
      </c>
      <c r="AE11" s="4" t="s">
        <v>5</v>
      </c>
      <c r="AF11" s="4" t="s">
        <v>5</v>
      </c>
      <c r="AG11" s="4" t="s">
        <v>5</v>
      </c>
      <c r="AH11" s="4" t="s">
        <v>5</v>
      </c>
      <c r="AI11" s="4" t="s">
        <v>5</v>
      </c>
      <c r="AJ11" s="4" t="s">
        <v>5</v>
      </c>
      <c r="AK11" s="4" t="s">
        <v>5</v>
      </c>
      <c r="AL11" s="4" t="s">
        <v>5</v>
      </c>
      <c r="AM11" s="4" t="s">
        <v>5</v>
      </c>
      <c r="AN11" s="4" t="s">
        <v>5</v>
      </c>
      <c r="AO11" s="4" t="s">
        <v>5</v>
      </c>
      <c r="AP11" s="4" t="s">
        <v>5</v>
      </c>
      <c r="AQ11" s="4" t="s">
        <v>5</v>
      </c>
      <c r="AR11" s="4" t="s">
        <v>5</v>
      </c>
      <c r="AS11" s="4" t="s">
        <v>5</v>
      </c>
      <c r="AT11" s="4" t="s">
        <v>5</v>
      </c>
      <c r="AU11" s="4" t="s">
        <v>5</v>
      </c>
      <c r="AV11" s="4" t="s">
        <v>5</v>
      </c>
      <c r="AW11" s="4" t="s">
        <v>5</v>
      </c>
      <c r="AX11" s="4" t="s">
        <v>5</v>
      </c>
      <c r="AY11" s="4" t="s">
        <v>5</v>
      </c>
      <c r="AZ11" s="4" t="s">
        <v>5</v>
      </c>
      <c r="BA11" s="4" t="s">
        <v>5</v>
      </c>
      <c r="BB11" s="4" t="s">
        <v>5</v>
      </c>
      <c r="BC11" s="4" t="s">
        <v>5</v>
      </c>
      <c r="BD11" s="4" t="s">
        <v>5</v>
      </c>
      <c r="BE11" s="4" t="s">
        <v>5</v>
      </c>
      <c r="BF11" s="4" t="s">
        <v>5</v>
      </c>
      <c r="BG11" s="4" t="s">
        <v>5</v>
      </c>
      <c r="BH11" s="4" t="s">
        <v>5</v>
      </c>
      <c r="BI11" s="4" t="s">
        <v>5</v>
      </c>
      <c r="BJ11" s="4" t="s">
        <v>5</v>
      </c>
      <c r="BK11" s="4" t="s">
        <v>5</v>
      </c>
      <c r="BL11" s="4" t="s">
        <v>5</v>
      </c>
      <c r="BM11" s="4" t="s">
        <v>5</v>
      </c>
      <c r="BN11" s="4" t="s">
        <v>5</v>
      </c>
      <c r="BO11" s="4" t="s">
        <v>5</v>
      </c>
      <c r="BP11" s="4" t="s">
        <v>5</v>
      </c>
      <c r="BQ11" s="4" t="s">
        <v>5</v>
      </c>
      <c r="BR11" s="4" t="s">
        <v>5</v>
      </c>
      <c r="BS11" s="4" t="s">
        <v>5</v>
      </c>
      <c r="BT11" s="4" t="s">
        <v>5</v>
      </c>
      <c r="BU11" s="4" t="s">
        <v>5</v>
      </c>
      <c r="BV11" s="4" t="s">
        <v>5</v>
      </c>
      <c r="BW11" s="4" t="s">
        <v>5</v>
      </c>
      <c r="BX11" s="4" t="s">
        <v>5</v>
      </c>
      <c r="BY11" s="4" t="s">
        <v>5</v>
      </c>
      <c r="BZ11" s="4" t="s">
        <v>5</v>
      </c>
      <c r="CA11" s="4" t="s">
        <v>5</v>
      </c>
      <c r="CB11" s="4" t="s">
        <v>5</v>
      </c>
      <c r="CC11" s="4" t="s">
        <v>5</v>
      </c>
      <c r="CD11" s="4" t="s">
        <v>5</v>
      </c>
      <c r="CE11" s="4" t="s">
        <v>5</v>
      </c>
      <c r="CF11" s="4" t="s">
        <v>5</v>
      </c>
      <c r="CG11" s="4" t="s">
        <v>5</v>
      </c>
      <c r="CH11" s="4" t="s">
        <v>5</v>
      </c>
      <c r="CI11" s="4" t="s">
        <v>5</v>
      </c>
      <c r="CJ11" s="4" t="s">
        <v>5</v>
      </c>
      <c r="CK11" s="4" t="s">
        <v>5</v>
      </c>
      <c r="CL11" s="4" t="s">
        <v>5</v>
      </c>
      <c r="CM11" s="4" t="s">
        <v>5</v>
      </c>
      <c r="CN11" s="4" t="s">
        <v>5</v>
      </c>
      <c r="CO11" s="4" t="s">
        <v>5</v>
      </c>
      <c r="CP11" s="4" t="s">
        <v>5</v>
      </c>
      <c r="CQ11" s="4" t="s">
        <v>5</v>
      </c>
      <c r="CR11" s="4" t="s">
        <v>5</v>
      </c>
      <c r="CS11" s="4" t="s">
        <v>5</v>
      </c>
      <c r="CT11" s="4" t="s">
        <v>5</v>
      </c>
      <c r="CU11" s="4" t="s">
        <v>5</v>
      </c>
      <c r="CV11" s="4" t="s">
        <v>5</v>
      </c>
      <c r="CW11" s="4" t="s">
        <v>5</v>
      </c>
      <c r="CX11" s="4" t="s">
        <v>5</v>
      </c>
      <c r="CY11" s="4" t="s">
        <v>5</v>
      </c>
      <c r="CZ11" s="4" t="s">
        <v>5</v>
      </c>
      <c r="DA11" s="4" t="s">
        <v>5</v>
      </c>
      <c r="DB11" s="4" t="s">
        <v>5</v>
      </c>
      <c r="DC11" s="4" t="s">
        <v>5</v>
      </c>
      <c r="DD11" s="4" t="s">
        <v>5</v>
      </c>
      <c r="DE11" s="4" t="s">
        <v>5</v>
      </c>
      <c r="DF11" s="4" t="s">
        <v>5</v>
      </c>
      <c r="DG11" s="4" t="s">
        <v>5</v>
      </c>
      <c r="DH11" s="4" t="s">
        <v>5</v>
      </c>
      <c r="DI11" s="4" t="s">
        <v>5</v>
      </c>
      <c r="DJ11" s="4" t="s">
        <v>5</v>
      </c>
      <c r="DK11" s="4" t="s">
        <v>5</v>
      </c>
      <c r="DL11" s="4" t="s">
        <v>5</v>
      </c>
      <c r="DM11" s="4" t="s">
        <v>5</v>
      </c>
      <c r="DN11" s="4" t="s">
        <v>5</v>
      </c>
      <c r="DO11" s="4" t="s">
        <v>5</v>
      </c>
      <c r="DP11" s="4" t="s">
        <v>5</v>
      </c>
      <c r="DQ11" s="4" t="s">
        <v>5</v>
      </c>
      <c r="DR11" s="4" t="s">
        <v>5</v>
      </c>
      <c r="DS11" s="4" t="s">
        <v>5</v>
      </c>
      <c r="DT11" s="4" t="s">
        <v>5</v>
      </c>
      <c r="DU11" s="4" t="s">
        <v>5</v>
      </c>
    </row>
    <row r="12" spans="1:125" x14ac:dyDescent="0.25">
      <c r="A12" s="13" t="str">
        <f>IF(AND($E12="",MAX($A$8:$A11)=0),"",IF(AND($E12&lt;&gt;"",MAX($A$8:$A11)=0),1,IF(AND($E12&lt;&gt;"",MAX($A$8:$A11)&gt;0),MAX($A$8:$A11)+1,"")))</f>
        <v/>
      </c>
      <c r="B12" s="11"/>
      <c r="C12" s="19" t="str">
        <f t="shared" si="0"/>
        <v>EMPTY</v>
      </c>
      <c r="D12" s="3" t="str">
        <f>IF(C12="SHOW",CONCATENATE(Temp!T8,Temp!U8,",",Temp!V8,",",Temp!W8,Temp!X8),"")</f>
        <v/>
      </c>
      <c r="E12" s="7"/>
      <c r="F12" s="8" t="str">
        <f t="shared" si="1"/>
        <v/>
      </c>
      <c r="G12" t="s">
        <v>5</v>
      </c>
      <c r="H12" s="4" t="s">
        <v>5</v>
      </c>
      <c r="I12" s="4" t="s">
        <v>5</v>
      </c>
      <c r="J12" s="4" t="s">
        <v>5</v>
      </c>
      <c r="K12" s="4" t="s">
        <v>5</v>
      </c>
      <c r="L12" s="4" t="s">
        <v>5</v>
      </c>
      <c r="M12" s="4" t="s">
        <v>5</v>
      </c>
      <c r="N12" s="4" t="s">
        <v>5</v>
      </c>
      <c r="O12" s="4" t="s">
        <v>5</v>
      </c>
      <c r="P12" s="4" t="s">
        <v>5</v>
      </c>
      <c r="Q12" s="4" t="s">
        <v>5</v>
      </c>
      <c r="R12" s="4" t="s">
        <v>5</v>
      </c>
      <c r="S12" s="4" t="s">
        <v>5</v>
      </c>
      <c r="T12" s="4" t="s">
        <v>5</v>
      </c>
      <c r="U12" s="4" t="s">
        <v>5</v>
      </c>
      <c r="V12" s="4" t="s">
        <v>5</v>
      </c>
      <c r="W12" s="4" t="s">
        <v>5</v>
      </c>
      <c r="X12" s="4" t="s">
        <v>5</v>
      </c>
      <c r="Y12" s="4" t="s">
        <v>5</v>
      </c>
      <c r="Z12" s="4" t="s">
        <v>5</v>
      </c>
      <c r="AA12" s="4" t="s">
        <v>5</v>
      </c>
      <c r="AB12" s="4" t="s">
        <v>5</v>
      </c>
      <c r="AC12" s="4" t="s">
        <v>5</v>
      </c>
      <c r="AD12" s="4" t="s">
        <v>5</v>
      </c>
      <c r="AE12" s="4" t="s">
        <v>5</v>
      </c>
      <c r="AF12" s="4" t="s">
        <v>5</v>
      </c>
      <c r="AG12" s="4" t="s">
        <v>5</v>
      </c>
      <c r="AH12" s="4" t="s">
        <v>5</v>
      </c>
      <c r="AI12" s="4" t="s">
        <v>5</v>
      </c>
      <c r="AJ12" s="4" t="s">
        <v>5</v>
      </c>
      <c r="AK12" s="4" t="s">
        <v>5</v>
      </c>
      <c r="AL12" s="4" t="s">
        <v>5</v>
      </c>
      <c r="AM12" s="4" t="s">
        <v>5</v>
      </c>
      <c r="AN12" s="4" t="s">
        <v>5</v>
      </c>
      <c r="AO12" s="4" t="s">
        <v>5</v>
      </c>
      <c r="AP12" s="4" t="s">
        <v>5</v>
      </c>
      <c r="AQ12" s="4" t="s">
        <v>5</v>
      </c>
      <c r="AR12" s="4" t="s">
        <v>5</v>
      </c>
      <c r="AS12" s="4" t="s">
        <v>5</v>
      </c>
      <c r="AT12" s="4" t="s">
        <v>5</v>
      </c>
      <c r="AU12" s="4" t="s">
        <v>5</v>
      </c>
      <c r="AV12" s="4" t="s">
        <v>5</v>
      </c>
      <c r="AW12" s="4" t="s">
        <v>5</v>
      </c>
      <c r="AX12" s="4" t="s">
        <v>5</v>
      </c>
      <c r="AY12" s="4" t="s">
        <v>5</v>
      </c>
      <c r="AZ12" s="4" t="s">
        <v>5</v>
      </c>
      <c r="BA12" s="4" t="s">
        <v>5</v>
      </c>
      <c r="BB12" s="4" t="s">
        <v>5</v>
      </c>
      <c r="BC12" s="4" t="s">
        <v>5</v>
      </c>
      <c r="BD12" s="4" t="s">
        <v>5</v>
      </c>
      <c r="BE12" s="4" t="s">
        <v>5</v>
      </c>
      <c r="BF12" s="4" t="s">
        <v>5</v>
      </c>
      <c r="BG12" s="4" t="s">
        <v>5</v>
      </c>
      <c r="BH12" s="4" t="s">
        <v>5</v>
      </c>
      <c r="BI12" s="4" t="s">
        <v>5</v>
      </c>
      <c r="BJ12" s="4" t="s">
        <v>5</v>
      </c>
      <c r="BK12" s="4" t="s">
        <v>5</v>
      </c>
      <c r="BL12" s="4" t="s">
        <v>5</v>
      </c>
      <c r="BM12" s="4" t="s">
        <v>5</v>
      </c>
      <c r="BN12" s="4" t="s">
        <v>5</v>
      </c>
      <c r="BO12" s="4" t="s">
        <v>5</v>
      </c>
      <c r="BP12" s="4" t="s">
        <v>5</v>
      </c>
      <c r="BQ12" s="4" t="s">
        <v>5</v>
      </c>
      <c r="BR12" s="4" t="s">
        <v>5</v>
      </c>
      <c r="BS12" s="4" t="s">
        <v>5</v>
      </c>
      <c r="BT12" s="4" t="s">
        <v>5</v>
      </c>
      <c r="BU12" s="4" t="s">
        <v>5</v>
      </c>
      <c r="BV12" s="4" t="s">
        <v>5</v>
      </c>
      <c r="BW12" s="4" t="s">
        <v>5</v>
      </c>
      <c r="BX12" s="4" t="s">
        <v>5</v>
      </c>
      <c r="BY12" s="4" t="s">
        <v>5</v>
      </c>
      <c r="BZ12" s="4" t="s">
        <v>5</v>
      </c>
      <c r="CA12" s="4" t="s">
        <v>5</v>
      </c>
      <c r="CB12" s="4" t="s">
        <v>5</v>
      </c>
      <c r="CC12" s="4" t="s">
        <v>5</v>
      </c>
      <c r="CD12" s="4" t="s">
        <v>5</v>
      </c>
      <c r="CE12" s="4" t="s">
        <v>5</v>
      </c>
      <c r="CF12" s="4" t="s">
        <v>5</v>
      </c>
      <c r="CG12" s="4" t="s">
        <v>5</v>
      </c>
      <c r="CH12" s="4" t="s">
        <v>5</v>
      </c>
      <c r="CI12" s="4" t="s">
        <v>5</v>
      </c>
      <c r="CJ12" s="4" t="s">
        <v>5</v>
      </c>
      <c r="CK12" s="4" t="s">
        <v>5</v>
      </c>
      <c r="CL12" s="4" t="s">
        <v>5</v>
      </c>
      <c r="CM12" s="4" t="s">
        <v>5</v>
      </c>
      <c r="CN12" s="4" t="s">
        <v>5</v>
      </c>
      <c r="CO12" s="4" t="s">
        <v>5</v>
      </c>
      <c r="CP12" s="4" t="s">
        <v>5</v>
      </c>
      <c r="CQ12" s="4" t="s">
        <v>5</v>
      </c>
      <c r="CR12" s="4" t="s">
        <v>5</v>
      </c>
      <c r="CS12" s="4" t="s">
        <v>5</v>
      </c>
      <c r="CT12" s="4" t="s">
        <v>5</v>
      </c>
      <c r="CU12" s="4" t="s">
        <v>5</v>
      </c>
      <c r="CV12" s="4" t="s">
        <v>5</v>
      </c>
      <c r="CW12" s="4" t="s">
        <v>5</v>
      </c>
      <c r="CX12" s="4" t="s">
        <v>5</v>
      </c>
      <c r="CY12" s="4" t="s">
        <v>5</v>
      </c>
      <c r="CZ12" s="4" t="s">
        <v>5</v>
      </c>
      <c r="DA12" s="4" t="s">
        <v>5</v>
      </c>
      <c r="DB12" s="4" t="s">
        <v>5</v>
      </c>
      <c r="DC12" s="4" t="s">
        <v>5</v>
      </c>
      <c r="DD12" s="4" t="s">
        <v>5</v>
      </c>
      <c r="DE12" s="4" t="s">
        <v>5</v>
      </c>
      <c r="DF12" s="4" t="s">
        <v>5</v>
      </c>
      <c r="DG12" s="4" t="s">
        <v>5</v>
      </c>
      <c r="DH12" s="4" t="s">
        <v>5</v>
      </c>
      <c r="DI12" s="4" t="s">
        <v>5</v>
      </c>
      <c r="DJ12" s="4" t="s">
        <v>5</v>
      </c>
      <c r="DK12" s="4" t="s">
        <v>5</v>
      </c>
      <c r="DL12" s="4" t="s">
        <v>5</v>
      </c>
      <c r="DM12" s="4" t="s">
        <v>5</v>
      </c>
      <c r="DN12" s="4" t="s">
        <v>5</v>
      </c>
      <c r="DO12" s="4" t="s">
        <v>5</v>
      </c>
      <c r="DP12" s="4" t="s">
        <v>5</v>
      </c>
      <c r="DQ12" s="4" t="s">
        <v>5</v>
      </c>
      <c r="DR12" s="4" t="s">
        <v>5</v>
      </c>
      <c r="DS12" s="4" t="s">
        <v>5</v>
      </c>
      <c r="DT12" s="4" t="s">
        <v>5</v>
      </c>
      <c r="DU12" s="4" t="s">
        <v>5</v>
      </c>
    </row>
    <row r="13" spans="1:125" x14ac:dyDescent="0.25">
      <c r="A13" s="13" t="str">
        <f>IF(AND($E13="",MAX($A$8:$A12)=0),"",IF(AND($E13&lt;&gt;"",MAX($A$8:$A12)=0),1,IF(AND($E13&lt;&gt;"",MAX($A$8:$A12)&gt;0),MAX($A$8:$A12)+1,"")))</f>
        <v/>
      </c>
      <c r="B13" s="11"/>
      <c r="C13" s="19" t="str">
        <f t="shared" si="0"/>
        <v>EMPTY</v>
      </c>
      <c r="D13" s="3" t="str">
        <f>IF(C13="SHOW",CONCATENATE(Temp!T9,Temp!U9,",",Temp!V9,",",Temp!W9,Temp!X9),"")</f>
        <v/>
      </c>
      <c r="E13" s="7"/>
      <c r="F13" s="8" t="str">
        <f t="shared" si="1"/>
        <v/>
      </c>
      <c r="I13" s="4" t="s">
        <v>5</v>
      </c>
      <c r="J13" s="4" t="s">
        <v>5</v>
      </c>
      <c r="K13" s="4" t="s">
        <v>5</v>
      </c>
      <c r="L13" s="4" t="s">
        <v>5</v>
      </c>
      <c r="M13" s="4" t="s">
        <v>5</v>
      </c>
      <c r="N13" s="4" t="s">
        <v>5</v>
      </c>
      <c r="O13" s="4" t="s">
        <v>5</v>
      </c>
      <c r="P13" s="4" t="s">
        <v>5</v>
      </c>
      <c r="Q13" s="4" t="s">
        <v>5</v>
      </c>
      <c r="R13" s="4" t="s">
        <v>5</v>
      </c>
      <c r="S13" s="4" t="s">
        <v>5</v>
      </c>
      <c r="T13" s="4" t="s">
        <v>5</v>
      </c>
      <c r="U13" s="4" t="s">
        <v>5</v>
      </c>
      <c r="V13" s="4" t="s">
        <v>5</v>
      </c>
      <c r="W13" s="4" t="s">
        <v>5</v>
      </c>
      <c r="X13" s="4" t="s">
        <v>5</v>
      </c>
      <c r="Y13" s="4" t="s">
        <v>5</v>
      </c>
      <c r="Z13" s="4" t="s">
        <v>5</v>
      </c>
      <c r="AA13" s="4" t="s">
        <v>5</v>
      </c>
      <c r="AB13" s="4" t="s">
        <v>5</v>
      </c>
      <c r="AC13" s="4" t="s">
        <v>5</v>
      </c>
      <c r="AD13" s="4" t="s">
        <v>5</v>
      </c>
      <c r="AE13" s="4" t="s">
        <v>5</v>
      </c>
      <c r="AF13" s="4" t="s">
        <v>5</v>
      </c>
      <c r="AG13" s="4" t="s">
        <v>5</v>
      </c>
      <c r="AH13" s="4" t="s">
        <v>5</v>
      </c>
      <c r="AI13" s="4" t="s">
        <v>5</v>
      </c>
      <c r="AJ13" s="4" t="s">
        <v>5</v>
      </c>
      <c r="AK13" s="4" t="s">
        <v>5</v>
      </c>
      <c r="AL13" s="4" t="s">
        <v>5</v>
      </c>
      <c r="AM13" s="4" t="s">
        <v>5</v>
      </c>
      <c r="AN13" s="4" t="s">
        <v>5</v>
      </c>
      <c r="AO13" s="4" t="s">
        <v>5</v>
      </c>
      <c r="AP13" s="4" t="s">
        <v>5</v>
      </c>
      <c r="AQ13" s="4" t="s">
        <v>5</v>
      </c>
      <c r="AR13" s="4" t="s">
        <v>5</v>
      </c>
      <c r="AS13" s="4" t="s">
        <v>5</v>
      </c>
      <c r="AT13" s="4" t="s">
        <v>5</v>
      </c>
      <c r="AU13" s="4" t="s">
        <v>5</v>
      </c>
      <c r="AV13" s="4" t="s">
        <v>5</v>
      </c>
      <c r="AW13" s="4" t="s">
        <v>5</v>
      </c>
      <c r="AX13" s="4" t="s">
        <v>5</v>
      </c>
      <c r="AY13" s="4" t="s">
        <v>5</v>
      </c>
      <c r="AZ13" s="4" t="s">
        <v>5</v>
      </c>
      <c r="BA13" s="4" t="s">
        <v>5</v>
      </c>
      <c r="BB13" s="4" t="s">
        <v>5</v>
      </c>
      <c r="BC13" s="4" t="s">
        <v>5</v>
      </c>
      <c r="BD13" s="4" t="s">
        <v>5</v>
      </c>
      <c r="BE13" s="4" t="s">
        <v>5</v>
      </c>
      <c r="BF13" s="4" t="s">
        <v>5</v>
      </c>
      <c r="BG13" s="4" t="s">
        <v>5</v>
      </c>
      <c r="BH13" s="4" t="s">
        <v>5</v>
      </c>
      <c r="BI13" s="4" t="s">
        <v>5</v>
      </c>
      <c r="BJ13" s="4" t="s">
        <v>5</v>
      </c>
      <c r="BK13" s="4" t="s">
        <v>5</v>
      </c>
      <c r="BL13" s="4" t="s">
        <v>5</v>
      </c>
      <c r="BM13" s="4" t="s">
        <v>5</v>
      </c>
      <c r="BN13" s="4" t="s">
        <v>5</v>
      </c>
      <c r="BO13" s="4" t="s">
        <v>5</v>
      </c>
      <c r="BP13" s="4" t="s">
        <v>5</v>
      </c>
      <c r="BQ13" s="4" t="s">
        <v>5</v>
      </c>
      <c r="BR13" s="4" t="s">
        <v>5</v>
      </c>
      <c r="BS13" s="4" t="s">
        <v>5</v>
      </c>
      <c r="BT13" s="4" t="s">
        <v>5</v>
      </c>
      <c r="BU13" s="4" t="s">
        <v>5</v>
      </c>
      <c r="BV13" s="4" t="s">
        <v>5</v>
      </c>
      <c r="BW13" s="4" t="s">
        <v>5</v>
      </c>
      <c r="BX13" s="4" t="s">
        <v>5</v>
      </c>
      <c r="BY13" s="4" t="s">
        <v>5</v>
      </c>
      <c r="BZ13" s="4" t="s">
        <v>5</v>
      </c>
      <c r="CA13" s="4" t="s">
        <v>5</v>
      </c>
      <c r="CB13" s="4" t="s">
        <v>5</v>
      </c>
      <c r="CC13" s="4" t="s">
        <v>5</v>
      </c>
      <c r="CD13" s="4" t="s">
        <v>5</v>
      </c>
      <c r="CE13" s="4" t="s">
        <v>5</v>
      </c>
      <c r="CF13" s="4" t="s">
        <v>5</v>
      </c>
      <c r="CG13" s="4" t="s">
        <v>5</v>
      </c>
      <c r="CH13" s="4" t="s">
        <v>5</v>
      </c>
      <c r="CI13" s="4" t="s">
        <v>5</v>
      </c>
      <c r="CJ13" s="4" t="s">
        <v>5</v>
      </c>
      <c r="CK13" s="4" t="s">
        <v>5</v>
      </c>
      <c r="CL13" s="4" t="s">
        <v>5</v>
      </c>
      <c r="CM13" s="4" t="s">
        <v>5</v>
      </c>
      <c r="CN13" s="4" t="s">
        <v>5</v>
      </c>
      <c r="CO13" s="4" t="s">
        <v>5</v>
      </c>
      <c r="CP13" s="4" t="s">
        <v>5</v>
      </c>
      <c r="CQ13" s="4" t="s">
        <v>5</v>
      </c>
      <c r="CR13" s="4" t="s">
        <v>5</v>
      </c>
      <c r="CS13" s="4" t="s">
        <v>5</v>
      </c>
      <c r="CT13" s="4" t="s">
        <v>5</v>
      </c>
      <c r="CU13" s="4" t="s">
        <v>5</v>
      </c>
      <c r="CV13" s="4" t="s">
        <v>5</v>
      </c>
      <c r="CW13" s="4" t="s">
        <v>5</v>
      </c>
      <c r="CX13" s="4" t="s">
        <v>5</v>
      </c>
      <c r="CY13" s="4" t="s">
        <v>5</v>
      </c>
      <c r="CZ13" s="4" t="s">
        <v>5</v>
      </c>
      <c r="DA13" s="4" t="s">
        <v>5</v>
      </c>
      <c r="DC13" s="4" t="s">
        <v>5</v>
      </c>
      <c r="DD13" s="4" t="s">
        <v>5</v>
      </c>
      <c r="DE13" s="4" t="s">
        <v>5</v>
      </c>
      <c r="DF13" s="4" t="s">
        <v>5</v>
      </c>
      <c r="DG13" s="4" t="s">
        <v>5</v>
      </c>
      <c r="DH13" s="4" t="s">
        <v>5</v>
      </c>
      <c r="DI13" s="4" t="s">
        <v>5</v>
      </c>
      <c r="DJ13" s="4" t="s">
        <v>5</v>
      </c>
      <c r="DK13" s="4" t="s">
        <v>5</v>
      </c>
      <c r="DL13" s="4" t="s">
        <v>5</v>
      </c>
      <c r="DM13" s="4" t="s">
        <v>5</v>
      </c>
      <c r="DN13" s="4" t="s">
        <v>5</v>
      </c>
      <c r="DO13" s="4" t="s">
        <v>5</v>
      </c>
      <c r="DP13" s="4" t="s">
        <v>5</v>
      </c>
      <c r="DQ13" s="4" t="s">
        <v>5</v>
      </c>
      <c r="DR13" s="4" t="s">
        <v>5</v>
      </c>
      <c r="DS13" s="4" t="s">
        <v>5</v>
      </c>
      <c r="DT13" s="4" t="s">
        <v>5</v>
      </c>
      <c r="DU13" s="4" t="s">
        <v>5</v>
      </c>
    </row>
    <row r="14" spans="1:125" x14ac:dyDescent="0.25">
      <c r="A14" s="13" t="str">
        <f>IF(AND($E14="",MAX($A$8:$A13)=0),"",IF(AND($E14&lt;&gt;"",MAX($A$8:$A13)=0),1,IF(AND($E14&lt;&gt;"",MAX($A$8:$A13)&gt;0),MAX($A$8:$A13)+1,"")))</f>
        <v/>
      </c>
      <c r="B14" s="11"/>
      <c r="C14" s="19" t="str">
        <f t="shared" si="0"/>
        <v>EMPTY</v>
      </c>
      <c r="D14" s="3" t="str">
        <f>IF(C14="SHOW",CONCATENATE(Temp!T10,Temp!U10,",",Temp!V10,",",Temp!W10,Temp!X10),"")</f>
        <v/>
      </c>
      <c r="E14" s="7"/>
      <c r="F14" s="8" t="str">
        <f t="shared" si="1"/>
        <v/>
      </c>
      <c r="G14" t="s">
        <v>5</v>
      </c>
      <c r="H14" s="4" t="s">
        <v>5</v>
      </c>
      <c r="I14" s="4" t="s">
        <v>5</v>
      </c>
      <c r="J14" s="4" t="s">
        <v>5</v>
      </c>
      <c r="K14" s="4" t="s">
        <v>5</v>
      </c>
      <c r="L14" s="4" t="s">
        <v>5</v>
      </c>
      <c r="M14" s="4" t="s">
        <v>5</v>
      </c>
      <c r="N14" s="4" t="s">
        <v>5</v>
      </c>
      <c r="O14" s="4" t="s">
        <v>5</v>
      </c>
      <c r="P14" s="4" t="s">
        <v>5</v>
      </c>
      <c r="Q14" s="4" t="s">
        <v>5</v>
      </c>
      <c r="R14" s="4" t="s">
        <v>5</v>
      </c>
      <c r="S14" s="4" t="s">
        <v>5</v>
      </c>
      <c r="T14" s="4" t="s">
        <v>5</v>
      </c>
      <c r="U14" s="4" t="s">
        <v>5</v>
      </c>
      <c r="V14" s="4" t="s">
        <v>5</v>
      </c>
      <c r="W14" s="4" t="s">
        <v>5</v>
      </c>
      <c r="X14" s="4" t="s">
        <v>5</v>
      </c>
      <c r="Y14" s="4" t="s">
        <v>5</v>
      </c>
      <c r="Z14" s="4" t="s">
        <v>5</v>
      </c>
      <c r="AA14" s="4" t="s">
        <v>5</v>
      </c>
      <c r="AB14" s="4" t="s">
        <v>5</v>
      </c>
      <c r="AC14" s="4" t="s">
        <v>5</v>
      </c>
      <c r="AD14" s="4" t="s">
        <v>5</v>
      </c>
      <c r="AE14" s="4" t="s">
        <v>5</v>
      </c>
      <c r="AF14" s="4" t="s">
        <v>5</v>
      </c>
      <c r="AG14" s="4" t="s">
        <v>5</v>
      </c>
      <c r="AH14" s="4" t="s">
        <v>5</v>
      </c>
      <c r="AI14" s="4" t="s">
        <v>5</v>
      </c>
      <c r="AJ14" s="4" t="s">
        <v>5</v>
      </c>
      <c r="AK14" s="4" t="s">
        <v>5</v>
      </c>
      <c r="AL14" s="4" t="s">
        <v>5</v>
      </c>
      <c r="AM14" s="4" t="s">
        <v>5</v>
      </c>
      <c r="AN14" s="4" t="s">
        <v>5</v>
      </c>
      <c r="AO14" s="4" t="s">
        <v>5</v>
      </c>
      <c r="AP14" s="4" t="s">
        <v>5</v>
      </c>
      <c r="AQ14" s="4" t="s">
        <v>5</v>
      </c>
      <c r="AR14" s="4" t="s">
        <v>5</v>
      </c>
      <c r="AS14" s="4" t="s">
        <v>5</v>
      </c>
      <c r="AT14" s="4" t="s">
        <v>5</v>
      </c>
      <c r="AU14" s="4" t="s">
        <v>5</v>
      </c>
      <c r="AV14" s="4" t="s">
        <v>5</v>
      </c>
      <c r="AW14" s="4" t="s">
        <v>5</v>
      </c>
      <c r="AX14" s="4" t="s">
        <v>5</v>
      </c>
      <c r="AY14" s="4" t="s">
        <v>5</v>
      </c>
      <c r="AZ14" s="4" t="s">
        <v>5</v>
      </c>
      <c r="BA14" s="4" t="s">
        <v>5</v>
      </c>
      <c r="BB14" s="4" t="s">
        <v>5</v>
      </c>
      <c r="BC14" s="4" t="s">
        <v>5</v>
      </c>
      <c r="BD14" s="4" t="s">
        <v>5</v>
      </c>
      <c r="BE14" s="4" t="s">
        <v>5</v>
      </c>
      <c r="BF14" s="4" t="s">
        <v>5</v>
      </c>
      <c r="BG14" s="4" t="s">
        <v>5</v>
      </c>
      <c r="BH14" s="4" t="s">
        <v>5</v>
      </c>
      <c r="BI14" s="4" t="s">
        <v>5</v>
      </c>
      <c r="BJ14" s="4" t="s">
        <v>5</v>
      </c>
      <c r="BK14" s="4" t="s">
        <v>5</v>
      </c>
      <c r="BL14" s="4" t="s">
        <v>5</v>
      </c>
      <c r="BM14" s="4" t="s">
        <v>5</v>
      </c>
      <c r="BN14" s="4" t="s">
        <v>5</v>
      </c>
      <c r="BO14" s="4" t="s">
        <v>5</v>
      </c>
      <c r="BP14" s="4" t="s">
        <v>5</v>
      </c>
      <c r="BQ14" s="4" t="s">
        <v>5</v>
      </c>
      <c r="BR14" s="4" t="s">
        <v>5</v>
      </c>
      <c r="BS14" s="4" t="s">
        <v>5</v>
      </c>
      <c r="BT14" s="4" t="s">
        <v>5</v>
      </c>
      <c r="BU14" s="4" t="s">
        <v>5</v>
      </c>
      <c r="BV14" s="4" t="s">
        <v>5</v>
      </c>
      <c r="BW14" s="4" t="s">
        <v>5</v>
      </c>
      <c r="BX14" s="4" t="s">
        <v>5</v>
      </c>
      <c r="BY14" s="4" t="s">
        <v>5</v>
      </c>
      <c r="BZ14" s="4" t="s">
        <v>5</v>
      </c>
      <c r="CA14" s="4" t="s">
        <v>5</v>
      </c>
      <c r="CB14" s="4" t="s">
        <v>5</v>
      </c>
      <c r="CC14" s="4" t="s">
        <v>5</v>
      </c>
      <c r="CD14" s="4" t="s">
        <v>5</v>
      </c>
      <c r="CE14" s="4" t="s">
        <v>5</v>
      </c>
      <c r="CF14" s="4" t="s">
        <v>5</v>
      </c>
      <c r="CG14" s="4" t="s">
        <v>5</v>
      </c>
      <c r="CH14" s="4" t="s">
        <v>5</v>
      </c>
      <c r="CI14" s="4" t="s">
        <v>5</v>
      </c>
      <c r="CJ14" s="4" t="s">
        <v>5</v>
      </c>
      <c r="CK14" s="4" t="s">
        <v>5</v>
      </c>
      <c r="CL14" s="4" t="s">
        <v>5</v>
      </c>
      <c r="CM14" s="4" t="s">
        <v>5</v>
      </c>
      <c r="CN14" s="4" t="s">
        <v>5</v>
      </c>
      <c r="CO14" s="4" t="s">
        <v>5</v>
      </c>
      <c r="CP14" s="4" t="s">
        <v>5</v>
      </c>
      <c r="CQ14" s="4" t="s">
        <v>5</v>
      </c>
      <c r="CR14" s="4" t="s">
        <v>5</v>
      </c>
      <c r="CS14" s="4" t="s">
        <v>5</v>
      </c>
      <c r="CT14" s="4" t="s">
        <v>5</v>
      </c>
      <c r="CU14" s="4" t="s">
        <v>5</v>
      </c>
      <c r="CV14" s="4" t="s">
        <v>5</v>
      </c>
      <c r="CW14" s="4" t="s">
        <v>5</v>
      </c>
      <c r="CX14" s="4" t="s">
        <v>5</v>
      </c>
      <c r="CY14" s="4" t="s">
        <v>5</v>
      </c>
      <c r="CZ14" s="4" t="s">
        <v>5</v>
      </c>
      <c r="DC14" s="4" t="s">
        <v>5</v>
      </c>
      <c r="DD14" s="4" t="s">
        <v>5</v>
      </c>
      <c r="DE14" s="4" t="s">
        <v>5</v>
      </c>
      <c r="DF14" s="4" t="s">
        <v>5</v>
      </c>
      <c r="DG14" s="4" t="s">
        <v>5</v>
      </c>
      <c r="DH14" s="4" t="s">
        <v>5</v>
      </c>
      <c r="DI14" s="4" t="s">
        <v>5</v>
      </c>
      <c r="DJ14" s="4" t="s">
        <v>5</v>
      </c>
      <c r="DK14" s="4" t="s">
        <v>5</v>
      </c>
      <c r="DL14" s="4" t="s">
        <v>5</v>
      </c>
      <c r="DM14" s="4" t="s">
        <v>5</v>
      </c>
      <c r="DN14" s="4" t="s">
        <v>5</v>
      </c>
      <c r="DO14" s="4" t="s">
        <v>5</v>
      </c>
      <c r="DP14" s="4" t="s">
        <v>5</v>
      </c>
      <c r="DQ14" s="4" t="s">
        <v>5</v>
      </c>
      <c r="DR14" s="4" t="s">
        <v>5</v>
      </c>
      <c r="DS14" s="4" t="s">
        <v>5</v>
      </c>
      <c r="DT14" s="4" t="s">
        <v>5</v>
      </c>
      <c r="DU14" s="4" t="s">
        <v>5</v>
      </c>
    </row>
    <row r="15" spans="1:125" x14ac:dyDescent="0.25">
      <c r="A15" s="13" t="str">
        <f>IF(AND($E15="",MAX($A$8:$A14)=0),"",IF(AND($E15&lt;&gt;"",MAX($A$8:$A14)=0),1,IF(AND($E15&lt;&gt;"",MAX($A$8:$A14)&gt;0),MAX($A$8:$A14)+1,"")))</f>
        <v/>
      </c>
      <c r="B15" s="11"/>
      <c r="C15" s="19" t="str">
        <f t="shared" si="0"/>
        <v>EMPTY</v>
      </c>
      <c r="D15" s="3" t="str">
        <f>IF(C15="SHOW",CONCATENATE(Temp!T11,Temp!U11,",",Temp!V11,",",Temp!W11,Temp!X11),"")</f>
        <v/>
      </c>
      <c r="E15" s="7"/>
      <c r="F15" s="8" t="str">
        <f t="shared" si="1"/>
        <v/>
      </c>
      <c r="I15" s="4" t="s">
        <v>5</v>
      </c>
      <c r="J15" s="4" t="s">
        <v>5</v>
      </c>
      <c r="K15" s="4" t="s">
        <v>5</v>
      </c>
      <c r="L15" s="4" t="s">
        <v>5</v>
      </c>
      <c r="M15" s="4" t="s">
        <v>5</v>
      </c>
      <c r="N15" s="4" t="s">
        <v>5</v>
      </c>
      <c r="O15" s="4" t="s">
        <v>5</v>
      </c>
      <c r="P15" s="4" t="s">
        <v>5</v>
      </c>
      <c r="Q15" s="4" t="s">
        <v>5</v>
      </c>
      <c r="R15" s="4" t="s">
        <v>5</v>
      </c>
      <c r="S15" s="4" t="s">
        <v>5</v>
      </c>
      <c r="T15" s="4" t="s">
        <v>5</v>
      </c>
      <c r="U15" s="4" t="s">
        <v>5</v>
      </c>
      <c r="V15" s="4" t="s">
        <v>5</v>
      </c>
      <c r="W15" s="4" t="s">
        <v>5</v>
      </c>
      <c r="X15" s="4" t="s">
        <v>5</v>
      </c>
      <c r="Y15" s="4" t="s">
        <v>5</v>
      </c>
      <c r="Z15" s="4" t="s">
        <v>5</v>
      </c>
      <c r="AA15" s="4" t="s">
        <v>5</v>
      </c>
      <c r="AB15" s="4" t="s">
        <v>5</v>
      </c>
      <c r="AC15" s="4" t="s">
        <v>5</v>
      </c>
      <c r="AD15" s="4" t="s">
        <v>5</v>
      </c>
      <c r="AE15" s="4" t="s">
        <v>5</v>
      </c>
      <c r="AF15" s="4" t="s">
        <v>5</v>
      </c>
      <c r="AG15" s="4" t="s">
        <v>5</v>
      </c>
      <c r="AH15" s="4" t="s">
        <v>5</v>
      </c>
      <c r="AI15" s="4" t="s">
        <v>5</v>
      </c>
      <c r="AJ15" s="4" t="s">
        <v>5</v>
      </c>
      <c r="AK15" s="4" t="s">
        <v>5</v>
      </c>
      <c r="AL15" s="4" t="s">
        <v>5</v>
      </c>
      <c r="AM15" s="4" t="s">
        <v>5</v>
      </c>
      <c r="AN15" s="4" t="s">
        <v>5</v>
      </c>
      <c r="AO15" s="4" t="s">
        <v>5</v>
      </c>
      <c r="AP15" s="4" t="s">
        <v>5</v>
      </c>
      <c r="AQ15" s="4" t="s">
        <v>5</v>
      </c>
      <c r="AR15" s="4" t="s">
        <v>5</v>
      </c>
      <c r="AS15" s="4" t="s">
        <v>5</v>
      </c>
      <c r="AT15" s="4" t="s">
        <v>5</v>
      </c>
      <c r="AU15" s="4" t="s">
        <v>5</v>
      </c>
      <c r="AV15" s="4" t="s">
        <v>5</v>
      </c>
      <c r="AW15" s="4" t="s">
        <v>5</v>
      </c>
      <c r="AX15" s="4" t="s">
        <v>5</v>
      </c>
      <c r="AY15" s="4" t="s">
        <v>5</v>
      </c>
      <c r="AZ15" s="4" t="s">
        <v>5</v>
      </c>
      <c r="BA15" s="4" t="s">
        <v>5</v>
      </c>
      <c r="BB15" s="4" t="s">
        <v>5</v>
      </c>
      <c r="BC15" s="4" t="s">
        <v>5</v>
      </c>
      <c r="BD15" s="4" t="s">
        <v>5</v>
      </c>
      <c r="BE15" s="4" t="s">
        <v>5</v>
      </c>
      <c r="BF15" s="4" t="s">
        <v>5</v>
      </c>
      <c r="BG15" s="4" t="s">
        <v>5</v>
      </c>
      <c r="BH15" s="4" t="s">
        <v>5</v>
      </c>
      <c r="BI15" s="4" t="s">
        <v>5</v>
      </c>
      <c r="BJ15" s="4" t="s">
        <v>5</v>
      </c>
      <c r="BK15" s="4" t="s">
        <v>5</v>
      </c>
      <c r="BL15" s="4" t="s">
        <v>5</v>
      </c>
      <c r="BM15" s="4" t="s">
        <v>5</v>
      </c>
      <c r="BN15" s="4" t="s">
        <v>5</v>
      </c>
      <c r="BO15" s="4" t="s">
        <v>5</v>
      </c>
      <c r="BP15" s="4" t="s">
        <v>5</v>
      </c>
      <c r="BQ15" s="4" t="s">
        <v>5</v>
      </c>
      <c r="BR15" s="4" t="s">
        <v>5</v>
      </c>
      <c r="BS15" s="4" t="s">
        <v>5</v>
      </c>
      <c r="BT15" s="4" t="s">
        <v>5</v>
      </c>
      <c r="BU15" s="4" t="s">
        <v>5</v>
      </c>
      <c r="BV15" s="4" t="s">
        <v>5</v>
      </c>
      <c r="BW15" s="4" t="s">
        <v>5</v>
      </c>
      <c r="BX15" s="4" t="s">
        <v>5</v>
      </c>
      <c r="BY15" s="4" t="s">
        <v>5</v>
      </c>
      <c r="BZ15" s="4" t="s">
        <v>5</v>
      </c>
      <c r="CA15" s="4" t="s">
        <v>5</v>
      </c>
      <c r="CB15" s="4" t="s">
        <v>5</v>
      </c>
      <c r="CC15" s="4" t="s">
        <v>5</v>
      </c>
      <c r="CD15" s="4" t="s">
        <v>5</v>
      </c>
      <c r="CE15" s="4" t="s">
        <v>5</v>
      </c>
      <c r="CF15" s="4" t="s">
        <v>5</v>
      </c>
      <c r="CG15" s="4" t="s">
        <v>5</v>
      </c>
      <c r="CH15" s="4" t="s">
        <v>5</v>
      </c>
      <c r="CI15" s="4" t="s">
        <v>5</v>
      </c>
      <c r="CJ15" s="4" t="s">
        <v>5</v>
      </c>
      <c r="CK15" s="4" t="s">
        <v>5</v>
      </c>
      <c r="CL15" s="4" t="s">
        <v>5</v>
      </c>
      <c r="CM15" s="4" t="s">
        <v>5</v>
      </c>
      <c r="CN15" s="4" t="s">
        <v>5</v>
      </c>
      <c r="CO15" s="4" t="s">
        <v>5</v>
      </c>
      <c r="CP15" s="4" t="s">
        <v>5</v>
      </c>
      <c r="CQ15" s="4" t="s">
        <v>5</v>
      </c>
      <c r="CR15" s="4" t="s">
        <v>5</v>
      </c>
      <c r="CS15" s="4" t="s">
        <v>5</v>
      </c>
      <c r="CT15" s="4" t="s">
        <v>5</v>
      </c>
      <c r="CU15" s="4" t="s">
        <v>5</v>
      </c>
      <c r="CV15" s="4" t="s">
        <v>5</v>
      </c>
      <c r="CW15" s="4" t="s">
        <v>5</v>
      </c>
      <c r="CX15" s="4" t="s">
        <v>5</v>
      </c>
      <c r="CY15" s="4" t="s">
        <v>5</v>
      </c>
      <c r="CZ15" s="4" t="s">
        <v>5</v>
      </c>
      <c r="DC15" s="4" t="s">
        <v>5</v>
      </c>
      <c r="DD15" s="4" t="s">
        <v>5</v>
      </c>
      <c r="DE15" s="4" t="s">
        <v>5</v>
      </c>
      <c r="DF15" s="4" t="s">
        <v>5</v>
      </c>
      <c r="DG15" s="4" t="s">
        <v>5</v>
      </c>
      <c r="DH15" s="4" t="s">
        <v>5</v>
      </c>
      <c r="DI15" s="4" t="s">
        <v>5</v>
      </c>
      <c r="DJ15" s="4" t="s">
        <v>5</v>
      </c>
      <c r="DK15" s="4" t="s">
        <v>5</v>
      </c>
      <c r="DL15" s="4" t="s">
        <v>5</v>
      </c>
      <c r="DM15" s="4" t="s">
        <v>5</v>
      </c>
      <c r="DN15" s="4" t="s">
        <v>5</v>
      </c>
      <c r="DO15" s="4" t="s">
        <v>5</v>
      </c>
      <c r="DP15" s="4" t="s">
        <v>5</v>
      </c>
      <c r="DQ15" s="4" t="s">
        <v>5</v>
      </c>
      <c r="DR15" s="4" t="s">
        <v>5</v>
      </c>
      <c r="DS15" s="4" t="s">
        <v>5</v>
      </c>
      <c r="DT15" s="4" t="s">
        <v>5</v>
      </c>
      <c r="DU15" s="4" t="s">
        <v>5</v>
      </c>
    </row>
    <row r="16" spans="1:125" x14ac:dyDescent="0.25">
      <c r="A16" s="13" t="str">
        <f>IF(AND($E16="",MAX($A$8:$A15)=0),"",IF(AND($E16&lt;&gt;"",MAX($A$8:$A15)=0),1,IF(AND($E16&lt;&gt;"",MAX($A$8:$A15)&gt;0),MAX($A$8:$A15)+1,"")))</f>
        <v/>
      </c>
      <c r="B16" s="11"/>
      <c r="C16" s="19" t="str">
        <f t="shared" si="0"/>
        <v>EMPTY</v>
      </c>
      <c r="D16" s="3" t="str">
        <f>IF(C16="SHOW",CONCATENATE(Temp!T12,Temp!U12,",",Temp!V12,",",Temp!W12,Temp!X12),"")</f>
        <v/>
      </c>
      <c r="E16" s="7"/>
      <c r="F16" s="8" t="str">
        <f t="shared" si="1"/>
        <v/>
      </c>
      <c r="I16" s="4" t="s">
        <v>5</v>
      </c>
      <c r="J16" s="4" t="s">
        <v>5</v>
      </c>
      <c r="K16" s="4" t="s">
        <v>5</v>
      </c>
      <c r="L16" s="4" t="s">
        <v>5</v>
      </c>
      <c r="M16" s="4" t="s">
        <v>5</v>
      </c>
      <c r="N16" s="4" t="s">
        <v>5</v>
      </c>
      <c r="O16" s="4" t="s">
        <v>5</v>
      </c>
      <c r="P16" s="4" t="s">
        <v>5</v>
      </c>
      <c r="Q16" s="4" t="s">
        <v>5</v>
      </c>
      <c r="R16" s="4" t="s">
        <v>5</v>
      </c>
      <c r="S16" s="4" t="s">
        <v>5</v>
      </c>
      <c r="T16" s="4" t="s">
        <v>5</v>
      </c>
      <c r="U16" s="4" t="s">
        <v>5</v>
      </c>
      <c r="V16" s="4" t="s">
        <v>5</v>
      </c>
      <c r="W16" s="4" t="s">
        <v>5</v>
      </c>
      <c r="X16" s="4" t="s">
        <v>5</v>
      </c>
      <c r="Y16" s="4" t="s">
        <v>5</v>
      </c>
      <c r="Z16" s="4" t="s">
        <v>5</v>
      </c>
      <c r="AA16" s="4" t="s">
        <v>5</v>
      </c>
      <c r="AB16" s="4" t="s">
        <v>5</v>
      </c>
      <c r="AC16" s="4" t="s">
        <v>5</v>
      </c>
      <c r="AD16" s="4" t="s">
        <v>5</v>
      </c>
      <c r="AE16" s="4" t="s">
        <v>5</v>
      </c>
      <c r="AF16" s="4" t="s">
        <v>5</v>
      </c>
      <c r="AG16" s="4" t="s">
        <v>5</v>
      </c>
      <c r="AH16" s="4" t="s">
        <v>5</v>
      </c>
      <c r="AI16" s="4" t="s">
        <v>5</v>
      </c>
      <c r="AJ16" s="4" t="s">
        <v>5</v>
      </c>
      <c r="AK16" s="4" t="s">
        <v>5</v>
      </c>
      <c r="AL16" s="4" t="s">
        <v>5</v>
      </c>
      <c r="AM16" s="4" t="s">
        <v>5</v>
      </c>
      <c r="AN16" s="4" t="s">
        <v>5</v>
      </c>
      <c r="AO16" s="4" t="s">
        <v>5</v>
      </c>
      <c r="AP16" s="4" t="s">
        <v>5</v>
      </c>
      <c r="AQ16" s="4" t="s">
        <v>5</v>
      </c>
      <c r="AR16" s="4" t="s">
        <v>5</v>
      </c>
      <c r="AS16" s="4" t="s">
        <v>5</v>
      </c>
      <c r="AT16" s="4" t="s">
        <v>5</v>
      </c>
      <c r="AU16" s="4" t="s">
        <v>5</v>
      </c>
      <c r="AV16" s="4" t="s">
        <v>5</v>
      </c>
      <c r="AW16" s="4" t="s">
        <v>5</v>
      </c>
      <c r="AX16" s="4" t="s">
        <v>5</v>
      </c>
      <c r="AY16" s="4" t="s">
        <v>5</v>
      </c>
      <c r="AZ16" s="4" t="s">
        <v>5</v>
      </c>
      <c r="BA16" s="4" t="s">
        <v>5</v>
      </c>
      <c r="BB16" s="4" t="s">
        <v>5</v>
      </c>
      <c r="BC16" s="4" t="s">
        <v>5</v>
      </c>
      <c r="BD16" s="4" t="s">
        <v>5</v>
      </c>
      <c r="BE16" s="4" t="s">
        <v>5</v>
      </c>
      <c r="BF16" s="4" t="s">
        <v>5</v>
      </c>
      <c r="BG16" s="4" t="s">
        <v>5</v>
      </c>
      <c r="BH16" s="4" t="s">
        <v>5</v>
      </c>
      <c r="BI16" s="4" t="s">
        <v>5</v>
      </c>
      <c r="BJ16" s="4" t="s">
        <v>5</v>
      </c>
      <c r="BK16" s="4" t="s">
        <v>5</v>
      </c>
      <c r="BL16" s="4" t="s">
        <v>5</v>
      </c>
      <c r="BM16" s="4" t="s">
        <v>5</v>
      </c>
      <c r="BN16" s="4" t="s">
        <v>5</v>
      </c>
      <c r="BO16" s="4" t="s">
        <v>5</v>
      </c>
      <c r="BP16" s="4" t="s">
        <v>5</v>
      </c>
      <c r="BQ16" s="4" t="s">
        <v>5</v>
      </c>
      <c r="BR16" s="4" t="s">
        <v>5</v>
      </c>
      <c r="BS16" s="4" t="s">
        <v>5</v>
      </c>
      <c r="BT16" s="4" t="s">
        <v>5</v>
      </c>
      <c r="BU16" s="4" t="s">
        <v>5</v>
      </c>
      <c r="BV16" s="4" t="s">
        <v>5</v>
      </c>
      <c r="BW16" s="4" t="s">
        <v>5</v>
      </c>
      <c r="BX16" s="4" t="s">
        <v>5</v>
      </c>
      <c r="BY16" s="4" t="s">
        <v>5</v>
      </c>
      <c r="BZ16" s="4" t="s">
        <v>5</v>
      </c>
      <c r="CA16" s="4" t="s">
        <v>5</v>
      </c>
      <c r="CB16" s="4" t="s">
        <v>5</v>
      </c>
      <c r="CC16" s="4" t="s">
        <v>5</v>
      </c>
      <c r="CD16" s="4" t="s">
        <v>5</v>
      </c>
      <c r="CE16" s="4" t="s">
        <v>5</v>
      </c>
      <c r="CF16" s="4" t="s">
        <v>5</v>
      </c>
      <c r="CG16" s="4" t="s">
        <v>5</v>
      </c>
      <c r="CH16" s="4" t="s">
        <v>5</v>
      </c>
      <c r="CI16" s="4" t="s">
        <v>5</v>
      </c>
      <c r="CJ16" s="4" t="s">
        <v>5</v>
      </c>
      <c r="CK16" s="4" t="s">
        <v>5</v>
      </c>
      <c r="CL16" s="4" t="s">
        <v>5</v>
      </c>
      <c r="CM16" s="4" t="s">
        <v>5</v>
      </c>
      <c r="CN16" s="4" t="s">
        <v>5</v>
      </c>
      <c r="CO16" s="4" t="s">
        <v>5</v>
      </c>
      <c r="CP16" s="4" t="s">
        <v>5</v>
      </c>
      <c r="CQ16" s="4" t="s">
        <v>5</v>
      </c>
      <c r="CR16" s="4" t="s">
        <v>5</v>
      </c>
      <c r="CS16" s="4" t="s">
        <v>5</v>
      </c>
      <c r="CT16" s="4" t="s">
        <v>5</v>
      </c>
      <c r="CU16" s="4" t="s">
        <v>5</v>
      </c>
      <c r="CV16" s="4" t="s">
        <v>5</v>
      </c>
      <c r="CW16" s="4" t="s">
        <v>5</v>
      </c>
      <c r="CX16" s="4" t="s">
        <v>5</v>
      </c>
      <c r="CY16" s="4" t="s">
        <v>5</v>
      </c>
      <c r="CZ16" s="4" t="s">
        <v>5</v>
      </c>
      <c r="DC16" s="4" t="s">
        <v>5</v>
      </c>
      <c r="DD16" s="4" t="s">
        <v>5</v>
      </c>
      <c r="DE16" s="4" t="s">
        <v>5</v>
      </c>
      <c r="DF16" s="4" t="s">
        <v>5</v>
      </c>
      <c r="DG16" s="4" t="s">
        <v>5</v>
      </c>
      <c r="DH16" s="4" t="s">
        <v>5</v>
      </c>
      <c r="DI16" s="4" t="s">
        <v>5</v>
      </c>
      <c r="DJ16" s="4" t="s">
        <v>5</v>
      </c>
      <c r="DK16" s="4" t="s">
        <v>5</v>
      </c>
      <c r="DL16" s="4" t="s">
        <v>5</v>
      </c>
      <c r="DM16" s="4" t="s">
        <v>5</v>
      </c>
      <c r="DN16" s="4" t="s">
        <v>5</v>
      </c>
      <c r="DO16" s="4" t="s">
        <v>5</v>
      </c>
      <c r="DP16" s="4" t="s">
        <v>5</v>
      </c>
      <c r="DQ16" s="4" t="s">
        <v>5</v>
      </c>
      <c r="DR16" s="4" t="s">
        <v>5</v>
      </c>
      <c r="DS16" s="4" t="s">
        <v>5</v>
      </c>
      <c r="DT16" s="4" t="s">
        <v>5</v>
      </c>
      <c r="DU16" s="4" t="s">
        <v>5</v>
      </c>
    </row>
    <row r="17" spans="1:125" x14ac:dyDescent="0.25">
      <c r="A17" s="13" t="str">
        <f>IF(AND($E17="",MAX($A$8:$A16)=0),"",IF(AND($E17&lt;&gt;"",MAX($A$8:$A16)=0),1,IF(AND($E17&lt;&gt;"",MAX($A$8:$A16)&gt;0),MAX($A$8:$A16)+1,"")))</f>
        <v/>
      </c>
      <c r="B17" s="11"/>
      <c r="C17" s="19" t="str">
        <f t="shared" si="0"/>
        <v>EMPTY</v>
      </c>
      <c r="D17" s="3" t="str">
        <f>IF(C17="SHOW",CONCATENATE(Temp!T13,Temp!U13,",",Temp!V13,",",Temp!W13,Temp!X13),"")</f>
        <v/>
      </c>
      <c r="E17" s="7"/>
      <c r="F17" s="8" t="str">
        <f t="shared" si="1"/>
        <v/>
      </c>
      <c r="I17" s="4" t="s">
        <v>5</v>
      </c>
      <c r="J17" s="4" t="s">
        <v>5</v>
      </c>
      <c r="K17" s="4" t="s">
        <v>5</v>
      </c>
      <c r="L17" s="4" t="s">
        <v>5</v>
      </c>
      <c r="M17" s="4" t="s">
        <v>5</v>
      </c>
      <c r="N17" s="4" t="s">
        <v>5</v>
      </c>
      <c r="O17" s="4" t="s">
        <v>5</v>
      </c>
      <c r="P17" s="4" t="s">
        <v>5</v>
      </c>
      <c r="Q17" s="4" t="s">
        <v>5</v>
      </c>
      <c r="R17" s="4" t="s">
        <v>5</v>
      </c>
      <c r="S17" s="4" t="s">
        <v>5</v>
      </c>
      <c r="T17" s="4" t="s">
        <v>5</v>
      </c>
      <c r="U17" s="4" t="s">
        <v>5</v>
      </c>
      <c r="V17" s="4" t="s">
        <v>5</v>
      </c>
      <c r="W17" s="4" t="s">
        <v>5</v>
      </c>
      <c r="X17" s="4" t="s">
        <v>5</v>
      </c>
      <c r="Y17" s="4" t="s">
        <v>5</v>
      </c>
      <c r="Z17" s="4" t="s">
        <v>5</v>
      </c>
      <c r="AA17" s="4" t="s">
        <v>5</v>
      </c>
      <c r="AB17" s="4" t="s">
        <v>5</v>
      </c>
      <c r="AC17" s="4" t="s">
        <v>5</v>
      </c>
      <c r="AD17" s="4" t="s">
        <v>5</v>
      </c>
      <c r="AE17" s="4" t="s">
        <v>5</v>
      </c>
      <c r="AF17" s="4" t="s">
        <v>5</v>
      </c>
      <c r="AG17" s="4" t="s">
        <v>5</v>
      </c>
      <c r="AH17" s="4" t="s">
        <v>5</v>
      </c>
      <c r="AI17" s="4" t="s">
        <v>5</v>
      </c>
      <c r="AJ17" s="4" t="s">
        <v>5</v>
      </c>
      <c r="AK17" s="4" t="s">
        <v>5</v>
      </c>
      <c r="AL17" s="4" t="s">
        <v>5</v>
      </c>
      <c r="AM17" s="4" t="s">
        <v>5</v>
      </c>
      <c r="AN17" s="4" t="s">
        <v>5</v>
      </c>
      <c r="AO17" s="4" t="s">
        <v>5</v>
      </c>
      <c r="AP17" s="4" t="s">
        <v>5</v>
      </c>
      <c r="AQ17" s="4" t="s">
        <v>5</v>
      </c>
      <c r="AR17" s="4" t="s">
        <v>5</v>
      </c>
      <c r="AS17" s="4" t="s">
        <v>5</v>
      </c>
      <c r="AT17" s="4" t="s">
        <v>5</v>
      </c>
      <c r="AU17" s="4" t="s">
        <v>5</v>
      </c>
      <c r="AV17" s="4" t="s">
        <v>5</v>
      </c>
      <c r="AW17" s="4" t="s">
        <v>5</v>
      </c>
      <c r="AX17" s="4" t="s">
        <v>5</v>
      </c>
      <c r="AY17" s="4" t="s">
        <v>5</v>
      </c>
      <c r="AZ17" s="4" t="s">
        <v>5</v>
      </c>
      <c r="BA17" s="4" t="s">
        <v>5</v>
      </c>
      <c r="BB17" s="4" t="s">
        <v>5</v>
      </c>
      <c r="BC17" s="4" t="s">
        <v>5</v>
      </c>
      <c r="BD17" s="4" t="s">
        <v>5</v>
      </c>
      <c r="BE17" s="4" t="s">
        <v>5</v>
      </c>
      <c r="BF17" s="4" t="s">
        <v>5</v>
      </c>
      <c r="BG17" s="4" t="s">
        <v>5</v>
      </c>
      <c r="BH17" s="4" t="s">
        <v>5</v>
      </c>
      <c r="BI17" s="4" t="s">
        <v>5</v>
      </c>
      <c r="BJ17" s="4" t="s">
        <v>5</v>
      </c>
      <c r="BK17" s="4" t="s">
        <v>5</v>
      </c>
      <c r="BL17" s="4" t="s">
        <v>5</v>
      </c>
      <c r="BM17" s="4" t="s">
        <v>5</v>
      </c>
      <c r="BN17" s="4" t="s">
        <v>5</v>
      </c>
      <c r="BO17" s="4" t="s">
        <v>5</v>
      </c>
      <c r="BP17" s="4" t="s">
        <v>5</v>
      </c>
      <c r="BQ17" s="4" t="s">
        <v>5</v>
      </c>
      <c r="BR17" s="4" t="s">
        <v>5</v>
      </c>
      <c r="BS17" s="4" t="s">
        <v>5</v>
      </c>
      <c r="BT17" s="4" t="s">
        <v>5</v>
      </c>
      <c r="BU17" s="4" t="s">
        <v>5</v>
      </c>
      <c r="BV17" s="4" t="s">
        <v>5</v>
      </c>
      <c r="BW17" s="4" t="s">
        <v>5</v>
      </c>
      <c r="BX17" s="4" t="s">
        <v>5</v>
      </c>
      <c r="BY17" s="4" t="s">
        <v>5</v>
      </c>
      <c r="BZ17" s="4" t="s">
        <v>5</v>
      </c>
      <c r="CA17" s="4" t="s">
        <v>5</v>
      </c>
      <c r="CB17" s="4" t="s">
        <v>5</v>
      </c>
      <c r="CC17" s="4" t="s">
        <v>5</v>
      </c>
      <c r="CD17" s="4" t="s">
        <v>5</v>
      </c>
      <c r="CE17" s="4" t="s">
        <v>5</v>
      </c>
      <c r="CF17" s="4" t="s">
        <v>5</v>
      </c>
      <c r="CG17" s="4" t="s">
        <v>5</v>
      </c>
      <c r="CH17" s="4" t="s">
        <v>5</v>
      </c>
      <c r="CI17" s="4" t="s">
        <v>5</v>
      </c>
      <c r="CJ17" s="4" t="s">
        <v>5</v>
      </c>
      <c r="CK17" s="4" t="s">
        <v>5</v>
      </c>
      <c r="CL17" s="4" t="s">
        <v>5</v>
      </c>
      <c r="CM17" s="4" t="s">
        <v>5</v>
      </c>
      <c r="CN17" s="4" t="s">
        <v>5</v>
      </c>
      <c r="CO17" s="4" t="s">
        <v>5</v>
      </c>
      <c r="CP17" s="4" t="s">
        <v>5</v>
      </c>
      <c r="CQ17" s="4" t="s">
        <v>5</v>
      </c>
      <c r="CR17" s="4" t="s">
        <v>5</v>
      </c>
      <c r="CS17" s="4" t="s">
        <v>5</v>
      </c>
      <c r="CT17" s="4" t="s">
        <v>5</v>
      </c>
      <c r="CU17" s="4" t="s">
        <v>5</v>
      </c>
      <c r="CV17" s="4" t="s">
        <v>5</v>
      </c>
      <c r="CW17" s="4" t="s">
        <v>5</v>
      </c>
      <c r="CX17" s="4" t="s">
        <v>5</v>
      </c>
      <c r="CY17" s="4" t="s">
        <v>5</v>
      </c>
      <c r="CZ17" s="4" t="s">
        <v>5</v>
      </c>
      <c r="DC17" s="4" t="s">
        <v>5</v>
      </c>
      <c r="DD17" s="4" t="s">
        <v>5</v>
      </c>
      <c r="DE17" s="4" t="s">
        <v>5</v>
      </c>
      <c r="DF17" s="4" t="s">
        <v>5</v>
      </c>
      <c r="DG17" s="4" t="s">
        <v>5</v>
      </c>
      <c r="DH17" s="4" t="s">
        <v>5</v>
      </c>
      <c r="DI17" s="4" t="s">
        <v>5</v>
      </c>
      <c r="DJ17" s="4" t="s">
        <v>5</v>
      </c>
      <c r="DK17" s="4" t="s">
        <v>5</v>
      </c>
      <c r="DL17" s="4" t="s">
        <v>5</v>
      </c>
      <c r="DM17" s="4" t="s">
        <v>5</v>
      </c>
      <c r="DN17" s="4" t="s">
        <v>5</v>
      </c>
      <c r="DO17" s="4" t="s">
        <v>5</v>
      </c>
      <c r="DP17" s="4" t="s">
        <v>5</v>
      </c>
      <c r="DQ17" s="4" t="s">
        <v>5</v>
      </c>
      <c r="DR17" s="4" t="s">
        <v>5</v>
      </c>
      <c r="DS17" s="4" t="s">
        <v>5</v>
      </c>
      <c r="DT17" s="4" t="s">
        <v>5</v>
      </c>
      <c r="DU17" s="4" t="s">
        <v>5</v>
      </c>
    </row>
    <row r="18" spans="1:125" x14ac:dyDescent="0.25">
      <c r="A18" s="13" t="str">
        <f>IF(AND($E18="",MAX($A$8:$A17)=0),"",IF(AND($E18&lt;&gt;"",MAX($A$8:$A17)=0),1,IF(AND($E18&lt;&gt;"",MAX($A$8:$A17)&gt;0),MAX($A$8:$A17)+1,"")))</f>
        <v/>
      </c>
      <c r="B18" s="11">
        <v>11</v>
      </c>
      <c r="C18" s="19" t="str">
        <f t="shared" si="0"/>
        <v>EMPTY</v>
      </c>
      <c r="D18" s="3" t="str">
        <f>IF(C18="SHOW",CONCATENATE(Temp!T14,Temp!U14,",",Temp!V14,",",Temp!W14,Temp!X14),"")</f>
        <v/>
      </c>
      <c r="E18" s="7"/>
      <c r="F18" s="8" t="str">
        <f t="shared" si="1"/>
        <v/>
      </c>
      <c r="I18" s="4" t="s">
        <v>5</v>
      </c>
      <c r="J18" s="4" t="s">
        <v>5</v>
      </c>
      <c r="K18" s="4" t="s">
        <v>5</v>
      </c>
      <c r="L18" s="4" t="s">
        <v>5</v>
      </c>
      <c r="M18" s="4" t="s">
        <v>5</v>
      </c>
      <c r="N18" s="4" t="s">
        <v>5</v>
      </c>
      <c r="O18" s="4" t="s">
        <v>5</v>
      </c>
      <c r="P18" s="4" t="s">
        <v>5</v>
      </c>
      <c r="Q18" s="4" t="s">
        <v>5</v>
      </c>
      <c r="R18" s="4" t="s">
        <v>5</v>
      </c>
      <c r="S18" s="4" t="s">
        <v>5</v>
      </c>
      <c r="T18" s="4" t="s">
        <v>5</v>
      </c>
      <c r="U18" s="4" t="s">
        <v>5</v>
      </c>
      <c r="V18" s="4" t="s">
        <v>5</v>
      </c>
      <c r="W18" s="4" t="s">
        <v>5</v>
      </c>
      <c r="X18" s="4" t="s">
        <v>5</v>
      </c>
      <c r="Y18" s="4" t="s">
        <v>5</v>
      </c>
      <c r="Z18" s="4" t="s">
        <v>5</v>
      </c>
      <c r="AA18" s="4" t="s">
        <v>5</v>
      </c>
      <c r="AB18" s="4" t="s">
        <v>5</v>
      </c>
      <c r="AC18" s="4" t="s">
        <v>5</v>
      </c>
      <c r="AD18" s="4" t="s">
        <v>5</v>
      </c>
      <c r="AE18" s="4" t="s">
        <v>5</v>
      </c>
      <c r="AF18" s="4" t="s">
        <v>5</v>
      </c>
      <c r="AG18" s="4" t="s">
        <v>5</v>
      </c>
      <c r="AH18" s="4" t="s">
        <v>5</v>
      </c>
      <c r="AI18" s="4" t="s">
        <v>5</v>
      </c>
      <c r="AJ18" s="4" t="s">
        <v>5</v>
      </c>
      <c r="AK18" s="4" t="s">
        <v>5</v>
      </c>
      <c r="AL18" s="4" t="s">
        <v>5</v>
      </c>
      <c r="AM18" s="4" t="s">
        <v>5</v>
      </c>
      <c r="AN18" s="4" t="s">
        <v>5</v>
      </c>
      <c r="AO18" s="4" t="s">
        <v>5</v>
      </c>
      <c r="AP18" s="4" t="s">
        <v>5</v>
      </c>
      <c r="AQ18" s="4" t="s">
        <v>5</v>
      </c>
      <c r="AR18" s="4" t="s">
        <v>5</v>
      </c>
      <c r="AS18" s="4" t="s">
        <v>5</v>
      </c>
      <c r="AT18" s="4" t="s">
        <v>5</v>
      </c>
      <c r="AU18" s="4" t="s">
        <v>5</v>
      </c>
      <c r="AV18" s="4" t="s">
        <v>5</v>
      </c>
      <c r="AW18" s="4" t="s">
        <v>5</v>
      </c>
      <c r="AX18" s="4" t="s">
        <v>5</v>
      </c>
      <c r="AY18" s="4" t="s">
        <v>5</v>
      </c>
      <c r="AZ18" s="4" t="s">
        <v>5</v>
      </c>
      <c r="BA18" s="4" t="s">
        <v>5</v>
      </c>
      <c r="BB18" s="4" t="s">
        <v>5</v>
      </c>
      <c r="BC18" s="4" t="s">
        <v>5</v>
      </c>
      <c r="BD18" s="4" t="s">
        <v>5</v>
      </c>
      <c r="BE18" s="4" t="s">
        <v>5</v>
      </c>
      <c r="BF18" s="4" t="s">
        <v>5</v>
      </c>
      <c r="BG18" s="4" t="s">
        <v>5</v>
      </c>
      <c r="BH18" s="4" t="s">
        <v>5</v>
      </c>
      <c r="BI18" s="4" t="s">
        <v>5</v>
      </c>
      <c r="BJ18" s="4" t="s">
        <v>5</v>
      </c>
      <c r="BK18" s="4" t="s">
        <v>5</v>
      </c>
      <c r="BL18" s="4" t="s">
        <v>5</v>
      </c>
      <c r="BM18" s="4" t="s">
        <v>5</v>
      </c>
      <c r="BN18" s="4" t="s">
        <v>5</v>
      </c>
      <c r="BO18" s="4" t="s">
        <v>5</v>
      </c>
      <c r="BP18" s="4" t="s">
        <v>5</v>
      </c>
      <c r="BQ18" s="4" t="s">
        <v>5</v>
      </c>
      <c r="BR18" s="4" t="s">
        <v>5</v>
      </c>
      <c r="BS18" s="4" t="s">
        <v>5</v>
      </c>
      <c r="BT18" s="4" t="s">
        <v>5</v>
      </c>
      <c r="BU18" s="4" t="s">
        <v>5</v>
      </c>
      <c r="BV18" s="4" t="s">
        <v>5</v>
      </c>
      <c r="BW18" s="4" t="s">
        <v>5</v>
      </c>
      <c r="BX18" s="4" t="s">
        <v>5</v>
      </c>
      <c r="BY18" s="4" t="s">
        <v>5</v>
      </c>
      <c r="BZ18" s="4" t="s">
        <v>5</v>
      </c>
      <c r="CA18" s="4" t="s">
        <v>5</v>
      </c>
      <c r="CB18" s="4" t="s">
        <v>5</v>
      </c>
      <c r="CC18" s="4" t="s">
        <v>5</v>
      </c>
      <c r="CD18" s="4" t="s">
        <v>5</v>
      </c>
      <c r="CE18" s="4" t="s">
        <v>5</v>
      </c>
      <c r="CF18" s="4" t="s">
        <v>5</v>
      </c>
      <c r="CG18" s="4" t="s">
        <v>5</v>
      </c>
      <c r="CH18" s="4" t="s">
        <v>5</v>
      </c>
      <c r="CI18" s="4" t="s">
        <v>5</v>
      </c>
      <c r="CJ18" s="4" t="s">
        <v>5</v>
      </c>
      <c r="CK18" s="4" t="s">
        <v>5</v>
      </c>
      <c r="CL18" s="4" t="s">
        <v>5</v>
      </c>
      <c r="CM18" s="4" t="s">
        <v>5</v>
      </c>
      <c r="CN18" s="4" t="s">
        <v>5</v>
      </c>
      <c r="CO18" s="4" t="s">
        <v>5</v>
      </c>
      <c r="CP18" s="4" t="s">
        <v>5</v>
      </c>
      <c r="CQ18" s="4" t="s">
        <v>5</v>
      </c>
      <c r="CR18" s="4" t="s">
        <v>5</v>
      </c>
      <c r="CS18" s="4" t="s">
        <v>5</v>
      </c>
      <c r="CT18" s="4" t="s">
        <v>5</v>
      </c>
      <c r="CU18" s="4" t="s">
        <v>5</v>
      </c>
      <c r="CV18" s="4" t="s">
        <v>5</v>
      </c>
      <c r="CW18" s="4" t="s">
        <v>5</v>
      </c>
      <c r="CX18" s="4" t="s">
        <v>5</v>
      </c>
      <c r="CY18" s="4" t="s">
        <v>5</v>
      </c>
      <c r="CZ18" s="4" t="s">
        <v>5</v>
      </c>
      <c r="DC18" s="4" t="s">
        <v>5</v>
      </c>
      <c r="DD18" s="4" t="s">
        <v>5</v>
      </c>
      <c r="DE18" s="4" t="s">
        <v>5</v>
      </c>
      <c r="DF18" s="4" t="s">
        <v>5</v>
      </c>
      <c r="DG18" s="4" t="s">
        <v>5</v>
      </c>
      <c r="DH18" s="4" t="s">
        <v>5</v>
      </c>
      <c r="DI18" s="4" t="s">
        <v>5</v>
      </c>
      <c r="DJ18" s="4" t="s">
        <v>5</v>
      </c>
      <c r="DK18" s="4" t="s">
        <v>5</v>
      </c>
      <c r="DL18" s="4" t="s">
        <v>5</v>
      </c>
      <c r="DM18" s="4" t="s">
        <v>5</v>
      </c>
      <c r="DN18" s="4" t="s">
        <v>5</v>
      </c>
      <c r="DO18" s="4" t="s">
        <v>5</v>
      </c>
      <c r="DP18" s="4" t="s">
        <v>5</v>
      </c>
      <c r="DQ18" s="4" t="s">
        <v>5</v>
      </c>
      <c r="DR18" s="4" t="s">
        <v>5</v>
      </c>
      <c r="DS18" s="4" t="s">
        <v>5</v>
      </c>
      <c r="DT18" s="4" t="s">
        <v>5</v>
      </c>
      <c r="DU18" s="4" t="s">
        <v>5</v>
      </c>
    </row>
    <row r="19" spans="1:125" x14ac:dyDescent="0.25">
      <c r="A19" s="13" t="str">
        <f>IF(AND($E19="",MAX($A$8:$A18)=0),"",IF(AND($E19&lt;&gt;"",MAX($A$8:$A18)=0),1,IF(AND($E19&lt;&gt;"",MAX($A$8:$A18)&gt;0),MAX($A$8:$A18)+1,"")))</f>
        <v/>
      </c>
      <c r="B19" s="11">
        <v>12</v>
      </c>
      <c r="C19" s="19" t="str">
        <f t="shared" si="0"/>
        <v>EMPTY</v>
      </c>
      <c r="D19" s="3" t="str">
        <f>IF(C19="SHOW",CONCATENATE(Temp!T15,Temp!U15,",",Temp!V15,",",Temp!W15,Temp!X15),"")</f>
        <v/>
      </c>
      <c r="E19" s="7"/>
      <c r="F19" s="8" t="str">
        <f t="shared" si="1"/>
        <v/>
      </c>
      <c r="I19" s="4" t="s">
        <v>5</v>
      </c>
      <c r="J19" s="4" t="s">
        <v>5</v>
      </c>
      <c r="K19" s="4" t="s">
        <v>5</v>
      </c>
      <c r="L19" s="4" t="s">
        <v>5</v>
      </c>
      <c r="M19" s="4" t="s">
        <v>5</v>
      </c>
      <c r="N19" s="4" t="s">
        <v>5</v>
      </c>
      <c r="O19" s="4" t="s">
        <v>5</v>
      </c>
      <c r="P19" s="4" t="s">
        <v>5</v>
      </c>
      <c r="Q19" s="4" t="s">
        <v>5</v>
      </c>
      <c r="R19" s="4" t="s">
        <v>5</v>
      </c>
      <c r="S19" s="4" t="s">
        <v>5</v>
      </c>
      <c r="T19" s="4" t="s">
        <v>5</v>
      </c>
      <c r="U19" s="4" t="s">
        <v>5</v>
      </c>
      <c r="V19" s="4" t="s">
        <v>5</v>
      </c>
      <c r="W19" s="4" t="s">
        <v>5</v>
      </c>
      <c r="X19" s="4" t="s">
        <v>5</v>
      </c>
      <c r="Y19" s="4" t="s">
        <v>5</v>
      </c>
      <c r="Z19" s="4" t="s">
        <v>5</v>
      </c>
      <c r="AA19" s="4" t="s">
        <v>5</v>
      </c>
      <c r="AB19" s="4" t="s">
        <v>5</v>
      </c>
      <c r="AC19" s="4" t="s">
        <v>5</v>
      </c>
      <c r="AD19" s="4" t="s">
        <v>5</v>
      </c>
      <c r="AE19" s="4" t="s">
        <v>5</v>
      </c>
      <c r="AF19" s="4" t="s">
        <v>5</v>
      </c>
      <c r="AG19" s="4" t="s">
        <v>5</v>
      </c>
      <c r="AH19" s="4" t="s">
        <v>5</v>
      </c>
      <c r="AI19" s="4" t="s">
        <v>5</v>
      </c>
      <c r="AJ19" s="4" t="s">
        <v>5</v>
      </c>
      <c r="AK19" s="4" t="s">
        <v>5</v>
      </c>
      <c r="AL19" s="4" t="s">
        <v>5</v>
      </c>
      <c r="AM19" s="4" t="s">
        <v>5</v>
      </c>
      <c r="AN19" s="4" t="s">
        <v>5</v>
      </c>
      <c r="AO19" s="4" t="s">
        <v>5</v>
      </c>
      <c r="AP19" s="4" t="s">
        <v>5</v>
      </c>
      <c r="AQ19" s="4" t="s">
        <v>5</v>
      </c>
      <c r="AR19" s="4" t="s">
        <v>5</v>
      </c>
      <c r="AS19" s="4" t="s">
        <v>5</v>
      </c>
      <c r="AT19" s="4" t="s">
        <v>5</v>
      </c>
      <c r="AU19" s="4" t="s">
        <v>5</v>
      </c>
      <c r="AV19" s="4" t="s">
        <v>5</v>
      </c>
      <c r="AW19" s="4" t="s">
        <v>5</v>
      </c>
      <c r="AX19" s="4" t="s">
        <v>5</v>
      </c>
      <c r="AY19" s="4" t="s">
        <v>5</v>
      </c>
      <c r="AZ19" s="4" t="s">
        <v>5</v>
      </c>
      <c r="BA19" s="4" t="s">
        <v>5</v>
      </c>
      <c r="BB19" s="4" t="s">
        <v>5</v>
      </c>
      <c r="BC19" s="4" t="s">
        <v>5</v>
      </c>
      <c r="BD19" s="4" t="s">
        <v>5</v>
      </c>
      <c r="BE19" s="4" t="s">
        <v>5</v>
      </c>
      <c r="BF19" s="4" t="s">
        <v>5</v>
      </c>
      <c r="BG19" s="4" t="s">
        <v>5</v>
      </c>
      <c r="BH19" s="4" t="s">
        <v>5</v>
      </c>
      <c r="BI19" s="4" t="s">
        <v>5</v>
      </c>
      <c r="BJ19" s="4" t="s">
        <v>5</v>
      </c>
      <c r="BK19" s="4" t="s">
        <v>5</v>
      </c>
      <c r="BL19" s="4" t="s">
        <v>5</v>
      </c>
      <c r="BM19" s="4" t="s">
        <v>5</v>
      </c>
      <c r="BN19" s="4" t="s">
        <v>5</v>
      </c>
      <c r="BO19" s="4" t="s">
        <v>5</v>
      </c>
      <c r="BP19" s="4" t="s">
        <v>5</v>
      </c>
      <c r="BQ19" s="4" t="s">
        <v>5</v>
      </c>
      <c r="BR19" s="4" t="s">
        <v>5</v>
      </c>
      <c r="BS19" s="4" t="s">
        <v>5</v>
      </c>
      <c r="BT19" s="4" t="s">
        <v>5</v>
      </c>
      <c r="BU19" s="4" t="s">
        <v>5</v>
      </c>
      <c r="BV19" s="4" t="s">
        <v>5</v>
      </c>
      <c r="BW19" s="4" t="s">
        <v>5</v>
      </c>
      <c r="BX19" s="4" t="s">
        <v>5</v>
      </c>
      <c r="BY19" s="4" t="s">
        <v>5</v>
      </c>
      <c r="BZ19" s="4" t="s">
        <v>5</v>
      </c>
      <c r="CA19" s="4" t="s">
        <v>5</v>
      </c>
      <c r="CB19" s="4" t="s">
        <v>5</v>
      </c>
      <c r="CC19" s="4" t="s">
        <v>5</v>
      </c>
      <c r="CD19" s="4" t="s">
        <v>5</v>
      </c>
      <c r="CE19" s="4" t="s">
        <v>5</v>
      </c>
      <c r="CF19" s="4" t="s">
        <v>5</v>
      </c>
      <c r="CG19" s="4" t="s">
        <v>5</v>
      </c>
      <c r="CH19" s="4" t="s">
        <v>5</v>
      </c>
      <c r="CI19" s="4" t="s">
        <v>5</v>
      </c>
      <c r="CJ19" s="4" t="s">
        <v>5</v>
      </c>
      <c r="CK19" s="4" t="s">
        <v>5</v>
      </c>
      <c r="CL19" s="4" t="s">
        <v>5</v>
      </c>
      <c r="CM19" s="4" t="s">
        <v>5</v>
      </c>
      <c r="CN19" s="4" t="s">
        <v>5</v>
      </c>
      <c r="CO19" s="4" t="s">
        <v>5</v>
      </c>
      <c r="CP19" s="4" t="s">
        <v>5</v>
      </c>
      <c r="CQ19" s="4" t="s">
        <v>5</v>
      </c>
      <c r="CR19" s="4" t="s">
        <v>5</v>
      </c>
      <c r="CS19" s="4" t="s">
        <v>5</v>
      </c>
      <c r="CT19" s="4" t="s">
        <v>5</v>
      </c>
      <c r="CU19" s="4" t="s">
        <v>5</v>
      </c>
      <c r="CV19" s="4" t="s">
        <v>5</v>
      </c>
      <c r="CW19" s="4" t="s">
        <v>5</v>
      </c>
      <c r="CX19" s="4" t="s">
        <v>5</v>
      </c>
      <c r="CY19" s="4" t="s">
        <v>5</v>
      </c>
      <c r="CZ19" s="4" t="s">
        <v>5</v>
      </c>
      <c r="DC19" s="4" t="s">
        <v>5</v>
      </c>
      <c r="DD19" s="4" t="s">
        <v>5</v>
      </c>
      <c r="DE19" s="4" t="s">
        <v>5</v>
      </c>
      <c r="DF19" s="4" t="s">
        <v>5</v>
      </c>
      <c r="DG19" s="4" t="s">
        <v>5</v>
      </c>
      <c r="DH19" s="4" t="s">
        <v>5</v>
      </c>
      <c r="DI19" s="4" t="s">
        <v>5</v>
      </c>
      <c r="DJ19" s="4" t="s">
        <v>5</v>
      </c>
      <c r="DK19" s="4" t="s">
        <v>5</v>
      </c>
      <c r="DL19" s="4" t="s">
        <v>5</v>
      </c>
      <c r="DM19" s="4" t="s">
        <v>5</v>
      </c>
      <c r="DN19" s="4" t="s">
        <v>5</v>
      </c>
      <c r="DO19" s="4" t="s">
        <v>5</v>
      </c>
      <c r="DP19" s="4" t="s">
        <v>5</v>
      </c>
      <c r="DQ19" s="4" t="s">
        <v>5</v>
      </c>
      <c r="DR19" s="4" t="s">
        <v>5</v>
      </c>
      <c r="DS19" s="4" t="s">
        <v>5</v>
      </c>
      <c r="DT19" s="4" t="s">
        <v>5</v>
      </c>
      <c r="DU19" s="4" t="s">
        <v>5</v>
      </c>
    </row>
    <row r="20" spans="1:125" x14ac:dyDescent="0.25">
      <c r="A20" s="13" t="str">
        <f>IF(AND($E20="",MAX($A$8:$A19)=0),"",IF(AND($E20&lt;&gt;"",MAX($A$8:$A19)=0),1,IF(AND($E20&lt;&gt;"",MAX($A$8:$A19)&gt;0),MAX($A$8:$A19)+1,"")))</f>
        <v/>
      </c>
      <c r="B20" s="11">
        <v>13</v>
      </c>
      <c r="C20" s="19" t="str">
        <f t="shared" si="0"/>
        <v>EMPTY</v>
      </c>
      <c r="D20" s="3" t="str">
        <f>IF(C20="SHOW",CONCATENATE(Temp!T16,Temp!U16,",",Temp!V16,",",Temp!W16,Temp!X16),"")</f>
        <v/>
      </c>
      <c r="E20" s="7"/>
      <c r="F20" s="8" t="str">
        <f t="shared" si="1"/>
        <v/>
      </c>
      <c r="I20" s="4" t="s">
        <v>5</v>
      </c>
      <c r="J20" s="4" t="s">
        <v>5</v>
      </c>
      <c r="K20" s="4" t="s">
        <v>5</v>
      </c>
      <c r="L20" s="4" t="s">
        <v>5</v>
      </c>
      <c r="M20" s="4" t="s">
        <v>5</v>
      </c>
      <c r="N20" s="4" t="s">
        <v>5</v>
      </c>
      <c r="O20" s="4" t="s">
        <v>5</v>
      </c>
      <c r="P20" s="4" t="s">
        <v>5</v>
      </c>
      <c r="Q20" s="4" t="s">
        <v>5</v>
      </c>
      <c r="R20" s="4" t="s">
        <v>5</v>
      </c>
      <c r="S20" s="4" t="s">
        <v>5</v>
      </c>
      <c r="T20" s="4" t="s">
        <v>5</v>
      </c>
      <c r="U20" s="4" t="s">
        <v>5</v>
      </c>
      <c r="V20" s="4" t="s">
        <v>5</v>
      </c>
      <c r="W20" s="4" t="s">
        <v>5</v>
      </c>
      <c r="X20" s="4" t="s">
        <v>5</v>
      </c>
      <c r="Y20" s="4" t="s">
        <v>5</v>
      </c>
      <c r="Z20" s="4" t="s">
        <v>5</v>
      </c>
      <c r="AA20" s="4" t="s">
        <v>5</v>
      </c>
      <c r="AB20" s="4" t="s">
        <v>5</v>
      </c>
      <c r="AC20" s="4" t="s">
        <v>5</v>
      </c>
      <c r="AD20" s="4" t="s">
        <v>5</v>
      </c>
      <c r="AE20" s="4" t="s">
        <v>5</v>
      </c>
      <c r="AF20" s="4" t="s">
        <v>5</v>
      </c>
      <c r="AG20" s="4" t="s">
        <v>5</v>
      </c>
      <c r="AH20" s="4" t="s">
        <v>5</v>
      </c>
      <c r="AI20" s="4" t="s">
        <v>5</v>
      </c>
      <c r="AJ20" s="4" t="s">
        <v>5</v>
      </c>
      <c r="AK20" s="4" t="s">
        <v>5</v>
      </c>
      <c r="AL20" s="4" t="s">
        <v>5</v>
      </c>
      <c r="AM20" s="4" t="s">
        <v>5</v>
      </c>
      <c r="AN20" s="4" t="s">
        <v>5</v>
      </c>
      <c r="AO20" s="4" t="s">
        <v>5</v>
      </c>
      <c r="AP20" s="4" t="s">
        <v>5</v>
      </c>
      <c r="AQ20" s="4" t="s">
        <v>5</v>
      </c>
      <c r="AR20" s="4" t="s">
        <v>5</v>
      </c>
      <c r="AS20" s="4" t="s">
        <v>5</v>
      </c>
      <c r="AT20" s="4" t="s">
        <v>5</v>
      </c>
      <c r="AU20" s="4" t="s">
        <v>5</v>
      </c>
      <c r="AV20" s="4" t="s">
        <v>5</v>
      </c>
      <c r="AW20" s="4" t="s">
        <v>5</v>
      </c>
      <c r="AX20" s="4" t="s">
        <v>5</v>
      </c>
      <c r="AY20" s="4" t="s">
        <v>5</v>
      </c>
      <c r="AZ20" s="4" t="s">
        <v>5</v>
      </c>
      <c r="BA20" s="4" t="s">
        <v>5</v>
      </c>
      <c r="BB20" s="4" t="s">
        <v>5</v>
      </c>
      <c r="BC20" s="4" t="s">
        <v>5</v>
      </c>
      <c r="BD20" s="4" t="s">
        <v>5</v>
      </c>
      <c r="BE20" s="4" t="s">
        <v>5</v>
      </c>
      <c r="BF20" s="4" t="s">
        <v>5</v>
      </c>
      <c r="BG20" s="4" t="s">
        <v>5</v>
      </c>
      <c r="BH20" s="4" t="s">
        <v>5</v>
      </c>
      <c r="BI20" s="4" t="s">
        <v>5</v>
      </c>
      <c r="BJ20" s="4" t="s">
        <v>5</v>
      </c>
      <c r="BK20" s="4" t="s">
        <v>5</v>
      </c>
      <c r="BL20" s="4" t="s">
        <v>5</v>
      </c>
      <c r="BM20" s="4" t="s">
        <v>5</v>
      </c>
      <c r="BN20" s="4" t="s">
        <v>5</v>
      </c>
      <c r="BO20" s="4" t="s">
        <v>5</v>
      </c>
      <c r="BP20" s="4" t="s">
        <v>5</v>
      </c>
      <c r="BQ20" s="4" t="s">
        <v>5</v>
      </c>
      <c r="BR20" s="4" t="s">
        <v>5</v>
      </c>
      <c r="BS20" s="4" t="s">
        <v>5</v>
      </c>
      <c r="BT20" s="4" t="s">
        <v>5</v>
      </c>
      <c r="BU20" s="4" t="s">
        <v>5</v>
      </c>
      <c r="BV20" s="4" t="s">
        <v>5</v>
      </c>
      <c r="BW20" s="4" t="s">
        <v>5</v>
      </c>
      <c r="BX20" s="4" t="s">
        <v>5</v>
      </c>
      <c r="BY20" s="4" t="s">
        <v>5</v>
      </c>
      <c r="BZ20" s="4" t="s">
        <v>5</v>
      </c>
      <c r="CA20" s="4" t="s">
        <v>5</v>
      </c>
      <c r="CB20" s="4" t="s">
        <v>5</v>
      </c>
      <c r="CC20" s="4" t="s">
        <v>5</v>
      </c>
      <c r="CD20" s="4" t="s">
        <v>5</v>
      </c>
      <c r="CE20" s="4" t="s">
        <v>5</v>
      </c>
      <c r="CF20" s="4" t="s">
        <v>5</v>
      </c>
      <c r="CG20" s="4" t="s">
        <v>5</v>
      </c>
      <c r="CH20" s="4" t="s">
        <v>5</v>
      </c>
      <c r="CI20" s="4" t="s">
        <v>5</v>
      </c>
      <c r="CJ20" s="4" t="s">
        <v>5</v>
      </c>
      <c r="CK20" s="4" t="s">
        <v>5</v>
      </c>
      <c r="CL20" s="4" t="s">
        <v>5</v>
      </c>
      <c r="CM20" s="4" t="s">
        <v>5</v>
      </c>
      <c r="CN20" s="4" t="s">
        <v>5</v>
      </c>
      <c r="CO20" s="4" t="s">
        <v>5</v>
      </c>
      <c r="CP20" s="4" t="s">
        <v>5</v>
      </c>
      <c r="CQ20" s="4" t="s">
        <v>5</v>
      </c>
      <c r="CR20" s="4" t="s">
        <v>5</v>
      </c>
      <c r="CS20" s="4" t="s">
        <v>5</v>
      </c>
      <c r="CT20" s="4" t="s">
        <v>5</v>
      </c>
      <c r="CU20" s="4" t="s">
        <v>5</v>
      </c>
      <c r="CV20" s="4" t="s">
        <v>5</v>
      </c>
      <c r="CW20" s="4" t="s">
        <v>5</v>
      </c>
      <c r="CX20" s="4" t="s">
        <v>5</v>
      </c>
      <c r="CY20" s="4" t="s">
        <v>5</v>
      </c>
      <c r="CZ20" s="4" t="s">
        <v>5</v>
      </c>
      <c r="DC20" s="4" t="s">
        <v>5</v>
      </c>
      <c r="DD20" s="4" t="s">
        <v>5</v>
      </c>
      <c r="DE20" s="4" t="s">
        <v>5</v>
      </c>
      <c r="DF20" s="4" t="s">
        <v>5</v>
      </c>
      <c r="DG20" s="4" t="s">
        <v>5</v>
      </c>
      <c r="DH20" s="4" t="s">
        <v>5</v>
      </c>
      <c r="DI20" s="4" t="s">
        <v>5</v>
      </c>
      <c r="DK20" s="4" t="s">
        <v>5</v>
      </c>
      <c r="DL20" s="4" t="s">
        <v>5</v>
      </c>
      <c r="DM20" s="4" t="s">
        <v>5</v>
      </c>
      <c r="DN20" s="4" t="s">
        <v>5</v>
      </c>
      <c r="DO20" s="4" t="s">
        <v>5</v>
      </c>
      <c r="DP20" s="4" t="s">
        <v>5</v>
      </c>
      <c r="DQ20" s="4" t="s">
        <v>5</v>
      </c>
      <c r="DR20" s="4" t="s">
        <v>5</v>
      </c>
      <c r="DS20" s="4" t="s">
        <v>5</v>
      </c>
      <c r="DT20" s="4" t="s">
        <v>5</v>
      </c>
      <c r="DU20" s="4" t="s">
        <v>5</v>
      </c>
    </row>
    <row r="21" spans="1:125" x14ac:dyDescent="0.25">
      <c r="A21" s="13" t="str">
        <f>IF(AND($E21="",MAX($A$8:$A20)=0),"",IF(AND($E21&lt;&gt;"",MAX($A$8:$A20)=0),1,IF(AND($E21&lt;&gt;"",MAX($A$8:$A20)&gt;0),MAX($A$8:$A20)+1,"")))</f>
        <v/>
      </c>
      <c r="B21" s="11">
        <v>14</v>
      </c>
      <c r="C21" s="19" t="str">
        <f t="shared" si="0"/>
        <v>EMPTY</v>
      </c>
      <c r="D21" s="3" t="str">
        <f>IF(C21="SHOW",CONCATENATE(Temp!T17,Temp!U17,",",Temp!V17,",",Temp!W17,Temp!X17),"")</f>
        <v/>
      </c>
      <c r="E21" s="7"/>
      <c r="F21" s="8" t="str">
        <f t="shared" si="1"/>
        <v/>
      </c>
      <c r="I21" s="4" t="s">
        <v>5</v>
      </c>
      <c r="J21" s="4" t="s">
        <v>5</v>
      </c>
      <c r="K21" s="4" t="s">
        <v>5</v>
      </c>
      <c r="L21" s="4" t="s">
        <v>5</v>
      </c>
      <c r="M21" s="4" t="s">
        <v>5</v>
      </c>
      <c r="N21" s="4" t="s">
        <v>5</v>
      </c>
      <c r="O21" s="4" t="s">
        <v>5</v>
      </c>
      <c r="P21" s="4" t="s">
        <v>5</v>
      </c>
      <c r="Q21" s="4" t="s">
        <v>5</v>
      </c>
      <c r="R21" s="4" t="s">
        <v>5</v>
      </c>
      <c r="S21" s="4" t="s">
        <v>5</v>
      </c>
      <c r="T21" s="4" t="s">
        <v>5</v>
      </c>
      <c r="U21" s="4" t="s">
        <v>5</v>
      </c>
      <c r="V21" s="4" t="s">
        <v>5</v>
      </c>
      <c r="W21" s="4" t="s">
        <v>5</v>
      </c>
      <c r="X21" s="4" t="s">
        <v>5</v>
      </c>
      <c r="Y21" s="4" t="s">
        <v>5</v>
      </c>
      <c r="Z21" s="4" t="s">
        <v>5</v>
      </c>
      <c r="AA21" s="4" t="s">
        <v>5</v>
      </c>
      <c r="AB21" s="4" t="s">
        <v>5</v>
      </c>
      <c r="AC21" s="4" t="s">
        <v>5</v>
      </c>
      <c r="AD21" s="4" t="s">
        <v>5</v>
      </c>
      <c r="AE21" s="4" t="s">
        <v>5</v>
      </c>
      <c r="AF21" s="4" t="s">
        <v>5</v>
      </c>
      <c r="AG21" s="4" t="s">
        <v>5</v>
      </c>
      <c r="AH21" s="4" t="s">
        <v>5</v>
      </c>
      <c r="AI21" s="4" t="s">
        <v>5</v>
      </c>
      <c r="AJ21" s="4" t="s">
        <v>5</v>
      </c>
      <c r="AK21" s="4" t="s">
        <v>5</v>
      </c>
      <c r="AL21" s="4" t="s">
        <v>5</v>
      </c>
      <c r="AM21" s="4" t="s">
        <v>5</v>
      </c>
      <c r="AN21" s="4" t="s">
        <v>5</v>
      </c>
      <c r="AO21" s="4" t="s">
        <v>5</v>
      </c>
      <c r="AP21" s="4" t="s">
        <v>5</v>
      </c>
      <c r="AQ21" s="4" t="s">
        <v>5</v>
      </c>
      <c r="AR21" s="4" t="s">
        <v>5</v>
      </c>
      <c r="AS21" s="4" t="s">
        <v>5</v>
      </c>
      <c r="AT21" s="4" t="s">
        <v>5</v>
      </c>
      <c r="AU21" s="4" t="s">
        <v>5</v>
      </c>
      <c r="AV21" s="4" t="s">
        <v>5</v>
      </c>
      <c r="AW21" s="4" t="s">
        <v>5</v>
      </c>
      <c r="AX21" s="4" t="s">
        <v>5</v>
      </c>
      <c r="AY21" s="4" t="s">
        <v>5</v>
      </c>
      <c r="AZ21" s="4" t="s">
        <v>5</v>
      </c>
      <c r="BA21" s="4" t="s">
        <v>5</v>
      </c>
      <c r="BB21" s="4" t="s">
        <v>5</v>
      </c>
      <c r="BC21" s="4" t="s">
        <v>5</v>
      </c>
      <c r="BD21" s="4" t="s">
        <v>5</v>
      </c>
      <c r="BE21" s="4" t="s">
        <v>5</v>
      </c>
      <c r="BF21" s="4" t="s">
        <v>5</v>
      </c>
      <c r="BG21" s="4" t="s">
        <v>5</v>
      </c>
      <c r="BH21" s="4" t="s">
        <v>5</v>
      </c>
      <c r="BI21" s="4" t="s">
        <v>5</v>
      </c>
      <c r="BJ21" s="4" t="s">
        <v>5</v>
      </c>
      <c r="BK21" s="4" t="s">
        <v>5</v>
      </c>
      <c r="BL21" s="4" t="s">
        <v>5</v>
      </c>
      <c r="BM21" s="4" t="s">
        <v>5</v>
      </c>
      <c r="BN21" s="4" t="s">
        <v>5</v>
      </c>
      <c r="BO21" s="4" t="s">
        <v>5</v>
      </c>
      <c r="BP21" s="4" t="s">
        <v>5</v>
      </c>
      <c r="BQ21" s="4" t="s">
        <v>5</v>
      </c>
      <c r="BR21" s="4" t="s">
        <v>5</v>
      </c>
      <c r="BS21" s="4" t="s">
        <v>5</v>
      </c>
      <c r="BT21" s="4" t="s">
        <v>5</v>
      </c>
      <c r="BU21" s="4" t="s">
        <v>5</v>
      </c>
      <c r="BV21" s="4" t="s">
        <v>5</v>
      </c>
      <c r="BW21" s="4" t="s">
        <v>5</v>
      </c>
      <c r="BX21" s="4" t="s">
        <v>5</v>
      </c>
      <c r="BY21" s="4" t="s">
        <v>5</v>
      </c>
      <c r="BZ21" s="4" t="s">
        <v>5</v>
      </c>
      <c r="CA21" s="4" t="s">
        <v>5</v>
      </c>
      <c r="CB21" s="4" t="s">
        <v>5</v>
      </c>
      <c r="CC21" s="4" t="s">
        <v>5</v>
      </c>
      <c r="CD21" s="4" t="s">
        <v>5</v>
      </c>
      <c r="CE21" s="4" t="s">
        <v>5</v>
      </c>
      <c r="CF21" s="4" t="s">
        <v>5</v>
      </c>
      <c r="CG21" s="4" t="s">
        <v>5</v>
      </c>
      <c r="CH21" s="4" t="s">
        <v>5</v>
      </c>
      <c r="CI21" s="4" t="s">
        <v>5</v>
      </c>
      <c r="CJ21" s="4" t="s">
        <v>5</v>
      </c>
      <c r="CK21" s="4" t="s">
        <v>5</v>
      </c>
      <c r="CL21" s="4" t="s">
        <v>5</v>
      </c>
      <c r="CM21" s="4" t="s">
        <v>5</v>
      </c>
      <c r="CN21" s="4" t="s">
        <v>5</v>
      </c>
      <c r="CO21" s="4" t="s">
        <v>5</v>
      </c>
      <c r="CP21" s="4" t="s">
        <v>5</v>
      </c>
      <c r="CQ21" s="4" t="s">
        <v>5</v>
      </c>
      <c r="CR21" s="4" t="s">
        <v>5</v>
      </c>
      <c r="CS21" s="4" t="s">
        <v>5</v>
      </c>
      <c r="CT21" s="4" t="s">
        <v>5</v>
      </c>
      <c r="CU21" s="4" t="s">
        <v>5</v>
      </c>
      <c r="CV21" s="4" t="s">
        <v>5</v>
      </c>
      <c r="CW21" s="4" t="s">
        <v>5</v>
      </c>
      <c r="CX21" s="4" t="s">
        <v>5</v>
      </c>
      <c r="CY21" s="4" t="s">
        <v>5</v>
      </c>
      <c r="CZ21" s="4" t="s">
        <v>5</v>
      </c>
      <c r="DC21" s="4" t="s">
        <v>5</v>
      </c>
      <c r="DD21" s="4" t="s">
        <v>5</v>
      </c>
      <c r="DE21" s="4" t="s">
        <v>5</v>
      </c>
      <c r="DF21" s="4" t="s">
        <v>5</v>
      </c>
      <c r="DG21" s="4" t="s">
        <v>5</v>
      </c>
      <c r="DH21" s="4" t="s">
        <v>5</v>
      </c>
      <c r="DI21" s="4" t="s">
        <v>5</v>
      </c>
      <c r="DK21" s="4" t="s">
        <v>5</v>
      </c>
      <c r="DL21" s="4" t="s">
        <v>5</v>
      </c>
      <c r="DM21" s="4" t="s">
        <v>5</v>
      </c>
      <c r="DN21" s="4" t="s">
        <v>5</v>
      </c>
      <c r="DO21" s="4" t="s">
        <v>5</v>
      </c>
      <c r="DP21" s="4" t="s">
        <v>5</v>
      </c>
      <c r="DQ21" s="4" t="s">
        <v>5</v>
      </c>
      <c r="DR21" s="4" t="s">
        <v>5</v>
      </c>
      <c r="DS21" s="4" t="s">
        <v>5</v>
      </c>
      <c r="DT21" s="4" t="s">
        <v>5</v>
      </c>
      <c r="DU21" s="4" t="s">
        <v>5</v>
      </c>
    </row>
    <row r="22" spans="1:125" x14ac:dyDescent="0.25">
      <c r="A22" s="13" t="str">
        <f>IF(AND($E22="",MAX($A$8:$A21)=0),"",IF(AND($E22&lt;&gt;"",MAX($A$8:$A21)=0),1,IF(AND($E22&lt;&gt;"",MAX($A$8:$A21)&gt;0),MAX($A$8:$A21)+1,"")))</f>
        <v/>
      </c>
      <c r="B22" s="11">
        <v>15</v>
      </c>
      <c r="C22" s="19" t="str">
        <f t="shared" si="0"/>
        <v>EMPTY</v>
      </c>
      <c r="D22" s="3" t="str">
        <f>IF(C22="SHOW",CONCATENATE(Temp!T18,Temp!U18,",",Temp!V18,",",Temp!W18,Temp!X18),"")</f>
        <v/>
      </c>
      <c r="E22" s="7"/>
      <c r="F22" s="8" t="str">
        <f t="shared" si="1"/>
        <v/>
      </c>
      <c r="I22" s="4" t="s">
        <v>5</v>
      </c>
      <c r="J22" s="4" t="s">
        <v>5</v>
      </c>
      <c r="K22" s="4" t="s">
        <v>5</v>
      </c>
      <c r="L22" s="4" t="s">
        <v>5</v>
      </c>
      <c r="M22" s="4" t="s">
        <v>5</v>
      </c>
      <c r="N22" s="4" t="s">
        <v>5</v>
      </c>
      <c r="O22" s="4" t="s">
        <v>5</v>
      </c>
      <c r="P22" s="4" t="s">
        <v>5</v>
      </c>
      <c r="Q22" s="4" t="s">
        <v>5</v>
      </c>
      <c r="R22" s="4" t="s">
        <v>5</v>
      </c>
      <c r="S22" s="4" t="s">
        <v>5</v>
      </c>
      <c r="T22" s="4" t="s">
        <v>5</v>
      </c>
      <c r="U22" s="4" t="s">
        <v>5</v>
      </c>
      <c r="V22" s="4" t="s">
        <v>5</v>
      </c>
      <c r="W22" s="4" t="s">
        <v>5</v>
      </c>
      <c r="X22" s="4" t="s">
        <v>5</v>
      </c>
      <c r="Y22" s="4" t="s">
        <v>5</v>
      </c>
      <c r="Z22" s="4" t="s">
        <v>5</v>
      </c>
      <c r="AA22" s="4" t="s">
        <v>5</v>
      </c>
      <c r="AB22" s="4" t="s">
        <v>5</v>
      </c>
      <c r="AC22" s="4" t="s">
        <v>5</v>
      </c>
      <c r="AD22" s="4" t="s">
        <v>5</v>
      </c>
      <c r="AE22" s="4" t="s">
        <v>5</v>
      </c>
      <c r="AF22" s="4" t="s">
        <v>5</v>
      </c>
      <c r="AG22" s="4" t="s">
        <v>5</v>
      </c>
      <c r="AH22" s="4" t="s">
        <v>5</v>
      </c>
      <c r="AI22" s="4" t="s">
        <v>5</v>
      </c>
      <c r="AJ22" s="4" t="s">
        <v>5</v>
      </c>
      <c r="AK22" s="4" t="s">
        <v>5</v>
      </c>
      <c r="AL22" s="4" t="s">
        <v>5</v>
      </c>
      <c r="AM22" s="4" t="s">
        <v>5</v>
      </c>
      <c r="AN22" s="4" t="s">
        <v>5</v>
      </c>
      <c r="AO22" s="4" t="s">
        <v>5</v>
      </c>
      <c r="AP22" s="4" t="s">
        <v>5</v>
      </c>
      <c r="AQ22" s="4" t="s">
        <v>5</v>
      </c>
      <c r="AR22" s="4" t="s">
        <v>5</v>
      </c>
      <c r="AS22" s="4" t="s">
        <v>5</v>
      </c>
      <c r="AT22" s="4" t="s">
        <v>5</v>
      </c>
      <c r="AU22" s="4" t="s">
        <v>5</v>
      </c>
      <c r="AV22" s="4" t="s">
        <v>5</v>
      </c>
      <c r="AW22" s="4" t="s">
        <v>5</v>
      </c>
      <c r="AX22" s="4" t="s">
        <v>5</v>
      </c>
      <c r="AY22" s="4" t="s">
        <v>5</v>
      </c>
      <c r="AZ22" s="4" t="s">
        <v>5</v>
      </c>
      <c r="BA22" s="4" t="s">
        <v>5</v>
      </c>
      <c r="BB22" s="4" t="s">
        <v>5</v>
      </c>
      <c r="BC22" s="4" t="s">
        <v>5</v>
      </c>
      <c r="BD22" s="4" t="s">
        <v>5</v>
      </c>
      <c r="BE22" s="4" t="s">
        <v>5</v>
      </c>
      <c r="BF22" s="4" t="s">
        <v>5</v>
      </c>
      <c r="BG22" s="4" t="s">
        <v>5</v>
      </c>
      <c r="BH22" s="4" t="s">
        <v>5</v>
      </c>
      <c r="BI22" s="4" t="s">
        <v>5</v>
      </c>
      <c r="BJ22" s="4" t="s">
        <v>5</v>
      </c>
      <c r="BK22" s="4" t="s">
        <v>5</v>
      </c>
      <c r="BL22" s="4" t="s">
        <v>5</v>
      </c>
      <c r="BM22" s="4" t="s">
        <v>5</v>
      </c>
      <c r="BN22" s="4" t="s">
        <v>5</v>
      </c>
      <c r="BO22" s="4" t="s">
        <v>5</v>
      </c>
      <c r="BP22" s="4" t="s">
        <v>5</v>
      </c>
      <c r="BQ22" s="4" t="s">
        <v>5</v>
      </c>
      <c r="BR22" s="4" t="s">
        <v>5</v>
      </c>
      <c r="BS22" s="4" t="s">
        <v>5</v>
      </c>
      <c r="BT22" s="4" t="s">
        <v>5</v>
      </c>
      <c r="BU22" s="4" t="s">
        <v>5</v>
      </c>
      <c r="BV22" s="4" t="s">
        <v>5</v>
      </c>
      <c r="BW22" s="4" t="s">
        <v>5</v>
      </c>
      <c r="BX22" s="4" t="s">
        <v>5</v>
      </c>
      <c r="BY22" s="4" t="s">
        <v>5</v>
      </c>
      <c r="BZ22" s="4" t="s">
        <v>5</v>
      </c>
      <c r="CA22" s="4" t="s">
        <v>5</v>
      </c>
      <c r="CB22" s="4" t="s">
        <v>5</v>
      </c>
      <c r="CC22" s="4" t="s">
        <v>5</v>
      </c>
      <c r="CD22" s="4" t="s">
        <v>5</v>
      </c>
      <c r="CE22" s="4" t="s">
        <v>5</v>
      </c>
      <c r="CF22" s="4" t="s">
        <v>5</v>
      </c>
      <c r="CG22" s="4" t="s">
        <v>5</v>
      </c>
      <c r="CH22" s="4" t="s">
        <v>5</v>
      </c>
      <c r="CI22" s="4" t="s">
        <v>5</v>
      </c>
      <c r="CJ22" s="4" t="s">
        <v>5</v>
      </c>
      <c r="CK22" s="4" t="s">
        <v>5</v>
      </c>
      <c r="CL22" s="4" t="s">
        <v>5</v>
      </c>
      <c r="CM22" s="4" t="s">
        <v>5</v>
      </c>
      <c r="CN22" s="4" t="s">
        <v>5</v>
      </c>
      <c r="CO22" s="4" t="s">
        <v>5</v>
      </c>
      <c r="CP22" s="4" t="s">
        <v>5</v>
      </c>
      <c r="CQ22" s="4" t="s">
        <v>5</v>
      </c>
      <c r="CR22" s="4" t="s">
        <v>5</v>
      </c>
      <c r="CS22" s="4" t="s">
        <v>5</v>
      </c>
      <c r="CT22" s="4" t="s">
        <v>5</v>
      </c>
      <c r="CU22" s="4" t="s">
        <v>5</v>
      </c>
      <c r="CV22" s="4" t="s">
        <v>5</v>
      </c>
      <c r="CW22" s="4" t="s">
        <v>5</v>
      </c>
      <c r="CX22" s="4" t="s">
        <v>5</v>
      </c>
      <c r="CY22" s="4" t="s">
        <v>5</v>
      </c>
      <c r="CZ22" s="4" t="s">
        <v>5</v>
      </c>
      <c r="DC22" s="4" t="s">
        <v>5</v>
      </c>
      <c r="DD22" s="4" t="s">
        <v>5</v>
      </c>
      <c r="DE22" s="4" t="s">
        <v>5</v>
      </c>
      <c r="DF22" s="4" t="s">
        <v>5</v>
      </c>
      <c r="DG22" s="4" t="s">
        <v>5</v>
      </c>
      <c r="DH22" s="4" t="s">
        <v>5</v>
      </c>
      <c r="DI22" s="4" t="s">
        <v>5</v>
      </c>
      <c r="DK22" s="4" t="s">
        <v>5</v>
      </c>
      <c r="DL22" s="4" t="s">
        <v>5</v>
      </c>
      <c r="DM22" s="4" t="s">
        <v>5</v>
      </c>
      <c r="DN22" s="4" t="s">
        <v>5</v>
      </c>
      <c r="DO22" s="4" t="s">
        <v>5</v>
      </c>
      <c r="DP22" s="4" t="s">
        <v>5</v>
      </c>
      <c r="DQ22" s="4" t="s">
        <v>5</v>
      </c>
      <c r="DR22" s="4" t="s">
        <v>5</v>
      </c>
      <c r="DS22" s="4" t="s">
        <v>5</v>
      </c>
      <c r="DT22" s="4" t="s">
        <v>5</v>
      </c>
      <c r="DU22" s="4" t="s">
        <v>5</v>
      </c>
    </row>
    <row r="23" spans="1:125" x14ac:dyDescent="0.25">
      <c r="A23" s="13" t="str">
        <f>IF(AND($E23="",MAX($A$8:$A22)=0),"",IF(AND($E23&lt;&gt;"",MAX($A$8:$A22)=0),1,IF(AND($E23&lt;&gt;"",MAX($A$8:$A22)&gt;0),MAX($A$8:$A22)+1,"")))</f>
        <v/>
      </c>
      <c r="B23" s="11">
        <v>16</v>
      </c>
      <c r="C23" s="19" t="str">
        <f t="shared" si="0"/>
        <v>EMPTY</v>
      </c>
      <c r="D23" s="3" t="str">
        <f>IF(C23="SHOW",CONCATENATE(Temp!T19,Temp!U19,",",Temp!V19,",",Temp!W19,Temp!X19),"")</f>
        <v/>
      </c>
      <c r="E23" s="7"/>
      <c r="F23" s="8" t="str">
        <f t="shared" si="1"/>
        <v/>
      </c>
      <c r="I23" s="4" t="s">
        <v>5</v>
      </c>
      <c r="J23" s="4" t="s">
        <v>5</v>
      </c>
      <c r="K23" s="4" t="s">
        <v>5</v>
      </c>
      <c r="L23" s="4" t="s">
        <v>5</v>
      </c>
      <c r="M23" s="4" t="s">
        <v>5</v>
      </c>
      <c r="N23" s="4" t="s">
        <v>5</v>
      </c>
      <c r="O23" s="4" t="s">
        <v>5</v>
      </c>
      <c r="P23" s="4" t="s">
        <v>5</v>
      </c>
      <c r="Q23" s="4" t="s">
        <v>5</v>
      </c>
      <c r="R23" s="4" t="s">
        <v>5</v>
      </c>
      <c r="S23" s="4" t="s">
        <v>5</v>
      </c>
      <c r="T23" s="4" t="s">
        <v>5</v>
      </c>
      <c r="U23" s="4" t="s">
        <v>5</v>
      </c>
      <c r="V23" s="4" t="s">
        <v>5</v>
      </c>
      <c r="W23" s="4" t="s">
        <v>5</v>
      </c>
      <c r="X23" s="4" t="s">
        <v>5</v>
      </c>
      <c r="Y23" s="4" t="s">
        <v>5</v>
      </c>
      <c r="Z23" s="4" t="s">
        <v>5</v>
      </c>
      <c r="AA23" s="4" t="s">
        <v>5</v>
      </c>
      <c r="AB23" s="4" t="s">
        <v>5</v>
      </c>
      <c r="AC23" s="4" t="s">
        <v>5</v>
      </c>
      <c r="AD23" s="4" t="s">
        <v>5</v>
      </c>
      <c r="AE23" s="4" t="s">
        <v>5</v>
      </c>
      <c r="AF23" s="4" t="s">
        <v>5</v>
      </c>
      <c r="AG23" s="4" t="s">
        <v>5</v>
      </c>
      <c r="AH23" s="4" t="s">
        <v>5</v>
      </c>
      <c r="AI23" s="4" t="s">
        <v>5</v>
      </c>
      <c r="AJ23" s="4" t="s">
        <v>5</v>
      </c>
      <c r="AK23" s="4" t="s">
        <v>5</v>
      </c>
      <c r="AL23" s="4" t="s">
        <v>5</v>
      </c>
      <c r="AM23" s="4" t="s">
        <v>5</v>
      </c>
      <c r="AN23" s="4" t="s">
        <v>5</v>
      </c>
      <c r="AO23" s="4" t="s">
        <v>5</v>
      </c>
      <c r="AP23" s="4" t="s">
        <v>5</v>
      </c>
      <c r="AQ23" s="4" t="s">
        <v>5</v>
      </c>
      <c r="AR23" s="4" t="s">
        <v>5</v>
      </c>
      <c r="AS23" s="4" t="s">
        <v>5</v>
      </c>
      <c r="AT23" s="4" t="s">
        <v>5</v>
      </c>
      <c r="AU23" s="4" t="s">
        <v>5</v>
      </c>
      <c r="AV23" s="4" t="s">
        <v>5</v>
      </c>
      <c r="AW23" s="4" t="s">
        <v>5</v>
      </c>
      <c r="AX23" s="4" t="s">
        <v>5</v>
      </c>
      <c r="AY23" s="4" t="s">
        <v>5</v>
      </c>
      <c r="AZ23" s="4" t="s">
        <v>5</v>
      </c>
      <c r="BA23" s="4" t="s">
        <v>5</v>
      </c>
      <c r="BB23" s="4" t="s">
        <v>5</v>
      </c>
      <c r="BC23" s="4" t="s">
        <v>5</v>
      </c>
      <c r="BD23" s="4" t="s">
        <v>5</v>
      </c>
      <c r="BE23" s="4" t="s">
        <v>5</v>
      </c>
      <c r="BF23" s="4" t="s">
        <v>5</v>
      </c>
      <c r="BG23" s="4" t="s">
        <v>5</v>
      </c>
      <c r="BH23" s="4" t="s">
        <v>5</v>
      </c>
      <c r="BI23" s="4" t="s">
        <v>5</v>
      </c>
      <c r="BJ23" s="4" t="s">
        <v>5</v>
      </c>
      <c r="BK23" s="4" t="s">
        <v>5</v>
      </c>
      <c r="BL23" s="4" t="s">
        <v>5</v>
      </c>
      <c r="BM23" s="4" t="s">
        <v>5</v>
      </c>
      <c r="BN23" s="4" t="s">
        <v>5</v>
      </c>
      <c r="BO23" s="4" t="s">
        <v>5</v>
      </c>
      <c r="BP23" s="4" t="s">
        <v>5</v>
      </c>
      <c r="BQ23" s="4" t="s">
        <v>5</v>
      </c>
      <c r="BR23" s="4" t="s">
        <v>5</v>
      </c>
      <c r="BS23" s="4" t="s">
        <v>5</v>
      </c>
      <c r="BT23" s="4" t="s">
        <v>5</v>
      </c>
      <c r="BU23" s="4" t="s">
        <v>5</v>
      </c>
      <c r="BV23" s="4" t="s">
        <v>5</v>
      </c>
      <c r="BW23" s="4" t="s">
        <v>5</v>
      </c>
      <c r="BX23" s="4" t="s">
        <v>5</v>
      </c>
      <c r="BY23" s="4" t="s">
        <v>5</v>
      </c>
      <c r="BZ23" s="4" t="s">
        <v>5</v>
      </c>
      <c r="CA23" s="4" t="s">
        <v>5</v>
      </c>
      <c r="CB23" s="4" t="s">
        <v>5</v>
      </c>
      <c r="CC23" s="4" t="s">
        <v>5</v>
      </c>
      <c r="CD23" s="4" t="s">
        <v>5</v>
      </c>
      <c r="CE23" s="4" t="s">
        <v>5</v>
      </c>
      <c r="CF23" s="4" t="s">
        <v>5</v>
      </c>
      <c r="CG23" s="4" t="s">
        <v>5</v>
      </c>
      <c r="CH23" s="4" t="s">
        <v>5</v>
      </c>
      <c r="CI23" s="4" t="s">
        <v>5</v>
      </c>
      <c r="CJ23" s="4" t="s">
        <v>5</v>
      </c>
      <c r="CK23" s="4" t="s">
        <v>5</v>
      </c>
      <c r="CL23" s="4" t="s">
        <v>5</v>
      </c>
      <c r="CM23" s="4" t="s">
        <v>5</v>
      </c>
      <c r="CN23" s="4" t="s">
        <v>5</v>
      </c>
      <c r="CO23" s="4" t="s">
        <v>5</v>
      </c>
      <c r="CP23" s="4" t="s">
        <v>5</v>
      </c>
      <c r="CQ23" s="4" t="s">
        <v>5</v>
      </c>
      <c r="CR23" s="4" t="s">
        <v>5</v>
      </c>
      <c r="CS23" s="4" t="s">
        <v>5</v>
      </c>
      <c r="CT23" s="4" t="s">
        <v>5</v>
      </c>
      <c r="CU23" s="4" t="s">
        <v>5</v>
      </c>
      <c r="CV23" s="4" t="s">
        <v>5</v>
      </c>
      <c r="CW23" s="4" t="s">
        <v>5</v>
      </c>
      <c r="CX23" s="4" t="s">
        <v>5</v>
      </c>
      <c r="CY23" s="4" t="s">
        <v>5</v>
      </c>
      <c r="CZ23" s="4" t="s">
        <v>5</v>
      </c>
      <c r="DC23" s="4" t="s">
        <v>5</v>
      </c>
      <c r="DD23" s="4" t="s">
        <v>5</v>
      </c>
      <c r="DE23" s="4" t="s">
        <v>5</v>
      </c>
      <c r="DF23" s="4" t="s">
        <v>5</v>
      </c>
      <c r="DG23" s="4" t="s">
        <v>5</v>
      </c>
      <c r="DH23" s="4" t="s">
        <v>5</v>
      </c>
      <c r="DI23" s="4" t="s">
        <v>5</v>
      </c>
      <c r="DK23" s="4" t="s">
        <v>5</v>
      </c>
      <c r="DL23" s="4" t="s">
        <v>5</v>
      </c>
      <c r="DM23" s="4" t="s">
        <v>5</v>
      </c>
      <c r="DN23" s="4" t="s">
        <v>5</v>
      </c>
      <c r="DO23" s="4" t="s">
        <v>5</v>
      </c>
      <c r="DP23" s="4" t="s">
        <v>5</v>
      </c>
      <c r="DQ23" s="4" t="s">
        <v>5</v>
      </c>
      <c r="DR23" s="4" t="s">
        <v>5</v>
      </c>
      <c r="DS23" s="4" t="s">
        <v>5</v>
      </c>
      <c r="DT23" s="4" t="s">
        <v>5</v>
      </c>
      <c r="DU23" s="4" t="s">
        <v>5</v>
      </c>
    </row>
    <row r="24" spans="1:125" x14ac:dyDescent="0.25">
      <c r="A24" s="13" t="str">
        <f>IF(AND($E24="",MAX($A$8:$A23)=0),"",IF(AND($E24&lt;&gt;"",MAX($A$8:$A23)=0),1,IF(AND($E24&lt;&gt;"",MAX($A$8:$A23)&gt;0),MAX($A$8:$A23)+1,"")))</f>
        <v/>
      </c>
      <c r="B24" s="11">
        <v>17</v>
      </c>
      <c r="C24" s="19" t="str">
        <f t="shared" si="0"/>
        <v>EMPTY</v>
      </c>
      <c r="D24" s="3" t="str">
        <f>IF(C24="SHOW",CONCATENATE(Temp!T20,Temp!U20,",",Temp!V20,",",Temp!W20,Temp!X20),"")</f>
        <v/>
      </c>
      <c r="E24" s="7"/>
      <c r="F24" s="8" t="str">
        <f t="shared" si="1"/>
        <v/>
      </c>
      <c r="I24" s="4" t="s">
        <v>5</v>
      </c>
      <c r="J24" s="4" t="s">
        <v>5</v>
      </c>
      <c r="K24" s="4" t="s">
        <v>5</v>
      </c>
      <c r="L24" s="4" t="s">
        <v>5</v>
      </c>
      <c r="M24" s="4" t="s">
        <v>5</v>
      </c>
      <c r="N24" s="4" t="s">
        <v>5</v>
      </c>
      <c r="O24" s="4" t="s">
        <v>5</v>
      </c>
      <c r="P24" s="4" t="s">
        <v>5</v>
      </c>
      <c r="Q24" s="4" t="s">
        <v>5</v>
      </c>
      <c r="R24" s="4" t="s">
        <v>5</v>
      </c>
      <c r="S24" s="4" t="s">
        <v>5</v>
      </c>
      <c r="T24" s="4" t="s">
        <v>5</v>
      </c>
      <c r="U24" s="4" t="s">
        <v>5</v>
      </c>
      <c r="V24" s="4" t="s">
        <v>5</v>
      </c>
      <c r="W24" s="4" t="s">
        <v>5</v>
      </c>
      <c r="X24" s="4" t="s">
        <v>5</v>
      </c>
      <c r="Y24" s="4" t="s">
        <v>5</v>
      </c>
      <c r="Z24" s="4" t="s">
        <v>5</v>
      </c>
      <c r="AA24" s="4" t="s">
        <v>5</v>
      </c>
      <c r="AB24" s="4" t="s">
        <v>5</v>
      </c>
      <c r="AC24" s="4" t="s">
        <v>5</v>
      </c>
      <c r="AD24" s="4" t="s">
        <v>5</v>
      </c>
      <c r="AE24" s="4" t="s">
        <v>5</v>
      </c>
      <c r="AF24" s="4" t="s">
        <v>5</v>
      </c>
      <c r="AG24" s="4" t="s">
        <v>5</v>
      </c>
      <c r="AH24" s="4" t="s">
        <v>5</v>
      </c>
      <c r="AI24" s="4" t="s">
        <v>5</v>
      </c>
      <c r="AJ24" s="4" t="s">
        <v>5</v>
      </c>
      <c r="AK24" s="4" t="s">
        <v>5</v>
      </c>
      <c r="AL24" s="4" t="s">
        <v>5</v>
      </c>
      <c r="AM24" s="4" t="s">
        <v>5</v>
      </c>
      <c r="AN24" s="4" t="s">
        <v>5</v>
      </c>
      <c r="AO24" s="4" t="s">
        <v>5</v>
      </c>
      <c r="AP24" s="4" t="s">
        <v>5</v>
      </c>
      <c r="AQ24" s="4" t="s">
        <v>5</v>
      </c>
      <c r="AR24" s="4" t="s">
        <v>5</v>
      </c>
      <c r="AS24" s="4" t="s">
        <v>5</v>
      </c>
      <c r="AT24" s="4" t="s">
        <v>5</v>
      </c>
      <c r="AU24" s="4" t="s">
        <v>5</v>
      </c>
      <c r="AV24" s="4" t="s">
        <v>5</v>
      </c>
      <c r="AW24" s="4" t="s">
        <v>5</v>
      </c>
      <c r="AX24" s="4" t="s">
        <v>5</v>
      </c>
      <c r="AY24" s="4" t="s">
        <v>5</v>
      </c>
      <c r="AZ24" s="4" t="s">
        <v>5</v>
      </c>
      <c r="BA24" s="4" t="s">
        <v>5</v>
      </c>
      <c r="BB24" s="4" t="s">
        <v>5</v>
      </c>
      <c r="BC24" s="4" t="s">
        <v>5</v>
      </c>
      <c r="BD24" s="4" t="s">
        <v>5</v>
      </c>
      <c r="BE24" s="4" t="s">
        <v>5</v>
      </c>
      <c r="BF24" s="4" t="s">
        <v>5</v>
      </c>
      <c r="BG24" s="4" t="s">
        <v>5</v>
      </c>
      <c r="BH24" s="4" t="s">
        <v>5</v>
      </c>
      <c r="BI24" s="4" t="s">
        <v>5</v>
      </c>
      <c r="BJ24" s="4" t="s">
        <v>5</v>
      </c>
      <c r="BK24" s="4" t="s">
        <v>5</v>
      </c>
      <c r="BL24" s="4" t="s">
        <v>5</v>
      </c>
      <c r="BM24" s="4" t="s">
        <v>5</v>
      </c>
      <c r="BN24" s="4" t="s">
        <v>5</v>
      </c>
      <c r="BO24" s="4" t="s">
        <v>5</v>
      </c>
      <c r="BP24" s="4" t="s">
        <v>5</v>
      </c>
      <c r="BQ24" s="4" t="s">
        <v>5</v>
      </c>
      <c r="BR24" s="4" t="s">
        <v>5</v>
      </c>
      <c r="BS24" s="4" t="s">
        <v>5</v>
      </c>
      <c r="BT24" s="4" t="s">
        <v>5</v>
      </c>
      <c r="BU24" s="4" t="s">
        <v>5</v>
      </c>
      <c r="BV24" s="4" t="s">
        <v>5</v>
      </c>
      <c r="BW24" s="4" t="s">
        <v>5</v>
      </c>
      <c r="BX24" s="4" t="s">
        <v>5</v>
      </c>
      <c r="BY24" s="4" t="s">
        <v>5</v>
      </c>
      <c r="BZ24" s="4" t="s">
        <v>5</v>
      </c>
      <c r="CA24" s="4" t="s">
        <v>5</v>
      </c>
      <c r="CB24" s="4" t="s">
        <v>5</v>
      </c>
      <c r="CC24" s="4" t="s">
        <v>5</v>
      </c>
      <c r="CD24" s="4" t="s">
        <v>5</v>
      </c>
      <c r="CE24" s="4" t="s">
        <v>5</v>
      </c>
      <c r="CF24" s="4" t="s">
        <v>5</v>
      </c>
      <c r="CG24" s="4" t="s">
        <v>5</v>
      </c>
      <c r="CH24" s="4" t="s">
        <v>5</v>
      </c>
      <c r="CI24" s="4" t="s">
        <v>5</v>
      </c>
      <c r="CJ24" s="4" t="s">
        <v>5</v>
      </c>
      <c r="CK24" s="4" t="s">
        <v>5</v>
      </c>
      <c r="CL24" s="4" t="s">
        <v>5</v>
      </c>
      <c r="CM24" s="4" t="s">
        <v>5</v>
      </c>
      <c r="CN24" s="4" t="s">
        <v>5</v>
      </c>
      <c r="CO24" s="4" t="s">
        <v>5</v>
      </c>
      <c r="CP24" s="4" t="s">
        <v>5</v>
      </c>
      <c r="CQ24" s="4" t="s">
        <v>5</v>
      </c>
      <c r="CR24" s="4" t="s">
        <v>5</v>
      </c>
      <c r="CS24" s="4" t="s">
        <v>5</v>
      </c>
      <c r="CT24" s="4" t="s">
        <v>5</v>
      </c>
      <c r="CU24" s="4" t="s">
        <v>5</v>
      </c>
      <c r="CV24" s="4" t="s">
        <v>5</v>
      </c>
      <c r="CW24" s="4" t="s">
        <v>5</v>
      </c>
      <c r="CX24" s="4" t="s">
        <v>5</v>
      </c>
      <c r="CY24" s="4" t="s">
        <v>5</v>
      </c>
      <c r="CZ24" s="4" t="s">
        <v>5</v>
      </c>
      <c r="DC24" s="4" t="s">
        <v>5</v>
      </c>
      <c r="DD24" s="4" t="s">
        <v>5</v>
      </c>
      <c r="DE24" s="4" t="s">
        <v>5</v>
      </c>
      <c r="DF24" s="4" t="s">
        <v>5</v>
      </c>
      <c r="DG24" s="4" t="s">
        <v>5</v>
      </c>
      <c r="DH24" s="4" t="s">
        <v>5</v>
      </c>
      <c r="DI24" s="4" t="s">
        <v>5</v>
      </c>
      <c r="DK24" s="4" t="s">
        <v>5</v>
      </c>
      <c r="DL24" s="4" t="s">
        <v>5</v>
      </c>
      <c r="DM24" s="4" t="s">
        <v>5</v>
      </c>
      <c r="DN24" s="4" t="s">
        <v>5</v>
      </c>
      <c r="DO24" s="4" t="s">
        <v>5</v>
      </c>
      <c r="DP24" s="4" t="s">
        <v>5</v>
      </c>
      <c r="DQ24" s="4" t="s">
        <v>5</v>
      </c>
      <c r="DR24" s="4" t="s">
        <v>5</v>
      </c>
      <c r="DS24" s="4" t="s">
        <v>5</v>
      </c>
      <c r="DT24" s="4" t="s">
        <v>5</v>
      </c>
      <c r="DU24" s="4" t="s">
        <v>5</v>
      </c>
    </row>
    <row r="25" spans="1:125" x14ac:dyDescent="0.25">
      <c r="A25" s="13" t="str">
        <f>IF(AND($E25="",MAX($A$8:$A24)=0),"",IF(AND($E25&lt;&gt;"",MAX($A$8:$A24)=0),1,IF(AND($E25&lt;&gt;"",MAX($A$8:$A24)&gt;0),MAX($A$8:$A24)+1,"")))</f>
        <v/>
      </c>
      <c r="B25" s="11">
        <v>18</v>
      </c>
      <c r="C25" s="19" t="str">
        <f t="shared" si="0"/>
        <v>EMPTY</v>
      </c>
      <c r="D25" s="3" t="str">
        <f>IF(C25="SHOW",CONCATENATE(Temp!T21,Temp!U21,",",Temp!V21,",",Temp!W21,Temp!X21),"")</f>
        <v/>
      </c>
      <c r="E25" s="7"/>
      <c r="F25" s="8" t="str">
        <f t="shared" si="1"/>
        <v/>
      </c>
      <c r="I25" s="4" t="s">
        <v>5</v>
      </c>
      <c r="J25" s="4" t="s">
        <v>5</v>
      </c>
      <c r="K25" s="4" t="s">
        <v>5</v>
      </c>
      <c r="L25" s="4" t="s">
        <v>5</v>
      </c>
      <c r="M25" s="4" t="s">
        <v>5</v>
      </c>
      <c r="N25" s="4" t="s">
        <v>5</v>
      </c>
      <c r="O25" s="4" t="s">
        <v>5</v>
      </c>
      <c r="P25" s="4" t="s">
        <v>5</v>
      </c>
      <c r="Q25" s="4" t="s">
        <v>5</v>
      </c>
      <c r="R25" s="4" t="s">
        <v>5</v>
      </c>
      <c r="S25" s="4" t="s">
        <v>5</v>
      </c>
      <c r="T25" s="4" t="s">
        <v>5</v>
      </c>
      <c r="U25" s="4" t="s">
        <v>5</v>
      </c>
      <c r="V25" s="4" t="s">
        <v>5</v>
      </c>
      <c r="W25" s="4" t="s">
        <v>5</v>
      </c>
      <c r="X25" s="4" t="s">
        <v>5</v>
      </c>
      <c r="Y25" s="4" t="s">
        <v>5</v>
      </c>
      <c r="Z25" s="4" t="s">
        <v>5</v>
      </c>
      <c r="AA25" s="4" t="s">
        <v>5</v>
      </c>
      <c r="AB25" s="4" t="s">
        <v>5</v>
      </c>
      <c r="AC25" s="4" t="s">
        <v>5</v>
      </c>
      <c r="AD25" s="4" t="s">
        <v>5</v>
      </c>
      <c r="AE25" s="4" t="s">
        <v>5</v>
      </c>
      <c r="AF25" s="4" t="s">
        <v>5</v>
      </c>
      <c r="AG25" s="4" t="s">
        <v>5</v>
      </c>
      <c r="AH25" s="4" t="s">
        <v>5</v>
      </c>
      <c r="AI25" s="4" t="s">
        <v>5</v>
      </c>
      <c r="AJ25" s="4" t="s">
        <v>5</v>
      </c>
      <c r="AK25" s="4" t="s">
        <v>5</v>
      </c>
      <c r="AL25" s="4" t="s">
        <v>5</v>
      </c>
      <c r="AM25" s="4" t="s">
        <v>5</v>
      </c>
      <c r="AN25" s="4" t="s">
        <v>5</v>
      </c>
      <c r="AO25" s="4" t="s">
        <v>5</v>
      </c>
      <c r="AP25" s="4" t="s">
        <v>5</v>
      </c>
      <c r="AQ25" s="4" t="s">
        <v>5</v>
      </c>
      <c r="AR25" s="4" t="s">
        <v>5</v>
      </c>
      <c r="AS25" s="4" t="s">
        <v>5</v>
      </c>
      <c r="AT25" s="4" t="s">
        <v>5</v>
      </c>
      <c r="AU25" s="4" t="s">
        <v>5</v>
      </c>
      <c r="AV25" s="4" t="s">
        <v>5</v>
      </c>
      <c r="AW25" s="4" t="s">
        <v>5</v>
      </c>
      <c r="AX25" s="4" t="s">
        <v>5</v>
      </c>
      <c r="AY25" s="4" t="s">
        <v>5</v>
      </c>
      <c r="AZ25" s="4" t="s">
        <v>5</v>
      </c>
      <c r="BA25" s="4" t="s">
        <v>5</v>
      </c>
      <c r="BB25" s="4" t="s">
        <v>5</v>
      </c>
      <c r="BC25" s="4" t="s">
        <v>5</v>
      </c>
      <c r="BD25" s="4" t="s">
        <v>5</v>
      </c>
      <c r="BE25" s="4" t="s">
        <v>5</v>
      </c>
      <c r="BF25" s="4" t="s">
        <v>5</v>
      </c>
      <c r="BG25" s="4" t="s">
        <v>5</v>
      </c>
      <c r="BH25" s="4" t="s">
        <v>5</v>
      </c>
      <c r="BI25" s="4" t="s">
        <v>5</v>
      </c>
      <c r="BJ25" s="4" t="s">
        <v>5</v>
      </c>
      <c r="BK25" s="4" t="s">
        <v>5</v>
      </c>
      <c r="BL25" s="4" t="s">
        <v>5</v>
      </c>
      <c r="BM25" s="4" t="s">
        <v>5</v>
      </c>
      <c r="BN25" s="4" t="s">
        <v>5</v>
      </c>
      <c r="BO25" s="4" t="s">
        <v>5</v>
      </c>
      <c r="BP25" s="4" t="s">
        <v>5</v>
      </c>
      <c r="BQ25" s="4" t="s">
        <v>5</v>
      </c>
      <c r="BR25" s="4" t="s">
        <v>5</v>
      </c>
      <c r="BS25" s="4" t="s">
        <v>5</v>
      </c>
      <c r="BT25" s="4" t="s">
        <v>5</v>
      </c>
      <c r="BU25" s="4" t="s">
        <v>5</v>
      </c>
      <c r="BV25" s="4" t="s">
        <v>5</v>
      </c>
      <c r="BW25" s="4" t="s">
        <v>5</v>
      </c>
      <c r="BX25" s="4" t="s">
        <v>5</v>
      </c>
      <c r="BY25" s="4" t="s">
        <v>5</v>
      </c>
      <c r="BZ25" s="4" t="s">
        <v>5</v>
      </c>
      <c r="CA25" s="4" t="s">
        <v>5</v>
      </c>
      <c r="CB25" s="4" t="s">
        <v>5</v>
      </c>
      <c r="CC25" s="4" t="s">
        <v>5</v>
      </c>
      <c r="CD25" s="4" t="s">
        <v>5</v>
      </c>
      <c r="CE25" s="4" t="s">
        <v>5</v>
      </c>
      <c r="CF25" s="4" t="s">
        <v>5</v>
      </c>
      <c r="CG25" s="4" t="s">
        <v>5</v>
      </c>
      <c r="CH25" s="4" t="s">
        <v>5</v>
      </c>
      <c r="CI25" s="4" t="s">
        <v>5</v>
      </c>
      <c r="CJ25" s="4" t="s">
        <v>5</v>
      </c>
      <c r="CK25" s="4" t="s">
        <v>5</v>
      </c>
      <c r="CL25" s="4" t="s">
        <v>5</v>
      </c>
      <c r="CM25" s="4" t="s">
        <v>5</v>
      </c>
      <c r="CN25" s="4" t="s">
        <v>5</v>
      </c>
      <c r="CO25" s="4" t="s">
        <v>5</v>
      </c>
      <c r="CP25" s="4" t="s">
        <v>5</v>
      </c>
      <c r="CQ25" s="4" t="s">
        <v>5</v>
      </c>
      <c r="CR25" s="4" t="s">
        <v>5</v>
      </c>
      <c r="CS25" s="4" t="s">
        <v>5</v>
      </c>
      <c r="CT25" s="4" t="s">
        <v>5</v>
      </c>
      <c r="CU25" s="4" t="s">
        <v>5</v>
      </c>
      <c r="CV25" s="4" t="s">
        <v>5</v>
      </c>
      <c r="CW25" s="4" t="s">
        <v>5</v>
      </c>
      <c r="CX25" s="4" t="s">
        <v>5</v>
      </c>
      <c r="CY25" s="4" t="s">
        <v>5</v>
      </c>
      <c r="CZ25" s="4" t="s">
        <v>5</v>
      </c>
      <c r="DC25" s="4" t="s">
        <v>5</v>
      </c>
      <c r="DD25" s="4" t="s">
        <v>5</v>
      </c>
      <c r="DE25" s="4" t="s">
        <v>5</v>
      </c>
      <c r="DF25" s="4" t="s">
        <v>5</v>
      </c>
      <c r="DG25" s="4" t="s">
        <v>5</v>
      </c>
      <c r="DH25" s="4" t="s">
        <v>5</v>
      </c>
      <c r="DI25" s="4" t="s">
        <v>5</v>
      </c>
      <c r="DL25" s="4" t="s">
        <v>5</v>
      </c>
      <c r="DM25" s="4" t="s">
        <v>5</v>
      </c>
      <c r="DP25" s="4" t="s">
        <v>5</v>
      </c>
      <c r="DQ25" s="4" t="s">
        <v>5</v>
      </c>
      <c r="DR25" s="4" t="s">
        <v>5</v>
      </c>
      <c r="DS25" s="4" t="s">
        <v>5</v>
      </c>
      <c r="DT25" s="4" t="s">
        <v>5</v>
      </c>
      <c r="DU25" s="4" t="s">
        <v>5</v>
      </c>
    </row>
    <row r="26" spans="1:125" x14ac:dyDescent="0.25">
      <c r="A26" s="13" t="str">
        <f>IF(AND($E26="",MAX($A$8:$A25)=0),"",IF(AND($E26&lt;&gt;"",MAX($A$8:$A25)=0),1,IF(AND($E26&lt;&gt;"",MAX($A$8:$A25)&gt;0),MAX($A$8:$A25)+1,"")))</f>
        <v/>
      </c>
      <c r="B26" s="11">
        <v>19</v>
      </c>
      <c r="C26" s="19" t="str">
        <f t="shared" si="0"/>
        <v>EMPTY</v>
      </c>
      <c r="D26" s="3" t="str">
        <f>IF(C26="SHOW",CONCATENATE(Temp!T22,Temp!U22,",",Temp!V22,",",Temp!W22,Temp!X22),"")</f>
        <v/>
      </c>
      <c r="E26" s="7"/>
      <c r="F26" s="8" t="str">
        <f t="shared" si="1"/>
        <v/>
      </c>
      <c r="I26" s="4" t="s">
        <v>5</v>
      </c>
      <c r="J26" s="4" t="s">
        <v>5</v>
      </c>
      <c r="K26" s="4" t="s">
        <v>5</v>
      </c>
      <c r="L26" s="4" t="s">
        <v>5</v>
      </c>
      <c r="M26" s="4" t="s">
        <v>5</v>
      </c>
      <c r="N26" s="4" t="s">
        <v>5</v>
      </c>
      <c r="O26" s="4" t="s">
        <v>5</v>
      </c>
      <c r="P26" s="4" t="s">
        <v>5</v>
      </c>
      <c r="Q26" s="4" t="s">
        <v>5</v>
      </c>
      <c r="R26" s="4" t="s">
        <v>5</v>
      </c>
      <c r="S26" s="4" t="s">
        <v>5</v>
      </c>
      <c r="T26" s="4" t="s">
        <v>5</v>
      </c>
      <c r="U26" s="4" t="s">
        <v>5</v>
      </c>
      <c r="V26" s="4" t="s">
        <v>5</v>
      </c>
      <c r="W26" s="4" t="s">
        <v>5</v>
      </c>
      <c r="X26" s="4" t="s">
        <v>5</v>
      </c>
      <c r="Y26" s="4" t="s">
        <v>5</v>
      </c>
      <c r="Z26" s="4" t="s">
        <v>5</v>
      </c>
      <c r="AA26" s="4" t="s">
        <v>5</v>
      </c>
      <c r="AB26" s="4" t="s">
        <v>5</v>
      </c>
      <c r="AC26" s="4" t="s">
        <v>5</v>
      </c>
      <c r="AD26" s="4" t="s">
        <v>5</v>
      </c>
      <c r="AE26" s="4" t="s">
        <v>5</v>
      </c>
      <c r="AF26" s="4" t="s">
        <v>5</v>
      </c>
      <c r="AG26" s="4" t="s">
        <v>5</v>
      </c>
      <c r="AH26" s="4" t="s">
        <v>5</v>
      </c>
      <c r="AI26" s="4" t="s">
        <v>5</v>
      </c>
      <c r="AJ26" s="4" t="s">
        <v>5</v>
      </c>
      <c r="AK26" s="4" t="s">
        <v>5</v>
      </c>
      <c r="AL26" s="4" t="s">
        <v>5</v>
      </c>
      <c r="AM26" s="4" t="s">
        <v>5</v>
      </c>
      <c r="AN26" s="4" t="s">
        <v>5</v>
      </c>
      <c r="AO26" s="4" t="s">
        <v>5</v>
      </c>
      <c r="AP26" s="4" t="s">
        <v>5</v>
      </c>
      <c r="AQ26" s="4" t="s">
        <v>5</v>
      </c>
      <c r="AR26" s="4" t="s">
        <v>5</v>
      </c>
      <c r="AS26" s="4" t="s">
        <v>5</v>
      </c>
      <c r="AT26" s="4" t="s">
        <v>5</v>
      </c>
      <c r="AU26" s="4" t="s">
        <v>5</v>
      </c>
      <c r="AV26" s="4" t="s">
        <v>5</v>
      </c>
      <c r="AW26" s="4" t="s">
        <v>5</v>
      </c>
      <c r="AX26" s="4" t="s">
        <v>5</v>
      </c>
      <c r="AY26" s="4" t="s">
        <v>5</v>
      </c>
      <c r="AZ26" s="4" t="s">
        <v>5</v>
      </c>
      <c r="BA26" s="4" t="s">
        <v>5</v>
      </c>
      <c r="BB26" s="4" t="s">
        <v>5</v>
      </c>
      <c r="BC26" s="4" t="s">
        <v>5</v>
      </c>
      <c r="BD26" s="4" t="s">
        <v>5</v>
      </c>
      <c r="BE26" s="4" t="s">
        <v>5</v>
      </c>
      <c r="BF26" s="4" t="s">
        <v>5</v>
      </c>
      <c r="BG26" s="4" t="s">
        <v>5</v>
      </c>
      <c r="BH26" s="4" t="s">
        <v>5</v>
      </c>
      <c r="BI26" s="4" t="s">
        <v>5</v>
      </c>
      <c r="BJ26" s="4" t="s">
        <v>5</v>
      </c>
      <c r="BK26" s="4" t="s">
        <v>5</v>
      </c>
      <c r="BL26" s="4" t="s">
        <v>5</v>
      </c>
      <c r="BM26" s="4" t="s">
        <v>5</v>
      </c>
      <c r="BN26" s="4" t="s">
        <v>5</v>
      </c>
      <c r="BO26" s="4" t="s">
        <v>5</v>
      </c>
      <c r="BP26" s="4" t="s">
        <v>5</v>
      </c>
      <c r="BQ26" s="4" t="s">
        <v>5</v>
      </c>
      <c r="BR26" s="4" t="s">
        <v>5</v>
      </c>
      <c r="BS26" s="4" t="s">
        <v>5</v>
      </c>
      <c r="BT26" s="4" t="s">
        <v>5</v>
      </c>
      <c r="BU26" s="4" t="s">
        <v>5</v>
      </c>
      <c r="BV26" s="4" t="s">
        <v>5</v>
      </c>
      <c r="BW26" s="4" t="s">
        <v>5</v>
      </c>
      <c r="BX26" s="4" t="s">
        <v>5</v>
      </c>
      <c r="BY26" s="4" t="s">
        <v>5</v>
      </c>
      <c r="BZ26" s="4" t="s">
        <v>5</v>
      </c>
      <c r="CA26" s="4" t="s">
        <v>5</v>
      </c>
      <c r="CB26" s="4" t="s">
        <v>5</v>
      </c>
      <c r="CC26" s="4" t="s">
        <v>5</v>
      </c>
      <c r="CD26" s="4" t="s">
        <v>5</v>
      </c>
      <c r="CE26" s="4" t="s">
        <v>5</v>
      </c>
      <c r="CF26" s="4" t="s">
        <v>5</v>
      </c>
      <c r="CG26" s="4" t="s">
        <v>5</v>
      </c>
      <c r="CH26" s="4" t="s">
        <v>5</v>
      </c>
      <c r="CI26" s="4" t="s">
        <v>5</v>
      </c>
      <c r="CJ26" s="4" t="s">
        <v>5</v>
      </c>
      <c r="CK26" s="4" t="s">
        <v>5</v>
      </c>
      <c r="CL26" s="4" t="s">
        <v>5</v>
      </c>
      <c r="CM26" s="4" t="s">
        <v>5</v>
      </c>
      <c r="CN26" s="4" t="s">
        <v>5</v>
      </c>
      <c r="CO26" s="4" t="s">
        <v>5</v>
      </c>
      <c r="CP26" s="4" t="s">
        <v>5</v>
      </c>
      <c r="CQ26" s="4" t="s">
        <v>5</v>
      </c>
      <c r="CR26" s="4" t="s">
        <v>5</v>
      </c>
      <c r="CS26" s="4" t="s">
        <v>5</v>
      </c>
      <c r="CT26" s="4" t="s">
        <v>5</v>
      </c>
      <c r="CU26" s="4" t="s">
        <v>5</v>
      </c>
      <c r="CV26" s="4" t="s">
        <v>5</v>
      </c>
      <c r="CW26" s="4" t="s">
        <v>5</v>
      </c>
      <c r="CY26" s="4" t="s">
        <v>5</v>
      </c>
      <c r="CZ26" s="4" t="s">
        <v>5</v>
      </c>
      <c r="DC26" s="4" t="s">
        <v>5</v>
      </c>
      <c r="DD26" s="4" t="s">
        <v>5</v>
      </c>
      <c r="DE26" s="4" t="s">
        <v>5</v>
      </c>
      <c r="DF26" s="4" t="s">
        <v>5</v>
      </c>
      <c r="DG26" s="4" t="s">
        <v>5</v>
      </c>
      <c r="DH26" s="4" t="s">
        <v>5</v>
      </c>
      <c r="DI26" s="4" t="s">
        <v>5</v>
      </c>
      <c r="DL26" s="4" t="s">
        <v>5</v>
      </c>
      <c r="DM26" s="4" t="s">
        <v>5</v>
      </c>
      <c r="DP26" s="4" t="s">
        <v>5</v>
      </c>
      <c r="DQ26" s="4" t="s">
        <v>5</v>
      </c>
      <c r="DR26" s="4" t="s">
        <v>5</v>
      </c>
      <c r="DS26" s="4" t="s">
        <v>5</v>
      </c>
      <c r="DT26" s="4" t="s">
        <v>5</v>
      </c>
      <c r="DU26" s="4" t="s">
        <v>5</v>
      </c>
    </row>
    <row r="27" spans="1:125" x14ac:dyDescent="0.25">
      <c r="A27" s="13" t="str">
        <f>IF(AND($E27="",MAX($A$8:$A26)=0),"",IF(AND($E27&lt;&gt;"",MAX($A$8:$A26)=0),1,IF(AND($E27&lt;&gt;"",MAX($A$8:$A26)&gt;0),MAX($A$8:$A26)+1,"")))</f>
        <v/>
      </c>
      <c r="B27" s="11">
        <v>20</v>
      </c>
      <c r="C27" s="19" t="str">
        <f t="shared" si="0"/>
        <v>EMPTY</v>
      </c>
      <c r="D27" s="3" t="str">
        <f>IF(C27="SHOW",CONCATENATE(Temp!T23,Temp!U23,",",Temp!V23,",",Temp!W23,Temp!X23),"")</f>
        <v/>
      </c>
      <c r="E27" s="7"/>
      <c r="F27" s="8" t="str">
        <f t="shared" si="1"/>
        <v/>
      </c>
      <c r="I27" s="4" t="s">
        <v>5</v>
      </c>
      <c r="J27" s="4" t="s">
        <v>5</v>
      </c>
      <c r="K27" s="4" t="s">
        <v>5</v>
      </c>
      <c r="L27" s="4" t="s">
        <v>5</v>
      </c>
      <c r="M27" s="4" t="s">
        <v>5</v>
      </c>
      <c r="N27" s="4" t="s">
        <v>5</v>
      </c>
      <c r="O27" s="4" t="s">
        <v>5</v>
      </c>
      <c r="P27" s="4" t="s">
        <v>5</v>
      </c>
      <c r="Q27" s="4" t="s">
        <v>5</v>
      </c>
      <c r="R27" s="4" t="s">
        <v>5</v>
      </c>
      <c r="S27" s="4" t="s">
        <v>5</v>
      </c>
      <c r="T27" s="4" t="s">
        <v>5</v>
      </c>
      <c r="U27" s="4" t="s">
        <v>5</v>
      </c>
      <c r="V27" s="4" t="s">
        <v>5</v>
      </c>
      <c r="W27" s="4" t="s">
        <v>5</v>
      </c>
      <c r="X27" s="4" t="s">
        <v>5</v>
      </c>
      <c r="Y27" s="4" t="s">
        <v>5</v>
      </c>
      <c r="Z27" s="4" t="s">
        <v>5</v>
      </c>
      <c r="AA27" s="4" t="s">
        <v>5</v>
      </c>
      <c r="AB27" s="4" t="s">
        <v>5</v>
      </c>
      <c r="AC27" s="4" t="s">
        <v>5</v>
      </c>
      <c r="AD27" s="4" t="s">
        <v>5</v>
      </c>
      <c r="AE27" s="4" t="s">
        <v>5</v>
      </c>
      <c r="AF27" s="4" t="s">
        <v>5</v>
      </c>
      <c r="AG27" s="4" t="s">
        <v>5</v>
      </c>
      <c r="AH27" s="4" t="s">
        <v>5</v>
      </c>
      <c r="AI27" s="4" t="s">
        <v>5</v>
      </c>
      <c r="AJ27" s="4" t="s">
        <v>5</v>
      </c>
      <c r="AK27" s="4" t="s">
        <v>5</v>
      </c>
      <c r="AL27" s="4" t="s">
        <v>5</v>
      </c>
      <c r="AM27" s="4" t="s">
        <v>5</v>
      </c>
      <c r="AN27" s="4" t="s">
        <v>5</v>
      </c>
      <c r="AO27" s="4" t="s">
        <v>5</v>
      </c>
      <c r="AP27" s="4" t="s">
        <v>5</v>
      </c>
      <c r="AQ27" s="4" t="s">
        <v>5</v>
      </c>
      <c r="AR27" s="4" t="s">
        <v>5</v>
      </c>
      <c r="AS27" s="4" t="s">
        <v>5</v>
      </c>
      <c r="AT27" s="4" t="s">
        <v>5</v>
      </c>
      <c r="AU27" s="4" t="s">
        <v>5</v>
      </c>
      <c r="AV27" s="4" t="s">
        <v>5</v>
      </c>
      <c r="AW27" s="4" t="s">
        <v>5</v>
      </c>
      <c r="AX27" s="4" t="s">
        <v>5</v>
      </c>
      <c r="AY27" s="4" t="s">
        <v>5</v>
      </c>
      <c r="AZ27" s="4" t="s">
        <v>5</v>
      </c>
      <c r="BA27" s="4" t="s">
        <v>5</v>
      </c>
      <c r="BB27" s="4" t="s">
        <v>5</v>
      </c>
      <c r="BC27" s="4" t="s">
        <v>5</v>
      </c>
      <c r="BD27" s="4" t="s">
        <v>5</v>
      </c>
      <c r="BE27" s="4" t="s">
        <v>5</v>
      </c>
      <c r="BF27" s="4" t="s">
        <v>5</v>
      </c>
      <c r="BG27" s="4" t="s">
        <v>5</v>
      </c>
      <c r="BH27" s="4" t="s">
        <v>5</v>
      </c>
      <c r="BI27" s="4" t="s">
        <v>5</v>
      </c>
      <c r="BJ27" s="4" t="s">
        <v>5</v>
      </c>
      <c r="BK27" s="4" t="s">
        <v>5</v>
      </c>
      <c r="BL27" s="4" t="s">
        <v>5</v>
      </c>
      <c r="BM27" s="4" t="s">
        <v>5</v>
      </c>
      <c r="BN27" s="4" t="s">
        <v>5</v>
      </c>
      <c r="BO27" s="4" t="s">
        <v>5</v>
      </c>
      <c r="BP27" s="4" t="s">
        <v>5</v>
      </c>
      <c r="BQ27" s="4" t="s">
        <v>5</v>
      </c>
      <c r="BR27" s="4" t="s">
        <v>5</v>
      </c>
      <c r="BS27" s="4" t="s">
        <v>5</v>
      </c>
      <c r="BT27" s="4" t="s">
        <v>5</v>
      </c>
      <c r="BU27" s="4" t="s">
        <v>5</v>
      </c>
      <c r="BV27" s="4" t="s">
        <v>5</v>
      </c>
      <c r="BW27" s="4" t="s">
        <v>5</v>
      </c>
      <c r="BX27" s="4" t="s">
        <v>5</v>
      </c>
      <c r="BY27" s="4" t="s">
        <v>5</v>
      </c>
      <c r="BZ27" s="4" t="s">
        <v>5</v>
      </c>
      <c r="CA27" s="4" t="s">
        <v>5</v>
      </c>
      <c r="CB27" s="4" t="s">
        <v>5</v>
      </c>
      <c r="CC27" s="4" t="s">
        <v>5</v>
      </c>
      <c r="CD27" s="4" t="s">
        <v>5</v>
      </c>
      <c r="CE27" s="4" t="s">
        <v>5</v>
      </c>
      <c r="CF27" s="4" t="s">
        <v>5</v>
      </c>
      <c r="CG27" s="4" t="s">
        <v>5</v>
      </c>
      <c r="CH27" s="4" t="s">
        <v>5</v>
      </c>
      <c r="CI27" s="4" t="s">
        <v>5</v>
      </c>
      <c r="CJ27" s="4" t="s">
        <v>5</v>
      </c>
      <c r="CK27" s="4" t="s">
        <v>5</v>
      </c>
      <c r="CL27" s="4" t="s">
        <v>5</v>
      </c>
      <c r="CM27" s="4" t="s">
        <v>5</v>
      </c>
      <c r="CN27" s="4" t="s">
        <v>5</v>
      </c>
      <c r="CO27" s="4" t="s">
        <v>5</v>
      </c>
      <c r="CP27" s="4" t="s">
        <v>5</v>
      </c>
      <c r="CQ27" s="4" t="s">
        <v>5</v>
      </c>
      <c r="CR27" s="4" t="s">
        <v>5</v>
      </c>
      <c r="CS27" s="4" t="s">
        <v>5</v>
      </c>
      <c r="CT27" s="4" t="s">
        <v>5</v>
      </c>
      <c r="CU27" s="4" t="s">
        <v>5</v>
      </c>
      <c r="CV27" s="4" t="s">
        <v>5</v>
      </c>
      <c r="CW27" s="4" t="s">
        <v>5</v>
      </c>
      <c r="CY27" s="4" t="s">
        <v>5</v>
      </c>
      <c r="CZ27" s="4" t="s">
        <v>5</v>
      </c>
      <c r="DC27" s="4" t="s">
        <v>5</v>
      </c>
      <c r="DD27" s="4" t="s">
        <v>5</v>
      </c>
      <c r="DE27" s="4" t="s">
        <v>5</v>
      </c>
      <c r="DF27" s="4" t="s">
        <v>5</v>
      </c>
      <c r="DG27" s="4" t="s">
        <v>5</v>
      </c>
      <c r="DH27" s="4" t="s">
        <v>5</v>
      </c>
      <c r="DL27" s="4" t="s">
        <v>5</v>
      </c>
      <c r="DM27" s="4" t="s">
        <v>5</v>
      </c>
      <c r="DP27" s="4" t="s">
        <v>5</v>
      </c>
      <c r="DQ27" s="4" t="s">
        <v>5</v>
      </c>
      <c r="DS27" s="4" t="s">
        <v>5</v>
      </c>
      <c r="DT27" s="4" t="s">
        <v>5</v>
      </c>
      <c r="DU27" s="4" t="s">
        <v>5</v>
      </c>
    </row>
    <row r="28" spans="1:125" x14ac:dyDescent="0.25">
      <c r="A28" s="13" t="str">
        <f>IF(AND($E28="",MAX($A$8:$A27)=0),"",IF(AND($E28&lt;&gt;"",MAX($A$8:$A27)=0),1,IF(AND($E28&lt;&gt;"",MAX($A$8:$A27)&gt;0),MAX($A$8:$A27)+1,"")))</f>
        <v/>
      </c>
      <c r="B28" s="11">
        <v>21</v>
      </c>
      <c r="C28" s="19" t="str">
        <f t="shared" si="0"/>
        <v>EMPTY</v>
      </c>
      <c r="D28" s="3" t="str">
        <f>IF(C28="SHOW",CONCATENATE(Temp!T24,Temp!U24,",",Temp!V24,",",Temp!W24,Temp!X24),"")</f>
        <v/>
      </c>
      <c r="E28" s="7"/>
      <c r="F28" s="8" t="str">
        <f t="shared" si="1"/>
        <v/>
      </c>
      <c r="I28" s="4" t="s">
        <v>5</v>
      </c>
      <c r="J28" s="4" t="s">
        <v>5</v>
      </c>
      <c r="K28" s="4" t="s">
        <v>5</v>
      </c>
      <c r="L28" s="4" t="s">
        <v>5</v>
      </c>
      <c r="M28" s="4" t="s">
        <v>5</v>
      </c>
      <c r="N28" s="4" t="s">
        <v>5</v>
      </c>
      <c r="O28" s="4" t="s">
        <v>5</v>
      </c>
      <c r="P28" s="4" t="s">
        <v>5</v>
      </c>
      <c r="Q28" s="4" t="s">
        <v>5</v>
      </c>
      <c r="R28" s="4" t="s">
        <v>5</v>
      </c>
      <c r="S28" s="4" t="s">
        <v>5</v>
      </c>
      <c r="T28" s="4" t="s">
        <v>5</v>
      </c>
      <c r="U28" s="4" t="s">
        <v>5</v>
      </c>
      <c r="V28" s="4" t="s">
        <v>5</v>
      </c>
      <c r="W28" s="4" t="s">
        <v>5</v>
      </c>
      <c r="X28" s="4" t="s">
        <v>5</v>
      </c>
      <c r="Y28" s="4" t="s">
        <v>5</v>
      </c>
      <c r="Z28" s="4" t="s">
        <v>5</v>
      </c>
      <c r="AA28" s="4" t="s">
        <v>5</v>
      </c>
      <c r="AB28" s="4" t="s">
        <v>5</v>
      </c>
      <c r="AC28" s="4" t="s">
        <v>5</v>
      </c>
      <c r="AD28" s="4" t="s">
        <v>5</v>
      </c>
      <c r="AE28" s="4" t="s">
        <v>5</v>
      </c>
      <c r="AF28" s="4" t="s">
        <v>5</v>
      </c>
      <c r="AG28" s="4" t="s">
        <v>5</v>
      </c>
      <c r="AH28" s="4" t="s">
        <v>5</v>
      </c>
      <c r="AI28" s="4" t="s">
        <v>5</v>
      </c>
      <c r="AJ28" s="4" t="s">
        <v>5</v>
      </c>
      <c r="AK28" s="4" t="s">
        <v>5</v>
      </c>
      <c r="AL28" s="4" t="s">
        <v>5</v>
      </c>
      <c r="AM28" s="4" t="s">
        <v>5</v>
      </c>
      <c r="AN28" s="4" t="s">
        <v>5</v>
      </c>
      <c r="AO28" s="4" t="s">
        <v>5</v>
      </c>
      <c r="AP28" s="4" t="s">
        <v>5</v>
      </c>
      <c r="AQ28" s="4" t="s">
        <v>5</v>
      </c>
      <c r="AR28" s="4" t="s">
        <v>5</v>
      </c>
      <c r="AS28" s="4" t="s">
        <v>5</v>
      </c>
      <c r="AT28" s="4" t="s">
        <v>5</v>
      </c>
      <c r="AU28" s="4" t="s">
        <v>5</v>
      </c>
      <c r="AV28" s="4" t="s">
        <v>5</v>
      </c>
      <c r="AW28" s="4" t="s">
        <v>5</v>
      </c>
      <c r="AX28" s="4" t="s">
        <v>5</v>
      </c>
      <c r="AY28" s="4" t="s">
        <v>5</v>
      </c>
      <c r="AZ28" s="4" t="s">
        <v>5</v>
      </c>
      <c r="BA28" s="4" t="s">
        <v>5</v>
      </c>
      <c r="BB28" s="4" t="s">
        <v>5</v>
      </c>
      <c r="BC28" s="4" t="s">
        <v>5</v>
      </c>
      <c r="BD28" s="4" t="s">
        <v>5</v>
      </c>
      <c r="BE28" s="4" t="s">
        <v>5</v>
      </c>
      <c r="BF28" s="4" t="s">
        <v>5</v>
      </c>
      <c r="BG28" s="4" t="s">
        <v>5</v>
      </c>
      <c r="BH28" s="4" t="s">
        <v>5</v>
      </c>
      <c r="BI28" s="4" t="s">
        <v>5</v>
      </c>
      <c r="BJ28" s="4" t="s">
        <v>5</v>
      </c>
      <c r="BK28" s="4" t="s">
        <v>5</v>
      </c>
      <c r="BL28" s="4" t="s">
        <v>5</v>
      </c>
      <c r="BM28" s="4" t="s">
        <v>5</v>
      </c>
      <c r="BN28" s="4" t="s">
        <v>5</v>
      </c>
      <c r="BO28" s="4" t="s">
        <v>5</v>
      </c>
      <c r="BP28" s="4" t="s">
        <v>5</v>
      </c>
      <c r="BQ28" s="4" t="s">
        <v>5</v>
      </c>
      <c r="BR28" s="4" t="s">
        <v>5</v>
      </c>
      <c r="BS28" s="4" t="s">
        <v>5</v>
      </c>
      <c r="BT28" s="4" t="s">
        <v>5</v>
      </c>
      <c r="BU28" s="4" t="s">
        <v>5</v>
      </c>
      <c r="BV28" s="4" t="s">
        <v>5</v>
      </c>
      <c r="BW28" s="4" t="s">
        <v>5</v>
      </c>
      <c r="BX28" s="4" t="s">
        <v>5</v>
      </c>
      <c r="BY28" s="4" t="s">
        <v>5</v>
      </c>
      <c r="BZ28" s="4" t="s">
        <v>5</v>
      </c>
      <c r="CA28" s="4" t="s">
        <v>5</v>
      </c>
      <c r="CB28" s="4" t="s">
        <v>5</v>
      </c>
      <c r="CC28" s="4" t="s">
        <v>5</v>
      </c>
      <c r="CD28" s="4" t="s">
        <v>5</v>
      </c>
      <c r="CE28" s="4" t="s">
        <v>5</v>
      </c>
      <c r="CF28" s="4" t="s">
        <v>5</v>
      </c>
      <c r="CG28" s="4" t="s">
        <v>5</v>
      </c>
      <c r="CH28" s="4" t="s">
        <v>5</v>
      </c>
      <c r="CI28" s="4" t="s">
        <v>5</v>
      </c>
      <c r="CJ28" s="4" t="s">
        <v>5</v>
      </c>
      <c r="CK28" s="4" t="s">
        <v>5</v>
      </c>
      <c r="CL28" s="4" t="s">
        <v>5</v>
      </c>
      <c r="CM28" s="4" t="s">
        <v>5</v>
      </c>
      <c r="CN28" s="4" t="s">
        <v>5</v>
      </c>
      <c r="CO28" s="4" t="s">
        <v>5</v>
      </c>
      <c r="CP28" s="4" t="s">
        <v>5</v>
      </c>
      <c r="CQ28" s="4" t="s">
        <v>5</v>
      </c>
      <c r="CR28" s="4" t="s">
        <v>5</v>
      </c>
      <c r="CS28" s="4" t="s">
        <v>5</v>
      </c>
      <c r="CT28" s="4" t="s">
        <v>5</v>
      </c>
      <c r="CU28" s="4" t="s">
        <v>5</v>
      </c>
      <c r="CV28" s="4" t="s">
        <v>5</v>
      </c>
      <c r="CW28" s="4" t="s">
        <v>5</v>
      </c>
      <c r="CY28" s="4" t="s">
        <v>5</v>
      </c>
      <c r="CZ28" s="4" t="s">
        <v>5</v>
      </c>
      <c r="DC28" s="4" t="s">
        <v>5</v>
      </c>
      <c r="DD28" s="4" t="s">
        <v>5</v>
      </c>
      <c r="DE28" s="4" t="s">
        <v>5</v>
      </c>
      <c r="DF28" s="4" t="s">
        <v>5</v>
      </c>
      <c r="DG28" s="4" t="s">
        <v>5</v>
      </c>
      <c r="DH28" s="4" t="s">
        <v>5</v>
      </c>
      <c r="DL28" s="4" t="s">
        <v>5</v>
      </c>
      <c r="DM28" s="4" t="s">
        <v>5</v>
      </c>
      <c r="DP28" s="4" t="s">
        <v>5</v>
      </c>
      <c r="DQ28" s="4" t="s">
        <v>5</v>
      </c>
      <c r="DS28" s="4" t="s">
        <v>5</v>
      </c>
      <c r="DT28" s="4" t="s">
        <v>5</v>
      </c>
      <c r="DU28" s="4" t="s">
        <v>5</v>
      </c>
    </row>
    <row r="29" spans="1:125" x14ac:dyDescent="0.25">
      <c r="A29" s="13" t="str">
        <f>IF(AND($E29="",MAX($A$8:$A28)=0),"",IF(AND($E29&lt;&gt;"",MAX($A$8:$A28)=0),1,IF(AND($E29&lt;&gt;"",MAX($A$8:$A28)&gt;0),MAX($A$8:$A28)+1,"")))</f>
        <v/>
      </c>
      <c r="B29" s="11">
        <v>22</v>
      </c>
      <c r="C29" s="19" t="str">
        <f t="shared" si="0"/>
        <v>EMPTY</v>
      </c>
      <c r="D29" s="3" t="str">
        <f>IF(C29="SHOW",CONCATENATE(Temp!T25,Temp!U25,",",Temp!V25,",",Temp!W25,Temp!X25),"")</f>
        <v/>
      </c>
      <c r="E29" s="7"/>
      <c r="F29" s="8" t="str">
        <f t="shared" si="1"/>
        <v/>
      </c>
      <c r="I29" s="4" t="s">
        <v>5</v>
      </c>
      <c r="J29" s="4" t="s">
        <v>5</v>
      </c>
      <c r="K29" s="4" t="s">
        <v>5</v>
      </c>
      <c r="L29" s="4" t="s">
        <v>5</v>
      </c>
      <c r="M29" s="4" t="s">
        <v>5</v>
      </c>
      <c r="N29" s="4" t="s">
        <v>5</v>
      </c>
      <c r="O29" s="4" t="s">
        <v>5</v>
      </c>
      <c r="P29" s="4" t="s">
        <v>5</v>
      </c>
      <c r="Q29" s="4" t="s">
        <v>5</v>
      </c>
      <c r="R29" s="4" t="s">
        <v>5</v>
      </c>
      <c r="S29" s="4" t="s">
        <v>5</v>
      </c>
      <c r="T29" s="4" t="s">
        <v>5</v>
      </c>
      <c r="U29" s="4" t="s">
        <v>5</v>
      </c>
      <c r="V29" s="4" t="s">
        <v>5</v>
      </c>
      <c r="W29" s="4" t="s">
        <v>5</v>
      </c>
      <c r="X29" s="4" t="s">
        <v>5</v>
      </c>
      <c r="Y29" s="4" t="s">
        <v>5</v>
      </c>
      <c r="Z29" s="4" t="s">
        <v>5</v>
      </c>
      <c r="AA29" s="4" t="s">
        <v>5</v>
      </c>
      <c r="AB29" s="4" t="s">
        <v>5</v>
      </c>
      <c r="AC29" s="4" t="s">
        <v>5</v>
      </c>
      <c r="AD29" s="4" t="s">
        <v>5</v>
      </c>
      <c r="AE29" s="4" t="s">
        <v>5</v>
      </c>
      <c r="AF29" s="4" t="s">
        <v>5</v>
      </c>
      <c r="AG29" s="4" t="s">
        <v>5</v>
      </c>
      <c r="AH29" s="4" t="s">
        <v>5</v>
      </c>
      <c r="AI29" s="4" t="s">
        <v>5</v>
      </c>
      <c r="AJ29" s="4" t="s">
        <v>5</v>
      </c>
      <c r="AK29" s="4" t="s">
        <v>5</v>
      </c>
      <c r="AL29" s="4" t="s">
        <v>5</v>
      </c>
      <c r="AM29" s="4" t="s">
        <v>5</v>
      </c>
      <c r="AN29" s="4" t="s">
        <v>5</v>
      </c>
      <c r="AO29" s="4" t="s">
        <v>5</v>
      </c>
      <c r="AP29" s="4" t="s">
        <v>5</v>
      </c>
      <c r="AQ29" s="4" t="s">
        <v>5</v>
      </c>
      <c r="AR29" s="4" t="s">
        <v>5</v>
      </c>
      <c r="AS29" s="4" t="s">
        <v>5</v>
      </c>
      <c r="AT29" s="4" t="s">
        <v>5</v>
      </c>
      <c r="AU29" s="4" t="s">
        <v>5</v>
      </c>
      <c r="AV29" s="4" t="s">
        <v>5</v>
      </c>
      <c r="AW29" s="4" t="s">
        <v>5</v>
      </c>
      <c r="AX29" s="4" t="s">
        <v>5</v>
      </c>
      <c r="AY29" s="4" t="s">
        <v>5</v>
      </c>
      <c r="AZ29" s="4" t="s">
        <v>5</v>
      </c>
      <c r="BA29" s="4" t="s">
        <v>5</v>
      </c>
      <c r="BB29" s="4" t="s">
        <v>5</v>
      </c>
      <c r="BC29" s="4" t="s">
        <v>5</v>
      </c>
      <c r="BD29" s="4" t="s">
        <v>5</v>
      </c>
      <c r="BE29" s="4" t="s">
        <v>5</v>
      </c>
      <c r="BF29" s="4" t="s">
        <v>5</v>
      </c>
      <c r="BG29" s="4" t="s">
        <v>5</v>
      </c>
      <c r="BH29" s="4" t="s">
        <v>5</v>
      </c>
      <c r="BI29" s="4" t="s">
        <v>5</v>
      </c>
      <c r="BJ29" s="4" t="s">
        <v>5</v>
      </c>
      <c r="BK29" s="4" t="s">
        <v>5</v>
      </c>
      <c r="BL29" s="4" t="s">
        <v>5</v>
      </c>
      <c r="BM29" s="4" t="s">
        <v>5</v>
      </c>
      <c r="BN29" s="4" t="s">
        <v>5</v>
      </c>
      <c r="BO29" s="4" t="s">
        <v>5</v>
      </c>
      <c r="BP29" s="4" t="s">
        <v>5</v>
      </c>
      <c r="BQ29" s="4" t="s">
        <v>5</v>
      </c>
      <c r="BR29" s="4" t="s">
        <v>5</v>
      </c>
      <c r="BS29" s="4" t="s">
        <v>5</v>
      </c>
      <c r="BT29" s="4" t="s">
        <v>5</v>
      </c>
      <c r="BU29" s="4" t="s">
        <v>5</v>
      </c>
      <c r="BV29" s="4" t="s">
        <v>5</v>
      </c>
      <c r="BW29" s="4" t="s">
        <v>5</v>
      </c>
      <c r="BX29" s="4" t="s">
        <v>5</v>
      </c>
      <c r="BY29" s="4" t="s">
        <v>5</v>
      </c>
      <c r="BZ29" s="4" t="s">
        <v>5</v>
      </c>
      <c r="CA29" s="4" t="s">
        <v>5</v>
      </c>
      <c r="CB29" s="4" t="s">
        <v>5</v>
      </c>
      <c r="CC29" s="4" t="s">
        <v>5</v>
      </c>
      <c r="CD29" s="4" t="s">
        <v>5</v>
      </c>
      <c r="CE29" s="4" t="s">
        <v>5</v>
      </c>
      <c r="CF29" s="4" t="s">
        <v>5</v>
      </c>
      <c r="CG29" s="4" t="s">
        <v>5</v>
      </c>
      <c r="CH29" s="4" t="s">
        <v>5</v>
      </c>
      <c r="CI29" s="4" t="s">
        <v>5</v>
      </c>
      <c r="CJ29" s="4" t="s">
        <v>5</v>
      </c>
      <c r="CK29" s="4" t="s">
        <v>5</v>
      </c>
      <c r="CL29" s="4" t="s">
        <v>5</v>
      </c>
      <c r="CM29" s="4" t="s">
        <v>5</v>
      </c>
      <c r="CN29" s="4" t="s">
        <v>5</v>
      </c>
      <c r="CO29" s="4" t="s">
        <v>5</v>
      </c>
      <c r="CP29" s="4" t="s">
        <v>5</v>
      </c>
      <c r="CQ29" s="4" t="s">
        <v>5</v>
      </c>
      <c r="CR29" s="4" t="s">
        <v>5</v>
      </c>
      <c r="CS29" s="4" t="s">
        <v>5</v>
      </c>
      <c r="CT29" s="4" t="s">
        <v>5</v>
      </c>
      <c r="CU29" s="4" t="s">
        <v>5</v>
      </c>
      <c r="CV29" s="4" t="s">
        <v>5</v>
      </c>
      <c r="CW29" s="4" t="s">
        <v>5</v>
      </c>
      <c r="CY29" s="4" t="s">
        <v>5</v>
      </c>
      <c r="CZ29" s="4" t="s">
        <v>5</v>
      </c>
      <c r="DC29" s="4" t="s">
        <v>5</v>
      </c>
      <c r="DD29" s="4" t="s">
        <v>5</v>
      </c>
      <c r="DE29" s="4" t="s">
        <v>5</v>
      </c>
      <c r="DF29" s="4" t="s">
        <v>5</v>
      </c>
      <c r="DG29" s="4" t="s">
        <v>5</v>
      </c>
      <c r="DH29" s="4" t="s">
        <v>5</v>
      </c>
      <c r="DL29" s="4" t="s">
        <v>5</v>
      </c>
      <c r="DM29" s="4" t="s">
        <v>5</v>
      </c>
      <c r="DP29" s="4" t="s">
        <v>5</v>
      </c>
      <c r="DQ29" s="4" t="s">
        <v>5</v>
      </c>
      <c r="DS29" s="4" t="s">
        <v>5</v>
      </c>
      <c r="DT29" s="4" t="s">
        <v>5</v>
      </c>
      <c r="DU29" s="4" t="s">
        <v>5</v>
      </c>
    </row>
    <row r="30" spans="1:125" x14ac:dyDescent="0.25">
      <c r="A30" s="13" t="str">
        <f>IF(AND($E30="",MAX($A$8:$A29)=0),"",IF(AND($E30&lt;&gt;"",MAX($A$8:$A29)=0),1,IF(AND($E30&lt;&gt;"",MAX($A$8:$A29)&gt;0),MAX($A$8:$A29)+1,"")))</f>
        <v/>
      </c>
      <c r="B30" s="11">
        <v>23</v>
      </c>
      <c r="C30" s="19" t="str">
        <f t="shared" si="0"/>
        <v>EMPTY</v>
      </c>
      <c r="D30" s="3" t="str">
        <f>IF(C30="SHOW",CONCATENATE(Temp!T26,Temp!U26,",",Temp!V26,",",Temp!W26,Temp!X26),"")</f>
        <v/>
      </c>
      <c r="E30" s="7"/>
      <c r="F30" s="8" t="str">
        <f t="shared" si="1"/>
        <v/>
      </c>
      <c r="I30" s="4" t="s">
        <v>5</v>
      </c>
      <c r="J30" s="4" t="s">
        <v>5</v>
      </c>
      <c r="K30" s="4" t="s">
        <v>5</v>
      </c>
      <c r="L30" s="4" t="s">
        <v>5</v>
      </c>
      <c r="M30" s="4" t="s">
        <v>5</v>
      </c>
      <c r="N30" s="4" t="s">
        <v>5</v>
      </c>
      <c r="O30" s="4" t="s">
        <v>5</v>
      </c>
      <c r="P30" s="4" t="s">
        <v>5</v>
      </c>
      <c r="Q30" s="4" t="s">
        <v>5</v>
      </c>
      <c r="R30" s="4" t="s">
        <v>5</v>
      </c>
      <c r="S30" s="4" t="s">
        <v>5</v>
      </c>
      <c r="T30" s="4" t="s">
        <v>5</v>
      </c>
      <c r="U30" s="4" t="s">
        <v>5</v>
      </c>
      <c r="V30" s="4" t="s">
        <v>5</v>
      </c>
      <c r="W30" s="4" t="s">
        <v>5</v>
      </c>
      <c r="X30" s="4" t="s">
        <v>5</v>
      </c>
      <c r="Y30" s="4" t="s">
        <v>5</v>
      </c>
      <c r="Z30" s="4" t="s">
        <v>5</v>
      </c>
      <c r="AA30" s="4" t="s">
        <v>5</v>
      </c>
      <c r="AB30" s="4" t="s">
        <v>5</v>
      </c>
      <c r="AC30" s="4" t="s">
        <v>5</v>
      </c>
      <c r="AD30" s="4" t="s">
        <v>5</v>
      </c>
      <c r="AE30" s="4" t="s">
        <v>5</v>
      </c>
      <c r="AF30" s="4" t="s">
        <v>5</v>
      </c>
      <c r="AG30" s="4" t="s">
        <v>5</v>
      </c>
      <c r="AH30" s="4" t="s">
        <v>5</v>
      </c>
      <c r="AI30" s="4" t="s">
        <v>5</v>
      </c>
      <c r="AJ30" s="4" t="s">
        <v>5</v>
      </c>
      <c r="AK30" s="4" t="s">
        <v>5</v>
      </c>
      <c r="AL30" s="4" t="s">
        <v>5</v>
      </c>
      <c r="AM30" s="4" t="s">
        <v>5</v>
      </c>
      <c r="AN30" s="4" t="s">
        <v>5</v>
      </c>
      <c r="AO30" s="4" t="s">
        <v>5</v>
      </c>
      <c r="AP30" s="4" t="s">
        <v>5</v>
      </c>
      <c r="AQ30" s="4" t="s">
        <v>5</v>
      </c>
      <c r="AR30" s="4" t="s">
        <v>5</v>
      </c>
      <c r="AS30" s="4" t="s">
        <v>5</v>
      </c>
      <c r="AT30" s="4" t="s">
        <v>5</v>
      </c>
      <c r="AU30" s="4" t="s">
        <v>5</v>
      </c>
      <c r="AV30" s="4" t="s">
        <v>5</v>
      </c>
      <c r="AW30" s="4" t="s">
        <v>5</v>
      </c>
      <c r="AX30" s="4" t="s">
        <v>5</v>
      </c>
      <c r="AY30" s="4" t="s">
        <v>5</v>
      </c>
      <c r="AZ30" s="4" t="s">
        <v>5</v>
      </c>
      <c r="BA30" s="4" t="s">
        <v>5</v>
      </c>
      <c r="BB30" s="4" t="s">
        <v>5</v>
      </c>
      <c r="BC30" s="4" t="s">
        <v>5</v>
      </c>
      <c r="BD30" s="4" t="s">
        <v>5</v>
      </c>
      <c r="BE30" s="4" t="s">
        <v>5</v>
      </c>
      <c r="BF30" s="4" t="s">
        <v>5</v>
      </c>
      <c r="BG30" s="4" t="s">
        <v>5</v>
      </c>
      <c r="BH30" s="4" t="s">
        <v>5</v>
      </c>
      <c r="BI30" s="4" t="s">
        <v>5</v>
      </c>
      <c r="BJ30" s="4" t="s">
        <v>5</v>
      </c>
      <c r="BK30" s="4" t="s">
        <v>5</v>
      </c>
      <c r="BL30" s="4" t="s">
        <v>5</v>
      </c>
      <c r="BM30" s="4" t="s">
        <v>5</v>
      </c>
      <c r="BN30" s="4" t="s">
        <v>5</v>
      </c>
      <c r="BO30" s="4" t="s">
        <v>5</v>
      </c>
      <c r="BP30" s="4" t="s">
        <v>5</v>
      </c>
      <c r="BQ30" s="4" t="s">
        <v>5</v>
      </c>
      <c r="BR30" s="4" t="s">
        <v>5</v>
      </c>
      <c r="BS30" s="4" t="s">
        <v>5</v>
      </c>
      <c r="BT30" s="4" t="s">
        <v>5</v>
      </c>
      <c r="BU30" s="4" t="s">
        <v>5</v>
      </c>
      <c r="BV30" s="4" t="s">
        <v>5</v>
      </c>
      <c r="BW30" s="4" t="s">
        <v>5</v>
      </c>
      <c r="BX30" s="4" t="s">
        <v>5</v>
      </c>
      <c r="BY30" s="4" t="s">
        <v>5</v>
      </c>
      <c r="BZ30" s="4" t="s">
        <v>5</v>
      </c>
      <c r="CA30" s="4" t="s">
        <v>5</v>
      </c>
      <c r="CB30" s="4" t="s">
        <v>5</v>
      </c>
      <c r="CC30" s="4" t="s">
        <v>5</v>
      </c>
      <c r="CD30" s="4" t="s">
        <v>5</v>
      </c>
      <c r="CE30" s="4" t="s">
        <v>5</v>
      </c>
      <c r="CF30" s="4" t="s">
        <v>5</v>
      </c>
      <c r="CG30" s="4" t="s">
        <v>5</v>
      </c>
      <c r="CH30" s="4" t="s">
        <v>5</v>
      </c>
      <c r="CI30" s="4" t="s">
        <v>5</v>
      </c>
      <c r="CJ30" s="4" t="s">
        <v>5</v>
      </c>
      <c r="CK30" s="4" t="s">
        <v>5</v>
      </c>
      <c r="CL30" s="4" t="s">
        <v>5</v>
      </c>
      <c r="CM30" s="4" t="s">
        <v>5</v>
      </c>
      <c r="CN30" s="4" t="s">
        <v>5</v>
      </c>
      <c r="CO30" s="4" t="s">
        <v>5</v>
      </c>
      <c r="CP30" s="4" t="s">
        <v>5</v>
      </c>
      <c r="CQ30" s="4" t="s">
        <v>5</v>
      </c>
      <c r="CR30" s="4" t="s">
        <v>5</v>
      </c>
      <c r="CS30" s="4" t="s">
        <v>5</v>
      </c>
      <c r="CT30" s="4" t="s">
        <v>5</v>
      </c>
      <c r="CU30" s="4" t="s">
        <v>5</v>
      </c>
      <c r="CV30" s="4" t="s">
        <v>5</v>
      </c>
      <c r="CW30" s="4" t="s">
        <v>5</v>
      </c>
      <c r="CY30" s="4" t="s">
        <v>5</v>
      </c>
      <c r="CZ30" s="4" t="s">
        <v>5</v>
      </c>
      <c r="DC30" s="4" t="s">
        <v>5</v>
      </c>
      <c r="DD30" s="4" t="s">
        <v>5</v>
      </c>
      <c r="DE30" s="4" t="s">
        <v>5</v>
      </c>
      <c r="DF30" s="4" t="s">
        <v>5</v>
      </c>
      <c r="DG30" s="4" t="s">
        <v>5</v>
      </c>
      <c r="DH30" s="4" t="s">
        <v>5</v>
      </c>
      <c r="DL30" s="4" t="s">
        <v>5</v>
      </c>
      <c r="DM30" s="4" t="s">
        <v>5</v>
      </c>
      <c r="DP30" s="4" t="s">
        <v>5</v>
      </c>
      <c r="DQ30" s="4" t="s">
        <v>5</v>
      </c>
      <c r="DS30" s="4" t="s">
        <v>5</v>
      </c>
      <c r="DT30" s="4" t="s">
        <v>5</v>
      </c>
      <c r="DU30" s="4" t="s">
        <v>5</v>
      </c>
    </row>
    <row r="31" spans="1:125" x14ac:dyDescent="0.25">
      <c r="A31" s="13" t="str">
        <f>IF(AND($E31="",MAX($A$8:$A30)=0),"",IF(AND($E31&lt;&gt;"",MAX($A$8:$A30)=0),1,IF(AND($E31&lt;&gt;"",MAX($A$8:$A30)&gt;0),MAX($A$8:$A30)+1,"")))</f>
        <v/>
      </c>
      <c r="B31" s="11">
        <v>24</v>
      </c>
      <c r="C31" s="19" t="str">
        <f t="shared" si="0"/>
        <v>EMPTY</v>
      </c>
      <c r="D31" s="3" t="str">
        <f>IF(C31="SHOW",CONCATENATE(Temp!T27,Temp!U27,",",Temp!V27,",",Temp!W27,Temp!X27),"")</f>
        <v/>
      </c>
      <c r="E31" s="7"/>
      <c r="F31" s="8" t="str">
        <f t="shared" si="1"/>
        <v/>
      </c>
      <c r="I31" s="4" t="s">
        <v>5</v>
      </c>
      <c r="J31" s="4" t="s">
        <v>5</v>
      </c>
      <c r="K31" s="4" t="s">
        <v>5</v>
      </c>
      <c r="L31" s="4" t="s">
        <v>5</v>
      </c>
      <c r="M31" s="4" t="s">
        <v>5</v>
      </c>
      <c r="N31" s="4" t="s">
        <v>5</v>
      </c>
      <c r="O31" s="4" t="s">
        <v>5</v>
      </c>
      <c r="P31" s="4" t="s">
        <v>5</v>
      </c>
      <c r="Q31" s="4" t="s">
        <v>5</v>
      </c>
      <c r="R31" s="4" t="s">
        <v>5</v>
      </c>
      <c r="S31" s="4" t="s">
        <v>5</v>
      </c>
      <c r="T31" s="4" t="s">
        <v>5</v>
      </c>
      <c r="U31" s="4" t="s">
        <v>5</v>
      </c>
      <c r="V31" s="4" t="s">
        <v>5</v>
      </c>
      <c r="W31" s="4" t="s">
        <v>5</v>
      </c>
      <c r="X31" s="4" t="s">
        <v>5</v>
      </c>
      <c r="Y31" s="4" t="s">
        <v>5</v>
      </c>
      <c r="Z31" s="4" t="s">
        <v>5</v>
      </c>
      <c r="AA31" s="4" t="s">
        <v>5</v>
      </c>
      <c r="AB31" s="4" t="s">
        <v>5</v>
      </c>
      <c r="AC31" s="4" t="s">
        <v>5</v>
      </c>
      <c r="AD31" s="4" t="s">
        <v>5</v>
      </c>
      <c r="AE31" s="4" t="s">
        <v>5</v>
      </c>
      <c r="AF31" s="4" t="s">
        <v>5</v>
      </c>
      <c r="AG31" s="4" t="s">
        <v>5</v>
      </c>
      <c r="AH31" s="4" t="s">
        <v>5</v>
      </c>
      <c r="AI31" s="4" t="s">
        <v>5</v>
      </c>
      <c r="AJ31" s="4" t="s">
        <v>5</v>
      </c>
      <c r="AK31" s="4" t="s">
        <v>5</v>
      </c>
      <c r="AL31" s="4" t="s">
        <v>5</v>
      </c>
      <c r="AM31" s="4" t="s">
        <v>5</v>
      </c>
      <c r="AN31" s="4" t="s">
        <v>5</v>
      </c>
      <c r="AO31" s="4" t="s">
        <v>5</v>
      </c>
      <c r="AP31" s="4" t="s">
        <v>5</v>
      </c>
      <c r="AQ31" s="4" t="s">
        <v>5</v>
      </c>
      <c r="AR31" s="4" t="s">
        <v>5</v>
      </c>
      <c r="AS31" s="4" t="s">
        <v>5</v>
      </c>
      <c r="AT31" s="4" t="s">
        <v>5</v>
      </c>
      <c r="AU31" s="4" t="s">
        <v>5</v>
      </c>
      <c r="AV31" s="4" t="s">
        <v>5</v>
      </c>
      <c r="AW31" s="4" t="s">
        <v>5</v>
      </c>
      <c r="AX31" s="4" t="s">
        <v>5</v>
      </c>
      <c r="AY31" s="4" t="s">
        <v>5</v>
      </c>
      <c r="AZ31" s="4" t="s">
        <v>5</v>
      </c>
      <c r="BA31" s="4" t="s">
        <v>5</v>
      </c>
      <c r="BB31" s="4" t="s">
        <v>5</v>
      </c>
      <c r="BC31" s="4" t="s">
        <v>5</v>
      </c>
      <c r="BD31" s="4" t="s">
        <v>5</v>
      </c>
      <c r="BE31" s="4" t="s">
        <v>5</v>
      </c>
      <c r="BF31" s="4" t="s">
        <v>5</v>
      </c>
      <c r="BG31" s="4" t="s">
        <v>5</v>
      </c>
      <c r="BH31" s="4" t="s">
        <v>5</v>
      </c>
      <c r="BI31" s="4" t="s">
        <v>5</v>
      </c>
      <c r="BJ31" s="4" t="s">
        <v>5</v>
      </c>
      <c r="BK31" s="4" t="s">
        <v>5</v>
      </c>
      <c r="BL31" s="4" t="s">
        <v>5</v>
      </c>
      <c r="BM31" s="4" t="s">
        <v>5</v>
      </c>
      <c r="BN31" s="4" t="s">
        <v>5</v>
      </c>
      <c r="BO31" s="4" t="s">
        <v>5</v>
      </c>
      <c r="BP31" s="4" t="s">
        <v>5</v>
      </c>
      <c r="BQ31" s="4" t="s">
        <v>5</v>
      </c>
      <c r="BR31" s="4" t="s">
        <v>5</v>
      </c>
      <c r="BS31" s="4" t="s">
        <v>5</v>
      </c>
      <c r="BT31" s="4" t="s">
        <v>5</v>
      </c>
      <c r="BU31" s="4" t="s">
        <v>5</v>
      </c>
      <c r="BV31" s="4" t="s">
        <v>5</v>
      </c>
      <c r="BW31" s="4" t="s">
        <v>5</v>
      </c>
      <c r="BX31" s="4" t="s">
        <v>5</v>
      </c>
      <c r="BY31" s="4" t="s">
        <v>5</v>
      </c>
      <c r="BZ31" s="4" t="s">
        <v>5</v>
      </c>
      <c r="CA31" s="4" t="s">
        <v>5</v>
      </c>
      <c r="CB31" s="4" t="s">
        <v>5</v>
      </c>
      <c r="CC31" s="4" t="s">
        <v>5</v>
      </c>
      <c r="CD31" s="4" t="s">
        <v>5</v>
      </c>
      <c r="CE31" s="4" t="s">
        <v>5</v>
      </c>
      <c r="CF31" s="4" t="s">
        <v>5</v>
      </c>
      <c r="CG31" s="4" t="s">
        <v>5</v>
      </c>
      <c r="CH31" s="4" t="s">
        <v>5</v>
      </c>
      <c r="CI31" s="4" t="s">
        <v>5</v>
      </c>
      <c r="CJ31" s="4" t="s">
        <v>5</v>
      </c>
      <c r="CK31" s="4" t="s">
        <v>5</v>
      </c>
      <c r="CL31" s="4" t="s">
        <v>5</v>
      </c>
      <c r="CM31" s="4" t="s">
        <v>5</v>
      </c>
      <c r="CN31" s="4" t="s">
        <v>5</v>
      </c>
      <c r="CO31" s="4" t="s">
        <v>5</v>
      </c>
      <c r="CP31" s="4" t="s">
        <v>5</v>
      </c>
      <c r="CQ31" s="4" t="s">
        <v>5</v>
      </c>
      <c r="CR31" s="4" t="s">
        <v>5</v>
      </c>
      <c r="CS31" s="4" t="s">
        <v>5</v>
      </c>
      <c r="CT31" s="4" t="s">
        <v>5</v>
      </c>
      <c r="CU31" s="4" t="s">
        <v>5</v>
      </c>
      <c r="CV31" s="4" t="s">
        <v>5</v>
      </c>
      <c r="CW31" s="4" t="s">
        <v>5</v>
      </c>
      <c r="CY31" s="4" t="s">
        <v>5</v>
      </c>
      <c r="CZ31" s="4" t="s">
        <v>5</v>
      </c>
      <c r="DC31" s="4" t="s">
        <v>5</v>
      </c>
      <c r="DD31" s="4" t="s">
        <v>5</v>
      </c>
      <c r="DE31" s="4" t="s">
        <v>5</v>
      </c>
      <c r="DF31" s="4" t="s">
        <v>5</v>
      </c>
      <c r="DG31" s="4" t="s">
        <v>5</v>
      </c>
      <c r="DH31" s="4" t="s">
        <v>5</v>
      </c>
      <c r="DP31" s="4" t="s">
        <v>5</v>
      </c>
      <c r="DQ31" s="4" t="s">
        <v>5</v>
      </c>
      <c r="DS31" s="4" t="s">
        <v>5</v>
      </c>
      <c r="DT31" s="4" t="s">
        <v>5</v>
      </c>
      <c r="DU31" s="4" t="s">
        <v>5</v>
      </c>
    </row>
    <row r="32" spans="1:125" x14ac:dyDescent="0.25">
      <c r="A32" s="13" t="str">
        <f>IF(AND($E32="",MAX($A$8:$A31)=0),"",IF(AND($E32&lt;&gt;"",MAX($A$8:$A31)=0),1,IF(AND($E32&lt;&gt;"",MAX($A$8:$A31)&gt;0),MAX($A$8:$A31)+1,"")))</f>
        <v/>
      </c>
      <c r="B32" s="11">
        <v>25</v>
      </c>
      <c r="C32" s="19" t="str">
        <f t="shared" si="0"/>
        <v>EMPTY</v>
      </c>
      <c r="D32" s="3" t="str">
        <f>IF(C32="SHOW",CONCATENATE(Temp!T28,Temp!U28,",",Temp!V28,",",Temp!W28,Temp!X28),"")</f>
        <v/>
      </c>
      <c r="E32" s="7"/>
      <c r="F32" s="8" t="str">
        <f t="shared" si="1"/>
        <v/>
      </c>
      <c r="I32" s="4" t="s">
        <v>5</v>
      </c>
      <c r="J32" s="4" t="s">
        <v>5</v>
      </c>
      <c r="K32" s="4" t="s">
        <v>5</v>
      </c>
      <c r="L32" s="4" t="s">
        <v>5</v>
      </c>
      <c r="M32" s="4" t="s">
        <v>5</v>
      </c>
      <c r="N32" s="4" t="s">
        <v>5</v>
      </c>
      <c r="O32" s="4" t="s">
        <v>5</v>
      </c>
      <c r="P32" s="4" t="s">
        <v>5</v>
      </c>
      <c r="Q32" s="4" t="s">
        <v>5</v>
      </c>
      <c r="R32" s="4" t="s">
        <v>5</v>
      </c>
      <c r="S32" s="4" t="s">
        <v>5</v>
      </c>
      <c r="T32" s="4" t="s">
        <v>5</v>
      </c>
      <c r="U32" s="4" t="s">
        <v>5</v>
      </c>
      <c r="V32" s="4" t="s">
        <v>5</v>
      </c>
      <c r="W32" s="4" t="s">
        <v>5</v>
      </c>
      <c r="X32" s="4" t="s">
        <v>5</v>
      </c>
      <c r="Y32" s="4" t="s">
        <v>5</v>
      </c>
      <c r="Z32" s="4" t="s">
        <v>5</v>
      </c>
      <c r="AA32" s="4" t="s">
        <v>5</v>
      </c>
      <c r="AB32" s="4" t="s">
        <v>5</v>
      </c>
      <c r="AC32" s="4" t="s">
        <v>5</v>
      </c>
      <c r="AD32" s="4" t="s">
        <v>5</v>
      </c>
      <c r="AE32" s="4" t="s">
        <v>5</v>
      </c>
      <c r="AF32" s="4" t="s">
        <v>5</v>
      </c>
      <c r="AG32" s="4" t="s">
        <v>5</v>
      </c>
      <c r="AH32" s="4" t="s">
        <v>5</v>
      </c>
      <c r="AI32" s="4" t="s">
        <v>5</v>
      </c>
      <c r="AJ32" s="4" t="s">
        <v>5</v>
      </c>
      <c r="AK32" s="4" t="s">
        <v>5</v>
      </c>
      <c r="AL32" s="4" t="s">
        <v>5</v>
      </c>
      <c r="AM32" s="4" t="s">
        <v>5</v>
      </c>
      <c r="AN32" s="4" t="s">
        <v>5</v>
      </c>
      <c r="AO32" s="4" t="s">
        <v>5</v>
      </c>
      <c r="AP32" s="4" t="s">
        <v>5</v>
      </c>
      <c r="AQ32" s="4" t="s">
        <v>5</v>
      </c>
      <c r="AR32" s="4" t="s">
        <v>5</v>
      </c>
      <c r="AS32" s="4" t="s">
        <v>5</v>
      </c>
      <c r="AT32" s="4" t="s">
        <v>5</v>
      </c>
      <c r="AU32" s="4" t="s">
        <v>5</v>
      </c>
      <c r="AV32" s="4" t="s">
        <v>5</v>
      </c>
      <c r="AW32" s="4" t="s">
        <v>5</v>
      </c>
      <c r="AX32" s="4" t="s">
        <v>5</v>
      </c>
      <c r="AY32" s="4" t="s">
        <v>5</v>
      </c>
      <c r="AZ32" s="4" t="s">
        <v>5</v>
      </c>
      <c r="BA32" s="4" t="s">
        <v>5</v>
      </c>
      <c r="BB32" s="4" t="s">
        <v>5</v>
      </c>
      <c r="BC32" s="4" t="s">
        <v>5</v>
      </c>
      <c r="BD32" s="4" t="s">
        <v>5</v>
      </c>
      <c r="BE32" s="4" t="s">
        <v>5</v>
      </c>
      <c r="BF32" s="4" t="s">
        <v>5</v>
      </c>
      <c r="BG32" s="4" t="s">
        <v>5</v>
      </c>
      <c r="BH32" s="4" t="s">
        <v>5</v>
      </c>
      <c r="BI32" s="4" t="s">
        <v>5</v>
      </c>
      <c r="BJ32" s="4" t="s">
        <v>5</v>
      </c>
      <c r="BK32" s="4" t="s">
        <v>5</v>
      </c>
      <c r="BL32" s="4" t="s">
        <v>5</v>
      </c>
      <c r="BM32" s="4" t="s">
        <v>5</v>
      </c>
      <c r="BN32" s="4" t="s">
        <v>5</v>
      </c>
      <c r="BO32" s="4" t="s">
        <v>5</v>
      </c>
      <c r="BP32" s="4" t="s">
        <v>5</v>
      </c>
      <c r="BQ32" s="4" t="s">
        <v>5</v>
      </c>
      <c r="BR32" s="4" t="s">
        <v>5</v>
      </c>
      <c r="BS32" s="4" t="s">
        <v>5</v>
      </c>
      <c r="BT32" s="4" t="s">
        <v>5</v>
      </c>
      <c r="BU32" s="4" t="s">
        <v>5</v>
      </c>
      <c r="BV32" s="4" t="s">
        <v>5</v>
      </c>
      <c r="BW32" s="4" t="s">
        <v>5</v>
      </c>
      <c r="BX32" s="4" t="s">
        <v>5</v>
      </c>
      <c r="BY32" s="4" t="s">
        <v>5</v>
      </c>
      <c r="BZ32" s="4" t="s">
        <v>5</v>
      </c>
      <c r="CA32" s="4" t="s">
        <v>5</v>
      </c>
      <c r="CB32" s="4" t="s">
        <v>5</v>
      </c>
      <c r="CC32" s="4" t="s">
        <v>5</v>
      </c>
      <c r="CD32" s="4" t="s">
        <v>5</v>
      </c>
      <c r="CE32" s="4" t="s">
        <v>5</v>
      </c>
      <c r="CF32" s="4" t="s">
        <v>5</v>
      </c>
      <c r="CG32" s="4" t="s">
        <v>5</v>
      </c>
      <c r="CH32" s="4" t="s">
        <v>5</v>
      </c>
      <c r="CI32" s="4" t="s">
        <v>5</v>
      </c>
      <c r="CJ32" s="4" t="s">
        <v>5</v>
      </c>
      <c r="CK32" s="4" t="s">
        <v>5</v>
      </c>
      <c r="CL32" s="4" t="s">
        <v>5</v>
      </c>
      <c r="CM32" s="4" t="s">
        <v>5</v>
      </c>
      <c r="CN32" s="4" t="s">
        <v>5</v>
      </c>
      <c r="CO32" s="4" t="s">
        <v>5</v>
      </c>
      <c r="CP32" s="4" t="s">
        <v>5</v>
      </c>
      <c r="CQ32" s="4" t="s">
        <v>5</v>
      </c>
      <c r="CR32" s="4" t="s">
        <v>5</v>
      </c>
      <c r="CS32" s="4" t="s">
        <v>5</v>
      </c>
      <c r="CT32" s="4" t="s">
        <v>5</v>
      </c>
      <c r="CU32" s="4" t="s">
        <v>5</v>
      </c>
      <c r="CV32" s="4" t="s">
        <v>5</v>
      </c>
      <c r="CW32" s="4" t="s">
        <v>5</v>
      </c>
      <c r="CY32" s="4" t="s">
        <v>5</v>
      </c>
      <c r="CZ32" s="4" t="s">
        <v>5</v>
      </c>
      <c r="DC32" s="4" t="s">
        <v>5</v>
      </c>
      <c r="DD32" s="4" t="s">
        <v>5</v>
      </c>
      <c r="DE32" s="4" t="s">
        <v>5</v>
      </c>
      <c r="DF32" s="4" t="s">
        <v>5</v>
      </c>
      <c r="DG32" s="4" t="s">
        <v>5</v>
      </c>
      <c r="DH32" s="4" t="s">
        <v>5</v>
      </c>
      <c r="DP32" s="4" t="s">
        <v>5</v>
      </c>
      <c r="DQ32" s="4" t="s">
        <v>5</v>
      </c>
      <c r="DS32" s="4" t="s">
        <v>5</v>
      </c>
      <c r="DT32" s="4" t="s">
        <v>5</v>
      </c>
      <c r="DU32" s="4" t="s">
        <v>5</v>
      </c>
    </row>
    <row r="33" spans="1:125" x14ac:dyDescent="0.25">
      <c r="A33" s="13" t="str">
        <f>IF(AND($E33="",MAX($A$8:$A32)=0),"",IF(AND($E33&lt;&gt;"",MAX($A$8:$A32)=0),1,IF(AND($E33&lt;&gt;"",MAX($A$8:$A32)&gt;0),MAX($A$8:$A32)+1,"")))</f>
        <v/>
      </c>
      <c r="B33" s="11">
        <v>26</v>
      </c>
      <c r="C33" s="19" t="str">
        <f t="shared" si="0"/>
        <v>EMPTY</v>
      </c>
      <c r="D33" s="3" t="str">
        <f>IF(C33="SHOW",CONCATENATE(Temp!T29,Temp!U29,",",Temp!V29,",",Temp!W29,Temp!X29),"")</f>
        <v/>
      </c>
      <c r="E33" s="7"/>
      <c r="F33" s="8" t="str">
        <f t="shared" si="1"/>
        <v/>
      </c>
      <c r="I33" s="4" t="s">
        <v>5</v>
      </c>
      <c r="J33" s="4" t="s">
        <v>5</v>
      </c>
      <c r="K33" s="4" t="s">
        <v>5</v>
      </c>
      <c r="L33" s="4" t="s">
        <v>5</v>
      </c>
      <c r="M33" s="4" t="s">
        <v>5</v>
      </c>
      <c r="N33" s="4" t="s">
        <v>5</v>
      </c>
      <c r="O33" s="4" t="s">
        <v>5</v>
      </c>
      <c r="P33" s="4" t="s">
        <v>5</v>
      </c>
      <c r="Q33" s="4" t="s">
        <v>5</v>
      </c>
      <c r="R33" s="4" t="s">
        <v>5</v>
      </c>
      <c r="S33" s="4" t="s">
        <v>5</v>
      </c>
      <c r="T33" s="4" t="s">
        <v>5</v>
      </c>
      <c r="U33" s="4" t="s">
        <v>5</v>
      </c>
      <c r="V33" s="4" t="s">
        <v>5</v>
      </c>
      <c r="W33" s="4" t="s">
        <v>5</v>
      </c>
      <c r="X33" s="4" t="s">
        <v>5</v>
      </c>
      <c r="Y33" s="4" t="s">
        <v>5</v>
      </c>
      <c r="Z33" s="4" t="s">
        <v>5</v>
      </c>
      <c r="AA33" s="4" t="s">
        <v>5</v>
      </c>
      <c r="AB33" s="4" t="s">
        <v>5</v>
      </c>
      <c r="AC33" s="4" t="s">
        <v>5</v>
      </c>
      <c r="AD33" s="4" t="s">
        <v>5</v>
      </c>
      <c r="AE33" s="4" t="s">
        <v>5</v>
      </c>
      <c r="AF33" s="4" t="s">
        <v>5</v>
      </c>
      <c r="AG33" s="4" t="s">
        <v>5</v>
      </c>
      <c r="AH33" s="4" t="s">
        <v>5</v>
      </c>
      <c r="AI33" s="4" t="s">
        <v>5</v>
      </c>
      <c r="AJ33" s="4" t="s">
        <v>5</v>
      </c>
      <c r="AK33" s="4" t="s">
        <v>5</v>
      </c>
      <c r="AL33" s="4" t="s">
        <v>5</v>
      </c>
      <c r="AM33" s="4" t="s">
        <v>5</v>
      </c>
      <c r="AN33" s="4" t="s">
        <v>5</v>
      </c>
      <c r="AO33" s="4" t="s">
        <v>5</v>
      </c>
      <c r="AP33" s="4" t="s">
        <v>5</v>
      </c>
      <c r="AQ33" s="4" t="s">
        <v>5</v>
      </c>
      <c r="AR33" s="4" t="s">
        <v>5</v>
      </c>
      <c r="AS33" s="4" t="s">
        <v>5</v>
      </c>
      <c r="AT33" s="4" t="s">
        <v>5</v>
      </c>
      <c r="AU33" s="4" t="s">
        <v>5</v>
      </c>
      <c r="AV33" s="4" t="s">
        <v>5</v>
      </c>
      <c r="AW33" s="4" t="s">
        <v>5</v>
      </c>
      <c r="AX33" s="4" t="s">
        <v>5</v>
      </c>
      <c r="AY33" s="4" t="s">
        <v>5</v>
      </c>
      <c r="AZ33" s="4" t="s">
        <v>5</v>
      </c>
      <c r="BA33" s="4" t="s">
        <v>5</v>
      </c>
      <c r="BB33" s="4" t="s">
        <v>5</v>
      </c>
      <c r="BC33" s="4" t="s">
        <v>5</v>
      </c>
      <c r="BD33" s="4" t="s">
        <v>5</v>
      </c>
      <c r="BE33" s="4" t="s">
        <v>5</v>
      </c>
      <c r="BF33" s="4" t="s">
        <v>5</v>
      </c>
      <c r="BG33" s="4" t="s">
        <v>5</v>
      </c>
      <c r="BH33" s="4" t="s">
        <v>5</v>
      </c>
      <c r="BI33" s="4" t="s">
        <v>5</v>
      </c>
      <c r="BJ33" s="4" t="s">
        <v>5</v>
      </c>
      <c r="BK33" s="4" t="s">
        <v>5</v>
      </c>
      <c r="BL33" s="4" t="s">
        <v>5</v>
      </c>
      <c r="BM33" s="4" t="s">
        <v>5</v>
      </c>
      <c r="BN33" s="4" t="s">
        <v>5</v>
      </c>
      <c r="BO33" s="4" t="s">
        <v>5</v>
      </c>
      <c r="BP33" s="4" t="s">
        <v>5</v>
      </c>
      <c r="BQ33" s="4" t="s">
        <v>5</v>
      </c>
      <c r="BR33" s="4" t="s">
        <v>5</v>
      </c>
      <c r="BS33" s="4" t="s">
        <v>5</v>
      </c>
      <c r="BT33" s="4" t="s">
        <v>5</v>
      </c>
      <c r="BU33" s="4" t="s">
        <v>5</v>
      </c>
      <c r="BV33" s="4" t="s">
        <v>5</v>
      </c>
      <c r="BW33" s="4" t="s">
        <v>5</v>
      </c>
      <c r="BX33" s="4" t="s">
        <v>5</v>
      </c>
      <c r="BY33" s="4" t="s">
        <v>5</v>
      </c>
      <c r="BZ33" s="4" t="s">
        <v>5</v>
      </c>
      <c r="CA33" s="4" t="s">
        <v>5</v>
      </c>
      <c r="CB33" s="4" t="s">
        <v>5</v>
      </c>
      <c r="CC33" s="4" t="s">
        <v>5</v>
      </c>
      <c r="CD33" s="4" t="s">
        <v>5</v>
      </c>
      <c r="CE33" s="4" t="s">
        <v>5</v>
      </c>
      <c r="CF33" s="4" t="s">
        <v>5</v>
      </c>
      <c r="CG33" s="4" t="s">
        <v>5</v>
      </c>
      <c r="CH33" s="4" t="s">
        <v>5</v>
      </c>
      <c r="CI33" s="4" t="s">
        <v>5</v>
      </c>
      <c r="CJ33" s="4" t="s">
        <v>5</v>
      </c>
      <c r="CK33" s="4" t="s">
        <v>5</v>
      </c>
      <c r="CL33" s="4" t="s">
        <v>5</v>
      </c>
      <c r="CM33" s="4" t="s">
        <v>5</v>
      </c>
      <c r="CN33" s="4" t="s">
        <v>5</v>
      </c>
      <c r="CO33" s="4" t="s">
        <v>5</v>
      </c>
      <c r="CP33" s="4" t="s">
        <v>5</v>
      </c>
      <c r="CQ33" s="4" t="s">
        <v>5</v>
      </c>
      <c r="CR33" s="4" t="s">
        <v>5</v>
      </c>
      <c r="CS33" s="4" t="s">
        <v>5</v>
      </c>
      <c r="CT33" s="4" t="s">
        <v>5</v>
      </c>
      <c r="CU33" s="4" t="s">
        <v>5</v>
      </c>
      <c r="CV33" s="4" t="s">
        <v>5</v>
      </c>
      <c r="CW33" s="4" t="s">
        <v>5</v>
      </c>
      <c r="CY33" s="4" t="s">
        <v>5</v>
      </c>
      <c r="CZ33" s="4" t="s">
        <v>5</v>
      </c>
      <c r="DC33" s="4" t="s">
        <v>5</v>
      </c>
      <c r="DD33" s="4" t="s">
        <v>5</v>
      </c>
      <c r="DE33" s="4" t="s">
        <v>5</v>
      </c>
      <c r="DF33" s="4" t="s">
        <v>5</v>
      </c>
      <c r="DG33" s="4" t="s">
        <v>5</v>
      </c>
      <c r="DH33" s="4" t="s">
        <v>5</v>
      </c>
      <c r="DP33" s="4" t="s">
        <v>5</v>
      </c>
      <c r="DQ33" s="4" t="s">
        <v>5</v>
      </c>
      <c r="DT33" s="4" t="s">
        <v>5</v>
      </c>
      <c r="DU33" s="4" t="s">
        <v>5</v>
      </c>
    </row>
    <row r="34" spans="1:125" x14ac:dyDescent="0.25">
      <c r="A34" s="13" t="str">
        <f>IF(AND($E34="",MAX($A$8:$A33)=0),"",IF(AND($E34&lt;&gt;"",MAX($A$8:$A33)=0),1,IF(AND($E34&lt;&gt;"",MAX($A$8:$A33)&gt;0),MAX($A$8:$A33)+1,"")))</f>
        <v/>
      </c>
      <c r="B34" s="11">
        <v>27</v>
      </c>
      <c r="C34" s="19" t="str">
        <f t="shared" si="0"/>
        <v>EMPTY</v>
      </c>
      <c r="D34" s="3" t="str">
        <f>IF(C34="SHOW",CONCATENATE(Temp!T30,Temp!U30,",",Temp!V30,",",Temp!W30,Temp!X30),"")</f>
        <v/>
      </c>
      <c r="E34" s="7"/>
      <c r="F34" s="8" t="str">
        <f t="shared" si="1"/>
        <v/>
      </c>
      <c r="I34" s="4" t="s">
        <v>5</v>
      </c>
      <c r="J34" s="4" t="s">
        <v>5</v>
      </c>
      <c r="K34" s="4" t="s">
        <v>5</v>
      </c>
      <c r="L34" s="4" t="s">
        <v>5</v>
      </c>
      <c r="M34" s="4" t="s">
        <v>5</v>
      </c>
      <c r="N34" s="4" t="s">
        <v>5</v>
      </c>
      <c r="O34" s="4" t="s">
        <v>5</v>
      </c>
      <c r="P34" s="4" t="s">
        <v>5</v>
      </c>
      <c r="Q34" s="4" t="s">
        <v>5</v>
      </c>
      <c r="R34" s="4" t="s">
        <v>5</v>
      </c>
      <c r="S34" s="4" t="s">
        <v>5</v>
      </c>
      <c r="T34" s="4" t="s">
        <v>5</v>
      </c>
      <c r="U34" s="4" t="s">
        <v>5</v>
      </c>
      <c r="V34" s="4" t="s">
        <v>5</v>
      </c>
      <c r="W34" s="4" t="s">
        <v>5</v>
      </c>
      <c r="X34" s="4" t="s">
        <v>5</v>
      </c>
      <c r="Y34" s="4" t="s">
        <v>5</v>
      </c>
      <c r="Z34" s="4" t="s">
        <v>5</v>
      </c>
      <c r="AA34" s="4" t="s">
        <v>5</v>
      </c>
      <c r="AB34" s="4" t="s">
        <v>5</v>
      </c>
      <c r="AC34" s="4" t="s">
        <v>5</v>
      </c>
      <c r="AD34" s="4" t="s">
        <v>5</v>
      </c>
      <c r="AE34" s="4" t="s">
        <v>5</v>
      </c>
      <c r="AF34" s="4" t="s">
        <v>5</v>
      </c>
      <c r="AG34" s="4" t="s">
        <v>5</v>
      </c>
      <c r="AH34" s="4" t="s">
        <v>5</v>
      </c>
      <c r="AI34" s="4" t="s">
        <v>5</v>
      </c>
      <c r="AJ34" s="4" t="s">
        <v>5</v>
      </c>
      <c r="AK34" s="4" t="s">
        <v>5</v>
      </c>
      <c r="AL34" s="4" t="s">
        <v>5</v>
      </c>
      <c r="AM34" s="4" t="s">
        <v>5</v>
      </c>
      <c r="AN34" s="4" t="s">
        <v>5</v>
      </c>
      <c r="AO34" s="4" t="s">
        <v>5</v>
      </c>
      <c r="AP34" s="4" t="s">
        <v>5</v>
      </c>
      <c r="AQ34" s="4" t="s">
        <v>5</v>
      </c>
      <c r="AR34" s="4" t="s">
        <v>5</v>
      </c>
      <c r="AS34" s="4" t="s">
        <v>5</v>
      </c>
      <c r="AT34" s="4" t="s">
        <v>5</v>
      </c>
      <c r="AU34" s="4" t="s">
        <v>5</v>
      </c>
      <c r="AV34" s="4" t="s">
        <v>5</v>
      </c>
      <c r="AW34" s="4" t="s">
        <v>5</v>
      </c>
      <c r="AX34" s="4" t="s">
        <v>5</v>
      </c>
      <c r="AY34" s="4" t="s">
        <v>5</v>
      </c>
      <c r="AZ34" s="4" t="s">
        <v>5</v>
      </c>
      <c r="BA34" s="4" t="s">
        <v>5</v>
      </c>
      <c r="BB34" s="4" t="s">
        <v>5</v>
      </c>
      <c r="BC34" s="4" t="s">
        <v>5</v>
      </c>
      <c r="BD34" s="4" t="s">
        <v>5</v>
      </c>
      <c r="BE34" s="4" t="s">
        <v>5</v>
      </c>
      <c r="BF34" s="4" t="s">
        <v>5</v>
      </c>
      <c r="BG34" s="4" t="s">
        <v>5</v>
      </c>
      <c r="BH34" s="4" t="s">
        <v>5</v>
      </c>
      <c r="BI34" s="4" t="s">
        <v>5</v>
      </c>
      <c r="BJ34" s="4" t="s">
        <v>5</v>
      </c>
      <c r="BK34" s="4" t="s">
        <v>5</v>
      </c>
      <c r="BL34" s="4" t="s">
        <v>5</v>
      </c>
      <c r="BM34" s="4" t="s">
        <v>5</v>
      </c>
      <c r="BN34" s="4" t="s">
        <v>5</v>
      </c>
      <c r="BO34" s="4" t="s">
        <v>5</v>
      </c>
      <c r="BP34" s="4" t="s">
        <v>5</v>
      </c>
      <c r="BQ34" s="4" t="s">
        <v>5</v>
      </c>
      <c r="BR34" s="4" t="s">
        <v>5</v>
      </c>
      <c r="BS34" s="4" t="s">
        <v>5</v>
      </c>
      <c r="BT34" s="4" t="s">
        <v>5</v>
      </c>
      <c r="BU34" s="4" t="s">
        <v>5</v>
      </c>
      <c r="BV34" s="4" t="s">
        <v>5</v>
      </c>
      <c r="BW34" s="4" t="s">
        <v>5</v>
      </c>
      <c r="BX34" s="4" t="s">
        <v>5</v>
      </c>
      <c r="BY34" s="4" t="s">
        <v>5</v>
      </c>
      <c r="BZ34" s="4" t="s">
        <v>5</v>
      </c>
      <c r="CA34" s="4" t="s">
        <v>5</v>
      </c>
      <c r="CB34" s="4" t="s">
        <v>5</v>
      </c>
      <c r="CC34" s="4" t="s">
        <v>5</v>
      </c>
      <c r="CD34" s="4" t="s">
        <v>5</v>
      </c>
      <c r="CE34" s="4" t="s">
        <v>5</v>
      </c>
      <c r="CF34" s="4" t="s">
        <v>5</v>
      </c>
      <c r="CG34" s="4" t="s">
        <v>5</v>
      </c>
      <c r="CH34" s="4" t="s">
        <v>5</v>
      </c>
      <c r="CI34" s="4" t="s">
        <v>5</v>
      </c>
      <c r="CJ34" s="4" t="s">
        <v>5</v>
      </c>
      <c r="CK34" s="4" t="s">
        <v>5</v>
      </c>
      <c r="CL34" s="4" t="s">
        <v>5</v>
      </c>
      <c r="CN34" s="4" t="s">
        <v>5</v>
      </c>
      <c r="CO34" s="4" t="s">
        <v>5</v>
      </c>
      <c r="CP34" s="4" t="s">
        <v>5</v>
      </c>
      <c r="CQ34" s="4" t="s">
        <v>5</v>
      </c>
      <c r="CR34" s="4" t="s">
        <v>5</v>
      </c>
      <c r="CS34" s="4" t="s">
        <v>5</v>
      </c>
      <c r="CT34" s="4" t="s">
        <v>5</v>
      </c>
      <c r="CU34" s="4" t="s">
        <v>5</v>
      </c>
      <c r="CV34" s="4" t="s">
        <v>5</v>
      </c>
      <c r="CW34" s="4" t="s">
        <v>5</v>
      </c>
      <c r="CY34" s="4" t="s">
        <v>5</v>
      </c>
      <c r="CZ34" s="4" t="s">
        <v>5</v>
      </c>
      <c r="DC34" s="4" t="s">
        <v>5</v>
      </c>
      <c r="DD34" s="4" t="s">
        <v>5</v>
      </c>
      <c r="DE34" s="4" t="s">
        <v>5</v>
      </c>
      <c r="DF34" s="4" t="s">
        <v>5</v>
      </c>
      <c r="DG34" s="4" t="s">
        <v>5</v>
      </c>
      <c r="DH34" s="4" t="s">
        <v>5</v>
      </c>
      <c r="DP34" s="4" t="s">
        <v>5</v>
      </c>
      <c r="DQ34" s="4" t="s">
        <v>5</v>
      </c>
      <c r="DT34" s="4" t="s">
        <v>5</v>
      </c>
      <c r="DU34" s="4" t="s">
        <v>5</v>
      </c>
    </row>
    <row r="35" spans="1:125" x14ac:dyDescent="0.25">
      <c r="A35" s="13" t="str">
        <f>IF(AND($E35="",MAX($A$8:$A34)=0),"",IF(AND($E35&lt;&gt;"",MAX($A$8:$A34)=0),1,IF(AND($E35&lt;&gt;"",MAX($A$8:$A34)&gt;0),MAX($A$8:$A34)+1,"")))</f>
        <v/>
      </c>
      <c r="B35" s="11">
        <v>28</v>
      </c>
      <c r="C35" s="19" t="str">
        <f t="shared" si="0"/>
        <v>EMPTY</v>
      </c>
      <c r="D35" s="3" t="str">
        <f>IF(C35="SHOW",CONCATENATE(Temp!T31,Temp!U31,",",Temp!V31,",",Temp!W31,Temp!X31),"")</f>
        <v/>
      </c>
      <c r="E35" s="7"/>
      <c r="F35" s="8" t="str">
        <f t="shared" si="1"/>
        <v/>
      </c>
      <c r="I35" s="4" t="s">
        <v>5</v>
      </c>
      <c r="J35" s="4" t="s">
        <v>5</v>
      </c>
      <c r="K35" s="4" t="s">
        <v>5</v>
      </c>
      <c r="L35" s="4" t="s">
        <v>5</v>
      </c>
      <c r="M35" s="4" t="s">
        <v>5</v>
      </c>
      <c r="N35" s="4" t="s">
        <v>5</v>
      </c>
      <c r="O35" s="4" t="s">
        <v>5</v>
      </c>
      <c r="P35" s="4" t="s">
        <v>5</v>
      </c>
      <c r="Q35" s="4" t="s">
        <v>5</v>
      </c>
      <c r="R35" s="4" t="s">
        <v>5</v>
      </c>
      <c r="S35" s="4" t="s">
        <v>5</v>
      </c>
      <c r="T35" s="4" t="s">
        <v>5</v>
      </c>
      <c r="U35" s="4" t="s">
        <v>5</v>
      </c>
      <c r="V35" s="4" t="s">
        <v>5</v>
      </c>
      <c r="W35" s="4" t="s">
        <v>5</v>
      </c>
      <c r="X35" s="4" t="s">
        <v>5</v>
      </c>
      <c r="Y35" s="4" t="s">
        <v>5</v>
      </c>
      <c r="Z35" s="4" t="s">
        <v>5</v>
      </c>
      <c r="AA35" s="4" t="s">
        <v>5</v>
      </c>
      <c r="AB35" s="4" t="s">
        <v>5</v>
      </c>
      <c r="AC35" s="4" t="s">
        <v>5</v>
      </c>
      <c r="AD35" s="4" t="s">
        <v>5</v>
      </c>
      <c r="AE35" s="4" t="s">
        <v>5</v>
      </c>
      <c r="AF35" s="4" t="s">
        <v>5</v>
      </c>
      <c r="AG35" s="4" t="s">
        <v>5</v>
      </c>
      <c r="AH35" s="4" t="s">
        <v>5</v>
      </c>
      <c r="AI35" s="4" t="s">
        <v>5</v>
      </c>
      <c r="AJ35" s="4" t="s">
        <v>5</v>
      </c>
      <c r="AK35" s="4" t="s">
        <v>5</v>
      </c>
      <c r="AL35" s="4" t="s">
        <v>5</v>
      </c>
      <c r="AM35" s="4" t="s">
        <v>5</v>
      </c>
      <c r="AN35" s="4" t="s">
        <v>5</v>
      </c>
      <c r="AO35" s="4" t="s">
        <v>5</v>
      </c>
      <c r="AP35" s="4" t="s">
        <v>5</v>
      </c>
      <c r="AQ35" s="4" t="s">
        <v>5</v>
      </c>
      <c r="AR35" s="4" t="s">
        <v>5</v>
      </c>
      <c r="AS35" s="4" t="s">
        <v>5</v>
      </c>
      <c r="AT35" s="4" t="s">
        <v>5</v>
      </c>
      <c r="AU35" s="4" t="s">
        <v>5</v>
      </c>
      <c r="AV35" s="4" t="s">
        <v>5</v>
      </c>
      <c r="AW35" s="4" t="s">
        <v>5</v>
      </c>
      <c r="AX35" s="4" t="s">
        <v>5</v>
      </c>
      <c r="AY35" s="4" t="s">
        <v>5</v>
      </c>
      <c r="AZ35" s="4" t="s">
        <v>5</v>
      </c>
      <c r="BA35" s="4" t="s">
        <v>5</v>
      </c>
      <c r="BB35" s="4" t="s">
        <v>5</v>
      </c>
      <c r="BC35" s="4" t="s">
        <v>5</v>
      </c>
      <c r="BD35" s="4" t="s">
        <v>5</v>
      </c>
      <c r="BE35" s="4" t="s">
        <v>5</v>
      </c>
      <c r="BF35" s="4" t="s">
        <v>5</v>
      </c>
      <c r="BG35" s="4" t="s">
        <v>5</v>
      </c>
      <c r="BH35" s="4" t="s">
        <v>5</v>
      </c>
      <c r="BI35" s="4" t="s">
        <v>5</v>
      </c>
      <c r="BJ35" s="4" t="s">
        <v>5</v>
      </c>
      <c r="BK35" s="4" t="s">
        <v>5</v>
      </c>
      <c r="BL35" s="4" t="s">
        <v>5</v>
      </c>
      <c r="BM35" s="4" t="s">
        <v>5</v>
      </c>
      <c r="BN35" s="4" t="s">
        <v>5</v>
      </c>
      <c r="BO35" s="4" t="s">
        <v>5</v>
      </c>
      <c r="BP35" s="4" t="s">
        <v>5</v>
      </c>
      <c r="BQ35" s="4" t="s">
        <v>5</v>
      </c>
      <c r="BR35" s="4" t="s">
        <v>5</v>
      </c>
      <c r="BS35" s="4" t="s">
        <v>5</v>
      </c>
      <c r="BT35" s="4" t="s">
        <v>5</v>
      </c>
      <c r="BU35" s="4" t="s">
        <v>5</v>
      </c>
      <c r="BV35" s="4" t="s">
        <v>5</v>
      </c>
      <c r="BW35" s="4" t="s">
        <v>5</v>
      </c>
      <c r="BX35" s="4" t="s">
        <v>5</v>
      </c>
      <c r="BY35" s="4" t="s">
        <v>5</v>
      </c>
      <c r="BZ35" s="4" t="s">
        <v>5</v>
      </c>
      <c r="CA35" s="4" t="s">
        <v>5</v>
      </c>
      <c r="CB35" s="4" t="s">
        <v>5</v>
      </c>
      <c r="CC35" s="4" t="s">
        <v>5</v>
      </c>
      <c r="CD35" s="4" t="s">
        <v>5</v>
      </c>
      <c r="CE35" s="4" t="s">
        <v>5</v>
      </c>
      <c r="CF35" s="4" t="s">
        <v>5</v>
      </c>
      <c r="CG35" s="4" t="s">
        <v>5</v>
      </c>
      <c r="CH35" s="4" t="s">
        <v>5</v>
      </c>
      <c r="CI35" s="4" t="s">
        <v>5</v>
      </c>
      <c r="CJ35" s="4" t="s">
        <v>5</v>
      </c>
      <c r="CK35" s="4" t="s">
        <v>5</v>
      </c>
      <c r="CL35" s="4" t="s">
        <v>5</v>
      </c>
      <c r="CN35" s="4" t="s">
        <v>5</v>
      </c>
      <c r="CO35" s="4" t="s">
        <v>5</v>
      </c>
      <c r="CP35" s="4" t="s">
        <v>5</v>
      </c>
      <c r="CQ35" s="4" t="s">
        <v>5</v>
      </c>
      <c r="CR35" s="4" t="s">
        <v>5</v>
      </c>
      <c r="CS35" s="4" t="s">
        <v>5</v>
      </c>
      <c r="CT35" s="4" t="s">
        <v>5</v>
      </c>
      <c r="CU35" s="4" t="s">
        <v>5</v>
      </c>
      <c r="CV35" s="4" t="s">
        <v>5</v>
      </c>
      <c r="CW35" s="4" t="s">
        <v>5</v>
      </c>
      <c r="CY35" s="4" t="s">
        <v>5</v>
      </c>
      <c r="CZ35" s="4" t="s">
        <v>5</v>
      </c>
      <c r="DC35" s="4" t="s">
        <v>5</v>
      </c>
      <c r="DD35" s="4" t="s">
        <v>5</v>
      </c>
      <c r="DE35" s="4" t="s">
        <v>5</v>
      </c>
      <c r="DF35" s="4" t="s">
        <v>5</v>
      </c>
      <c r="DG35" s="4" t="s">
        <v>5</v>
      </c>
      <c r="DH35" s="4" t="s">
        <v>5</v>
      </c>
      <c r="DP35" s="4" t="s">
        <v>5</v>
      </c>
      <c r="DQ35" s="4" t="s">
        <v>5</v>
      </c>
      <c r="DT35" s="4" t="s">
        <v>5</v>
      </c>
      <c r="DU35" s="4" t="s">
        <v>5</v>
      </c>
    </row>
    <row r="36" spans="1:125" x14ac:dyDescent="0.25">
      <c r="A36" s="13" t="str">
        <f>IF(AND($E36="",MAX($A$8:$A35)=0),"",IF(AND($E36&lt;&gt;"",MAX($A$8:$A35)=0),1,IF(AND($E36&lt;&gt;"",MAX($A$8:$A35)&gt;0),MAX($A$8:$A35)+1,"")))</f>
        <v/>
      </c>
      <c r="B36" s="11">
        <v>29</v>
      </c>
      <c r="C36" s="19" t="str">
        <f t="shared" si="0"/>
        <v>EMPTY</v>
      </c>
      <c r="D36" s="3" t="str">
        <f>IF(C36="SHOW",CONCATENATE(Temp!T32,Temp!U32,",",Temp!V32,",",Temp!W32,Temp!X32),"")</f>
        <v/>
      </c>
      <c r="E36" s="7"/>
      <c r="F36" s="8" t="str">
        <f t="shared" si="1"/>
        <v/>
      </c>
      <c r="I36" s="4" t="s">
        <v>5</v>
      </c>
      <c r="J36" s="4" t="s">
        <v>5</v>
      </c>
      <c r="K36" s="4" t="s">
        <v>5</v>
      </c>
      <c r="L36" s="4" t="s">
        <v>5</v>
      </c>
      <c r="M36" s="4" t="s">
        <v>5</v>
      </c>
      <c r="N36" s="4" t="s">
        <v>5</v>
      </c>
      <c r="O36" s="4" t="s">
        <v>5</v>
      </c>
      <c r="P36" s="4" t="s">
        <v>5</v>
      </c>
      <c r="Q36" s="4" t="s">
        <v>5</v>
      </c>
      <c r="R36" s="4" t="s">
        <v>5</v>
      </c>
      <c r="S36" s="4" t="s">
        <v>5</v>
      </c>
      <c r="T36" s="4" t="s">
        <v>5</v>
      </c>
      <c r="U36" s="4" t="s">
        <v>5</v>
      </c>
      <c r="V36" s="4" t="s">
        <v>5</v>
      </c>
      <c r="W36" s="4" t="s">
        <v>5</v>
      </c>
      <c r="X36" s="4" t="s">
        <v>5</v>
      </c>
      <c r="Y36" s="4" t="s">
        <v>5</v>
      </c>
      <c r="Z36" s="4" t="s">
        <v>5</v>
      </c>
      <c r="AA36" s="4" t="s">
        <v>5</v>
      </c>
      <c r="AB36" s="4" t="s">
        <v>5</v>
      </c>
      <c r="AC36" s="4" t="s">
        <v>5</v>
      </c>
      <c r="AD36" s="4" t="s">
        <v>5</v>
      </c>
      <c r="AE36" s="4" t="s">
        <v>5</v>
      </c>
      <c r="AF36" s="4" t="s">
        <v>5</v>
      </c>
      <c r="AG36" s="4" t="s">
        <v>5</v>
      </c>
      <c r="AH36" s="4" t="s">
        <v>5</v>
      </c>
      <c r="AI36" s="4" t="s">
        <v>5</v>
      </c>
      <c r="AJ36" s="4" t="s">
        <v>5</v>
      </c>
      <c r="AK36" s="4" t="s">
        <v>5</v>
      </c>
      <c r="AL36" s="4" t="s">
        <v>5</v>
      </c>
      <c r="AM36" s="4" t="s">
        <v>5</v>
      </c>
      <c r="AN36" s="4" t="s">
        <v>5</v>
      </c>
      <c r="AO36" s="4" t="s">
        <v>5</v>
      </c>
      <c r="AP36" s="4" t="s">
        <v>5</v>
      </c>
      <c r="AQ36" s="4" t="s">
        <v>5</v>
      </c>
      <c r="AR36" s="4" t="s">
        <v>5</v>
      </c>
      <c r="AS36" s="4" t="s">
        <v>5</v>
      </c>
      <c r="AT36" s="4" t="s">
        <v>5</v>
      </c>
      <c r="AU36" s="4" t="s">
        <v>5</v>
      </c>
      <c r="AV36" s="4" t="s">
        <v>5</v>
      </c>
      <c r="AW36" s="4" t="s">
        <v>5</v>
      </c>
      <c r="AX36" s="4" t="s">
        <v>5</v>
      </c>
      <c r="AY36" s="4" t="s">
        <v>5</v>
      </c>
      <c r="AZ36" s="4" t="s">
        <v>5</v>
      </c>
      <c r="BA36" s="4" t="s">
        <v>5</v>
      </c>
      <c r="BB36" s="4" t="s">
        <v>5</v>
      </c>
      <c r="BC36" s="4" t="s">
        <v>5</v>
      </c>
      <c r="BD36" s="4" t="s">
        <v>5</v>
      </c>
      <c r="BE36" s="4" t="s">
        <v>5</v>
      </c>
      <c r="BF36" s="4" t="s">
        <v>5</v>
      </c>
      <c r="BG36" s="4" t="s">
        <v>5</v>
      </c>
      <c r="BH36" s="4" t="s">
        <v>5</v>
      </c>
      <c r="BI36" s="4" t="s">
        <v>5</v>
      </c>
      <c r="BJ36" s="4" t="s">
        <v>5</v>
      </c>
      <c r="BK36" s="4" t="s">
        <v>5</v>
      </c>
      <c r="BL36" s="4" t="s">
        <v>5</v>
      </c>
      <c r="BM36" s="4" t="s">
        <v>5</v>
      </c>
      <c r="BN36" s="4" t="s">
        <v>5</v>
      </c>
      <c r="BO36" s="4" t="s">
        <v>5</v>
      </c>
      <c r="BP36" s="4" t="s">
        <v>5</v>
      </c>
      <c r="BQ36" s="4" t="s">
        <v>5</v>
      </c>
      <c r="BR36" s="4" t="s">
        <v>5</v>
      </c>
      <c r="BS36" s="4" t="s">
        <v>5</v>
      </c>
      <c r="BT36" s="4" t="s">
        <v>5</v>
      </c>
      <c r="BU36" s="4" t="s">
        <v>5</v>
      </c>
      <c r="BV36" s="4" t="s">
        <v>5</v>
      </c>
      <c r="BW36" s="4" t="s">
        <v>5</v>
      </c>
      <c r="BX36" s="4" t="s">
        <v>5</v>
      </c>
      <c r="BY36" s="4" t="s">
        <v>5</v>
      </c>
      <c r="BZ36" s="4" t="s">
        <v>5</v>
      </c>
      <c r="CA36" s="4" t="s">
        <v>5</v>
      </c>
      <c r="CB36" s="4" t="s">
        <v>5</v>
      </c>
      <c r="CC36" s="4" t="s">
        <v>5</v>
      </c>
      <c r="CD36" s="4" t="s">
        <v>5</v>
      </c>
      <c r="CE36" s="4" t="s">
        <v>5</v>
      </c>
      <c r="CF36" s="4" t="s">
        <v>5</v>
      </c>
      <c r="CG36" s="4" t="s">
        <v>5</v>
      </c>
      <c r="CH36" s="4" t="s">
        <v>5</v>
      </c>
      <c r="CI36" s="4" t="s">
        <v>5</v>
      </c>
      <c r="CJ36" s="4" t="s">
        <v>5</v>
      </c>
      <c r="CK36" s="4" t="s">
        <v>5</v>
      </c>
      <c r="CL36" s="4" t="s">
        <v>5</v>
      </c>
      <c r="CN36" s="4" t="s">
        <v>5</v>
      </c>
      <c r="CO36" s="4" t="s">
        <v>5</v>
      </c>
      <c r="CP36" s="4" t="s">
        <v>5</v>
      </c>
      <c r="CQ36" s="4" t="s">
        <v>5</v>
      </c>
      <c r="CR36" s="4" t="s">
        <v>5</v>
      </c>
      <c r="CS36" s="4" t="s">
        <v>5</v>
      </c>
      <c r="CT36" s="4" t="s">
        <v>5</v>
      </c>
      <c r="CU36" s="4" t="s">
        <v>5</v>
      </c>
      <c r="CV36" s="4" t="s">
        <v>5</v>
      </c>
      <c r="CW36" s="4" t="s">
        <v>5</v>
      </c>
      <c r="CY36" s="4" t="s">
        <v>5</v>
      </c>
      <c r="CZ36" s="4" t="s">
        <v>5</v>
      </c>
      <c r="DC36" s="4" t="s">
        <v>5</v>
      </c>
      <c r="DD36" s="4" t="s">
        <v>5</v>
      </c>
      <c r="DE36" s="4" t="s">
        <v>5</v>
      </c>
      <c r="DF36" s="4" t="s">
        <v>5</v>
      </c>
      <c r="DG36" s="4" t="s">
        <v>5</v>
      </c>
      <c r="DH36" s="4" t="s">
        <v>5</v>
      </c>
      <c r="DP36" s="4" t="s">
        <v>5</v>
      </c>
      <c r="DQ36" s="4" t="s">
        <v>5</v>
      </c>
      <c r="DT36" s="4" t="s">
        <v>5</v>
      </c>
      <c r="DU36" s="4" t="s">
        <v>5</v>
      </c>
    </row>
    <row r="37" spans="1:125" x14ac:dyDescent="0.25">
      <c r="A37" s="13" t="str">
        <f>IF(AND($E37="",MAX($A$8:$A36)=0),"",IF(AND($E37&lt;&gt;"",MAX($A$8:$A36)=0),1,IF(AND($E37&lt;&gt;"",MAX($A$8:$A36)&gt;0),MAX($A$8:$A36)+1,"")))</f>
        <v/>
      </c>
      <c r="B37" s="11">
        <v>30</v>
      </c>
      <c r="C37" s="19" t="str">
        <f t="shared" si="0"/>
        <v>EMPTY</v>
      </c>
      <c r="D37" s="3" t="str">
        <f>IF(C37="SHOW",CONCATENATE(Temp!T33,Temp!U33,",",Temp!V33,",",Temp!W33,Temp!X33),"")</f>
        <v/>
      </c>
      <c r="E37" s="7"/>
      <c r="F37" s="8" t="str">
        <f t="shared" si="1"/>
        <v/>
      </c>
      <c r="I37" s="4" t="s">
        <v>5</v>
      </c>
      <c r="J37" s="4" t="s">
        <v>5</v>
      </c>
      <c r="K37" s="4" t="s">
        <v>5</v>
      </c>
      <c r="L37" s="4" t="s">
        <v>5</v>
      </c>
      <c r="M37" s="4" t="s">
        <v>5</v>
      </c>
      <c r="N37" s="4" t="s">
        <v>5</v>
      </c>
      <c r="O37" s="4" t="s">
        <v>5</v>
      </c>
      <c r="P37" s="4" t="s">
        <v>5</v>
      </c>
      <c r="Q37" s="4" t="s">
        <v>5</v>
      </c>
      <c r="R37" s="4" t="s">
        <v>5</v>
      </c>
      <c r="S37" s="4" t="s">
        <v>5</v>
      </c>
      <c r="T37" s="4" t="s">
        <v>5</v>
      </c>
      <c r="U37" s="4" t="s">
        <v>5</v>
      </c>
      <c r="V37" s="4" t="s">
        <v>5</v>
      </c>
      <c r="W37" s="4" t="s">
        <v>5</v>
      </c>
      <c r="X37" s="4" t="s">
        <v>5</v>
      </c>
      <c r="Y37" s="4" t="s">
        <v>5</v>
      </c>
      <c r="Z37" s="4" t="s">
        <v>5</v>
      </c>
      <c r="AA37" s="4" t="s">
        <v>5</v>
      </c>
      <c r="AB37" s="4" t="s">
        <v>5</v>
      </c>
      <c r="AC37" s="4" t="s">
        <v>5</v>
      </c>
      <c r="AD37" s="4" t="s">
        <v>5</v>
      </c>
      <c r="AE37" s="4" t="s">
        <v>5</v>
      </c>
      <c r="AF37" s="4" t="s">
        <v>5</v>
      </c>
      <c r="AG37" s="4" t="s">
        <v>5</v>
      </c>
      <c r="AH37" s="4" t="s">
        <v>5</v>
      </c>
      <c r="AI37" s="4" t="s">
        <v>5</v>
      </c>
      <c r="AJ37" s="4" t="s">
        <v>5</v>
      </c>
      <c r="AK37" s="4" t="s">
        <v>5</v>
      </c>
      <c r="AL37" s="4" t="s">
        <v>5</v>
      </c>
      <c r="AM37" s="4" t="s">
        <v>5</v>
      </c>
      <c r="AN37" s="4" t="s">
        <v>5</v>
      </c>
      <c r="AO37" s="4" t="s">
        <v>5</v>
      </c>
      <c r="AP37" s="4" t="s">
        <v>5</v>
      </c>
      <c r="AQ37" s="4" t="s">
        <v>5</v>
      </c>
      <c r="AR37" s="4" t="s">
        <v>5</v>
      </c>
      <c r="AS37" s="4" t="s">
        <v>5</v>
      </c>
      <c r="AT37" s="4" t="s">
        <v>5</v>
      </c>
      <c r="AU37" s="4" t="s">
        <v>5</v>
      </c>
      <c r="AW37" s="4" t="s">
        <v>5</v>
      </c>
      <c r="AX37" s="4" t="s">
        <v>5</v>
      </c>
      <c r="AY37" s="4" t="s">
        <v>5</v>
      </c>
      <c r="AZ37" s="4" t="s">
        <v>5</v>
      </c>
      <c r="BA37" s="4" t="s">
        <v>5</v>
      </c>
      <c r="BB37" s="4" t="s">
        <v>5</v>
      </c>
      <c r="BC37" s="4" t="s">
        <v>5</v>
      </c>
      <c r="BD37" s="4" t="s">
        <v>5</v>
      </c>
      <c r="BE37" s="4" t="s">
        <v>5</v>
      </c>
      <c r="BF37" s="4" t="s">
        <v>5</v>
      </c>
      <c r="BG37" s="4" t="s">
        <v>5</v>
      </c>
      <c r="BH37" s="4" t="s">
        <v>5</v>
      </c>
      <c r="BI37" s="4" t="s">
        <v>5</v>
      </c>
      <c r="BJ37" s="4" t="s">
        <v>5</v>
      </c>
      <c r="BK37" s="4" t="s">
        <v>5</v>
      </c>
      <c r="BL37" s="4" t="s">
        <v>5</v>
      </c>
      <c r="BM37" s="4" t="s">
        <v>5</v>
      </c>
      <c r="BN37" s="4" t="s">
        <v>5</v>
      </c>
      <c r="BO37" s="4" t="s">
        <v>5</v>
      </c>
      <c r="BP37" s="4" t="s">
        <v>5</v>
      </c>
      <c r="BQ37" s="4" t="s">
        <v>5</v>
      </c>
      <c r="BR37" s="4" t="s">
        <v>5</v>
      </c>
      <c r="BS37" s="4" t="s">
        <v>5</v>
      </c>
      <c r="BT37" s="4" t="s">
        <v>5</v>
      </c>
      <c r="BU37" s="4" t="s">
        <v>5</v>
      </c>
      <c r="BV37" s="4" t="s">
        <v>5</v>
      </c>
      <c r="BW37" s="4" t="s">
        <v>5</v>
      </c>
      <c r="BX37" s="4" t="s">
        <v>5</v>
      </c>
      <c r="BY37" s="4" t="s">
        <v>5</v>
      </c>
      <c r="BZ37" s="4" t="s">
        <v>5</v>
      </c>
      <c r="CA37" s="4" t="s">
        <v>5</v>
      </c>
      <c r="CB37" s="4" t="s">
        <v>5</v>
      </c>
      <c r="CC37" s="4" t="s">
        <v>5</v>
      </c>
      <c r="CD37" s="4" t="s">
        <v>5</v>
      </c>
      <c r="CE37" s="4" t="s">
        <v>5</v>
      </c>
      <c r="CF37" s="4" t="s">
        <v>5</v>
      </c>
      <c r="CG37" s="4" t="s">
        <v>5</v>
      </c>
      <c r="CH37" s="4" t="s">
        <v>5</v>
      </c>
      <c r="CI37" s="4" t="s">
        <v>5</v>
      </c>
      <c r="CJ37" s="4" t="s">
        <v>5</v>
      </c>
      <c r="CK37" s="4" t="s">
        <v>5</v>
      </c>
      <c r="CL37" s="4" t="s">
        <v>5</v>
      </c>
      <c r="CN37" s="4" t="s">
        <v>5</v>
      </c>
      <c r="CO37" s="4" t="s">
        <v>5</v>
      </c>
      <c r="CP37" s="4" t="s">
        <v>5</v>
      </c>
      <c r="CQ37" s="4" t="s">
        <v>5</v>
      </c>
      <c r="CR37" s="4" t="s">
        <v>5</v>
      </c>
      <c r="CS37" s="4" t="s">
        <v>5</v>
      </c>
      <c r="CT37" s="4" t="s">
        <v>5</v>
      </c>
      <c r="CU37" s="4" t="s">
        <v>5</v>
      </c>
      <c r="CV37" s="4" t="s">
        <v>5</v>
      </c>
      <c r="CW37" s="4" t="s">
        <v>5</v>
      </c>
      <c r="CY37" s="4" t="s">
        <v>5</v>
      </c>
      <c r="CZ37" s="4" t="s">
        <v>5</v>
      </c>
      <c r="DC37" s="4" t="s">
        <v>5</v>
      </c>
      <c r="DD37" s="4" t="s">
        <v>5</v>
      </c>
      <c r="DE37" s="4" t="s">
        <v>5</v>
      </c>
      <c r="DF37" s="4" t="s">
        <v>5</v>
      </c>
      <c r="DG37" s="4" t="s">
        <v>5</v>
      </c>
      <c r="DH37" s="4" t="s">
        <v>5</v>
      </c>
      <c r="DP37" s="4" t="s">
        <v>5</v>
      </c>
      <c r="DQ37" s="4" t="s">
        <v>5</v>
      </c>
      <c r="DT37" s="4" t="s">
        <v>5</v>
      </c>
      <c r="DU37" s="4" t="s">
        <v>5</v>
      </c>
    </row>
    <row r="38" spans="1:125" x14ac:dyDescent="0.25">
      <c r="A38" s="13" t="str">
        <f>IF(AND($E38="",MAX($A$8:$A37)=0),"",IF(AND($E38&lt;&gt;"",MAX($A$8:$A37)=0),1,IF(AND($E38&lt;&gt;"",MAX($A$8:$A37)&gt;0),MAX($A$8:$A37)+1,"")))</f>
        <v/>
      </c>
      <c r="B38" s="11">
        <v>31</v>
      </c>
      <c r="C38" s="19" t="str">
        <f t="shared" si="0"/>
        <v>EMPTY</v>
      </c>
      <c r="D38" s="3" t="str">
        <f>IF(C38="SHOW",CONCATENATE(Temp!T34,Temp!U34,",",Temp!V34,",",Temp!W34,Temp!X34),"")</f>
        <v/>
      </c>
      <c r="E38" s="7"/>
      <c r="F38" s="8" t="str">
        <f t="shared" si="1"/>
        <v/>
      </c>
      <c r="I38" s="4" t="s">
        <v>5</v>
      </c>
      <c r="J38" s="4" t="s">
        <v>5</v>
      </c>
      <c r="K38" s="4" t="s">
        <v>5</v>
      </c>
      <c r="L38" s="4" t="s">
        <v>5</v>
      </c>
      <c r="M38" s="4" t="s">
        <v>5</v>
      </c>
      <c r="N38" s="4" t="s">
        <v>5</v>
      </c>
      <c r="O38" s="4" t="s">
        <v>5</v>
      </c>
      <c r="P38" s="4" t="s">
        <v>5</v>
      </c>
      <c r="Q38" s="4" t="s">
        <v>5</v>
      </c>
      <c r="R38" s="4" t="s">
        <v>5</v>
      </c>
      <c r="S38" s="4" t="s">
        <v>5</v>
      </c>
      <c r="T38" s="4" t="s">
        <v>5</v>
      </c>
      <c r="U38" s="4" t="s">
        <v>5</v>
      </c>
      <c r="V38" s="4" t="s">
        <v>5</v>
      </c>
      <c r="W38" s="4" t="s">
        <v>5</v>
      </c>
      <c r="X38" s="4" t="s">
        <v>5</v>
      </c>
      <c r="Y38" s="4" t="s">
        <v>5</v>
      </c>
      <c r="Z38" s="4" t="s">
        <v>5</v>
      </c>
      <c r="AA38" s="4" t="s">
        <v>5</v>
      </c>
      <c r="AB38" s="4" t="s">
        <v>5</v>
      </c>
      <c r="AC38" s="4" t="s">
        <v>5</v>
      </c>
      <c r="AD38" s="4" t="s">
        <v>5</v>
      </c>
      <c r="AE38" s="4" t="s">
        <v>5</v>
      </c>
      <c r="AF38" s="4" t="s">
        <v>5</v>
      </c>
      <c r="AG38" s="4" t="s">
        <v>5</v>
      </c>
      <c r="AH38" s="4" t="s">
        <v>5</v>
      </c>
      <c r="AI38" s="4" t="s">
        <v>5</v>
      </c>
      <c r="AJ38" s="4" t="s">
        <v>5</v>
      </c>
      <c r="AK38" s="4" t="s">
        <v>5</v>
      </c>
      <c r="AL38" s="4" t="s">
        <v>5</v>
      </c>
      <c r="AM38" s="4" t="s">
        <v>5</v>
      </c>
      <c r="AN38" s="4" t="s">
        <v>5</v>
      </c>
      <c r="AO38" s="4" t="s">
        <v>5</v>
      </c>
      <c r="AP38" s="4" t="s">
        <v>5</v>
      </c>
      <c r="AQ38" s="4" t="s">
        <v>5</v>
      </c>
      <c r="AR38" s="4" t="s">
        <v>5</v>
      </c>
      <c r="AS38" s="4" t="s">
        <v>5</v>
      </c>
      <c r="AT38" s="4" t="s">
        <v>5</v>
      </c>
      <c r="AU38" s="4" t="s">
        <v>5</v>
      </c>
      <c r="AW38" s="4" t="s">
        <v>5</v>
      </c>
      <c r="AX38" s="4" t="s">
        <v>5</v>
      </c>
      <c r="AY38" s="4" t="s">
        <v>5</v>
      </c>
      <c r="AZ38" s="4" t="s">
        <v>5</v>
      </c>
      <c r="BA38" s="4" t="s">
        <v>5</v>
      </c>
      <c r="BB38" s="4" t="s">
        <v>5</v>
      </c>
      <c r="BC38" s="4" t="s">
        <v>5</v>
      </c>
      <c r="BD38" s="4" t="s">
        <v>5</v>
      </c>
      <c r="BE38" s="4" t="s">
        <v>5</v>
      </c>
      <c r="BF38" s="4" t="s">
        <v>5</v>
      </c>
      <c r="BG38" s="4" t="s">
        <v>5</v>
      </c>
      <c r="BH38" s="4" t="s">
        <v>5</v>
      </c>
      <c r="BI38" s="4" t="s">
        <v>5</v>
      </c>
      <c r="BJ38" s="4" t="s">
        <v>5</v>
      </c>
      <c r="BK38" s="4" t="s">
        <v>5</v>
      </c>
      <c r="BL38" s="4" t="s">
        <v>5</v>
      </c>
      <c r="BM38" s="4" t="s">
        <v>5</v>
      </c>
      <c r="BN38" s="4" t="s">
        <v>5</v>
      </c>
      <c r="BO38" s="4" t="s">
        <v>5</v>
      </c>
      <c r="BP38" s="4" t="s">
        <v>5</v>
      </c>
      <c r="BQ38" s="4" t="s">
        <v>5</v>
      </c>
      <c r="BR38" s="4" t="s">
        <v>5</v>
      </c>
      <c r="BS38" s="4" t="s">
        <v>5</v>
      </c>
      <c r="BT38" s="4" t="s">
        <v>5</v>
      </c>
      <c r="BU38" s="4" t="s">
        <v>5</v>
      </c>
      <c r="BV38" s="4" t="s">
        <v>5</v>
      </c>
      <c r="BW38" s="4" t="s">
        <v>5</v>
      </c>
      <c r="BX38" s="4" t="s">
        <v>5</v>
      </c>
      <c r="BY38" s="4" t="s">
        <v>5</v>
      </c>
      <c r="BZ38" s="4" t="s">
        <v>5</v>
      </c>
      <c r="CA38" s="4" t="s">
        <v>5</v>
      </c>
      <c r="CB38" s="4" t="s">
        <v>5</v>
      </c>
      <c r="CC38" s="4" t="s">
        <v>5</v>
      </c>
      <c r="CD38" s="4" t="s">
        <v>5</v>
      </c>
      <c r="CE38" s="4" t="s">
        <v>5</v>
      </c>
      <c r="CF38" s="4" t="s">
        <v>5</v>
      </c>
      <c r="CG38" s="4" t="s">
        <v>5</v>
      </c>
      <c r="CH38" s="4" t="s">
        <v>5</v>
      </c>
      <c r="CI38" s="4" t="s">
        <v>5</v>
      </c>
      <c r="CJ38" s="4" t="s">
        <v>5</v>
      </c>
      <c r="CK38" s="4" t="s">
        <v>5</v>
      </c>
      <c r="CL38" s="4" t="s">
        <v>5</v>
      </c>
      <c r="CN38" s="4" t="s">
        <v>5</v>
      </c>
      <c r="CO38" s="4" t="s">
        <v>5</v>
      </c>
      <c r="CP38" s="4" t="s">
        <v>5</v>
      </c>
      <c r="CQ38" s="4" t="s">
        <v>5</v>
      </c>
      <c r="CR38" s="4" t="s">
        <v>5</v>
      </c>
      <c r="CS38" s="4" t="s">
        <v>5</v>
      </c>
      <c r="CT38" s="4" t="s">
        <v>5</v>
      </c>
      <c r="CU38" s="4" t="s">
        <v>5</v>
      </c>
      <c r="CV38" s="4" t="s">
        <v>5</v>
      </c>
      <c r="CW38" s="4" t="s">
        <v>5</v>
      </c>
      <c r="CY38" s="4" t="s">
        <v>5</v>
      </c>
      <c r="CZ38" s="4" t="s">
        <v>5</v>
      </c>
      <c r="DC38" s="4" t="s">
        <v>5</v>
      </c>
      <c r="DD38" s="4" t="s">
        <v>5</v>
      </c>
      <c r="DE38" s="4" t="s">
        <v>5</v>
      </c>
      <c r="DF38" s="4" t="s">
        <v>5</v>
      </c>
      <c r="DG38" s="4" t="s">
        <v>5</v>
      </c>
      <c r="DH38" s="4" t="s">
        <v>5</v>
      </c>
      <c r="DP38" s="4" t="s">
        <v>5</v>
      </c>
      <c r="DQ38" s="4" t="s">
        <v>5</v>
      </c>
      <c r="DT38" s="4" t="s">
        <v>5</v>
      </c>
      <c r="DU38" s="4" t="s">
        <v>5</v>
      </c>
    </row>
    <row r="39" spans="1:125" x14ac:dyDescent="0.25">
      <c r="A39" s="13" t="str">
        <f>IF(AND($E39="",MAX($A$8:$A38)=0),"",IF(AND($E39&lt;&gt;"",MAX($A$8:$A38)=0),1,IF(AND($E39&lt;&gt;"",MAX($A$8:$A38)&gt;0),MAX($A$8:$A38)+1,"")))</f>
        <v/>
      </c>
      <c r="B39" s="11">
        <v>32</v>
      </c>
      <c r="C39" s="19" t="str">
        <f t="shared" si="0"/>
        <v>EMPTY</v>
      </c>
      <c r="D39" s="3" t="str">
        <f>IF(C39="SHOW",CONCATENATE(Temp!T35,Temp!U35,",",Temp!V35,",",Temp!W35,Temp!X35),"")</f>
        <v/>
      </c>
      <c r="E39" s="7"/>
      <c r="F39" s="8" t="str">
        <f t="shared" si="1"/>
        <v/>
      </c>
      <c r="I39" s="4" t="s">
        <v>5</v>
      </c>
      <c r="J39" s="4" t="s">
        <v>5</v>
      </c>
      <c r="K39" s="4" t="s">
        <v>5</v>
      </c>
      <c r="L39" s="4" t="s">
        <v>5</v>
      </c>
      <c r="M39" s="4" t="s">
        <v>5</v>
      </c>
      <c r="N39" s="4" t="s">
        <v>5</v>
      </c>
      <c r="O39" s="4" t="s">
        <v>5</v>
      </c>
      <c r="P39" s="4" t="s">
        <v>5</v>
      </c>
      <c r="Q39" s="4" t="s">
        <v>5</v>
      </c>
      <c r="R39" s="4" t="s">
        <v>5</v>
      </c>
      <c r="S39" s="4" t="s">
        <v>5</v>
      </c>
      <c r="T39" s="4" t="s">
        <v>5</v>
      </c>
      <c r="U39" s="4" t="s">
        <v>5</v>
      </c>
      <c r="V39" s="4" t="s">
        <v>5</v>
      </c>
      <c r="W39" s="4" t="s">
        <v>5</v>
      </c>
      <c r="X39" s="4" t="s">
        <v>5</v>
      </c>
      <c r="Y39" s="4" t="s">
        <v>5</v>
      </c>
      <c r="Z39" s="4" t="s">
        <v>5</v>
      </c>
      <c r="AA39" s="4" t="s">
        <v>5</v>
      </c>
      <c r="AB39" s="4" t="s">
        <v>5</v>
      </c>
      <c r="AC39" s="4" t="s">
        <v>5</v>
      </c>
      <c r="AD39" s="4" t="s">
        <v>5</v>
      </c>
      <c r="AE39" s="4" t="s">
        <v>5</v>
      </c>
      <c r="AF39" s="4" t="s">
        <v>5</v>
      </c>
      <c r="AG39" s="4" t="s">
        <v>5</v>
      </c>
      <c r="AH39" s="4" t="s">
        <v>5</v>
      </c>
      <c r="AI39" s="4" t="s">
        <v>5</v>
      </c>
      <c r="AJ39" s="4" t="s">
        <v>5</v>
      </c>
      <c r="AK39" s="4" t="s">
        <v>5</v>
      </c>
      <c r="AL39" s="4" t="s">
        <v>5</v>
      </c>
      <c r="AM39" s="4" t="s">
        <v>5</v>
      </c>
      <c r="AN39" s="4" t="s">
        <v>5</v>
      </c>
      <c r="AO39" s="4" t="s">
        <v>5</v>
      </c>
      <c r="AP39" s="4" t="s">
        <v>5</v>
      </c>
      <c r="AQ39" s="4" t="s">
        <v>5</v>
      </c>
      <c r="AR39" s="4" t="s">
        <v>5</v>
      </c>
      <c r="AS39" s="4" t="s">
        <v>5</v>
      </c>
      <c r="AT39" s="4" t="s">
        <v>5</v>
      </c>
      <c r="AU39" s="4" t="s">
        <v>5</v>
      </c>
      <c r="AW39" s="4" t="s">
        <v>5</v>
      </c>
      <c r="AX39" s="4" t="s">
        <v>5</v>
      </c>
      <c r="AY39" s="4" t="s">
        <v>5</v>
      </c>
      <c r="AZ39" s="4" t="s">
        <v>5</v>
      </c>
      <c r="BA39" s="4" t="s">
        <v>5</v>
      </c>
      <c r="BB39" s="4" t="s">
        <v>5</v>
      </c>
      <c r="BC39" s="4" t="s">
        <v>5</v>
      </c>
      <c r="BD39" s="4" t="s">
        <v>5</v>
      </c>
      <c r="BE39" s="4" t="s">
        <v>5</v>
      </c>
      <c r="BF39" s="4" t="s">
        <v>5</v>
      </c>
      <c r="BG39" s="4" t="s">
        <v>5</v>
      </c>
      <c r="BH39" s="4" t="s">
        <v>5</v>
      </c>
      <c r="BI39" s="4" t="s">
        <v>5</v>
      </c>
      <c r="BJ39" s="4" t="s">
        <v>5</v>
      </c>
      <c r="BK39" s="4" t="s">
        <v>5</v>
      </c>
      <c r="BL39" s="4" t="s">
        <v>5</v>
      </c>
      <c r="BM39" s="4" t="s">
        <v>5</v>
      </c>
      <c r="BN39" s="4" t="s">
        <v>5</v>
      </c>
      <c r="BO39" s="4" t="s">
        <v>5</v>
      </c>
      <c r="BP39" s="4" t="s">
        <v>5</v>
      </c>
      <c r="BQ39" s="4" t="s">
        <v>5</v>
      </c>
      <c r="BR39" s="4" t="s">
        <v>5</v>
      </c>
      <c r="BS39" s="4" t="s">
        <v>5</v>
      </c>
      <c r="BT39" s="4" t="s">
        <v>5</v>
      </c>
      <c r="BU39" s="4" t="s">
        <v>5</v>
      </c>
      <c r="BV39" s="4" t="s">
        <v>5</v>
      </c>
      <c r="BW39" s="4" t="s">
        <v>5</v>
      </c>
      <c r="BX39" s="4" t="s">
        <v>5</v>
      </c>
      <c r="BY39" s="4" t="s">
        <v>5</v>
      </c>
      <c r="BZ39" s="4" t="s">
        <v>5</v>
      </c>
      <c r="CA39" s="4" t="s">
        <v>5</v>
      </c>
      <c r="CB39" s="4" t="s">
        <v>5</v>
      </c>
      <c r="CC39" s="4" t="s">
        <v>5</v>
      </c>
      <c r="CD39" s="4" t="s">
        <v>5</v>
      </c>
      <c r="CE39" s="4" t="s">
        <v>5</v>
      </c>
      <c r="CF39" s="4" t="s">
        <v>5</v>
      </c>
      <c r="CG39" s="4" t="s">
        <v>5</v>
      </c>
      <c r="CH39" s="4" t="s">
        <v>5</v>
      </c>
      <c r="CI39" s="4" t="s">
        <v>5</v>
      </c>
      <c r="CJ39" s="4" t="s">
        <v>5</v>
      </c>
      <c r="CK39" s="4" t="s">
        <v>5</v>
      </c>
      <c r="CL39" s="4" t="s">
        <v>5</v>
      </c>
      <c r="CN39" s="4" t="s">
        <v>5</v>
      </c>
      <c r="CO39" s="4" t="s">
        <v>5</v>
      </c>
      <c r="CP39" s="4" t="s">
        <v>5</v>
      </c>
      <c r="CQ39" s="4" t="s">
        <v>5</v>
      </c>
      <c r="CR39" s="4" t="s">
        <v>5</v>
      </c>
      <c r="CS39" s="4" t="s">
        <v>5</v>
      </c>
      <c r="CT39" s="4" t="s">
        <v>5</v>
      </c>
      <c r="CU39" s="4" t="s">
        <v>5</v>
      </c>
      <c r="CV39" s="4" t="s">
        <v>5</v>
      </c>
      <c r="CW39" s="4" t="s">
        <v>5</v>
      </c>
      <c r="CY39" s="4" t="s">
        <v>5</v>
      </c>
      <c r="CZ39" s="4" t="s">
        <v>5</v>
      </c>
      <c r="DC39" s="4" t="s">
        <v>5</v>
      </c>
      <c r="DD39" s="4" t="s">
        <v>5</v>
      </c>
      <c r="DE39" s="4" t="s">
        <v>5</v>
      </c>
      <c r="DF39" s="4" t="s">
        <v>5</v>
      </c>
      <c r="DG39" s="4" t="s">
        <v>5</v>
      </c>
      <c r="DH39" s="4" t="s">
        <v>5</v>
      </c>
      <c r="DP39" s="4" t="s">
        <v>5</v>
      </c>
      <c r="DQ39" s="4" t="s">
        <v>5</v>
      </c>
      <c r="DT39" s="4" t="s">
        <v>5</v>
      </c>
      <c r="DU39" s="4" t="s">
        <v>5</v>
      </c>
    </row>
    <row r="40" spans="1:125" x14ac:dyDescent="0.25">
      <c r="A40" s="13" t="str">
        <f>IF(AND($E40="",MAX($A$8:$A39)=0),"",IF(AND($E40&lt;&gt;"",MAX($A$8:$A39)=0),1,IF(AND($E40&lt;&gt;"",MAX($A$8:$A39)&gt;0),MAX($A$8:$A39)+1,"")))</f>
        <v/>
      </c>
      <c r="B40" s="11">
        <v>33</v>
      </c>
      <c r="C40" s="19" t="str">
        <f t="shared" si="0"/>
        <v>EMPTY</v>
      </c>
      <c r="D40" s="3" t="str">
        <f>IF(C40="SHOW",CONCATENATE(Temp!T36,Temp!U36,",",Temp!V36,",",Temp!W36,Temp!X36),"")</f>
        <v/>
      </c>
      <c r="E40" s="7"/>
      <c r="F40" s="8" t="str">
        <f t="shared" si="1"/>
        <v/>
      </c>
      <c r="I40" s="4" t="s">
        <v>5</v>
      </c>
      <c r="J40" s="4" t="s">
        <v>5</v>
      </c>
      <c r="K40" s="4" t="s">
        <v>5</v>
      </c>
      <c r="L40" s="4" t="s">
        <v>5</v>
      </c>
      <c r="M40" s="4" t="s">
        <v>5</v>
      </c>
      <c r="N40" s="4" t="s">
        <v>5</v>
      </c>
      <c r="O40" s="4" t="s">
        <v>5</v>
      </c>
      <c r="P40" s="4" t="s">
        <v>5</v>
      </c>
      <c r="Q40" s="4" t="s">
        <v>5</v>
      </c>
      <c r="R40" s="4" t="s">
        <v>5</v>
      </c>
      <c r="S40" s="4" t="s">
        <v>5</v>
      </c>
      <c r="T40" s="4" t="s">
        <v>5</v>
      </c>
      <c r="U40" s="4" t="s">
        <v>5</v>
      </c>
      <c r="V40" s="4" t="s">
        <v>5</v>
      </c>
      <c r="W40" s="4" t="s">
        <v>5</v>
      </c>
      <c r="X40" s="4" t="s">
        <v>5</v>
      </c>
      <c r="Y40" s="4" t="s">
        <v>5</v>
      </c>
      <c r="Z40" s="4" t="s">
        <v>5</v>
      </c>
      <c r="AA40" s="4" t="s">
        <v>5</v>
      </c>
      <c r="AB40" s="4" t="s">
        <v>5</v>
      </c>
      <c r="AC40" s="4" t="s">
        <v>5</v>
      </c>
      <c r="AD40" s="4" t="s">
        <v>5</v>
      </c>
      <c r="AE40" s="4" t="s">
        <v>5</v>
      </c>
      <c r="AF40" s="4" t="s">
        <v>5</v>
      </c>
      <c r="AG40" s="4" t="s">
        <v>5</v>
      </c>
      <c r="AH40" s="4" t="s">
        <v>5</v>
      </c>
      <c r="AI40" s="4" t="s">
        <v>5</v>
      </c>
      <c r="AJ40" s="4" t="s">
        <v>5</v>
      </c>
      <c r="AK40" s="4" t="s">
        <v>5</v>
      </c>
      <c r="AL40" s="4" t="s">
        <v>5</v>
      </c>
      <c r="AM40" s="4" t="s">
        <v>5</v>
      </c>
      <c r="AN40" s="4" t="s">
        <v>5</v>
      </c>
      <c r="AO40" s="4" t="s">
        <v>5</v>
      </c>
      <c r="AP40" s="4" t="s">
        <v>5</v>
      </c>
      <c r="AQ40" s="4" t="s">
        <v>5</v>
      </c>
      <c r="AR40" s="4" t="s">
        <v>5</v>
      </c>
      <c r="AS40" s="4" t="s">
        <v>5</v>
      </c>
      <c r="AT40" s="4" t="s">
        <v>5</v>
      </c>
      <c r="AU40" s="4" t="s">
        <v>5</v>
      </c>
      <c r="AW40" s="4" t="s">
        <v>5</v>
      </c>
      <c r="AX40" s="4" t="s">
        <v>5</v>
      </c>
      <c r="AY40" s="4" t="s">
        <v>5</v>
      </c>
      <c r="AZ40" s="4" t="s">
        <v>5</v>
      </c>
      <c r="BA40" s="4" t="s">
        <v>5</v>
      </c>
      <c r="BB40" s="4" t="s">
        <v>5</v>
      </c>
      <c r="BC40" s="4" t="s">
        <v>5</v>
      </c>
      <c r="BD40" s="4" t="s">
        <v>5</v>
      </c>
      <c r="BE40" s="4" t="s">
        <v>5</v>
      </c>
      <c r="BF40" s="4" t="s">
        <v>5</v>
      </c>
      <c r="BG40" s="4" t="s">
        <v>5</v>
      </c>
      <c r="BH40" s="4" t="s">
        <v>5</v>
      </c>
      <c r="BI40" s="4" t="s">
        <v>5</v>
      </c>
      <c r="BJ40" s="4" t="s">
        <v>5</v>
      </c>
      <c r="BK40" s="4" t="s">
        <v>5</v>
      </c>
      <c r="BL40" s="4" t="s">
        <v>5</v>
      </c>
      <c r="BM40" s="4" t="s">
        <v>5</v>
      </c>
      <c r="BN40" s="4" t="s">
        <v>5</v>
      </c>
      <c r="BO40" s="4" t="s">
        <v>5</v>
      </c>
      <c r="BP40" s="4" t="s">
        <v>5</v>
      </c>
      <c r="BQ40" s="4" t="s">
        <v>5</v>
      </c>
      <c r="BR40" s="4" t="s">
        <v>5</v>
      </c>
      <c r="BS40" s="4" t="s">
        <v>5</v>
      </c>
      <c r="BT40" s="4" t="s">
        <v>5</v>
      </c>
      <c r="BU40" s="4" t="s">
        <v>5</v>
      </c>
      <c r="BV40" s="4" t="s">
        <v>5</v>
      </c>
      <c r="BW40" s="4" t="s">
        <v>5</v>
      </c>
      <c r="BX40" s="4" t="s">
        <v>5</v>
      </c>
      <c r="BY40" s="4" t="s">
        <v>5</v>
      </c>
      <c r="BZ40" s="4" t="s">
        <v>5</v>
      </c>
      <c r="CA40" s="4" t="s">
        <v>5</v>
      </c>
      <c r="CB40" s="4" t="s">
        <v>5</v>
      </c>
      <c r="CC40" s="4" t="s">
        <v>5</v>
      </c>
      <c r="CD40" s="4" t="s">
        <v>5</v>
      </c>
      <c r="CE40" s="4" t="s">
        <v>5</v>
      </c>
      <c r="CF40" s="4" t="s">
        <v>5</v>
      </c>
      <c r="CG40" s="4" t="s">
        <v>5</v>
      </c>
      <c r="CH40" s="4" t="s">
        <v>5</v>
      </c>
      <c r="CI40" s="4" t="s">
        <v>5</v>
      </c>
      <c r="CJ40" s="4" t="s">
        <v>5</v>
      </c>
      <c r="CK40" s="4" t="s">
        <v>5</v>
      </c>
      <c r="CL40" s="4" t="s">
        <v>5</v>
      </c>
      <c r="CN40" s="4" t="s">
        <v>5</v>
      </c>
      <c r="CO40" s="4" t="s">
        <v>5</v>
      </c>
      <c r="CP40" s="4" t="s">
        <v>5</v>
      </c>
      <c r="CQ40" s="4" t="s">
        <v>5</v>
      </c>
      <c r="CR40" s="4" t="s">
        <v>5</v>
      </c>
      <c r="CS40" s="4" t="s">
        <v>5</v>
      </c>
      <c r="CT40" s="4" t="s">
        <v>5</v>
      </c>
      <c r="CU40" s="4" t="s">
        <v>5</v>
      </c>
      <c r="CV40" s="4" t="s">
        <v>5</v>
      </c>
      <c r="CW40" s="4" t="s">
        <v>5</v>
      </c>
      <c r="CY40" s="4" t="s">
        <v>5</v>
      </c>
      <c r="CZ40" s="4" t="s">
        <v>5</v>
      </c>
      <c r="DC40" s="4" t="s">
        <v>5</v>
      </c>
      <c r="DD40" s="4" t="s">
        <v>5</v>
      </c>
      <c r="DE40" s="4" t="s">
        <v>5</v>
      </c>
      <c r="DF40" s="4" t="s">
        <v>5</v>
      </c>
      <c r="DG40" s="4" t="s">
        <v>5</v>
      </c>
      <c r="DH40" s="4" t="s">
        <v>5</v>
      </c>
      <c r="DP40" s="4" t="s">
        <v>5</v>
      </c>
      <c r="DQ40" s="4" t="s">
        <v>5</v>
      </c>
      <c r="DT40" s="4" t="s">
        <v>5</v>
      </c>
      <c r="DU40" s="4" t="s">
        <v>5</v>
      </c>
    </row>
    <row r="41" spans="1:125" x14ac:dyDescent="0.25">
      <c r="A41" s="13" t="str">
        <f>IF(AND($E41="",MAX($A$8:$A40)=0),"",IF(AND($E41&lt;&gt;"",MAX($A$8:$A40)=0),1,IF(AND($E41&lt;&gt;"",MAX($A$8:$A40)&gt;0),MAX($A$8:$A40)+1,"")))</f>
        <v/>
      </c>
      <c r="B41" s="11">
        <v>34</v>
      </c>
      <c r="C41" s="19" t="str">
        <f t="shared" si="0"/>
        <v>EMPTY</v>
      </c>
      <c r="D41" s="3" t="str">
        <f>IF(C41="SHOW",CONCATENATE(Temp!T37,Temp!U37,",",Temp!V37,",",Temp!W37,Temp!X37),"")</f>
        <v/>
      </c>
      <c r="E41" s="7"/>
      <c r="F41" s="8" t="str">
        <f t="shared" si="1"/>
        <v/>
      </c>
      <c r="I41" s="4" t="s">
        <v>5</v>
      </c>
      <c r="J41" s="4" t="s">
        <v>5</v>
      </c>
      <c r="K41" s="4" t="s">
        <v>5</v>
      </c>
      <c r="L41" s="4" t="s">
        <v>5</v>
      </c>
      <c r="M41" s="4" t="s">
        <v>5</v>
      </c>
      <c r="N41" s="4" t="s">
        <v>5</v>
      </c>
      <c r="O41" s="4" t="s">
        <v>5</v>
      </c>
      <c r="P41" s="4" t="s">
        <v>5</v>
      </c>
      <c r="Q41" s="4" t="s">
        <v>5</v>
      </c>
      <c r="R41" s="4" t="s">
        <v>5</v>
      </c>
      <c r="S41" s="4" t="s">
        <v>5</v>
      </c>
      <c r="T41" s="4" t="s">
        <v>5</v>
      </c>
      <c r="U41" s="4" t="s">
        <v>5</v>
      </c>
      <c r="V41" s="4" t="s">
        <v>5</v>
      </c>
      <c r="W41" s="4" t="s">
        <v>5</v>
      </c>
      <c r="X41" s="4" t="s">
        <v>5</v>
      </c>
      <c r="Y41" s="4" t="s">
        <v>5</v>
      </c>
      <c r="Z41" s="4" t="s">
        <v>5</v>
      </c>
      <c r="AA41" s="4" t="s">
        <v>5</v>
      </c>
      <c r="AB41" s="4" t="s">
        <v>5</v>
      </c>
      <c r="AC41" s="4" t="s">
        <v>5</v>
      </c>
      <c r="AD41" s="4" t="s">
        <v>5</v>
      </c>
      <c r="AE41" s="4" t="s">
        <v>5</v>
      </c>
      <c r="AF41" s="4" t="s">
        <v>5</v>
      </c>
      <c r="AG41" s="4" t="s">
        <v>5</v>
      </c>
      <c r="AH41" s="4" t="s">
        <v>5</v>
      </c>
      <c r="AI41" s="4" t="s">
        <v>5</v>
      </c>
      <c r="AJ41" s="4" t="s">
        <v>5</v>
      </c>
      <c r="AK41" s="4" t="s">
        <v>5</v>
      </c>
      <c r="AL41" s="4" t="s">
        <v>5</v>
      </c>
      <c r="AM41" s="4" t="s">
        <v>5</v>
      </c>
      <c r="AN41" s="4" t="s">
        <v>5</v>
      </c>
      <c r="AO41" s="4" t="s">
        <v>5</v>
      </c>
      <c r="AP41" s="4" t="s">
        <v>5</v>
      </c>
      <c r="AQ41" s="4" t="s">
        <v>5</v>
      </c>
      <c r="AR41" s="4" t="s">
        <v>5</v>
      </c>
      <c r="AS41" s="4" t="s">
        <v>5</v>
      </c>
      <c r="AT41" s="4" t="s">
        <v>5</v>
      </c>
      <c r="AU41" s="4" t="s">
        <v>5</v>
      </c>
      <c r="AW41" s="4" t="s">
        <v>5</v>
      </c>
      <c r="AX41" s="4" t="s">
        <v>5</v>
      </c>
      <c r="AY41" s="4" t="s">
        <v>5</v>
      </c>
      <c r="AZ41" s="4" t="s">
        <v>5</v>
      </c>
      <c r="BA41" s="4" t="s">
        <v>5</v>
      </c>
      <c r="BB41" s="4" t="s">
        <v>5</v>
      </c>
      <c r="BC41" s="4" t="s">
        <v>5</v>
      </c>
      <c r="BD41" s="4" t="s">
        <v>5</v>
      </c>
      <c r="BE41" s="4" t="s">
        <v>5</v>
      </c>
      <c r="BF41" s="4" t="s">
        <v>5</v>
      </c>
      <c r="BG41" s="4" t="s">
        <v>5</v>
      </c>
      <c r="BH41" s="4" t="s">
        <v>5</v>
      </c>
      <c r="BI41" s="4" t="s">
        <v>5</v>
      </c>
      <c r="BJ41" s="4" t="s">
        <v>5</v>
      </c>
      <c r="BK41" s="4" t="s">
        <v>5</v>
      </c>
      <c r="BL41" s="4" t="s">
        <v>5</v>
      </c>
      <c r="BM41" s="4" t="s">
        <v>5</v>
      </c>
      <c r="BN41" s="4" t="s">
        <v>5</v>
      </c>
      <c r="BO41" s="4" t="s">
        <v>5</v>
      </c>
      <c r="BP41" s="4" t="s">
        <v>5</v>
      </c>
      <c r="BQ41" s="4" t="s">
        <v>5</v>
      </c>
      <c r="BR41" s="4" t="s">
        <v>5</v>
      </c>
      <c r="BS41" s="4" t="s">
        <v>5</v>
      </c>
      <c r="BT41" s="4" t="s">
        <v>5</v>
      </c>
      <c r="BU41" s="4" t="s">
        <v>5</v>
      </c>
      <c r="BV41" s="4" t="s">
        <v>5</v>
      </c>
      <c r="BW41" s="4" t="s">
        <v>5</v>
      </c>
      <c r="BX41" s="4" t="s">
        <v>5</v>
      </c>
      <c r="BY41" s="4" t="s">
        <v>5</v>
      </c>
      <c r="BZ41" s="4" t="s">
        <v>5</v>
      </c>
      <c r="CA41" s="4" t="s">
        <v>5</v>
      </c>
      <c r="CB41" s="4" t="s">
        <v>5</v>
      </c>
      <c r="CC41" s="4" t="s">
        <v>5</v>
      </c>
      <c r="CD41" s="4" t="s">
        <v>5</v>
      </c>
      <c r="CE41" s="4" t="s">
        <v>5</v>
      </c>
      <c r="CF41" s="4" t="s">
        <v>5</v>
      </c>
      <c r="CG41" s="4" t="s">
        <v>5</v>
      </c>
      <c r="CH41" s="4" t="s">
        <v>5</v>
      </c>
      <c r="CI41" s="4" t="s">
        <v>5</v>
      </c>
      <c r="CJ41" s="4" t="s">
        <v>5</v>
      </c>
      <c r="CK41" s="4" t="s">
        <v>5</v>
      </c>
      <c r="CL41" s="4" t="s">
        <v>5</v>
      </c>
      <c r="CN41" s="4" t="s">
        <v>5</v>
      </c>
      <c r="CO41" s="4" t="s">
        <v>5</v>
      </c>
      <c r="CP41" s="4" t="s">
        <v>5</v>
      </c>
      <c r="CQ41" s="4" t="s">
        <v>5</v>
      </c>
      <c r="CR41" s="4" t="s">
        <v>5</v>
      </c>
      <c r="CS41" s="4" t="s">
        <v>5</v>
      </c>
      <c r="CT41" s="4" t="s">
        <v>5</v>
      </c>
      <c r="CU41" s="4" t="s">
        <v>5</v>
      </c>
      <c r="CV41" s="4" t="s">
        <v>5</v>
      </c>
      <c r="CW41" s="4" t="s">
        <v>5</v>
      </c>
      <c r="CY41" s="4" t="s">
        <v>5</v>
      </c>
      <c r="CZ41" s="4" t="s">
        <v>5</v>
      </c>
      <c r="DC41" s="4" t="s">
        <v>5</v>
      </c>
      <c r="DD41" s="4" t="s">
        <v>5</v>
      </c>
      <c r="DE41" s="4" t="s">
        <v>5</v>
      </c>
      <c r="DF41" s="4" t="s">
        <v>5</v>
      </c>
      <c r="DG41" s="4" t="s">
        <v>5</v>
      </c>
      <c r="DH41" s="4" t="s">
        <v>5</v>
      </c>
      <c r="DP41" s="4" t="s">
        <v>5</v>
      </c>
      <c r="DQ41" s="4" t="s">
        <v>5</v>
      </c>
      <c r="DT41" s="4" t="s">
        <v>5</v>
      </c>
      <c r="DU41" s="4" t="s">
        <v>5</v>
      </c>
    </row>
    <row r="42" spans="1:125" x14ac:dyDescent="0.25">
      <c r="A42" s="13" t="str">
        <f>IF(AND($E42="",MAX($A$8:$A41)=0),"",IF(AND($E42&lt;&gt;"",MAX($A$8:$A41)=0),1,IF(AND($E42&lt;&gt;"",MAX($A$8:$A41)&gt;0),MAX($A$8:$A41)+1,"")))</f>
        <v/>
      </c>
      <c r="B42" s="11">
        <v>35</v>
      </c>
      <c r="C42" s="19" t="str">
        <f t="shared" si="0"/>
        <v>EMPTY</v>
      </c>
      <c r="D42" s="3" t="str">
        <f>IF(C42="SHOW",CONCATENATE(Temp!T38,Temp!U38,",",Temp!V38,",",Temp!W38,Temp!X38),"")</f>
        <v/>
      </c>
      <c r="E42" s="7"/>
      <c r="F42" s="8" t="str">
        <f t="shared" si="1"/>
        <v/>
      </c>
      <c r="I42" s="4" t="s">
        <v>5</v>
      </c>
      <c r="J42" s="4" t="s">
        <v>5</v>
      </c>
      <c r="K42" s="4" t="s">
        <v>5</v>
      </c>
      <c r="L42" s="4" t="s">
        <v>5</v>
      </c>
      <c r="M42" s="4" t="s">
        <v>5</v>
      </c>
      <c r="N42" s="4" t="s">
        <v>5</v>
      </c>
      <c r="O42" s="4" t="s">
        <v>5</v>
      </c>
      <c r="P42" s="4" t="s">
        <v>5</v>
      </c>
      <c r="Q42" s="4" t="s">
        <v>5</v>
      </c>
      <c r="R42" s="4" t="s">
        <v>5</v>
      </c>
      <c r="S42" s="4" t="s">
        <v>5</v>
      </c>
      <c r="T42" s="4" t="s">
        <v>5</v>
      </c>
      <c r="U42" s="4" t="s">
        <v>5</v>
      </c>
      <c r="V42" s="4" t="s">
        <v>5</v>
      </c>
      <c r="W42" s="4" t="s">
        <v>5</v>
      </c>
      <c r="X42" s="4" t="s">
        <v>5</v>
      </c>
      <c r="Y42" s="4" t="s">
        <v>5</v>
      </c>
      <c r="Z42" s="4" t="s">
        <v>5</v>
      </c>
      <c r="AA42" s="4" t="s">
        <v>5</v>
      </c>
      <c r="AB42" s="4" t="s">
        <v>5</v>
      </c>
      <c r="AC42" s="4" t="s">
        <v>5</v>
      </c>
      <c r="AD42" s="4" t="s">
        <v>5</v>
      </c>
      <c r="AE42" s="4" t="s">
        <v>5</v>
      </c>
      <c r="AF42" s="4" t="s">
        <v>5</v>
      </c>
      <c r="AG42" s="4" t="s">
        <v>5</v>
      </c>
      <c r="AH42" s="4" t="s">
        <v>5</v>
      </c>
      <c r="AI42" s="4" t="s">
        <v>5</v>
      </c>
      <c r="AJ42" s="4" t="s">
        <v>5</v>
      </c>
      <c r="AK42" s="4" t="s">
        <v>5</v>
      </c>
      <c r="AL42" s="4" t="s">
        <v>5</v>
      </c>
      <c r="AM42" s="4" t="s">
        <v>5</v>
      </c>
      <c r="AN42" s="4" t="s">
        <v>5</v>
      </c>
      <c r="AO42" s="4" t="s">
        <v>5</v>
      </c>
      <c r="AP42" s="4" t="s">
        <v>5</v>
      </c>
      <c r="AQ42" s="4" t="s">
        <v>5</v>
      </c>
      <c r="AR42" s="4" t="s">
        <v>5</v>
      </c>
      <c r="AS42" s="4" t="s">
        <v>5</v>
      </c>
      <c r="AT42" s="4" t="s">
        <v>5</v>
      </c>
      <c r="AU42" s="4" t="s">
        <v>5</v>
      </c>
      <c r="AW42" s="4" t="s">
        <v>5</v>
      </c>
      <c r="AX42" s="4" t="s">
        <v>5</v>
      </c>
      <c r="AY42" s="4" t="s">
        <v>5</v>
      </c>
      <c r="AZ42" s="4" t="s">
        <v>5</v>
      </c>
      <c r="BA42" s="4" t="s">
        <v>5</v>
      </c>
      <c r="BB42" s="4" t="s">
        <v>5</v>
      </c>
      <c r="BC42" s="4" t="s">
        <v>5</v>
      </c>
      <c r="BD42" s="4" t="s">
        <v>5</v>
      </c>
      <c r="BE42" s="4" t="s">
        <v>5</v>
      </c>
      <c r="BF42" s="4" t="s">
        <v>5</v>
      </c>
      <c r="BG42" s="4" t="s">
        <v>5</v>
      </c>
      <c r="BH42" s="4" t="s">
        <v>5</v>
      </c>
      <c r="BI42" s="4" t="s">
        <v>5</v>
      </c>
      <c r="BJ42" s="4" t="s">
        <v>5</v>
      </c>
      <c r="BK42" s="4" t="s">
        <v>5</v>
      </c>
      <c r="BL42" s="4" t="s">
        <v>5</v>
      </c>
      <c r="BM42" s="4" t="s">
        <v>5</v>
      </c>
      <c r="BN42" s="4" t="s">
        <v>5</v>
      </c>
      <c r="BO42" s="4" t="s">
        <v>5</v>
      </c>
      <c r="BP42" s="4" t="s">
        <v>5</v>
      </c>
      <c r="BQ42" s="4" t="s">
        <v>5</v>
      </c>
      <c r="BR42" s="4" t="s">
        <v>5</v>
      </c>
      <c r="BS42" s="4" t="s">
        <v>5</v>
      </c>
      <c r="BT42" s="4" t="s">
        <v>5</v>
      </c>
      <c r="BU42" s="4" t="s">
        <v>5</v>
      </c>
      <c r="BV42" s="4" t="s">
        <v>5</v>
      </c>
      <c r="BW42" s="4" t="s">
        <v>5</v>
      </c>
      <c r="BX42" s="4" t="s">
        <v>5</v>
      </c>
      <c r="BY42" s="4" t="s">
        <v>5</v>
      </c>
      <c r="BZ42" s="4" t="s">
        <v>5</v>
      </c>
      <c r="CA42" s="4" t="s">
        <v>5</v>
      </c>
      <c r="CB42" s="4" t="s">
        <v>5</v>
      </c>
      <c r="CC42" s="4" t="s">
        <v>5</v>
      </c>
      <c r="CD42" s="4" t="s">
        <v>5</v>
      </c>
      <c r="CE42" s="4" t="s">
        <v>5</v>
      </c>
      <c r="CF42" s="4" t="s">
        <v>5</v>
      </c>
      <c r="CG42" s="4" t="s">
        <v>5</v>
      </c>
      <c r="CH42" s="4" t="s">
        <v>5</v>
      </c>
      <c r="CI42" s="4" t="s">
        <v>5</v>
      </c>
      <c r="CJ42" s="4" t="s">
        <v>5</v>
      </c>
      <c r="CK42" s="4" t="s">
        <v>5</v>
      </c>
      <c r="CL42" s="4" t="s">
        <v>5</v>
      </c>
      <c r="CN42" s="4" t="s">
        <v>5</v>
      </c>
      <c r="CO42" s="4" t="s">
        <v>5</v>
      </c>
      <c r="CP42" s="4" t="s">
        <v>5</v>
      </c>
      <c r="CQ42" s="4" t="s">
        <v>5</v>
      </c>
      <c r="CR42" s="4" t="s">
        <v>5</v>
      </c>
      <c r="CS42" s="4" t="s">
        <v>5</v>
      </c>
      <c r="CT42" s="4" t="s">
        <v>5</v>
      </c>
      <c r="CU42" s="4" t="s">
        <v>5</v>
      </c>
      <c r="CV42" s="4" t="s">
        <v>5</v>
      </c>
      <c r="CW42" s="4" t="s">
        <v>5</v>
      </c>
      <c r="CY42" s="4" t="s">
        <v>5</v>
      </c>
      <c r="CZ42" s="4" t="s">
        <v>5</v>
      </c>
      <c r="DC42" s="4" t="s">
        <v>5</v>
      </c>
      <c r="DD42" s="4" t="s">
        <v>5</v>
      </c>
      <c r="DE42" s="4" t="s">
        <v>5</v>
      </c>
      <c r="DF42" s="4" t="s">
        <v>5</v>
      </c>
      <c r="DG42" s="4" t="s">
        <v>5</v>
      </c>
      <c r="DH42" s="4" t="s">
        <v>5</v>
      </c>
      <c r="DP42" s="4" t="s">
        <v>5</v>
      </c>
      <c r="DQ42" s="4" t="s">
        <v>5</v>
      </c>
      <c r="DT42" s="4" t="s">
        <v>5</v>
      </c>
      <c r="DU42" s="4" t="s">
        <v>5</v>
      </c>
    </row>
    <row r="43" spans="1:125" x14ac:dyDescent="0.25">
      <c r="A43" s="13" t="str">
        <f>IF(AND($E43="",MAX($A$8:$A42)=0),"",IF(AND($E43&lt;&gt;"",MAX($A$8:$A42)=0),1,IF(AND($E43&lt;&gt;"",MAX($A$8:$A42)&gt;0),MAX($A$8:$A42)+1,"")))</f>
        <v/>
      </c>
      <c r="B43" s="11">
        <v>36</v>
      </c>
      <c r="C43" s="19" t="str">
        <f t="shared" si="0"/>
        <v>EMPTY</v>
      </c>
      <c r="D43" s="3" t="str">
        <f>IF(C43="SHOW",CONCATENATE(Temp!T39,Temp!U39,",",Temp!V39,",",Temp!W39,Temp!X39),"")</f>
        <v/>
      </c>
      <c r="E43" s="7"/>
      <c r="F43" s="8" t="str">
        <f t="shared" si="1"/>
        <v/>
      </c>
      <c r="I43" s="4" t="s">
        <v>5</v>
      </c>
      <c r="J43" s="4" t="s">
        <v>5</v>
      </c>
      <c r="K43" s="4" t="s">
        <v>5</v>
      </c>
      <c r="L43" s="4" t="s">
        <v>5</v>
      </c>
      <c r="M43" s="4" t="s">
        <v>5</v>
      </c>
      <c r="N43" s="4" t="s">
        <v>5</v>
      </c>
      <c r="O43" s="4" t="s">
        <v>5</v>
      </c>
      <c r="P43" s="4" t="s">
        <v>5</v>
      </c>
      <c r="Q43" s="4" t="s">
        <v>5</v>
      </c>
      <c r="R43" s="4" t="s">
        <v>5</v>
      </c>
      <c r="S43" s="4" t="s">
        <v>5</v>
      </c>
      <c r="T43" s="4" t="s">
        <v>5</v>
      </c>
      <c r="U43" s="4" t="s">
        <v>5</v>
      </c>
      <c r="V43" s="4" t="s">
        <v>5</v>
      </c>
      <c r="W43" s="4" t="s">
        <v>5</v>
      </c>
      <c r="X43" s="4" t="s">
        <v>5</v>
      </c>
      <c r="Y43" s="4" t="s">
        <v>5</v>
      </c>
      <c r="Z43" s="4" t="s">
        <v>5</v>
      </c>
      <c r="AA43" s="4" t="s">
        <v>5</v>
      </c>
      <c r="AB43" s="4" t="s">
        <v>5</v>
      </c>
      <c r="AC43" s="4" t="s">
        <v>5</v>
      </c>
      <c r="AD43" s="4" t="s">
        <v>5</v>
      </c>
      <c r="AE43" s="4" t="s">
        <v>5</v>
      </c>
      <c r="AF43" s="4" t="s">
        <v>5</v>
      </c>
      <c r="AG43" s="4" t="s">
        <v>5</v>
      </c>
      <c r="AH43" s="4" t="s">
        <v>5</v>
      </c>
      <c r="AI43" s="4" t="s">
        <v>5</v>
      </c>
      <c r="AJ43" s="4" t="s">
        <v>5</v>
      </c>
      <c r="AK43" s="4" t="s">
        <v>5</v>
      </c>
      <c r="AL43" s="4" t="s">
        <v>5</v>
      </c>
      <c r="AM43" s="4" t="s">
        <v>5</v>
      </c>
      <c r="AN43" s="4" t="s">
        <v>5</v>
      </c>
      <c r="AO43" s="4" t="s">
        <v>5</v>
      </c>
      <c r="AP43" s="4" t="s">
        <v>5</v>
      </c>
      <c r="AQ43" s="4" t="s">
        <v>5</v>
      </c>
      <c r="AR43" s="4" t="s">
        <v>5</v>
      </c>
      <c r="AS43" s="4" t="s">
        <v>5</v>
      </c>
      <c r="AT43" s="4" t="s">
        <v>5</v>
      </c>
      <c r="AU43" s="4" t="s">
        <v>5</v>
      </c>
      <c r="AW43" s="4" t="s">
        <v>5</v>
      </c>
      <c r="AX43" s="4" t="s">
        <v>5</v>
      </c>
      <c r="AY43" s="4" t="s">
        <v>5</v>
      </c>
      <c r="AZ43" s="4" t="s">
        <v>5</v>
      </c>
      <c r="BA43" s="4" t="s">
        <v>5</v>
      </c>
      <c r="BB43" s="4" t="s">
        <v>5</v>
      </c>
      <c r="BC43" s="4" t="s">
        <v>5</v>
      </c>
      <c r="BD43" s="4" t="s">
        <v>5</v>
      </c>
      <c r="BE43" s="4" t="s">
        <v>5</v>
      </c>
      <c r="BF43" s="4" t="s">
        <v>5</v>
      </c>
      <c r="BG43" s="4" t="s">
        <v>5</v>
      </c>
      <c r="BH43" s="4" t="s">
        <v>5</v>
      </c>
      <c r="BI43" s="4" t="s">
        <v>5</v>
      </c>
      <c r="BJ43" s="4" t="s">
        <v>5</v>
      </c>
      <c r="BK43" s="4" t="s">
        <v>5</v>
      </c>
      <c r="BL43" s="4" t="s">
        <v>5</v>
      </c>
      <c r="BM43" s="4" t="s">
        <v>5</v>
      </c>
      <c r="BN43" s="4" t="s">
        <v>5</v>
      </c>
      <c r="BO43" s="4" t="s">
        <v>5</v>
      </c>
      <c r="BP43" s="4" t="s">
        <v>5</v>
      </c>
      <c r="BQ43" s="4" t="s">
        <v>5</v>
      </c>
      <c r="BR43" s="4" t="s">
        <v>5</v>
      </c>
      <c r="BS43" s="4" t="s">
        <v>5</v>
      </c>
      <c r="BT43" s="4" t="s">
        <v>5</v>
      </c>
      <c r="BU43" s="4" t="s">
        <v>5</v>
      </c>
      <c r="BV43" s="4" t="s">
        <v>5</v>
      </c>
      <c r="BW43" s="4" t="s">
        <v>5</v>
      </c>
      <c r="BX43" s="4" t="s">
        <v>5</v>
      </c>
      <c r="BY43" s="4" t="s">
        <v>5</v>
      </c>
      <c r="BZ43" s="4" t="s">
        <v>5</v>
      </c>
      <c r="CA43" s="4" t="s">
        <v>5</v>
      </c>
      <c r="CB43" s="4" t="s">
        <v>5</v>
      </c>
      <c r="CC43" s="4" t="s">
        <v>5</v>
      </c>
      <c r="CD43" s="4" t="s">
        <v>5</v>
      </c>
      <c r="CE43" s="4" t="s">
        <v>5</v>
      </c>
      <c r="CF43" s="4" t="s">
        <v>5</v>
      </c>
      <c r="CG43" s="4" t="s">
        <v>5</v>
      </c>
      <c r="CH43" s="4" t="s">
        <v>5</v>
      </c>
      <c r="CI43" s="4" t="s">
        <v>5</v>
      </c>
      <c r="CJ43" s="4" t="s">
        <v>5</v>
      </c>
      <c r="CK43" s="4" t="s">
        <v>5</v>
      </c>
      <c r="CL43" s="4" t="s">
        <v>5</v>
      </c>
      <c r="CN43" s="4" t="s">
        <v>5</v>
      </c>
      <c r="CO43" s="4" t="s">
        <v>5</v>
      </c>
      <c r="CP43" s="4" t="s">
        <v>5</v>
      </c>
      <c r="CQ43" s="4" t="s">
        <v>5</v>
      </c>
      <c r="CR43" s="4" t="s">
        <v>5</v>
      </c>
      <c r="CS43" s="4" t="s">
        <v>5</v>
      </c>
      <c r="CT43" s="4" t="s">
        <v>5</v>
      </c>
      <c r="CU43" s="4" t="s">
        <v>5</v>
      </c>
      <c r="CV43" s="4" t="s">
        <v>5</v>
      </c>
      <c r="CW43" s="4" t="s">
        <v>5</v>
      </c>
      <c r="CY43" s="4" t="s">
        <v>5</v>
      </c>
      <c r="CZ43" s="4" t="s">
        <v>5</v>
      </c>
      <c r="DC43" s="4" t="s">
        <v>5</v>
      </c>
      <c r="DD43" s="4" t="s">
        <v>5</v>
      </c>
      <c r="DE43" s="4" t="s">
        <v>5</v>
      </c>
      <c r="DF43" s="4" t="s">
        <v>5</v>
      </c>
      <c r="DG43" s="4" t="s">
        <v>5</v>
      </c>
      <c r="DH43" s="4" t="s">
        <v>5</v>
      </c>
      <c r="DP43" s="4" t="s">
        <v>5</v>
      </c>
      <c r="DQ43" s="4" t="s">
        <v>5</v>
      </c>
      <c r="DT43" s="4" t="s">
        <v>5</v>
      </c>
      <c r="DU43" s="4" t="s">
        <v>5</v>
      </c>
    </row>
    <row r="44" spans="1:125" x14ac:dyDescent="0.25">
      <c r="A44" s="13" t="str">
        <f>IF(AND($E44="",MAX($A$8:$A43)=0),"",IF(AND($E44&lt;&gt;"",MAX($A$8:$A43)=0),1,IF(AND($E44&lt;&gt;"",MAX($A$8:$A43)&gt;0),MAX($A$8:$A43)+1,"")))</f>
        <v/>
      </c>
      <c r="B44" s="11">
        <v>37</v>
      </c>
      <c r="C44" s="19" t="str">
        <f t="shared" si="0"/>
        <v>EMPTY</v>
      </c>
      <c r="D44" s="3" t="str">
        <f>IF(C44="SHOW",CONCATENATE(Temp!T40,Temp!U40,",",Temp!V40,",",Temp!W40,Temp!X40),"")</f>
        <v/>
      </c>
      <c r="E44" s="7"/>
      <c r="F44" s="8" t="str">
        <f t="shared" si="1"/>
        <v/>
      </c>
      <c r="I44" s="4" t="s">
        <v>5</v>
      </c>
      <c r="J44" s="4" t="s">
        <v>5</v>
      </c>
      <c r="K44" s="4" t="s">
        <v>5</v>
      </c>
      <c r="L44" s="4" t="s">
        <v>5</v>
      </c>
      <c r="M44" s="4" t="s">
        <v>5</v>
      </c>
      <c r="N44" s="4" t="s">
        <v>5</v>
      </c>
      <c r="O44" s="4" t="s">
        <v>5</v>
      </c>
      <c r="P44" s="4" t="s">
        <v>5</v>
      </c>
      <c r="Q44" s="4" t="s">
        <v>5</v>
      </c>
      <c r="R44" s="4" t="s">
        <v>5</v>
      </c>
      <c r="S44" s="4" t="s">
        <v>5</v>
      </c>
      <c r="T44" s="4" t="s">
        <v>5</v>
      </c>
      <c r="U44" s="4" t="s">
        <v>5</v>
      </c>
      <c r="V44" s="4" t="s">
        <v>5</v>
      </c>
      <c r="W44" s="4" t="s">
        <v>5</v>
      </c>
      <c r="X44" s="4" t="s">
        <v>5</v>
      </c>
      <c r="Y44" s="4" t="s">
        <v>5</v>
      </c>
      <c r="Z44" s="4" t="s">
        <v>5</v>
      </c>
      <c r="AA44" s="4" t="s">
        <v>5</v>
      </c>
      <c r="AB44" s="4" t="s">
        <v>5</v>
      </c>
      <c r="AC44" s="4" t="s">
        <v>5</v>
      </c>
      <c r="AD44" s="4" t="s">
        <v>5</v>
      </c>
      <c r="AE44" s="4" t="s">
        <v>5</v>
      </c>
      <c r="AF44" s="4" t="s">
        <v>5</v>
      </c>
      <c r="AG44" s="4" t="s">
        <v>5</v>
      </c>
      <c r="AH44" s="4" t="s">
        <v>5</v>
      </c>
      <c r="AI44" s="4" t="s">
        <v>5</v>
      </c>
      <c r="AJ44" s="4" t="s">
        <v>5</v>
      </c>
      <c r="AK44" s="4" t="s">
        <v>5</v>
      </c>
      <c r="AL44" s="4" t="s">
        <v>5</v>
      </c>
      <c r="AM44" s="4" t="s">
        <v>5</v>
      </c>
      <c r="AN44" s="4" t="s">
        <v>5</v>
      </c>
      <c r="AO44" s="4" t="s">
        <v>5</v>
      </c>
      <c r="AP44" s="4" t="s">
        <v>5</v>
      </c>
      <c r="AQ44" s="4" t="s">
        <v>5</v>
      </c>
      <c r="AR44" s="4" t="s">
        <v>5</v>
      </c>
      <c r="AS44" s="4" t="s">
        <v>5</v>
      </c>
      <c r="AT44" s="4" t="s">
        <v>5</v>
      </c>
      <c r="AU44" s="4" t="s">
        <v>5</v>
      </c>
      <c r="AW44" s="4" t="s">
        <v>5</v>
      </c>
      <c r="AX44" s="4" t="s">
        <v>5</v>
      </c>
      <c r="AY44" s="4" t="s">
        <v>5</v>
      </c>
      <c r="AZ44" s="4" t="s">
        <v>5</v>
      </c>
      <c r="BA44" s="4" t="s">
        <v>5</v>
      </c>
      <c r="BB44" s="4" t="s">
        <v>5</v>
      </c>
      <c r="BC44" s="4" t="s">
        <v>5</v>
      </c>
      <c r="BD44" s="4" t="s">
        <v>5</v>
      </c>
      <c r="BE44" s="4" t="s">
        <v>5</v>
      </c>
      <c r="BF44" s="4" t="s">
        <v>5</v>
      </c>
      <c r="BG44" s="4" t="s">
        <v>5</v>
      </c>
      <c r="BH44" s="4" t="s">
        <v>5</v>
      </c>
      <c r="BI44" s="4" t="s">
        <v>5</v>
      </c>
      <c r="BJ44" s="4" t="s">
        <v>5</v>
      </c>
      <c r="BK44" s="4" t="s">
        <v>5</v>
      </c>
      <c r="BL44" s="4" t="s">
        <v>5</v>
      </c>
      <c r="BM44" s="4" t="s">
        <v>5</v>
      </c>
      <c r="BN44" s="4" t="s">
        <v>5</v>
      </c>
      <c r="BO44" s="4" t="s">
        <v>5</v>
      </c>
      <c r="BP44" s="4" t="s">
        <v>5</v>
      </c>
      <c r="BQ44" s="4" t="s">
        <v>5</v>
      </c>
      <c r="BR44" s="4" t="s">
        <v>5</v>
      </c>
      <c r="BS44" s="4" t="s">
        <v>5</v>
      </c>
      <c r="BT44" s="4" t="s">
        <v>5</v>
      </c>
      <c r="BU44" s="4" t="s">
        <v>5</v>
      </c>
      <c r="BV44" s="4" t="s">
        <v>5</v>
      </c>
      <c r="BW44" s="4" t="s">
        <v>5</v>
      </c>
      <c r="BX44" s="4" t="s">
        <v>5</v>
      </c>
      <c r="BY44" s="4" t="s">
        <v>5</v>
      </c>
      <c r="BZ44" s="4" t="s">
        <v>5</v>
      </c>
      <c r="CA44" s="4" t="s">
        <v>5</v>
      </c>
      <c r="CB44" s="4" t="s">
        <v>5</v>
      </c>
      <c r="CC44" s="4" t="s">
        <v>5</v>
      </c>
      <c r="CD44" s="4" t="s">
        <v>5</v>
      </c>
      <c r="CE44" s="4" t="s">
        <v>5</v>
      </c>
      <c r="CF44" s="4" t="s">
        <v>5</v>
      </c>
      <c r="CG44" s="4" t="s">
        <v>5</v>
      </c>
      <c r="CH44" s="4" t="s">
        <v>5</v>
      </c>
      <c r="CI44" s="4" t="s">
        <v>5</v>
      </c>
      <c r="CJ44" s="4" t="s">
        <v>5</v>
      </c>
      <c r="CK44" s="4" t="s">
        <v>5</v>
      </c>
      <c r="CL44" s="4" t="s">
        <v>5</v>
      </c>
      <c r="CN44" s="4" t="s">
        <v>5</v>
      </c>
      <c r="CO44" s="4" t="s">
        <v>5</v>
      </c>
      <c r="CP44" s="4" t="s">
        <v>5</v>
      </c>
      <c r="CQ44" s="4" t="s">
        <v>5</v>
      </c>
      <c r="CR44" s="4" t="s">
        <v>5</v>
      </c>
      <c r="CS44" s="4" t="s">
        <v>5</v>
      </c>
      <c r="CT44" s="4" t="s">
        <v>5</v>
      </c>
      <c r="CU44" s="4" t="s">
        <v>5</v>
      </c>
      <c r="CV44" s="4" t="s">
        <v>5</v>
      </c>
      <c r="CW44" s="4" t="s">
        <v>5</v>
      </c>
      <c r="CY44" s="4" t="s">
        <v>5</v>
      </c>
      <c r="DC44" s="4" t="s">
        <v>5</v>
      </c>
      <c r="DD44" s="4" t="s">
        <v>5</v>
      </c>
      <c r="DE44" s="4" t="s">
        <v>5</v>
      </c>
      <c r="DF44" s="4" t="s">
        <v>5</v>
      </c>
      <c r="DG44" s="4" t="s">
        <v>5</v>
      </c>
      <c r="DH44" s="4" t="s">
        <v>5</v>
      </c>
      <c r="DP44" s="4" t="s">
        <v>5</v>
      </c>
      <c r="DQ44" s="4" t="s">
        <v>5</v>
      </c>
      <c r="DT44" s="4" t="s">
        <v>5</v>
      </c>
      <c r="DU44" s="4" t="s">
        <v>5</v>
      </c>
    </row>
    <row r="45" spans="1:125" x14ac:dyDescent="0.25">
      <c r="A45" s="13" t="str">
        <f>IF(AND($E45="",MAX($A$8:$A44)=0),"",IF(AND($E45&lt;&gt;"",MAX($A$8:$A44)=0),1,IF(AND($E45&lt;&gt;"",MAX($A$8:$A44)&gt;0),MAX($A$8:$A44)+1,"")))</f>
        <v/>
      </c>
      <c r="B45" s="11">
        <v>38</v>
      </c>
      <c r="C45" s="19" t="str">
        <f t="shared" si="0"/>
        <v>EMPTY</v>
      </c>
      <c r="D45" s="3" t="str">
        <f>IF(C45="SHOW",CONCATENATE(Temp!T41,Temp!U41,",",Temp!V41,",",Temp!W41,Temp!X41),"")</f>
        <v/>
      </c>
      <c r="E45" s="7"/>
      <c r="F45" s="8" t="str">
        <f t="shared" si="1"/>
        <v/>
      </c>
      <c r="I45" s="4" t="s">
        <v>5</v>
      </c>
      <c r="J45" s="4" t="s">
        <v>5</v>
      </c>
      <c r="K45" s="4" t="s">
        <v>5</v>
      </c>
      <c r="L45" s="4" t="s">
        <v>5</v>
      </c>
      <c r="M45" s="4" t="s">
        <v>5</v>
      </c>
      <c r="N45" s="4" t="s">
        <v>5</v>
      </c>
      <c r="O45" s="4" t="s">
        <v>5</v>
      </c>
      <c r="P45" s="4" t="s">
        <v>5</v>
      </c>
      <c r="Q45" s="4" t="s">
        <v>5</v>
      </c>
      <c r="R45" s="4" t="s">
        <v>5</v>
      </c>
      <c r="S45" s="4" t="s">
        <v>5</v>
      </c>
      <c r="T45" s="4" t="s">
        <v>5</v>
      </c>
      <c r="U45" s="4" t="s">
        <v>5</v>
      </c>
      <c r="V45" s="4" t="s">
        <v>5</v>
      </c>
      <c r="W45" s="4" t="s">
        <v>5</v>
      </c>
      <c r="X45" s="4" t="s">
        <v>5</v>
      </c>
      <c r="Y45" s="4" t="s">
        <v>5</v>
      </c>
      <c r="Z45" s="4" t="s">
        <v>5</v>
      </c>
      <c r="AA45" s="4" t="s">
        <v>5</v>
      </c>
      <c r="AB45" s="4" t="s">
        <v>5</v>
      </c>
      <c r="AC45" s="4" t="s">
        <v>5</v>
      </c>
      <c r="AD45" s="4" t="s">
        <v>5</v>
      </c>
      <c r="AE45" s="4" t="s">
        <v>5</v>
      </c>
      <c r="AF45" s="4" t="s">
        <v>5</v>
      </c>
      <c r="AG45" s="4" t="s">
        <v>5</v>
      </c>
      <c r="AH45" s="4" t="s">
        <v>5</v>
      </c>
      <c r="AI45" s="4" t="s">
        <v>5</v>
      </c>
      <c r="AJ45" s="4" t="s">
        <v>5</v>
      </c>
      <c r="AK45" s="4" t="s">
        <v>5</v>
      </c>
      <c r="AL45" s="4" t="s">
        <v>5</v>
      </c>
      <c r="AM45" s="4" t="s">
        <v>5</v>
      </c>
      <c r="AN45" s="4" t="s">
        <v>5</v>
      </c>
      <c r="AO45" s="4" t="s">
        <v>5</v>
      </c>
      <c r="AP45" s="4" t="s">
        <v>5</v>
      </c>
      <c r="AQ45" s="4" t="s">
        <v>5</v>
      </c>
      <c r="AR45" s="4" t="s">
        <v>5</v>
      </c>
      <c r="AS45" s="4" t="s">
        <v>5</v>
      </c>
      <c r="AT45" s="4" t="s">
        <v>5</v>
      </c>
      <c r="AU45" s="4" t="s">
        <v>5</v>
      </c>
      <c r="AW45" s="4" t="s">
        <v>5</v>
      </c>
      <c r="AX45" s="4" t="s">
        <v>5</v>
      </c>
      <c r="AY45" s="4" t="s">
        <v>5</v>
      </c>
      <c r="AZ45" s="4" t="s">
        <v>5</v>
      </c>
      <c r="BA45" s="4" t="s">
        <v>5</v>
      </c>
      <c r="BC45" s="4" t="s">
        <v>5</v>
      </c>
      <c r="BD45" s="4" t="s">
        <v>5</v>
      </c>
      <c r="BE45" s="4" t="s">
        <v>5</v>
      </c>
      <c r="BF45" s="4" t="s">
        <v>5</v>
      </c>
      <c r="BG45" s="4" t="s">
        <v>5</v>
      </c>
      <c r="BH45" s="4" t="s">
        <v>5</v>
      </c>
      <c r="BI45" s="4" t="s">
        <v>5</v>
      </c>
      <c r="BJ45" s="4" t="s">
        <v>5</v>
      </c>
      <c r="BK45" s="4" t="s">
        <v>5</v>
      </c>
      <c r="BL45" s="4" t="s">
        <v>5</v>
      </c>
      <c r="BM45" s="4" t="s">
        <v>5</v>
      </c>
      <c r="BN45" s="4" t="s">
        <v>5</v>
      </c>
      <c r="BO45" s="4" t="s">
        <v>5</v>
      </c>
      <c r="BP45" s="4" t="s">
        <v>5</v>
      </c>
      <c r="BQ45" s="4" t="s">
        <v>5</v>
      </c>
      <c r="BR45" s="4" t="s">
        <v>5</v>
      </c>
      <c r="BS45" s="4" t="s">
        <v>5</v>
      </c>
      <c r="BT45" s="4" t="s">
        <v>5</v>
      </c>
      <c r="BU45" s="4" t="s">
        <v>5</v>
      </c>
      <c r="BV45" s="4" t="s">
        <v>5</v>
      </c>
      <c r="BW45" s="4" t="s">
        <v>5</v>
      </c>
      <c r="BX45" s="4" t="s">
        <v>5</v>
      </c>
      <c r="BY45" s="4" t="s">
        <v>5</v>
      </c>
      <c r="BZ45" s="4" t="s">
        <v>5</v>
      </c>
      <c r="CA45" s="4" t="s">
        <v>5</v>
      </c>
      <c r="CB45" s="4" t="s">
        <v>5</v>
      </c>
      <c r="CC45" s="4" t="s">
        <v>5</v>
      </c>
      <c r="CD45" s="4" t="s">
        <v>5</v>
      </c>
      <c r="CE45" s="4" t="s">
        <v>5</v>
      </c>
      <c r="CF45" s="4" t="s">
        <v>5</v>
      </c>
      <c r="CG45" s="4" t="s">
        <v>5</v>
      </c>
      <c r="CH45" s="4" t="s">
        <v>5</v>
      </c>
      <c r="CI45" s="4" t="s">
        <v>5</v>
      </c>
      <c r="CJ45" s="4" t="s">
        <v>5</v>
      </c>
      <c r="CK45" s="4" t="s">
        <v>5</v>
      </c>
      <c r="CL45" s="4" t="s">
        <v>5</v>
      </c>
      <c r="CN45" s="4" t="s">
        <v>5</v>
      </c>
      <c r="CO45" s="4" t="s">
        <v>5</v>
      </c>
      <c r="CP45" s="4" t="s">
        <v>5</v>
      </c>
      <c r="CQ45" s="4" t="s">
        <v>5</v>
      </c>
      <c r="CR45" s="4" t="s">
        <v>5</v>
      </c>
      <c r="CS45" s="4" t="s">
        <v>5</v>
      </c>
      <c r="CT45" s="4" t="s">
        <v>5</v>
      </c>
      <c r="CU45" s="4" t="s">
        <v>5</v>
      </c>
      <c r="CV45" s="4" t="s">
        <v>5</v>
      </c>
      <c r="CW45" s="4" t="s">
        <v>5</v>
      </c>
      <c r="CY45" s="4" t="s">
        <v>5</v>
      </c>
      <c r="DC45" s="4" t="s">
        <v>5</v>
      </c>
      <c r="DD45" s="4" t="s">
        <v>5</v>
      </c>
      <c r="DE45" s="4" t="s">
        <v>5</v>
      </c>
      <c r="DF45" s="4" t="s">
        <v>5</v>
      </c>
      <c r="DG45" s="4" t="s">
        <v>5</v>
      </c>
      <c r="DH45" s="4" t="s">
        <v>5</v>
      </c>
      <c r="DP45" s="4" t="s">
        <v>5</v>
      </c>
      <c r="DQ45" s="4" t="s">
        <v>5</v>
      </c>
      <c r="DT45" s="4" t="s">
        <v>5</v>
      </c>
      <c r="DU45" s="4" t="s">
        <v>5</v>
      </c>
    </row>
    <row r="46" spans="1:125" x14ac:dyDescent="0.25">
      <c r="A46" s="13" t="str">
        <f>IF(AND($E46="",MAX($A$8:$A45)=0),"",IF(AND($E46&lt;&gt;"",MAX($A$8:$A45)=0),1,IF(AND($E46&lt;&gt;"",MAX($A$8:$A45)&gt;0),MAX($A$8:$A45)+1,"")))</f>
        <v/>
      </c>
      <c r="B46" s="11">
        <v>39</v>
      </c>
      <c r="C46" s="19" t="str">
        <f t="shared" si="0"/>
        <v>EMPTY</v>
      </c>
      <c r="D46" s="3" t="str">
        <f>IF(C46="SHOW",CONCATENATE(Temp!T42,Temp!U42,",",Temp!V42,",",Temp!W42,Temp!X42),"")</f>
        <v/>
      </c>
      <c r="E46" s="7"/>
      <c r="F46" s="8" t="str">
        <f t="shared" si="1"/>
        <v/>
      </c>
      <c r="I46" s="4" t="s">
        <v>5</v>
      </c>
      <c r="J46" s="4" t="s">
        <v>5</v>
      </c>
      <c r="K46" s="4" t="s">
        <v>5</v>
      </c>
      <c r="L46" s="4" t="s">
        <v>5</v>
      </c>
      <c r="M46" s="4" t="s">
        <v>5</v>
      </c>
      <c r="N46" s="4" t="s">
        <v>5</v>
      </c>
      <c r="O46" s="4" t="s">
        <v>5</v>
      </c>
      <c r="P46" s="4" t="s">
        <v>5</v>
      </c>
      <c r="Q46" s="4" t="s">
        <v>5</v>
      </c>
      <c r="R46" s="4" t="s">
        <v>5</v>
      </c>
      <c r="S46" s="4" t="s">
        <v>5</v>
      </c>
      <c r="T46" s="4" t="s">
        <v>5</v>
      </c>
      <c r="U46" s="4" t="s">
        <v>5</v>
      </c>
      <c r="V46" s="4" t="s">
        <v>5</v>
      </c>
      <c r="W46" s="4" t="s">
        <v>5</v>
      </c>
      <c r="X46" s="4" t="s">
        <v>5</v>
      </c>
      <c r="Y46" s="4" t="s">
        <v>5</v>
      </c>
      <c r="Z46" s="4" t="s">
        <v>5</v>
      </c>
      <c r="AA46" s="4" t="s">
        <v>5</v>
      </c>
      <c r="AB46" s="4" t="s">
        <v>5</v>
      </c>
      <c r="AC46" s="4" t="s">
        <v>5</v>
      </c>
      <c r="AD46" s="4" t="s">
        <v>5</v>
      </c>
      <c r="AE46" s="4" t="s">
        <v>5</v>
      </c>
      <c r="AF46" s="4" t="s">
        <v>5</v>
      </c>
      <c r="AG46" s="4" t="s">
        <v>5</v>
      </c>
      <c r="AH46" s="4" t="s">
        <v>5</v>
      </c>
      <c r="AI46" s="4" t="s">
        <v>5</v>
      </c>
      <c r="AJ46" s="4" t="s">
        <v>5</v>
      </c>
      <c r="AK46" s="4" t="s">
        <v>5</v>
      </c>
      <c r="AL46" s="4" t="s">
        <v>5</v>
      </c>
      <c r="AM46" s="4" t="s">
        <v>5</v>
      </c>
      <c r="AN46" s="4" t="s">
        <v>5</v>
      </c>
      <c r="AO46" s="4" t="s">
        <v>5</v>
      </c>
      <c r="AP46" s="4" t="s">
        <v>5</v>
      </c>
      <c r="AQ46" s="4" t="s">
        <v>5</v>
      </c>
      <c r="AR46" s="4" t="s">
        <v>5</v>
      </c>
      <c r="AS46" s="4" t="s">
        <v>5</v>
      </c>
      <c r="AT46" s="4" t="s">
        <v>5</v>
      </c>
      <c r="AU46" s="4" t="s">
        <v>5</v>
      </c>
      <c r="AX46" s="4" t="s">
        <v>5</v>
      </c>
      <c r="AY46" s="4" t="s">
        <v>5</v>
      </c>
      <c r="AZ46" s="4" t="s">
        <v>5</v>
      </c>
      <c r="BA46" s="4" t="s">
        <v>5</v>
      </c>
      <c r="BC46" s="4" t="s">
        <v>5</v>
      </c>
      <c r="BD46" s="4" t="s">
        <v>5</v>
      </c>
      <c r="BE46" s="4" t="s">
        <v>5</v>
      </c>
      <c r="BF46" s="4" t="s">
        <v>5</v>
      </c>
      <c r="BG46" s="4" t="s">
        <v>5</v>
      </c>
      <c r="BH46" s="4" t="s">
        <v>5</v>
      </c>
      <c r="BI46" s="4" t="s">
        <v>5</v>
      </c>
      <c r="BJ46" s="4" t="s">
        <v>5</v>
      </c>
      <c r="BK46" s="4" t="s">
        <v>5</v>
      </c>
      <c r="BL46" s="4" t="s">
        <v>5</v>
      </c>
      <c r="BM46" s="4" t="s">
        <v>5</v>
      </c>
      <c r="BN46" s="4" t="s">
        <v>5</v>
      </c>
      <c r="BO46" s="4" t="s">
        <v>5</v>
      </c>
      <c r="BP46" s="4" t="s">
        <v>5</v>
      </c>
      <c r="BQ46" s="4" t="s">
        <v>5</v>
      </c>
      <c r="BR46" s="4" t="s">
        <v>5</v>
      </c>
      <c r="BS46" s="4" t="s">
        <v>5</v>
      </c>
      <c r="BT46" s="4" t="s">
        <v>5</v>
      </c>
      <c r="BU46" s="4" t="s">
        <v>5</v>
      </c>
      <c r="BV46" s="4" t="s">
        <v>5</v>
      </c>
      <c r="BW46" s="4" t="s">
        <v>5</v>
      </c>
      <c r="BX46" s="4" t="s">
        <v>5</v>
      </c>
      <c r="BY46" s="4" t="s">
        <v>5</v>
      </c>
      <c r="BZ46" s="4" t="s">
        <v>5</v>
      </c>
      <c r="CA46" s="4" t="s">
        <v>5</v>
      </c>
      <c r="CB46" s="4" t="s">
        <v>5</v>
      </c>
      <c r="CC46" s="4" t="s">
        <v>5</v>
      </c>
      <c r="CD46" s="4" t="s">
        <v>5</v>
      </c>
      <c r="CE46" s="4" t="s">
        <v>5</v>
      </c>
      <c r="CF46" s="4" t="s">
        <v>5</v>
      </c>
      <c r="CG46" s="4" t="s">
        <v>5</v>
      </c>
      <c r="CH46" s="4" t="s">
        <v>5</v>
      </c>
      <c r="CI46" s="4" t="s">
        <v>5</v>
      </c>
      <c r="CJ46" s="4" t="s">
        <v>5</v>
      </c>
      <c r="CK46" s="4" t="s">
        <v>5</v>
      </c>
      <c r="CL46" s="4" t="s">
        <v>5</v>
      </c>
      <c r="CN46" s="4" t="s">
        <v>5</v>
      </c>
      <c r="CO46" s="4" t="s">
        <v>5</v>
      </c>
      <c r="CP46" s="4" t="s">
        <v>5</v>
      </c>
      <c r="CQ46" s="4" t="s">
        <v>5</v>
      </c>
      <c r="CR46" s="4" t="s">
        <v>5</v>
      </c>
      <c r="CS46" s="4" t="s">
        <v>5</v>
      </c>
      <c r="CT46" s="4" t="s">
        <v>5</v>
      </c>
      <c r="CU46" s="4" t="s">
        <v>5</v>
      </c>
      <c r="CV46" s="4" t="s">
        <v>5</v>
      </c>
      <c r="CW46" s="4" t="s">
        <v>5</v>
      </c>
      <c r="CY46" s="4" t="s">
        <v>5</v>
      </c>
      <c r="DC46" s="4" t="s">
        <v>5</v>
      </c>
      <c r="DD46" s="4" t="s">
        <v>5</v>
      </c>
      <c r="DE46" s="4" t="s">
        <v>5</v>
      </c>
      <c r="DF46" s="4" t="s">
        <v>5</v>
      </c>
      <c r="DG46" s="4" t="s">
        <v>5</v>
      </c>
      <c r="DH46" s="4" t="s">
        <v>5</v>
      </c>
      <c r="DP46" s="4" t="s">
        <v>5</v>
      </c>
      <c r="DQ46" s="4" t="s">
        <v>5</v>
      </c>
      <c r="DT46" s="4" t="s">
        <v>5</v>
      </c>
      <c r="DU46" s="4" t="s">
        <v>5</v>
      </c>
    </row>
    <row r="47" spans="1:125" x14ac:dyDescent="0.25">
      <c r="A47" s="13" t="str">
        <f>IF(AND($E47="",MAX($A$8:$A46)=0),"",IF(AND($E47&lt;&gt;"",MAX($A$8:$A46)=0),1,IF(AND($E47&lt;&gt;"",MAX($A$8:$A46)&gt;0),MAX($A$8:$A46)+1,"")))</f>
        <v/>
      </c>
      <c r="B47" s="11">
        <v>40</v>
      </c>
      <c r="C47" s="19" t="str">
        <f t="shared" si="0"/>
        <v>EMPTY</v>
      </c>
      <c r="D47" s="3" t="str">
        <f>IF(C47="SHOW",CONCATENATE(Temp!T43,Temp!U43,",",Temp!V43,",",Temp!W43,Temp!X43),"")</f>
        <v/>
      </c>
      <c r="E47" s="7"/>
      <c r="F47" s="8" t="str">
        <f t="shared" si="1"/>
        <v/>
      </c>
      <c r="I47" s="4" t="s">
        <v>5</v>
      </c>
      <c r="J47" s="4" t="s">
        <v>5</v>
      </c>
      <c r="K47" s="4" t="s">
        <v>5</v>
      </c>
      <c r="L47" s="4" t="s">
        <v>5</v>
      </c>
      <c r="M47" s="4" t="s">
        <v>5</v>
      </c>
      <c r="N47" s="4" t="s">
        <v>5</v>
      </c>
      <c r="O47" s="4" t="s">
        <v>5</v>
      </c>
      <c r="P47" s="4" t="s">
        <v>5</v>
      </c>
      <c r="Q47" s="4" t="s">
        <v>5</v>
      </c>
      <c r="R47" s="4" t="s">
        <v>5</v>
      </c>
      <c r="S47" s="4" t="s">
        <v>5</v>
      </c>
      <c r="T47" s="4" t="s">
        <v>5</v>
      </c>
      <c r="U47" s="4" t="s">
        <v>5</v>
      </c>
      <c r="V47" s="4" t="s">
        <v>5</v>
      </c>
      <c r="W47" s="4" t="s">
        <v>5</v>
      </c>
      <c r="X47" s="4" t="s">
        <v>5</v>
      </c>
      <c r="Y47" s="4" t="s">
        <v>5</v>
      </c>
      <c r="Z47" s="4" t="s">
        <v>5</v>
      </c>
      <c r="AA47" s="4" t="s">
        <v>5</v>
      </c>
      <c r="AB47" s="4" t="s">
        <v>5</v>
      </c>
      <c r="AC47" s="4" t="s">
        <v>5</v>
      </c>
      <c r="AD47" s="4" t="s">
        <v>5</v>
      </c>
      <c r="AE47" s="4" t="s">
        <v>5</v>
      </c>
      <c r="AF47" s="4" t="s">
        <v>5</v>
      </c>
      <c r="AG47" s="4" t="s">
        <v>5</v>
      </c>
      <c r="AH47" s="4" t="s">
        <v>5</v>
      </c>
      <c r="AI47" s="4" t="s">
        <v>5</v>
      </c>
      <c r="AJ47" s="4" t="s">
        <v>5</v>
      </c>
      <c r="AK47" s="4" t="s">
        <v>5</v>
      </c>
      <c r="AL47" s="4" t="s">
        <v>5</v>
      </c>
      <c r="AM47" s="4" t="s">
        <v>5</v>
      </c>
      <c r="AN47" s="4" t="s">
        <v>5</v>
      </c>
      <c r="AO47" s="4" t="s">
        <v>5</v>
      </c>
      <c r="AP47" s="4" t="s">
        <v>5</v>
      </c>
      <c r="AQ47" s="4" t="s">
        <v>5</v>
      </c>
      <c r="AR47" s="4" t="s">
        <v>5</v>
      </c>
      <c r="AS47" s="4" t="s">
        <v>5</v>
      </c>
      <c r="AT47" s="4" t="s">
        <v>5</v>
      </c>
      <c r="AU47" s="4" t="s">
        <v>5</v>
      </c>
      <c r="AX47" s="4" t="s">
        <v>5</v>
      </c>
      <c r="AY47" s="4" t="s">
        <v>5</v>
      </c>
      <c r="AZ47" s="4" t="s">
        <v>5</v>
      </c>
      <c r="BA47" s="4" t="s">
        <v>5</v>
      </c>
      <c r="BC47" s="4" t="s">
        <v>5</v>
      </c>
      <c r="BD47" s="4" t="s">
        <v>5</v>
      </c>
      <c r="BE47" s="4" t="s">
        <v>5</v>
      </c>
      <c r="BF47" s="4" t="s">
        <v>5</v>
      </c>
      <c r="BG47" s="4" t="s">
        <v>5</v>
      </c>
      <c r="BH47" s="4" t="s">
        <v>5</v>
      </c>
      <c r="BI47" s="4" t="s">
        <v>5</v>
      </c>
      <c r="BJ47" s="4" t="s">
        <v>5</v>
      </c>
      <c r="BK47" s="4" t="s">
        <v>5</v>
      </c>
      <c r="BL47" s="4" t="s">
        <v>5</v>
      </c>
      <c r="BM47" s="4" t="s">
        <v>5</v>
      </c>
      <c r="BN47" s="4" t="s">
        <v>5</v>
      </c>
      <c r="BO47" s="4" t="s">
        <v>5</v>
      </c>
      <c r="BP47" s="4" t="s">
        <v>5</v>
      </c>
      <c r="BQ47" s="4" t="s">
        <v>5</v>
      </c>
      <c r="BR47" s="4" t="s">
        <v>5</v>
      </c>
      <c r="BS47" s="4" t="s">
        <v>5</v>
      </c>
      <c r="BT47" s="4" t="s">
        <v>5</v>
      </c>
      <c r="BU47" s="4" t="s">
        <v>5</v>
      </c>
      <c r="BV47" s="4" t="s">
        <v>5</v>
      </c>
      <c r="BW47" s="4" t="s">
        <v>5</v>
      </c>
      <c r="BX47" s="4" t="s">
        <v>5</v>
      </c>
      <c r="BY47" s="4" t="s">
        <v>5</v>
      </c>
      <c r="BZ47" s="4" t="s">
        <v>5</v>
      </c>
      <c r="CA47" s="4" t="s">
        <v>5</v>
      </c>
      <c r="CB47" s="4" t="s">
        <v>5</v>
      </c>
      <c r="CC47" s="4" t="s">
        <v>5</v>
      </c>
      <c r="CD47" s="4" t="s">
        <v>5</v>
      </c>
      <c r="CE47" s="4" t="s">
        <v>5</v>
      </c>
      <c r="CF47" s="4" t="s">
        <v>5</v>
      </c>
      <c r="CG47" s="4" t="s">
        <v>5</v>
      </c>
      <c r="CH47" s="4" t="s">
        <v>5</v>
      </c>
      <c r="CI47" s="4" t="s">
        <v>5</v>
      </c>
      <c r="CJ47" s="4" t="s">
        <v>5</v>
      </c>
      <c r="CK47" s="4" t="s">
        <v>5</v>
      </c>
      <c r="CL47" s="4" t="s">
        <v>5</v>
      </c>
      <c r="CN47" s="4" t="s">
        <v>5</v>
      </c>
      <c r="CO47" s="4" t="s">
        <v>5</v>
      </c>
      <c r="CP47" s="4" t="s">
        <v>5</v>
      </c>
      <c r="CQ47" s="4" t="s">
        <v>5</v>
      </c>
      <c r="CR47" s="4" t="s">
        <v>5</v>
      </c>
      <c r="CS47" s="4" t="s">
        <v>5</v>
      </c>
      <c r="CT47" s="4" t="s">
        <v>5</v>
      </c>
      <c r="CU47" s="4" t="s">
        <v>5</v>
      </c>
      <c r="CV47" s="4" t="s">
        <v>5</v>
      </c>
      <c r="CW47" s="4" t="s">
        <v>5</v>
      </c>
      <c r="CY47" s="4" t="s">
        <v>5</v>
      </c>
      <c r="DC47" s="4" t="s">
        <v>5</v>
      </c>
      <c r="DD47" s="4" t="s">
        <v>5</v>
      </c>
      <c r="DE47" s="4" t="s">
        <v>5</v>
      </c>
      <c r="DF47" s="4" t="s">
        <v>5</v>
      </c>
      <c r="DG47" s="4" t="s">
        <v>5</v>
      </c>
      <c r="DH47" s="4" t="s">
        <v>5</v>
      </c>
      <c r="DP47" s="4" t="s">
        <v>5</v>
      </c>
      <c r="DQ47" s="4" t="s">
        <v>5</v>
      </c>
      <c r="DT47" s="4" t="s">
        <v>5</v>
      </c>
      <c r="DU47" s="4" t="s">
        <v>5</v>
      </c>
    </row>
    <row r="48" spans="1:125" x14ac:dyDescent="0.25">
      <c r="A48" s="13" t="str">
        <f>IF(AND($E48="",MAX($A$8:$A47)=0),"",IF(AND($E48&lt;&gt;"",MAX($A$8:$A47)=0),1,IF(AND($E48&lt;&gt;"",MAX($A$8:$A47)&gt;0),MAX($A$8:$A47)+1,"")))</f>
        <v/>
      </c>
      <c r="B48" s="11">
        <v>41</v>
      </c>
      <c r="C48" s="19" t="str">
        <f t="shared" si="0"/>
        <v>EMPTY</v>
      </c>
      <c r="D48" s="3" t="str">
        <f>IF(C48="SHOW",CONCATENATE(Temp!T44,Temp!U44,",",Temp!V44,",",Temp!W44,Temp!X44),"")</f>
        <v/>
      </c>
      <c r="E48" s="7"/>
      <c r="F48" s="8" t="str">
        <f t="shared" si="1"/>
        <v/>
      </c>
      <c r="I48" s="4" t="s">
        <v>5</v>
      </c>
      <c r="J48" s="4" t="s">
        <v>5</v>
      </c>
      <c r="K48" s="4" t="s">
        <v>5</v>
      </c>
      <c r="L48" s="4" t="s">
        <v>5</v>
      </c>
      <c r="M48" s="4" t="s">
        <v>5</v>
      </c>
      <c r="N48" s="4" t="s">
        <v>5</v>
      </c>
      <c r="O48" s="4" t="s">
        <v>5</v>
      </c>
      <c r="P48" s="4" t="s">
        <v>5</v>
      </c>
      <c r="Q48" s="4" t="s">
        <v>5</v>
      </c>
      <c r="R48" s="4" t="s">
        <v>5</v>
      </c>
      <c r="S48" s="4" t="s">
        <v>5</v>
      </c>
      <c r="T48" s="4" t="s">
        <v>5</v>
      </c>
      <c r="U48" s="4" t="s">
        <v>5</v>
      </c>
      <c r="V48" s="4" t="s">
        <v>5</v>
      </c>
      <c r="W48" s="4" t="s">
        <v>5</v>
      </c>
      <c r="X48" s="4" t="s">
        <v>5</v>
      </c>
      <c r="Y48" s="4" t="s">
        <v>5</v>
      </c>
      <c r="Z48" s="4" t="s">
        <v>5</v>
      </c>
      <c r="AA48" s="4" t="s">
        <v>5</v>
      </c>
      <c r="AB48" s="4" t="s">
        <v>5</v>
      </c>
      <c r="AC48" s="4" t="s">
        <v>5</v>
      </c>
      <c r="AD48" s="4" t="s">
        <v>5</v>
      </c>
      <c r="AE48" s="4" t="s">
        <v>5</v>
      </c>
      <c r="AF48" s="4" t="s">
        <v>5</v>
      </c>
      <c r="AG48" s="4" t="s">
        <v>5</v>
      </c>
      <c r="AH48" s="4" t="s">
        <v>5</v>
      </c>
      <c r="AI48" s="4" t="s">
        <v>5</v>
      </c>
      <c r="AJ48" s="4" t="s">
        <v>5</v>
      </c>
      <c r="AK48" s="4" t="s">
        <v>5</v>
      </c>
      <c r="AL48" s="4" t="s">
        <v>5</v>
      </c>
      <c r="AM48" s="4" t="s">
        <v>5</v>
      </c>
      <c r="AN48" s="4" t="s">
        <v>5</v>
      </c>
      <c r="AO48" s="4" t="s">
        <v>5</v>
      </c>
      <c r="AQ48" s="4" t="s">
        <v>5</v>
      </c>
      <c r="AR48" s="4" t="s">
        <v>5</v>
      </c>
      <c r="AS48" s="4" t="s">
        <v>5</v>
      </c>
      <c r="AT48" s="4" t="s">
        <v>5</v>
      </c>
      <c r="AU48" s="4" t="s">
        <v>5</v>
      </c>
      <c r="AX48" s="4" t="s">
        <v>5</v>
      </c>
      <c r="AY48" s="4" t="s">
        <v>5</v>
      </c>
      <c r="BA48" s="4" t="s">
        <v>5</v>
      </c>
      <c r="BC48" s="4" t="s">
        <v>5</v>
      </c>
      <c r="BD48" s="4" t="s">
        <v>5</v>
      </c>
      <c r="BE48" s="4" t="s">
        <v>5</v>
      </c>
      <c r="BF48" s="4" t="s">
        <v>5</v>
      </c>
      <c r="BG48" s="4" t="s">
        <v>5</v>
      </c>
      <c r="BH48" s="4" t="s">
        <v>5</v>
      </c>
      <c r="BI48" s="4" t="s">
        <v>5</v>
      </c>
      <c r="BJ48" s="4" t="s">
        <v>5</v>
      </c>
      <c r="BK48" s="4" t="s">
        <v>5</v>
      </c>
      <c r="BL48" s="4" t="s">
        <v>5</v>
      </c>
      <c r="BM48" s="4" t="s">
        <v>5</v>
      </c>
      <c r="BN48" s="4" t="s">
        <v>5</v>
      </c>
      <c r="BO48" s="4" t="s">
        <v>5</v>
      </c>
      <c r="BP48" s="4" t="s">
        <v>5</v>
      </c>
      <c r="BQ48" s="4" t="s">
        <v>5</v>
      </c>
      <c r="BR48" s="4" t="s">
        <v>5</v>
      </c>
      <c r="BS48" s="4" t="s">
        <v>5</v>
      </c>
      <c r="BT48" s="4" t="s">
        <v>5</v>
      </c>
      <c r="BU48" s="4" t="s">
        <v>5</v>
      </c>
      <c r="BV48" s="4" t="s">
        <v>5</v>
      </c>
      <c r="BW48" s="4" t="s">
        <v>5</v>
      </c>
      <c r="BX48" s="4" t="s">
        <v>5</v>
      </c>
      <c r="BY48" s="4" t="s">
        <v>5</v>
      </c>
      <c r="BZ48" s="4" t="s">
        <v>5</v>
      </c>
      <c r="CA48" s="4" t="s">
        <v>5</v>
      </c>
      <c r="CB48" s="4" t="s">
        <v>5</v>
      </c>
      <c r="CC48" s="4" t="s">
        <v>5</v>
      </c>
      <c r="CD48" s="4" t="s">
        <v>5</v>
      </c>
      <c r="CE48" s="4" t="s">
        <v>5</v>
      </c>
      <c r="CF48" s="4" t="s">
        <v>5</v>
      </c>
      <c r="CG48" s="4" t="s">
        <v>5</v>
      </c>
      <c r="CH48" s="4" t="s">
        <v>5</v>
      </c>
      <c r="CI48" s="4" t="s">
        <v>5</v>
      </c>
      <c r="CJ48" s="4" t="s">
        <v>5</v>
      </c>
      <c r="CK48" s="4" t="s">
        <v>5</v>
      </c>
      <c r="CL48" s="4" t="s">
        <v>5</v>
      </c>
      <c r="CN48" s="4" t="s">
        <v>5</v>
      </c>
      <c r="CO48" s="4" t="s">
        <v>5</v>
      </c>
      <c r="CP48" s="4" t="s">
        <v>5</v>
      </c>
      <c r="CQ48" s="4" t="s">
        <v>5</v>
      </c>
      <c r="CR48" s="4" t="s">
        <v>5</v>
      </c>
      <c r="CS48" s="4" t="s">
        <v>5</v>
      </c>
      <c r="CT48" s="4" t="s">
        <v>5</v>
      </c>
      <c r="CU48" s="4" t="s">
        <v>5</v>
      </c>
      <c r="CV48" s="4" t="s">
        <v>5</v>
      </c>
      <c r="CW48" s="4" t="s">
        <v>5</v>
      </c>
      <c r="CY48" s="4" t="s">
        <v>5</v>
      </c>
      <c r="DC48" s="4" t="s">
        <v>5</v>
      </c>
      <c r="DD48" s="4" t="s">
        <v>5</v>
      </c>
      <c r="DE48" s="4" t="s">
        <v>5</v>
      </c>
      <c r="DF48" s="4" t="s">
        <v>5</v>
      </c>
      <c r="DG48" s="4" t="s">
        <v>5</v>
      </c>
      <c r="DH48" s="4" t="s">
        <v>5</v>
      </c>
      <c r="DQ48" s="4" t="s">
        <v>5</v>
      </c>
      <c r="DT48" s="4" t="s">
        <v>5</v>
      </c>
      <c r="DU48" s="4" t="s">
        <v>5</v>
      </c>
    </row>
    <row r="49" spans="1:125" x14ac:dyDescent="0.25">
      <c r="A49" s="13" t="str">
        <f>IF(AND($E49="",MAX($A$8:$A48)=0),"",IF(AND($E49&lt;&gt;"",MAX($A$8:$A48)=0),1,IF(AND($E49&lt;&gt;"",MAX($A$8:$A48)&gt;0),MAX($A$8:$A48)+1,"")))</f>
        <v/>
      </c>
      <c r="B49" s="11">
        <v>42</v>
      </c>
      <c r="C49" s="19" t="str">
        <f t="shared" si="0"/>
        <v>EMPTY</v>
      </c>
      <c r="D49" s="3" t="str">
        <f>IF(C49="SHOW",CONCATENATE(Temp!T45,Temp!U45,",",Temp!V45,",",Temp!W45,Temp!X45),"")</f>
        <v/>
      </c>
      <c r="E49" s="7"/>
      <c r="F49" s="8" t="str">
        <f t="shared" si="1"/>
        <v/>
      </c>
      <c r="I49" s="4" t="s">
        <v>5</v>
      </c>
      <c r="J49" s="4" t="s">
        <v>5</v>
      </c>
      <c r="K49" s="4" t="s">
        <v>5</v>
      </c>
      <c r="L49" s="4" t="s">
        <v>5</v>
      </c>
      <c r="M49" s="4" t="s">
        <v>5</v>
      </c>
      <c r="N49" s="4" t="s">
        <v>5</v>
      </c>
      <c r="O49" s="4" t="s">
        <v>5</v>
      </c>
      <c r="P49" s="4" t="s">
        <v>5</v>
      </c>
      <c r="Q49" s="4" t="s">
        <v>5</v>
      </c>
      <c r="R49" s="4" t="s">
        <v>5</v>
      </c>
      <c r="S49" s="4" t="s">
        <v>5</v>
      </c>
      <c r="T49" s="4" t="s">
        <v>5</v>
      </c>
      <c r="U49" s="4" t="s">
        <v>5</v>
      </c>
      <c r="V49" s="4" t="s">
        <v>5</v>
      </c>
      <c r="W49" s="4" t="s">
        <v>5</v>
      </c>
      <c r="X49" s="4" t="s">
        <v>5</v>
      </c>
      <c r="Y49" s="4" t="s">
        <v>5</v>
      </c>
      <c r="Z49" s="4" t="s">
        <v>5</v>
      </c>
      <c r="AA49" s="4" t="s">
        <v>5</v>
      </c>
      <c r="AB49" s="4" t="s">
        <v>5</v>
      </c>
      <c r="AC49" s="4" t="s">
        <v>5</v>
      </c>
      <c r="AD49" s="4" t="s">
        <v>5</v>
      </c>
      <c r="AE49" s="4" t="s">
        <v>5</v>
      </c>
      <c r="AF49" s="4" t="s">
        <v>5</v>
      </c>
      <c r="AG49" s="4" t="s">
        <v>5</v>
      </c>
      <c r="AH49" s="4" t="s">
        <v>5</v>
      </c>
      <c r="AI49" s="4" t="s">
        <v>5</v>
      </c>
      <c r="AJ49" s="4" t="s">
        <v>5</v>
      </c>
      <c r="AK49" s="4" t="s">
        <v>5</v>
      </c>
      <c r="AL49" s="4" t="s">
        <v>5</v>
      </c>
      <c r="AM49" s="4" t="s">
        <v>5</v>
      </c>
      <c r="AN49" s="4" t="s">
        <v>5</v>
      </c>
      <c r="AO49" s="4" t="s">
        <v>5</v>
      </c>
      <c r="AQ49" s="4" t="s">
        <v>5</v>
      </c>
      <c r="AR49" s="4" t="s">
        <v>5</v>
      </c>
      <c r="AS49" s="4" t="s">
        <v>5</v>
      </c>
      <c r="AT49" s="4" t="s">
        <v>5</v>
      </c>
      <c r="AU49" s="4" t="s">
        <v>5</v>
      </c>
      <c r="AX49" s="4" t="s">
        <v>5</v>
      </c>
      <c r="AY49" s="4" t="s">
        <v>5</v>
      </c>
      <c r="BA49" s="4" t="s">
        <v>5</v>
      </c>
      <c r="BC49" s="4" t="s">
        <v>5</v>
      </c>
      <c r="BD49" s="4" t="s">
        <v>5</v>
      </c>
      <c r="BE49" s="4" t="s">
        <v>5</v>
      </c>
      <c r="BF49" s="4" t="s">
        <v>5</v>
      </c>
      <c r="BG49" s="4" t="s">
        <v>5</v>
      </c>
      <c r="BH49" s="4" t="s">
        <v>5</v>
      </c>
      <c r="BI49" s="4" t="s">
        <v>5</v>
      </c>
      <c r="BJ49" s="4" t="s">
        <v>5</v>
      </c>
      <c r="BK49" s="4" t="s">
        <v>5</v>
      </c>
      <c r="BL49" s="4" t="s">
        <v>5</v>
      </c>
      <c r="BM49" s="4" t="s">
        <v>5</v>
      </c>
      <c r="BN49" s="4" t="s">
        <v>5</v>
      </c>
      <c r="BO49" s="4" t="s">
        <v>5</v>
      </c>
      <c r="BP49" s="4" t="s">
        <v>5</v>
      </c>
      <c r="BQ49" s="4" t="s">
        <v>5</v>
      </c>
      <c r="BR49" s="4" t="s">
        <v>5</v>
      </c>
      <c r="BS49" s="4" t="s">
        <v>5</v>
      </c>
      <c r="BT49" s="4" t="s">
        <v>5</v>
      </c>
      <c r="BU49" s="4" t="s">
        <v>5</v>
      </c>
      <c r="BV49" s="4" t="s">
        <v>5</v>
      </c>
      <c r="BW49" s="4" t="s">
        <v>5</v>
      </c>
      <c r="BX49" s="4" t="s">
        <v>5</v>
      </c>
      <c r="BY49" s="4" t="s">
        <v>5</v>
      </c>
      <c r="BZ49" s="4" t="s">
        <v>5</v>
      </c>
      <c r="CA49" s="4" t="s">
        <v>5</v>
      </c>
      <c r="CB49" s="4" t="s">
        <v>5</v>
      </c>
      <c r="CC49" s="4" t="s">
        <v>5</v>
      </c>
      <c r="CD49" s="4" t="s">
        <v>5</v>
      </c>
      <c r="CE49" s="4" t="s">
        <v>5</v>
      </c>
      <c r="CF49" s="4" t="s">
        <v>5</v>
      </c>
      <c r="CG49" s="4" t="s">
        <v>5</v>
      </c>
      <c r="CH49" s="4" t="s">
        <v>5</v>
      </c>
      <c r="CI49" s="4" t="s">
        <v>5</v>
      </c>
      <c r="CJ49" s="4" t="s">
        <v>5</v>
      </c>
      <c r="CK49" s="4" t="s">
        <v>5</v>
      </c>
      <c r="CL49" s="4" t="s">
        <v>5</v>
      </c>
      <c r="CN49" s="4" t="s">
        <v>5</v>
      </c>
      <c r="CO49" s="4" t="s">
        <v>5</v>
      </c>
      <c r="CP49" s="4" t="s">
        <v>5</v>
      </c>
      <c r="CQ49" s="4" t="s">
        <v>5</v>
      </c>
      <c r="CR49" s="4" t="s">
        <v>5</v>
      </c>
      <c r="CS49" s="4" t="s">
        <v>5</v>
      </c>
      <c r="CT49" s="4" t="s">
        <v>5</v>
      </c>
      <c r="CU49" s="4" t="s">
        <v>5</v>
      </c>
      <c r="CV49" s="4" t="s">
        <v>5</v>
      </c>
      <c r="CW49" s="4" t="s">
        <v>5</v>
      </c>
      <c r="CY49" s="4" t="s">
        <v>5</v>
      </c>
      <c r="DC49" s="4" t="s">
        <v>5</v>
      </c>
      <c r="DD49" s="4" t="s">
        <v>5</v>
      </c>
      <c r="DF49" s="4" t="s">
        <v>5</v>
      </c>
      <c r="DG49" s="4" t="s">
        <v>5</v>
      </c>
      <c r="DH49" s="4" t="s">
        <v>5</v>
      </c>
      <c r="DQ49" s="4" t="s">
        <v>5</v>
      </c>
      <c r="DT49" s="4" t="s">
        <v>5</v>
      </c>
      <c r="DU49" s="4" t="s">
        <v>5</v>
      </c>
    </row>
    <row r="50" spans="1:125" x14ac:dyDescent="0.25">
      <c r="A50" s="13" t="str">
        <f>IF(AND($E50="",MAX($A$8:$A49)=0),"",IF(AND($E50&lt;&gt;"",MAX($A$8:$A49)=0),1,IF(AND($E50&lt;&gt;"",MAX($A$8:$A49)&gt;0),MAX($A$8:$A49)+1,"")))</f>
        <v/>
      </c>
      <c r="B50" s="11">
        <v>43</v>
      </c>
      <c r="C50" s="19" t="str">
        <f t="shared" si="0"/>
        <v>EMPTY</v>
      </c>
      <c r="D50" s="3" t="str">
        <f>IF(C50="SHOW",CONCATENATE(Temp!T46,Temp!U46,",",Temp!V46,",",Temp!W46,Temp!X46),"")</f>
        <v/>
      </c>
      <c r="E50" s="7"/>
      <c r="F50" s="8" t="str">
        <f t="shared" si="1"/>
        <v/>
      </c>
      <c r="I50" s="4" t="s">
        <v>5</v>
      </c>
      <c r="J50" s="4" t="s">
        <v>5</v>
      </c>
      <c r="K50" s="4" t="s">
        <v>5</v>
      </c>
      <c r="L50" s="4" t="s">
        <v>5</v>
      </c>
      <c r="M50" s="4" t="s">
        <v>5</v>
      </c>
      <c r="N50" s="4" t="s">
        <v>5</v>
      </c>
      <c r="O50" s="4" t="s">
        <v>5</v>
      </c>
      <c r="P50" s="4" t="s">
        <v>5</v>
      </c>
      <c r="Q50" s="4" t="s">
        <v>5</v>
      </c>
      <c r="R50" s="4" t="s">
        <v>5</v>
      </c>
      <c r="S50" s="4" t="s">
        <v>5</v>
      </c>
      <c r="T50" s="4" t="s">
        <v>5</v>
      </c>
      <c r="U50" s="4" t="s">
        <v>5</v>
      </c>
      <c r="V50" s="4" t="s">
        <v>5</v>
      </c>
      <c r="W50" s="4" t="s">
        <v>5</v>
      </c>
      <c r="X50" s="4" t="s">
        <v>5</v>
      </c>
      <c r="Y50" s="4" t="s">
        <v>5</v>
      </c>
      <c r="Z50" s="4" t="s">
        <v>5</v>
      </c>
      <c r="AA50" s="4" t="s">
        <v>5</v>
      </c>
      <c r="AB50" s="4" t="s">
        <v>5</v>
      </c>
      <c r="AC50" s="4" t="s">
        <v>5</v>
      </c>
      <c r="AD50" s="4" t="s">
        <v>5</v>
      </c>
      <c r="AE50" s="4" t="s">
        <v>5</v>
      </c>
      <c r="AF50" s="4" t="s">
        <v>5</v>
      </c>
      <c r="AG50" s="4" t="s">
        <v>5</v>
      </c>
      <c r="AH50" s="4" t="s">
        <v>5</v>
      </c>
      <c r="AI50" s="4" t="s">
        <v>5</v>
      </c>
      <c r="AJ50" s="4" t="s">
        <v>5</v>
      </c>
      <c r="AK50" s="4" t="s">
        <v>5</v>
      </c>
      <c r="AL50" s="4" t="s">
        <v>5</v>
      </c>
      <c r="AM50" s="4" t="s">
        <v>5</v>
      </c>
      <c r="AN50" s="4" t="s">
        <v>5</v>
      </c>
      <c r="AO50" s="4" t="s">
        <v>5</v>
      </c>
      <c r="AQ50" s="4" t="s">
        <v>5</v>
      </c>
      <c r="AR50" s="4" t="s">
        <v>5</v>
      </c>
      <c r="AS50" s="4" t="s">
        <v>5</v>
      </c>
      <c r="AT50" s="4" t="s">
        <v>5</v>
      </c>
      <c r="AU50" s="4" t="s">
        <v>5</v>
      </c>
      <c r="AX50" s="4" t="s">
        <v>5</v>
      </c>
      <c r="AY50" s="4" t="s">
        <v>5</v>
      </c>
      <c r="BA50" s="4" t="s">
        <v>5</v>
      </c>
      <c r="BC50" s="4" t="s">
        <v>5</v>
      </c>
      <c r="BD50" s="4" t="s">
        <v>5</v>
      </c>
      <c r="BE50" s="4" t="s">
        <v>5</v>
      </c>
      <c r="BF50" s="4" t="s">
        <v>5</v>
      </c>
      <c r="BG50" s="4" t="s">
        <v>5</v>
      </c>
      <c r="BH50" s="4" t="s">
        <v>5</v>
      </c>
      <c r="BI50" s="4" t="s">
        <v>5</v>
      </c>
      <c r="BJ50" s="4" t="s">
        <v>5</v>
      </c>
      <c r="BK50" s="4" t="s">
        <v>5</v>
      </c>
      <c r="BL50" s="4" t="s">
        <v>5</v>
      </c>
      <c r="BM50" s="4" t="s">
        <v>5</v>
      </c>
      <c r="BN50" s="4" t="s">
        <v>5</v>
      </c>
      <c r="BO50" s="4" t="s">
        <v>5</v>
      </c>
      <c r="BP50" s="4" t="s">
        <v>5</v>
      </c>
      <c r="BQ50" s="4" t="s">
        <v>5</v>
      </c>
      <c r="BR50" s="4" t="s">
        <v>5</v>
      </c>
      <c r="BS50" s="4" t="s">
        <v>5</v>
      </c>
      <c r="BT50" s="4" t="s">
        <v>5</v>
      </c>
      <c r="BU50" s="4" t="s">
        <v>5</v>
      </c>
      <c r="BV50" s="4" t="s">
        <v>5</v>
      </c>
      <c r="BW50" s="4" t="s">
        <v>5</v>
      </c>
      <c r="BX50" s="4" t="s">
        <v>5</v>
      </c>
      <c r="BY50" s="4" t="s">
        <v>5</v>
      </c>
      <c r="BZ50" s="4" t="s">
        <v>5</v>
      </c>
      <c r="CA50" s="4" t="s">
        <v>5</v>
      </c>
      <c r="CB50" s="4" t="s">
        <v>5</v>
      </c>
      <c r="CC50" s="4" t="s">
        <v>5</v>
      </c>
      <c r="CD50" s="4" t="s">
        <v>5</v>
      </c>
      <c r="CE50" s="4" t="s">
        <v>5</v>
      </c>
      <c r="CF50" s="4" t="s">
        <v>5</v>
      </c>
      <c r="CG50" s="4" t="s">
        <v>5</v>
      </c>
      <c r="CH50" s="4" t="s">
        <v>5</v>
      </c>
      <c r="CI50" s="4" t="s">
        <v>5</v>
      </c>
      <c r="CJ50" s="4" t="s">
        <v>5</v>
      </c>
      <c r="CK50" s="4" t="s">
        <v>5</v>
      </c>
      <c r="CL50" s="4" t="s">
        <v>5</v>
      </c>
      <c r="CN50" s="4" t="s">
        <v>5</v>
      </c>
      <c r="CP50" s="4" t="s">
        <v>5</v>
      </c>
      <c r="CQ50" s="4" t="s">
        <v>5</v>
      </c>
      <c r="CR50" s="4" t="s">
        <v>5</v>
      </c>
      <c r="CS50" s="4" t="s">
        <v>5</v>
      </c>
      <c r="CT50" s="4" t="s">
        <v>5</v>
      </c>
      <c r="CU50" s="4" t="s">
        <v>5</v>
      </c>
      <c r="CV50" s="4" t="s">
        <v>5</v>
      </c>
      <c r="CW50" s="4" t="s">
        <v>5</v>
      </c>
      <c r="CY50" s="4" t="s">
        <v>5</v>
      </c>
      <c r="DC50" s="4" t="s">
        <v>5</v>
      </c>
      <c r="DD50" s="4" t="s">
        <v>5</v>
      </c>
      <c r="DF50" s="4" t="s">
        <v>5</v>
      </c>
      <c r="DG50" s="4" t="s">
        <v>5</v>
      </c>
      <c r="DH50" s="4" t="s">
        <v>5</v>
      </c>
      <c r="DT50" s="4" t="s">
        <v>5</v>
      </c>
      <c r="DU50" s="4" t="s">
        <v>5</v>
      </c>
    </row>
    <row r="51" spans="1:125" x14ac:dyDescent="0.25">
      <c r="A51" s="13" t="str">
        <f>IF(AND($E51="",MAX($A$8:$A50)=0),"",IF(AND($E51&lt;&gt;"",MAX($A$8:$A50)=0),1,IF(AND($E51&lt;&gt;"",MAX($A$8:$A50)&gt;0),MAX($A$8:$A50)+1,"")))</f>
        <v/>
      </c>
      <c r="B51" s="11">
        <v>44</v>
      </c>
      <c r="C51" s="19" t="str">
        <f t="shared" si="0"/>
        <v>EMPTY</v>
      </c>
      <c r="D51" s="3" t="str">
        <f>IF(C51="SHOW",CONCATENATE(Temp!T47,Temp!U47,",",Temp!V47,",",Temp!W47,Temp!X47),"")</f>
        <v/>
      </c>
      <c r="E51" s="7"/>
      <c r="F51" s="8" t="str">
        <f t="shared" si="1"/>
        <v/>
      </c>
      <c r="I51" s="4" t="s">
        <v>5</v>
      </c>
      <c r="J51" s="4" t="s">
        <v>5</v>
      </c>
      <c r="K51" s="4" t="s">
        <v>5</v>
      </c>
      <c r="L51" s="4" t="s">
        <v>5</v>
      </c>
      <c r="M51" s="4" t="s">
        <v>5</v>
      </c>
      <c r="N51" s="4" t="s">
        <v>5</v>
      </c>
      <c r="P51" s="4" t="s">
        <v>5</v>
      </c>
      <c r="Q51" s="4" t="s">
        <v>5</v>
      </c>
      <c r="R51" s="4" t="s">
        <v>5</v>
      </c>
      <c r="S51" s="4" t="s">
        <v>5</v>
      </c>
      <c r="T51" s="4" t="s">
        <v>5</v>
      </c>
      <c r="U51" s="4" t="s">
        <v>5</v>
      </c>
      <c r="V51" s="4" t="s">
        <v>5</v>
      </c>
      <c r="W51" s="4" t="s">
        <v>5</v>
      </c>
      <c r="X51" s="4" t="s">
        <v>5</v>
      </c>
      <c r="Y51" s="4" t="s">
        <v>5</v>
      </c>
      <c r="Z51" s="4" t="s">
        <v>5</v>
      </c>
      <c r="AA51" s="4" t="s">
        <v>5</v>
      </c>
      <c r="AB51" s="4" t="s">
        <v>5</v>
      </c>
      <c r="AC51" s="4" t="s">
        <v>5</v>
      </c>
      <c r="AD51" s="4" t="s">
        <v>5</v>
      </c>
      <c r="AE51" s="4" t="s">
        <v>5</v>
      </c>
      <c r="AF51" s="4" t="s">
        <v>5</v>
      </c>
      <c r="AG51" s="4" t="s">
        <v>5</v>
      </c>
      <c r="AH51" s="4" t="s">
        <v>5</v>
      </c>
      <c r="AI51" s="4" t="s">
        <v>5</v>
      </c>
      <c r="AJ51" s="4" t="s">
        <v>5</v>
      </c>
      <c r="AK51" s="4" t="s">
        <v>5</v>
      </c>
      <c r="AL51" s="4" t="s">
        <v>5</v>
      </c>
      <c r="AM51" s="4" t="s">
        <v>5</v>
      </c>
      <c r="AN51" s="4" t="s">
        <v>5</v>
      </c>
      <c r="AO51" s="4" t="s">
        <v>5</v>
      </c>
      <c r="AQ51" s="4" t="s">
        <v>5</v>
      </c>
      <c r="AR51" s="4" t="s">
        <v>5</v>
      </c>
      <c r="AS51" s="4" t="s">
        <v>5</v>
      </c>
      <c r="AT51" s="4" t="s">
        <v>5</v>
      </c>
      <c r="AU51" s="4" t="s">
        <v>5</v>
      </c>
      <c r="AX51" s="4" t="s">
        <v>5</v>
      </c>
      <c r="AY51" s="4" t="s">
        <v>5</v>
      </c>
      <c r="BA51" s="4" t="s">
        <v>5</v>
      </c>
      <c r="BC51" s="4" t="s">
        <v>5</v>
      </c>
      <c r="BD51" s="4" t="s">
        <v>5</v>
      </c>
      <c r="BE51" s="4" t="s">
        <v>5</v>
      </c>
      <c r="BF51" s="4" t="s">
        <v>5</v>
      </c>
      <c r="BG51" s="4" t="s">
        <v>5</v>
      </c>
      <c r="BH51" s="4" t="s">
        <v>5</v>
      </c>
      <c r="BI51" s="4" t="s">
        <v>5</v>
      </c>
      <c r="BJ51" s="4" t="s">
        <v>5</v>
      </c>
      <c r="BK51" s="4" t="s">
        <v>5</v>
      </c>
      <c r="BL51" s="4" t="s">
        <v>5</v>
      </c>
      <c r="BM51" s="4" t="s">
        <v>5</v>
      </c>
      <c r="BN51" s="4" t="s">
        <v>5</v>
      </c>
      <c r="BO51" s="4" t="s">
        <v>5</v>
      </c>
      <c r="BP51" s="4" t="s">
        <v>5</v>
      </c>
      <c r="BQ51" s="4" t="s">
        <v>5</v>
      </c>
      <c r="BR51" s="4" t="s">
        <v>5</v>
      </c>
      <c r="BS51" s="4" t="s">
        <v>5</v>
      </c>
      <c r="BT51" s="4" t="s">
        <v>5</v>
      </c>
      <c r="BU51" s="4" t="s">
        <v>5</v>
      </c>
      <c r="BV51" s="4" t="s">
        <v>5</v>
      </c>
      <c r="BW51" s="4" t="s">
        <v>5</v>
      </c>
      <c r="BX51" s="4" t="s">
        <v>5</v>
      </c>
      <c r="BY51" s="4" t="s">
        <v>5</v>
      </c>
      <c r="BZ51" s="4" t="s">
        <v>5</v>
      </c>
      <c r="CA51" s="4" t="s">
        <v>5</v>
      </c>
      <c r="CB51" s="4" t="s">
        <v>5</v>
      </c>
      <c r="CC51" s="4" t="s">
        <v>5</v>
      </c>
      <c r="CD51" s="4" t="s">
        <v>5</v>
      </c>
      <c r="CE51" s="4" t="s">
        <v>5</v>
      </c>
      <c r="CF51" s="4" t="s">
        <v>5</v>
      </c>
      <c r="CG51" s="4" t="s">
        <v>5</v>
      </c>
      <c r="CH51" s="4" t="s">
        <v>5</v>
      </c>
      <c r="CI51" s="4" t="s">
        <v>5</v>
      </c>
      <c r="CJ51" s="4" t="s">
        <v>5</v>
      </c>
      <c r="CK51" s="4" t="s">
        <v>5</v>
      </c>
      <c r="CN51" s="4" t="s">
        <v>5</v>
      </c>
      <c r="CP51" s="4" t="s">
        <v>5</v>
      </c>
      <c r="CQ51" s="4" t="s">
        <v>5</v>
      </c>
      <c r="CR51" s="4" t="s">
        <v>5</v>
      </c>
      <c r="CS51" s="4" t="s">
        <v>5</v>
      </c>
      <c r="CT51" s="4" t="s">
        <v>5</v>
      </c>
      <c r="CU51" s="4" t="s">
        <v>5</v>
      </c>
      <c r="CV51" s="4" t="s">
        <v>5</v>
      </c>
      <c r="CW51" s="4" t="s">
        <v>5</v>
      </c>
      <c r="CY51" s="4" t="s">
        <v>5</v>
      </c>
      <c r="DC51" s="4" t="s">
        <v>5</v>
      </c>
      <c r="DD51" s="4" t="s">
        <v>5</v>
      </c>
      <c r="DF51" s="4" t="s">
        <v>5</v>
      </c>
      <c r="DG51" s="4" t="s">
        <v>5</v>
      </c>
      <c r="DH51" s="4" t="s">
        <v>5</v>
      </c>
      <c r="DT51" s="4" t="s">
        <v>5</v>
      </c>
      <c r="DU51" s="4" t="s">
        <v>5</v>
      </c>
    </row>
    <row r="52" spans="1:125" x14ac:dyDescent="0.25">
      <c r="A52" s="13" t="str">
        <f>IF(AND($E52="",MAX($A$8:$A51)=0),"",IF(AND($E52&lt;&gt;"",MAX($A$8:$A51)=0),1,IF(AND($E52&lt;&gt;"",MAX($A$8:$A51)&gt;0),MAX($A$8:$A51)+1,"")))</f>
        <v/>
      </c>
      <c r="B52" s="11">
        <v>45</v>
      </c>
      <c r="C52" s="19" t="str">
        <f t="shared" si="0"/>
        <v>EMPTY</v>
      </c>
      <c r="D52" s="3" t="str">
        <f>IF(C52="SHOW",CONCATENATE(Temp!T48,Temp!U48,",",Temp!V48,",",Temp!W48,Temp!X48),"")</f>
        <v/>
      </c>
      <c r="E52" s="7"/>
      <c r="F52" s="8" t="str">
        <f t="shared" si="1"/>
        <v/>
      </c>
      <c r="I52" s="4" t="s">
        <v>5</v>
      </c>
      <c r="J52" s="4" t="s">
        <v>5</v>
      </c>
      <c r="K52" s="4" t="s">
        <v>5</v>
      </c>
      <c r="L52" s="4" t="s">
        <v>5</v>
      </c>
      <c r="M52" s="4" t="s">
        <v>5</v>
      </c>
      <c r="N52" s="4" t="s">
        <v>5</v>
      </c>
      <c r="P52" s="4" t="s">
        <v>5</v>
      </c>
      <c r="Q52" s="4" t="s">
        <v>5</v>
      </c>
      <c r="R52" s="4" t="s">
        <v>5</v>
      </c>
      <c r="S52" s="4" t="s">
        <v>5</v>
      </c>
      <c r="T52" s="4" t="s">
        <v>5</v>
      </c>
      <c r="U52" s="4" t="s">
        <v>5</v>
      </c>
      <c r="V52" s="4" t="s">
        <v>5</v>
      </c>
      <c r="W52" s="4" t="s">
        <v>5</v>
      </c>
      <c r="X52" s="4" t="s">
        <v>5</v>
      </c>
      <c r="Y52" s="4" t="s">
        <v>5</v>
      </c>
      <c r="Z52" s="4" t="s">
        <v>5</v>
      </c>
      <c r="AA52" s="4" t="s">
        <v>5</v>
      </c>
      <c r="AB52" s="4" t="s">
        <v>5</v>
      </c>
      <c r="AC52" s="4" t="s">
        <v>5</v>
      </c>
      <c r="AD52" s="4" t="s">
        <v>5</v>
      </c>
      <c r="AE52" s="4" t="s">
        <v>5</v>
      </c>
      <c r="AF52" s="4" t="s">
        <v>5</v>
      </c>
      <c r="AG52" s="4" t="s">
        <v>5</v>
      </c>
      <c r="AH52" s="4" t="s">
        <v>5</v>
      </c>
      <c r="AI52" s="4" t="s">
        <v>5</v>
      </c>
      <c r="AJ52" s="4" t="s">
        <v>5</v>
      </c>
      <c r="AK52" s="4" t="s">
        <v>5</v>
      </c>
      <c r="AL52" s="4" t="s">
        <v>5</v>
      </c>
      <c r="AM52" s="4" t="s">
        <v>5</v>
      </c>
      <c r="AN52" s="4" t="s">
        <v>5</v>
      </c>
      <c r="AO52" s="4" t="s">
        <v>5</v>
      </c>
      <c r="AQ52" s="4" t="s">
        <v>5</v>
      </c>
      <c r="AR52" s="4" t="s">
        <v>5</v>
      </c>
      <c r="AS52" s="4" t="s">
        <v>5</v>
      </c>
      <c r="AT52" s="4" t="s">
        <v>5</v>
      </c>
      <c r="AU52" s="4" t="s">
        <v>5</v>
      </c>
      <c r="AX52" s="4" t="s">
        <v>5</v>
      </c>
      <c r="AY52" s="4" t="s">
        <v>5</v>
      </c>
      <c r="BA52" s="4" t="s">
        <v>5</v>
      </c>
      <c r="BC52" s="4" t="s">
        <v>5</v>
      </c>
      <c r="BD52" s="4" t="s">
        <v>5</v>
      </c>
      <c r="BE52" s="4" t="s">
        <v>5</v>
      </c>
      <c r="BF52" s="4" t="s">
        <v>5</v>
      </c>
      <c r="BG52" s="4" t="s">
        <v>5</v>
      </c>
      <c r="BH52" s="4" t="s">
        <v>5</v>
      </c>
      <c r="BI52" s="4" t="s">
        <v>5</v>
      </c>
      <c r="BJ52" s="4" t="s">
        <v>5</v>
      </c>
      <c r="BK52" s="4" t="s">
        <v>5</v>
      </c>
      <c r="BL52" s="4" t="s">
        <v>5</v>
      </c>
      <c r="BM52" s="4" t="s">
        <v>5</v>
      </c>
      <c r="BN52" s="4" t="s">
        <v>5</v>
      </c>
      <c r="BO52" s="4" t="s">
        <v>5</v>
      </c>
      <c r="BP52" s="4" t="s">
        <v>5</v>
      </c>
      <c r="BQ52" s="4" t="s">
        <v>5</v>
      </c>
      <c r="BR52" s="4" t="s">
        <v>5</v>
      </c>
      <c r="BS52" s="4" t="s">
        <v>5</v>
      </c>
      <c r="BT52" s="4" t="s">
        <v>5</v>
      </c>
      <c r="BU52" s="4" t="s">
        <v>5</v>
      </c>
      <c r="BV52" s="4" t="s">
        <v>5</v>
      </c>
      <c r="BW52" s="4" t="s">
        <v>5</v>
      </c>
      <c r="BX52" s="4" t="s">
        <v>5</v>
      </c>
      <c r="BY52" s="4" t="s">
        <v>5</v>
      </c>
      <c r="BZ52" s="4" t="s">
        <v>5</v>
      </c>
      <c r="CA52" s="4" t="s">
        <v>5</v>
      </c>
      <c r="CB52" s="4" t="s">
        <v>5</v>
      </c>
      <c r="CC52" s="4" t="s">
        <v>5</v>
      </c>
      <c r="CD52" s="4" t="s">
        <v>5</v>
      </c>
      <c r="CE52" s="4" t="s">
        <v>5</v>
      </c>
      <c r="CH52" s="4" t="s">
        <v>5</v>
      </c>
      <c r="CK52" s="4" t="s">
        <v>5</v>
      </c>
      <c r="CN52" s="4" t="s">
        <v>5</v>
      </c>
      <c r="CP52" s="4" t="s">
        <v>5</v>
      </c>
      <c r="CQ52" s="4" t="s">
        <v>5</v>
      </c>
      <c r="CR52" s="4" t="s">
        <v>5</v>
      </c>
      <c r="CS52" s="4" t="s">
        <v>5</v>
      </c>
      <c r="CT52" s="4" t="s">
        <v>5</v>
      </c>
      <c r="CU52" s="4" t="s">
        <v>5</v>
      </c>
      <c r="CV52" s="4" t="s">
        <v>5</v>
      </c>
      <c r="CW52" s="4" t="s">
        <v>5</v>
      </c>
      <c r="CY52" s="4" t="s">
        <v>5</v>
      </c>
      <c r="DC52" s="4" t="s">
        <v>5</v>
      </c>
      <c r="DD52" s="4" t="s">
        <v>5</v>
      </c>
      <c r="DF52" s="4" t="s">
        <v>5</v>
      </c>
      <c r="DG52" s="4" t="s">
        <v>5</v>
      </c>
      <c r="DH52" s="4" t="s">
        <v>5</v>
      </c>
      <c r="DT52" s="4" t="s">
        <v>5</v>
      </c>
      <c r="DU52" s="4" t="s">
        <v>5</v>
      </c>
    </row>
    <row r="53" spans="1:125" x14ac:dyDescent="0.25">
      <c r="A53" s="13" t="str">
        <f>IF(AND($E53="",MAX($A$8:$A52)=0),"",IF(AND($E53&lt;&gt;"",MAX($A$8:$A52)=0),1,IF(AND($E53&lt;&gt;"",MAX($A$8:$A52)&gt;0),MAX($A$8:$A52)+1,"")))</f>
        <v/>
      </c>
      <c r="B53" s="11">
        <v>46</v>
      </c>
      <c r="C53" s="19" t="str">
        <f t="shared" si="0"/>
        <v>EMPTY</v>
      </c>
      <c r="D53" s="3" t="str">
        <f>IF(C53="SHOW",CONCATENATE(Temp!T49,Temp!U49,",",Temp!V49,",",Temp!W49,Temp!X49),"")</f>
        <v/>
      </c>
      <c r="E53" s="7"/>
      <c r="F53" s="8" t="str">
        <f t="shared" si="1"/>
        <v/>
      </c>
      <c r="I53" s="4" t="s">
        <v>5</v>
      </c>
      <c r="J53" s="4" t="s">
        <v>5</v>
      </c>
      <c r="K53" s="4" t="s">
        <v>5</v>
      </c>
      <c r="L53" s="4" t="s">
        <v>5</v>
      </c>
      <c r="M53" s="4" t="s">
        <v>5</v>
      </c>
      <c r="N53" s="4" t="s">
        <v>5</v>
      </c>
      <c r="P53" s="4" t="s">
        <v>5</v>
      </c>
      <c r="Q53" s="4" t="s">
        <v>5</v>
      </c>
      <c r="R53" s="4" t="s">
        <v>5</v>
      </c>
      <c r="S53" s="4" t="s">
        <v>5</v>
      </c>
      <c r="T53" s="4" t="s">
        <v>5</v>
      </c>
      <c r="U53" s="4" t="s">
        <v>5</v>
      </c>
      <c r="V53" s="4" t="s">
        <v>5</v>
      </c>
      <c r="W53" s="4" t="s">
        <v>5</v>
      </c>
      <c r="X53" s="4" t="s">
        <v>5</v>
      </c>
      <c r="Y53" s="4" t="s">
        <v>5</v>
      </c>
      <c r="Z53" s="4" t="s">
        <v>5</v>
      </c>
      <c r="AA53" s="4" t="s">
        <v>5</v>
      </c>
      <c r="AB53" s="4" t="s">
        <v>5</v>
      </c>
      <c r="AC53" s="4" t="s">
        <v>5</v>
      </c>
      <c r="AD53" s="4" t="s">
        <v>5</v>
      </c>
      <c r="AE53" s="4" t="s">
        <v>5</v>
      </c>
      <c r="AF53" s="4" t="s">
        <v>5</v>
      </c>
      <c r="AG53" s="4" t="s">
        <v>5</v>
      </c>
      <c r="AH53" s="4" t="s">
        <v>5</v>
      </c>
      <c r="AI53" s="4" t="s">
        <v>5</v>
      </c>
      <c r="AJ53" s="4" t="s">
        <v>5</v>
      </c>
      <c r="AK53" s="4" t="s">
        <v>5</v>
      </c>
      <c r="AL53" s="4" t="s">
        <v>5</v>
      </c>
      <c r="AM53" s="4" t="s">
        <v>5</v>
      </c>
      <c r="AN53" s="4" t="s">
        <v>5</v>
      </c>
      <c r="AO53" s="4" t="s">
        <v>5</v>
      </c>
      <c r="AQ53" s="4" t="s">
        <v>5</v>
      </c>
      <c r="AR53" s="4" t="s">
        <v>5</v>
      </c>
      <c r="AS53" s="4" t="s">
        <v>5</v>
      </c>
      <c r="AT53" s="4" t="s">
        <v>5</v>
      </c>
      <c r="AU53" s="4" t="s">
        <v>5</v>
      </c>
      <c r="AX53" s="4" t="s">
        <v>5</v>
      </c>
      <c r="AY53" s="4" t="s">
        <v>5</v>
      </c>
      <c r="BC53" s="4" t="s">
        <v>5</v>
      </c>
      <c r="BD53" s="4" t="s">
        <v>5</v>
      </c>
      <c r="BE53" s="4" t="s">
        <v>5</v>
      </c>
      <c r="BF53" s="4" t="s">
        <v>5</v>
      </c>
      <c r="BG53" s="4" t="s">
        <v>5</v>
      </c>
      <c r="BH53" s="4" t="s">
        <v>5</v>
      </c>
      <c r="BI53" s="4" t="s">
        <v>5</v>
      </c>
      <c r="BJ53" s="4" t="s">
        <v>5</v>
      </c>
      <c r="BK53" s="4" t="s">
        <v>5</v>
      </c>
      <c r="BL53" s="4" t="s">
        <v>5</v>
      </c>
      <c r="BM53" s="4" t="s">
        <v>5</v>
      </c>
      <c r="BN53" s="4" t="s">
        <v>5</v>
      </c>
      <c r="BO53" s="4" t="s">
        <v>5</v>
      </c>
      <c r="BP53" s="4" t="s">
        <v>5</v>
      </c>
      <c r="BQ53" s="4" t="s">
        <v>5</v>
      </c>
      <c r="BR53" s="4" t="s">
        <v>5</v>
      </c>
      <c r="BS53" s="4" t="s">
        <v>5</v>
      </c>
      <c r="BT53" s="4" t="s">
        <v>5</v>
      </c>
      <c r="BU53" s="4" t="s">
        <v>5</v>
      </c>
      <c r="BV53" s="4" t="s">
        <v>5</v>
      </c>
      <c r="BW53" s="4" t="s">
        <v>5</v>
      </c>
      <c r="BX53" s="4" t="s">
        <v>5</v>
      </c>
      <c r="BY53" s="4" t="s">
        <v>5</v>
      </c>
      <c r="BZ53" s="4" t="s">
        <v>5</v>
      </c>
      <c r="CA53" s="4" t="s">
        <v>5</v>
      </c>
      <c r="CB53" s="4" t="s">
        <v>5</v>
      </c>
      <c r="CC53" s="4" t="s">
        <v>5</v>
      </c>
      <c r="CD53" s="4" t="s">
        <v>5</v>
      </c>
      <c r="CE53" s="4" t="s">
        <v>5</v>
      </c>
      <c r="CH53" s="4" t="s">
        <v>5</v>
      </c>
      <c r="CK53" s="4" t="s">
        <v>5</v>
      </c>
      <c r="CN53" s="4" t="s">
        <v>5</v>
      </c>
      <c r="CP53" s="4" t="s">
        <v>5</v>
      </c>
      <c r="CQ53" s="4" t="s">
        <v>5</v>
      </c>
      <c r="CS53" s="4" t="s">
        <v>5</v>
      </c>
      <c r="CT53" s="4" t="s">
        <v>5</v>
      </c>
      <c r="CU53" s="4" t="s">
        <v>5</v>
      </c>
      <c r="CV53" s="4" t="s">
        <v>5</v>
      </c>
      <c r="CW53" s="4" t="s">
        <v>5</v>
      </c>
      <c r="CY53" s="4" t="s">
        <v>5</v>
      </c>
      <c r="DC53" s="4" t="s">
        <v>5</v>
      </c>
      <c r="DD53" s="4" t="s">
        <v>5</v>
      </c>
      <c r="DF53" s="4" t="s">
        <v>5</v>
      </c>
      <c r="DG53" s="4" t="s">
        <v>5</v>
      </c>
      <c r="DH53" s="4" t="s">
        <v>5</v>
      </c>
      <c r="DT53" s="4" t="s">
        <v>5</v>
      </c>
      <c r="DU53" s="4" t="s">
        <v>5</v>
      </c>
    </row>
    <row r="54" spans="1:125" x14ac:dyDescent="0.25">
      <c r="A54" s="13" t="str">
        <f>IF(AND($E54="",MAX($A$8:$A53)=0),"",IF(AND($E54&lt;&gt;"",MAX($A$8:$A53)=0),1,IF(AND($E54&lt;&gt;"",MAX($A$8:$A53)&gt;0),MAX($A$8:$A53)+1,"")))</f>
        <v/>
      </c>
      <c r="B54" s="11">
        <v>47</v>
      </c>
      <c r="C54" s="19" t="str">
        <f t="shared" si="0"/>
        <v>EMPTY</v>
      </c>
      <c r="D54" s="3" t="str">
        <f>IF(C54="SHOW",CONCATENATE(Temp!T50,Temp!U50,",",Temp!V50,",",Temp!W50,Temp!X50),"")</f>
        <v/>
      </c>
      <c r="E54" s="7"/>
      <c r="F54" s="8" t="str">
        <f t="shared" si="1"/>
        <v/>
      </c>
      <c r="I54" s="4" t="s">
        <v>5</v>
      </c>
      <c r="J54" s="4" t="s">
        <v>5</v>
      </c>
      <c r="K54" s="4" t="s">
        <v>5</v>
      </c>
      <c r="L54" s="4" t="s">
        <v>5</v>
      </c>
      <c r="M54" s="4" t="s">
        <v>5</v>
      </c>
      <c r="N54" s="4" t="s">
        <v>5</v>
      </c>
      <c r="P54" s="4" t="s">
        <v>5</v>
      </c>
      <c r="Q54" s="4" t="s">
        <v>5</v>
      </c>
      <c r="R54" s="4" t="s">
        <v>5</v>
      </c>
      <c r="S54" s="4" t="s">
        <v>5</v>
      </c>
      <c r="T54" s="4" t="s">
        <v>5</v>
      </c>
      <c r="U54" s="4" t="s">
        <v>5</v>
      </c>
      <c r="V54" s="4" t="s">
        <v>5</v>
      </c>
      <c r="W54" s="4" t="s">
        <v>5</v>
      </c>
      <c r="X54" s="4" t="s">
        <v>5</v>
      </c>
      <c r="Y54" s="4" t="s">
        <v>5</v>
      </c>
      <c r="Z54" s="4" t="s">
        <v>5</v>
      </c>
      <c r="AA54" s="4" t="s">
        <v>5</v>
      </c>
      <c r="AB54" s="4" t="s">
        <v>5</v>
      </c>
      <c r="AC54" s="4" t="s">
        <v>5</v>
      </c>
      <c r="AD54" s="4" t="s">
        <v>5</v>
      </c>
      <c r="AE54" s="4" t="s">
        <v>5</v>
      </c>
      <c r="AF54" s="4" t="s">
        <v>5</v>
      </c>
      <c r="AG54" s="4" t="s">
        <v>5</v>
      </c>
      <c r="AH54" s="4" t="s">
        <v>5</v>
      </c>
      <c r="AI54" s="4" t="s">
        <v>5</v>
      </c>
      <c r="AJ54" s="4" t="s">
        <v>5</v>
      </c>
      <c r="AK54" s="4" t="s">
        <v>5</v>
      </c>
      <c r="AL54" s="4" t="s">
        <v>5</v>
      </c>
      <c r="AM54" s="4" t="s">
        <v>5</v>
      </c>
      <c r="AN54" s="4" t="s">
        <v>5</v>
      </c>
      <c r="AO54" s="4" t="s">
        <v>5</v>
      </c>
      <c r="AQ54" s="4" t="s">
        <v>5</v>
      </c>
      <c r="AR54" s="4" t="s">
        <v>5</v>
      </c>
      <c r="AS54" s="4" t="s">
        <v>5</v>
      </c>
      <c r="AT54" s="4" t="s">
        <v>5</v>
      </c>
      <c r="AU54" s="4" t="s">
        <v>5</v>
      </c>
      <c r="AX54" s="4" t="s">
        <v>5</v>
      </c>
      <c r="AY54" s="4" t="s">
        <v>5</v>
      </c>
      <c r="BC54" s="4" t="s">
        <v>5</v>
      </c>
      <c r="BD54" s="4" t="s">
        <v>5</v>
      </c>
      <c r="BE54" s="4" t="s">
        <v>5</v>
      </c>
      <c r="BF54" s="4" t="s">
        <v>5</v>
      </c>
      <c r="BI54" s="4" t="s">
        <v>5</v>
      </c>
      <c r="BJ54" s="4" t="s">
        <v>5</v>
      </c>
      <c r="BK54" s="4" t="s">
        <v>5</v>
      </c>
      <c r="BL54" s="4" t="s">
        <v>5</v>
      </c>
      <c r="BM54" s="4" t="s">
        <v>5</v>
      </c>
      <c r="BN54" s="4" t="s">
        <v>5</v>
      </c>
      <c r="BO54" s="4" t="s">
        <v>5</v>
      </c>
      <c r="BP54" s="4" t="s">
        <v>5</v>
      </c>
      <c r="BQ54" s="4" t="s">
        <v>5</v>
      </c>
      <c r="BR54" s="4" t="s">
        <v>5</v>
      </c>
      <c r="BS54" s="4" t="s">
        <v>5</v>
      </c>
      <c r="BT54" s="4" t="s">
        <v>5</v>
      </c>
      <c r="BU54" s="4" t="s">
        <v>5</v>
      </c>
      <c r="BV54" s="4" t="s">
        <v>5</v>
      </c>
      <c r="BW54" s="4" t="s">
        <v>5</v>
      </c>
      <c r="BX54" s="4" t="s">
        <v>5</v>
      </c>
      <c r="BZ54" s="4" t="s">
        <v>5</v>
      </c>
      <c r="CA54" s="4" t="s">
        <v>5</v>
      </c>
      <c r="CB54" s="4" t="s">
        <v>5</v>
      </c>
      <c r="CC54" s="4" t="s">
        <v>5</v>
      </c>
      <c r="CD54" s="4" t="s">
        <v>5</v>
      </c>
      <c r="CE54" s="4" t="s">
        <v>5</v>
      </c>
      <c r="CH54" s="4" t="s">
        <v>5</v>
      </c>
      <c r="CK54" s="4" t="s">
        <v>5</v>
      </c>
      <c r="CP54" s="4" t="s">
        <v>5</v>
      </c>
      <c r="CQ54" s="4" t="s">
        <v>5</v>
      </c>
      <c r="CS54" s="4" t="s">
        <v>5</v>
      </c>
      <c r="CT54" s="4" t="s">
        <v>5</v>
      </c>
      <c r="CU54" s="4" t="s">
        <v>5</v>
      </c>
      <c r="CV54" s="4" t="s">
        <v>5</v>
      </c>
      <c r="CW54" s="4" t="s">
        <v>5</v>
      </c>
      <c r="CY54" s="4" t="s">
        <v>5</v>
      </c>
      <c r="DD54" s="4" t="s">
        <v>5</v>
      </c>
      <c r="DF54" s="4" t="s">
        <v>5</v>
      </c>
      <c r="DG54" s="4" t="s">
        <v>5</v>
      </c>
      <c r="DH54" s="4" t="s">
        <v>5</v>
      </c>
      <c r="DU54" s="4" t="s">
        <v>5</v>
      </c>
    </row>
    <row r="55" spans="1:125" x14ac:dyDescent="0.25">
      <c r="A55" s="13" t="str">
        <f>IF(AND($E55="",MAX($A$8:$A54)=0),"",IF(AND($E55&lt;&gt;"",MAX($A$8:$A54)=0),1,IF(AND($E55&lt;&gt;"",MAX($A$8:$A54)&gt;0),MAX($A$8:$A54)+1,"")))</f>
        <v/>
      </c>
      <c r="B55" s="11">
        <v>48</v>
      </c>
      <c r="C55" s="19" t="str">
        <f t="shared" si="0"/>
        <v>EMPTY</v>
      </c>
      <c r="D55" s="3" t="str">
        <f>IF(C55="SHOW",CONCATENATE(Temp!T51,Temp!U51,",",Temp!V51,",",Temp!W51,Temp!X51),"")</f>
        <v/>
      </c>
      <c r="E55" s="7"/>
      <c r="F55" s="8" t="str">
        <f t="shared" si="1"/>
        <v/>
      </c>
      <c r="I55" s="4" t="s">
        <v>5</v>
      </c>
      <c r="J55" s="4" t="s">
        <v>5</v>
      </c>
      <c r="K55" s="4" t="s">
        <v>5</v>
      </c>
      <c r="L55" s="4" t="s">
        <v>5</v>
      </c>
      <c r="M55" s="4" t="s">
        <v>5</v>
      </c>
      <c r="N55" s="4" t="s">
        <v>5</v>
      </c>
      <c r="P55" s="4" t="s">
        <v>5</v>
      </c>
      <c r="Q55" s="4" t="s">
        <v>5</v>
      </c>
      <c r="R55" s="4" t="s">
        <v>5</v>
      </c>
      <c r="S55" s="4" t="s">
        <v>5</v>
      </c>
      <c r="T55" s="4" t="s">
        <v>5</v>
      </c>
      <c r="U55" s="4" t="s">
        <v>5</v>
      </c>
      <c r="V55" s="4" t="s">
        <v>5</v>
      </c>
      <c r="W55" s="4" t="s">
        <v>5</v>
      </c>
      <c r="X55" s="4" t="s">
        <v>5</v>
      </c>
      <c r="Y55" s="4" t="s">
        <v>5</v>
      </c>
      <c r="Z55" s="4" t="s">
        <v>5</v>
      </c>
      <c r="AA55" s="4" t="s">
        <v>5</v>
      </c>
      <c r="AB55" s="4" t="s">
        <v>5</v>
      </c>
      <c r="AC55" s="4" t="s">
        <v>5</v>
      </c>
      <c r="AD55" s="4" t="s">
        <v>5</v>
      </c>
      <c r="AE55" s="4" t="s">
        <v>5</v>
      </c>
      <c r="AF55" s="4" t="s">
        <v>5</v>
      </c>
      <c r="AG55" s="4" t="s">
        <v>5</v>
      </c>
      <c r="AH55" s="4" t="s">
        <v>5</v>
      </c>
      <c r="AI55" s="4" t="s">
        <v>5</v>
      </c>
      <c r="AJ55" s="4" t="s">
        <v>5</v>
      </c>
      <c r="AK55" s="4" t="s">
        <v>5</v>
      </c>
      <c r="AL55" s="4" t="s">
        <v>5</v>
      </c>
      <c r="AM55" s="4" t="s">
        <v>5</v>
      </c>
      <c r="AN55" s="4" t="s">
        <v>5</v>
      </c>
      <c r="AO55" s="4" t="s">
        <v>5</v>
      </c>
      <c r="AQ55" s="4" t="s">
        <v>5</v>
      </c>
      <c r="AR55" s="4" t="s">
        <v>5</v>
      </c>
      <c r="AS55" s="4" t="s">
        <v>5</v>
      </c>
      <c r="AT55" s="4" t="s">
        <v>5</v>
      </c>
      <c r="AU55" s="4" t="s">
        <v>5</v>
      </c>
      <c r="AX55" s="4" t="s">
        <v>5</v>
      </c>
      <c r="AY55" s="4" t="s">
        <v>5</v>
      </c>
      <c r="BC55" s="4" t="s">
        <v>5</v>
      </c>
      <c r="BD55" s="4" t="s">
        <v>5</v>
      </c>
      <c r="BE55" s="4" t="s">
        <v>5</v>
      </c>
      <c r="BF55" s="4" t="s">
        <v>5</v>
      </c>
      <c r="BI55" s="4" t="s">
        <v>5</v>
      </c>
      <c r="BJ55" s="4" t="s">
        <v>5</v>
      </c>
      <c r="BK55" s="4" t="s">
        <v>5</v>
      </c>
      <c r="BL55" s="4" t="s">
        <v>5</v>
      </c>
      <c r="BM55" s="4" t="s">
        <v>5</v>
      </c>
      <c r="BN55" s="4" t="s">
        <v>5</v>
      </c>
      <c r="BO55" s="4" t="s">
        <v>5</v>
      </c>
      <c r="BP55" s="4" t="s">
        <v>5</v>
      </c>
      <c r="BQ55" s="4" t="s">
        <v>5</v>
      </c>
      <c r="BR55" s="4" t="s">
        <v>5</v>
      </c>
      <c r="BS55" s="4" t="s">
        <v>5</v>
      </c>
      <c r="BT55" s="4" t="s">
        <v>5</v>
      </c>
      <c r="BU55" s="4" t="s">
        <v>5</v>
      </c>
      <c r="BV55" s="4" t="s">
        <v>5</v>
      </c>
      <c r="BW55" s="4" t="s">
        <v>5</v>
      </c>
      <c r="BX55" s="4" t="s">
        <v>5</v>
      </c>
      <c r="BY55" s="4" t="s">
        <v>5</v>
      </c>
      <c r="BZ55" s="4" t="s">
        <v>5</v>
      </c>
      <c r="CA55" s="4" t="s">
        <v>5</v>
      </c>
      <c r="CB55" s="4" t="s">
        <v>5</v>
      </c>
      <c r="CC55" s="4" t="s">
        <v>5</v>
      </c>
      <c r="CD55" s="4" t="s">
        <v>5</v>
      </c>
      <c r="CE55" s="4" t="s">
        <v>5</v>
      </c>
      <c r="CH55" s="4" t="s">
        <v>5</v>
      </c>
      <c r="CK55" s="4" t="s">
        <v>5</v>
      </c>
      <c r="CP55" s="4" t="s">
        <v>5</v>
      </c>
      <c r="CQ55" s="4" t="s">
        <v>5</v>
      </c>
      <c r="CT55" s="4" t="s">
        <v>5</v>
      </c>
      <c r="CU55" s="4" t="s">
        <v>5</v>
      </c>
      <c r="CV55" s="4" t="s">
        <v>5</v>
      </c>
      <c r="CW55" s="4" t="s">
        <v>5</v>
      </c>
      <c r="CY55" s="4" t="s">
        <v>5</v>
      </c>
      <c r="DD55" s="4" t="s">
        <v>5</v>
      </c>
      <c r="DF55" s="4" t="s">
        <v>5</v>
      </c>
      <c r="DG55" s="4" t="s">
        <v>5</v>
      </c>
      <c r="DH55" s="4" t="s">
        <v>5</v>
      </c>
      <c r="DU55" s="4" t="s">
        <v>5</v>
      </c>
    </row>
    <row r="56" spans="1:125" x14ac:dyDescent="0.25">
      <c r="A56" s="13" t="str">
        <f>IF(AND($E56="",MAX($A$8:$A55)=0),"",IF(AND($E56&lt;&gt;"",MAX($A$8:$A55)=0),1,IF(AND($E56&lt;&gt;"",MAX($A$8:$A55)&gt;0),MAX($A$8:$A55)+1,"")))</f>
        <v/>
      </c>
      <c r="B56" s="11">
        <v>49</v>
      </c>
      <c r="C56" s="19" t="str">
        <f t="shared" si="0"/>
        <v>EMPTY</v>
      </c>
      <c r="D56" s="3" t="str">
        <f>IF(C56="SHOW",CONCATENATE(Temp!T52,Temp!U52,",",Temp!V52,",",Temp!W52,Temp!X52),"")</f>
        <v/>
      </c>
      <c r="E56" s="7"/>
      <c r="F56" s="8" t="str">
        <f t="shared" si="1"/>
        <v/>
      </c>
      <c r="I56" s="4" t="s">
        <v>5</v>
      </c>
      <c r="J56" s="4" t="s">
        <v>5</v>
      </c>
      <c r="K56" s="4" t="s">
        <v>5</v>
      </c>
      <c r="L56" s="4" t="s">
        <v>5</v>
      </c>
      <c r="M56" s="4" t="s">
        <v>5</v>
      </c>
      <c r="N56" s="4" t="s">
        <v>5</v>
      </c>
      <c r="P56" s="4" t="s">
        <v>5</v>
      </c>
      <c r="Q56" s="4" t="s">
        <v>5</v>
      </c>
      <c r="R56" s="4" t="s">
        <v>5</v>
      </c>
      <c r="S56" s="4" t="s">
        <v>5</v>
      </c>
      <c r="T56" s="4" t="s">
        <v>5</v>
      </c>
      <c r="U56" s="4" t="s">
        <v>5</v>
      </c>
      <c r="V56" s="4" t="s">
        <v>5</v>
      </c>
      <c r="W56" s="4" t="s">
        <v>5</v>
      </c>
      <c r="X56" s="4" t="s">
        <v>5</v>
      </c>
      <c r="Y56" s="4" t="s">
        <v>5</v>
      </c>
      <c r="Z56" s="4" t="s">
        <v>5</v>
      </c>
      <c r="AA56" s="4" t="s">
        <v>5</v>
      </c>
      <c r="AB56" s="4" t="s">
        <v>5</v>
      </c>
      <c r="AC56" s="4" t="s">
        <v>5</v>
      </c>
      <c r="AE56" s="4" t="s">
        <v>5</v>
      </c>
      <c r="AF56" s="4" t="s">
        <v>5</v>
      </c>
      <c r="AG56" s="4" t="s">
        <v>5</v>
      </c>
      <c r="AH56" s="4" t="s">
        <v>5</v>
      </c>
      <c r="AI56" s="4" t="s">
        <v>5</v>
      </c>
      <c r="AJ56" s="4" t="s">
        <v>5</v>
      </c>
      <c r="AK56" s="4" t="s">
        <v>5</v>
      </c>
      <c r="AL56" s="4" t="s">
        <v>5</v>
      </c>
      <c r="AM56" s="4" t="s">
        <v>5</v>
      </c>
      <c r="AN56" s="4" t="s">
        <v>5</v>
      </c>
      <c r="AO56" s="4" t="s">
        <v>5</v>
      </c>
      <c r="AQ56" s="4" t="s">
        <v>5</v>
      </c>
      <c r="AR56" s="4" t="s">
        <v>5</v>
      </c>
      <c r="AS56" s="4" t="s">
        <v>5</v>
      </c>
      <c r="AT56" s="4" t="s">
        <v>5</v>
      </c>
      <c r="AU56" s="4" t="s">
        <v>5</v>
      </c>
      <c r="AX56" s="4" t="s">
        <v>5</v>
      </c>
      <c r="AY56" s="4" t="s">
        <v>5</v>
      </c>
      <c r="BE56" s="4" t="s">
        <v>5</v>
      </c>
      <c r="BF56" s="4" t="s">
        <v>5</v>
      </c>
      <c r="BI56" s="4" t="s">
        <v>5</v>
      </c>
      <c r="BJ56" s="4" t="s">
        <v>5</v>
      </c>
      <c r="BK56" s="4" t="s">
        <v>5</v>
      </c>
      <c r="BL56" s="4" t="s">
        <v>5</v>
      </c>
      <c r="BM56" s="4" t="s">
        <v>5</v>
      </c>
      <c r="BN56" s="4" t="s">
        <v>5</v>
      </c>
      <c r="BO56" s="4" t="s">
        <v>5</v>
      </c>
      <c r="BP56" s="4" t="s">
        <v>5</v>
      </c>
      <c r="BQ56" s="4" t="s">
        <v>5</v>
      </c>
      <c r="BR56" s="4" t="s">
        <v>5</v>
      </c>
      <c r="BS56" s="4" t="s">
        <v>5</v>
      </c>
      <c r="BT56" s="4" t="s">
        <v>5</v>
      </c>
      <c r="BU56" s="4" t="s">
        <v>5</v>
      </c>
      <c r="BV56" s="4" t="s">
        <v>5</v>
      </c>
      <c r="BW56" s="4" t="s">
        <v>5</v>
      </c>
      <c r="BX56" s="4" t="s">
        <v>5</v>
      </c>
      <c r="BY56" s="4" t="s">
        <v>5</v>
      </c>
      <c r="BZ56" s="4" t="s">
        <v>5</v>
      </c>
      <c r="CA56" s="4" t="s">
        <v>5</v>
      </c>
      <c r="CB56" s="4" t="s">
        <v>5</v>
      </c>
      <c r="CC56" s="4" t="s">
        <v>5</v>
      </c>
      <c r="CD56" s="4" t="s">
        <v>5</v>
      </c>
      <c r="CE56" s="4" t="s">
        <v>5</v>
      </c>
      <c r="CH56" s="4" t="s">
        <v>5</v>
      </c>
      <c r="CK56" s="4" t="s">
        <v>5</v>
      </c>
      <c r="CP56" s="4" t="s">
        <v>5</v>
      </c>
      <c r="CQ56" s="4" t="s">
        <v>5</v>
      </c>
      <c r="CT56" s="4" t="s">
        <v>5</v>
      </c>
      <c r="CU56" s="4" t="s">
        <v>5</v>
      </c>
      <c r="CV56" s="4" t="s">
        <v>5</v>
      </c>
      <c r="CW56" s="4" t="s">
        <v>5</v>
      </c>
      <c r="CY56" s="4" t="s">
        <v>5</v>
      </c>
      <c r="DD56" s="4" t="s">
        <v>5</v>
      </c>
      <c r="DF56" s="4" t="s">
        <v>5</v>
      </c>
      <c r="DG56" s="4" t="s">
        <v>5</v>
      </c>
      <c r="DH56" s="4" t="s">
        <v>5</v>
      </c>
      <c r="DU56" s="4" t="s">
        <v>5</v>
      </c>
    </row>
    <row r="57" spans="1:125" x14ac:dyDescent="0.25">
      <c r="A57" s="13" t="str">
        <f>IF(AND($E57="",MAX($A$8:$A56)=0),"",IF(AND($E57&lt;&gt;"",MAX($A$8:$A56)=0),1,IF(AND($E57&lt;&gt;"",MAX($A$8:$A56)&gt;0),MAX($A$8:$A56)+1,"")))</f>
        <v/>
      </c>
      <c r="B57" s="11">
        <v>50</v>
      </c>
      <c r="C57" s="19" t="str">
        <f t="shared" si="0"/>
        <v>EMPTY</v>
      </c>
      <c r="D57" s="3" t="str">
        <f>IF(C57="SHOW",CONCATENATE(Temp!T53,Temp!U53,",",Temp!V53,",",Temp!W53,Temp!X53),"")</f>
        <v/>
      </c>
      <c r="E57" s="7"/>
      <c r="F57" s="8" t="str">
        <f t="shared" si="1"/>
        <v/>
      </c>
      <c r="I57" s="4" t="s">
        <v>5</v>
      </c>
      <c r="J57" s="4" t="s">
        <v>5</v>
      </c>
      <c r="K57" s="4" t="s">
        <v>5</v>
      </c>
      <c r="L57" s="4" t="s">
        <v>5</v>
      </c>
      <c r="M57" s="4" t="s">
        <v>5</v>
      </c>
      <c r="N57" s="4" t="s">
        <v>5</v>
      </c>
      <c r="P57" s="4" t="s">
        <v>5</v>
      </c>
      <c r="Q57" s="4" t="s">
        <v>5</v>
      </c>
      <c r="R57" s="4" t="s">
        <v>5</v>
      </c>
      <c r="S57" s="4" t="s">
        <v>5</v>
      </c>
      <c r="T57" s="4" t="s">
        <v>5</v>
      </c>
      <c r="U57" s="4" t="s">
        <v>5</v>
      </c>
      <c r="V57" s="4" t="s">
        <v>5</v>
      </c>
      <c r="W57" s="4" t="s">
        <v>5</v>
      </c>
      <c r="X57" s="4" t="s">
        <v>5</v>
      </c>
      <c r="Y57" s="4" t="s">
        <v>5</v>
      </c>
      <c r="Z57" s="4" t="s">
        <v>5</v>
      </c>
      <c r="AA57" s="4" t="s">
        <v>5</v>
      </c>
      <c r="AB57" s="4" t="s">
        <v>5</v>
      </c>
      <c r="AC57" s="4" t="s">
        <v>5</v>
      </c>
      <c r="AE57" s="4" t="s">
        <v>5</v>
      </c>
      <c r="AF57" s="4" t="s">
        <v>5</v>
      </c>
      <c r="AG57" s="4" t="s">
        <v>5</v>
      </c>
      <c r="AH57" s="4" t="s">
        <v>5</v>
      </c>
      <c r="AI57" s="4" t="s">
        <v>5</v>
      </c>
      <c r="AJ57" s="4" t="s">
        <v>5</v>
      </c>
      <c r="AK57" s="4" t="s">
        <v>5</v>
      </c>
      <c r="AL57" s="4" t="s">
        <v>5</v>
      </c>
      <c r="AN57" s="4" t="s">
        <v>5</v>
      </c>
      <c r="AO57" s="4" t="s">
        <v>5</v>
      </c>
      <c r="AQ57" s="4" t="s">
        <v>5</v>
      </c>
      <c r="AR57" s="4" t="s">
        <v>5</v>
      </c>
      <c r="AS57" s="4" t="s">
        <v>5</v>
      </c>
      <c r="AT57" s="4" t="s">
        <v>5</v>
      </c>
      <c r="AU57" s="4" t="s">
        <v>5</v>
      </c>
      <c r="AX57" s="4" t="s">
        <v>5</v>
      </c>
      <c r="AY57" s="4" t="s">
        <v>5</v>
      </c>
      <c r="BE57" s="4" t="s">
        <v>5</v>
      </c>
      <c r="BF57" s="4" t="s">
        <v>5</v>
      </c>
      <c r="BJ57" s="4" t="s">
        <v>5</v>
      </c>
      <c r="BK57" s="4" t="s">
        <v>5</v>
      </c>
      <c r="BM57" s="4" t="s">
        <v>5</v>
      </c>
      <c r="BN57" s="4" t="s">
        <v>5</v>
      </c>
      <c r="BO57" s="4" t="s">
        <v>5</v>
      </c>
      <c r="BP57" s="4" t="s">
        <v>5</v>
      </c>
      <c r="BQ57" s="4" t="s">
        <v>5</v>
      </c>
      <c r="BR57" s="4" t="s">
        <v>5</v>
      </c>
      <c r="BS57" s="4" t="s">
        <v>5</v>
      </c>
      <c r="BT57" s="4" t="s">
        <v>5</v>
      </c>
      <c r="BU57" s="4" t="s">
        <v>5</v>
      </c>
      <c r="BV57" s="4" t="s">
        <v>5</v>
      </c>
      <c r="BW57" s="4" t="s">
        <v>5</v>
      </c>
      <c r="BX57" s="4" t="s">
        <v>5</v>
      </c>
      <c r="BY57" s="4" t="s">
        <v>5</v>
      </c>
      <c r="BZ57" s="4" t="s">
        <v>5</v>
      </c>
      <c r="CA57" s="4" t="s">
        <v>5</v>
      </c>
      <c r="CB57" s="4" t="s">
        <v>5</v>
      </c>
      <c r="CD57" s="4" t="s">
        <v>5</v>
      </c>
      <c r="CE57" s="4" t="s">
        <v>5</v>
      </c>
      <c r="CH57" s="4" t="s">
        <v>5</v>
      </c>
      <c r="CK57" s="4" t="s">
        <v>5</v>
      </c>
      <c r="CP57" s="4" t="s">
        <v>5</v>
      </c>
      <c r="CQ57" s="4" t="s">
        <v>5</v>
      </c>
      <c r="CT57" s="4" t="s">
        <v>5</v>
      </c>
      <c r="CU57" s="4" t="s">
        <v>5</v>
      </c>
      <c r="CV57" s="4" t="s">
        <v>5</v>
      </c>
      <c r="CY57" s="4" t="s">
        <v>5</v>
      </c>
      <c r="DD57" s="4" t="s">
        <v>5</v>
      </c>
      <c r="DF57" s="4" t="s">
        <v>5</v>
      </c>
      <c r="DG57" s="4" t="s">
        <v>5</v>
      </c>
      <c r="DH57" s="4" t="s">
        <v>5</v>
      </c>
    </row>
    <row r="58" spans="1:125" x14ac:dyDescent="0.25">
      <c r="A58" s="13" t="str">
        <f>IF(AND($E58="",MAX($A$8:$A57)=0),"",IF(AND($E58&lt;&gt;"",MAX($A$8:$A57)=0),1,IF(AND($E58&lt;&gt;"",MAX($A$8:$A57)&gt;0),MAX($A$8:$A57)+1,"")))</f>
        <v/>
      </c>
      <c r="B58" s="11">
        <v>51</v>
      </c>
      <c r="C58" s="19" t="str">
        <f t="shared" si="0"/>
        <v>EMPTY</v>
      </c>
      <c r="D58" s="3" t="str">
        <f>IF(C58="SHOW",CONCATENATE(Temp!T54,Temp!U54,",",Temp!V54,",",Temp!W54,Temp!X54),"")</f>
        <v/>
      </c>
      <c r="E58" s="7"/>
      <c r="F58" s="8" t="str">
        <f t="shared" si="1"/>
        <v/>
      </c>
      <c r="I58" s="4" t="s">
        <v>5</v>
      </c>
      <c r="J58" s="4" t="s">
        <v>5</v>
      </c>
      <c r="K58" s="4" t="s">
        <v>5</v>
      </c>
      <c r="L58" s="4" t="s">
        <v>5</v>
      </c>
      <c r="M58" s="4" t="s">
        <v>5</v>
      </c>
      <c r="N58" s="4" t="s">
        <v>5</v>
      </c>
      <c r="P58" s="4" t="s">
        <v>5</v>
      </c>
      <c r="Q58" s="4" t="s">
        <v>5</v>
      </c>
      <c r="R58" s="4" t="s">
        <v>5</v>
      </c>
      <c r="S58" s="4" t="s">
        <v>5</v>
      </c>
      <c r="T58" s="4" t="s">
        <v>5</v>
      </c>
      <c r="U58" s="4" t="s">
        <v>5</v>
      </c>
      <c r="V58" s="4" t="s">
        <v>5</v>
      </c>
      <c r="W58" s="4" t="s">
        <v>5</v>
      </c>
      <c r="X58" s="4" t="s">
        <v>5</v>
      </c>
      <c r="Y58" s="4" t="s">
        <v>5</v>
      </c>
      <c r="Z58" s="4" t="s">
        <v>5</v>
      </c>
      <c r="AA58" s="4" t="s">
        <v>5</v>
      </c>
      <c r="AB58" s="4" t="s">
        <v>5</v>
      </c>
      <c r="AC58" s="4" t="s">
        <v>5</v>
      </c>
      <c r="AE58" s="4" t="s">
        <v>5</v>
      </c>
      <c r="AF58" s="4" t="s">
        <v>5</v>
      </c>
      <c r="AG58" s="4" t="s">
        <v>5</v>
      </c>
      <c r="AH58" s="4" t="s">
        <v>5</v>
      </c>
      <c r="AI58" s="4" t="s">
        <v>5</v>
      </c>
      <c r="AJ58" s="4" t="s">
        <v>5</v>
      </c>
      <c r="AK58" s="4" t="s">
        <v>5</v>
      </c>
      <c r="AL58" s="4" t="s">
        <v>5</v>
      </c>
      <c r="AN58" s="4" t="s">
        <v>5</v>
      </c>
      <c r="AO58" s="4" t="s">
        <v>5</v>
      </c>
      <c r="AQ58" s="4" t="s">
        <v>5</v>
      </c>
      <c r="AR58" s="4" t="s">
        <v>5</v>
      </c>
      <c r="AS58" s="4" t="s">
        <v>5</v>
      </c>
      <c r="AT58" s="4" t="s">
        <v>5</v>
      </c>
      <c r="AU58" s="4" t="s">
        <v>5</v>
      </c>
      <c r="AX58" s="4" t="s">
        <v>5</v>
      </c>
      <c r="AY58" s="4" t="s">
        <v>5</v>
      </c>
      <c r="BE58" s="4" t="s">
        <v>5</v>
      </c>
      <c r="BF58" s="4" t="s">
        <v>5</v>
      </c>
      <c r="BJ58" s="4" t="s">
        <v>5</v>
      </c>
      <c r="BK58" s="4" t="s">
        <v>5</v>
      </c>
      <c r="BM58" s="4" t="s">
        <v>5</v>
      </c>
      <c r="BN58" s="4" t="s">
        <v>5</v>
      </c>
      <c r="BO58" s="4" t="s">
        <v>5</v>
      </c>
      <c r="BP58" s="4" t="s">
        <v>5</v>
      </c>
      <c r="BQ58" s="4" t="s">
        <v>5</v>
      </c>
      <c r="BR58" s="4" t="s">
        <v>5</v>
      </c>
      <c r="BS58" s="4" t="s">
        <v>5</v>
      </c>
      <c r="BT58" s="4" t="s">
        <v>5</v>
      </c>
      <c r="BU58" s="4" t="s">
        <v>5</v>
      </c>
      <c r="BV58" s="4" t="s">
        <v>5</v>
      </c>
      <c r="BW58" s="4" t="s">
        <v>5</v>
      </c>
      <c r="BX58" s="4" t="s">
        <v>5</v>
      </c>
      <c r="BY58" s="4" t="s">
        <v>5</v>
      </c>
      <c r="BZ58" s="4" t="s">
        <v>5</v>
      </c>
      <c r="CA58" s="4" t="s">
        <v>5</v>
      </c>
      <c r="CB58" s="4" t="s">
        <v>5</v>
      </c>
      <c r="CD58" s="4" t="s">
        <v>5</v>
      </c>
      <c r="CE58" s="4" t="s">
        <v>5</v>
      </c>
      <c r="CH58" s="4" t="s">
        <v>5</v>
      </c>
      <c r="CK58" s="4" t="s">
        <v>5</v>
      </c>
      <c r="CP58" s="4" t="s">
        <v>5</v>
      </c>
      <c r="CQ58" s="4" t="s">
        <v>5</v>
      </c>
      <c r="CT58" s="4" t="s">
        <v>5</v>
      </c>
      <c r="CU58" s="4" t="s">
        <v>5</v>
      </c>
      <c r="CV58" s="4" t="s">
        <v>5</v>
      </c>
      <c r="CY58" s="4" t="s">
        <v>5</v>
      </c>
      <c r="DD58" s="4" t="s">
        <v>5</v>
      </c>
      <c r="DF58" s="4" t="s">
        <v>5</v>
      </c>
      <c r="DG58" s="4" t="s">
        <v>5</v>
      </c>
      <c r="DH58" s="4" t="s">
        <v>5</v>
      </c>
    </row>
    <row r="59" spans="1:125" x14ac:dyDescent="0.25">
      <c r="A59" s="13" t="str">
        <f>IF(AND($E59="",MAX($A$8:$A58)=0),"",IF(AND($E59&lt;&gt;"",MAX($A$8:$A58)=0),1,IF(AND($E59&lt;&gt;"",MAX($A$8:$A58)&gt;0),MAX($A$8:$A58)+1,"")))</f>
        <v/>
      </c>
      <c r="B59" s="11">
        <v>52</v>
      </c>
      <c r="C59" s="19" t="str">
        <f t="shared" si="0"/>
        <v>EMPTY</v>
      </c>
      <c r="D59" s="3" t="str">
        <f>IF(C59="SHOW",CONCATENATE(Temp!T55,Temp!U55,",",Temp!V55,",",Temp!W55,Temp!X55),"")</f>
        <v/>
      </c>
      <c r="E59" s="7"/>
      <c r="F59" s="8" t="str">
        <f t="shared" si="1"/>
        <v/>
      </c>
      <c r="I59" s="4" t="s">
        <v>5</v>
      </c>
      <c r="J59" s="4" t="s">
        <v>5</v>
      </c>
      <c r="K59" s="4" t="s">
        <v>5</v>
      </c>
      <c r="L59" s="4" t="s">
        <v>5</v>
      </c>
      <c r="M59" s="4" t="s">
        <v>5</v>
      </c>
      <c r="N59" s="4" t="s">
        <v>5</v>
      </c>
      <c r="P59" s="4" t="s">
        <v>5</v>
      </c>
      <c r="Q59" s="4" t="s">
        <v>5</v>
      </c>
      <c r="R59" s="4" t="s">
        <v>5</v>
      </c>
      <c r="S59" s="4" t="s">
        <v>5</v>
      </c>
      <c r="T59" s="4" t="s">
        <v>5</v>
      </c>
      <c r="U59" s="4" t="s">
        <v>5</v>
      </c>
      <c r="V59" s="4" t="s">
        <v>5</v>
      </c>
      <c r="W59" s="4" t="s">
        <v>5</v>
      </c>
      <c r="X59" s="4" t="s">
        <v>5</v>
      </c>
      <c r="Y59" s="4" t="s">
        <v>5</v>
      </c>
      <c r="Z59" s="4" t="s">
        <v>5</v>
      </c>
      <c r="AA59" s="4" t="s">
        <v>5</v>
      </c>
      <c r="AB59" s="4" t="s">
        <v>5</v>
      </c>
      <c r="AC59" s="4" t="s">
        <v>5</v>
      </c>
      <c r="AE59" s="4" t="s">
        <v>5</v>
      </c>
      <c r="AF59" s="4" t="s">
        <v>5</v>
      </c>
      <c r="AI59" s="4" t="s">
        <v>5</v>
      </c>
      <c r="AJ59" s="4" t="s">
        <v>5</v>
      </c>
      <c r="AK59" s="4" t="s">
        <v>5</v>
      </c>
      <c r="AL59" s="4" t="s">
        <v>5</v>
      </c>
      <c r="AO59" s="4" t="s">
        <v>5</v>
      </c>
      <c r="AQ59" s="4" t="s">
        <v>5</v>
      </c>
      <c r="AR59" s="4" t="s">
        <v>5</v>
      </c>
      <c r="AS59" s="4" t="s">
        <v>5</v>
      </c>
      <c r="AX59" s="4" t="s">
        <v>5</v>
      </c>
      <c r="BE59" s="4" t="s">
        <v>5</v>
      </c>
      <c r="BF59" s="4" t="s">
        <v>5</v>
      </c>
      <c r="BJ59" s="4" t="s">
        <v>5</v>
      </c>
      <c r="BK59" s="4" t="s">
        <v>5</v>
      </c>
      <c r="BM59" s="4" t="s">
        <v>5</v>
      </c>
      <c r="BN59" s="4" t="s">
        <v>5</v>
      </c>
      <c r="BO59" s="4" t="s">
        <v>5</v>
      </c>
      <c r="BP59" s="4" t="s">
        <v>5</v>
      </c>
      <c r="BQ59" s="4" t="s">
        <v>5</v>
      </c>
      <c r="BR59" s="4" t="s">
        <v>5</v>
      </c>
      <c r="BS59" s="4" t="s">
        <v>5</v>
      </c>
      <c r="BT59" s="4" t="s">
        <v>5</v>
      </c>
      <c r="BU59" s="4" t="s">
        <v>5</v>
      </c>
      <c r="BV59" s="4" t="s">
        <v>5</v>
      </c>
      <c r="BW59" s="4" t="s">
        <v>5</v>
      </c>
      <c r="BX59" s="4" t="s">
        <v>5</v>
      </c>
      <c r="BY59" s="4" t="s">
        <v>5</v>
      </c>
      <c r="BZ59" s="4" t="s">
        <v>5</v>
      </c>
      <c r="CA59" s="4" t="s">
        <v>5</v>
      </c>
      <c r="CB59" s="4" t="s">
        <v>5</v>
      </c>
      <c r="CD59" s="4" t="s">
        <v>5</v>
      </c>
      <c r="CE59" s="4" t="s">
        <v>5</v>
      </c>
      <c r="CH59" s="4" t="s">
        <v>5</v>
      </c>
      <c r="CK59" s="4" t="s">
        <v>5</v>
      </c>
      <c r="CP59" s="4" t="s">
        <v>5</v>
      </c>
      <c r="CQ59" s="4" t="s">
        <v>5</v>
      </c>
      <c r="CT59" s="4" t="s">
        <v>5</v>
      </c>
      <c r="CV59" s="4" t="s">
        <v>5</v>
      </c>
      <c r="CY59" s="4" t="s">
        <v>5</v>
      </c>
      <c r="DD59" s="4" t="s">
        <v>5</v>
      </c>
      <c r="DF59" s="4" t="s">
        <v>5</v>
      </c>
      <c r="DG59" s="4" t="s">
        <v>5</v>
      </c>
      <c r="DH59" s="4" t="s">
        <v>5</v>
      </c>
    </row>
    <row r="60" spans="1:125" x14ac:dyDescent="0.25">
      <c r="A60" s="13" t="str">
        <f>IF(AND($E60="",MAX($A$8:$A59)=0),"",IF(AND($E60&lt;&gt;"",MAX($A$8:$A59)=0),1,IF(AND($E60&lt;&gt;"",MAX($A$8:$A59)&gt;0),MAX($A$8:$A59)+1,"")))</f>
        <v/>
      </c>
      <c r="B60" s="11">
        <v>53</v>
      </c>
      <c r="C60" s="19" t="str">
        <f t="shared" si="0"/>
        <v>EMPTY</v>
      </c>
      <c r="D60" s="3" t="str">
        <f>IF(C60="SHOW",CONCATENATE(Temp!T56,Temp!U56,",",Temp!V56,",",Temp!W56,Temp!X56),"")</f>
        <v/>
      </c>
      <c r="E60" s="7"/>
      <c r="F60" s="8" t="str">
        <f t="shared" si="1"/>
        <v/>
      </c>
      <c r="I60" s="4" t="s">
        <v>5</v>
      </c>
      <c r="J60" s="4" t="s">
        <v>5</v>
      </c>
      <c r="K60" s="4" t="s">
        <v>5</v>
      </c>
      <c r="L60" s="4" t="s">
        <v>5</v>
      </c>
      <c r="M60" s="4" t="s">
        <v>5</v>
      </c>
      <c r="N60" s="4" t="s">
        <v>5</v>
      </c>
      <c r="P60" s="4" t="s">
        <v>5</v>
      </c>
      <c r="Q60" s="4" t="s">
        <v>5</v>
      </c>
      <c r="R60" s="4" t="s">
        <v>5</v>
      </c>
      <c r="S60" s="4" t="s">
        <v>5</v>
      </c>
      <c r="T60" s="4" t="s">
        <v>5</v>
      </c>
      <c r="U60" s="4" t="s">
        <v>5</v>
      </c>
      <c r="V60" s="4" t="s">
        <v>5</v>
      </c>
      <c r="W60" s="4" t="s">
        <v>5</v>
      </c>
      <c r="X60" s="4" t="s">
        <v>5</v>
      </c>
      <c r="Y60" s="4" t="s">
        <v>5</v>
      </c>
      <c r="Z60" s="4" t="s">
        <v>5</v>
      </c>
      <c r="AA60" s="4" t="s">
        <v>5</v>
      </c>
      <c r="AB60" s="4" t="s">
        <v>5</v>
      </c>
      <c r="AC60" s="4" t="s">
        <v>5</v>
      </c>
      <c r="AF60" s="4" t="s">
        <v>5</v>
      </c>
      <c r="AI60" s="4" t="s">
        <v>5</v>
      </c>
      <c r="AJ60" s="4" t="s">
        <v>5</v>
      </c>
      <c r="AK60" s="4" t="s">
        <v>5</v>
      </c>
      <c r="AL60" s="4" t="s">
        <v>5</v>
      </c>
      <c r="AO60" s="4" t="s">
        <v>5</v>
      </c>
      <c r="AQ60" s="4" t="s">
        <v>5</v>
      </c>
      <c r="AR60" s="4" t="s">
        <v>5</v>
      </c>
      <c r="AS60" s="4" t="s">
        <v>5</v>
      </c>
      <c r="AX60" s="4" t="s">
        <v>5</v>
      </c>
      <c r="BE60" s="4" t="s">
        <v>5</v>
      </c>
      <c r="BF60" s="4" t="s">
        <v>5</v>
      </c>
      <c r="BJ60" s="4" t="s">
        <v>5</v>
      </c>
      <c r="BK60" s="4" t="s">
        <v>5</v>
      </c>
      <c r="BM60" s="4" t="s">
        <v>5</v>
      </c>
      <c r="BN60" s="4" t="s">
        <v>5</v>
      </c>
      <c r="BO60" s="4" t="s">
        <v>5</v>
      </c>
      <c r="BP60" s="4" t="s">
        <v>5</v>
      </c>
      <c r="BQ60" s="4" t="s">
        <v>5</v>
      </c>
      <c r="BR60" s="4" t="s">
        <v>5</v>
      </c>
      <c r="BS60" s="4" t="s">
        <v>5</v>
      </c>
      <c r="BT60" s="4" t="s">
        <v>5</v>
      </c>
      <c r="BU60" s="4" t="s">
        <v>5</v>
      </c>
      <c r="BV60" s="4" t="s">
        <v>5</v>
      </c>
      <c r="BW60" s="4" t="s">
        <v>5</v>
      </c>
      <c r="BX60" s="4" t="s">
        <v>5</v>
      </c>
      <c r="BY60" s="4" t="s">
        <v>5</v>
      </c>
      <c r="BZ60" s="4" t="s">
        <v>5</v>
      </c>
      <c r="CA60" s="4" t="s">
        <v>5</v>
      </c>
      <c r="CB60" s="4" t="s">
        <v>5</v>
      </c>
      <c r="CD60" s="4" t="s">
        <v>5</v>
      </c>
      <c r="CE60" s="4" t="s">
        <v>5</v>
      </c>
      <c r="CH60" s="4" t="s">
        <v>5</v>
      </c>
      <c r="CK60" s="4" t="s">
        <v>5</v>
      </c>
      <c r="CP60" s="4" t="s">
        <v>5</v>
      </c>
      <c r="CQ60" s="4" t="s">
        <v>5</v>
      </c>
      <c r="CT60" s="4" t="s">
        <v>5</v>
      </c>
      <c r="CV60" s="4" t="s">
        <v>5</v>
      </c>
      <c r="CY60" s="4" t="s">
        <v>5</v>
      </c>
      <c r="DD60" s="4" t="s">
        <v>5</v>
      </c>
      <c r="DF60" s="4" t="s">
        <v>5</v>
      </c>
      <c r="DG60" s="4" t="s">
        <v>5</v>
      </c>
      <c r="DH60" s="4" t="s">
        <v>5</v>
      </c>
    </row>
    <row r="61" spans="1:125" x14ac:dyDescent="0.25">
      <c r="A61" s="13" t="str">
        <f>IF(AND($E61="",MAX($A$8:$A60)=0),"",IF(AND($E61&lt;&gt;"",MAX($A$8:$A60)=0),1,IF(AND($E61&lt;&gt;"",MAX($A$8:$A60)&gt;0),MAX($A$8:$A60)+1,"")))</f>
        <v/>
      </c>
      <c r="B61" s="11">
        <v>54</v>
      </c>
      <c r="C61" s="19" t="str">
        <f t="shared" si="0"/>
        <v>EMPTY</v>
      </c>
      <c r="D61" s="3" t="str">
        <f>IF(C61="SHOW",CONCATENATE(Temp!T57,Temp!U57,",",Temp!V57,",",Temp!W57,Temp!X57),"")</f>
        <v/>
      </c>
      <c r="E61" s="7"/>
      <c r="F61" s="8" t="str">
        <f t="shared" si="1"/>
        <v/>
      </c>
      <c r="I61" s="4" t="s">
        <v>5</v>
      </c>
      <c r="J61" s="4" t="s">
        <v>5</v>
      </c>
      <c r="K61" s="4" t="s">
        <v>5</v>
      </c>
      <c r="L61" s="4" t="s">
        <v>5</v>
      </c>
      <c r="M61" s="4" t="s">
        <v>5</v>
      </c>
      <c r="N61" s="4" t="s">
        <v>5</v>
      </c>
      <c r="P61" s="4" t="s">
        <v>5</v>
      </c>
      <c r="Q61" s="4" t="s">
        <v>5</v>
      </c>
      <c r="R61" s="4" t="s">
        <v>5</v>
      </c>
      <c r="S61" s="4" t="s">
        <v>5</v>
      </c>
      <c r="T61" s="4" t="s">
        <v>5</v>
      </c>
      <c r="U61" s="4" t="s">
        <v>5</v>
      </c>
      <c r="V61" s="4" t="s">
        <v>5</v>
      </c>
      <c r="W61" s="4" t="s">
        <v>5</v>
      </c>
      <c r="X61" s="4" t="s">
        <v>5</v>
      </c>
      <c r="Y61" s="4" t="s">
        <v>5</v>
      </c>
      <c r="Z61" s="4" t="s">
        <v>5</v>
      </c>
      <c r="AA61" s="4" t="s">
        <v>5</v>
      </c>
      <c r="AB61" s="4" t="s">
        <v>5</v>
      </c>
      <c r="AC61" s="4" t="s">
        <v>5</v>
      </c>
      <c r="AF61" s="4" t="s">
        <v>5</v>
      </c>
      <c r="AI61" s="4" t="s">
        <v>5</v>
      </c>
      <c r="AJ61" s="4" t="s">
        <v>5</v>
      </c>
      <c r="AK61" s="4" t="s">
        <v>5</v>
      </c>
      <c r="AL61" s="4" t="s">
        <v>5</v>
      </c>
      <c r="AO61" s="4" t="s">
        <v>5</v>
      </c>
      <c r="AQ61" s="4" t="s">
        <v>5</v>
      </c>
      <c r="AR61" s="4" t="s">
        <v>5</v>
      </c>
      <c r="AS61" s="4" t="s">
        <v>5</v>
      </c>
      <c r="BE61" s="4" t="s">
        <v>5</v>
      </c>
      <c r="BF61" s="4" t="s">
        <v>5</v>
      </c>
      <c r="BJ61" s="4" t="s">
        <v>5</v>
      </c>
      <c r="BK61" s="4" t="s">
        <v>5</v>
      </c>
      <c r="BM61" s="4" t="s">
        <v>5</v>
      </c>
      <c r="BN61" s="4" t="s">
        <v>5</v>
      </c>
      <c r="BO61" s="4" t="s">
        <v>5</v>
      </c>
      <c r="BP61" s="4" t="s">
        <v>5</v>
      </c>
      <c r="BQ61" s="4" t="s">
        <v>5</v>
      </c>
      <c r="BR61" s="4" t="s">
        <v>5</v>
      </c>
      <c r="BS61" s="4" t="s">
        <v>5</v>
      </c>
      <c r="BT61" s="4" t="s">
        <v>5</v>
      </c>
      <c r="BU61" s="4" t="s">
        <v>5</v>
      </c>
      <c r="BV61" s="4" t="s">
        <v>5</v>
      </c>
      <c r="BW61" s="4" t="s">
        <v>5</v>
      </c>
      <c r="BX61" s="4" t="s">
        <v>5</v>
      </c>
      <c r="BY61" s="4" t="s">
        <v>5</v>
      </c>
      <c r="BZ61" s="4" t="s">
        <v>5</v>
      </c>
      <c r="CA61" s="4" t="s">
        <v>5</v>
      </c>
      <c r="CB61" s="4" t="s">
        <v>5</v>
      </c>
      <c r="CD61" s="4" t="s">
        <v>5</v>
      </c>
      <c r="CE61" s="4" t="s">
        <v>5</v>
      </c>
      <c r="CH61" s="4" t="s">
        <v>5</v>
      </c>
      <c r="CK61" s="4" t="s">
        <v>5</v>
      </c>
      <c r="CP61" s="4" t="s">
        <v>5</v>
      </c>
      <c r="CQ61" s="4" t="s">
        <v>5</v>
      </c>
      <c r="CT61" s="4" t="s">
        <v>5</v>
      </c>
      <c r="CV61" s="4" t="s">
        <v>5</v>
      </c>
      <c r="CY61" s="4" t="s">
        <v>5</v>
      </c>
      <c r="DD61" s="4" t="s">
        <v>5</v>
      </c>
      <c r="DF61" s="4" t="s">
        <v>5</v>
      </c>
      <c r="DG61" s="4" t="s">
        <v>5</v>
      </c>
      <c r="DH61" s="4" t="s">
        <v>5</v>
      </c>
    </row>
    <row r="62" spans="1:125" x14ac:dyDescent="0.25">
      <c r="A62" s="13" t="str">
        <f>IF(AND($E62="",MAX($A$8:$A61)=0),"",IF(AND($E62&lt;&gt;"",MAX($A$8:$A61)=0),1,IF(AND($E62&lt;&gt;"",MAX($A$8:$A61)&gt;0),MAX($A$8:$A61)+1,"")))</f>
        <v/>
      </c>
      <c r="B62" s="11">
        <v>55</v>
      </c>
      <c r="C62" s="19" t="str">
        <f t="shared" si="0"/>
        <v>EMPTY</v>
      </c>
      <c r="D62" s="3" t="str">
        <f>IF(C62="SHOW",CONCATENATE(Temp!T58,Temp!U58,",",Temp!V58,",",Temp!W58,Temp!X58),"")</f>
        <v/>
      </c>
      <c r="E62" s="7"/>
      <c r="F62" s="8" t="str">
        <f t="shared" si="1"/>
        <v/>
      </c>
      <c r="I62" s="4" t="s">
        <v>5</v>
      </c>
      <c r="J62" s="4" t="s">
        <v>5</v>
      </c>
      <c r="K62" s="4" t="s">
        <v>5</v>
      </c>
      <c r="L62" s="4" t="s">
        <v>5</v>
      </c>
      <c r="M62" s="4" t="s">
        <v>5</v>
      </c>
      <c r="N62" s="4" t="s">
        <v>5</v>
      </c>
      <c r="P62" s="4" t="s">
        <v>5</v>
      </c>
      <c r="Q62" s="4" t="s">
        <v>5</v>
      </c>
      <c r="R62" s="4" t="s">
        <v>5</v>
      </c>
      <c r="S62" s="4" t="s">
        <v>5</v>
      </c>
      <c r="T62" s="4" t="s">
        <v>5</v>
      </c>
      <c r="U62" s="4" t="s">
        <v>5</v>
      </c>
      <c r="V62" s="4" t="s">
        <v>5</v>
      </c>
      <c r="Y62" s="4" t="s">
        <v>5</v>
      </c>
      <c r="Z62" s="4" t="s">
        <v>5</v>
      </c>
      <c r="AA62" s="4" t="s">
        <v>5</v>
      </c>
      <c r="AB62" s="4" t="s">
        <v>5</v>
      </c>
      <c r="AC62" s="4" t="s">
        <v>5</v>
      </c>
      <c r="AF62" s="4" t="s">
        <v>5</v>
      </c>
      <c r="AI62" s="4" t="s">
        <v>5</v>
      </c>
      <c r="AJ62" s="4" t="s">
        <v>5</v>
      </c>
      <c r="AK62" s="4" t="s">
        <v>5</v>
      </c>
      <c r="AL62" s="4" t="s">
        <v>5</v>
      </c>
      <c r="AO62" s="4" t="s">
        <v>5</v>
      </c>
      <c r="AQ62" s="4" t="s">
        <v>5</v>
      </c>
      <c r="AR62" s="4" t="s">
        <v>5</v>
      </c>
      <c r="AS62" s="4" t="s">
        <v>5</v>
      </c>
      <c r="BE62" s="4" t="s">
        <v>5</v>
      </c>
      <c r="BF62" s="4" t="s">
        <v>5</v>
      </c>
      <c r="BJ62" s="4" t="s">
        <v>5</v>
      </c>
      <c r="BK62" s="4" t="s">
        <v>5</v>
      </c>
      <c r="BM62" s="4" t="s">
        <v>5</v>
      </c>
      <c r="BN62" s="4" t="s">
        <v>5</v>
      </c>
      <c r="BO62" s="4" t="s">
        <v>5</v>
      </c>
      <c r="BP62" s="4" t="s">
        <v>5</v>
      </c>
      <c r="BQ62" s="4" t="s">
        <v>5</v>
      </c>
      <c r="BR62" s="4" t="s">
        <v>5</v>
      </c>
      <c r="BS62" s="4" t="s">
        <v>5</v>
      </c>
      <c r="BT62" s="4" t="s">
        <v>5</v>
      </c>
      <c r="BU62" s="4" t="s">
        <v>5</v>
      </c>
      <c r="BV62" s="4" t="s">
        <v>5</v>
      </c>
      <c r="BW62" s="4" t="s">
        <v>5</v>
      </c>
      <c r="BX62" s="4" t="s">
        <v>5</v>
      </c>
      <c r="BY62" s="4" t="s">
        <v>5</v>
      </c>
      <c r="BZ62" s="4" t="s">
        <v>5</v>
      </c>
      <c r="CA62" s="4" t="s">
        <v>5</v>
      </c>
      <c r="CB62" s="4" t="s">
        <v>5</v>
      </c>
      <c r="CD62" s="4" t="s">
        <v>5</v>
      </c>
      <c r="CE62" s="4" t="s">
        <v>5</v>
      </c>
      <c r="CH62" s="4" t="s">
        <v>5</v>
      </c>
      <c r="CK62" s="4" t="s">
        <v>5</v>
      </c>
      <c r="CP62" s="4" t="s">
        <v>5</v>
      </c>
      <c r="CQ62" s="4" t="s">
        <v>5</v>
      </c>
      <c r="CT62" s="4" t="s">
        <v>5</v>
      </c>
      <c r="CV62" s="4" t="s">
        <v>5</v>
      </c>
      <c r="CY62" s="4" t="s">
        <v>5</v>
      </c>
      <c r="DD62" s="4" t="s">
        <v>5</v>
      </c>
      <c r="DF62" s="4" t="s">
        <v>5</v>
      </c>
      <c r="DG62" s="4" t="s">
        <v>5</v>
      </c>
      <c r="DH62" s="4" t="s">
        <v>5</v>
      </c>
    </row>
    <row r="63" spans="1:125" x14ac:dyDescent="0.25">
      <c r="A63" s="13" t="str">
        <f>IF(AND($E63="",MAX($A$8:$A62)=0),"",IF(AND($E63&lt;&gt;"",MAX($A$8:$A62)=0),1,IF(AND($E63&lt;&gt;"",MAX($A$8:$A62)&gt;0),MAX($A$8:$A62)+1,"")))</f>
        <v/>
      </c>
      <c r="B63" s="11">
        <v>56</v>
      </c>
      <c r="C63" s="19" t="str">
        <f t="shared" si="0"/>
        <v>EMPTY</v>
      </c>
      <c r="D63" s="3" t="str">
        <f>IF(C63="SHOW",CONCATENATE(Temp!T59,Temp!U59,",",Temp!V59,",",Temp!W59,Temp!X59),"")</f>
        <v/>
      </c>
      <c r="E63" s="7"/>
      <c r="F63" s="8" t="str">
        <f t="shared" si="1"/>
        <v/>
      </c>
      <c r="I63" s="4" t="s">
        <v>5</v>
      </c>
      <c r="J63" s="4" t="s">
        <v>5</v>
      </c>
      <c r="K63" s="4" t="s">
        <v>5</v>
      </c>
      <c r="L63" s="4" t="s">
        <v>5</v>
      </c>
      <c r="M63" s="4" t="s">
        <v>5</v>
      </c>
      <c r="N63" s="4" t="s">
        <v>5</v>
      </c>
      <c r="Q63" s="4" t="s">
        <v>5</v>
      </c>
      <c r="R63" s="4" t="s">
        <v>5</v>
      </c>
      <c r="T63" s="4" t="s">
        <v>5</v>
      </c>
      <c r="U63" s="4" t="s">
        <v>5</v>
      </c>
      <c r="V63" s="4" t="s">
        <v>5</v>
      </c>
      <c r="Y63" s="4" t="s">
        <v>5</v>
      </c>
      <c r="Z63" s="4" t="s">
        <v>5</v>
      </c>
      <c r="AB63" s="4" t="s">
        <v>5</v>
      </c>
      <c r="AC63" s="4" t="s">
        <v>5</v>
      </c>
      <c r="AF63" s="4" t="s">
        <v>5</v>
      </c>
      <c r="AI63" s="4" t="s">
        <v>5</v>
      </c>
      <c r="AJ63" s="4" t="s">
        <v>5</v>
      </c>
      <c r="AK63" s="4" t="s">
        <v>5</v>
      </c>
      <c r="AL63" s="4" t="s">
        <v>5</v>
      </c>
      <c r="AO63" s="4" t="s">
        <v>5</v>
      </c>
      <c r="AQ63" s="4" t="s">
        <v>5</v>
      </c>
      <c r="AR63" s="4" t="s">
        <v>5</v>
      </c>
      <c r="BE63" s="4" t="s">
        <v>5</v>
      </c>
      <c r="BF63" s="4" t="s">
        <v>5</v>
      </c>
      <c r="BJ63" s="4" t="s">
        <v>5</v>
      </c>
      <c r="BK63" s="4" t="s">
        <v>5</v>
      </c>
      <c r="BM63" s="4" t="s">
        <v>5</v>
      </c>
      <c r="BN63" s="4" t="s">
        <v>5</v>
      </c>
      <c r="BO63" s="4" t="s">
        <v>5</v>
      </c>
      <c r="BP63" s="4" t="s">
        <v>5</v>
      </c>
      <c r="BQ63" s="4" t="s">
        <v>5</v>
      </c>
      <c r="BR63" s="4" t="s">
        <v>5</v>
      </c>
      <c r="BS63" s="4" t="s">
        <v>5</v>
      </c>
      <c r="BT63" s="4" t="s">
        <v>5</v>
      </c>
      <c r="BU63" s="4" t="s">
        <v>5</v>
      </c>
      <c r="BV63" s="4" t="s">
        <v>5</v>
      </c>
      <c r="BW63" s="4" t="s">
        <v>5</v>
      </c>
      <c r="BX63" s="4" t="s">
        <v>5</v>
      </c>
      <c r="BY63" s="4" t="s">
        <v>5</v>
      </c>
      <c r="BZ63" s="4" t="s">
        <v>5</v>
      </c>
      <c r="CA63" s="4" t="s">
        <v>5</v>
      </c>
      <c r="CD63" s="4" t="s">
        <v>5</v>
      </c>
      <c r="CE63" s="4" t="s">
        <v>5</v>
      </c>
      <c r="CH63" s="4" t="s">
        <v>5</v>
      </c>
      <c r="CK63" s="4" t="s">
        <v>5</v>
      </c>
      <c r="CP63" s="4" t="s">
        <v>5</v>
      </c>
      <c r="CQ63" s="4" t="s">
        <v>5</v>
      </c>
      <c r="CT63" s="4" t="s">
        <v>5</v>
      </c>
      <c r="CV63" s="4" t="s">
        <v>5</v>
      </c>
      <c r="CY63" s="4" t="s">
        <v>5</v>
      </c>
      <c r="DD63" s="4" t="s">
        <v>5</v>
      </c>
      <c r="DF63" s="4" t="s">
        <v>5</v>
      </c>
      <c r="DG63" s="4" t="s">
        <v>5</v>
      </c>
      <c r="DH63" s="4" t="s">
        <v>5</v>
      </c>
    </row>
    <row r="64" spans="1:125" x14ac:dyDescent="0.25">
      <c r="A64" s="13" t="str">
        <f>IF(AND($E64="",MAX($A$8:$A63)=0),"",IF(AND($E64&lt;&gt;"",MAX($A$8:$A63)=0),1,IF(AND($E64&lt;&gt;"",MAX($A$8:$A63)&gt;0),MAX($A$8:$A63)+1,"")))</f>
        <v/>
      </c>
      <c r="B64" s="11">
        <v>57</v>
      </c>
      <c r="C64" s="19" t="str">
        <f t="shared" si="0"/>
        <v>EMPTY</v>
      </c>
      <c r="D64" s="3" t="str">
        <f>IF(C64="SHOW",CONCATENATE(Temp!T60,Temp!U60,",",Temp!V60,",",Temp!W60,Temp!X60),"")</f>
        <v/>
      </c>
      <c r="E64" s="7"/>
      <c r="F64" s="8" t="str">
        <f t="shared" si="1"/>
        <v/>
      </c>
      <c r="I64" s="4" t="s">
        <v>5</v>
      </c>
      <c r="J64" s="4" t="s">
        <v>5</v>
      </c>
      <c r="K64" s="4" t="s">
        <v>5</v>
      </c>
      <c r="L64" s="4" t="s">
        <v>5</v>
      </c>
      <c r="M64" s="4" t="s">
        <v>5</v>
      </c>
      <c r="N64" s="4" t="s">
        <v>5</v>
      </c>
      <c r="Q64" s="4" t="s">
        <v>5</v>
      </c>
      <c r="R64" s="4" t="s">
        <v>5</v>
      </c>
      <c r="T64" s="4" t="s">
        <v>5</v>
      </c>
      <c r="U64" s="4" t="s">
        <v>5</v>
      </c>
      <c r="V64" s="4" t="s">
        <v>5</v>
      </c>
      <c r="Y64" s="4" t="s">
        <v>5</v>
      </c>
      <c r="Z64" s="4" t="s">
        <v>5</v>
      </c>
      <c r="AB64" s="4" t="s">
        <v>5</v>
      </c>
      <c r="AC64" s="4" t="s">
        <v>5</v>
      </c>
      <c r="AF64" s="4" t="s">
        <v>5</v>
      </c>
      <c r="AI64" s="4" t="s">
        <v>5</v>
      </c>
      <c r="AJ64" s="4" t="s">
        <v>5</v>
      </c>
      <c r="AK64" s="4" t="s">
        <v>5</v>
      </c>
      <c r="AL64" s="4" t="s">
        <v>5</v>
      </c>
      <c r="AO64" s="4" t="s">
        <v>5</v>
      </c>
      <c r="AQ64" s="4" t="s">
        <v>5</v>
      </c>
      <c r="AR64" s="4" t="s">
        <v>5</v>
      </c>
      <c r="BE64" s="4" t="s">
        <v>5</v>
      </c>
      <c r="BF64" s="4" t="s">
        <v>5</v>
      </c>
      <c r="BJ64" s="4" t="s">
        <v>5</v>
      </c>
      <c r="BK64" s="4" t="s">
        <v>5</v>
      </c>
      <c r="BM64" s="4" t="s">
        <v>5</v>
      </c>
      <c r="BN64" s="4" t="s">
        <v>5</v>
      </c>
      <c r="BO64" s="4" t="s">
        <v>5</v>
      </c>
      <c r="BP64" s="4" t="s">
        <v>5</v>
      </c>
      <c r="BQ64" s="4" t="s">
        <v>5</v>
      </c>
      <c r="BR64" s="4" t="s">
        <v>5</v>
      </c>
      <c r="BS64" s="4" t="s">
        <v>5</v>
      </c>
      <c r="BT64" s="4" t="s">
        <v>5</v>
      </c>
      <c r="BU64" s="4" t="s">
        <v>5</v>
      </c>
      <c r="BV64" s="4" t="s">
        <v>5</v>
      </c>
      <c r="BW64" s="4" t="s">
        <v>5</v>
      </c>
      <c r="BX64" s="4" t="s">
        <v>5</v>
      </c>
      <c r="BY64" s="4" t="s">
        <v>5</v>
      </c>
      <c r="BZ64" s="4" t="s">
        <v>5</v>
      </c>
      <c r="CA64" s="4" t="s">
        <v>5</v>
      </c>
      <c r="CD64" s="4" t="s">
        <v>5</v>
      </c>
      <c r="CE64" s="4" t="s">
        <v>5</v>
      </c>
      <c r="CH64" s="4" t="s">
        <v>5</v>
      </c>
      <c r="CK64" s="4" t="s">
        <v>5</v>
      </c>
      <c r="CP64" s="4" t="s">
        <v>5</v>
      </c>
      <c r="CQ64" s="4" t="s">
        <v>5</v>
      </c>
      <c r="CT64" s="4" t="s">
        <v>5</v>
      </c>
      <c r="CV64" s="4" t="s">
        <v>5</v>
      </c>
      <c r="CY64" s="4" t="s">
        <v>5</v>
      </c>
      <c r="DF64" s="4" t="s">
        <v>5</v>
      </c>
      <c r="DG64" s="4" t="s">
        <v>5</v>
      </c>
      <c r="DH64" s="4" t="s">
        <v>5</v>
      </c>
    </row>
    <row r="65" spans="1:112" x14ac:dyDescent="0.25">
      <c r="A65" s="13" t="str">
        <f>IF(AND($E65="",MAX($A$8:$A64)=0),"",IF(AND($E65&lt;&gt;"",MAX($A$8:$A64)=0),1,IF(AND($E65&lt;&gt;"",MAX($A$8:$A64)&gt;0),MAX($A$8:$A64)+1,"")))</f>
        <v/>
      </c>
      <c r="B65" s="11">
        <v>58</v>
      </c>
      <c r="C65" s="19" t="str">
        <f t="shared" si="0"/>
        <v>EMPTY</v>
      </c>
      <c r="D65" s="3" t="str">
        <f>IF(C65="SHOW",CONCATENATE(Temp!T61,Temp!U61,",",Temp!V61,",",Temp!W61,Temp!X61),"")</f>
        <v/>
      </c>
      <c r="E65" s="7"/>
      <c r="F65" s="8" t="str">
        <f t="shared" si="1"/>
        <v/>
      </c>
      <c r="K65" s="4" t="s">
        <v>5</v>
      </c>
      <c r="L65" s="4" t="s">
        <v>5</v>
      </c>
      <c r="M65" s="4" t="s">
        <v>5</v>
      </c>
      <c r="N65" s="4" t="s">
        <v>5</v>
      </c>
      <c r="Q65" s="4" t="s">
        <v>5</v>
      </c>
      <c r="R65" s="4" t="s">
        <v>5</v>
      </c>
      <c r="T65" s="4" t="s">
        <v>5</v>
      </c>
      <c r="U65" s="4" t="s">
        <v>5</v>
      </c>
      <c r="V65" s="4" t="s">
        <v>5</v>
      </c>
      <c r="Z65" s="4" t="s">
        <v>5</v>
      </c>
      <c r="AB65" s="4" t="s">
        <v>5</v>
      </c>
      <c r="AC65" s="4" t="s">
        <v>5</v>
      </c>
      <c r="AF65" s="4" t="s">
        <v>5</v>
      </c>
      <c r="AI65" s="4" t="s">
        <v>5</v>
      </c>
      <c r="AJ65" s="4" t="s">
        <v>5</v>
      </c>
      <c r="AK65" s="4" t="s">
        <v>5</v>
      </c>
      <c r="AO65" s="4" t="s">
        <v>5</v>
      </c>
      <c r="AQ65" s="4" t="s">
        <v>5</v>
      </c>
      <c r="AR65" s="4" t="s">
        <v>5</v>
      </c>
      <c r="BE65" s="4" t="s">
        <v>5</v>
      </c>
      <c r="BF65" s="4" t="s">
        <v>5</v>
      </c>
      <c r="BJ65" s="4" t="s">
        <v>5</v>
      </c>
      <c r="BK65" s="4" t="s">
        <v>5</v>
      </c>
      <c r="BM65" s="4" t="s">
        <v>5</v>
      </c>
      <c r="BN65" s="4" t="s">
        <v>5</v>
      </c>
      <c r="BO65" s="4" t="s">
        <v>5</v>
      </c>
      <c r="BP65" s="4" t="s">
        <v>5</v>
      </c>
      <c r="BQ65" s="4" t="s">
        <v>5</v>
      </c>
      <c r="BR65" s="4" t="s">
        <v>5</v>
      </c>
      <c r="BS65" s="4" t="s">
        <v>5</v>
      </c>
      <c r="BT65" s="4" t="s">
        <v>5</v>
      </c>
      <c r="BU65" s="4" t="s">
        <v>5</v>
      </c>
      <c r="BV65" s="4" t="s">
        <v>5</v>
      </c>
      <c r="BW65" s="4" t="s">
        <v>5</v>
      </c>
      <c r="BX65" s="4" t="s">
        <v>5</v>
      </c>
      <c r="BY65" s="4" t="s">
        <v>5</v>
      </c>
      <c r="BZ65" s="4" t="s">
        <v>5</v>
      </c>
      <c r="CD65" s="4" t="s">
        <v>5</v>
      </c>
      <c r="CE65" s="4" t="s">
        <v>5</v>
      </c>
      <c r="CH65" s="4" t="s">
        <v>5</v>
      </c>
      <c r="CK65" s="4" t="s">
        <v>5</v>
      </c>
      <c r="CP65" s="4" t="s">
        <v>5</v>
      </c>
      <c r="CQ65" s="4" t="s">
        <v>5</v>
      </c>
      <c r="CT65" s="4" t="s">
        <v>5</v>
      </c>
      <c r="CY65" s="4" t="s">
        <v>5</v>
      </c>
      <c r="DH65" s="4" t="s">
        <v>5</v>
      </c>
    </row>
    <row r="66" spans="1:112" x14ac:dyDescent="0.25">
      <c r="A66" s="13" t="str">
        <f>IF(AND($E66="",MAX($A$8:$A65)=0),"",IF(AND($E66&lt;&gt;"",MAX($A$8:$A65)=0),1,IF(AND($E66&lt;&gt;"",MAX($A$8:$A65)&gt;0),MAX($A$8:$A65)+1,"")))</f>
        <v/>
      </c>
      <c r="B66" s="11">
        <v>59</v>
      </c>
      <c r="C66" s="19" t="str">
        <f t="shared" si="0"/>
        <v>EMPTY</v>
      </c>
      <c r="D66" s="3" t="str">
        <f>IF(C66="SHOW",CONCATENATE(Temp!T62,Temp!U62,",",Temp!V62,",",Temp!W62,Temp!X62),"")</f>
        <v/>
      </c>
      <c r="E66" s="7"/>
      <c r="F66" s="8" t="str">
        <f t="shared" si="1"/>
        <v/>
      </c>
      <c r="Q66" s="4" t="s">
        <v>5</v>
      </c>
      <c r="R66" s="4" t="s">
        <v>5</v>
      </c>
      <c r="T66" s="4" t="s">
        <v>5</v>
      </c>
      <c r="U66" s="4" t="s">
        <v>5</v>
      </c>
      <c r="V66" s="4" t="s">
        <v>5</v>
      </c>
      <c r="Z66" s="4" t="s">
        <v>5</v>
      </c>
      <c r="AB66" s="4" t="s">
        <v>5</v>
      </c>
      <c r="AC66" s="4" t="s">
        <v>5</v>
      </c>
      <c r="AF66" s="4" t="s">
        <v>5</v>
      </c>
      <c r="AI66" s="4" t="s">
        <v>5</v>
      </c>
      <c r="AJ66" s="4" t="s">
        <v>5</v>
      </c>
      <c r="AK66" s="4" t="s">
        <v>5</v>
      </c>
      <c r="AO66" s="4" t="s">
        <v>5</v>
      </c>
      <c r="AQ66" s="4" t="s">
        <v>5</v>
      </c>
      <c r="AR66" s="4" t="s">
        <v>5</v>
      </c>
      <c r="BE66" s="4" t="s">
        <v>5</v>
      </c>
      <c r="BF66" s="4" t="s">
        <v>5</v>
      </c>
      <c r="BJ66" s="4" t="s">
        <v>5</v>
      </c>
      <c r="BK66" s="4" t="s">
        <v>5</v>
      </c>
      <c r="BM66" s="4" t="s">
        <v>5</v>
      </c>
      <c r="BN66" s="4" t="s">
        <v>5</v>
      </c>
      <c r="BO66" s="4" t="s">
        <v>5</v>
      </c>
      <c r="BP66" s="4" t="s">
        <v>5</v>
      </c>
      <c r="BQ66" s="4" t="s">
        <v>5</v>
      </c>
      <c r="BR66" s="4" t="s">
        <v>5</v>
      </c>
      <c r="BS66" s="4" t="s">
        <v>5</v>
      </c>
      <c r="BT66" s="4" t="s">
        <v>5</v>
      </c>
      <c r="BU66" s="4" t="s">
        <v>5</v>
      </c>
      <c r="BV66" s="4" t="s">
        <v>5</v>
      </c>
      <c r="BW66" s="4" t="s">
        <v>5</v>
      </c>
      <c r="BX66" s="4" t="s">
        <v>5</v>
      </c>
      <c r="BY66" s="4" t="s">
        <v>5</v>
      </c>
      <c r="BZ66" s="4" t="s">
        <v>5</v>
      </c>
      <c r="CD66" s="4" t="s">
        <v>5</v>
      </c>
      <c r="CE66" s="4" t="s">
        <v>5</v>
      </c>
      <c r="CH66" s="4" t="s">
        <v>5</v>
      </c>
      <c r="CK66" s="4" t="s">
        <v>5</v>
      </c>
      <c r="CP66" s="4" t="s">
        <v>5</v>
      </c>
      <c r="CQ66" s="4" t="s">
        <v>5</v>
      </c>
      <c r="CT66" s="4" t="s">
        <v>5</v>
      </c>
      <c r="CY66" s="4" t="s">
        <v>5</v>
      </c>
      <c r="DH66" s="4" t="s">
        <v>5</v>
      </c>
    </row>
    <row r="67" spans="1:112" x14ac:dyDescent="0.25">
      <c r="A67" s="13" t="str">
        <f>IF(AND($E67="",MAX($A$8:$A66)=0),"",IF(AND($E67&lt;&gt;"",MAX($A$8:$A66)=0),1,IF(AND($E67&lt;&gt;"",MAX($A$8:$A66)&gt;0),MAX($A$8:$A66)+1,"")))</f>
        <v/>
      </c>
      <c r="B67" s="11">
        <v>60</v>
      </c>
      <c r="C67" s="19" t="str">
        <f t="shared" si="0"/>
        <v>EMPTY</v>
      </c>
      <c r="D67" s="3" t="str">
        <f>IF(C67="SHOW",CONCATENATE(Temp!T63,Temp!U63,",",Temp!V63,",",Temp!W63,Temp!X63),"")</f>
        <v/>
      </c>
      <c r="E67" s="7"/>
      <c r="F67" s="8" t="str">
        <f t="shared" si="1"/>
        <v/>
      </c>
      <c r="Q67" s="4" t="s">
        <v>5</v>
      </c>
      <c r="R67" s="4" t="s">
        <v>5</v>
      </c>
      <c r="T67" s="4" t="s">
        <v>5</v>
      </c>
      <c r="U67" s="4" t="s">
        <v>5</v>
      </c>
      <c r="V67" s="4" t="s">
        <v>5</v>
      </c>
      <c r="Z67" s="4" t="s">
        <v>5</v>
      </c>
      <c r="AB67" s="4" t="s">
        <v>5</v>
      </c>
      <c r="AC67" s="4" t="s">
        <v>5</v>
      </c>
      <c r="AF67" s="4" t="s">
        <v>5</v>
      </c>
      <c r="AI67" s="4" t="s">
        <v>5</v>
      </c>
      <c r="AJ67" s="4" t="s">
        <v>5</v>
      </c>
      <c r="AK67" s="4" t="s">
        <v>5</v>
      </c>
      <c r="AO67" s="4" t="s">
        <v>5</v>
      </c>
      <c r="AQ67" s="4" t="s">
        <v>5</v>
      </c>
      <c r="AR67" s="4" t="s">
        <v>5</v>
      </c>
      <c r="BE67" s="4" t="s">
        <v>5</v>
      </c>
      <c r="BF67" s="4" t="s">
        <v>5</v>
      </c>
      <c r="BJ67" s="4" t="s">
        <v>5</v>
      </c>
      <c r="BM67" s="4" t="s">
        <v>5</v>
      </c>
      <c r="BO67" s="4" t="s">
        <v>5</v>
      </c>
      <c r="BP67" s="4" t="s">
        <v>5</v>
      </c>
      <c r="BQ67" s="4" t="s">
        <v>5</v>
      </c>
      <c r="BR67" s="4" t="s">
        <v>5</v>
      </c>
      <c r="BS67" s="4" t="s">
        <v>5</v>
      </c>
      <c r="BT67" s="4" t="s">
        <v>5</v>
      </c>
      <c r="BU67" s="4" t="s">
        <v>5</v>
      </c>
      <c r="BW67" s="4" t="s">
        <v>5</v>
      </c>
      <c r="BX67" s="4" t="s">
        <v>5</v>
      </c>
      <c r="BY67" s="4" t="s">
        <v>5</v>
      </c>
      <c r="BZ67" s="4" t="s">
        <v>5</v>
      </c>
      <c r="CD67" s="4" t="s">
        <v>5</v>
      </c>
      <c r="CE67" s="4" t="s">
        <v>5</v>
      </c>
      <c r="CH67" s="4" t="s">
        <v>5</v>
      </c>
      <c r="CK67" s="4" t="s">
        <v>5</v>
      </c>
      <c r="CP67" s="4" t="s">
        <v>5</v>
      </c>
      <c r="CQ67" s="4" t="s">
        <v>5</v>
      </c>
      <c r="CT67" s="4" t="s">
        <v>5</v>
      </c>
      <c r="CY67" s="4" t="s">
        <v>5</v>
      </c>
      <c r="DH67" s="4" t="s">
        <v>5</v>
      </c>
    </row>
    <row r="68" spans="1:112" x14ac:dyDescent="0.25">
      <c r="A68" s="13" t="str">
        <f>IF(AND($E68="",MAX($A$8:$A67)=0),"",IF(AND($E68&lt;&gt;"",MAX($A$8:$A67)=0),1,IF(AND($E68&lt;&gt;"",MAX($A$8:$A67)&gt;0),MAX($A$8:$A67)+1,"")))</f>
        <v/>
      </c>
      <c r="B68" s="11">
        <v>61</v>
      </c>
      <c r="C68" s="19" t="str">
        <f t="shared" si="0"/>
        <v>EMPTY</v>
      </c>
      <c r="D68" s="3" t="str">
        <f>IF(C68="SHOW",CONCATENATE(Temp!T64,Temp!U64,",",Temp!V64,",",Temp!W64,Temp!X64),"")</f>
        <v/>
      </c>
      <c r="E68" s="7"/>
      <c r="F68" s="8" t="str">
        <f t="shared" si="1"/>
        <v/>
      </c>
      <c r="Q68" s="4" t="s">
        <v>5</v>
      </c>
      <c r="R68" s="4" t="s">
        <v>5</v>
      </c>
      <c r="T68" s="4" t="s">
        <v>5</v>
      </c>
      <c r="U68" s="4" t="s">
        <v>5</v>
      </c>
      <c r="Z68" s="4" t="s">
        <v>5</v>
      </c>
      <c r="AB68" s="4" t="s">
        <v>5</v>
      </c>
      <c r="AC68" s="4" t="s">
        <v>5</v>
      </c>
      <c r="AI68" s="4" t="s">
        <v>5</v>
      </c>
      <c r="AJ68" s="4" t="s">
        <v>5</v>
      </c>
      <c r="AO68" s="4" t="s">
        <v>5</v>
      </c>
      <c r="AQ68" s="4" t="s">
        <v>5</v>
      </c>
      <c r="AR68" s="4" t="s">
        <v>5</v>
      </c>
      <c r="BE68" s="4" t="s">
        <v>5</v>
      </c>
      <c r="BF68" s="4" t="s">
        <v>5</v>
      </c>
      <c r="BJ68" s="4" t="s">
        <v>5</v>
      </c>
      <c r="BM68" s="4" t="s">
        <v>5</v>
      </c>
      <c r="BO68" s="4" t="s">
        <v>5</v>
      </c>
      <c r="BP68" s="4" t="s">
        <v>5</v>
      </c>
      <c r="BQ68" s="4" t="s">
        <v>5</v>
      </c>
      <c r="BR68" s="4" t="s">
        <v>5</v>
      </c>
      <c r="BS68" s="4" t="s">
        <v>5</v>
      </c>
      <c r="BT68" s="4" t="s">
        <v>5</v>
      </c>
      <c r="BU68" s="4" t="s">
        <v>5</v>
      </c>
      <c r="BW68" s="4" t="s">
        <v>5</v>
      </c>
      <c r="BX68" s="4" t="s">
        <v>5</v>
      </c>
      <c r="BY68" s="4" t="s">
        <v>5</v>
      </c>
      <c r="BZ68" s="4" t="s">
        <v>5</v>
      </c>
      <c r="CD68" s="4" t="s">
        <v>5</v>
      </c>
      <c r="CE68" s="4" t="s">
        <v>5</v>
      </c>
      <c r="CH68" s="4" t="s">
        <v>5</v>
      </c>
      <c r="CK68" s="4" t="s">
        <v>5</v>
      </c>
      <c r="CP68" s="4" t="s">
        <v>5</v>
      </c>
      <c r="CQ68" s="4" t="s">
        <v>5</v>
      </c>
      <c r="CT68" s="4" t="s">
        <v>5</v>
      </c>
      <c r="CY68" s="4" t="s">
        <v>5</v>
      </c>
      <c r="DH68" s="4" t="s">
        <v>5</v>
      </c>
    </row>
    <row r="69" spans="1:112" x14ac:dyDescent="0.25">
      <c r="A69" s="13" t="str">
        <f>IF(AND($E69="",MAX($A$8:$A68)=0),"",IF(AND($E69&lt;&gt;"",MAX($A$8:$A68)=0),1,IF(AND($E69&lt;&gt;"",MAX($A$8:$A68)&gt;0),MAX($A$8:$A68)+1,"")))</f>
        <v/>
      </c>
      <c r="B69" s="11">
        <v>62</v>
      </c>
      <c r="C69" s="19" t="str">
        <f t="shared" si="0"/>
        <v>EMPTY</v>
      </c>
      <c r="D69" s="3" t="str">
        <f>IF(C69="SHOW",CONCATENATE(Temp!T65,Temp!U65,",",Temp!V65,",",Temp!W65,Temp!X65),"")</f>
        <v/>
      </c>
      <c r="E69" s="7"/>
      <c r="F69" s="8" t="str">
        <f t="shared" si="1"/>
        <v/>
      </c>
      <c r="Q69" s="4" t="s">
        <v>5</v>
      </c>
      <c r="R69" s="4" t="s">
        <v>5</v>
      </c>
      <c r="T69" s="4" t="s">
        <v>5</v>
      </c>
      <c r="U69" s="4" t="s">
        <v>5</v>
      </c>
      <c r="Z69" s="4" t="s">
        <v>5</v>
      </c>
      <c r="AB69" s="4" t="s">
        <v>5</v>
      </c>
      <c r="AC69" s="4" t="s">
        <v>5</v>
      </c>
      <c r="AI69" s="4" t="s">
        <v>5</v>
      </c>
      <c r="AJ69" s="4" t="s">
        <v>5</v>
      </c>
      <c r="AO69" s="4" t="s">
        <v>5</v>
      </c>
      <c r="AQ69" s="4" t="s">
        <v>5</v>
      </c>
      <c r="AR69" s="4" t="s">
        <v>5</v>
      </c>
      <c r="BE69" s="4" t="s">
        <v>5</v>
      </c>
      <c r="BF69" s="4" t="s">
        <v>5</v>
      </c>
      <c r="BJ69" s="4" t="s">
        <v>5</v>
      </c>
      <c r="BM69" s="4" t="s">
        <v>5</v>
      </c>
      <c r="BO69" s="4" t="s">
        <v>5</v>
      </c>
      <c r="BP69" s="4" t="s">
        <v>5</v>
      </c>
      <c r="BQ69" s="4" t="s">
        <v>5</v>
      </c>
      <c r="BR69" s="4" t="s">
        <v>5</v>
      </c>
      <c r="BT69" s="4" t="s">
        <v>5</v>
      </c>
      <c r="BU69" s="4" t="s">
        <v>5</v>
      </c>
      <c r="BW69" s="4" t="s">
        <v>5</v>
      </c>
      <c r="BX69" s="4" t="s">
        <v>5</v>
      </c>
      <c r="BY69" s="4" t="s">
        <v>5</v>
      </c>
      <c r="BZ69" s="4" t="s">
        <v>5</v>
      </c>
      <c r="CD69" s="4" t="s">
        <v>5</v>
      </c>
      <c r="CE69" s="4" t="s">
        <v>5</v>
      </c>
      <c r="CH69" s="4" t="s">
        <v>5</v>
      </c>
      <c r="CK69" s="4" t="s">
        <v>5</v>
      </c>
      <c r="CP69" s="4" t="s">
        <v>5</v>
      </c>
      <c r="CQ69" s="4" t="s">
        <v>5</v>
      </c>
      <c r="CT69" s="4" t="s">
        <v>5</v>
      </c>
      <c r="CY69" s="4" t="s">
        <v>5</v>
      </c>
      <c r="DH69" s="4" t="s">
        <v>5</v>
      </c>
    </row>
    <row r="70" spans="1:112" x14ac:dyDescent="0.25">
      <c r="A70" s="13" t="str">
        <f>IF(AND($E70="",MAX($A$8:$A69)=0),"",IF(AND($E70&lt;&gt;"",MAX($A$8:$A69)=0),1,IF(AND($E70&lt;&gt;"",MAX($A$8:$A69)&gt;0),MAX($A$8:$A69)+1,"")))</f>
        <v/>
      </c>
      <c r="B70" s="11">
        <v>63</v>
      </c>
      <c r="C70" s="19" t="str">
        <f t="shared" si="0"/>
        <v>EMPTY</v>
      </c>
      <c r="D70" s="3" t="str">
        <f>IF(C70="SHOW",CONCATENATE(Temp!T66,Temp!U66,",",Temp!V66,",",Temp!W66,Temp!X66),"")</f>
        <v/>
      </c>
      <c r="E70" s="7"/>
      <c r="F70" s="8" t="str">
        <f t="shared" si="1"/>
        <v/>
      </c>
      <c r="Q70" s="4" t="s">
        <v>5</v>
      </c>
      <c r="T70" s="4" t="s">
        <v>5</v>
      </c>
      <c r="U70" s="4" t="s">
        <v>5</v>
      </c>
      <c r="Z70" s="4" t="s">
        <v>5</v>
      </c>
      <c r="AB70" s="4" t="s">
        <v>5</v>
      </c>
      <c r="AC70" s="4" t="s">
        <v>5</v>
      </c>
      <c r="AI70" s="4" t="s">
        <v>5</v>
      </c>
      <c r="AJ70" s="4" t="s">
        <v>5</v>
      </c>
      <c r="AO70" s="4" t="s">
        <v>5</v>
      </c>
      <c r="AQ70" s="4" t="s">
        <v>5</v>
      </c>
      <c r="AR70" s="4" t="s">
        <v>5</v>
      </c>
      <c r="BE70" s="4" t="s">
        <v>5</v>
      </c>
      <c r="BF70" s="4" t="s">
        <v>5</v>
      </c>
      <c r="BJ70" s="4" t="s">
        <v>5</v>
      </c>
      <c r="BM70" s="4" t="s">
        <v>5</v>
      </c>
      <c r="BO70" s="4" t="s">
        <v>5</v>
      </c>
      <c r="BP70" s="4" t="s">
        <v>5</v>
      </c>
      <c r="BQ70" s="4" t="s">
        <v>5</v>
      </c>
      <c r="BR70" s="4" t="s">
        <v>5</v>
      </c>
      <c r="BT70" s="4" t="s">
        <v>5</v>
      </c>
      <c r="BU70" s="4" t="s">
        <v>5</v>
      </c>
      <c r="BW70" s="4" t="s">
        <v>5</v>
      </c>
      <c r="BX70" s="4" t="s">
        <v>5</v>
      </c>
      <c r="BY70" s="4" t="s">
        <v>5</v>
      </c>
      <c r="BZ70" s="4" t="s">
        <v>5</v>
      </c>
      <c r="CD70" s="4" t="s">
        <v>5</v>
      </c>
      <c r="CE70" s="4" t="s">
        <v>5</v>
      </c>
      <c r="CH70" s="4" t="s">
        <v>5</v>
      </c>
      <c r="CK70" s="4" t="s">
        <v>5</v>
      </c>
      <c r="CP70" s="4" t="s">
        <v>5</v>
      </c>
      <c r="CT70" s="4" t="s">
        <v>5</v>
      </c>
      <c r="CY70" s="4" t="s">
        <v>5</v>
      </c>
      <c r="DH70" s="4" t="s">
        <v>5</v>
      </c>
    </row>
    <row r="71" spans="1:112" x14ac:dyDescent="0.25">
      <c r="A71" s="13" t="str">
        <f>IF(AND($E71="",MAX($A$8:$A70)=0),"",IF(AND($E71&lt;&gt;"",MAX($A$8:$A70)=0),1,IF(AND($E71&lt;&gt;"",MAX($A$8:$A70)&gt;0),MAX($A$8:$A70)+1,"")))</f>
        <v/>
      </c>
      <c r="B71" s="11">
        <v>64</v>
      </c>
      <c r="C71" s="19" t="str">
        <f t="shared" si="0"/>
        <v>EMPTY</v>
      </c>
      <c r="D71" s="3" t="str">
        <f>IF(C71="SHOW",CONCATENATE(Temp!T67,Temp!U67,",",Temp!V67,",",Temp!W67,Temp!X67),"")</f>
        <v/>
      </c>
      <c r="E71" s="7"/>
      <c r="F71" s="8" t="str">
        <f t="shared" si="1"/>
        <v/>
      </c>
      <c r="Q71" s="4" t="s">
        <v>5</v>
      </c>
      <c r="T71" s="4" t="s">
        <v>5</v>
      </c>
      <c r="U71" s="4" t="s">
        <v>5</v>
      </c>
      <c r="Z71" s="4" t="s">
        <v>5</v>
      </c>
      <c r="AB71" s="4" t="s">
        <v>5</v>
      </c>
      <c r="AC71" s="4" t="s">
        <v>5</v>
      </c>
      <c r="AR71" s="4" t="s">
        <v>5</v>
      </c>
      <c r="BE71" s="4" t="s">
        <v>5</v>
      </c>
      <c r="BF71" s="4" t="s">
        <v>5</v>
      </c>
      <c r="BJ71" s="4" t="s">
        <v>5</v>
      </c>
      <c r="BM71" s="4" t="s">
        <v>5</v>
      </c>
      <c r="BO71" s="4" t="s">
        <v>5</v>
      </c>
      <c r="BP71" s="4" t="s">
        <v>5</v>
      </c>
      <c r="BQ71" s="4" t="s">
        <v>5</v>
      </c>
      <c r="BR71" s="4" t="s">
        <v>5</v>
      </c>
      <c r="BT71" s="4" t="s">
        <v>5</v>
      </c>
      <c r="BW71" s="4" t="s">
        <v>5</v>
      </c>
      <c r="BX71" s="4" t="s">
        <v>5</v>
      </c>
      <c r="BY71" s="4" t="s">
        <v>5</v>
      </c>
      <c r="BZ71" s="4" t="s">
        <v>5</v>
      </c>
      <c r="CD71" s="4" t="s">
        <v>5</v>
      </c>
      <c r="CE71" s="4" t="s">
        <v>5</v>
      </c>
      <c r="CH71" s="4" t="s">
        <v>5</v>
      </c>
      <c r="CK71" s="4" t="s">
        <v>5</v>
      </c>
      <c r="CP71" s="4" t="s">
        <v>5</v>
      </c>
      <c r="CT71" s="4" t="s">
        <v>5</v>
      </c>
      <c r="CY71" s="4" t="s">
        <v>5</v>
      </c>
      <c r="DH71" s="4" t="s">
        <v>5</v>
      </c>
    </row>
    <row r="72" spans="1:112" x14ac:dyDescent="0.25">
      <c r="A72" s="13" t="str">
        <f>IF(AND($E72="",MAX($A$8:$A71)=0),"",IF(AND($E72&lt;&gt;"",MAX($A$8:$A71)=0),1,IF(AND($E72&lt;&gt;"",MAX($A$8:$A71)&gt;0),MAX($A$8:$A71)+1,"")))</f>
        <v/>
      </c>
      <c r="B72" s="11">
        <v>65</v>
      </c>
      <c r="C72" s="19" t="str">
        <f t="shared" si="0"/>
        <v>EMPTY</v>
      </c>
      <c r="D72" s="3" t="str">
        <f>IF(C72="SHOW",CONCATENATE(Temp!T68,Temp!U68,",",Temp!V68,",",Temp!W68,Temp!X68),"")</f>
        <v/>
      </c>
      <c r="E72" s="7"/>
      <c r="F72" s="8" t="str">
        <f t="shared" si="1"/>
        <v/>
      </c>
      <c r="Q72" s="4" t="s">
        <v>5</v>
      </c>
      <c r="T72" s="4" t="s">
        <v>5</v>
      </c>
      <c r="U72" s="4" t="s">
        <v>5</v>
      </c>
      <c r="Z72" s="4" t="s">
        <v>5</v>
      </c>
      <c r="AB72" s="4" t="s">
        <v>5</v>
      </c>
      <c r="AC72" s="4" t="s">
        <v>5</v>
      </c>
      <c r="AR72" s="4" t="s">
        <v>5</v>
      </c>
      <c r="BE72" s="4" t="s">
        <v>5</v>
      </c>
      <c r="BJ72" s="4" t="s">
        <v>5</v>
      </c>
      <c r="BM72" s="4" t="s">
        <v>5</v>
      </c>
      <c r="BO72" s="4" t="s">
        <v>5</v>
      </c>
      <c r="BP72" s="4" t="s">
        <v>5</v>
      </c>
      <c r="BQ72" s="4" t="s">
        <v>5</v>
      </c>
      <c r="BR72" s="4" t="s">
        <v>5</v>
      </c>
      <c r="BT72" s="4" t="s">
        <v>5</v>
      </c>
      <c r="BW72" s="4" t="s">
        <v>5</v>
      </c>
      <c r="BY72" s="4" t="s">
        <v>5</v>
      </c>
      <c r="BZ72" s="4" t="s">
        <v>5</v>
      </c>
      <c r="CD72" s="4" t="s">
        <v>5</v>
      </c>
      <c r="CE72" s="4" t="s">
        <v>5</v>
      </c>
      <c r="CH72" s="4" t="s">
        <v>5</v>
      </c>
      <c r="CK72" s="4" t="s">
        <v>5</v>
      </c>
      <c r="CP72" s="4" t="s">
        <v>5</v>
      </c>
      <c r="CT72" s="4" t="s">
        <v>5</v>
      </c>
      <c r="CY72" s="4" t="s">
        <v>5</v>
      </c>
      <c r="DH72" s="4" t="s">
        <v>5</v>
      </c>
    </row>
    <row r="73" spans="1:112" x14ac:dyDescent="0.25">
      <c r="A73" s="13" t="str">
        <f>IF(AND($E73="",MAX($A$8:$A72)=0),"",IF(AND($E73&lt;&gt;"",MAX($A$8:$A72)=0),1,IF(AND($E73&lt;&gt;"",MAX($A$8:$A72)&gt;0),MAX($A$8:$A72)+1,"")))</f>
        <v/>
      </c>
      <c r="B73" s="11">
        <v>66</v>
      </c>
      <c r="C73" s="19" t="str">
        <f t="shared" ref="C73:C136" si="2">IF(E73="","EMPTY",IF(MID(E73,1,9)&lt;&gt;"Dialogue:","HIDE",IF(MID(E73,1,9)="Dialogue:","SHOW","")))</f>
        <v>EMPTY</v>
      </c>
      <c r="D73" s="3" t="str">
        <f>IF(C73="SHOW",CONCATENATE(Temp!T69,Temp!U69,",",Temp!V69,",",Temp!W69,Temp!X69),"")</f>
        <v/>
      </c>
      <c r="E73" s="7"/>
      <c r="F73" s="8" t="str">
        <f t="shared" ref="F73:F136" si="3">$D73</f>
        <v/>
      </c>
      <c r="Q73" s="4" t="s">
        <v>5</v>
      </c>
      <c r="T73" s="4" t="s">
        <v>5</v>
      </c>
      <c r="U73" s="4" t="s">
        <v>5</v>
      </c>
      <c r="Z73" s="4" t="s">
        <v>5</v>
      </c>
      <c r="AB73" s="4" t="s">
        <v>5</v>
      </c>
      <c r="AC73" s="4" t="s">
        <v>5</v>
      </c>
      <c r="AR73" s="4" t="s">
        <v>5</v>
      </c>
      <c r="BE73" s="4" t="s">
        <v>5</v>
      </c>
      <c r="BJ73" s="4" t="s">
        <v>5</v>
      </c>
      <c r="BM73" s="4" t="s">
        <v>5</v>
      </c>
      <c r="BO73" s="4" t="s">
        <v>5</v>
      </c>
      <c r="BP73" s="4" t="s">
        <v>5</v>
      </c>
      <c r="BQ73" s="4" t="s">
        <v>5</v>
      </c>
      <c r="BR73" s="4" t="s">
        <v>5</v>
      </c>
      <c r="BT73" s="4" t="s">
        <v>5</v>
      </c>
      <c r="BW73" s="4" t="s">
        <v>5</v>
      </c>
      <c r="BY73" s="4" t="s">
        <v>5</v>
      </c>
      <c r="BZ73" s="4" t="s">
        <v>5</v>
      </c>
      <c r="CD73" s="4" t="s">
        <v>5</v>
      </c>
      <c r="CE73" s="4" t="s">
        <v>5</v>
      </c>
      <c r="CH73" s="4" t="s">
        <v>5</v>
      </c>
      <c r="CK73" s="4" t="s">
        <v>5</v>
      </c>
      <c r="CP73" s="4" t="s">
        <v>5</v>
      </c>
      <c r="CT73" s="4" t="s">
        <v>5</v>
      </c>
      <c r="DH73" s="4" t="s">
        <v>5</v>
      </c>
    </row>
    <row r="74" spans="1:112" x14ac:dyDescent="0.25">
      <c r="A74" s="13" t="str">
        <f>IF(AND($E74="",MAX($A$8:$A73)=0),"",IF(AND($E74&lt;&gt;"",MAX($A$8:$A73)=0),1,IF(AND($E74&lt;&gt;"",MAX($A$8:$A73)&gt;0),MAX($A$8:$A73)+1,"")))</f>
        <v/>
      </c>
      <c r="B74" s="11">
        <v>67</v>
      </c>
      <c r="C74" s="19" t="str">
        <f t="shared" si="2"/>
        <v>EMPTY</v>
      </c>
      <c r="D74" s="3" t="str">
        <f>IF(C74="SHOW",CONCATENATE(Temp!T70,Temp!U70,",",Temp!V70,",",Temp!W70,Temp!X70),"")</f>
        <v/>
      </c>
      <c r="E74" s="7"/>
      <c r="F74" s="8" t="str">
        <f t="shared" si="3"/>
        <v/>
      </c>
      <c r="Q74" s="4" t="s">
        <v>5</v>
      </c>
      <c r="T74" s="4" t="s">
        <v>5</v>
      </c>
      <c r="U74" s="4" t="s">
        <v>5</v>
      </c>
      <c r="Z74" s="4" t="s">
        <v>5</v>
      </c>
      <c r="AB74" s="4" t="s">
        <v>5</v>
      </c>
      <c r="AC74" s="4" t="s">
        <v>5</v>
      </c>
      <c r="AR74" s="4" t="s">
        <v>5</v>
      </c>
      <c r="BE74" s="4" t="s">
        <v>5</v>
      </c>
      <c r="BM74" s="4" t="s">
        <v>5</v>
      </c>
      <c r="BO74" s="4" t="s">
        <v>5</v>
      </c>
      <c r="BP74" s="4" t="s">
        <v>5</v>
      </c>
      <c r="BQ74" s="4" t="s">
        <v>5</v>
      </c>
      <c r="BT74" s="4" t="s">
        <v>5</v>
      </c>
      <c r="BW74" s="4" t="s">
        <v>5</v>
      </c>
      <c r="BY74" s="4" t="s">
        <v>5</v>
      </c>
      <c r="BZ74" s="4" t="s">
        <v>5</v>
      </c>
      <c r="CD74" s="4" t="s">
        <v>5</v>
      </c>
      <c r="CE74" s="4" t="s">
        <v>5</v>
      </c>
      <c r="CH74" s="4" t="s">
        <v>5</v>
      </c>
      <c r="CK74" s="4" t="s">
        <v>5</v>
      </c>
      <c r="CP74" s="4" t="s">
        <v>5</v>
      </c>
      <c r="CT74" s="4" t="s">
        <v>5</v>
      </c>
      <c r="DH74" s="4" t="s">
        <v>5</v>
      </c>
    </row>
    <row r="75" spans="1:112" x14ac:dyDescent="0.25">
      <c r="A75" s="13" t="str">
        <f>IF(AND($E75="",MAX($A$8:$A74)=0),"",IF(AND($E75&lt;&gt;"",MAX($A$8:$A74)=0),1,IF(AND($E75&lt;&gt;"",MAX($A$8:$A74)&gt;0),MAX($A$8:$A74)+1,"")))</f>
        <v/>
      </c>
      <c r="B75" s="11">
        <v>68</v>
      </c>
      <c r="C75" s="19" t="str">
        <f t="shared" si="2"/>
        <v>EMPTY</v>
      </c>
      <c r="D75" s="3" t="str">
        <f>IF(C75="SHOW",CONCATENATE(Temp!T71,Temp!U71,",",Temp!V71,",",Temp!W71,Temp!X71),"")</f>
        <v/>
      </c>
      <c r="E75" s="7"/>
      <c r="F75" s="8" t="str">
        <f t="shared" si="3"/>
        <v/>
      </c>
      <c r="Q75" s="4" t="s">
        <v>5</v>
      </c>
      <c r="T75" s="4" t="s">
        <v>5</v>
      </c>
      <c r="U75" s="4" t="s">
        <v>5</v>
      </c>
      <c r="Z75" s="4" t="s">
        <v>5</v>
      </c>
      <c r="AB75" s="4" t="s">
        <v>5</v>
      </c>
      <c r="AC75" s="4" t="s">
        <v>5</v>
      </c>
      <c r="AR75" s="4" t="s">
        <v>5</v>
      </c>
      <c r="BE75" s="4" t="s">
        <v>5</v>
      </c>
      <c r="BM75" s="4" t="s">
        <v>5</v>
      </c>
      <c r="BP75" s="4" t="s">
        <v>5</v>
      </c>
      <c r="BQ75" s="4" t="s">
        <v>5</v>
      </c>
      <c r="BT75" s="4" t="s">
        <v>5</v>
      </c>
      <c r="BW75" s="4" t="s">
        <v>5</v>
      </c>
      <c r="BY75" s="4" t="s">
        <v>5</v>
      </c>
      <c r="BZ75" s="4" t="s">
        <v>5</v>
      </c>
      <c r="CD75" s="4" t="s">
        <v>5</v>
      </c>
      <c r="CE75" s="4" t="s">
        <v>5</v>
      </c>
      <c r="CH75" s="4" t="s">
        <v>5</v>
      </c>
      <c r="CK75" s="4" t="s">
        <v>5</v>
      </c>
      <c r="CP75" s="4" t="s">
        <v>5</v>
      </c>
      <c r="CT75" s="4" t="s">
        <v>5</v>
      </c>
      <c r="DH75" s="4" t="s">
        <v>5</v>
      </c>
    </row>
    <row r="76" spans="1:112" x14ac:dyDescent="0.25">
      <c r="A76" s="13" t="str">
        <f>IF(AND($E76="",MAX($A$8:$A75)=0),"",IF(AND($E76&lt;&gt;"",MAX($A$8:$A75)=0),1,IF(AND($E76&lt;&gt;"",MAX($A$8:$A75)&gt;0),MAX($A$8:$A75)+1,"")))</f>
        <v/>
      </c>
      <c r="B76" s="11">
        <v>69</v>
      </c>
      <c r="C76" s="19" t="str">
        <f t="shared" si="2"/>
        <v>EMPTY</v>
      </c>
      <c r="D76" s="3" t="str">
        <f>IF(C76="SHOW",CONCATENATE(Temp!T72,Temp!U72,",",Temp!V72,",",Temp!W72,Temp!X72),"")</f>
        <v/>
      </c>
      <c r="E76" s="7"/>
      <c r="F76" s="8" t="str">
        <f t="shared" si="3"/>
        <v/>
      </c>
      <c r="Q76" s="4" t="s">
        <v>5</v>
      </c>
      <c r="T76" s="4" t="s">
        <v>5</v>
      </c>
      <c r="U76" s="4" t="s">
        <v>5</v>
      </c>
      <c r="Z76" s="4" t="s">
        <v>5</v>
      </c>
      <c r="AB76" s="4" t="s">
        <v>5</v>
      </c>
      <c r="AC76" s="4" t="s">
        <v>5</v>
      </c>
      <c r="AR76" s="4" t="s">
        <v>5</v>
      </c>
      <c r="BE76" s="4" t="s">
        <v>5</v>
      </c>
      <c r="BM76" s="4" t="s">
        <v>5</v>
      </c>
      <c r="BP76" s="4" t="s">
        <v>5</v>
      </c>
      <c r="BQ76" s="4" t="s">
        <v>5</v>
      </c>
      <c r="BT76" s="4" t="s">
        <v>5</v>
      </c>
      <c r="BW76" s="4" t="s">
        <v>5</v>
      </c>
      <c r="BY76" s="4" t="s">
        <v>5</v>
      </c>
      <c r="BZ76" s="4" t="s">
        <v>5</v>
      </c>
      <c r="CD76" s="4" t="s">
        <v>5</v>
      </c>
      <c r="CE76" s="4" t="s">
        <v>5</v>
      </c>
      <c r="CH76" s="4" t="s">
        <v>5</v>
      </c>
      <c r="CK76" s="4" t="s">
        <v>5</v>
      </c>
      <c r="CT76" s="4" t="s">
        <v>5</v>
      </c>
      <c r="DH76" s="4" t="s">
        <v>5</v>
      </c>
    </row>
    <row r="77" spans="1:112" x14ac:dyDescent="0.25">
      <c r="A77" s="13" t="str">
        <f>IF(AND($E77="",MAX($A$8:$A76)=0),"",IF(AND($E77&lt;&gt;"",MAX($A$8:$A76)=0),1,IF(AND($E77&lt;&gt;"",MAX($A$8:$A76)&gt;0),MAX($A$8:$A76)+1,"")))</f>
        <v/>
      </c>
      <c r="B77" s="11">
        <v>70</v>
      </c>
      <c r="C77" s="19" t="str">
        <f t="shared" si="2"/>
        <v>EMPTY</v>
      </c>
      <c r="D77" s="3" t="str">
        <f>IF(C77="SHOW",CONCATENATE(Temp!T73,Temp!U73,",",Temp!V73,",",Temp!W73,Temp!X73),"")</f>
        <v/>
      </c>
      <c r="E77" s="7"/>
      <c r="F77" s="8" t="str">
        <f t="shared" si="3"/>
        <v/>
      </c>
      <c r="Q77" s="4" t="s">
        <v>5</v>
      </c>
      <c r="T77" s="4" t="s">
        <v>5</v>
      </c>
      <c r="U77" s="4" t="s">
        <v>5</v>
      </c>
      <c r="Z77" s="4" t="s">
        <v>5</v>
      </c>
      <c r="AB77" s="4" t="s">
        <v>5</v>
      </c>
      <c r="AC77" s="4" t="s">
        <v>5</v>
      </c>
      <c r="AR77" s="4" t="s">
        <v>5</v>
      </c>
      <c r="BE77" s="4" t="s">
        <v>5</v>
      </c>
      <c r="BM77" s="4" t="s">
        <v>5</v>
      </c>
      <c r="BP77" s="4" t="s">
        <v>5</v>
      </c>
      <c r="BQ77" s="4" t="s">
        <v>5</v>
      </c>
      <c r="BT77" s="4" t="s">
        <v>5</v>
      </c>
      <c r="BW77" s="4" t="s">
        <v>5</v>
      </c>
      <c r="BY77" s="4" t="s">
        <v>5</v>
      </c>
      <c r="BZ77" s="4" t="s">
        <v>5</v>
      </c>
      <c r="CD77" s="4" t="s">
        <v>5</v>
      </c>
      <c r="CE77" s="4" t="s">
        <v>5</v>
      </c>
      <c r="CH77" s="4" t="s">
        <v>5</v>
      </c>
      <c r="CK77" s="4" t="s">
        <v>5</v>
      </c>
      <c r="CT77" s="4" t="s">
        <v>5</v>
      </c>
      <c r="DH77" s="4" t="s">
        <v>5</v>
      </c>
    </row>
    <row r="78" spans="1:112" x14ac:dyDescent="0.25">
      <c r="A78" s="13" t="str">
        <f>IF(AND($E78="",MAX($A$8:$A77)=0),"",IF(AND($E78&lt;&gt;"",MAX($A$8:$A77)=0),1,IF(AND($E78&lt;&gt;"",MAX($A$8:$A77)&gt;0),MAX($A$8:$A77)+1,"")))</f>
        <v/>
      </c>
      <c r="B78" s="11">
        <v>71</v>
      </c>
      <c r="C78" s="19" t="str">
        <f t="shared" si="2"/>
        <v>EMPTY</v>
      </c>
      <c r="D78" s="3" t="str">
        <f>IF(C78="SHOW",CONCATENATE(Temp!T74,Temp!U74,",",Temp!V74,",",Temp!W74,Temp!X74),"")</f>
        <v/>
      </c>
      <c r="E78" s="7"/>
      <c r="F78" s="8" t="str">
        <f t="shared" si="3"/>
        <v/>
      </c>
      <c r="Q78" s="4" t="s">
        <v>5</v>
      </c>
      <c r="T78" s="4" t="s">
        <v>5</v>
      </c>
      <c r="U78" s="4" t="s">
        <v>5</v>
      </c>
      <c r="Z78" s="4" t="s">
        <v>5</v>
      </c>
      <c r="AB78" s="4" t="s">
        <v>5</v>
      </c>
      <c r="AC78" s="4" t="s">
        <v>5</v>
      </c>
      <c r="AR78" s="4" t="s">
        <v>5</v>
      </c>
      <c r="BE78" s="4" t="s">
        <v>5</v>
      </c>
      <c r="BM78" s="4" t="s">
        <v>5</v>
      </c>
      <c r="BP78" s="4" t="s">
        <v>5</v>
      </c>
      <c r="BQ78" s="4" t="s">
        <v>5</v>
      </c>
      <c r="BT78" s="4" t="s">
        <v>5</v>
      </c>
      <c r="BY78" s="4" t="s">
        <v>5</v>
      </c>
      <c r="BZ78" s="4" t="s">
        <v>5</v>
      </c>
      <c r="CD78" s="4" t="s">
        <v>5</v>
      </c>
      <c r="CE78" s="4" t="s">
        <v>5</v>
      </c>
      <c r="CH78" s="4" t="s">
        <v>5</v>
      </c>
      <c r="CK78" s="4" t="s">
        <v>5</v>
      </c>
      <c r="CT78" s="4" t="s">
        <v>5</v>
      </c>
      <c r="DH78" s="4" t="s">
        <v>5</v>
      </c>
    </row>
    <row r="79" spans="1:112" x14ac:dyDescent="0.25">
      <c r="A79" s="13" t="str">
        <f>IF(AND($E79="",MAX($A$8:$A78)=0),"",IF(AND($E79&lt;&gt;"",MAX($A$8:$A78)=0),1,IF(AND($E79&lt;&gt;"",MAX($A$8:$A78)&gt;0),MAX($A$8:$A78)+1,"")))</f>
        <v/>
      </c>
      <c r="B79" s="11">
        <v>72</v>
      </c>
      <c r="C79" s="19" t="str">
        <f t="shared" si="2"/>
        <v>EMPTY</v>
      </c>
      <c r="D79" s="3" t="str">
        <f>IF(C79="SHOW",CONCATENATE(Temp!T75,Temp!U75,",",Temp!V75,",",Temp!W75,Temp!X75),"")</f>
        <v/>
      </c>
      <c r="E79" s="7"/>
      <c r="F79" s="8" t="str">
        <f t="shared" si="3"/>
        <v/>
      </c>
      <c r="Q79" s="4" t="s">
        <v>5</v>
      </c>
      <c r="T79" s="4" t="s">
        <v>5</v>
      </c>
      <c r="U79" s="4" t="s">
        <v>5</v>
      </c>
      <c r="Z79" s="4" t="s">
        <v>5</v>
      </c>
      <c r="AB79" s="4" t="s">
        <v>5</v>
      </c>
      <c r="AC79" s="4" t="s">
        <v>5</v>
      </c>
      <c r="AR79" s="4" t="s">
        <v>5</v>
      </c>
      <c r="BE79" s="4" t="s">
        <v>5</v>
      </c>
      <c r="BM79" s="4" t="s">
        <v>5</v>
      </c>
      <c r="BP79" s="4" t="s">
        <v>5</v>
      </c>
      <c r="BQ79" s="4" t="s">
        <v>5</v>
      </c>
      <c r="BT79" s="4" t="s">
        <v>5</v>
      </c>
      <c r="BY79" s="4" t="s">
        <v>5</v>
      </c>
      <c r="BZ79" s="4" t="s">
        <v>5</v>
      </c>
      <c r="CD79" s="4" t="s">
        <v>5</v>
      </c>
      <c r="CK79" s="4" t="s">
        <v>5</v>
      </c>
      <c r="CT79" s="4" t="s">
        <v>5</v>
      </c>
      <c r="DH79" s="4" t="s">
        <v>5</v>
      </c>
    </row>
    <row r="80" spans="1:112" x14ac:dyDescent="0.25">
      <c r="A80" s="13" t="str">
        <f>IF(AND($E80="",MAX($A$8:$A79)=0),"",IF(AND($E80&lt;&gt;"",MAX($A$8:$A79)=0),1,IF(AND($E80&lt;&gt;"",MAX($A$8:$A79)&gt;0),MAX($A$8:$A79)+1,"")))</f>
        <v/>
      </c>
      <c r="B80" s="11">
        <v>73</v>
      </c>
      <c r="C80" s="19" t="str">
        <f t="shared" si="2"/>
        <v>EMPTY</v>
      </c>
      <c r="D80" s="3" t="str">
        <f>IF(C80="SHOW",CONCATENATE(Temp!T76,Temp!U76,",",Temp!V76,",",Temp!W76,Temp!X76),"")</f>
        <v/>
      </c>
      <c r="E80" s="7"/>
      <c r="F80" s="8" t="str">
        <f t="shared" si="3"/>
        <v/>
      </c>
      <c r="Q80" s="4" t="s">
        <v>5</v>
      </c>
      <c r="T80" s="4" t="s">
        <v>5</v>
      </c>
      <c r="U80" s="4" t="s">
        <v>5</v>
      </c>
      <c r="Z80" s="4" t="s">
        <v>5</v>
      </c>
      <c r="AB80" s="4" t="s">
        <v>5</v>
      </c>
      <c r="AC80" s="4" t="s">
        <v>5</v>
      </c>
      <c r="AR80" s="4" t="s">
        <v>5</v>
      </c>
      <c r="BE80" s="4" t="s">
        <v>5</v>
      </c>
      <c r="BM80" s="4" t="s">
        <v>5</v>
      </c>
      <c r="BP80" s="4" t="s">
        <v>5</v>
      </c>
      <c r="BT80" s="4" t="s">
        <v>5</v>
      </c>
      <c r="BY80" s="4" t="s">
        <v>5</v>
      </c>
      <c r="BZ80" s="4" t="s">
        <v>5</v>
      </c>
      <c r="CK80" s="4" t="s">
        <v>5</v>
      </c>
      <c r="CT80" s="4" t="s">
        <v>5</v>
      </c>
      <c r="DH80" s="4" t="s">
        <v>5</v>
      </c>
    </row>
    <row r="81" spans="1:112" x14ac:dyDescent="0.25">
      <c r="A81" s="13" t="str">
        <f>IF(AND($E81="",MAX($A$8:$A80)=0),"",IF(AND($E81&lt;&gt;"",MAX($A$8:$A80)=0),1,IF(AND($E81&lt;&gt;"",MAX($A$8:$A80)&gt;0),MAX($A$8:$A80)+1,"")))</f>
        <v/>
      </c>
      <c r="B81" s="11">
        <v>74</v>
      </c>
      <c r="C81" s="19" t="str">
        <f t="shared" si="2"/>
        <v>EMPTY</v>
      </c>
      <c r="D81" s="3" t="str">
        <f>IF(C81="SHOW",CONCATENATE(Temp!T77,Temp!U77,",",Temp!V77,",",Temp!W77,Temp!X77),"")</f>
        <v/>
      </c>
      <c r="E81" s="7"/>
      <c r="F81" s="8" t="str">
        <f t="shared" si="3"/>
        <v/>
      </c>
      <c r="Q81" s="4" t="s">
        <v>5</v>
      </c>
      <c r="T81" s="4" t="s">
        <v>5</v>
      </c>
      <c r="U81" s="4" t="s">
        <v>5</v>
      </c>
      <c r="AB81" s="4" t="s">
        <v>5</v>
      </c>
      <c r="AC81" s="4" t="s">
        <v>5</v>
      </c>
      <c r="AR81" s="4" t="s">
        <v>5</v>
      </c>
      <c r="BE81" s="4" t="s">
        <v>5</v>
      </c>
      <c r="BP81" s="4" t="s">
        <v>5</v>
      </c>
      <c r="BT81" s="4" t="s">
        <v>5</v>
      </c>
      <c r="BY81" s="4" t="s">
        <v>5</v>
      </c>
      <c r="BZ81" s="4" t="s">
        <v>5</v>
      </c>
      <c r="CK81" s="4" t="s">
        <v>5</v>
      </c>
      <c r="CT81" s="4" t="s">
        <v>5</v>
      </c>
      <c r="DH81" s="4" t="s">
        <v>5</v>
      </c>
    </row>
    <row r="82" spans="1:112" x14ac:dyDescent="0.25">
      <c r="A82" s="13" t="str">
        <f>IF(AND($E82="",MAX($A$8:$A81)=0),"",IF(AND($E82&lt;&gt;"",MAX($A$8:$A81)=0),1,IF(AND($E82&lt;&gt;"",MAX($A$8:$A81)&gt;0),MAX($A$8:$A81)+1,"")))</f>
        <v/>
      </c>
      <c r="B82" s="11">
        <v>75</v>
      </c>
      <c r="C82" s="19" t="str">
        <f t="shared" si="2"/>
        <v>EMPTY</v>
      </c>
      <c r="D82" s="3" t="str">
        <f>IF(C82="SHOW",CONCATENATE(Temp!T78,Temp!U78,",",Temp!V78,",",Temp!W78,Temp!X78),"")</f>
        <v/>
      </c>
      <c r="E82" s="7"/>
      <c r="F82" s="8" t="str">
        <f t="shared" si="3"/>
        <v/>
      </c>
      <c r="Q82" s="4" t="s">
        <v>5</v>
      </c>
      <c r="T82" s="4" t="s">
        <v>5</v>
      </c>
      <c r="U82" s="4" t="s">
        <v>5</v>
      </c>
      <c r="AB82" s="4" t="s">
        <v>5</v>
      </c>
      <c r="AC82" s="4" t="s">
        <v>5</v>
      </c>
      <c r="AR82" s="4" t="s">
        <v>5</v>
      </c>
      <c r="BE82" s="4" t="s">
        <v>5</v>
      </c>
      <c r="BP82" s="4" t="s">
        <v>5</v>
      </c>
      <c r="BT82" s="4" t="s">
        <v>5</v>
      </c>
      <c r="BY82" s="4" t="s">
        <v>5</v>
      </c>
      <c r="BZ82" s="4" t="s">
        <v>5</v>
      </c>
      <c r="CK82" s="4" t="s">
        <v>5</v>
      </c>
      <c r="CT82" s="4" t="s">
        <v>5</v>
      </c>
    </row>
    <row r="83" spans="1:112" x14ac:dyDescent="0.25">
      <c r="A83" s="13" t="str">
        <f>IF(AND($E83="",MAX($A$8:$A82)=0),"",IF(AND($E83&lt;&gt;"",MAX($A$8:$A82)=0),1,IF(AND($E83&lt;&gt;"",MAX($A$8:$A82)&gt;0),MAX($A$8:$A82)+1,"")))</f>
        <v/>
      </c>
      <c r="B83" s="11">
        <v>76</v>
      </c>
      <c r="C83" s="19" t="str">
        <f t="shared" si="2"/>
        <v>EMPTY</v>
      </c>
      <c r="D83" s="3" t="str">
        <f>IF(C83="SHOW",CONCATENATE(Temp!T79,Temp!U79,",",Temp!V79,",",Temp!W79,Temp!X79),"")</f>
        <v/>
      </c>
      <c r="E83" s="7"/>
      <c r="F83" s="8" t="str">
        <f t="shared" si="3"/>
        <v/>
      </c>
      <c r="Q83" s="4" t="s">
        <v>5</v>
      </c>
      <c r="T83" s="4" t="s">
        <v>5</v>
      </c>
      <c r="U83" s="4" t="s">
        <v>5</v>
      </c>
      <c r="AC83" s="4" t="s">
        <v>5</v>
      </c>
      <c r="AR83" s="4" t="s">
        <v>5</v>
      </c>
      <c r="BE83" s="4" t="s">
        <v>5</v>
      </c>
      <c r="BP83" s="4" t="s">
        <v>5</v>
      </c>
      <c r="BT83" s="4" t="s">
        <v>5</v>
      </c>
      <c r="BY83" s="4" t="s">
        <v>5</v>
      </c>
      <c r="BZ83" s="4" t="s">
        <v>5</v>
      </c>
      <c r="CK83" s="4" t="s">
        <v>5</v>
      </c>
      <c r="CT83" s="4" t="s">
        <v>5</v>
      </c>
    </row>
    <row r="84" spans="1:112" x14ac:dyDescent="0.25">
      <c r="A84" s="13" t="str">
        <f>IF(AND($E84="",MAX($A$8:$A83)=0),"",IF(AND($E84&lt;&gt;"",MAX($A$8:$A83)=0),1,IF(AND($E84&lt;&gt;"",MAX($A$8:$A83)&gt;0),MAX($A$8:$A83)+1,"")))</f>
        <v/>
      </c>
      <c r="B84" s="11">
        <v>77</v>
      </c>
      <c r="C84" s="19" t="str">
        <f t="shared" si="2"/>
        <v>EMPTY</v>
      </c>
      <c r="D84" s="3" t="str">
        <f>IF(C84="SHOW",CONCATENATE(Temp!T80,Temp!U80,",",Temp!V80,",",Temp!W80,Temp!X80),"")</f>
        <v/>
      </c>
      <c r="E84" s="7"/>
      <c r="F84" s="8" t="str">
        <f t="shared" si="3"/>
        <v/>
      </c>
      <c r="Q84" s="4" t="s">
        <v>5</v>
      </c>
      <c r="T84" s="4" t="s">
        <v>5</v>
      </c>
      <c r="U84" s="4" t="s">
        <v>5</v>
      </c>
      <c r="AC84" s="4" t="s">
        <v>5</v>
      </c>
      <c r="AR84" s="4" t="s">
        <v>5</v>
      </c>
      <c r="BE84" s="4" t="s">
        <v>5</v>
      </c>
      <c r="BT84" s="4" t="s">
        <v>5</v>
      </c>
      <c r="BY84" s="4" t="s">
        <v>5</v>
      </c>
      <c r="BZ84" s="4" t="s">
        <v>5</v>
      </c>
      <c r="CK84" s="4" t="s">
        <v>5</v>
      </c>
      <c r="CT84" s="4" t="s">
        <v>5</v>
      </c>
    </row>
    <row r="85" spans="1:112" x14ac:dyDescent="0.25">
      <c r="A85" s="13" t="str">
        <f>IF(AND($E85="",MAX($A$8:$A84)=0),"",IF(AND($E85&lt;&gt;"",MAX($A$8:$A84)=0),1,IF(AND($E85&lt;&gt;"",MAX($A$8:$A84)&gt;0),MAX($A$8:$A84)+1,"")))</f>
        <v/>
      </c>
      <c r="B85" s="11">
        <v>78</v>
      </c>
      <c r="C85" s="19" t="str">
        <f t="shared" si="2"/>
        <v>EMPTY</v>
      </c>
      <c r="D85" s="3" t="str">
        <f>IF(C85="SHOW",CONCATENATE(Temp!T81,Temp!U81,",",Temp!V81,",",Temp!W81,Temp!X81),"")</f>
        <v/>
      </c>
      <c r="E85" s="7"/>
      <c r="F85" s="8" t="str">
        <f t="shared" si="3"/>
        <v/>
      </c>
      <c r="Q85" s="4" t="s">
        <v>5</v>
      </c>
      <c r="T85" s="4" t="s">
        <v>5</v>
      </c>
      <c r="U85" s="4" t="s">
        <v>5</v>
      </c>
      <c r="AC85" s="4" t="s">
        <v>5</v>
      </c>
      <c r="AR85" s="4" t="s">
        <v>5</v>
      </c>
      <c r="BE85" s="4" t="s">
        <v>5</v>
      </c>
      <c r="BT85" s="4" t="s">
        <v>5</v>
      </c>
      <c r="BY85" s="4" t="s">
        <v>5</v>
      </c>
      <c r="BZ85" s="4" t="s">
        <v>5</v>
      </c>
      <c r="CK85" s="4" t="s">
        <v>5</v>
      </c>
      <c r="CT85" s="4" t="s">
        <v>5</v>
      </c>
    </row>
    <row r="86" spans="1:112" x14ac:dyDescent="0.25">
      <c r="A86" s="13" t="str">
        <f>IF(AND($E86="",MAX($A$8:$A85)=0),"",IF(AND($E86&lt;&gt;"",MAX($A$8:$A85)=0),1,IF(AND($E86&lt;&gt;"",MAX($A$8:$A85)&gt;0),MAX($A$8:$A85)+1,"")))</f>
        <v/>
      </c>
      <c r="B86" s="11">
        <v>79</v>
      </c>
      <c r="C86" s="19" t="str">
        <f t="shared" si="2"/>
        <v>EMPTY</v>
      </c>
      <c r="D86" s="3" t="str">
        <f>IF(C86="SHOW",CONCATENATE(Temp!T82,Temp!U82,",",Temp!V82,",",Temp!W82,Temp!X82),"")</f>
        <v/>
      </c>
      <c r="E86" s="7"/>
      <c r="F86" s="8" t="str">
        <f t="shared" si="3"/>
        <v/>
      </c>
      <c r="Q86" s="4" t="s">
        <v>5</v>
      </c>
      <c r="T86" s="4" t="s">
        <v>5</v>
      </c>
      <c r="U86" s="4" t="s">
        <v>5</v>
      </c>
      <c r="AC86" s="4" t="s">
        <v>5</v>
      </c>
      <c r="AR86" s="4" t="s">
        <v>5</v>
      </c>
      <c r="BE86" s="4" t="s">
        <v>5</v>
      </c>
      <c r="BT86" s="4" t="s">
        <v>5</v>
      </c>
      <c r="BY86" s="4" t="s">
        <v>5</v>
      </c>
      <c r="BZ86" s="4" t="s">
        <v>5</v>
      </c>
      <c r="CT86" s="4" t="s">
        <v>5</v>
      </c>
    </row>
    <row r="87" spans="1:112" x14ac:dyDescent="0.25">
      <c r="A87" s="13" t="str">
        <f>IF(AND($E87="",MAX($A$8:$A86)=0),"",IF(AND($E87&lt;&gt;"",MAX($A$8:$A86)=0),1,IF(AND($E87&lt;&gt;"",MAX($A$8:$A86)&gt;0),MAX($A$8:$A86)+1,"")))</f>
        <v/>
      </c>
      <c r="B87" s="11">
        <v>80</v>
      </c>
      <c r="C87" s="19" t="str">
        <f t="shared" si="2"/>
        <v>EMPTY</v>
      </c>
      <c r="D87" s="3" t="str">
        <f>IF(C87="SHOW",CONCATENATE(Temp!T83,Temp!U83,",",Temp!V83,",",Temp!W83,Temp!X83),"")</f>
        <v/>
      </c>
      <c r="E87" s="7"/>
      <c r="F87" s="8" t="str">
        <f t="shared" si="3"/>
        <v/>
      </c>
      <c r="Q87" s="4" t="s">
        <v>5</v>
      </c>
      <c r="T87" s="4" t="s">
        <v>5</v>
      </c>
      <c r="U87" s="4" t="s">
        <v>5</v>
      </c>
      <c r="AC87" s="4" t="s">
        <v>5</v>
      </c>
      <c r="AR87" s="4" t="s">
        <v>5</v>
      </c>
      <c r="BE87" s="4" t="s">
        <v>5</v>
      </c>
      <c r="BT87" s="4" t="s">
        <v>5</v>
      </c>
      <c r="BY87" s="4" t="s">
        <v>5</v>
      </c>
      <c r="BZ87" s="4" t="s">
        <v>5</v>
      </c>
    </row>
    <row r="88" spans="1:112" x14ac:dyDescent="0.25">
      <c r="A88" s="13" t="str">
        <f>IF(AND($E88="",MAX($A$8:$A87)=0),"",IF(AND($E88&lt;&gt;"",MAX($A$8:$A87)=0),1,IF(AND($E88&lt;&gt;"",MAX($A$8:$A87)&gt;0),MAX($A$8:$A87)+1,"")))</f>
        <v/>
      </c>
      <c r="B88" s="11">
        <v>81</v>
      </c>
      <c r="C88" s="19" t="str">
        <f t="shared" si="2"/>
        <v>EMPTY</v>
      </c>
      <c r="D88" s="3" t="str">
        <f>IF(C88="SHOW",CONCATENATE(Temp!T84,Temp!U84,",",Temp!V84,",",Temp!W84,Temp!X84),"")</f>
        <v/>
      </c>
      <c r="E88" s="7"/>
      <c r="F88" s="8" t="str">
        <f t="shared" si="3"/>
        <v/>
      </c>
      <c r="Q88" s="4" t="s">
        <v>5</v>
      </c>
      <c r="T88" s="4" t="s">
        <v>5</v>
      </c>
      <c r="U88" s="4" t="s">
        <v>5</v>
      </c>
      <c r="AC88" s="4" t="s">
        <v>5</v>
      </c>
      <c r="AR88" s="4" t="s">
        <v>5</v>
      </c>
      <c r="BE88" s="4" t="s">
        <v>5</v>
      </c>
      <c r="BT88" s="4" t="s">
        <v>5</v>
      </c>
      <c r="BY88" s="4" t="s">
        <v>5</v>
      </c>
      <c r="BZ88" s="4" t="s">
        <v>5</v>
      </c>
    </row>
    <row r="89" spans="1:112" x14ac:dyDescent="0.25">
      <c r="A89" s="13" t="str">
        <f>IF(AND($E89="",MAX($A$8:$A88)=0),"",IF(AND($E89&lt;&gt;"",MAX($A$8:$A88)=0),1,IF(AND($E89&lt;&gt;"",MAX($A$8:$A88)&gt;0),MAX($A$8:$A88)+1,"")))</f>
        <v/>
      </c>
      <c r="B89" s="11">
        <v>82</v>
      </c>
      <c r="C89" s="19" t="str">
        <f t="shared" si="2"/>
        <v>EMPTY</v>
      </c>
      <c r="D89" s="3" t="str">
        <f>IF(C89="SHOW",CONCATENATE(Temp!T85,Temp!U85,",",Temp!V85,",",Temp!W85,Temp!X85),"")</f>
        <v/>
      </c>
      <c r="E89" s="7"/>
      <c r="F89" s="8" t="str">
        <f t="shared" si="3"/>
        <v/>
      </c>
      <c r="Q89" s="4" t="s">
        <v>5</v>
      </c>
      <c r="T89" s="4" t="s">
        <v>5</v>
      </c>
      <c r="AC89" s="4" t="s">
        <v>5</v>
      </c>
      <c r="AR89" s="4" t="s">
        <v>5</v>
      </c>
      <c r="BE89" s="4" t="s">
        <v>5</v>
      </c>
      <c r="BT89" s="4" t="s">
        <v>5</v>
      </c>
      <c r="BY89" s="4" t="s">
        <v>5</v>
      </c>
      <c r="BZ89" s="4" t="s">
        <v>5</v>
      </c>
    </row>
    <row r="90" spans="1:112" x14ac:dyDescent="0.25">
      <c r="A90" s="13" t="str">
        <f>IF(AND($E90="",MAX($A$8:$A89)=0),"",IF(AND($E90&lt;&gt;"",MAX($A$8:$A89)=0),1,IF(AND($E90&lt;&gt;"",MAX($A$8:$A89)&gt;0),MAX($A$8:$A89)+1,"")))</f>
        <v/>
      </c>
      <c r="B90" s="11">
        <v>83</v>
      </c>
      <c r="C90" s="19" t="str">
        <f t="shared" si="2"/>
        <v>EMPTY</v>
      </c>
      <c r="D90" s="3" t="str">
        <f>IF(C90="SHOW",CONCATENATE(Temp!T86,Temp!U86,",",Temp!V86,",",Temp!W86,Temp!X86),"")</f>
        <v/>
      </c>
      <c r="E90" s="7"/>
      <c r="F90" s="8" t="str">
        <f t="shared" si="3"/>
        <v/>
      </c>
      <c r="Q90" s="4" t="s">
        <v>5</v>
      </c>
      <c r="T90" s="4" t="s">
        <v>5</v>
      </c>
      <c r="AC90" s="4" t="s">
        <v>5</v>
      </c>
      <c r="AR90" s="4" t="s">
        <v>5</v>
      </c>
      <c r="BE90" s="4" t="s">
        <v>5</v>
      </c>
      <c r="BT90" s="4" t="s">
        <v>5</v>
      </c>
      <c r="BY90" s="4" t="s">
        <v>5</v>
      </c>
      <c r="BZ90" s="4" t="s">
        <v>5</v>
      </c>
    </row>
    <row r="91" spans="1:112" x14ac:dyDescent="0.25">
      <c r="A91" s="13" t="str">
        <f>IF(AND($E91="",MAX($A$8:$A90)=0),"",IF(AND($E91&lt;&gt;"",MAX($A$8:$A90)=0),1,IF(AND($E91&lt;&gt;"",MAX($A$8:$A90)&gt;0),MAX($A$8:$A90)+1,"")))</f>
        <v/>
      </c>
      <c r="B91" s="11">
        <v>84</v>
      </c>
      <c r="C91" s="19" t="str">
        <f t="shared" si="2"/>
        <v>EMPTY</v>
      </c>
      <c r="D91" s="3" t="str">
        <f>IF(C91="SHOW",CONCATENATE(Temp!T87,Temp!U87,",",Temp!V87,",",Temp!W87,Temp!X87),"")</f>
        <v/>
      </c>
      <c r="E91" s="7"/>
      <c r="F91" s="8" t="str">
        <f t="shared" si="3"/>
        <v/>
      </c>
      <c r="T91" s="4" t="s">
        <v>5</v>
      </c>
      <c r="AC91" s="4" t="s">
        <v>5</v>
      </c>
      <c r="AR91" s="4" t="s">
        <v>5</v>
      </c>
      <c r="BE91" s="4" t="s">
        <v>5</v>
      </c>
      <c r="BT91" s="4" t="s">
        <v>5</v>
      </c>
      <c r="BY91" s="4" t="s">
        <v>5</v>
      </c>
      <c r="BZ91" s="4" t="s">
        <v>5</v>
      </c>
    </row>
    <row r="92" spans="1:112" x14ac:dyDescent="0.25">
      <c r="A92" s="13" t="str">
        <f>IF(AND($E92="",MAX($A$8:$A91)=0),"",IF(AND($E92&lt;&gt;"",MAX($A$8:$A91)=0),1,IF(AND($E92&lt;&gt;"",MAX($A$8:$A91)&gt;0),MAX($A$8:$A91)+1,"")))</f>
        <v/>
      </c>
      <c r="B92" s="11">
        <v>85</v>
      </c>
      <c r="C92" s="19" t="str">
        <f t="shared" si="2"/>
        <v>EMPTY</v>
      </c>
      <c r="D92" s="3" t="str">
        <f>IF(C92="SHOW",CONCATENATE(Temp!T88,Temp!U88,",",Temp!V88,",",Temp!W88,Temp!X88),"")</f>
        <v/>
      </c>
      <c r="E92" s="7"/>
      <c r="F92" s="8" t="str">
        <f t="shared" si="3"/>
        <v/>
      </c>
      <c r="T92" s="4" t="s">
        <v>5</v>
      </c>
      <c r="AC92" s="4" t="s">
        <v>5</v>
      </c>
      <c r="AR92" s="4" t="s">
        <v>5</v>
      </c>
      <c r="BE92" s="4" t="s">
        <v>5</v>
      </c>
      <c r="BT92" s="4" t="s">
        <v>5</v>
      </c>
      <c r="BY92" s="4" t="s">
        <v>5</v>
      </c>
      <c r="BZ92" s="4" t="s">
        <v>5</v>
      </c>
    </row>
    <row r="93" spans="1:112" x14ac:dyDescent="0.25">
      <c r="A93" s="13" t="str">
        <f>IF(AND($E93="",MAX($A$8:$A92)=0),"",IF(AND($E93&lt;&gt;"",MAX($A$8:$A92)=0),1,IF(AND($E93&lt;&gt;"",MAX($A$8:$A92)&gt;0),MAX($A$8:$A92)+1,"")))</f>
        <v/>
      </c>
      <c r="B93" s="11">
        <v>86</v>
      </c>
      <c r="C93" s="19" t="str">
        <f t="shared" si="2"/>
        <v>EMPTY</v>
      </c>
      <c r="D93" s="3" t="str">
        <f>IF(C93="SHOW",CONCATENATE(Temp!T89,Temp!U89,",",Temp!V89,",",Temp!W89,Temp!X89),"")</f>
        <v/>
      </c>
      <c r="E93" s="7"/>
      <c r="F93" s="8" t="str">
        <f t="shared" si="3"/>
        <v/>
      </c>
      <c r="T93" s="4" t="s">
        <v>5</v>
      </c>
      <c r="AC93" s="4" t="s">
        <v>5</v>
      </c>
      <c r="AR93" s="4" t="s">
        <v>5</v>
      </c>
      <c r="BE93" s="4" t="s">
        <v>5</v>
      </c>
      <c r="BY93" s="4" t="s">
        <v>5</v>
      </c>
      <c r="BZ93" s="4" t="s">
        <v>5</v>
      </c>
    </row>
    <row r="94" spans="1:112" x14ac:dyDescent="0.25">
      <c r="A94" s="13" t="str">
        <f>IF(AND($E94="",MAX($A$8:$A93)=0),"",IF(AND($E94&lt;&gt;"",MAX($A$8:$A93)=0),1,IF(AND($E94&lt;&gt;"",MAX($A$8:$A93)&gt;0),MAX($A$8:$A93)+1,"")))</f>
        <v/>
      </c>
      <c r="B94" s="11">
        <v>87</v>
      </c>
      <c r="C94" s="19" t="str">
        <f t="shared" si="2"/>
        <v>EMPTY</v>
      </c>
      <c r="D94" s="3" t="str">
        <f>IF(C94="SHOW",CONCATENATE(Temp!T90,Temp!U90,",",Temp!V90,",",Temp!W90,Temp!X90),"")</f>
        <v/>
      </c>
      <c r="E94" s="7"/>
      <c r="F94" s="8" t="str">
        <f t="shared" si="3"/>
        <v/>
      </c>
      <c r="T94" s="4" t="s">
        <v>5</v>
      </c>
      <c r="AC94" s="4" t="s">
        <v>5</v>
      </c>
      <c r="AR94" s="4" t="s">
        <v>5</v>
      </c>
      <c r="BE94" s="4" t="s">
        <v>5</v>
      </c>
      <c r="BZ94" s="4" t="s">
        <v>5</v>
      </c>
    </row>
    <row r="95" spans="1:112" x14ac:dyDescent="0.25">
      <c r="A95" s="13" t="str">
        <f>IF(AND($E95="",MAX($A$8:$A94)=0),"",IF(AND($E95&lt;&gt;"",MAX($A$8:$A94)=0),1,IF(AND($E95&lt;&gt;"",MAX($A$8:$A94)&gt;0),MAX($A$8:$A94)+1,"")))</f>
        <v/>
      </c>
      <c r="B95" s="11">
        <v>88</v>
      </c>
      <c r="C95" s="19" t="str">
        <f t="shared" si="2"/>
        <v>EMPTY</v>
      </c>
      <c r="D95" s="3" t="str">
        <f>IF(C95="SHOW",CONCATENATE(Temp!T91,Temp!U91,",",Temp!V91,",",Temp!W91,Temp!X91),"")</f>
        <v/>
      </c>
      <c r="E95" s="7"/>
      <c r="F95" s="8" t="str">
        <f t="shared" si="3"/>
        <v/>
      </c>
      <c r="T95" s="4" t="s">
        <v>5</v>
      </c>
      <c r="AC95" s="4" t="s">
        <v>5</v>
      </c>
      <c r="AR95" s="4" t="s">
        <v>5</v>
      </c>
      <c r="BE95" s="4" t="s">
        <v>5</v>
      </c>
      <c r="BY95" s="4" t="s">
        <v>5</v>
      </c>
      <c r="BZ95" s="4" t="s">
        <v>5</v>
      </c>
    </row>
    <row r="96" spans="1:112" x14ac:dyDescent="0.25">
      <c r="A96" s="13" t="str">
        <f>IF(AND($E96="",MAX($A$8:$A95)=0),"",IF(AND($E96&lt;&gt;"",MAX($A$8:$A95)=0),1,IF(AND($E96&lt;&gt;"",MAX($A$8:$A95)&gt;0),MAX($A$8:$A95)+1,"")))</f>
        <v/>
      </c>
      <c r="B96" s="11">
        <v>89</v>
      </c>
      <c r="C96" s="19" t="str">
        <f t="shared" si="2"/>
        <v>EMPTY</v>
      </c>
      <c r="D96" s="3" t="str">
        <f>IF(C96="SHOW",CONCATENATE(Temp!T92,Temp!U92,",",Temp!V92,",",Temp!W92,Temp!X92),"")</f>
        <v/>
      </c>
      <c r="E96" s="7"/>
      <c r="F96" s="8" t="str">
        <f t="shared" si="3"/>
        <v/>
      </c>
      <c r="T96" s="4" t="s">
        <v>5</v>
      </c>
      <c r="AC96" s="4" t="s">
        <v>5</v>
      </c>
      <c r="AR96" s="4" t="s">
        <v>5</v>
      </c>
      <c r="BE96" s="4" t="s">
        <v>5</v>
      </c>
      <c r="BY96" s="4" t="s">
        <v>5</v>
      </c>
      <c r="BZ96" s="4" t="s">
        <v>5</v>
      </c>
    </row>
    <row r="97" spans="1:78" x14ac:dyDescent="0.25">
      <c r="A97" s="13" t="str">
        <f>IF(AND($E97="",MAX($A$8:$A96)=0),"",IF(AND($E97&lt;&gt;"",MAX($A$8:$A96)=0),1,IF(AND($E97&lt;&gt;"",MAX($A$8:$A96)&gt;0),MAX($A$8:$A96)+1,"")))</f>
        <v/>
      </c>
      <c r="B97" s="11">
        <v>90</v>
      </c>
      <c r="C97" s="19" t="str">
        <f t="shared" si="2"/>
        <v>EMPTY</v>
      </c>
      <c r="D97" s="3" t="str">
        <f>IF(C97="SHOW",CONCATENATE(Temp!T93,Temp!U93,",",Temp!V93,",",Temp!W93,Temp!X93),"")</f>
        <v/>
      </c>
      <c r="E97" s="7"/>
      <c r="F97" s="8" t="str">
        <f t="shared" si="3"/>
        <v/>
      </c>
      <c r="AC97" s="4" t="s">
        <v>5</v>
      </c>
      <c r="AR97" s="4" t="s">
        <v>5</v>
      </c>
      <c r="BE97" s="4" t="s">
        <v>5</v>
      </c>
      <c r="BY97" s="4" t="s">
        <v>5</v>
      </c>
      <c r="BZ97" s="4" t="s">
        <v>5</v>
      </c>
    </row>
    <row r="98" spans="1:78" x14ac:dyDescent="0.25">
      <c r="A98" s="13" t="str">
        <f>IF(AND($E98="",MAX($A$8:$A97)=0),"",IF(AND($E98&lt;&gt;"",MAX($A$8:$A97)=0),1,IF(AND($E98&lt;&gt;"",MAX($A$8:$A97)&gt;0),MAX($A$8:$A97)+1,"")))</f>
        <v/>
      </c>
      <c r="B98" s="11">
        <v>91</v>
      </c>
      <c r="C98" s="19" t="str">
        <f t="shared" si="2"/>
        <v>EMPTY</v>
      </c>
      <c r="D98" s="3" t="str">
        <f>IF(C98="SHOW",CONCATENATE(Temp!T94,Temp!U94,",",Temp!V94,",",Temp!W94,Temp!X94),"")</f>
        <v/>
      </c>
      <c r="E98" s="7"/>
      <c r="F98" s="8" t="str">
        <f t="shared" si="3"/>
        <v/>
      </c>
      <c r="AC98" s="4" t="s">
        <v>5</v>
      </c>
      <c r="AR98" s="4" t="s">
        <v>5</v>
      </c>
      <c r="BE98" s="4" t="s">
        <v>5</v>
      </c>
      <c r="BY98" s="4" t="s">
        <v>5</v>
      </c>
      <c r="BZ98" s="4" t="s">
        <v>5</v>
      </c>
    </row>
    <row r="99" spans="1:78" x14ac:dyDescent="0.25">
      <c r="A99" s="13" t="str">
        <f>IF(AND($E99="",MAX($A$8:$A98)=0),"",IF(AND($E99&lt;&gt;"",MAX($A$8:$A98)=0),1,IF(AND($E99&lt;&gt;"",MAX($A$8:$A98)&gt;0),MAX($A$8:$A98)+1,"")))</f>
        <v/>
      </c>
      <c r="B99" s="11">
        <v>92</v>
      </c>
      <c r="C99" s="19" t="str">
        <f t="shared" si="2"/>
        <v>EMPTY</v>
      </c>
      <c r="D99" s="3" t="str">
        <f>IF(C99="SHOW",CONCATENATE(Temp!T95,Temp!U95,",",Temp!V95,",",Temp!W95,Temp!X95),"")</f>
        <v/>
      </c>
      <c r="E99" s="7"/>
      <c r="F99" s="8" t="str">
        <f t="shared" si="3"/>
        <v/>
      </c>
      <c r="AC99" s="4" t="s">
        <v>5</v>
      </c>
      <c r="AR99" s="4" t="s">
        <v>5</v>
      </c>
      <c r="BE99" s="4" t="s">
        <v>5</v>
      </c>
      <c r="BY99" s="4" t="s">
        <v>5</v>
      </c>
      <c r="BZ99" s="4" t="s">
        <v>5</v>
      </c>
    </row>
    <row r="100" spans="1:78" x14ac:dyDescent="0.25">
      <c r="A100" s="13" t="str">
        <f>IF(AND($E100="",MAX($A$8:$A99)=0),"",IF(AND($E100&lt;&gt;"",MAX($A$8:$A99)=0),1,IF(AND($E100&lt;&gt;"",MAX($A$8:$A99)&gt;0),MAX($A$8:$A99)+1,"")))</f>
        <v/>
      </c>
      <c r="B100" s="11">
        <v>93</v>
      </c>
      <c r="C100" s="19" t="str">
        <f t="shared" si="2"/>
        <v>EMPTY</v>
      </c>
      <c r="D100" s="3" t="str">
        <f>IF(C100="SHOW",CONCATENATE(Temp!T96,Temp!U96,",",Temp!V96,",",Temp!W96,Temp!X96),"")</f>
        <v/>
      </c>
      <c r="E100" s="7"/>
      <c r="F100" s="8" t="str">
        <f t="shared" si="3"/>
        <v/>
      </c>
      <c r="AC100" s="4" t="s">
        <v>5</v>
      </c>
      <c r="AR100" s="4" t="s">
        <v>5</v>
      </c>
      <c r="BE100" s="4" t="s">
        <v>5</v>
      </c>
      <c r="BY100" s="4" t="s">
        <v>5</v>
      </c>
      <c r="BZ100" s="4" t="s">
        <v>5</v>
      </c>
    </row>
    <row r="101" spans="1:78" x14ac:dyDescent="0.25">
      <c r="A101" s="13" t="str">
        <f>IF(AND($E101="",MAX($A$8:$A100)=0),"",IF(AND($E101&lt;&gt;"",MAX($A$8:$A100)=0),1,IF(AND($E101&lt;&gt;"",MAX($A$8:$A100)&gt;0),MAX($A$8:$A100)+1,"")))</f>
        <v/>
      </c>
      <c r="B101" s="11">
        <v>94</v>
      </c>
      <c r="C101" s="19" t="str">
        <f t="shared" si="2"/>
        <v>EMPTY</v>
      </c>
      <c r="D101" s="3" t="str">
        <f>IF(C101="SHOW",CONCATENATE(Temp!T97,Temp!U97,",",Temp!V97,",",Temp!W97,Temp!X97),"")</f>
        <v/>
      </c>
      <c r="E101" s="7"/>
      <c r="F101" s="8" t="str">
        <f t="shared" si="3"/>
        <v/>
      </c>
      <c r="AR101" s="4" t="s">
        <v>5</v>
      </c>
      <c r="BY101" s="4" t="s">
        <v>5</v>
      </c>
      <c r="BZ101" s="4" t="s">
        <v>5</v>
      </c>
    </row>
    <row r="102" spans="1:78" x14ac:dyDescent="0.25">
      <c r="A102" s="13" t="str">
        <f>IF(AND($E102="",MAX($A$8:$A101)=0),"",IF(AND($E102&lt;&gt;"",MAX($A$8:$A101)=0),1,IF(AND($E102&lt;&gt;"",MAX($A$8:$A101)&gt;0),MAX($A$8:$A101)+1,"")))</f>
        <v/>
      </c>
      <c r="B102" s="11">
        <v>95</v>
      </c>
      <c r="C102" s="19" t="str">
        <f t="shared" si="2"/>
        <v>EMPTY</v>
      </c>
      <c r="D102" s="3" t="str">
        <f>IF(C102="SHOW",CONCATENATE(Temp!T98,Temp!U98,",",Temp!V98,",",Temp!W98,Temp!X98),"")</f>
        <v/>
      </c>
      <c r="E102" s="7"/>
      <c r="F102" s="8" t="str">
        <f t="shared" si="3"/>
        <v/>
      </c>
      <c r="AR102" s="4" t="s">
        <v>5</v>
      </c>
      <c r="BY102" s="4" t="s">
        <v>5</v>
      </c>
      <c r="BZ102" s="4" t="s">
        <v>5</v>
      </c>
    </row>
    <row r="103" spans="1:78" x14ac:dyDescent="0.25">
      <c r="A103" s="13" t="str">
        <f>IF(AND($E103="",MAX($A$8:$A102)=0),"",IF(AND($E103&lt;&gt;"",MAX($A$8:$A102)=0),1,IF(AND($E103&lt;&gt;"",MAX($A$8:$A102)&gt;0),MAX($A$8:$A102)+1,"")))</f>
        <v/>
      </c>
      <c r="B103" s="11">
        <v>96</v>
      </c>
      <c r="C103" s="19" t="str">
        <f t="shared" si="2"/>
        <v>EMPTY</v>
      </c>
      <c r="D103" s="3" t="str">
        <f>IF(C103="SHOW",CONCATENATE(Temp!T99,Temp!U99,",",Temp!V99,",",Temp!W99,Temp!X99),"")</f>
        <v/>
      </c>
      <c r="E103" s="7"/>
      <c r="F103" s="8" t="str">
        <f t="shared" si="3"/>
        <v/>
      </c>
      <c r="AR103" s="4" t="s">
        <v>5</v>
      </c>
      <c r="BY103" s="4" t="s">
        <v>5</v>
      </c>
      <c r="BZ103" s="4" t="s">
        <v>5</v>
      </c>
    </row>
    <row r="104" spans="1:78" x14ac:dyDescent="0.25">
      <c r="A104" s="13" t="str">
        <f>IF(AND($E104="",MAX($A$8:$A103)=0),"",IF(AND($E104&lt;&gt;"",MAX($A$8:$A103)=0),1,IF(AND($E104&lt;&gt;"",MAX($A$8:$A103)&gt;0),MAX($A$8:$A103)+1,"")))</f>
        <v/>
      </c>
      <c r="B104" s="11">
        <v>97</v>
      </c>
      <c r="C104" s="19" t="str">
        <f t="shared" si="2"/>
        <v>EMPTY</v>
      </c>
      <c r="D104" s="3" t="str">
        <f>IF(C104="SHOW",CONCATENATE(Temp!T100,Temp!U100,",",Temp!V100,",",Temp!W100,Temp!X100),"")</f>
        <v/>
      </c>
      <c r="E104" s="7"/>
      <c r="F104" s="8" t="str">
        <f t="shared" si="3"/>
        <v/>
      </c>
      <c r="BY104" s="4" t="s">
        <v>5</v>
      </c>
      <c r="BZ104" s="4" t="s">
        <v>5</v>
      </c>
    </row>
    <row r="105" spans="1:78" x14ac:dyDescent="0.25">
      <c r="A105" s="13" t="str">
        <f>IF(AND($E105="",MAX($A$8:$A104)=0),"",IF(AND($E105&lt;&gt;"",MAX($A$8:$A104)=0),1,IF(AND($E105&lt;&gt;"",MAX($A$8:$A104)&gt;0),MAX($A$8:$A104)+1,"")))</f>
        <v/>
      </c>
      <c r="B105" s="11">
        <v>98</v>
      </c>
      <c r="C105" s="19" t="str">
        <f t="shared" si="2"/>
        <v>EMPTY</v>
      </c>
      <c r="D105" s="3" t="str">
        <f>IF(C105="SHOW",CONCATENATE(Temp!T101,Temp!U101,",",Temp!V101,",",Temp!W101,Temp!X101),"")</f>
        <v/>
      </c>
      <c r="E105" s="7"/>
      <c r="F105" s="8" t="str">
        <f t="shared" si="3"/>
        <v/>
      </c>
      <c r="BY105" s="4" t="s">
        <v>5</v>
      </c>
      <c r="BZ105" s="4" t="s">
        <v>5</v>
      </c>
    </row>
    <row r="106" spans="1:78" x14ac:dyDescent="0.25">
      <c r="A106" s="13" t="str">
        <f>IF(AND($E106="",MAX($A$8:$A105)=0),"",IF(AND($E106&lt;&gt;"",MAX($A$8:$A105)=0),1,IF(AND($E106&lt;&gt;"",MAX($A$8:$A105)&gt;0),MAX($A$8:$A105)+1,"")))</f>
        <v/>
      </c>
      <c r="B106" s="11">
        <v>99</v>
      </c>
      <c r="C106" s="19" t="str">
        <f t="shared" si="2"/>
        <v>EMPTY</v>
      </c>
      <c r="D106" s="3" t="str">
        <f>IF(C106="SHOW",CONCATENATE(Temp!T102,Temp!U102,",",Temp!V102,",",Temp!W102,Temp!X102),"")</f>
        <v/>
      </c>
      <c r="E106" s="7"/>
      <c r="F106" s="8" t="str">
        <f t="shared" si="3"/>
        <v/>
      </c>
      <c r="BY106" s="4" t="s">
        <v>5</v>
      </c>
      <c r="BZ106" s="4" t="s">
        <v>5</v>
      </c>
    </row>
    <row r="107" spans="1:78" x14ac:dyDescent="0.25">
      <c r="A107" s="13" t="str">
        <f>IF(AND($E107="",MAX($A$8:$A106)=0),"",IF(AND($E107&lt;&gt;"",MAX($A$8:$A106)=0),1,IF(AND($E107&lt;&gt;"",MAX($A$8:$A106)&gt;0),MAX($A$8:$A106)+1,"")))</f>
        <v/>
      </c>
      <c r="B107" s="11">
        <v>100</v>
      </c>
      <c r="C107" s="19" t="str">
        <f t="shared" si="2"/>
        <v>EMPTY</v>
      </c>
      <c r="D107" s="3" t="str">
        <f>IF(C107="SHOW",CONCATENATE(Temp!T103,Temp!U103,",",Temp!V103,",",Temp!W103,Temp!X103),"")</f>
        <v/>
      </c>
      <c r="E107" s="7"/>
      <c r="F107" s="8" t="str">
        <f t="shared" si="3"/>
        <v/>
      </c>
      <c r="BY107" s="4" t="s">
        <v>5</v>
      </c>
      <c r="BZ107" s="4" t="s">
        <v>5</v>
      </c>
    </row>
    <row r="108" spans="1:78" x14ac:dyDescent="0.25">
      <c r="A108" s="13" t="str">
        <f>IF(AND($E108="",MAX($A$8:$A107)=0),"",IF(AND($E108&lt;&gt;"",MAX($A$8:$A107)=0),1,IF(AND($E108&lt;&gt;"",MAX($A$8:$A107)&gt;0),MAX($A$8:$A107)+1,"")))</f>
        <v/>
      </c>
      <c r="B108" s="11">
        <v>101</v>
      </c>
      <c r="C108" s="19" t="str">
        <f t="shared" si="2"/>
        <v>EMPTY</v>
      </c>
      <c r="D108" s="3" t="str">
        <f>IF(C108="SHOW",CONCATENATE(Temp!T104,Temp!U104,",",Temp!V104,",",Temp!W104,Temp!X104),"")</f>
        <v/>
      </c>
      <c r="E108" s="7"/>
      <c r="F108" s="8" t="str">
        <f t="shared" si="3"/>
        <v/>
      </c>
      <c r="BY108" s="4" t="s">
        <v>5</v>
      </c>
      <c r="BZ108" s="4" t="s">
        <v>5</v>
      </c>
    </row>
    <row r="109" spans="1:78" x14ac:dyDescent="0.25">
      <c r="A109" s="13" t="str">
        <f>IF(AND($E109="",MAX($A$8:$A108)=0),"",IF(AND($E109&lt;&gt;"",MAX($A$8:$A108)=0),1,IF(AND($E109&lt;&gt;"",MAX($A$8:$A108)&gt;0),MAX($A$8:$A108)+1,"")))</f>
        <v/>
      </c>
      <c r="B109" s="11">
        <v>102</v>
      </c>
      <c r="C109" s="19" t="str">
        <f t="shared" si="2"/>
        <v>EMPTY</v>
      </c>
      <c r="D109" s="3" t="str">
        <f>IF(C109="SHOW",CONCATENATE(Temp!T105,Temp!U105,",",Temp!V105,",",Temp!W105,Temp!X105),"")</f>
        <v/>
      </c>
      <c r="E109" s="7"/>
      <c r="F109" s="8" t="str">
        <f t="shared" si="3"/>
        <v/>
      </c>
      <c r="BY109" s="4" t="s">
        <v>5</v>
      </c>
      <c r="BZ109" s="4" t="s">
        <v>5</v>
      </c>
    </row>
    <row r="110" spans="1:78" x14ac:dyDescent="0.25">
      <c r="A110" s="13" t="str">
        <f>IF(AND($E110="",MAX($A$8:$A109)=0),"",IF(AND($E110&lt;&gt;"",MAX($A$8:$A109)=0),1,IF(AND($E110&lt;&gt;"",MAX($A$8:$A109)&gt;0),MAX($A$8:$A109)+1,"")))</f>
        <v/>
      </c>
      <c r="B110" s="11">
        <v>103</v>
      </c>
      <c r="C110" s="19" t="str">
        <f t="shared" si="2"/>
        <v>EMPTY</v>
      </c>
      <c r="D110" s="3" t="str">
        <f>IF(C110="SHOW",CONCATENATE(Temp!T106,Temp!U106,",",Temp!V106,",",Temp!W106,Temp!X106),"")</f>
        <v/>
      </c>
      <c r="E110" s="7"/>
      <c r="F110" s="8" t="str">
        <f t="shared" si="3"/>
        <v/>
      </c>
      <c r="BY110" s="4" t="s">
        <v>5</v>
      </c>
      <c r="BZ110" s="4" t="s">
        <v>5</v>
      </c>
    </row>
    <row r="111" spans="1:78" x14ac:dyDescent="0.25">
      <c r="A111" s="13" t="str">
        <f>IF(AND($E111="",MAX($A$8:$A110)=0),"",IF(AND($E111&lt;&gt;"",MAX($A$8:$A110)=0),1,IF(AND($E111&lt;&gt;"",MAX($A$8:$A110)&gt;0),MAX($A$8:$A110)+1,"")))</f>
        <v/>
      </c>
      <c r="B111" s="11">
        <v>104</v>
      </c>
      <c r="C111" s="19" t="str">
        <f t="shared" si="2"/>
        <v>EMPTY</v>
      </c>
      <c r="D111" s="3" t="str">
        <f>IF(C111="SHOW",CONCATENATE(Temp!T107,Temp!U107,",",Temp!V107,",",Temp!W107,Temp!X107),"")</f>
        <v/>
      </c>
      <c r="E111" s="7"/>
      <c r="F111" s="8" t="str">
        <f t="shared" si="3"/>
        <v/>
      </c>
      <c r="BY111" s="4" t="s">
        <v>5</v>
      </c>
      <c r="BZ111" s="4" t="s">
        <v>5</v>
      </c>
    </row>
    <row r="112" spans="1:78" x14ac:dyDescent="0.25">
      <c r="A112" s="13" t="str">
        <f>IF(AND($E112="",MAX($A$8:$A111)=0),"",IF(AND($E112&lt;&gt;"",MAX($A$8:$A111)=0),1,IF(AND($E112&lt;&gt;"",MAX($A$8:$A111)&gt;0),MAX($A$8:$A111)+1,"")))</f>
        <v/>
      </c>
      <c r="B112" s="11">
        <v>105</v>
      </c>
      <c r="C112" s="19" t="str">
        <f t="shared" si="2"/>
        <v>EMPTY</v>
      </c>
      <c r="D112" s="3" t="str">
        <f>IF(C112="SHOW",CONCATENATE(Temp!T108,Temp!U108,",",Temp!V108,",",Temp!W108,Temp!X108),"")</f>
        <v/>
      </c>
      <c r="E112" s="7"/>
      <c r="F112" s="8" t="str">
        <f t="shared" si="3"/>
        <v/>
      </c>
      <c r="BY112" s="4" t="s">
        <v>5</v>
      </c>
      <c r="BZ112" s="4" t="s">
        <v>5</v>
      </c>
    </row>
    <row r="113" spans="1:78" x14ac:dyDescent="0.25">
      <c r="A113" s="13" t="str">
        <f>IF(AND($E113="",MAX($A$8:$A112)=0),"",IF(AND($E113&lt;&gt;"",MAX($A$8:$A112)=0),1,IF(AND($E113&lt;&gt;"",MAX($A$8:$A112)&gt;0),MAX($A$8:$A112)+1,"")))</f>
        <v/>
      </c>
      <c r="B113" s="11">
        <v>106</v>
      </c>
      <c r="C113" s="19" t="str">
        <f t="shared" si="2"/>
        <v>EMPTY</v>
      </c>
      <c r="D113" s="3" t="str">
        <f>IF(C113="SHOW",CONCATENATE(Temp!T109,Temp!U109,",",Temp!V109,",",Temp!W109,Temp!X109),"")</f>
        <v/>
      </c>
      <c r="E113" s="7"/>
      <c r="F113" s="8" t="str">
        <f t="shared" si="3"/>
        <v/>
      </c>
      <c r="BY113" s="4" t="s">
        <v>5</v>
      </c>
      <c r="BZ113" s="4" t="s">
        <v>5</v>
      </c>
    </row>
    <row r="114" spans="1:78" x14ac:dyDescent="0.25">
      <c r="A114" s="13" t="str">
        <f>IF(AND($E114="",MAX($A$8:$A113)=0),"",IF(AND($E114&lt;&gt;"",MAX($A$8:$A113)=0),1,IF(AND($E114&lt;&gt;"",MAX($A$8:$A113)&gt;0),MAX($A$8:$A113)+1,"")))</f>
        <v/>
      </c>
      <c r="B114" s="11">
        <v>107</v>
      </c>
      <c r="C114" s="19" t="str">
        <f t="shared" si="2"/>
        <v>EMPTY</v>
      </c>
      <c r="D114" s="3" t="str">
        <f>IF(C114="SHOW",CONCATENATE(Temp!T110,Temp!U110,",",Temp!V110,",",Temp!W110,Temp!X110),"")</f>
        <v/>
      </c>
      <c r="E114" s="7"/>
      <c r="F114" s="8" t="str">
        <f t="shared" si="3"/>
        <v/>
      </c>
      <c r="BY114" s="4" t="s">
        <v>5</v>
      </c>
      <c r="BZ114" s="4" t="s">
        <v>5</v>
      </c>
    </row>
    <row r="115" spans="1:78" x14ac:dyDescent="0.25">
      <c r="A115" s="13" t="str">
        <f>IF(AND($E115="",MAX($A$8:$A114)=0),"",IF(AND($E115&lt;&gt;"",MAX($A$8:$A114)=0),1,IF(AND($E115&lt;&gt;"",MAX($A$8:$A114)&gt;0),MAX($A$8:$A114)+1,"")))</f>
        <v/>
      </c>
      <c r="B115" s="11">
        <v>108</v>
      </c>
      <c r="C115" s="19" t="str">
        <f t="shared" si="2"/>
        <v>EMPTY</v>
      </c>
      <c r="D115" s="3" t="str">
        <f>IF(C115="SHOW",CONCATENATE(Temp!T111,Temp!U111,",",Temp!V111,",",Temp!W111,Temp!X111),"")</f>
        <v/>
      </c>
      <c r="E115" s="7"/>
      <c r="F115" s="8" t="str">
        <f t="shared" si="3"/>
        <v/>
      </c>
      <c r="BY115" s="4" t="s">
        <v>5</v>
      </c>
      <c r="BZ115" s="4" t="s">
        <v>5</v>
      </c>
    </row>
    <row r="116" spans="1:78" x14ac:dyDescent="0.25">
      <c r="A116" s="13" t="str">
        <f>IF(AND($E116="",MAX($A$8:$A115)=0),"",IF(AND($E116&lt;&gt;"",MAX($A$8:$A115)=0),1,IF(AND($E116&lt;&gt;"",MAX($A$8:$A115)&gt;0),MAX($A$8:$A115)+1,"")))</f>
        <v/>
      </c>
      <c r="B116" s="11">
        <v>109</v>
      </c>
      <c r="C116" s="19" t="str">
        <f t="shared" si="2"/>
        <v>EMPTY</v>
      </c>
      <c r="D116" s="3" t="str">
        <f>IF(C116="SHOW",CONCATENATE(Temp!T112,Temp!U112,",",Temp!V112,",",Temp!W112,Temp!X112),"")</f>
        <v/>
      </c>
      <c r="E116" s="7"/>
      <c r="F116" s="8" t="str">
        <f t="shared" si="3"/>
        <v/>
      </c>
      <c r="BY116" s="4" t="s">
        <v>5</v>
      </c>
      <c r="BZ116" s="4" t="s">
        <v>5</v>
      </c>
    </row>
    <row r="117" spans="1:78" x14ac:dyDescent="0.25">
      <c r="A117" s="13" t="str">
        <f>IF(AND($E117="",MAX($A$8:$A116)=0),"",IF(AND($E117&lt;&gt;"",MAX($A$8:$A116)=0),1,IF(AND($E117&lt;&gt;"",MAX($A$8:$A116)&gt;0),MAX($A$8:$A116)+1,"")))</f>
        <v/>
      </c>
      <c r="B117" s="11">
        <v>110</v>
      </c>
      <c r="C117" s="19" t="str">
        <f t="shared" si="2"/>
        <v>EMPTY</v>
      </c>
      <c r="D117" s="3" t="str">
        <f>IF(C117="SHOW",CONCATENATE(Temp!T113,Temp!U113,",",Temp!V113,",",Temp!W113,Temp!X113),"")</f>
        <v/>
      </c>
      <c r="E117" s="7"/>
      <c r="F117" s="8" t="str">
        <f t="shared" si="3"/>
        <v/>
      </c>
      <c r="BY117" s="4" t="s">
        <v>5</v>
      </c>
      <c r="BZ117" s="4" t="s">
        <v>5</v>
      </c>
    </row>
    <row r="118" spans="1:78" x14ac:dyDescent="0.25">
      <c r="A118" s="13" t="str">
        <f>IF(AND($E118="",MAX($A$8:$A117)=0),"",IF(AND($E118&lt;&gt;"",MAX($A$8:$A117)=0),1,IF(AND($E118&lt;&gt;"",MAX($A$8:$A117)&gt;0),MAX($A$8:$A117)+1,"")))</f>
        <v/>
      </c>
      <c r="B118" s="11">
        <v>111</v>
      </c>
      <c r="C118" s="19" t="str">
        <f t="shared" si="2"/>
        <v>EMPTY</v>
      </c>
      <c r="D118" s="3" t="str">
        <f>IF(C118="SHOW",CONCATENATE(Temp!T114,Temp!U114,",",Temp!V114,",",Temp!W114,Temp!X114),"")</f>
        <v/>
      </c>
      <c r="E118" s="7"/>
      <c r="F118" s="8" t="str">
        <f t="shared" si="3"/>
        <v/>
      </c>
      <c r="BY118" s="4" t="s">
        <v>5</v>
      </c>
      <c r="BZ118" s="4" t="s">
        <v>5</v>
      </c>
    </row>
    <row r="119" spans="1:78" x14ac:dyDescent="0.25">
      <c r="A119" s="13" t="str">
        <f>IF(AND($E119="",MAX($A$8:$A118)=0),"",IF(AND($E119&lt;&gt;"",MAX($A$8:$A118)=0),1,IF(AND($E119&lt;&gt;"",MAX($A$8:$A118)&gt;0),MAX($A$8:$A118)+1,"")))</f>
        <v/>
      </c>
      <c r="B119" s="11">
        <v>112</v>
      </c>
      <c r="C119" s="19" t="str">
        <f t="shared" si="2"/>
        <v>EMPTY</v>
      </c>
      <c r="D119" s="3" t="str">
        <f>IF(C119="SHOW",CONCATENATE(Temp!T115,Temp!U115,",",Temp!V115,",",Temp!W115,Temp!X115),"")</f>
        <v/>
      </c>
      <c r="E119" s="7"/>
      <c r="F119" s="8" t="str">
        <f t="shared" si="3"/>
        <v/>
      </c>
      <c r="BY119" s="4" t="s">
        <v>5</v>
      </c>
      <c r="BZ119" s="4" t="s">
        <v>5</v>
      </c>
    </row>
    <row r="120" spans="1:78" x14ac:dyDescent="0.25">
      <c r="A120" s="13" t="str">
        <f>IF(AND($E120="",MAX($A$8:$A119)=0),"",IF(AND($E120&lt;&gt;"",MAX($A$8:$A119)=0),1,IF(AND($E120&lt;&gt;"",MAX($A$8:$A119)&gt;0),MAX($A$8:$A119)+1,"")))</f>
        <v/>
      </c>
      <c r="B120" s="11">
        <v>113</v>
      </c>
      <c r="C120" s="19" t="str">
        <f t="shared" si="2"/>
        <v>EMPTY</v>
      </c>
      <c r="D120" s="3" t="str">
        <f>IF(C120="SHOW",CONCATENATE(Temp!T116,Temp!U116,",",Temp!V116,",",Temp!W116,Temp!X116),"")</f>
        <v/>
      </c>
      <c r="E120" s="7"/>
      <c r="F120" s="8" t="str">
        <f t="shared" si="3"/>
        <v/>
      </c>
      <c r="BY120" s="4" t="s">
        <v>5</v>
      </c>
      <c r="BZ120" s="4" t="s">
        <v>5</v>
      </c>
    </row>
    <row r="121" spans="1:78" x14ac:dyDescent="0.25">
      <c r="A121" s="13" t="str">
        <f>IF(AND($E121="",MAX($A$8:$A120)=0),"",IF(AND($E121&lt;&gt;"",MAX($A$8:$A120)=0),1,IF(AND($E121&lt;&gt;"",MAX($A$8:$A120)&gt;0),MAX($A$8:$A120)+1,"")))</f>
        <v/>
      </c>
      <c r="B121" s="11">
        <v>114</v>
      </c>
      <c r="C121" s="19" t="str">
        <f t="shared" si="2"/>
        <v>EMPTY</v>
      </c>
      <c r="D121" s="3" t="str">
        <f>IF(C121="SHOW",CONCATENATE(Temp!T117,Temp!U117,",",Temp!V117,",",Temp!W117,Temp!X117),"")</f>
        <v/>
      </c>
      <c r="E121" s="7"/>
      <c r="F121" s="8" t="str">
        <f t="shared" si="3"/>
        <v/>
      </c>
      <c r="BY121" s="4" t="s">
        <v>5</v>
      </c>
      <c r="BZ121" s="4" t="s">
        <v>5</v>
      </c>
    </row>
    <row r="122" spans="1:78" x14ac:dyDescent="0.25">
      <c r="A122" s="13" t="str">
        <f>IF(AND($E122="",MAX($A$8:$A121)=0),"",IF(AND($E122&lt;&gt;"",MAX($A$8:$A121)=0),1,IF(AND($E122&lt;&gt;"",MAX($A$8:$A121)&gt;0),MAX($A$8:$A121)+1,"")))</f>
        <v/>
      </c>
      <c r="B122" s="11">
        <v>115</v>
      </c>
      <c r="C122" s="19" t="str">
        <f t="shared" si="2"/>
        <v>EMPTY</v>
      </c>
      <c r="D122" s="3" t="str">
        <f>IF(C122="SHOW",CONCATENATE(Temp!T118,Temp!U118,",",Temp!V118,",",Temp!W118,Temp!X118),"")</f>
        <v/>
      </c>
      <c r="E122" s="7"/>
      <c r="F122" s="8" t="str">
        <f t="shared" si="3"/>
        <v/>
      </c>
      <c r="BY122" s="4" t="s">
        <v>5</v>
      </c>
      <c r="BZ122" s="4" t="s">
        <v>5</v>
      </c>
    </row>
    <row r="123" spans="1:78" x14ac:dyDescent="0.25">
      <c r="A123" s="13" t="str">
        <f>IF(AND($E123="",MAX($A$8:$A122)=0),"",IF(AND($E123&lt;&gt;"",MAX($A$8:$A122)=0),1,IF(AND($E123&lt;&gt;"",MAX($A$8:$A122)&gt;0),MAX($A$8:$A122)+1,"")))</f>
        <v/>
      </c>
      <c r="B123" s="11">
        <v>116</v>
      </c>
      <c r="C123" s="19" t="str">
        <f t="shared" si="2"/>
        <v>EMPTY</v>
      </c>
      <c r="D123" s="3" t="str">
        <f>IF(C123="SHOW",CONCATENATE(Temp!T119,Temp!U119,",",Temp!V119,",",Temp!W119,Temp!X119),"")</f>
        <v/>
      </c>
      <c r="E123" s="7"/>
      <c r="F123" s="8" t="str">
        <f t="shared" si="3"/>
        <v/>
      </c>
      <c r="BY123" s="4" t="s">
        <v>5</v>
      </c>
      <c r="BZ123" s="4" t="s">
        <v>5</v>
      </c>
    </row>
    <row r="124" spans="1:78" x14ac:dyDescent="0.25">
      <c r="A124" s="13" t="str">
        <f>IF(AND($E124="",MAX($A$8:$A123)=0),"",IF(AND($E124&lt;&gt;"",MAX($A$8:$A123)=0),1,IF(AND($E124&lt;&gt;"",MAX($A$8:$A123)&gt;0),MAX($A$8:$A123)+1,"")))</f>
        <v/>
      </c>
      <c r="B124" s="11">
        <v>117</v>
      </c>
      <c r="C124" s="19" t="str">
        <f t="shared" si="2"/>
        <v>EMPTY</v>
      </c>
      <c r="D124" s="3" t="str">
        <f>IF(C124="SHOW",CONCATENATE(Temp!T120,Temp!U120,",",Temp!V120,",",Temp!W120,Temp!X120),"")</f>
        <v/>
      </c>
      <c r="E124" s="7"/>
      <c r="F124" s="8" t="str">
        <f t="shared" si="3"/>
        <v/>
      </c>
      <c r="BY124" s="4" t="s">
        <v>5</v>
      </c>
      <c r="BZ124" s="4" t="s">
        <v>5</v>
      </c>
    </row>
    <row r="125" spans="1:78" x14ac:dyDescent="0.25">
      <c r="A125" s="13" t="str">
        <f>IF(AND($E125="",MAX($A$8:$A124)=0),"",IF(AND($E125&lt;&gt;"",MAX($A$8:$A124)=0),1,IF(AND($E125&lt;&gt;"",MAX($A$8:$A124)&gt;0),MAX($A$8:$A124)+1,"")))</f>
        <v/>
      </c>
      <c r="B125" s="11">
        <v>118</v>
      </c>
      <c r="C125" s="19" t="str">
        <f t="shared" si="2"/>
        <v>EMPTY</v>
      </c>
      <c r="D125" s="3" t="str">
        <f>IF(C125="SHOW",CONCATENATE(Temp!T121,Temp!U121,",",Temp!V121,",",Temp!W121,Temp!X121),"")</f>
        <v/>
      </c>
      <c r="E125" s="7"/>
      <c r="F125" s="8" t="str">
        <f t="shared" si="3"/>
        <v/>
      </c>
      <c r="BY125" s="4" t="s">
        <v>5</v>
      </c>
      <c r="BZ125" s="4" t="s">
        <v>5</v>
      </c>
    </row>
    <row r="126" spans="1:78" x14ac:dyDescent="0.25">
      <c r="A126" s="13" t="str">
        <f>IF(AND($E126="",MAX($A$8:$A125)=0),"",IF(AND($E126&lt;&gt;"",MAX($A$8:$A125)=0),1,IF(AND($E126&lt;&gt;"",MAX($A$8:$A125)&gt;0),MAX($A$8:$A125)+1,"")))</f>
        <v/>
      </c>
      <c r="B126" s="11">
        <v>119</v>
      </c>
      <c r="C126" s="19" t="str">
        <f t="shared" si="2"/>
        <v>EMPTY</v>
      </c>
      <c r="D126" s="3" t="str">
        <f>IF(C126="SHOW",CONCATENATE(Temp!T122,Temp!U122,",",Temp!V122,",",Temp!W122,Temp!X122),"")</f>
        <v/>
      </c>
      <c r="E126" s="7"/>
      <c r="F126" s="8" t="str">
        <f t="shared" si="3"/>
        <v/>
      </c>
      <c r="BY126" s="4" t="s">
        <v>5</v>
      </c>
      <c r="BZ126" s="4" t="s">
        <v>5</v>
      </c>
    </row>
    <row r="127" spans="1:78" x14ac:dyDescent="0.25">
      <c r="A127" s="13" t="str">
        <f>IF(AND($E127="",MAX($A$8:$A126)=0),"",IF(AND($E127&lt;&gt;"",MAX($A$8:$A126)=0),1,IF(AND($E127&lt;&gt;"",MAX($A$8:$A126)&gt;0),MAX($A$8:$A126)+1,"")))</f>
        <v/>
      </c>
      <c r="B127" s="11">
        <v>120</v>
      </c>
      <c r="C127" s="19" t="str">
        <f t="shared" si="2"/>
        <v>EMPTY</v>
      </c>
      <c r="D127" s="3" t="str">
        <f>IF(C127="SHOW",CONCATENATE(Temp!T123,Temp!U123,",",Temp!V123,",",Temp!W123,Temp!X123),"")</f>
        <v/>
      </c>
      <c r="E127" s="7"/>
      <c r="F127" s="8" t="str">
        <f t="shared" si="3"/>
        <v/>
      </c>
      <c r="BY127" s="4" t="s">
        <v>5</v>
      </c>
      <c r="BZ127" s="4" t="s">
        <v>5</v>
      </c>
    </row>
    <row r="128" spans="1:78" x14ac:dyDescent="0.25">
      <c r="A128" s="13" t="str">
        <f>IF(AND($E128="",MAX($A$8:$A127)=0),"",IF(AND($E128&lt;&gt;"",MAX($A$8:$A127)=0),1,IF(AND($E128&lt;&gt;"",MAX($A$8:$A127)&gt;0),MAX($A$8:$A127)+1,"")))</f>
        <v/>
      </c>
      <c r="B128" s="11">
        <v>121</v>
      </c>
      <c r="C128" s="19" t="str">
        <f t="shared" si="2"/>
        <v>EMPTY</v>
      </c>
      <c r="D128" s="3" t="str">
        <f>IF(C128="SHOW",CONCATENATE(Temp!T124,Temp!U124,",",Temp!V124,",",Temp!W124,Temp!X124),"")</f>
        <v/>
      </c>
      <c r="E128" s="7"/>
      <c r="F128" s="8" t="str">
        <f t="shared" si="3"/>
        <v/>
      </c>
      <c r="BY128" s="4" t="s">
        <v>5</v>
      </c>
      <c r="BZ128" s="4" t="s">
        <v>5</v>
      </c>
    </row>
    <row r="129" spans="1:78" x14ac:dyDescent="0.25">
      <c r="A129" s="13" t="str">
        <f>IF(AND($E129="",MAX($A$8:$A128)=0),"",IF(AND($E129&lt;&gt;"",MAX($A$8:$A128)=0),1,IF(AND($E129&lt;&gt;"",MAX($A$8:$A128)&gt;0),MAX($A$8:$A128)+1,"")))</f>
        <v/>
      </c>
      <c r="B129" s="11">
        <v>122</v>
      </c>
      <c r="C129" s="19" t="str">
        <f t="shared" si="2"/>
        <v>EMPTY</v>
      </c>
      <c r="D129" s="3" t="str">
        <f>IF(C129="SHOW",CONCATENATE(Temp!T125,Temp!U125,",",Temp!V125,",",Temp!W125,Temp!X125),"")</f>
        <v/>
      </c>
      <c r="E129" s="7"/>
      <c r="F129" s="8" t="str">
        <f t="shared" si="3"/>
        <v/>
      </c>
      <c r="BY129" s="4" t="s">
        <v>5</v>
      </c>
      <c r="BZ129" s="4" t="s">
        <v>5</v>
      </c>
    </row>
    <row r="130" spans="1:78" x14ac:dyDescent="0.25">
      <c r="A130" s="13" t="str">
        <f>IF(AND($E130="",MAX($A$8:$A129)=0),"",IF(AND($E130&lt;&gt;"",MAX($A$8:$A129)=0),1,IF(AND($E130&lt;&gt;"",MAX($A$8:$A129)&gt;0),MAX($A$8:$A129)+1,"")))</f>
        <v/>
      </c>
      <c r="B130" s="11">
        <v>123</v>
      </c>
      <c r="C130" s="19" t="str">
        <f t="shared" si="2"/>
        <v>EMPTY</v>
      </c>
      <c r="D130" s="3" t="str">
        <f>IF(C130="SHOW",CONCATENATE(Temp!T126,Temp!U126,",",Temp!V126,",",Temp!W126,Temp!X126),"")</f>
        <v/>
      </c>
      <c r="E130" s="7"/>
      <c r="F130" s="8" t="str">
        <f t="shared" si="3"/>
        <v/>
      </c>
      <c r="BY130" s="4" t="s">
        <v>5</v>
      </c>
      <c r="BZ130" s="4" t="s">
        <v>5</v>
      </c>
    </row>
    <row r="131" spans="1:78" x14ac:dyDescent="0.25">
      <c r="A131" s="13" t="str">
        <f>IF(AND($E131="",MAX($A$8:$A130)=0),"",IF(AND($E131&lt;&gt;"",MAX($A$8:$A130)=0),1,IF(AND($E131&lt;&gt;"",MAX($A$8:$A130)&gt;0),MAX($A$8:$A130)+1,"")))</f>
        <v/>
      </c>
      <c r="B131" s="11">
        <v>124</v>
      </c>
      <c r="C131" s="19" t="str">
        <f t="shared" si="2"/>
        <v>EMPTY</v>
      </c>
      <c r="D131" s="3" t="str">
        <f>IF(C131="SHOW",CONCATENATE(Temp!T127,Temp!U127,",",Temp!V127,",",Temp!W127,Temp!X127),"")</f>
        <v/>
      </c>
      <c r="E131" s="7"/>
      <c r="F131" s="8" t="str">
        <f t="shared" si="3"/>
        <v/>
      </c>
      <c r="BY131" s="4" t="s">
        <v>5</v>
      </c>
      <c r="BZ131" s="4" t="s">
        <v>5</v>
      </c>
    </row>
    <row r="132" spans="1:78" x14ac:dyDescent="0.25">
      <c r="A132" s="13" t="str">
        <f>IF(AND($E132="",MAX($A$8:$A131)=0),"",IF(AND($E132&lt;&gt;"",MAX($A$8:$A131)=0),1,IF(AND($E132&lt;&gt;"",MAX($A$8:$A131)&gt;0),MAX($A$8:$A131)+1,"")))</f>
        <v/>
      </c>
      <c r="B132" s="11">
        <v>125</v>
      </c>
      <c r="C132" s="19" t="str">
        <f t="shared" si="2"/>
        <v>EMPTY</v>
      </c>
      <c r="D132" s="3" t="str">
        <f>IF(C132="SHOW",CONCATENATE(Temp!T128,Temp!U128,",",Temp!V128,",",Temp!W128,Temp!X128),"")</f>
        <v/>
      </c>
      <c r="E132" s="7"/>
      <c r="F132" s="8" t="str">
        <f t="shared" si="3"/>
        <v/>
      </c>
      <c r="BY132" s="4" t="s">
        <v>5</v>
      </c>
      <c r="BZ132" s="4" t="s">
        <v>5</v>
      </c>
    </row>
    <row r="133" spans="1:78" x14ac:dyDescent="0.25">
      <c r="A133" s="13" t="str">
        <f>IF(AND($E133="",MAX($A$8:$A132)=0),"",IF(AND($E133&lt;&gt;"",MAX($A$8:$A132)=0),1,IF(AND($E133&lt;&gt;"",MAX($A$8:$A132)&gt;0),MAX($A$8:$A132)+1,"")))</f>
        <v/>
      </c>
      <c r="B133" s="11">
        <v>126</v>
      </c>
      <c r="C133" s="19" t="str">
        <f t="shared" si="2"/>
        <v>EMPTY</v>
      </c>
      <c r="D133" s="3" t="str">
        <f>IF(C133="SHOW",CONCATENATE(Temp!T129,Temp!U129,",",Temp!V129,",",Temp!W129,Temp!X129),"")</f>
        <v/>
      </c>
      <c r="E133" s="7"/>
      <c r="F133" s="8" t="str">
        <f t="shared" si="3"/>
        <v/>
      </c>
      <c r="BY133" s="4" t="s">
        <v>5</v>
      </c>
      <c r="BZ133" s="4" t="s">
        <v>5</v>
      </c>
    </row>
    <row r="134" spans="1:78" x14ac:dyDescent="0.25">
      <c r="A134" s="13" t="str">
        <f>IF(AND($E134="",MAX($A$8:$A133)=0),"",IF(AND($E134&lt;&gt;"",MAX($A$8:$A133)=0),1,IF(AND($E134&lt;&gt;"",MAX($A$8:$A133)&gt;0),MAX($A$8:$A133)+1,"")))</f>
        <v/>
      </c>
      <c r="B134" s="11">
        <v>127</v>
      </c>
      <c r="C134" s="19" t="str">
        <f t="shared" si="2"/>
        <v>EMPTY</v>
      </c>
      <c r="D134" s="3" t="str">
        <f>IF(C134="SHOW",CONCATENATE(Temp!T130,Temp!U130,",",Temp!V130,",",Temp!W130,Temp!X130),"")</f>
        <v/>
      </c>
      <c r="E134" s="7"/>
      <c r="F134" s="8" t="str">
        <f t="shared" si="3"/>
        <v/>
      </c>
      <c r="BY134" s="4" t="s">
        <v>5</v>
      </c>
      <c r="BZ134" s="4" t="s">
        <v>5</v>
      </c>
    </row>
    <row r="135" spans="1:78" x14ac:dyDescent="0.25">
      <c r="A135" s="13" t="str">
        <f>IF(AND($E135="",MAX($A$8:$A134)=0),"",IF(AND($E135&lt;&gt;"",MAX($A$8:$A134)=0),1,IF(AND($E135&lt;&gt;"",MAX($A$8:$A134)&gt;0),MAX($A$8:$A134)+1,"")))</f>
        <v/>
      </c>
      <c r="B135" s="11">
        <v>128</v>
      </c>
      <c r="C135" s="19" t="str">
        <f t="shared" si="2"/>
        <v>EMPTY</v>
      </c>
      <c r="D135" s="3" t="str">
        <f>IF(C135="SHOW",CONCATENATE(Temp!T131,Temp!U131,",",Temp!V131,",",Temp!W131,Temp!X131),"")</f>
        <v/>
      </c>
      <c r="E135" s="7"/>
      <c r="F135" s="8" t="str">
        <f t="shared" si="3"/>
        <v/>
      </c>
      <c r="BY135" s="4" t="s">
        <v>5</v>
      </c>
      <c r="BZ135" s="4" t="s">
        <v>5</v>
      </c>
    </row>
    <row r="136" spans="1:78" x14ac:dyDescent="0.25">
      <c r="A136" s="13" t="str">
        <f>IF(AND($E136="",MAX($A$8:$A135)=0),"",IF(AND($E136&lt;&gt;"",MAX($A$8:$A135)=0),1,IF(AND($E136&lt;&gt;"",MAX($A$8:$A135)&gt;0),MAX($A$8:$A135)+1,"")))</f>
        <v/>
      </c>
      <c r="B136" s="11">
        <v>129</v>
      </c>
      <c r="C136" s="19" t="str">
        <f t="shared" si="2"/>
        <v>EMPTY</v>
      </c>
      <c r="D136" s="3" t="str">
        <f>IF(C136="SHOW",CONCATENATE(Temp!T132,Temp!U132,",",Temp!V132,",",Temp!W132,Temp!X132),"")</f>
        <v/>
      </c>
      <c r="E136" s="7"/>
      <c r="F136" s="8" t="str">
        <f t="shared" si="3"/>
        <v/>
      </c>
      <c r="BY136" s="4" t="s">
        <v>5</v>
      </c>
      <c r="BZ136" s="4" t="s">
        <v>5</v>
      </c>
    </row>
    <row r="137" spans="1:78" x14ac:dyDescent="0.25">
      <c r="A137" s="13" t="str">
        <f>IF(AND($E137="",MAX($A$8:$A136)=0),"",IF(AND($E137&lt;&gt;"",MAX($A$8:$A136)=0),1,IF(AND($E137&lt;&gt;"",MAX($A$8:$A136)&gt;0),MAX($A$8:$A136)+1,"")))</f>
        <v/>
      </c>
      <c r="B137" s="11">
        <v>130</v>
      </c>
      <c r="C137" s="19" t="str">
        <f t="shared" ref="C137:C200" si="4">IF(E137="","EMPTY",IF(MID(E137,1,9)&lt;&gt;"Dialogue:","HIDE",IF(MID(E137,1,9)="Dialogue:","SHOW","")))</f>
        <v>EMPTY</v>
      </c>
      <c r="D137" s="3" t="str">
        <f>IF(C137="SHOW",CONCATENATE(Temp!T133,Temp!U133,",",Temp!V133,",",Temp!W133,Temp!X133),"")</f>
        <v/>
      </c>
      <c r="E137" s="7"/>
      <c r="F137" s="8" t="str">
        <f t="shared" ref="F137:F200" si="5">$D137</f>
        <v/>
      </c>
      <c r="BY137" s="4" t="s">
        <v>5</v>
      </c>
      <c r="BZ137" s="4" t="s">
        <v>5</v>
      </c>
    </row>
    <row r="138" spans="1:78" x14ac:dyDescent="0.25">
      <c r="A138" s="13" t="str">
        <f>IF(AND($E138="",MAX($A$8:$A137)=0),"",IF(AND($E138&lt;&gt;"",MAX($A$8:$A137)=0),1,IF(AND($E138&lt;&gt;"",MAX($A$8:$A137)&gt;0),MAX($A$8:$A137)+1,"")))</f>
        <v/>
      </c>
      <c r="B138" s="11">
        <v>131</v>
      </c>
      <c r="C138" s="19" t="str">
        <f t="shared" si="4"/>
        <v>EMPTY</v>
      </c>
      <c r="D138" s="3" t="str">
        <f>IF(C138="SHOW",CONCATENATE(Temp!T134,Temp!U134,",",Temp!V134,",",Temp!W134,Temp!X134),"")</f>
        <v/>
      </c>
      <c r="E138" s="7"/>
      <c r="F138" s="8" t="str">
        <f t="shared" si="5"/>
        <v/>
      </c>
      <c r="BY138" s="4" t="s">
        <v>5</v>
      </c>
      <c r="BZ138" s="4" t="s">
        <v>5</v>
      </c>
    </row>
    <row r="139" spans="1:78" x14ac:dyDescent="0.25">
      <c r="A139" s="13" t="str">
        <f>IF(AND($E139="",MAX($A$8:$A138)=0),"",IF(AND($E139&lt;&gt;"",MAX($A$8:$A138)=0),1,IF(AND($E139&lt;&gt;"",MAX($A$8:$A138)&gt;0),MAX($A$8:$A138)+1,"")))</f>
        <v/>
      </c>
      <c r="B139" s="11">
        <v>132</v>
      </c>
      <c r="C139" s="19" t="str">
        <f t="shared" si="4"/>
        <v>EMPTY</v>
      </c>
      <c r="D139" s="3" t="str">
        <f>IF(C139="SHOW",CONCATENATE(Temp!T135,Temp!U135,",",Temp!V135,",",Temp!W135,Temp!X135),"")</f>
        <v/>
      </c>
      <c r="E139" s="7"/>
      <c r="F139" s="8" t="str">
        <f t="shared" si="5"/>
        <v/>
      </c>
      <c r="BY139" s="4" t="s">
        <v>5</v>
      </c>
      <c r="BZ139" s="4" t="s">
        <v>5</v>
      </c>
    </row>
    <row r="140" spans="1:78" x14ac:dyDescent="0.25">
      <c r="A140" s="13" t="str">
        <f>IF(AND($E140="",MAX($A$8:$A139)=0),"",IF(AND($E140&lt;&gt;"",MAX($A$8:$A139)=0),1,IF(AND($E140&lt;&gt;"",MAX($A$8:$A139)&gt;0),MAX($A$8:$A139)+1,"")))</f>
        <v/>
      </c>
      <c r="B140" s="11">
        <v>133</v>
      </c>
      <c r="C140" s="19" t="str">
        <f t="shared" si="4"/>
        <v>EMPTY</v>
      </c>
      <c r="D140" s="3" t="str">
        <f>IF(C140="SHOW",CONCATENATE(Temp!T136,Temp!U136,",",Temp!V136,",",Temp!W136,Temp!X136),"")</f>
        <v/>
      </c>
      <c r="E140" s="7"/>
      <c r="F140" s="8" t="str">
        <f t="shared" si="5"/>
        <v/>
      </c>
      <c r="BY140" s="4" t="s">
        <v>5</v>
      </c>
      <c r="BZ140" s="4" t="s">
        <v>5</v>
      </c>
    </row>
    <row r="141" spans="1:78" x14ac:dyDescent="0.25">
      <c r="A141" s="13" t="str">
        <f>IF(AND($E141="",MAX($A$8:$A140)=0),"",IF(AND($E141&lt;&gt;"",MAX($A$8:$A140)=0),1,IF(AND($E141&lt;&gt;"",MAX($A$8:$A140)&gt;0),MAX($A$8:$A140)+1,"")))</f>
        <v/>
      </c>
      <c r="B141" s="11">
        <v>134</v>
      </c>
      <c r="C141" s="19" t="str">
        <f t="shared" si="4"/>
        <v>EMPTY</v>
      </c>
      <c r="D141" s="3" t="str">
        <f>IF(C141="SHOW",CONCATENATE(Temp!T137,Temp!U137,",",Temp!V137,",",Temp!W137,Temp!X137),"")</f>
        <v/>
      </c>
      <c r="E141" s="7"/>
      <c r="F141" s="8" t="str">
        <f t="shared" si="5"/>
        <v/>
      </c>
      <c r="BY141" s="4" t="s">
        <v>5</v>
      </c>
      <c r="BZ141" s="4" t="s">
        <v>5</v>
      </c>
    </row>
    <row r="142" spans="1:78" x14ac:dyDescent="0.25">
      <c r="A142" s="13" t="str">
        <f>IF(AND($E142="",MAX($A$8:$A141)=0),"",IF(AND($E142&lt;&gt;"",MAX($A$8:$A141)=0),1,IF(AND($E142&lt;&gt;"",MAX($A$8:$A141)&gt;0),MAX($A$8:$A141)+1,"")))</f>
        <v/>
      </c>
      <c r="B142" s="11">
        <v>135</v>
      </c>
      <c r="C142" s="19" t="str">
        <f t="shared" si="4"/>
        <v>EMPTY</v>
      </c>
      <c r="D142" s="3" t="str">
        <f>IF(C142="SHOW",CONCATENATE(Temp!T138,Temp!U138,",",Temp!V138,",",Temp!W138,Temp!X138),"")</f>
        <v/>
      </c>
      <c r="E142" s="7"/>
      <c r="F142" s="8" t="str">
        <f t="shared" si="5"/>
        <v/>
      </c>
      <c r="BY142" s="4" t="s">
        <v>5</v>
      </c>
      <c r="BZ142" s="4" t="s">
        <v>5</v>
      </c>
    </row>
    <row r="143" spans="1:78" x14ac:dyDescent="0.25">
      <c r="A143" s="13" t="str">
        <f>IF(AND($E143="",MAX($A$8:$A142)=0),"",IF(AND($E143&lt;&gt;"",MAX($A$8:$A142)=0),1,IF(AND($E143&lt;&gt;"",MAX($A$8:$A142)&gt;0),MAX($A$8:$A142)+1,"")))</f>
        <v/>
      </c>
      <c r="B143" s="11">
        <v>136</v>
      </c>
      <c r="C143" s="19" t="str">
        <f t="shared" si="4"/>
        <v>EMPTY</v>
      </c>
      <c r="D143" s="3" t="str">
        <f>IF(C143="SHOW",CONCATENATE(Temp!T139,Temp!U139,",",Temp!V139,",",Temp!W139,Temp!X139),"")</f>
        <v/>
      </c>
      <c r="E143" s="7"/>
      <c r="F143" s="8" t="str">
        <f t="shared" si="5"/>
        <v/>
      </c>
      <c r="BY143" s="4" t="s">
        <v>5</v>
      </c>
      <c r="BZ143" s="4" t="s">
        <v>5</v>
      </c>
    </row>
    <row r="144" spans="1:78" x14ac:dyDescent="0.25">
      <c r="A144" s="13" t="str">
        <f>IF(AND($E144="",MAX($A$8:$A143)=0),"",IF(AND($E144&lt;&gt;"",MAX($A$8:$A143)=0),1,IF(AND($E144&lt;&gt;"",MAX($A$8:$A143)&gt;0),MAX($A$8:$A143)+1,"")))</f>
        <v/>
      </c>
      <c r="B144" s="11">
        <v>137</v>
      </c>
      <c r="C144" s="19" t="str">
        <f t="shared" si="4"/>
        <v>EMPTY</v>
      </c>
      <c r="D144" s="3" t="str">
        <f>IF(C144="SHOW",CONCATENATE(Temp!T140,Temp!U140,",",Temp!V140,",",Temp!W140,Temp!X140),"")</f>
        <v/>
      </c>
      <c r="E144" s="7"/>
      <c r="F144" s="8" t="str">
        <f t="shared" si="5"/>
        <v/>
      </c>
      <c r="BY144" s="4" t="s">
        <v>5</v>
      </c>
      <c r="BZ144" s="4" t="s">
        <v>5</v>
      </c>
    </row>
    <row r="145" spans="1:78" x14ac:dyDescent="0.25">
      <c r="A145" s="13" t="str">
        <f>IF(AND($E145="",MAX($A$8:$A144)=0),"",IF(AND($E145&lt;&gt;"",MAX($A$8:$A144)=0),1,IF(AND($E145&lt;&gt;"",MAX($A$8:$A144)&gt;0),MAX($A$8:$A144)+1,"")))</f>
        <v/>
      </c>
      <c r="B145" s="11">
        <v>138</v>
      </c>
      <c r="C145" s="19" t="str">
        <f t="shared" si="4"/>
        <v>EMPTY</v>
      </c>
      <c r="D145" s="3" t="str">
        <f>IF(C145="SHOW",CONCATENATE(Temp!T141,Temp!U141,",",Temp!V141,",",Temp!W141,Temp!X141),"")</f>
        <v/>
      </c>
      <c r="E145" s="7"/>
      <c r="F145" s="8" t="str">
        <f t="shared" si="5"/>
        <v/>
      </c>
      <c r="BY145" s="4" t="s">
        <v>5</v>
      </c>
      <c r="BZ145" s="4" t="s">
        <v>5</v>
      </c>
    </row>
    <row r="146" spans="1:78" x14ac:dyDescent="0.25">
      <c r="A146" s="13" t="str">
        <f>IF(AND($E146="",MAX($A$8:$A145)=0),"",IF(AND($E146&lt;&gt;"",MAX($A$8:$A145)=0),1,IF(AND($E146&lt;&gt;"",MAX($A$8:$A145)&gt;0),MAX($A$8:$A145)+1,"")))</f>
        <v/>
      </c>
      <c r="B146" s="11">
        <v>139</v>
      </c>
      <c r="C146" s="19" t="str">
        <f t="shared" si="4"/>
        <v>EMPTY</v>
      </c>
      <c r="D146" s="3" t="str">
        <f>IF(C146="SHOW",CONCATENATE(Temp!T142,Temp!U142,",",Temp!V142,",",Temp!W142,Temp!X142),"")</f>
        <v/>
      </c>
      <c r="E146" s="7"/>
      <c r="F146" s="8" t="str">
        <f t="shared" si="5"/>
        <v/>
      </c>
      <c r="BY146" s="4" t="s">
        <v>5</v>
      </c>
      <c r="BZ146" s="4" t="s">
        <v>5</v>
      </c>
    </row>
    <row r="147" spans="1:78" x14ac:dyDescent="0.25">
      <c r="A147" s="13" t="str">
        <f>IF(AND($E147="",MAX($A$8:$A146)=0),"",IF(AND($E147&lt;&gt;"",MAX($A$8:$A146)=0),1,IF(AND($E147&lt;&gt;"",MAX($A$8:$A146)&gt;0),MAX($A$8:$A146)+1,"")))</f>
        <v/>
      </c>
      <c r="B147" s="11">
        <v>140</v>
      </c>
      <c r="C147" s="19" t="str">
        <f t="shared" si="4"/>
        <v>EMPTY</v>
      </c>
      <c r="D147" s="3" t="str">
        <f>IF(C147="SHOW",CONCATENATE(Temp!T143,Temp!U143,",",Temp!V143,",",Temp!W143,Temp!X143),"")</f>
        <v/>
      </c>
      <c r="E147" s="7"/>
      <c r="F147" s="8" t="str">
        <f t="shared" si="5"/>
        <v/>
      </c>
      <c r="BY147" s="4" t="s">
        <v>5</v>
      </c>
      <c r="BZ147" s="4" t="s">
        <v>5</v>
      </c>
    </row>
    <row r="148" spans="1:78" x14ac:dyDescent="0.25">
      <c r="A148" s="13" t="str">
        <f>IF(AND($E148="",MAX($A$8:$A147)=0),"",IF(AND($E148&lt;&gt;"",MAX($A$8:$A147)=0),1,IF(AND($E148&lt;&gt;"",MAX($A$8:$A147)&gt;0),MAX($A$8:$A147)+1,"")))</f>
        <v/>
      </c>
      <c r="B148" s="11">
        <v>141</v>
      </c>
      <c r="C148" s="19" t="str">
        <f t="shared" si="4"/>
        <v>EMPTY</v>
      </c>
      <c r="D148" s="3" t="str">
        <f>IF(C148="SHOW",CONCATENATE(Temp!T144,Temp!U144,",",Temp!V144,",",Temp!W144,Temp!X144),"")</f>
        <v/>
      </c>
      <c r="E148" s="7"/>
      <c r="F148" s="8" t="str">
        <f t="shared" si="5"/>
        <v/>
      </c>
      <c r="BY148" s="4" t="s">
        <v>5</v>
      </c>
      <c r="BZ148" s="4" t="s">
        <v>5</v>
      </c>
    </row>
    <row r="149" spans="1:78" x14ac:dyDescent="0.25">
      <c r="A149" s="13" t="str">
        <f>IF(AND($E149="",MAX($A$8:$A148)=0),"",IF(AND($E149&lt;&gt;"",MAX($A$8:$A148)=0),1,IF(AND($E149&lt;&gt;"",MAX($A$8:$A148)&gt;0),MAX($A$8:$A148)+1,"")))</f>
        <v/>
      </c>
      <c r="B149" s="11">
        <v>142</v>
      </c>
      <c r="C149" s="19" t="str">
        <f t="shared" si="4"/>
        <v>EMPTY</v>
      </c>
      <c r="D149" s="3" t="str">
        <f>IF(C149="SHOW",CONCATENATE(Temp!T145,Temp!U145,",",Temp!V145,",",Temp!W145,Temp!X145),"")</f>
        <v/>
      </c>
      <c r="E149" s="7"/>
      <c r="F149" s="8" t="str">
        <f t="shared" si="5"/>
        <v/>
      </c>
      <c r="BY149" s="4" t="s">
        <v>5</v>
      </c>
      <c r="BZ149" s="4" t="s">
        <v>5</v>
      </c>
    </row>
    <row r="150" spans="1:78" x14ac:dyDescent="0.25">
      <c r="A150" s="13" t="str">
        <f>IF(AND($E150="",MAX($A$8:$A149)=0),"",IF(AND($E150&lt;&gt;"",MAX($A$8:$A149)=0),1,IF(AND($E150&lt;&gt;"",MAX($A$8:$A149)&gt;0),MAX($A$8:$A149)+1,"")))</f>
        <v/>
      </c>
      <c r="B150" s="11">
        <v>143</v>
      </c>
      <c r="C150" s="19" t="str">
        <f t="shared" si="4"/>
        <v>EMPTY</v>
      </c>
      <c r="D150" s="3" t="str">
        <f>IF(C150="SHOW",CONCATENATE(Temp!T146,Temp!U146,",",Temp!V146,",",Temp!W146,Temp!X146),"")</f>
        <v/>
      </c>
      <c r="E150" s="7"/>
      <c r="F150" s="8" t="str">
        <f t="shared" si="5"/>
        <v/>
      </c>
      <c r="BY150" s="4" t="s">
        <v>5</v>
      </c>
      <c r="BZ150" s="4" t="s">
        <v>5</v>
      </c>
    </row>
    <row r="151" spans="1:78" x14ac:dyDescent="0.25">
      <c r="A151" s="13" t="str">
        <f>IF(AND($E151="",MAX($A$8:$A150)=0),"",IF(AND($E151&lt;&gt;"",MAX($A$8:$A150)=0),1,IF(AND($E151&lt;&gt;"",MAX($A$8:$A150)&gt;0),MAX($A$8:$A150)+1,"")))</f>
        <v/>
      </c>
      <c r="B151" s="11">
        <v>144</v>
      </c>
      <c r="C151" s="19" t="str">
        <f t="shared" si="4"/>
        <v>EMPTY</v>
      </c>
      <c r="D151" s="3" t="str">
        <f>IF(C151="SHOW",CONCATENATE(Temp!T147,Temp!U147,",",Temp!V147,",",Temp!W147,Temp!X147),"")</f>
        <v/>
      </c>
      <c r="E151" s="7"/>
      <c r="F151" s="8" t="str">
        <f t="shared" si="5"/>
        <v/>
      </c>
      <c r="BY151" s="4" t="s">
        <v>5</v>
      </c>
      <c r="BZ151" s="4" t="s">
        <v>5</v>
      </c>
    </row>
    <row r="152" spans="1:78" x14ac:dyDescent="0.25">
      <c r="A152" s="13" t="str">
        <f>IF(AND($E152="",MAX($A$8:$A151)=0),"",IF(AND($E152&lt;&gt;"",MAX($A$8:$A151)=0),1,IF(AND($E152&lt;&gt;"",MAX($A$8:$A151)&gt;0),MAX($A$8:$A151)+1,"")))</f>
        <v/>
      </c>
      <c r="B152" s="11">
        <v>145</v>
      </c>
      <c r="C152" s="19" t="str">
        <f t="shared" si="4"/>
        <v>EMPTY</v>
      </c>
      <c r="D152" s="3" t="str">
        <f>IF(C152="SHOW",CONCATENATE(Temp!T148,Temp!U148,",",Temp!V148,",",Temp!W148,Temp!X148),"")</f>
        <v/>
      </c>
      <c r="E152" s="7"/>
      <c r="F152" s="8" t="str">
        <f t="shared" si="5"/>
        <v/>
      </c>
      <c r="BY152" s="4" t="s">
        <v>5</v>
      </c>
      <c r="BZ152" s="4" t="s">
        <v>5</v>
      </c>
    </row>
    <row r="153" spans="1:78" x14ac:dyDescent="0.25">
      <c r="A153" s="13" t="str">
        <f>IF(AND($E153="",MAX($A$8:$A152)=0),"",IF(AND($E153&lt;&gt;"",MAX($A$8:$A152)=0),1,IF(AND($E153&lt;&gt;"",MAX($A$8:$A152)&gt;0),MAX($A$8:$A152)+1,"")))</f>
        <v/>
      </c>
      <c r="B153" s="11">
        <v>146</v>
      </c>
      <c r="C153" s="19" t="str">
        <f t="shared" si="4"/>
        <v>EMPTY</v>
      </c>
      <c r="D153" s="3" t="str">
        <f>IF(C153="SHOW",CONCATENATE(Temp!T149,Temp!U149,",",Temp!V149,",",Temp!W149,Temp!X149),"")</f>
        <v/>
      </c>
      <c r="E153" s="7"/>
      <c r="F153" s="8" t="str">
        <f t="shared" si="5"/>
        <v/>
      </c>
      <c r="BY153" s="4" t="s">
        <v>5</v>
      </c>
      <c r="BZ153" s="4" t="s">
        <v>5</v>
      </c>
    </row>
    <row r="154" spans="1:78" x14ac:dyDescent="0.25">
      <c r="A154" s="13" t="str">
        <f>IF(AND($E154="",MAX($A$8:$A153)=0),"",IF(AND($E154&lt;&gt;"",MAX($A$8:$A153)=0),1,IF(AND($E154&lt;&gt;"",MAX($A$8:$A153)&gt;0),MAX($A$8:$A153)+1,"")))</f>
        <v/>
      </c>
      <c r="B154" s="11">
        <v>147</v>
      </c>
      <c r="C154" s="19" t="str">
        <f t="shared" si="4"/>
        <v>EMPTY</v>
      </c>
      <c r="D154" s="3" t="str">
        <f>IF(C154="SHOW",CONCATENATE(Temp!T150,Temp!U150,",",Temp!V150,",",Temp!W150,Temp!X150),"")</f>
        <v/>
      </c>
      <c r="E154" s="7"/>
      <c r="F154" s="8" t="str">
        <f t="shared" si="5"/>
        <v/>
      </c>
      <c r="BY154" s="4" t="s">
        <v>5</v>
      </c>
      <c r="BZ154" s="4" t="s">
        <v>5</v>
      </c>
    </row>
    <row r="155" spans="1:78" x14ac:dyDescent="0.25">
      <c r="A155" s="13" t="str">
        <f>IF(AND($E155="",MAX($A$8:$A154)=0),"",IF(AND($E155&lt;&gt;"",MAX($A$8:$A154)=0),1,IF(AND($E155&lt;&gt;"",MAX($A$8:$A154)&gt;0),MAX($A$8:$A154)+1,"")))</f>
        <v/>
      </c>
      <c r="B155" s="11">
        <v>148</v>
      </c>
      <c r="C155" s="19" t="str">
        <f t="shared" si="4"/>
        <v>EMPTY</v>
      </c>
      <c r="D155" s="3" t="str">
        <f>IF(C155="SHOW",CONCATENATE(Temp!T151,Temp!U151,",",Temp!V151,",",Temp!W151,Temp!X151),"")</f>
        <v/>
      </c>
      <c r="E155" s="7"/>
      <c r="F155" s="8" t="str">
        <f t="shared" si="5"/>
        <v/>
      </c>
      <c r="BY155" s="4" t="s">
        <v>5</v>
      </c>
      <c r="BZ155" s="4" t="s">
        <v>5</v>
      </c>
    </row>
    <row r="156" spans="1:78" x14ac:dyDescent="0.25">
      <c r="A156" s="13" t="str">
        <f>IF(AND($E156="",MAX($A$8:$A155)=0),"",IF(AND($E156&lt;&gt;"",MAX($A$8:$A155)=0),1,IF(AND($E156&lt;&gt;"",MAX($A$8:$A155)&gt;0),MAX($A$8:$A155)+1,"")))</f>
        <v/>
      </c>
      <c r="B156" s="11">
        <v>149</v>
      </c>
      <c r="C156" s="19" t="str">
        <f t="shared" si="4"/>
        <v>EMPTY</v>
      </c>
      <c r="D156" s="3" t="str">
        <f>IF(C156="SHOW",CONCATENATE(Temp!T152,Temp!U152,",",Temp!V152,",",Temp!W152,Temp!X152),"")</f>
        <v/>
      </c>
      <c r="E156" s="7"/>
      <c r="F156" s="8" t="str">
        <f t="shared" si="5"/>
        <v/>
      </c>
      <c r="BY156" s="4" t="s">
        <v>5</v>
      </c>
      <c r="BZ156" s="4" t="s">
        <v>5</v>
      </c>
    </row>
    <row r="157" spans="1:78" x14ac:dyDescent="0.25">
      <c r="A157" s="13" t="str">
        <f>IF(AND($E157="",MAX($A$8:$A156)=0),"",IF(AND($E157&lt;&gt;"",MAX($A$8:$A156)=0),1,IF(AND($E157&lt;&gt;"",MAX($A$8:$A156)&gt;0),MAX($A$8:$A156)+1,"")))</f>
        <v/>
      </c>
      <c r="B157" s="11">
        <v>150</v>
      </c>
      <c r="C157" s="19" t="str">
        <f t="shared" si="4"/>
        <v>EMPTY</v>
      </c>
      <c r="D157" s="3" t="str">
        <f>IF(C157="SHOW",CONCATENATE(Temp!T153,Temp!U153,",",Temp!V153,",",Temp!W153,Temp!X153),"")</f>
        <v/>
      </c>
      <c r="E157" s="7"/>
      <c r="F157" s="8" t="str">
        <f t="shared" si="5"/>
        <v/>
      </c>
      <c r="BY157" s="4" t="s">
        <v>5</v>
      </c>
      <c r="BZ157" s="4" t="s">
        <v>5</v>
      </c>
    </row>
    <row r="158" spans="1:78" x14ac:dyDescent="0.25">
      <c r="A158" s="13" t="str">
        <f>IF(AND($E158="",MAX($A$8:$A157)=0),"",IF(AND($E158&lt;&gt;"",MAX($A$8:$A157)=0),1,IF(AND($E158&lt;&gt;"",MAX($A$8:$A157)&gt;0),MAX($A$8:$A157)+1,"")))</f>
        <v/>
      </c>
      <c r="B158" s="11">
        <v>151</v>
      </c>
      <c r="C158" s="19" t="str">
        <f t="shared" si="4"/>
        <v>EMPTY</v>
      </c>
      <c r="D158" s="3" t="str">
        <f>IF(C158="SHOW",CONCATENATE(Temp!T154,Temp!U154,",",Temp!V154,",",Temp!W154,Temp!X154),"")</f>
        <v/>
      </c>
      <c r="E158" s="7"/>
      <c r="F158" s="8" t="str">
        <f t="shared" si="5"/>
        <v/>
      </c>
      <c r="BY158" s="4" t="s">
        <v>5</v>
      </c>
      <c r="BZ158" s="4" t="s">
        <v>5</v>
      </c>
    </row>
    <row r="159" spans="1:78" x14ac:dyDescent="0.25">
      <c r="A159" s="13" t="str">
        <f>IF(AND($E159="",MAX($A$8:$A158)=0),"",IF(AND($E159&lt;&gt;"",MAX($A$8:$A158)=0),1,IF(AND($E159&lt;&gt;"",MAX($A$8:$A158)&gt;0),MAX($A$8:$A158)+1,"")))</f>
        <v/>
      </c>
      <c r="B159" s="11">
        <v>152</v>
      </c>
      <c r="C159" s="19" t="str">
        <f t="shared" si="4"/>
        <v>EMPTY</v>
      </c>
      <c r="D159" s="3" t="str">
        <f>IF(C159="SHOW",CONCATENATE(Temp!T155,Temp!U155,",",Temp!V155,",",Temp!W155,Temp!X155),"")</f>
        <v/>
      </c>
      <c r="E159" s="7"/>
      <c r="F159" s="8" t="str">
        <f t="shared" si="5"/>
        <v/>
      </c>
      <c r="BY159" s="4" t="s">
        <v>5</v>
      </c>
      <c r="BZ159" s="4" t="s">
        <v>5</v>
      </c>
    </row>
    <row r="160" spans="1:78" x14ac:dyDescent="0.25">
      <c r="A160" s="13" t="str">
        <f>IF(AND($E160="",MAX($A$8:$A159)=0),"",IF(AND($E160&lt;&gt;"",MAX($A$8:$A159)=0),1,IF(AND($E160&lt;&gt;"",MAX($A$8:$A159)&gt;0),MAX($A$8:$A159)+1,"")))</f>
        <v/>
      </c>
      <c r="B160" s="11">
        <v>153</v>
      </c>
      <c r="C160" s="19" t="str">
        <f t="shared" si="4"/>
        <v>EMPTY</v>
      </c>
      <c r="D160" s="3" t="str">
        <f>IF(C160="SHOW",CONCATENATE(Temp!T156,Temp!U156,",",Temp!V156,",",Temp!W156,Temp!X156),"")</f>
        <v/>
      </c>
      <c r="E160" s="7"/>
      <c r="F160" s="8" t="str">
        <f t="shared" si="5"/>
        <v/>
      </c>
      <c r="BY160" s="4" t="s">
        <v>5</v>
      </c>
      <c r="BZ160" s="4" t="s">
        <v>5</v>
      </c>
    </row>
    <row r="161" spans="1:78" x14ac:dyDescent="0.25">
      <c r="A161" s="13" t="str">
        <f>IF(AND($E161="",MAX($A$8:$A160)=0),"",IF(AND($E161&lt;&gt;"",MAX($A$8:$A160)=0),1,IF(AND($E161&lt;&gt;"",MAX($A$8:$A160)&gt;0),MAX($A$8:$A160)+1,"")))</f>
        <v/>
      </c>
      <c r="B161" s="11">
        <v>154</v>
      </c>
      <c r="C161" s="19" t="str">
        <f t="shared" si="4"/>
        <v>EMPTY</v>
      </c>
      <c r="D161" s="3" t="str">
        <f>IF(C161="SHOW",CONCATENATE(Temp!T157,Temp!U157,",",Temp!V157,",",Temp!W157,Temp!X157),"")</f>
        <v/>
      </c>
      <c r="E161" s="7"/>
      <c r="F161" s="8" t="str">
        <f t="shared" si="5"/>
        <v/>
      </c>
      <c r="BY161" s="4" t="s">
        <v>5</v>
      </c>
      <c r="BZ161" s="4" t="s">
        <v>5</v>
      </c>
    </row>
    <row r="162" spans="1:78" x14ac:dyDescent="0.25">
      <c r="A162" s="13" t="str">
        <f>IF(AND($E162="",MAX($A$8:$A161)=0),"",IF(AND($E162&lt;&gt;"",MAX($A$8:$A161)=0),1,IF(AND($E162&lt;&gt;"",MAX($A$8:$A161)&gt;0),MAX($A$8:$A161)+1,"")))</f>
        <v/>
      </c>
      <c r="B162" s="11">
        <v>155</v>
      </c>
      <c r="C162" s="19" t="str">
        <f t="shared" si="4"/>
        <v>EMPTY</v>
      </c>
      <c r="D162" s="3" t="str">
        <f>IF(C162="SHOW",CONCATENATE(Temp!T158,Temp!U158,",",Temp!V158,",",Temp!W158,Temp!X158),"")</f>
        <v/>
      </c>
      <c r="E162" s="7"/>
      <c r="F162" s="8" t="str">
        <f t="shared" si="5"/>
        <v/>
      </c>
      <c r="BY162" s="4" t="s">
        <v>5</v>
      </c>
      <c r="BZ162" s="4" t="s">
        <v>5</v>
      </c>
    </row>
    <row r="163" spans="1:78" x14ac:dyDescent="0.25">
      <c r="A163" s="13" t="str">
        <f>IF(AND($E163="",MAX($A$8:$A162)=0),"",IF(AND($E163&lt;&gt;"",MAX($A$8:$A162)=0),1,IF(AND($E163&lt;&gt;"",MAX($A$8:$A162)&gt;0),MAX($A$8:$A162)+1,"")))</f>
        <v/>
      </c>
      <c r="B163" s="11">
        <v>156</v>
      </c>
      <c r="C163" s="19" t="str">
        <f t="shared" si="4"/>
        <v>EMPTY</v>
      </c>
      <c r="D163" s="3" t="str">
        <f>IF(C163="SHOW",CONCATENATE(Temp!T159,Temp!U159,",",Temp!V159,",",Temp!W159,Temp!X159),"")</f>
        <v/>
      </c>
      <c r="E163" s="7"/>
      <c r="F163" s="8" t="str">
        <f t="shared" si="5"/>
        <v/>
      </c>
      <c r="BY163" s="4" t="s">
        <v>5</v>
      </c>
      <c r="BZ163" s="4" t="s">
        <v>5</v>
      </c>
    </row>
    <row r="164" spans="1:78" x14ac:dyDescent="0.25">
      <c r="A164" s="13" t="str">
        <f>IF(AND($E164="",MAX($A$8:$A163)=0),"",IF(AND($E164&lt;&gt;"",MAX($A$8:$A163)=0),1,IF(AND($E164&lt;&gt;"",MAX($A$8:$A163)&gt;0),MAX($A$8:$A163)+1,"")))</f>
        <v/>
      </c>
      <c r="B164" s="11">
        <v>157</v>
      </c>
      <c r="C164" s="19" t="str">
        <f t="shared" si="4"/>
        <v>EMPTY</v>
      </c>
      <c r="D164" s="3" t="str">
        <f>IF(C164="SHOW",CONCATENATE(Temp!T160,Temp!U160,",",Temp!V160,",",Temp!W160,Temp!X160),"")</f>
        <v/>
      </c>
      <c r="E164" s="7"/>
      <c r="F164" s="8" t="str">
        <f t="shared" si="5"/>
        <v/>
      </c>
      <c r="BY164" s="4" t="s">
        <v>5</v>
      </c>
      <c r="BZ164" s="4" t="s">
        <v>5</v>
      </c>
    </row>
    <row r="165" spans="1:78" x14ac:dyDescent="0.25">
      <c r="A165" s="13" t="str">
        <f>IF(AND($E165="",MAX($A$8:$A164)=0),"",IF(AND($E165&lt;&gt;"",MAX($A$8:$A164)=0),1,IF(AND($E165&lt;&gt;"",MAX($A$8:$A164)&gt;0),MAX($A$8:$A164)+1,"")))</f>
        <v/>
      </c>
      <c r="B165" s="11">
        <v>158</v>
      </c>
      <c r="C165" s="19" t="str">
        <f t="shared" si="4"/>
        <v>EMPTY</v>
      </c>
      <c r="D165" s="3" t="str">
        <f>IF(C165="SHOW",CONCATENATE(Temp!T161,Temp!U161,",",Temp!V161,",",Temp!W161,Temp!X161),"")</f>
        <v/>
      </c>
      <c r="E165" s="7"/>
      <c r="F165" s="8" t="str">
        <f t="shared" si="5"/>
        <v/>
      </c>
      <c r="BY165" s="4" t="s">
        <v>5</v>
      </c>
      <c r="BZ165" s="4" t="s">
        <v>5</v>
      </c>
    </row>
    <row r="166" spans="1:78" x14ac:dyDescent="0.25">
      <c r="A166" s="13" t="str">
        <f>IF(AND($E166="",MAX($A$8:$A165)=0),"",IF(AND($E166&lt;&gt;"",MAX($A$8:$A165)=0),1,IF(AND($E166&lt;&gt;"",MAX($A$8:$A165)&gt;0),MAX($A$8:$A165)+1,"")))</f>
        <v/>
      </c>
      <c r="B166" s="11">
        <v>159</v>
      </c>
      <c r="C166" s="19" t="str">
        <f t="shared" si="4"/>
        <v>EMPTY</v>
      </c>
      <c r="D166" s="3" t="str">
        <f>IF(C166="SHOW",CONCATENATE(Temp!T162,Temp!U162,",",Temp!V162,",",Temp!W162,Temp!X162),"")</f>
        <v/>
      </c>
      <c r="E166" s="7"/>
      <c r="F166" s="8" t="str">
        <f t="shared" si="5"/>
        <v/>
      </c>
      <c r="BY166" s="4" t="s">
        <v>5</v>
      </c>
      <c r="BZ166" s="4" t="s">
        <v>5</v>
      </c>
    </row>
    <row r="167" spans="1:78" x14ac:dyDescent="0.25">
      <c r="A167" s="13" t="str">
        <f>IF(AND($E167="",MAX($A$8:$A166)=0),"",IF(AND($E167&lt;&gt;"",MAX($A$8:$A166)=0),1,IF(AND($E167&lt;&gt;"",MAX($A$8:$A166)&gt;0),MAX($A$8:$A166)+1,"")))</f>
        <v/>
      </c>
      <c r="B167" s="11">
        <v>160</v>
      </c>
      <c r="C167" s="19" t="str">
        <f t="shared" si="4"/>
        <v>EMPTY</v>
      </c>
      <c r="D167" s="3" t="str">
        <f>IF(C167="SHOW",CONCATENATE(Temp!T163,Temp!U163,",",Temp!V163,",",Temp!W163,Temp!X163),"")</f>
        <v/>
      </c>
      <c r="E167" s="7"/>
      <c r="F167" s="8" t="str">
        <f t="shared" si="5"/>
        <v/>
      </c>
      <c r="BY167" s="4" t="s">
        <v>5</v>
      </c>
      <c r="BZ167" s="4" t="s">
        <v>5</v>
      </c>
    </row>
    <row r="168" spans="1:78" x14ac:dyDescent="0.25">
      <c r="A168" s="13" t="str">
        <f>IF(AND($E168="",MAX($A$8:$A167)=0),"",IF(AND($E168&lt;&gt;"",MAX($A$8:$A167)=0),1,IF(AND($E168&lt;&gt;"",MAX($A$8:$A167)&gt;0),MAX($A$8:$A167)+1,"")))</f>
        <v/>
      </c>
      <c r="B168" s="11">
        <v>161</v>
      </c>
      <c r="C168" s="19" t="str">
        <f t="shared" si="4"/>
        <v>EMPTY</v>
      </c>
      <c r="D168" s="3" t="str">
        <f>IF(C168="SHOW",CONCATENATE(Temp!T164,Temp!U164,",",Temp!V164,",",Temp!W164,Temp!X164),"")</f>
        <v/>
      </c>
      <c r="E168" s="7"/>
      <c r="F168" s="8" t="str">
        <f t="shared" si="5"/>
        <v/>
      </c>
      <c r="BY168" s="4" t="s">
        <v>5</v>
      </c>
      <c r="BZ168" s="4" t="s">
        <v>5</v>
      </c>
    </row>
    <row r="169" spans="1:78" x14ac:dyDescent="0.25">
      <c r="A169" s="13" t="str">
        <f>IF(AND($E169="",MAX($A$8:$A168)=0),"",IF(AND($E169&lt;&gt;"",MAX($A$8:$A168)=0),1,IF(AND($E169&lt;&gt;"",MAX($A$8:$A168)&gt;0),MAX($A$8:$A168)+1,"")))</f>
        <v/>
      </c>
      <c r="B169" s="11">
        <v>162</v>
      </c>
      <c r="C169" s="19" t="str">
        <f t="shared" si="4"/>
        <v>EMPTY</v>
      </c>
      <c r="D169" s="3" t="str">
        <f>IF(C169="SHOW",CONCATENATE(Temp!T165,Temp!U165,",",Temp!V165,",",Temp!W165,Temp!X165),"")</f>
        <v/>
      </c>
      <c r="E169" s="7"/>
      <c r="F169" s="8" t="str">
        <f t="shared" si="5"/>
        <v/>
      </c>
      <c r="BY169" s="4" t="s">
        <v>5</v>
      </c>
      <c r="BZ169" s="4" t="s">
        <v>5</v>
      </c>
    </row>
    <row r="170" spans="1:78" x14ac:dyDescent="0.25">
      <c r="A170" s="13" t="str">
        <f>IF(AND($E170="",MAX($A$8:$A169)=0),"",IF(AND($E170&lt;&gt;"",MAX($A$8:$A169)=0),1,IF(AND($E170&lt;&gt;"",MAX($A$8:$A169)&gt;0),MAX($A$8:$A169)+1,"")))</f>
        <v/>
      </c>
      <c r="B170" s="11">
        <v>163</v>
      </c>
      <c r="C170" s="19" t="str">
        <f t="shared" si="4"/>
        <v>EMPTY</v>
      </c>
      <c r="D170" s="3" t="str">
        <f>IF(C170="SHOW",CONCATENATE(Temp!T166,Temp!U166,",",Temp!V166,",",Temp!W166,Temp!X166),"")</f>
        <v/>
      </c>
      <c r="E170" s="7"/>
      <c r="F170" s="8" t="str">
        <f t="shared" si="5"/>
        <v/>
      </c>
      <c r="BY170" s="4" t="s">
        <v>5</v>
      </c>
      <c r="BZ170" s="4" t="s">
        <v>5</v>
      </c>
    </row>
    <row r="171" spans="1:78" x14ac:dyDescent="0.25">
      <c r="A171" s="13" t="str">
        <f>IF(AND($E171="",MAX($A$8:$A170)=0),"",IF(AND($E171&lt;&gt;"",MAX($A$8:$A170)=0),1,IF(AND($E171&lt;&gt;"",MAX($A$8:$A170)&gt;0),MAX($A$8:$A170)+1,"")))</f>
        <v/>
      </c>
      <c r="B171" s="11">
        <v>164</v>
      </c>
      <c r="C171" s="19" t="str">
        <f t="shared" si="4"/>
        <v>EMPTY</v>
      </c>
      <c r="D171" s="3" t="str">
        <f>IF(C171="SHOW",CONCATENATE(Temp!T167,Temp!U167,",",Temp!V167,",",Temp!W167,Temp!X167),"")</f>
        <v/>
      </c>
      <c r="E171" s="7"/>
      <c r="F171" s="8" t="str">
        <f t="shared" si="5"/>
        <v/>
      </c>
      <c r="BY171" s="4" t="s">
        <v>5</v>
      </c>
      <c r="BZ171" s="4" t="s">
        <v>5</v>
      </c>
    </row>
    <row r="172" spans="1:78" x14ac:dyDescent="0.25">
      <c r="A172" s="13" t="str">
        <f>IF(AND($E172="",MAX($A$8:$A171)=0),"",IF(AND($E172&lt;&gt;"",MAX($A$8:$A171)=0),1,IF(AND($E172&lt;&gt;"",MAX($A$8:$A171)&gt;0),MAX($A$8:$A171)+1,"")))</f>
        <v/>
      </c>
      <c r="B172" s="11">
        <v>165</v>
      </c>
      <c r="C172" s="19" t="str">
        <f t="shared" si="4"/>
        <v>EMPTY</v>
      </c>
      <c r="D172" s="3" t="str">
        <f>IF(C172="SHOW",CONCATENATE(Temp!T168,Temp!U168,",",Temp!V168,",",Temp!W168,Temp!X168),"")</f>
        <v/>
      </c>
      <c r="E172" s="7"/>
      <c r="F172" s="8" t="str">
        <f t="shared" si="5"/>
        <v/>
      </c>
      <c r="BY172" s="4" t="s">
        <v>5</v>
      </c>
      <c r="BZ172" s="4" t="s">
        <v>5</v>
      </c>
    </row>
    <row r="173" spans="1:78" x14ac:dyDescent="0.25">
      <c r="A173" s="13" t="str">
        <f>IF(AND($E173="",MAX($A$8:$A172)=0),"",IF(AND($E173&lt;&gt;"",MAX($A$8:$A172)=0),1,IF(AND($E173&lt;&gt;"",MAX($A$8:$A172)&gt;0),MAX($A$8:$A172)+1,"")))</f>
        <v/>
      </c>
      <c r="B173" s="11">
        <v>166</v>
      </c>
      <c r="C173" s="19" t="str">
        <f t="shared" si="4"/>
        <v>EMPTY</v>
      </c>
      <c r="D173" s="3" t="str">
        <f>IF(C173="SHOW",CONCATENATE(Temp!T169,Temp!U169,",",Temp!V169,",",Temp!W169,Temp!X169),"")</f>
        <v/>
      </c>
      <c r="E173" s="7"/>
      <c r="F173" s="8" t="str">
        <f t="shared" si="5"/>
        <v/>
      </c>
      <c r="BY173" s="4" t="s">
        <v>5</v>
      </c>
      <c r="BZ173" s="4" t="s">
        <v>5</v>
      </c>
    </row>
    <row r="174" spans="1:78" x14ac:dyDescent="0.25">
      <c r="A174" s="13" t="str">
        <f>IF(AND($E174="",MAX($A$8:$A173)=0),"",IF(AND($E174&lt;&gt;"",MAX($A$8:$A173)=0),1,IF(AND($E174&lt;&gt;"",MAX($A$8:$A173)&gt;0),MAX($A$8:$A173)+1,"")))</f>
        <v/>
      </c>
      <c r="B174" s="11">
        <v>167</v>
      </c>
      <c r="C174" s="19" t="str">
        <f t="shared" si="4"/>
        <v>EMPTY</v>
      </c>
      <c r="D174" s="3" t="str">
        <f>IF(C174="SHOW",CONCATENATE(Temp!T170,Temp!U170,",",Temp!V170,",",Temp!W170,Temp!X170),"")</f>
        <v/>
      </c>
      <c r="E174" s="7"/>
      <c r="F174" s="8" t="str">
        <f t="shared" si="5"/>
        <v/>
      </c>
      <c r="BY174" s="4" t="s">
        <v>5</v>
      </c>
      <c r="BZ174" s="4" t="s">
        <v>5</v>
      </c>
    </row>
    <row r="175" spans="1:78" x14ac:dyDescent="0.25">
      <c r="A175" s="13" t="str">
        <f>IF(AND($E175="",MAX($A$8:$A174)=0),"",IF(AND($E175&lt;&gt;"",MAX($A$8:$A174)=0),1,IF(AND($E175&lt;&gt;"",MAX($A$8:$A174)&gt;0),MAX($A$8:$A174)+1,"")))</f>
        <v/>
      </c>
      <c r="B175" s="11">
        <v>168</v>
      </c>
      <c r="C175" s="19" t="str">
        <f t="shared" si="4"/>
        <v>EMPTY</v>
      </c>
      <c r="D175" s="3" t="str">
        <f>IF(C175="SHOW",CONCATENATE(Temp!T171,Temp!U171,",",Temp!V171,",",Temp!W171,Temp!X171),"")</f>
        <v/>
      </c>
      <c r="E175" s="7"/>
      <c r="F175" s="8" t="str">
        <f t="shared" si="5"/>
        <v/>
      </c>
      <c r="BY175" s="4" t="s">
        <v>5</v>
      </c>
      <c r="BZ175" s="4" t="s">
        <v>5</v>
      </c>
    </row>
    <row r="176" spans="1:78" x14ac:dyDescent="0.25">
      <c r="A176" s="13" t="str">
        <f>IF(AND($E176="",MAX($A$8:$A175)=0),"",IF(AND($E176&lt;&gt;"",MAX($A$8:$A175)=0),1,IF(AND($E176&lt;&gt;"",MAX($A$8:$A175)&gt;0),MAX($A$8:$A175)+1,"")))</f>
        <v/>
      </c>
      <c r="B176" s="11">
        <v>169</v>
      </c>
      <c r="C176" s="19" t="str">
        <f t="shared" si="4"/>
        <v>EMPTY</v>
      </c>
      <c r="D176" s="3" t="str">
        <f>IF(C176="SHOW",CONCATENATE(Temp!T172,Temp!U172,",",Temp!V172,",",Temp!W172,Temp!X172),"")</f>
        <v/>
      </c>
      <c r="E176" s="7"/>
      <c r="F176" s="8" t="str">
        <f t="shared" si="5"/>
        <v/>
      </c>
      <c r="BY176" s="4" t="s">
        <v>5</v>
      </c>
      <c r="BZ176" s="4" t="s">
        <v>5</v>
      </c>
    </row>
    <row r="177" spans="1:78" x14ac:dyDescent="0.25">
      <c r="A177" s="13" t="str">
        <f>IF(AND($E177="",MAX($A$8:$A176)=0),"",IF(AND($E177&lt;&gt;"",MAX($A$8:$A176)=0),1,IF(AND($E177&lt;&gt;"",MAX($A$8:$A176)&gt;0),MAX($A$8:$A176)+1,"")))</f>
        <v/>
      </c>
      <c r="B177" s="11">
        <v>170</v>
      </c>
      <c r="C177" s="19" t="str">
        <f t="shared" si="4"/>
        <v>EMPTY</v>
      </c>
      <c r="D177" s="3" t="str">
        <f>IF(C177="SHOW",CONCATENATE(Temp!T173,Temp!U173,",",Temp!V173,",",Temp!W173,Temp!X173),"")</f>
        <v/>
      </c>
      <c r="E177" s="7"/>
      <c r="F177" s="8" t="str">
        <f t="shared" si="5"/>
        <v/>
      </c>
      <c r="BY177" s="4" t="s">
        <v>5</v>
      </c>
      <c r="BZ177" s="4" t="s">
        <v>5</v>
      </c>
    </row>
    <row r="178" spans="1:78" x14ac:dyDescent="0.25">
      <c r="A178" s="13" t="str">
        <f>IF(AND($E178="",MAX($A$8:$A177)=0),"",IF(AND($E178&lt;&gt;"",MAX($A$8:$A177)=0),1,IF(AND($E178&lt;&gt;"",MAX($A$8:$A177)&gt;0),MAX($A$8:$A177)+1,"")))</f>
        <v/>
      </c>
      <c r="B178" s="11">
        <v>171</v>
      </c>
      <c r="C178" s="19" t="str">
        <f t="shared" si="4"/>
        <v>EMPTY</v>
      </c>
      <c r="D178" s="3" t="str">
        <f>IF(C178="SHOW",CONCATENATE(Temp!T174,Temp!U174,",",Temp!V174,",",Temp!W174,Temp!X174),"")</f>
        <v/>
      </c>
      <c r="E178" s="7"/>
      <c r="F178" s="8" t="str">
        <f t="shared" si="5"/>
        <v/>
      </c>
      <c r="BY178" s="4" t="s">
        <v>5</v>
      </c>
      <c r="BZ178" s="4" t="s">
        <v>5</v>
      </c>
    </row>
    <row r="179" spans="1:78" x14ac:dyDescent="0.25">
      <c r="A179" s="13" t="str">
        <f>IF(AND($E179="",MAX($A$8:$A178)=0),"",IF(AND($E179&lt;&gt;"",MAX($A$8:$A178)=0),1,IF(AND($E179&lt;&gt;"",MAX($A$8:$A178)&gt;0),MAX($A$8:$A178)+1,"")))</f>
        <v/>
      </c>
      <c r="B179" s="11">
        <v>172</v>
      </c>
      <c r="C179" s="19" t="str">
        <f t="shared" si="4"/>
        <v>EMPTY</v>
      </c>
      <c r="D179" s="3" t="str">
        <f>IF(C179="SHOW",CONCATENATE(Temp!T175,Temp!U175,",",Temp!V175,",",Temp!W175,Temp!X175),"")</f>
        <v/>
      </c>
      <c r="E179" s="7"/>
      <c r="F179" s="8" t="str">
        <f t="shared" si="5"/>
        <v/>
      </c>
      <c r="BY179" s="4" t="s">
        <v>5</v>
      </c>
      <c r="BZ179" s="4" t="s">
        <v>5</v>
      </c>
    </row>
    <row r="180" spans="1:78" x14ac:dyDescent="0.25">
      <c r="A180" s="13" t="str">
        <f>IF(AND($E180="",MAX($A$8:$A179)=0),"",IF(AND($E180&lt;&gt;"",MAX($A$8:$A179)=0),1,IF(AND($E180&lt;&gt;"",MAX($A$8:$A179)&gt;0),MAX($A$8:$A179)+1,"")))</f>
        <v/>
      </c>
      <c r="B180" s="11">
        <v>173</v>
      </c>
      <c r="C180" s="19" t="str">
        <f t="shared" si="4"/>
        <v>EMPTY</v>
      </c>
      <c r="D180" s="3" t="str">
        <f>IF(C180="SHOW",CONCATENATE(Temp!T176,Temp!U176,",",Temp!V176,",",Temp!W176,Temp!X176),"")</f>
        <v/>
      </c>
      <c r="E180" s="7"/>
      <c r="F180" s="8" t="str">
        <f t="shared" si="5"/>
        <v/>
      </c>
      <c r="BY180" s="4" t="s">
        <v>5</v>
      </c>
      <c r="BZ180" s="4" t="s">
        <v>5</v>
      </c>
    </row>
    <row r="181" spans="1:78" x14ac:dyDescent="0.25">
      <c r="A181" s="13" t="str">
        <f>IF(AND($E181="",MAX($A$8:$A180)=0),"",IF(AND($E181&lt;&gt;"",MAX($A$8:$A180)=0),1,IF(AND($E181&lt;&gt;"",MAX($A$8:$A180)&gt;0),MAX($A$8:$A180)+1,"")))</f>
        <v/>
      </c>
      <c r="B181" s="11">
        <v>174</v>
      </c>
      <c r="C181" s="19" t="str">
        <f t="shared" si="4"/>
        <v>EMPTY</v>
      </c>
      <c r="D181" s="3" t="str">
        <f>IF(C181="SHOW",CONCATENATE(Temp!T177,Temp!U177,",",Temp!V177,",",Temp!W177,Temp!X177),"")</f>
        <v/>
      </c>
      <c r="E181" s="7"/>
      <c r="F181" s="8" t="str">
        <f t="shared" si="5"/>
        <v/>
      </c>
      <c r="BY181" s="4" t="s">
        <v>5</v>
      </c>
      <c r="BZ181" s="4" t="s">
        <v>5</v>
      </c>
    </row>
    <row r="182" spans="1:78" x14ac:dyDescent="0.25">
      <c r="A182" s="13" t="str">
        <f>IF(AND($E182="",MAX($A$8:$A181)=0),"",IF(AND($E182&lt;&gt;"",MAX($A$8:$A181)=0),1,IF(AND($E182&lt;&gt;"",MAX($A$8:$A181)&gt;0),MAX($A$8:$A181)+1,"")))</f>
        <v/>
      </c>
      <c r="B182" s="11">
        <v>175</v>
      </c>
      <c r="C182" s="19" t="str">
        <f t="shared" si="4"/>
        <v>EMPTY</v>
      </c>
      <c r="D182" s="3" t="str">
        <f>IF(C182="SHOW",CONCATENATE(Temp!T178,Temp!U178,",",Temp!V178,",",Temp!W178,Temp!X178),"")</f>
        <v/>
      </c>
      <c r="E182" s="7"/>
      <c r="F182" s="8" t="str">
        <f t="shared" si="5"/>
        <v/>
      </c>
      <c r="BY182" s="4" t="s">
        <v>5</v>
      </c>
      <c r="BZ182" s="4" t="s">
        <v>5</v>
      </c>
    </row>
    <row r="183" spans="1:78" x14ac:dyDescent="0.25">
      <c r="A183" s="13" t="str">
        <f>IF(AND($E183="",MAX($A$8:$A182)=0),"",IF(AND($E183&lt;&gt;"",MAX($A$8:$A182)=0),1,IF(AND($E183&lt;&gt;"",MAX($A$8:$A182)&gt;0),MAX($A$8:$A182)+1,"")))</f>
        <v/>
      </c>
      <c r="B183" s="11">
        <v>176</v>
      </c>
      <c r="C183" s="19" t="str">
        <f t="shared" si="4"/>
        <v>EMPTY</v>
      </c>
      <c r="D183" s="3" t="str">
        <f>IF(C183="SHOW",CONCATENATE(Temp!T179,Temp!U179,",",Temp!V179,",",Temp!W179,Temp!X179),"")</f>
        <v/>
      </c>
      <c r="E183" s="7"/>
      <c r="F183" s="8" t="str">
        <f t="shared" si="5"/>
        <v/>
      </c>
      <c r="BY183" s="4" t="s">
        <v>5</v>
      </c>
      <c r="BZ183" s="4" t="s">
        <v>5</v>
      </c>
    </row>
    <row r="184" spans="1:78" x14ac:dyDescent="0.25">
      <c r="A184" s="13" t="str">
        <f>IF(AND($E184="",MAX($A$8:$A183)=0),"",IF(AND($E184&lt;&gt;"",MAX($A$8:$A183)=0),1,IF(AND($E184&lt;&gt;"",MAX($A$8:$A183)&gt;0),MAX($A$8:$A183)+1,"")))</f>
        <v/>
      </c>
      <c r="B184" s="11">
        <v>177</v>
      </c>
      <c r="C184" s="19" t="str">
        <f t="shared" si="4"/>
        <v>EMPTY</v>
      </c>
      <c r="D184" s="3" t="str">
        <f>IF(C184="SHOW",CONCATENATE(Temp!T180,Temp!U180,",",Temp!V180,",",Temp!W180,Temp!X180),"")</f>
        <v/>
      </c>
      <c r="E184" s="7"/>
      <c r="F184" s="8" t="str">
        <f t="shared" si="5"/>
        <v/>
      </c>
      <c r="BY184" s="4" t="s">
        <v>5</v>
      </c>
      <c r="BZ184" s="4" t="s">
        <v>5</v>
      </c>
    </row>
    <row r="185" spans="1:78" x14ac:dyDescent="0.25">
      <c r="A185" s="13" t="str">
        <f>IF(AND($E185="",MAX($A$8:$A184)=0),"",IF(AND($E185&lt;&gt;"",MAX($A$8:$A184)=0),1,IF(AND($E185&lt;&gt;"",MAX($A$8:$A184)&gt;0),MAX($A$8:$A184)+1,"")))</f>
        <v/>
      </c>
      <c r="B185" s="11">
        <v>178</v>
      </c>
      <c r="C185" s="19" t="str">
        <f t="shared" si="4"/>
        <v>EMPTY</v>
      </c>
      <c r="D185" s="3" t="str">
        <f>IF(C185="SHOW",CONCATENATE(Temp!T181,Temp!U181,",",Temp!V181,",",Temp!W181,Temp!X181),"")</f>
        <v/>
      </c>
      <c r="E185" s="7"/>
      <c r="F185" s="8" t="str">
        <f t="shared" si="5"/>
        <v/>
      </c>
      <c r="BY185" s="4" t="s">
        <v>5</v>
      </c>
      <c r="BZ185" s="4" t="s">
        <v>5</v>
      </c>
    </row>
    <row r="186" spans="1:78" x14ac:dyDescent="0.25">
      <c r="A186" s="13" t="str">
        <f>IF(AND($E186="",MAX($A$8:$A185)=0),"",IF(AND($E186&lt;&gt;"",MAX($A$8:$A185)=0),1,IF(AND($E186&lt;&gt;"",MAX($A$8:$A185)&gt;0),MAX($A$8:$A185)+1,"")))</f>
        <v/>
      </c>
      <c r="B186" s="11">
        <v>179</v>
      </c>
      <c r="C186" s="19" t="str">
        <f t="shared" si="4"/>
        <v>EMPTY</v>
      </c>
      <c r="D186" s="3" t="str">
        <f>IF(C186="SHOW",CONCATENATE(Temp!T182,Temp!U182,",",Temp!V182,",",Temp!W182,Temp!X182),"")</f>
        <v/>
      </c>
      <c r="E186" s="7"/>
      <c r="F186" s="8" t="str">
        <f t="shared" si="5"/>
        <v/>
      </c>
      <c r="BY186" s="4" t="s">
        <v>5</v>
      </c>
      <c r="BZ186" s="4" t="s">
        <v>5</v>
      </c>
    </row>
    <row r="187" spans="1:78" x14ac:dyDescent="0.25">
      <c r="A187" s="13" t="str">
        <f>IF(AND($E187="",MAX($A$8:$A186)=0),"",IF(AND($E187&lt;&gt;"",MAX($A$8:$A186)=0),1,IF(AND($E187&lt;&gt;"",MAX($A$8:$A186)&gt;0),MAX($A$8:$A186)+1,"")))</f>
        <v/>
      </c>
      <c r="B187" s="11">
        <v>180</v>
      </c>
      <c r="C187" s="19" t="str">
        <f t="shared" si="4"/>
        <v>EMPTY</v>
      </c>
      <c r="D187" s="3" t="str">
        <f>IF(C187="SHOW",CONCATENATE(Temp!T183,Temp!U183,",",Temp!V183,",",Temp!W183,Temp!X183),"")</f>
        <v/>
      </c>
      <c r="E187" s="7"/>
      <c r="F187" s="8" t="str">
        <f t="shared" si="5"/>
        <v/>
      </c>
      <c r="BY187" s="4" t="s">
        <v>5</v>
      </c>
      <c r="BZ187" s="4" t="s">
        <v>5</v>
      </c>
    </row>
    <row r="188" spans="1:78" x14ac:dyDescent="0.25">
      <c r="A188" s="13" t="str">
        <f>IF(AND($E188="",MAX($A$8:$A187)=0),"",IF(AND($E188&lt;&gt;"",MAX($A$8:$A187)=0),1,IF(AND($E188&lt;&gt;"",MAX($A$8:$A187)&gt;0),MAX($A$8:$A187)+1,"")))</f>
        <v/>
      </c>
      <c r="B188" s="11">
        <v>181</v>
      </c>
      <c r="C188" s="19" t="str">
        <f t="shared" si="4"/>
        <v>EMPTY</v>
      </c>
      <c r="D188" s="3" t="str">
        <f>IF(C188="SHOW",CONCATENATE(Temp!T184,Temp!U184,",",Temp!V184,",",Temp!W184,Temp!X184),"")</f>
        <v/>
      </c>
      <c r="E188" s="7"/>
      <c r="F188" s="8" t="str">
        <f t="shared" si="5"/>
        <v/>
      </c>
      <c r="BZ188" s="4" t="s">
        <v>5</v>
      </c>
    </row>
    <row r="189" spans="1:78" x14ac:dyDescent="0.25">
      <c r="A189" s="13" t="str">
        <f>IF(AND($E189="",MAX($A$8:$A188)=0),"",IF(AND($E189&lt;&gt;"",MAX($A$8:$A188)=0),1,IF(AND($E189&lt;&gt;"",MAX($A$8:$A188)&gt;0),MAX($A$8:$A188)+1,"")))</f>
        <v/>
      </c>
      <c r="B189" s="11">
        <v>182</v>
      </c>
      <c r="C189" s="19" t="str">
        <f t="shared" si="4"/>
        <v>EMPTY</v>
      </c>
      <c r="D189" s="3" t="str">
        <f>IF(C189="SHOW",CONCATENATE(Temp!T185,Temp!U185,",",Temp!V185,",",Temp!W185,Temp!X185),"")</f>
        <v/>
      </c>
      <c r="E189" s="7"/>
      <c r="F189" s="8" t="str">
        <f t="shared" si="5"/>
        <v/>
      </c>
      <c r="BY189" s="4" t="s">
        <v>5</v>
      </c>
      <c r="BZ189" s="4" t="s">
        <v>5</v>
      </c>
    </row>
    <row r="190" spans="1:78" x14ac:dyDescent="0.25">
      <c r="A190" s="13" t="str">
        <f>IF(AND($E190="",MAX($A$8:$A189)=0),"",IF(AND($E190&lt;&gt;"",MAX($A$8:$A189)=0),1,IF(AND($E190&lt;&gt;"",MAX($A$8:$A189)&gt;0),MAX($A$8:$A189)+1,"")))</f>
        <v/>
      </c>
      <c r="B190" s="11">
        <v>183</v>
      </c>
      <c r="C190" s="19" t="str">
        <f t="shared" si="4"/>
        <v>EMPTY</v>
      </c>
      <c r="D190" s="3" t="str">
        <f>IF(C190="SHOW",CONCATENATE(Temp!T186,Temp!U186,",",Temp!V186,",",Temp!W186,Temp!X186),"")</f>
        <v/>
      </c>
      <c r="E190" s="7"/>
      <c r="F190" s="8" t="str">
        <f t="shared" si="5"/>
        <v/>
      </c>
      <c r="BY190" s="4" t="s">
        <v>5</v>
      </c>
      <c r="BZ190" s="4" t="s">
        <v>5</v>
      </c>
    </row>
    <row r="191" spans="1:78" x14ac:dyDescent="0.25">
      <c r="A191" s="13" t="str">
        <f>IF(AND($E191="",MAX($A$8:$A190)=0),"",IF(AND($E191&lt;&gt;"",MAX($A$8:$A190)=0),1,IF(AND($E191&lt;&gt;"",MAX($A$8:$A190)&gt;0),MAX($A$8:$A190)+1,"")))</f>
        <v/>
      </c>
      <c r="B191" s="11">
        <v>184</v>
      </c>
      <c r="C191" s="19" t="str">
        <f t="shared" si="4"/>
        <v>EMPTY</v>
      </c>
      <c r="D191" s="3" t="str">
        <f>IF(C191="SHOW",CONCATENATE(Temp!T187,Temp!U187,",",Temp!V187,",",Temp!W187,Temp!X187),"")</f>
        <v/>
      </c>
      <c r="E191" s="7"/>
      <c r="F191" s="8" t="str">
        <f t="shared" si="5"/>
        <v/>
      </c>
      <c r="BY191" s="4" t="s">
        <v>5</v>
      </c>
      <c r="BZ191" s="4" t="s">
        <v>5</v>
      </c>
    </row>
    <row r="192" spans="1:78" x14ac:dyDescent="0.25">
      <c r="A192" s="13" t="str">
        <f>IF(AND($E192="",MAX($A$8:$A191)=0),"",IF(AND($E192&lt;&gt;"",MAX($A$8:$A191)=0),1,IF(AND($E192&lt;&gt;"",MAX($A$8:$A191)&gt;0),MAX($A$8:$A191)+1,"")))</f>
        <v/>
      </c>
      <c r="B192" s="11">
        <v>185</v>
      </c>
      <c r="C192" s="19" t="str">
        <f t="shared" si="4"/>
        <v>EMPTY</v>
      </c>
      <c r="D192" s="3" t="str">
        <f>IF(C192="SHOW",CONCATENATE(Temp!T188,Temp!U188,",",Temp!V188,",",Temp!W188,Temp!X188),"")</f>
        <v/>
      </c>
      <c r="E192" s="7"/>
      <c r="F192" s="8" t="str">
        <f t="shared" si="5"/>
        <v/>
      </c>
      <c r="BY192" s="4" t="s">
        <v>5</v>
      </c>
      <c r="BZ192" s="4" t="s">
        <v>5</v>
      </c>
    </row>
    <row r="193" spans="1:78" x14ac:dyDescent="0.25">
      <c r="A193" s="13" t="str">
        <f>IF(AND($E193="",MAX($A$8:$A192)=0),"",IF(AND($E193&lt;&gt;"",MAX($A$8:$A192)=0),1,IF(AND($E193&lt;&gt;"",MAX($A$8:$A192)&gt;0),MAX($A$8:$A192)+1,"")))</f>
        <v/>
      </c>
      <c r="B193" s="11">
        <v>186</v>
      </c>
      <c r="C193" s="19" t="str">
        <f t="shared" si="4"/>
        <v>EMPTY</v>
      </c>
      <c r="D193" s="3" t="str">
        <f>IF(C193="SHOW",CONCATENATE(Temp!T189,Temp!U189,",",Temp!V189,",",Temp!W189,Temp!X189),"")</f>
        <v/>
      </c>
      <c r="E193" s="7"/>
      <c r="F193" s="8" t="str">
        <f t="shared" si="5"/>
        <v/>
      </c>
      <c r="BY193" s="4" t="s">
        <v>5</v>
      </c>
      <c r="BZ193" s="4" t="s">
        <v>5</v>
      </c>
    </row>
    <row r="194" spans="1:78" x14ac:dyDescent="0.25">
      <c r="A194" s="13" t="str">
        <f>IF(AND($E194="",MAX($A$8:$A193)=0),"",IF(AND($E194&lt;&gt;"",MAX($A$8:$A193)=0),1,IF(AND($E194&lt;&gt;"",MAX($A$8:$A193)&gt;0),MAX($A$8:$A193)+1,"")))</f>
        <v/>
      </c>
      <c r="B194" s="11">
        <v>187</v>
      </c>
      <c r="C194" s="19" t="str">
        <f t="shared" si="4"/>
        <v>EMPTY</v>
      </c>
      <c r="D194" s="3" t="str">
        <f>IF(C194="SHOW",CONCATENATE(Temp!T190,Temp!U190,",",Temp!V190,",",Temp!W190,Temp!X190),"")</f>
        <v/>
      </c>
      <c r="E194" s="7"/>
      <c r="F194" s="8" t="str">
        <f t="shared" si="5"/>
        <v/>
      </c>
      <c r="BY194" s="4" t="s">
        <v>5</v>
      </c>
      <c r="BZ194" s="4" t="s">
        <v>5</v>
      </c>
    </row>
    <row r="195" spans="1:78" x14ac:dyDescent="0.25">
      <c r="A195" s="13" t="str">
        <f>IF(AND($E195="",MAX($A$8:$A194)=0),"",IF(AND($E195&lt;&gt;"",MAX($A$8:$A194)=0),1,IF(AND($E195&lt;&gt;"",MAX($A$8:$A194)&gt;0),MAX($A$8:$A194)+1,"")))</f>
        <v/>
      </c>
      <c r="B195" s="11">
        <v>188</v>
      </c>
      <c r="C195" s="19" t="str">
        <f t="shared" si="4"/>
        <v>EMPTY</v>
      </c>
      <c r="D195" s="3" t="str">
        <f>IF(C195="SHOW",CONCATENATE(Temp!T191,Temp!U191,",",Temp!V191,",",Temp!W191,Temp!X191),"")</f>
        <v/>
      </c>
      <c r="E195" s="7"/>
      <c r="F195" s="8" t="str">
        <f t="shared" si="5"/>
        <v/>
      </c>
      <c r="BY195" s="4" t="s">
        <v>5</v>
      </c>
      <c r="BZ195" s="4" t="s">
        <v>5</v>
      </c>
    </row>
    <row r="196" spans="1:78" x14ac:dyDescent="0.25">
      <c r="A196" s="13" t="str">
        <f>IF(AND($E196="",MAX($A$8:$A195)=0),"",IF(AND($E196&lt;&gt;"",MAX($A$8:$A195)=0),1,IF(AND($E196&lt;&gt;"",MAX($A$8:$A195)&gt;0),MAX($A$8:$A195)+1,"")))</f>
        <v/>
      </c>
      <c r="B196" s="11">
        <v>189</v>
      </c>
      <c r="C196" s="19" t="str">
        <f t="shared" si="4"/>
        <v>EMPTY</v>
      </c>
      <c r="D196" s="3" t="str">
        <f>IF(C196="SHOW",CONCATENATE(Temp!T192,Temp!U192,",",Temp!V192,",",Temp!W192,Temp!X192),"")</f>
        <v/>
      </c>
      <c r="E196" s="7"/>
      <c r="F196" s="8" t="str">
        <f t="shared" si="5"/>
        <v/>
      </c>
      <c r="BY196" s="4" t="s">
        <v>5</v>
      </c>
      <c r="BZ196" s="4" t="s">
        <v>5</v>
      </c>
    </row>
    <row r="197" spans="1:78" x14ac:dyDescent="0.25">
      <c r="A197" s="13" t="str">
        <f>IF(AND($E197="",MAX($A$8:$A196)=0),"",IF(AND($E197&lt;&gt;"",MAX($A$8:$A196)=0),1,IF(AND($E197&lt;&gt;"",MAX($A$8:$A196)&gt;0),MAX($A$8:$A196)+1,"")))</f>
        <v/>
      </c>
      <c r="B197" s="11">
        <v>190</v>
      </c>
      <c r="C197" s="19" t="str">
        <f t="shared" si="4"/>
        <v>EMPTY</v>
      </c>
      <c r="D197" s="3" t="str">
        <f>IF(C197="SHOW",CONCATENATE(Temp!T193,Temp!U193,",",Temp!V193,",",Temp!W193,Temp!X193),"")</f>
        <v/>
      </c>
      <c r="E197" s="7"/>
      <c r="F197" s="8" t="str">
        <f t="shared" si="5"/>
        <v/>
      </c>
      <c r="BY197" s="4" t="s">
        <v>5</v>
      </c>
      <c r="BZ197" s="4" t="s">
        <v>5</v>
      </c>
    </row>
    <row r="198" spans="1:78" x14ac:dyDescent="0.25">
      <c r="A198" s="13" t="str">
        <f>IF(AND($E198="",MAX($A$8:$A197)=0),"",IF(AND($E198&lt;&gt;"",MAX($A$8:$A197)=0),1,IF(AND($E198&lt;&gt;"",MAX($A$8:$A197)&gt;0),MAX($A$8:$A197)+1,"")))</f>
        <v/>
      </c>
      <c r="B198" s="11">
        <v>191</v>
      </c>
      <c r="C198" s="19" t="str">
        <f t="shared" si="4"/>
        <v>EMPTY</v>
      </c>
      <c r="D198" s="3" t="str">
        <f>IF(C198="SHOW",CONCATENATE(Temp!T194,Temp!U194,",",Temp!V194,",",Temp!W194,Temp!X194),"")</f>
        <v/>
      </c>
      <c r="E198" s="7"/>
      <c r="F198" s="8" t="str">
        <f t="shared" si="5"/>
        <v/>
      </c>
      <c r="BY198" s="4" t="s">
        <v>5</v>
      </c>
      <c r="BZ198" s="4" t="s">
        <v>5</v>
      </c>
    </row>
    <row r="199" spans="1:78" x14ac:dyDescent="0.25">
      <c r="A199" s="13" t="str">
        <f>IF(AND($E199="",MAX($A$8:$A198)=0),"",IF(AND($E199&lt;&gt;"",MAX($A$8:$A198)=0),1,IF(AND($E199&lt;&gt;"",MAX($A$8:$A198)&gt;0),MAX($A$8:$A198)+1,"")))</f>
        <v/>
      </c>
      <c r="B199" s="11">
        <v>192</v>
      </c>
      <c r="C199" s="19" t="str">
        <f t="shared" si="4"/>
        <v>EMPTY</v>
      </c>
      <c r="D199" s="3" t="str">
        <f>IF(C199="SHOW",CONCATENATE(Temp!T195,Temp!U195,",",Temp!V195,",",Temp!W195,Temp!X195),"")</f>
        <v/>
      </c>
      <c r="E199" s="7"/>
      <c r="F199" s="8" t="str">
        <f t="shared" si="5"/>
        <v/>
      </c>
      <c r="BY199" s="4" t="s">
        <v>5</v>
      </c>
      <c r="BZ199" s="4" t="s">
        <v>5</v>
      </c>
    </row>
    <row r="200" spans="1:78" x14ac:dyDescent="0.25">
      <c r="A200" s="13" t="str">
        <f>IF(AND($E200="",MAX($A$8:$A199)=0),"",IF(AND($E200&lt;&gt;"",MAX($A$8:$A199)=0),1,IF(AND($E200&lt;&gt;"",MAX($A$8:$A199)&gt;0),MAX($A$8:$A199)+1,"")))</f>
        <v/>
      </c>
      <c r="B200" s="11">
        <v>193</v>
      </c>
      <c r="C200" s="19" t="str">
        <f t="shared" si="4"/>
        <v>EMPTY</v>
      </c>
      <c r="D200" s="3" t="str">
        <f>IF(C200="SHOW",CONCATENATE(Temp!T196,Temp!U196,",",Temp!V196,",",Temp!W196,Temp!X196),"")</f>
        <v/>
      </c>
      <c r="E200" s="7"/>
      <c r="F200" s="8" t="str">
        <f t="shared" si="5"/>
        <v/>
      </c>
      <c r="BY200" s="4" t="s">
        <v>5</v>
      </c>
      <c r="BZ200" s="4" t="s">
        <v>5</v>
      </c>
    </row>
    <row r="201" spans="1:78" x14ac:dyDescent="0.25">
      <c r="A201" s="13" t="str">
        <f>IF(AND($E201="",MAX($A$8:$A200)=0),"",IF(AND($E201&lt;&gt;"",MAX($A$8:$A200)=0),1,IF(AND($E201&lt;&gt;"",MAX($A$8:$A200)&gt;0),MAX($A$8:$A200)+1,"")))</f>
        <v/>
      </c>
      <c r="B201" s="11">
        <v>194</v>
      </c>
      <c r="C201" s="19" t="str">
        <f t="shared" ref="C201:C264" si="6">IF(E201="","EMPTY",IF(MID(E201,1,9)&lt;&gt;"Dialogue:","HIDE",IF(MID(E201,1,9)="Dialogue:","SHOW","")))</f>
        <v>EMPTY</v>
      </c>
      <c r="D201" s="3" t="str">
        <f>IF(C201="SHOW",CONCATENATE(Temp!T197,Temp!U197,",",Temp!V197,",",Temp!W197,Temp!X197),"")</f>
        <v/>
      </c>
      <c r="E201" s="7"/>
      <c r="F201" s="8" t="str">
        <f t="shared" ref="F201:F264" si="7">$D201</f>
        <v/>
      </c>
      <c r="BY201" s="4" t="s">
        <v>5</v>
      </c>
      <c r="BZ201" s="4" t="s">
        <v>5</v>
      </c>
    </row>
    <row r="202" spans="1:78" x14ac:dyDescent="0.25">
      <c r="A202" s="13" t="str">
        <f>IF(AND($E202="",MAX($A$8:$A201)=0),"",IF(AND($E202&lt;&gt;"",MAX($A$8:$A201)=0),1,IF(AND($E202&lt;&gt;"",MAX($A$8:$A201)&gt;0),MAX($A$8:$A201)+1,"")))</f>
        <v/>
      </c>
      <c r="B202" s="11">
        <v>195</v>
      </c>
      <c r="C202" s="19" t="str">
        <f t="shared" si="6"/>
        <v>EMPTY</v>
      </c>
      <c r="D202" s="3" t="str">
        <f>IF(C202="SHOW",CONCATENATE(Temp!T198,Temp!U198,",",Temp!V198,",",Temp!W198,Temp!X198),"")</f>
        <v/>
      </c>
      <c r="E202" s="7"/>
      <c r="F202" s="8" t="str">
        <f t="shared" si="7"/>
        <v/>
      </c>
      <c r="BY202" s="4" t="s">
        <v>5</v>
      </c>
      <c r="BZ202" s="4" t="s">
        <v>5</v>
      </c>
    </row>
    <row r="203" spans="1:78" x14ac:dyDescent="0.25">
      <c r="A203" s="13" t="str">
        <f>IF(AND($E203="",MAX($A$8:$A202)=0),"",IF(AND($E203&lt;&gt;"",MAX($A$8:$A202)=0),1,IF(AND($E203&lt;&gt;"",MAX($A$8:$A202)&gt;0),MAX($A$8:$A202)+1,"")))</f>
        <v/>
      </c>
      <c r="B203" s="11">
        <v>196</v>
      </c>
      <c r="C203" s="19" t="str">
        <f t="shared" si="6"/>
        <v>EMPTY</v>
      </c>
      <c r="D203" s="3" t="str">
        <f>IF(C203="SHOW",CONCATENATE(Temp!T199,Temp!U199,",",Temp!V199,",",Temp!W199,Temp!X199),"")</f>
        <v/>
      </c>
      <c r="E203" s="7"/>
      <c r="F203" s="8" t="str">
        <f t="shared" si="7"/>
        <v/>
      </c>
      <c r="BY203" s="4" t="s">
        <v>5</v>
      </c>
      <c r="BZ203" s="4" t="s">
        <v>5</v>
      </c>
    </row>
    <row r="204" spans="1:78" x14ac:dyDescent="0.25">
      <c r="A204" s="13" t="str">
        <f>IF(AND($E204="",MAX($A$8:$A203)=0),"",IF(AND($E204&lt;&gt;"",MAX($A$8:$A203)=0),1,IF(AND($E204&lt;&gt;"",MAX($A$8:$A203)&gt;0),MAX($A$8:$A203)+1,"")))</f>
        <v/>
      </c>
      <c r="B204" s="11">
        <v>197</v>
      </c>
      <c r="C204" s="19" t="str">
        <f t="shared" si="6"/>
        <v>EMPTY</v>
      </c>
      <c r="D204" s="3" t="str">
        <f>IF(C204="SHOW",CONCATENATE(Temp!T200,Temp!U200,",",Temp!V200,",",Temp!W200,Temp!X200),"")</f>
        <v/>
      </c>
      <c r="E204" s="7"/>
      <c r="F204" s="8" t="str">
        <f t="shared" si="7"/>
        <v/>
      </c>
      <c r="BY204" s="4" t="s">
        <v>5</v>
      </c>
      <c r="BZ204" s="4" t="s">
        <v>5</v>
      </c>
    </row>
    <row r="205" spans="1:78" x14ac:dyDescent="0.25">
      <c r="A205" s="13" t="str">
        <f>IF(AND($E205="",MAX($A$8:$A204)=0),"",IF(AND($E205&lt;&gt;"",MAX($A$8:$A204)=0),1,IF(AND($E205&lt;&gt;"",MAX($A$8:$A204)&gt;0),MAX($A$8:$A204)+1,"")))</f>
        <v/>
      </c>
      <c r="B205" s="11">
        <v>198</v>
      </c>
      <c r="C205" s="19" t="str">
        <f t="shared" si="6"/>
        <v>EMPTY</v>
      </c>
      <c r="D205" s="3" t="str">
        <f>IF(C205="SHOW",CONCATENATE(Temp!T201,Temp!U201,",",Temp!V201,",",Temp!W201,Temp!X201),"")</f>
        <v/>
      </c>
      <c r="E205" s="7"/>
      <c r="F205" s="8" t="str">
        <f t="shared" si="7"/>
        <v/>
      </c>
      <c r="BY205" s="4" t="s">
        <v>5</v>
      </c>
      <c r="BZ205" s="4" t="s">
        <v>5</v>
      </c>
    </row>
    <row r="206" spans="1:78" x14ac:dyDescent="0.25">
      <c r="A206" s="13" t="str">
        <f>IF(AND($E206="",MAX($A$8:$A205)=0),"",IF(AND($E206&lt;&gt;"",MAX($A$8:$A205)=0),1,IF(AND($E206&lt;&gt;"",MAX($A$8:$A205)&gt;0),MAX($A$8:$A205)+1,"")))</f>
        <v/>
      </c>
      <c r="B206" s="11">
        <v>199</v>
      </c>
      <c r="C206" s="19" t="str">
        <f t="shared" si="6"/>
        <v>EMPTY</v>
      </c>
      <c r="D206" s="3" t="str">
        <f>IF(C206="SHOW",CONCATENATE(Temp!T202,Temp!U202,",",Temp!V202,",",Temp!W202,Temp!X202),"")</f>
        <v/>
      </c>
      <c r="E206" s="7"/>
      <c r="F206" s="8" t="str">
        <f t="shared" si="7"/>
        <v/>
      </c>
      <c r="BY206" s="4" t="s">
        <v>5</v>
      </c>
      <c r="BZ206" s="4" t="s">
        <v>5</v>
      </c>
    </row>
    <row r="207" spans="1:78" x14ac:dyDescent="0.25">
      <c r="A207" s="13" t="str">
        <f>IF(AND($E207="",MAX($A$8:$A206)=0),"",IF(AND($E207&lt;&gt;"",MAX($A$8:$A206)=0),1,IF(AND($E207&lt;&gt;"",MAX($A$8:$A206)&gt;0),MAX($A$8:$A206)+1,"")))</f>
        <v/>
      </c>
      <c r="B207" s="11">
        <v>200</v>
      </c>
      <c r="C207" s="19" t="str">
        <f t="shared" si="6"/>
        <v>EMPTY</v>
      </c>
      <c r="D207" s="3" t="str">
        <f>IF(C207="SHOW",CONCATENATE(Temp!T203,Temp!U203,",",Temp!V203,",",Temp!W203,Temp!X203),"")</f>
        <v/>
      </c>
      <c r="E207" s="7"/>
      <c r="F207" s="8" t="str">
        <f t="shared" si="7"/>
        <v/>
      </c>
      <c r="BY207" s="4" t="s">
        <v>5</v>
      </c>
      <c r="BZ207" s="4" t="s">
        <v>5</v>
      </c>
    </row>
    <row r="208" spans="1:78" x14ac:dyDescent="0.25">
      <c r="A208" s="13" t="str">
        <f>IF(AND($E208="",MAX($A$8:$A207)=0),"",IF(AND($E208&lt;&gt;"",MAX($A$8:$A207)=0),1,IF(AND($E208&lt;&gt;"",MAX($A$8:$A207)&gt;0),MAX($A$8:$A207)+1,"")))</f>
        <v/>
      </c>
      <c r="B208" s="11">
        <v>201</v>
      </c>
      <c r="C208" s="19" t="str">
        <f t="shared" si="6"/>
        <v>EMPTY</v>
      </c>
      <c r="D208" s="3" t="str">
        <f>IF(C208="SHOW",CONCATENATE(Temp!T204,Temp!U204,",",Temp!V204,",",Temp!W204,Temp!X204),"")</f>
        <v/>
      </c>
      <c r="E208" s="7"/>
      <c r="F208" s="8" t="str">
        <f t="shared" si="7"/>
        <v/>
      </c>
      <c r="BY208" s="4" t="s">
        <v>5</v>
      </c>
      <c r="BZ208" s="4" t="s">
        <v>5</v>
      </c>
    </row>
    <row r="209" spans="1:78" x14ac:dyDescent="0.25">
      <c r="A209" s="13" t="str">
        <f>IF(AND($E209="",MAX($A$8:$A208)=0),"",IF(AND($E209&lt;&gt;"",MAX($A$8:$A208)=0),1,IF(AND($E209&lt;&gt;"",MAX($A$8:$A208)&gt;0),MAX($A$8:$A208)+1,"")))</f>
        <v/>
      </c>
      <c r="B209" s="11">
        <v>202</v>
      </c>
      <c r="C209" s="19" t="str">
        <f t="shared" si="6"/>
        <v>EMPTY</v>
      </c>
      <c r="D209" s="3" t="str">
        <f>IF(C209="SHOW",CONCATENATE(Temp!T205,Temp!U205,",",Temp!V205,",",Temp!W205,Temp!X205),"")</f>
        <v/>
      </c>
      <c r="E209" s="7"/>
      <c r="F209" s="8" t="str">
        <f t="shared" si="7"/>
        <v/>
      </c>
      <c r="BY209" s="4" t="s">
        <v>5</v>
      </c>
      <c r="BZ209" s="4" t="s">
        <v>5</v>
      </c>
    </row>
    <row r="210" spans="1:78" x14ac:dyDescent="0.25">
      <c r="A210" s="13" t="str">
        <f>IF(AND($E210="",MAX($A$8:$A209)=0),"",IF(AND($E210&lt;&gt;"",MAX($A$8:$A209)=0),1,IF(AND($E210&lt;&gt;"",MAX($A$8:$A209)&gt;0),MAX($A$8:$A209)+1,"")))</f>
        <v/>
      </c>
      <c r="B210" s="11">
        <v>203</v>
      </c>
      <c r="C210" s="19" t="str">
        <f t="shared" si="6"/>
        <v>EMPTY</v>
      </c>
      <c r="D210" s="3" t="str">
        <f>IF(C210="SHOW",CONCATENATE(Temp!T206,Temp!U206,",",Temp!V206,",",Temp!W206,Temp!X206),"")</f>
        <v/>
      </c>
      <c r="E210" s="7"/>
      <c r="F210" s="8" t="str">
        <f t="shared" si="7"/>
        <v/>
      </c>
      <c r="BY210" s="4" t="s">
        <v>5</v>
      </c>
      <c r="BZ210" s="4" t="s">
        <v>5</v>
      </c>
    </row>
    <row r="211" spans="1:78" x14ac:dyDescent="0.25">
      <c r="A211" s="13" t="str">
        <f>IF(AND($E211="",MAX($A$8:$A210)=0),"",IF(AND($E211&lt;&gt;"",MAX($A$8:$A210)=0),1,IF(AND($E211&lt;&gt;"",MAX($A$8:$A210)&gt;0),MAX($A$8:$A210)+1,"")))</f>
        <v/>
      </c>
      <c r="B211" s="11">
        <v>204</v>
      </c>
      <c r="C211" s="19" t="str">
        <f t="shared" si="6"/>
        <v>EMPTY</v>
      </c>
      <c r="D211" s="3" t="str">
        <f>IF(C211="SHOW",CONCATENATE(Temp!T207,Temp!U207,",",Temp!V207,",",Temp!W207,Temp!X207),"")</f>
        <v/>
      </c>
      <c r="E211" s="7"/>
      <c r="F211" s="8" t="str">
        <f t="shared" si="7"/>
        <v/>
      </c>
      <c r="BY211" s="4" t="s">
        <v>5</v>
      </c>
      <c r="BZ211" s="4" t="s">
        <v>5</v>
      </c>
    </row>
    <row r="212" spans="1:78" x14ac:dyDescent="0.25">
      <c r="A212" s="13" t="str">
        <f>IF(AND($E212="",MAX($A$8:$A211)=0),"",IF(AND($E212&lt;&gt;"",MAX($A$8:$A211)=0),1,IF(AND($E212&lt;&gt;"",MAX($A$8:$A211)&gt;0),MAX($A$8:$A211)+1,"")))</f>
        <v/>
      </c>
      <c r="B212" s="11">
        <v>205</v>
      </c>
      <c r="C212" s="19" t="str">
        <f t="shared" si="6"/>
        <v>EMPTY</v>
      </c>
      <c r="D212" s="3" t="str">
        <f>IF(C212="SHOW",CONCATENATE(Temp!T208,Temp!U208,",",Temp!V208,",",Temp!W208,Temp!X208),"")</f>
        <v/>
      </c>
      <c r="E212" s="7"/>
      <c r="F212" s="8" t="str">
        <f t="shared" si="7"/>
        <v/>
      </c>
      <c r="BY212" s="4" t="s">
        <v>5</v>
      </c>
      <c r="BZ212" s="4" t="s">
        <v>5</v>
      </c>
    </row>
    <row r="213" spans="1:78" x14ac:dyDescent="0.25">
      <c r="A213" s="13" t="str">
        <f>IF(AND($E213="",MAX($A$8:$A212)=0),"",IF(AND($E213&lt;&gt;"",MAX($A$8:$A212)=0),1,IF(AND($E213&lt;&gt;"",MAX($A$8:$A212)&gt;0),MAX($A$8:$A212)+1,"")))</f>
        <v/>
      </c>
      <c r="B213" s="11">
        <v>206</v>
      </c>
      <c r="C213" s="19" t="str">
        <f t="shared" si="6"/>
        <v>EMPTY</v>
      </c>
      <c r="D213" s="3" t="str">
        <f>IF(C213="SHOW",CONCATENATE(Temp!T209,Temp!U209,",",Temp!V209,",",Temp!W209,Temp!X209),"")</f>
        <v/>
      </c>
      <c r="E213" s="7"/>
      <c r="F213" s="8" t="str">
        <f t="shared" si="7"/>
        <v/>
      </c>
      <c r="BY213" s="4" t="s">
        <v>5</v>
      </c>
      <c r="BZ213" s="4" t="s">
        <v>5</v>
      </c>
    </row>
    <row r="214" spans="1:78" x14ac:dyDescent="0.25">
      <c r="A214" s="13" t="str">
        <f>IF(AND($E214="",MAX($A$8:$A213)=0),"",IF(AND($E214&lt;&gt;"",MAX($A$8:$A213)=0),1,IF(AND($E214&lt;&gt;"",MAX($A$8:$A213)&gt;0),MAX($A$8:$A213)+1,"")))</f>
        <v/>
      </c>
      <c r="B214" s="11">
        <v>207</v>
      </c>
      <c r="C214" s="19" t="str">
        <f t="shared" si="6"/>
        <v>EMPTY</v>
      </c>
      <c r="D214" s="3" t="str">
        <f>IF(C214="SHOW",CONCATENATE(Temp!T210,Temp!U210,",",Temp!V210,",",Temp!W210,Temp!X210),"")</f>
        <v/>
      </c>
      <c r="E214" s="7"/>
      <c r="F214" s="8" t="str">
        <f t="shared" si="7"/>
        <v/>
      </c>
      <c r="BY214" s="4" t="s">
        <v>5</v>
      </c>
      <c r="BZ214" s="4" t="s">
        <v>5</v>
      </c>
    </row>
    <row r="215" spans="1:78" x14ac:dyDescent="0.25">
      <c r="A215" s="13" t="str">
        <f>IF(AND($E215="",MAX($A$8:$A214)=0),"",IF(AND($E215&lt;&gt;"",MAX($A$8:$A214)=0),1,IF(AND($E215&lt;&gt;"",MAX($A$8:$A214)&gt;0),MAX($A$8:$A214)+1,"")))</f>
        <v/>
      </c>
      <c r="B215" s="11">
        <v>208</v>
      </c>
      <c r="C215" s="19" t="str">
        <f t="shared" si="6"/>
        <v>EMPTY</v>
      </c>
      <c r="D215" s="3" t="str">
        <f>IF(C215="SHOW",CONCATENATE(Temp!T211,Temp!U211,",",Temp!V211,",",Temp!W211,Temp!X211),"")</f>
        <v/>
      </c>
      <c r="E215" s="7"/>
      <c r="F215" s="8" t="str">
        <f t="shared" si="7"/>
        <v/>
      </c>
      <c r="BY215" s="4" t="s">
        <v>5</v>
      </c>
      <c r="BZ215" s="4" t="s">
        <v>5</v>
      </c>
    </row>
    <row r="216" spans="1:78" x14ac:dyDescent="0.25">
      <c r="A216" s="13" t="str">
        <f>IF(AND($E216="",MAX($A$8:$A215)=0),"",IF(AND($E216&lt;&gt;"",MAX($A$8:$A215)=0),1,IF(AND($E216&lt;&gt;"",MAX($A$8:$A215)&gt;0),MAX($A$8:$A215)+1,"")))</f>
        <v/>
      </c>
      <c r="B216" s="11">
        <v>209</v>
      </c>
      <c r="C216" s="19" t="str">
        <f t="shared" si="6"/>
        <v>EMPTY</v>
      </c>
      <c r="D216" s="3" t="str">
        <f>IF(C216="SHOW",CONCATENATE(Temp!T212,Temp!U212,",",Temp!V212,",",Temp!W212,Temp!X212),"")</f>
        <v/>
      </c>
      <c r="E216" s="7"/>
      <c r="F216" s="8" t="str">
        <f t="shared" si="7"/>
        <v/>
      </c>
      <c r="BY216" s="4" t="s">
        <v>5</v>
      </c>
      <c r="BZ216" s="4" t="s">
        <v>5</v>
      </c>
    </row>
    <row r="217" spans="1:78" x14ac:dyDescent="0.25">
      <c r="A217" s="13" t="str">
        <f>IF(AND($E217="",MAX($A$8:$A216)=0),"",IF(AND($E217&lt;&gt;"",MAX($A$8:$A216)=0),1,IF(AND($E217&lt;&gt;"",MAX($A$8:$A216)&gt;0),MAX($A$8:$A216)+1,"")))</f>
        <v/>
      </c>
      <c r="B217" s="11">
        <v>210</v>
      </c>
      <c r="C217" s="19" t="str">
        <f t="shared" si="6"/>
        <v>EMPTY</v>
      </c>
      <c r="D217" s="3" t="str">
        <f>IF(C217="SHOW",CONCATENATE(Temp!T213,Temp!U213,",",Temp!V213,",",Temp!W213,Temp!X213),"")</f>
        <v/>
      </c>
      <c r="E217" s="7"/>
      <c r="F217" s="8" t="str">
        <f t="shared" si="7"/>
        <v/>
      </c>
      <c r="BY217" s="4" t="s">
        <v>5</v>
      </c>
      <c r="BZ217" s="4" t="s">
        <v>5</v>
      </c>
    </row>
    <row r="218" spans="1:78" x14ac:dyDescent="0.25">
      <c r="A218" s="13" t="str">
        <f>IF(AND($E218="",MAX($A$8:$A217)=0),"",IF(AND($E218&lt;&gt;"",MAX($A$8:$A217)=0),1,IF(AND($E218&lt;&gt;"",MAX($A$8:$A217)&gt;0),MAX($A$8:$A217)+1,"")))</f>
        <v/>
      </c>
      <c r="B218" s="11">
        <v>211</v>
      </c>
      <c r="C218" s="19" t="str">
        <f t="shared" si="6"/>
        <v>EMPTY</v>
      </c>
      <c r="D218" s="3" t="str">
        <f>IF(C218="SHOW",CONCATENATE(Temp!T214,Temp!U214,",",Temp!V214,",",Temp!W214,Temp!X214),"")</f>
        <v/>
      </c>
      <c r="E218" s="7"/>
      <c r="F218" s="8" t="str">
        <f t="shared" si="7"/>
        <v/>
      </c>
      <c r="BY218" s="4" t="s">
        <v>5</v>
      </c>
      <c r="BZ218" s="4" t="s">
        <v>5</v>
      </c>
    </row>
    <row r="219" spans="1:78" x14ac:dyDescent="0.25">
      <c r="A219" s="13" t="str">
        <f>IF(AND($E219="",MAX($A$8:$A218)=0),"",IF(AND($E219&lt;&gt;"",MAX($A$8:$A218)=0),1,IF(AND($E219&lt;&gt;"",MAX($A$8:$A218)&gt;0),MAX($A$8:$A218)+1,"")))</f>
        <v/>
      </c>
      <c r="B219" s="11">
        <v>212</v>
      </c>
      <c r="C219" s="19" t="str">
        <f t="shared" si="6"/>
        <v>EMPTY</v>
      </c>
      <c r="D219" s="3" t="str">
        <f>IF(C219="SHOW",CONCATENATE(Temp!T215,Temp!U215,",",Temp!V215,",",Temp!W215,Temp!X215),"")</f>
        <v/>
      </c>
      <c r="E219" s="7"/>
      <c r="F219" s="8" t="str">
        <f t="shared" si="7"/>
        <v/>
      </c>
      <c r="BY219" s="4" t="s">
        <v>5</v>
      </c>
      <c r="BZ219" s="4" t="s">
        <v>5</v>
      </c>
    </row>
    <row r="220" spans="1:78" x14ac:dyDescent="0.25">
      <c r="A220" s="13" t="str">
        <f>IF(AND($E220="",MAX($A$8:$A219)=0),"",IF(AND($E220&lt;&gt;"",MAX($A$8:$A219)=0),1,IF(AND($E220&lt;&gt;"",MAX($A$8:$A219)&gt;0),MAX($A$8:$A219)+1,"")))</f>
        <v/>
      </c>
      <c r="B220" s="11">
        <v>213</v>
      </c>
      <c r="C220" s="19" t="str">
        <f t="shared" si="6"/>
        <v>EMPTY</v>
      </c>
      <c r="D220" s="3" t="str">
        <f>IF(C220="SHOW",CONCATENATE(Temp!T216,Temp!U216,",",Temp!V216,",",Temp!W216,Temp!X216),"")</f>
        <v/>
      </c>
      <c r="E220" s="7"/>
      <c r="F220" s="8" t="str">
        <f t="shared" si="7"/>
        <v/>
      </c>
      <c r="BY220" s="4" t="s">
        <v>5</v>
      </c>
      <c r="BZ220" s="4" t="s">
        <v>5</v>
      </c>
    </row>
    <row r="221" spans="1:78" x14ac:dyDescent="0.25">
      <c r="A221" s="13" t="str">
        <f>IF(AND($E221="",MAX($A$8:$A220)=0),"",IF(AND($E221&lt;&gt;"",MAX($A$8:$A220)=0),1,IF(AND($E221&lt;&gt;"",MAX($A$8:$A220)&gt;0),MAX($A$8:$A220)+1,"")))</f>
        <v/>
      </c>
      <c r="B221" s="11">
        <v>214</v>
      </c>
      <c r="C221" s="19" t="str">
        <f t="shared" si="6"/>
        <v>EMPTY</v>
      </c>
      <c r="D221" s="3" t="str">
        <f>IF(C221="SHOW",CONCATENATE(Temp!T217,Temp!U217,",",Temp!V217,",",Temp!W217,Temp!X217),"")</f>
        <v/>
      </c>
      <c r="E221" s="7"/>
      <c r="F221" s="8" t="str">
        <f t="shared" si="7"/>
        <v/>
      </c>
      <c r="BY221" s="4" t="s">
        <v>5</v>
      </c>
      <c r="BZ221" s="4" t="s">
        <v>5</v>
      </c>
    </row>
    <row r="222" spans="1:78" x14ac:dyDescent="0.25">
      <c r="A222" s="13" t="str">
        <f>IF(AND($E222="",MAX($A$8:$A221)=0),"",IF(AND($E222&lt;&gt;"",MAX($A$8:$A221)=0),1,IF(AND($E222&lt;&gt;"",MAX($A$8:$A221)&gt;0),MAX($A$8:$A221)+1,"")))</f>
        <v/>
      </c>
      <c r="B222" s="11">
        <v>215</v>
      </c>
      <c r="C222" s="19" t="str">
        <f t="shared" si="6"/>
        <v>EMPTY</v>
      </c>
      <c r="D222" s="3" t="str">
        <f>IF(C222="SHOW",CONCATENATE(Temp!T218,Temp!U218,",",Temp!V218,",",Temp!W218,Temp!X218),"")</f>
        <v/>
      </c>
      <c r="E222" s="7"/>
      <c r="F222" s="8" t="str">
        <f t="shared" si="7"/>
        <v/>
      </c>
      <c r="BY222" s="4" t="s">
        <v>5</v>
      </c>
      <c r="BZ222" s="4" t="s">
        <v>5</v>
      </c>
    </row>
    <row r="223" spans="1:78" x14ac:dyDescent="0.25">
      <c r="A223" s="13" t="str">
        <f>IF(AND($E223="",MAX($A$8:$A222)=0),"",IF(AND($E223&lt;&gt;"",MAX($A$8:$A222)=0),1,IF(AND($E223&lt;&gt;"",MAX($A$8:$A222)&gt;0),MAX($A$8:$A222)+1,"")))</f>
        <v/>
      </c>
      <c r="B223" s="11">
        <v>216</v>
      </c>
      <c r="C223" s="19" t="str">
        <f t="shared" si="6"/>
        <v>EMPTY</v>
      </c>
      <c r="D223" s="3" t="str">
        <f>IF(C223="SHOW",CONCATENATE(Temp!T219,Temp!U219,",",Temp!V219,",",Temp!W219,Temp!X219),"")</f>
        <v/>
      </c>
      <c r="E223" s="7"/>
      <c r="F223" s="8" t="str">
        <f t="shared" si="7"/>
        <v/>
      </c>
      <c r="BY223" s="4" t="s">
        <v>5</v>
      </c>
      <c r="BZ223" s="4" t="s">
        <v>5</v>
      </c>
    </row>
    <row r="224" spans="1:78" x14ac:dyDescent="0.25">
      <c r="A224" s="13" t="str">
        <f>IF(AND($E224="",MAX($A$8:$A223)=0),"",IF(AND($E224&lt;&gt;"",MAX($A$8:$A223)=0),1,IF(AND($E224&lt;&gt;"",MAX($A$8:$A223)&gt;0),MAX($A$8:$A223)+1,"")))</f>
        <v/>
      </c>
      <c r="B224" s="11">
        <v>217</v>
      </c>
      <c r="C224" s="19" t="str">
        <f t="shared" si="6"/>
        <v>EMPTY</v>
      </c>
      <c r="D224" s="3" t="str">
        <f>IF(C224="SHOW",CONCATENATE(Temp!T220,Temp!U220,",",Temp!V220,",",Temp!W220,Temp!X220),"")</f>
        <v/>
      </c>
      <c r="E224" s="7"/>
      <c r="F224" s="8" t="str">
        <f t="shared" si="7"/>
        <v/>
      </c>
      <c r="BY224" s="4" t="s">
        <v>5</v>
      </c>
      <c r="BZ224" s="4" t="s">
        <v>5</v>
      </c>
    </row>
    <row r="225" spans="1:78" x14ac:dyDescent="0.25">
      <c r="A225" s="13" t="str">
        <f>IF(AND($E225="",MAX($A$8:$A224)=0),"",IF(AND($E225&lt;&gt;"",MAX($A$8:$A224)=0),1,IF(AND($E225&lt;&gt;"",MAX($A$8:$A224)&gt;0),MAX($A$8:$A224)+1,"")))</f>
        <v/>
      </c>
      <c r="B225" s="11">
        <v>218</v>
      </c>
      <c r="C225" s="19" t="str">
        <f t="shared" si="6"/>
        <v>EMPTY</v>
      </c>
      <c r="D225" s="3" t="str">
        <f>IF(C225="SHOW",CONCATENATE(Temp!T221,Temp!U221,",",Temp!V221,",",Temp!W221,Temp!X221),"")</f>
        <v/>
      </c>
      <c r="E225" s="7"/>
      <c r="F225" s="8" t="str">
        <f t="shared" si="7"/>
        <v/>
      </c>
      <c r="BY225" s="4" t="s">
        <v>5</v>
      </c>
      <c r="BZ225" s="4" t="s">
        <v>5</v>
      </c>
    </row>
    <row r="226" spans="1:78" x14ac:dyDescent="0.25">
      <c r="A226" s="13" t="str">
        <f>IF(AND($E226="",MAX($A$8:$A225)=0),"",IF(AND($E226&lt;&gt;"",MAX($A$8:$A225)=0),1,IF(AND($E226&lt;&gt;"",MAX($A$8:$A225)&gt;0),MAX($A$8:$A225)+1,"")))</f>
        <v/>
      </c>
      <c r="B226" s="11">
        <v>219</v>
      </c>
      <c r="C226" s="19" t="str">
        <f t="shared" si="6"/>
        <v>EMPTY</v>
      </c>
      <c r="D226" s="3" t="str">
        <f>IF(C226="SHOW",CONCATENATE(Temp!T222,Temp!U222,",",Temp!V222,",",Temp!W222,Temp!X222),"")</f>
        <v/>
      </c>
      <c r="E226" s="7"/>
      <c r="F226" s="8" t="str">
        <f t="shared" si="7"/>
        <v/>
      </c>
      <c r="BY226" s="4" t="s">
        <v>5</v>
      </c>
      <c r="BZ226" s="4" t="s">
        <v>5</v>
      </c>
    </row>
    <row r="227" spans="1:78" x14ac:dyDescent="0.25">
      <c r="A227" s="13" t="str">
        <f>IF(AND($E227="",MAX($A$8:$A226)=0),"",IF(AND($E227&lt;&gt;"",MAX($A$8:$A226)=0),1,IF(AND($E227&lt;&gt;"",MAX($A$8:$A226)&gt;0),MAX($A$8:$A226)+1,"")))</f>
        <v/>
      </c>
      <c r="B227" s="11">
        <v>220</v>
      </c>
      <c r="C227" s="19" t="str">
        <f t="shared" si="6"/>
        <v>EMPTY</v>
      </c>
      <c r="D227" s="3" t="str">
        <f>IF(C227="SHOW",CONCATENATE(Temp!T223,Temp!U223,",",Temp!V223,",",Temp!W223,Temp!X223),"")</f>
        <v/>
      </c>
      <c r="E227" s="7"/>
      <c r="F227" s="8" t="str">
        <f t="shared" si="7"/>
        <v/>
      </c>
      <c r="BY227" s="4" t="s">
        <v>5</v>
      </c>
      <c r="BZ227" s="4" t="s">
        <v>5</v>
      </c>
    </row>
    <row r="228" spans="1:78" x14ac:dyDescent="0.25">
      <c r="A228" s="13" t="str">
        <f>IF(AND($E228="",MAX($A$8:$A227)=0),"",IF(AND($E228&lt;&gt;"",MAX($A$8:$A227)=0),1,IF(AND($E228&lt;&gt;"",MAX($A$8:$A227)&gt;0),MAX($A$8:$A227)+1,"")))</f>
        <v/>
      </c>
      <c r="B228" s="11">
        <v>221</v>
      </c>
      <c r="C228" s="19" t="str">
        <f t="shared" si="6"/>
        <v>EMPTY</v>
      </c>
      <c r="D228" s="3" t="str">
        <f>IF(C228="SHOW",CONCATENATE(Temp!T224,Temp!U224,",",Temp!V224,",",Temp!W224,Temp!X224),"")</f>
        <v/>
      </c>
      <c r="E228" s="7"/>
      <c r="F228" s="8" t="str">
        <f t="shared" si="7"/>
        <v/>
      </c>
      <c r="BY228" s="4" t="s">
        <v>5</v>
      </c>
      <c r="BZ228" s="4" t="s">
        <v>5</v>
      </c>
    </row>
    <row r="229" spans="1:78" x14ac:dyDescent="0.25">
      <c r="A229" s="13" t="str">
        <f>IF(AND($E229="",MAX($A$8:$A228)=0),"",IF(AND($E229&lt;&gt;"",MAX($A$8:$A228)=0),1,IF(AND($E229&lt;&gt;"",MAX($A$8:$A228)&gt;0),MAX($A$8:$A228)+1,"")))</f>
        <v/>
      </c>
      <c r="B229" s="11">
        <v>222</v>
      </c>
      <c r="C229" s="19" t="str">
        <f t="shared" si="6"/>
        <v>EMPTY</v>
      </c>
      <c r="D229" s="3" t="str">
        <f>IF(C229="SHOW",CONCATENATE(Temp!T225,Temp!U225,",",Temp!V225,",",Temp!W225,Temp!X225),"")</f>
        <v/>
      </c>
      <c r="E229" s="7"/>
      <c r="F229" s="8" t="str">
        <f t="shared" si="7"/>
        <v/>
      </c>
      <c r="BY229" s="4" t="s">
        <v>5</v>
      </c>
      <c r="BZ229" s="4" t="s">
        <v>5</v>
      </c>
    </row>
    <row r="230" spans="1:78" x14ac:dyDescent="0.25">
      <c r="A230" s="13" t="str">
        <f>IF(AND($E230="",MAX($A$8:$A229)=0),"",IF(AND($E230&lt;&gt;"",MAX($A$8:$A229)=0),1,IF(AND($E230&lt;&gt;"",MAX($A$8:$A229)&gt;0),MAX($A$8:$A229)+1,"")))</f>
        <v/>
      </c>
      <c r="B230" s="11">
        <v>223</v>
      </c>
      <c r="C230" s="19" t="str">
        <f t="shared" si="6"/>
        <v>EMPTY</v>
      </c>
      <c r="D230" s="3" t="str">
        <f>IF(C230="SHOW",CONCATENATE(Temp!T226,Temp!U226,",",Temp!V226,",",Temp!W226,Temp!X226),"")</f>
        <v/>
      </c>
      <c r="E230" s="7"/>
      <c r="F230" s="8" t="str">
        <f t="shared" si="7"/>
        <v/>
      </c>
      <c r="BY230" s="4" t="s">
        <v>5</v>
      </c>
      <c r="BZ230" s="4" t="s">
        <v>5</v>
      </c>
    </row>
    <row r="231" spans="1:78" x14ac:dyDescent="0.25">
      <c r="A231" s="13" t="str">
        <f>IF(AND($E231="",MAX($A$8:$A230)=0),"",IF(AND($E231&lt;&gt;"",MAX($A$8:$A230)=0),1,IF(AND($E231&lt;&gt;"",MAX($A$8:$A230)&gt;0),MAX($A$8:$A230)+1,"")))</f>
        <v/>
      </c>
      <c r="B231" s="11">
        <v>224</v>
      </c>
      <c r="C231" s="19" t="str">
        <f t="shared" si="6"/>
        <v>EMPTY</v>
      </c>
      <c r="D231" s="3" t="str">
        <f>IF(C231="SHOW",CONCATENATE(Temp!T227,Temp!U227,",",Temp!V227,",",Temp!W227,Temp!X227),"")</f>
        <v/>
      </c>
      <c r="E231" s="7"/>
      <c r="F231" s="8" t="str">
        <f t="shared" si="7"/>
        <v/>
      </c>
      <c r="BY231" s="4" t="s">
        <v>5</v>
      </c>
      <c r="BZ231" s="4" t="s">
        <v>5</v>
      </c>
    </row>
    <row r="232" spans="1:78" x14ac:dyDescent="0.25">
      <c r="A232" s="13" t="str">
        <f>IF(AND($E232="",MAX($A$8:$A231)=0),"",IF(AND($E232&lt;&gt;"",MAX($A$8:$A231)=0),1,IF(AND($E232&lt;&gt;"",MAX($A$8:$A231)&gt;0),MAX($A$8:$A231)+1,"")))</f>
        <v/>
      </c>
      <c r="B232" s="11">
        <v>225</v>
      </c>
      <c r="C232" s="19" t="str">
        <f t="shared" si="6"/>
        <v>EMPTY</v>
      </c>
      <c r="D232" s="3" t="str">
        <f>IF(C232="SHOW",CONCATENATE(Temp!T228,Temp!U228,",",Temp!V228,",",Temp!W228,Temp!X228),"")</f>
        <v/>
      </c>
      <c r="E232" s="7"/>
      <c r="F232" s="8" t="str">
        <f t="shared" si="7"/>
        <v/>
      </c>
      <c r="BY232" s="4" t="s">
        <v>5</v>
      </c>
      <c r="BZ232" s="4" t="s">
        <v>5</v>
      </c>
    </row>
    <row r="233" spans="1:78" x14ac:dyDescent="0.25">
      <c r="A233" s="13" t="str">
        <f>IF(AND($E233="",MAX($A$8:$A232)=0),"",IF(AND($E233&lt;&gt;"",MAX($A$8:$A232)=0),1,IF(AND($E233&lt;&gt;"",MAX($A$8:$A232)&gt;0),MAX($A$8:$A232)+1,"")))</f>
        <v/>
      </c>
      <c r="B233" s="11">
        <v>226</v>
      </c>
      <c r="C233" s="19" t="str">
        <f t="shared" si="6"/>
        <v>EMPTY</v>
      </c>
      <c r="D233" s="3" t="str">
        <f>IF(C233="SHOW",CONCATENATE(Temp!T229,Temp!U229,",",Temp!V229,",",Temp!W229,Temp!X229),"")</f>
        <v/>
      </c>
      <c r="E233" s="7"/>
      <c r="F233" s="8" t="str">
        <f t="shared" si="7"/>
        <v/>
      </c>
      <c r="BY233" s="4" t="s">
        <v>5</v>
      </c>
      <c r="BZ233" s="4" t="s">
        <v>5</v>
      </c>
    </row>
    <row r="234" spans="1:78" x14ac:dyDescent="0.25">
      <c r="A234" s="13" t="str">
        <f>IF(AND($E234="",MAX($A$8:$A233)=0),"",IF(AND($E234&lt;&gt;"",MAX($A$8:$A233)=0),1,IF(AND($E234&lt;&gt;"",MAX($A$8:$A233)&gt;0),MAX($A$8:$A233)+1,"")))</f>
        <v/>
      </c>
      <c r="B234" s="11">
        <v>227</v>
      </c>
      <c r="C234" s="19" t="str">
        <f t="shared" si="6"/>
        <v>EMPTY</v>
      </c>
      <c r="D234" s="3" t="str">
        <f>IF(C234="SHOW",CONCATENATE(Temp!T230,Temp!U230,",",Temp!V230,",",Temp!W230,Temp!X230),"")</f>
        <v/>
      </c>
      <c r="E234" s="7"/>
      <c r="F234" s="8" t="str">
        <f t="shared" si="7"/>
        <v/>
      </c>
      <c r="BY234" s="4" t="s">
        <v>5</v>
      </c>
      <c r="BZ234" s="4" t="s">
        <v>5</v>
      </c>
    </row>
    <row r="235" spans="1:78" x14ac:dyDescent="0.25">
      <c r="A235" s="13" t="str">
        <f>IF(AND($E235="",MAX($A$8:$A234)=0),"",IF(AND($E235&lt;&gt;"",MAX($A$8:$A234)=0),1,IF(AND($E235&lt;&gt;"",MAX($A$8:$A234)&gt;0),MAX($A$8:$A234)+1,"")))</f>
        <v/>
      </c>
      <c r="B235" s="11">
        <v>228</v>
      </c>
      <c r="C235" s="19" t="str">
        <f t="shared" si="6"/>
        <v>EMPTY</v>
      </c>
      <c r="D235" s="3" t="str">
        <f>IF(C235="SHOW",CONCATENATE(Temp!T231,Temp!U231,",",Temp!V231,",",Temp!W231,Temp!X231),"")</f>
        <v/>
      </c>
      <c r="E235" s="7"/>
      <c r="F235" s="8" t="str">
        <f t="shared" si="7"/>
        <v/>
      </c>
      <c r="BY235" s="4" t="s">
        <v>5</v>
      </c>
      <c r="BZ235" s="4" t="s">
        <v>5</v>
      </c>
    </row>
    <row r="236" spans="1:78" x14ac:dyDescent="0.25">
      <c r="A236" s="13" t="str">
        <f>IF(AND($E236="",MAX($A$8:$A235)=0),"",IF(AND($E236&lt;&gt;"",MAX($A$8:$A235)=0),1,IF(AND($E236&lt;&gt;"",MAX($A$8:$A235)&gt;0),MAX($A$8:$A235)+1,"")))</f>
        <v/>
      </c>
      <c r="B236" s="11">
        <v>229</v>
      </c>
      <c r="C236" s="19" t="str">
        <f t="shared" si="6"/>
        <v>EMPTY</v>
      </c>
      <c r="D236" s="3" t="str">
        <f>IF(C236="SHOW",CONCATENATE(Temp!T232,Temp!U232,",",Temp!V232,",",Temp!W232,Temp!X232),"")</f>
        <v/>
      </c>
      <c r="E236" s="7"/>
      <c r="F236" s="8" t="str">
        <f t="shared" si="7"/>
        <v/>
      </c>
      <c r="BY236" s="4" t="s">
        <v>5</v>
      </c>
      <c r="BZ236" s="4" t="s">
        <v>5</v>
      </c>
    </row>
    <row r="237" spans="1:78" x14ac:dyDescent="0.25">
      <c r="A237" s="13" t="str">
        <f>IF(AND($E237="",MAX($A$8:$A236)=0),"",IF(AND($E237&lt;&gt;"",MAX($A$8:$A236)=0),1,IF(AND($E237&lt;&gt;"",MAX($A$8:$A236)&gt;0),MAX($A$8:$A236)+1,"")))</f>
        <v/>
      </c>
      <c r="B237" s="11">
        <v>230</v>
      </c>
      <c r="C237" s="19" t="str">
        <f t="shared" si="6"/>
        <v>EMPTY</v>
      </c>
      <c r="D237" s="3" t="str">
        <f>IF(C237="SHOW",CONCATENATE(Temp!T233,Temp!U233,",",Temp!V233,",",Temp!W233,Temp!X233),"")</f>
        <v/>
      </c>
      <c r="E237" s="7"/>
      <c r="F237" s="8" t="str">
        <f t="shared" si="7"/>
        <v/>
      </c>
      <c r="BY237" s="4" t="s">
        <v>5</v>
      </c>
      <c r="BZ237" s="4" t="s">
        <v>5</v>
      </c>
    </row>
    <row r="238" spans="1:78" x14ac:dyDescent="0.25">
      <c r="A238" s="13" t="str">
        <f>IF(AND($E238="",MAX($A$8:$A237)=0),"",IF(AND($E238&lt;&gt;"",MAX($A$8:$A237)=0),1,IF(AND($E238&lt;&gt;"",MAX($A$8:$A237)&gt;0),MAX($A$8:$A237)+1,"")))</f>
        <v/>
      </c>
      <c r="B238" s="11">
        <v>231</v>
      </c>
      <c r="C238" s="19" t="str">
        <f t="shared" si="6"/>
        <v>EMPTY</v>
      </c>
      <c r="D238" s="3" t="str">
        <f>IF(C238="SHOW",CONCATENATE(Temp!T234,Temp!U234,",",Temp!V234,",",Temp!W234,Temp!X234),"")</f>
        <v/>
      </c>
      <c r="E238" s="7"/>
      <c r="F238" s="8" t="str">
        <f t="shared" si="7"/>
        <v/>
      </c>
      <c r="BY238" s="4" t="s">
        <v>5</v>
      </c>
      <c r="BZ238" s="4" t="s">
        <v>5</v>
      </c>
    </row>
    <row r="239" spans="1:78" x14ac:dyDescent="0.25">
      <c r="A239" s="13" t="str">
        <f>IF(AND($E239="",MAX($A$8:$A238)=0),"",IF(AND($E239&lt;&gt;"",MAX($A$8:$A238)=0),1,IF(AND($E239&lt;&gt;"",MAX($A$8:$A238)&gt;0),MAX($A$8:$A238)+1,"")))</f>
        <v/>
      </c>
      <c r="B239" s="11">
        <v>232</v>
      </c>
      <c r="C239" s="19" t="str">
        <f t="shared" si="6"/>
        <v>EMPTY</v>
      </c>
      <c r="D239" s="3" t="str">
        <f>IF(C239="SHOW",CONCATENATE(Temp!T235,Temp!U235,",",Temp!V235,",",Temp!W235,Temp!X235),"")</f>
        <v/>
      </c>
      <c r="E239" s="7"/>
      <c r="F239" s="8" t="str">
        <f t="shared" si="7"/>
        <v/>
      </c>
      <c r="BY239" s="4" t="s">
        <v>5</v>
      </c>
      <c r="BZ239" s="4" t="s">
        <v>5</v>
      </c>
    </row>
    <row r="240" spans="1:78" x14ac:dyDescent="0.25">
      <c r="A240" s="13" t="str">
        <f>IF(AND($E240="",MAX($A$8:$A239)=0),"",IF(AND($E240&lt;&gt;"",MAX($A$8:$A239)=0),1,IF(AND($E240&lt;&gt;"",MAX($A$8:$A239)&gt;0),MAX($A$8:$A239)+1,"")))</f>
        <v/>
      </c>
      <c r="B240" s="11">
        <v>233</v>
      </c>
      <c r="C240" s="19" t="str">
        <f t="shared" si="6"/>
        <v>EMPTY</v>
      </c>
      <c r="D240" s="3" t="str">
        <f>IF(C240="SHOW",CONCATENATE(Temp!T236,Temp!U236,",",Temp!V236,",",Temp!W236,Temp!X236),"")</f>
        <v/>
      </c>
      <c r="E240" s="7"/>
      <c r="F240" s="8" t="str">
        <f t="shared" si="7"/>
        <v/>
      </c>
      <c r="BY240" s="4" t="s">
        <v>5</v>
      </c>
      <c r="BZ240" s="4" t="s">
        <v>5</v>
      </c>
    </row>
    <row r="241" spans="1:78" x14ac:dyDescent="0.25">
      <c r="A241" s="13" t="str">
        <f>IF(AND($E241="",MAX($A$8:$A240)=0),"",IF(AND($E241&lt;&gt;"",MAX($A$8:$A240)=0),1,IF(AND($E241&lt;&gt;"",MAX($A$8:$A240)&gt;0),MAX($A$8:$A240)+1,"")))</f>
        <v/>
      </c>
      <c r="B241" s="11">
        <v>234</v>
      </c>
      <c r="C241" s="19" t="str">
        <f t="shared" si="6"/>
        <v>EMPTY</v>
      </c>
      <c r="D241" s="3" t="str">
        <f>IF(C241="SHOW",CONCATENATE(Temp!T237,Temp!U237,",",Temp!V237,",",Temp!W237,Temp!X237),"")</f>
        <v/>
      </c>
      <c r="E241" s="7"/>
      <c r="F241" s="8" t="str">
        <f t="shared" si="7"/>
        <v/>
      </c>
      <c r="BY241" s="4" t="s">
        <v>5</v>
      </c>
      <c r="BZ241" s="4" t="s">
        <v>5</v>
      </c>
    </row>
    <row r="242" spans="1:78" x14ac:dyDescent="0.25">
      <c r="A242" s="13" t="str">
        <f>IF(AND($E242="",MAX($A$8:$A241)=0),"",IF(AND($E242&lt;&gt;"",MAX($A$8:$A241)=0),1,IF(AND($E242&lt;&gt;"",MAX($A$8:$A241)&gt;0),MAX($A$8:$A241)+1,"")))</f>
        <v/>
      </c>
      <c r="B242" s="11">
        <v>235</v>
      </c>
      <c r="C242" s="19" t="str">
        <f t="shared" si="6"/>
        <v>EMPTY</v>
      </c>
      <c r="D242" s="3" t="str">
        <f>IF(C242="SHOW",CONCATENATE(Temp!T238,Temp!U238,",",Temp!V238,",",Temp!W238,Temp!X238),"")</f>
        <v/>
      </c>
      <c r="E242" s="7"/>
      <c r="F242" s="8" t="str">
        <f t="shared" si="7"/>
        <v/>
      </c>
      <c r="BY242" s="4" t="s">
        <v>5</v>
      </c>
      <c r="BZ242" s="4" t="s">
        <v>5</v>
      </c>
    </row>
    <row r="243" spans="1:78" x14ac:dyDescent="0.25">
      <c r="A243" s="13" t="str">
        <f>IF(AND($E243="",MAX($A$8:$A242)=0),"",IF(AND($E243&lt;&gt;"",MAX($A$8:$A242)=0),1,IF(AND($E243&lt;&gt;"",MAX($A$8:$A242)&gt;0),MAX($A$8:$A242)+1,"")))</f>
        <v/>
      </c>
      <c r="B243" s="11">
        <v>236</v>
      </c>
      <c r="C243" s="19" t="str">
        <f t="shared" si="6"/>
        <v>EMPTY</v>
      </c>
      <c r="D243" s="3" t="str">
        <f>IF(C243="SHOW",CONCATENATE(Temp!T239,Temp!U239,",",Temp!V239,",",Temp!W239,Temp!X239),"")</f>
        <v/>
      </c>
      <c r="E243" s="7"/>
      <c r="F243" s="8" t="str">
        <f t="shared" si="7"/>
        <v/>
      </c>
      <c r="BY243" s="4" t="s">
        <v>5</v>
      </c>
      <c r="BZ243" s="4" t="s">
        <v>5</v>
      </c>
    </row>
    <row r="244" spans="1:78" x14ac:dyDescent="0.25">
      <c r="A244" s="13" t="str">
        <f>IF(AND($E244="",MAX($A$8:$A243)=0),"",IF(AND($E244&lt;&gt;"",MAX($A$8:$A243)=0),1,IF(AND($E244&lt;&gt;"",MAX($A$8:$A243)&gt;0),MAX($A$8:$A243)+1,"")))</f>
        <v/>
      </c>
      <c r="B244" s="11">
        <v>237</v>
      </c>
      <c r="C244" s="19" t="str">
        <f t="shared" si="6"/>
        <v>EMPTY</v>
      </c>
      <c r="D244" s="3" t="str">
        <f>IF(C244="SHOW",CONCATENATE(Temp!T240,Temp!U240,",",Temp!V240,",",Temp!W240,Temp!X240),"")</f>
        <v/>
      </c>
      <c r="E244" s="7"/>
      <c r="F244" s="8" t="str">
        <f t="shared" si="7"/>
        <v/>
      </c>
      <c r="BY244" s="4" t="s">
        <v>5</v>
      </c>
      <c r="BZ244" s="4" t="s">
        <v>5</v>
      </c>
    </row>
    <row r="245" spans="1:78" x14ac:dyDescent="0.25">
      <c r="A245" s="13" t="str">
        <f>IF(AND($E245="",MAX($A$8:$A244)=0),"",IF(AND($E245&lt;&gt;"",MAX($A$8:$A244)=0),1,IF(AND($E245&lt;&gt;"",MAX($A$8:$A244)&gt;0),MAX($A$8:$A244)+1,"")))</f>
        <v/>
      </c>
      <c r="B245" s="11">
        <v>238</v>
      </c>
      <c r="C245" s="19" t="str">
        <f t="shared" si="6"/>
        <v>EMPTY</v>
      </c>
      <c r="D245" s="3" t="str">
        <f>IF(C245="SHOW",CONCATENATE(Temp!T241,Temp!U241,",",Temp!V241,",",Temp!W241,Temp!X241),"")</f>
        <v/>
      </c>
      <c r="E245" s="7"/>
      <c r="F245" s="8" t="str">
        <f t="shared" si="7"/>
        <v/>
      </c>
      <c r="BY245" s="4" t="s">
        <v>5</v>
      </c>
      <c r="BZ245" s="4" t="s">
        <v>5</v>
      </c>
    </row>
    <row r="246" spans="1:78" x14ac:dyDescent="0.25">
      <c r="A246" s="13" t="str">
        <f>IF(AND($E246="",MAX($A$8:$A245)=0),"",IF(AND($E246&lt;&gt;"",MAX($A$8:$A245)=0),1,IF(AND($E246&lt;&gt;"",MAX($A$8:$A245)&gt;0),MAX($A$8:$A245)+1,"")))</f>
        <v/>
      </c>
      <c r="B246" s="11">
        <v>239</v>
      </c>
      <c r="C246" s="19" t="str">
        <f t="shared" si="6"/>
        <v>EMPTY</v>
      </c>
      <c r="D246" s="3" t="str">
        <f>IF(C246="SHOW",CONCATENATE(Temp!T242,Temp!U242,",",Temp!V242,",",Temp!W242,Temp!X242),"")</f>
        <v/>
      </c>
      <c r="E246" s="7"/>
      <c r="F246" s="8" t="str">
        <f t="shared" si="7"/>
        <v/>
      </c>
      <c r="BY246" s="4" t="s">
        <v>5</v>
      </c>
      <c r="BZ246" s="4" t="s">
        <v>5</v>
      </c>
    </row>
    <row r="247" spans="1:78" x14ac:dyDescent="0.25">
      <c r="A247" s="13" t="str">
        <f>IF(AND($E247="",MAX($A$8:$A246)=0),"",IF(AND($E247&lt;&gt;"",MAX($A$8:$A246)=0),1,IF(AND($E247&lt;&gt;"",MAX($A$8:$A246)&gt;0),MAX($A$8:$A246)+1,"")))</f>
        <v/>
      </c>
      <c r="B247" s="11">
        <v>240</v>
      </c>
      <c r="C247" s="19" t="str">
        <f t="shared" si="6"/>
        <v>EMPTY</v>
      </c>
      <c r="D247" s="3" t="str">
        <f>IF(C247="SHOW",CONCATENATE(Temp!T243,Temp!U243,",",Temp!V243,",",Temp!W243,Temp!X243),"")</f>
        <v/>
      </c>
      <c r="E247" s="7"/>
      <c r="F247" s="8" t="str">
        <f t="shared" si="7"/>
        <v/>
      </c>
      <c r="BY247" s="4" t="s">
        <v>5</v>
      </c>
      <c r="BZ247" s="4" t="s">
        <v>5</v>
      </c>
    </row>
    <row r="248" spans="1:78" x14ac:dyDescent="0.25">
      <c r="A248" s="13" t="str">
        <f>IF(AND($E248="",MAX($A$8:$A247)=0),"",IF(AND($E248&lt;&gt;"",MAX($A$8:$A247)=0),1,IF(AND($E248&lt;&gt;"",MAX($A$8:$A247)&gt;0),MAX($A$8:$A247)+1,"")))</f>
        <v/>
      </c>
      <c r="B248" s="11">
        <v>241</v>
      </c>
      <c r="C248" s="19" t="str">
        <f t="shared" si="6"/>
        <v>EMPTY</v>
      </c>
      <c r="D248" s="3" t="str">
        <f>IF(C248="SHOW",CONCATENATE(Temp!T244,Temp!U244,",",Temp!V244,",",Temp!W244,Temp!X244),"")</f>
        <v/>
      </c>
      <c r="E248" s="7"/>
      <c r="F248" s="8" t="str">
        <f t="shared" si="7"/>
        <v/>
      </c>
      <c r="BY248" s="4" t="s">
        <v>5</v>
      </c>
      <c r="BZ248" s="4" t="s">
        <v>5</v>
      </c>
    </row>
    <row r="249" spans="1:78" x14ac:dyDescent="0.25">
      <c r="A249" s="13" t="str">
        <f>IF(AND($E249="",MAX($A$8:$A248)=0),"",IF(AND($E249&lt;&gt;"",MAX($A$8:$A248)=0),1,IF(AND($E249&lt;&gt;"",MAX($A$8:$A248)&gt;0),MAX($A$8:$A248)+1,"")))</f>
        <v/>
      </c>
      <c r="B249" s="11">
        <v>242</v>
      </c>
      <c r="C249" s="19" t="str">
        <f t="shared" si="6"/>
        <v>EMPTY</v>
      </c>
      <c r="D249" s="3" t="str">
        <f>IF(C249="SHOW",CONCATENATE(Temp!T245,Temp!U245,",",Temp!V245,",",Temp!W245,Temp!X245),"")</f>
        <v/>
      </c>
      <c r="E249" s="7"/>
      <c r="F249" s="8" t="str">
        <f t="shared" si="7"/>
        <v/>
      </c>
      <c r="BY249" s="4" t="s">
        <v>5</v>
      </c>
      <c r="BZ249" s="4" t="s">
        <v>5</v>
      </c>
    </row>
    <row r="250" spans="1:78" x14ac:dyDescent="0.25">
      <c r="A250" s="13" t="str">
        <f>IF(AND($E250="",MAX($A$8:$A249)=0),"",IF(AND($E250&lt;&gt;"",MAX($A$8:$A249)=0),1,IF(AND($E250&lt;&gt;"",MAX($A$8:$A249)&gt;0),MAX($A$8:$A249)+1,"")))</f>
        <v/>
      </c>
      <c r="B250" s="11">
        <v>243</v>
      </c>
      <c r="C250" s="19" t="str">
        <f t="shared" si="6"/>
        <v>EMPTY</v>
      </c>
      <c r="D250" s="3" t="str">
        <f>IF(C250="SHOW",CONCATENATE(Temp!T246,Temp!U246,",",Temp!V246,",",Temp!W246,Temp!X246),"")</f>
        <v/>
      </c>
      <c r="E250" s="7"/>
      <c r="F250" s="8" t="str">
        <f t="shared" si="7"/>
        <v/>
      </c>
      <c r="BY250" s="4" t="s">
        <v>5</v>
      </c>
      <c r="BZ250" s="4" t="s">
        <v>5</v>
      </c>
    </row>
    <row r="251" spans="1:78" x14ac:dyDescent="0.25">
      <c r="A251" s="13" t="str">
        <f>IF(AND($E251="",MAX($A$8:$A250)=0),"",IF(AND($E251&lt;&gt;"",MAX($A$8:$A250)=0),1,IF(AND($E251&lt;&gt;"",MAX($A$8:$A250)&gt;0),MAX($A$8:$A250)+1,"")))</f>
        <v/>
      </c>
      <c r="B251" s="11">
        <v>244</v>
      </c>
      <c r="C251" s="19" t="str">
        <f t="shared" si="6"/>
        <v>EMPTY</v>
      </c>
      <c r="D251" s="3" t="str">
        <f>IF(C251="SHOW",CONCATENATE(Temp!T247,Temp!U247,",",Temp!V247,",",Temp!W247,Temp!X247),"")</f>
        <v/>
      </c>
      <c r="E251" s="7"/>
      <c r="F251" s="8" t="str">
        <f t="shared" si="7"/>
        <v/>
      </c>
      <c r="BY251" s="4" t="s">
        <v>5</v>
      </c>
      <c r="BZ251" s="4" t="s">
        <v>5</v>
      </c>
    </row>
    <row r="252" spans="1:78" x14ac:dyDescent="0.25">
      <c r="A252" s="13" t="str">
        <f>IF(AND($E252="",MAX($A$8:$A251)=0),"",IF(AND($E252&lt;&gt;"",MAX($A$8:$A251)=0),1,IF(AND($E252&lt;&gt;"",MAX($A$8:$A251)&gt;0),MAX($A$8:$A251)+1,"")))</f>
        <v/>
      </c>
      <c r="B252" s="11">
        <v>245</v>
      </c>
      <c r="C252" s="19" t="str">
        <f t="shared" si="6"/>
        <v>EMPTY</v>
      </c>
      <c r="D252" s="3" t="str">
        <f>IF(C252="SHOW",CONCATENATE(Temp!T248,Temp!U248,",",Temp!V248,",",Temp!W248,Temp!X248),"")</f>
        <v/>
      </c>
      <c r="E252" s="7"/>
      <c r="F252" s="8" t="str">
        <f t="shared" si="7"/>
        <v/>
      </c>
      <c r="BY252" s="4" t="s">
        <v>5</v>
      </c>
      <c r="BZ252" s="4" t="s">
        <v>5</v>
      </c>
    </row>
    <row r="253" spans="1:78" x14ac:dyDescent="0.25">
      <c r="A253" s="13" t="str">
        <f>IF(AND($E253="",MAX($A$8:$A252)=0),"",IF(AND($E253&lt;&gt;"",MAX($A$8:$A252)=0),1,IF(AND($E253&lt;&gt;"",MAX($A$8:$A252)&gt;0),MAX($A$8:$A252)+1,"")))</f>
        <v/>
      </c>
      <c r="B253" s="11">
        <v>246</v>
      </c>
      <c r="C253" s="19" t="str">
        <f t="shared" si="6"/>
        <v>EMPTY</v>
      </c>
      <c r="D253" s="3" t="str">
        <f>IF(C253="SHOW",CONCATENATE(Temp!T249,Temp!U249,",",Temp!V249,",",Temp!W249,Temp!X249),"")</f>
        <v/>
      </c>
      <c r="E253" s="7"/>
      <c r="F253" s="8" t="str">
        <f t="shared" si="7"/>
        <v/>
      </c>
      <c r="BY253" s="4" t="s">
        <v>5</v>
      </c>
      <c r="BZ253" s="4" t="s">
        <v>5</v>
      </c>
    </row>
    <row r="254" spans="1:78" x14ac:dyDescent="0.25">
      <c r="A254" s="13" t="str">
        <f>IF(AND($E254="",MAX($A$8:$A253)=0),"",IF(AND($E254&lt;&gt;"",MAX($A$8:$A253)=0),1,IF(AND($E254&lt;&gt;"",MAX($A$8:$A253)&gt;0),MAX($A$8:$A253)+1,"")))</f>
        <v/>
      </c>
      <c r="B254" s="11">
        <v>247</v>
      </c>
      <c r="C254" s="19" t="str">
        <f t="shared" si="6"/>
        <v>EMPTY</v>
      </c>
      <c r="D254" s="3" t="str">
        <f>IF(C254="SHOW",CONCATENATE(Temp!T250,Temp!U250,",",Temp!V250,",",Temp!W250,Temp!X250),"")</f>
        <v/>
      </c>
      <c r="E254" s="7"/>
      <c r="F254" s="8" t="str">
        <f t="shared" si="7"/>
        <v/>
      </c>
      <c r="BY254" s="4" t="s">
        <v>5</v>
      </c>
      <c r="BZ254" s="4" t="s">
        <v>5</v>
      </c>
    </row>
    <row r="255" spans="1:78" x14ac:dyDescent="0.25">
      <c r="A255" s="13" t="str">
        <f>IF(AND($E255="",MAX($A$8:$A254)=0),"",IF(AND($E255&lt;&gt;"",MAX($A$8:$A254)=0),1,IF(AND($E255&lt;&gt;"",MAX($A$8:$A254)&gt;0),MAX($A$8:$A254)+1,"")))</f>
        <v/>
      </c>
      <c r="B255" s="11">
        <v>248</v>
      </c>
      <c r="C255" s="19" t="str">
        <f t="shared" si="6"/>
        <v>EMPTY</v>
      </c>
      <c r="D255" s="3" t="str">
        <f>IF(C255="SHOW",CONCATENATE(Temp!T251,Temp!U251,",",Temp!V251,",",Temp!W251,Temp!X251),"")</f>
        <v/>
      </c>
      <c r="E255" s="7"/>
      <c r="F255" s="8" t="str">
        <f t="shared" si="7"/>
        <v/>
      </c>
      <c r="BY255" s="4" t="s">
        <v>5</v>
      </c>
      <c r="BZ255" s="4" t="s">
        <v>5</v>
      </c>
    </row>
    <row r="256" spans="1:78" x14ac:dyDescent="0.25">
      <c r="A256" s="13" t="str">
        <f>IF(AND($E256="",MAX($A$8:$A255)=0),"",IF(AND($E256&lt;&gt;"",MAX($A$8:$A255)=0),1,IF(AND($E256&lt;&gt;"",MAX($A$8:$A255)&gt;0),MAX($A$8:$A255)+1,"")))</f>
        <v/>
      </c>
      <c r="B256" s="11">
        <v>249</v>
      </c>
      <c r="C256" s="19" t="str">
        <f t="shared" si="6"/>
        <v>EMPTY</v>
      </c>
      <c r="D256" s="3" t="str">
        <f>IF(C256="SHOW",CONCATENATE(Temp!T252,Temp!U252,",",Temp!V252,",",Temp!W252,Temp!X252),"")</f>
        <v/>
      </c>
      <c r="E256" s="7"/>
      <c r="F256" s="8" t="str">
        <f t="shared" si="7"/>
        <v/>
      </c>
      <c r="BY256" s="4" t="s">
        <v>5</v>
      </c>
      <c r="BZ256" s="4" t="s">
        <v>5</v>
      </c>
    </row>
    <row r="257" spans="1:78" x14ac:dyDescent="0.25">
      <c r="A257" s="13" t="str">
        <f>IF(AND($E257="",MAX($A$8:$A256)=0),"",IF(AND($E257&lt;&gt;"",MAX($A$8:$A256)=0),1,IF(AND($E257&lt;&gt;"",MAX($A$8:$A256)&gt;0),MAX($A$8:$A256)+1,"")))</f>
        <v/>
      </c>
      <c r="B257" s="11">
        <v>250</v>
      </c>
      <c r="C257" s="19" t="str">
        <f t="shared" si="6"/>
        <v>EMPTY</v>
      </c>
      <c r="D257" s="3" t="str">
        <f>IF(C257="SHOW",CONCATENATE(Temp!T253,Temp!U253,",",Temp!V253,",",Temp!W253,Temp!X253),"")</f>
        <v/>
      </c>
      <c r="E257" s="7"/>
      <c r="F257" s="8" t="str">
        <f t="shared" si="7"/>
        <v/>
      </c>
      <c r="BZ257" s="4" t="s">
        <v>5</v>
      </c>
    </row>
    <row r="258" spans="1:78" x14ac:dyDescent="0.25">
      <c r="A258" s="13" t="str">
        <f>IF(AND($E258="",MAX($A$8:$A257)=0),"",IF(AND($E258&lt;&gt;"",MAX($A$8:$A257)=0),1,IF(AND($E258&lt;&gt;"",MAX($A$8:$A257)&gt;0),MAX($A$8:$A257)+1,"")))</f>
        <v/>
      </c>
      <c r="B258" s="11">
        <v>251</v>
      </c>
      <c r="C258" s="19" t="str">
        <f t="shared" si="6"/>
        <v>EMPTY</v>
      </c>
      <c r="D258" s="3" t="str">
        <f>IF(C258="SHOW",CONCATENATE(Temp!T254,Temp!U254,",",Temp!V254,",",Temp!W254,Temp!X254),"")</f>
        <v/>
      </c>
      <c r="E258" s="7"/>
      <c r="F258" s="8" t="str">
        <f t="shared" si="7"/>
        <v/>
      </c>
      <c r="BY258" s="4" t="s">
        <v>5</v>
      </c>
      <c r="BZ258" s="4" t="s">
        <v>5</v>
      </c>
    </row>
    <row r="259" spans="1:78" x14ac:dyDescent="0.25">
      <c r="A259" s="13" t="str">
        <f>IF(AND($E259="",MAX($A$8:$A258)=0),"",IF(AND($E259&lt;&gt;"",MAX($A$8:$A258)=0),1,IF(AND($E259&lt;&gt;"",MAX($A$8:$A258)&gt;0),MAX($A$8:$A258)+1,"")))</f>
        <v/>
      </c>
      <c r="B259" s="11">
        <v>252</v>
      </c>
      <c r="C259" s="19" t="str">
        <f t="shared" si="6"/>
        <v>EMPTY</v>
      </c>
      <c r="D259" s="3" t="str">
        <f>IF(C259="SHOW",CONCATENATE(Temp!T255,Temp!U255,",",Temp!V255,",",Temp!W255,Temp!X255),"")</f>
        <v/>
      </c>
      <c r="E259" s="7"/>
      <c r="F259" s="8" t="str">
        <f t="shared" si="7"/>
        <v/>
      </c>
      <c r="BY259" s="4" t="s">
        <v>5</v>
      </c>
      <c r="BZ259" s="4" t="s">
        <v>5</v>
      </c>
    </row>
    <row r="260" spans="1:78" x14ac:dyDescent="0.25">
      <c r="A260" s="13" t="str">
        <f>IF(AND($E260="",MAX($A$8:$A259)=0),"",IF(AND($E260&lt;&gt;"",MAX($A$8:$A259)=0),1,IF(AND($E260&lt;&gt;"",MAX($A$8:$A259)&gt;0),MAX($A$8:$A259)+1,"")))</f>
        <v/>
      </c>
      <c r="B260" s="11">
        <v>253</v>
      </c>
      <c r="C260" s="19" t="str">
        <f t="shared" si="6"/>
        <v>EMPTY</v>
      </c>
      <c r="D260" s="3" t="str">
        <f>IF(C260="SHOW",CONCATENATE(Temp!T256,Temp!U256,",",Temp!V256,",",Temp!W256,Temp!X256),"")</f>
        <v/>
      </c>
      <c r="E260" s="7"/>
      <c r="F260" s="8" t="str">
        <f t="shared" si="7"/>
        <v/>
      </c>
      <c r="BY260" s="4" t="s">
        <v>5</v>
      </c>
      <c r="BZ260" s="4" t="s">
        <v>5</v>
      </c>
    </row>
    <row r="261" spans="1:78" x14ac:dyDescent="0.25">
      <c r="A261" s="13" t="str">
        <f>IF(AND($E261="",MAX($A$8:$A260)=0),"",IF(AND($E261&lt;&gt;"",MAX($A$8:$A260)=0),1,IF(AND($E261&lt;&gt;"",MAX($A$8:$A260)&gt;0),MAX($A$8:$A260)+1,"")))</f>
        <v/>
      </c>
      <c r="B261" s="11">
        <v>254</v>
      </c>
      <c r="C261" s="19" t="str">
        <f t="shared" si="6"/>
        <v>EMPTY</v>
      </c>
      <c r="D261" s="3" t="str">
        <f>IF(C261="SHOW",CONCATENATE(Temp!T257,Temp!U257,",",Temp!V257,",",Temp!W257,Temp!X257),"")</f>
        <v/>
      </c>
      <c r="E261" s="7"/>
      <c r="F261" s="8" t="str">
        <f t="shared" si="7"/>
        <v/>
      </c>
      <c r="BY261" s="4" t="s">
        <v>5</v>
      </c>
      <c r="BZ261" s="4" t="s">
        <v>5</v>
      </c>
    </row>
    <row r="262" spans="1:78" x14ac:dyDescent="0.25">
      <c r="A262" s="13" t="str">
        <f>IF(AND($E262="",MAX($A$8:$A261)=0),"",IF(AND($E262&lt;&gt;"",MAX($A$8:$A261)=0),1,IF(AND($E262&lt;&gt;"",MAX($A$8:$A261)&gt;0),MAX($A$8:$A261)+1,"")))</f>
        <v/>
      </c>
      <c r="B262" s="11">
        <v>255</v>
      </c>
      <c r="C262" s="19" t="str">
        <f t="shared" si="6"/>
        <v>EMPTY</v>
      </c>
      <c r="D262" s="3" t="str">
        <f>IF(C262="SHOW",CONCATENATE(Temp!T258,Temp!U258,",",Temp!V258,",",Temp!W258,Temp!X258),"")</f>
        <v/>
      </c>
      <c r="E262" s="7"/>
      <c r="F262" s="8" t="str">
        <f t="shared" si="7"/>
        <v/>
      </c>
      <c r="BY262" s="4" t="s">
        <v>5</v>
      </c>
      <c r="BZ262" s="4" t="s">
        <v>5</v>
      </c>
    </row>
    <row r="263" spans="1:78" x14ac:dyDescent="0.25">
      <c r="A263" s="13" t="str">
        <f>IF(AND($E263="",MAX($A$8:$A262)=0),"",IF(AND($E263&lt;&gt;"",MAX($A$8:$A262)=0),1,IF(AND($E263&lt;&gt;"",MAX($A$8:$A262)&gt;0),MAX($A$8:$A262)+1,"")))</f>
        <v/>
      </c>
      <c r="B263" s="11">
        <v>256</v>
      </c>
      <c r="C263" s="19" t="str">
        <f t="shared" si="6"/>
        <v>EMPTY</v>
      </c>
      <c r="D263" s="3" t="str">
        <f>IF(C263="SHOW",CONCATENATE(Temp!T259,Temp!U259,",",Temp!V259,",",Temp!W259,Temp!X259),"")</f>
        <v/>
      </c>
      <c r="E263" s="7"/>
      <c r="F263" s="8" t="str">
        <f t="shared" si="7"/>
        <v/>
      </c>
      <c r="BY263" s="4" t="s">
        <v>5</v>
      </c>
      <c r="BZ263" s="4" t="s">
        <v>5</v>
      </c>
    </row>
    <row r="264" spans="1:78" x14ac:dyDescent="0.25">
      <c r="A264" s="13" t="str">
        <f>IF(AND($E264="",MAX($A$8:$A263)=0),"",IF(AND($E264&lt;&gt;"",MAX($A$8:$A263)=0),1,IF(AND($E264&lt;&gt;"",MAX($A$8:$A263)&gt;0),MAX($A$8:$A263)+1,"")))</f>
        <v/>
      </c>
      <c r="B264" s="11">
        <v>257</v>
      </c>
      <c r="C264" s="19" t="str">
        <f t="shared" si="6"/>
        <v>EMPTY</v>
      </c>
      <c r="D264" s="3" t="str">
        <f>IF(C264="SHOW",CONCATENATE(Temp!T260,Temp!U260,",",Temp!V260,",",Temp!W260,Temp!X260),"")</f>
        <v/>
      </c>
      <c r="E264" s="7"/>
      <c r="F264" s="8" t="str">
        <f t="shared" si="7"/>
        <v/>
      </c>
      <c r="BY264" s="4" t="s">
        <v>5</v>
      </c>
      <c r="BZ264" s="4" t="s">
        <v>5</v>
      </c>
    </row>
    <row r="265" spans="1:78" x14ac:dyDescent="0.25">
      <c r="A265" s="13" t="str">
        <f>IF(AND($E265="",MAX($A$8:$A264)=0),"",IF(AND($E265&lt;&gt;"",MAX($A$8:$A264)=0),1,IF(AND($E265&lt;&gt;"",MAX($A$8:$A264)&gt;0),MAX($A$8:$A264)+1,"")))</f>
        <v/>
      </c>
      <c r="B265" s="11">
        <v>258</v>
      </c>
      <c r="C265" s="19" t="str">
        <f t="shared" ref="C265:C328" si="8">IF(E265="","EMPTY",IF(MID(E265,1,9)&lt;&gt;"Dialogue:","HIDE",IF(MID(E265,1,9)="Dialogue:","SHOW","")))</f>
        <v>EMPTY</v>
      </c>
      <c r="D265" s="3" t="str">
        <f>IF(C265="SHOW",CONCATENATE(Temp!T261,Temp!U261,",",Temp!V261,",",Temp!W261,Temp!X261),"")</f>
        <v/>
      </c>
      <c r="E265" s="7"/>
      <c r="F265" s="8" t="str">
        <f t="shared" ref="F265:F328" si="9">$D265</f>
        <v/>
      </c>
      <c r="BY265" s="4" t="s">
        <v>5</v>
      </c>
      <c r="BZ265" s="4" t="s">
        <v>5</v>
      </c>
    </row>
    <row r="266" spans="1:78" x14ac:dyDescent="0.25">
      <c r="A266" s="13" t="str">
        <f>IF(AND($E266="",MAX($A$8:$A265)=0),"",IF(AND($E266&lt;&gt;"",MAX($A$8:$A265)=0),1,IF(AND($E266&lt;&gt;"",MAX($A$8:$A265)&gt;0),MAX($A$8:$A265)+1,"")))</f>
        <v/>
      </c>
      <c r="B266" s="11">
        <v>259</v>
      </c>
      <c r="C266" s="19" t="str">
        <f t="shared" si="8"/>
        <v>EMPTY</v>
      </c>
      <c r="D266" s="3" t="str">
        <f>IF(C266="SHOW",CONCATENATE(Temp!T262,Temp!U262,",",Temp!V262,",",Temp!W262,Temp!X262),"")</f>
        <v/>
      </c>
      <c r="E266" s="7"/>
      <c r="F266" s="8" t="str">
        <f t="shared" si="9"/>
        <v/>
      </c>
      <c r="BY266" s="4" t="s">
        <v>5</v>
      </c>
      <c r="BZ266" s="4" t="s">
        <v>5</v>
      </c>
    </row>
    <row r="267" spans="1:78" x14ac:dyDescent="0.25">
      <c r="A267" s="13" t="str">
        <f>IF(AND($E267="",MAX($A$8:$A266)=0),"",IF(AND($E267&lt;&gt;"",MAX($A$8:$A266)=0),1,IF(AND($E267&lt;&gt;"",MAX($A$8:$A266)&gt;0),MAX($A$8:$A266)+1,"")))</f>
        <v/>
      </c>
      <c r="B267" s="11">
        <v>260</v>
      </c>
      <c r="C267" s="19" t="str">
        <f t="shared" si="8"/>
        <v>EMPTY</v>
      </c>
      <c r="D267" s="3" t="str">
        <f>IF(C267="SHOW",CONCATENATE(Temp!T263,Temp!U263,",",Temp!V263,",",Temp!W263,Temp!X263),"")</f>
        <v/>
      </c>
      <c r="E267" s="7"/>
      <c r="F267" s="8" t="str">
        <f t="shared" si="9"/>
        <v/>
      </c>
      <c r="BY267" s="4" t="s">
        <v>5</v>
      </c>
      <c r="BZ267" s="4" t="s">
        <v>5</v>
      </c>
    </row>
    <row r="268" spans="1:78" x14ac:dyDescent="0.25">
      <c r="A268" s="13" t="str">
        <f>IF(AND($E268="",MAX($A$8:$A267)=0),"",IF(AND($E268&lt;&gt;"",MAX($A$8:$A267)=0),1,IF(AND($E268&lt;&gt;"",MAX($A$8:$A267)&gt;0),MAX($A$8:$A267)+1,"")))</f>
        <v/>
      </c>
      <c r="B268" s="11">
        <v>261</v>
      </c>
      <c r="C268" s="19" t="str">
        <f t="shared" si="8"/>
        <v>EMPTY</v>
      </c>
      <c r="D268" s="3" t="str">
        <f>IF(C268="SHOW",CONCATENATE(Temp!T264,Temp!U264,",",Temp!V264,",",Temp!W264,Temp!X264),"")</f>
        <v/>
      </c>
      <c r="E268" s="7"/>
      <c r="F268" s="8" t="str">
        <f t="shared" si="9"/>
        <v/>
      </c>
      <c r="BY268" s="4" t="s">
        <v>5</v>
      </c>
      <c r="BZ268" s="4" t="s">
        <v>5</v>
      </c>
    </row>
    <row r="269" spans="1:78" x14ac:dyDescent="0.25">
      <c r="A269" s="13" t="str">
        <f>IF(AND($E269="",MAX($A$8:$A268)=0),"",IF(AND($E269&lt;&gt;"",MAX($A$8:$A268)=0),1,IF(AND($E269&lt;&gt;"",MAX($A$8:$A268)&gt;0),MAX($A$8:$A268)+1,"")))</f>
        <v/>
      </c>
      <c r="B269" s="11">
        <v>262</v>
      </c>
      <c r="C269" s="19" t="str">
        <f t="shared" si="8"/>
        <v>EMPTY</v>
      </c>
      <c r="D269" s="3" t="str">
        <f>IF(C269="SHOW",CONCATENATE(Temp!T265,Temp!U265,",",Temp!V265,",",Temp!W265,Temp!X265),"")</f>
        <v/>
      </c>
      <c r="E269" s="7"/>
      <c r="F269" s="8" t="str">
        <f t="shared" si="9"/>
        <v/>
      </c>
      <c r="BY269" s="4" t="s">
        <v>5</v>
      </c>
      <c r="BZ269" s="4" t="s">
        <v>5</v>
      </c>
    </row>
    <row r="270" spans="1:78" x14ac:dyDescent="0.25">
      <c r="A270" s="13" t="str">
        <f>IF(AND($E270="",MAX($A$8:$A269)=0),"",IF(AND($E270&lt;&gt;"",MAX($A$8:$A269)=0),1,IF(AND($E270&lt;&gt;"",MAX($A$8:$A269)&gt;0),MAX($A$8:$A269)+1,"")))</f>
        <v/>
      </c>
      <c r="B270" s="11">
        <v>263</v>
      </c>
      <c r="C270" s="19" t="str">
        <f t="shared" si="8"/>
        <v>EMPTY</v>
      </c>
      <c r="D270" s="3" t="str">
        <f>IF(C270="SHOW",CONCATENATE(Temp!T266,Temp!U266,",",Temp!V266,",",Temp!W266,Temp!X266),"")</f>
        <v/>
      </c>
      <c r="E270" s="7"/>
      <c r="F270" s="8" t="str">
        <f t="shared" si="9"/>
        <v/>
      </c>
      <c r="BY270" s="4" t="s">
        <v>5</v>
      </c>
      <c r="BZ270" s="4" t="s">
        <v>5</v>
      </c>
    </row>
    <row r="271" spans="1:78" x14ac:dyDescent="0.25">
      <c r="A271" s="13" t="str">
        <f>IF(AND($E271="",MAX($A$8:$A270)=0),"",IF(AND($E271&lt;&gt;"",MAX($A$8:$A270)=0),1,IF(AND($E271&lt;&gt;"",MAX($A$8:$A270)&gt;0),MAX($A$8:$A270)+1,"")))</f>
        <v/>
      </c>
      <c r="B271" s="11">
        <v>264</v>
      </c>
      <c r="C271" s="19" t="str">
        <f t="shared" si="8"/>
        <v>EMPTY</v>
      </c>
      <c r="D271" s="3" t="str">
        <f>IF(C271="SHOW",CONCATENATE(Temp!T267,Temp!U267,",",Temp!V267,",",Temp!W267,Temp!X267),"")</f>
        <v/>
      </c>
      <c r="E271" s="7"/>
      <c r="F271" s="8" t="str">
        <f t="shared" si="9"/>
        <v/>
      </c>
      <c r="BY271" s="4" t="s">
        <v>5</v>
      </c>
      <c r="BZ271" s="4" t="s">
        <v>5</v>
      </c>
    </row>
    <row r="272" spans="1:78" x14ac:dyDescent="0.25">
      <c r="A272" s="13" t="str">
        <f>IF(AND($E272="",MAX($A$8:$A271)=0),"",IF(AND($E272&lt;&gt;"",MAX($A$8:$A271)=0),1,IF(AND($E272&lt;&gt;"",MAX($A$8:$A271)&gt;0),MAX($A$8:$A271)+1,"")))</f>
        <v/>
      </c>
      <c r="B272" s="11">
        <v>265</v>
      </c>
      <c r="C272" s="19" t="str">
        <f t="shared" si="8"/>
        <v>EMPTY</v>
      </c>
      <c r="D272" s="3" t="str">
        <f>IF(C272="SHOW",CONCATENATE(Temp!T268,Temp!U268,",",Temp!V268,",",Temp!W268,Temp!X268),"")</f>
        <v/>
      </c>
      <c r="E272" s="7"/>
      <c r="F272" s="8" t="str">
        <f t="shared" si="9"/>
        <v/>
      </c>
      <c r="BY272" s="4" t="s">
        <v>5</v>
      </c>
      <c r="BZ272" s="4" t="s">
        <v>5</v>
      </c>
    </row>
    <row r="273" spans="1:78" x14ac:dyDescent="0.25">
      <c r="A273" s="13" t="str">
        <f>IF(AND($E273="",MAX($A$8:$A272)=0),"",IF(AND($E273&lt;&gt;"",MAX($A$8:$A272)=0),1,IF(AND($E273&lt;&gt;"",MAX($A$8:$A272)&gt;0),MAX($A$8:$A272)+1,"")))</f>
        <v/>
      </c>
      <c r="B273" s="11">
        <v>266</v>
      </c>
      <c r="C273" s="19" t="str">
        <f t="shared" si="8"/>
        <v>EMPTY</v>
      </c>
      <c r="D273" s="3" t="str">
        <f>IF(C273="SHOW",CONCATENATE(Temp!T269,Temp!U269,",",Temp!V269,",",Temp!W269,Temp!X269),"")</f>
        <v/>
      </c>
      <c r="E273" s="7"/>
      <c r="F273" s="8" t="str">
        <f t="shared" si="9"/>
        <v/>
      </c>
      <c r="BY273" s="4" t="s">
        <v>5</v>
      </c>
      <c r="BZ273" s="4" t="s">
        <v>5</v>
      </c>
    </row>
    <row r="274" spans="1:78" x14ac:dyDescent="0.25">
      <c r="A274" s="13" t="str">
        <f>IF(AND($E274="",MAX($A$8:$A273)=0),"",IF(AND($E274&lt;&gt;"",MAX($A$8:$A273)=0),1,IF(AND($E274&lt;&gt;"",MAX($A$8:$A273)&gt;0),MAX($A$8:$A273)+1,"")))</f>
        <v/>
      </c>
      <c r="B274" s="11">
        <v>267</v>
      </c>
      <c r="C274" s="19" t="str">
        <f t="shared" si="8"/>
        <v>EMPTY</v>
      </c>
      <c r="D274" s="3" t="str">
        <f>IF(C274="SHOW",CONCATENATE(Temp!T270,Temp!U270,",",Temp!V270,",",Temp!W270,Temp!X270),"")</f>
        <v/>
      </c>
      <c r="E274" s="7"/>
      <c r="F274" s="8" t="str">
        <f t="shared" si="9"/>
        <v/>
      </c>
      <c r="BY274" s="4" t="s">
        <v>5</v>
      </c>
      <c r="BZ274" s="4" t="s">
        <v>5</v>
      </c>
    </row>
    <row r="275" spans="1:78" x14ac:dyDescent="0.25">
      <c r="A275" s="13" t="str">
        <f>IF(AND($E275="",MAX($A$8:$A274)=0),"",IF(AND($E275&lt;&gt;"",MAX($A$8:$A274)=0),1,IF(AND($E275&lt;&gt;"",MAX($A$8:$A274)&gt;0),MAX($A$8:$A274)+1,"")))</f>
        <v/>
      </c>
      <c r="B275" s="11">
        <v>268</v>
      </c>
      <c r="C275" s="19" t="str">
        <f t="shared" si="8"/>
        <v>EMPTY</v>
      </c>
      <c r="D275" s="3" t="str">
        <f>IF(C275="SHOW",CONCATENATE(Temp!T271,Temp!U271,",",Temp!V271,",",Temp!W271,Temp!X271),"")</f>
        <v/>
      </c>
      <c r="E275" s="7"/>
      <c r="F275" s="8" t="str">
        <f t="shared" si="9"/>
        <v/>
      </c>
      <c r="BY275" s="4" t="s">
        <v>5</v>
      </c>
      <c r="BZ275" s="4" t="s">
        <v>5</v>
      </c>
    </row>
    <row r="276" spans="1:78" x14ac:dyDescent="0.25">
      <c r="A276" s="13" t="str">
        <f>IF(AND($E276="",MAX($A$8:$A275)=0),"",IF(AND($E276&lt;&gt;"",MAX($A$8:$A275)=0),1,IF(AND($E276&lt;&gt;"",MAX($A$8:$A275)&gt;0),MAX($A$8:$A275)+1,"")))</f>
        <v/>
      </c>
      <c r="B276" s="11">
        <v>269</v>
      </c>
      <c r="C276" s="19" t="str">
        <f t="shared" si="8"/>
        <v>EMPTY</v>
      </c>
      <c r="D276" s="3" t="str">
        <f>IF(C276="SHOW",CONCATENATE(Temp!T272,Temp!U272,",",Temp!V272,",",Temp!W272,Temp!X272),"")</f>
        <v/>
      </c>
      <c r="E276" s="7"/>
      <c r="F276" s="8" t="str">
        <f t="shared" si="9"/>
        <v/>
      </c>
      <c r="BY276" s="4" t="s">
        <v>5</v>
      </c>
      <c r="BZ276" s="4" t="s">
        <v>5</v>
      </c>
    </row>
    <row r="277" spans="1:78" x14ac:dyDescent="0.25">
      <c r="A277" s="13" t="str">
        <f>IF(AND($E277="",MAX($A$8:$A276)=0),"",IF(AND($E277&lt;&gt;"",MAX($A$8:$A276)=0),1,IF(AND($E277&lt;&gt;"",MAX($A$8:$A276)&gt;0),MAX($A$8:$A276)+1,"")))</f>
        <v/>
      </c>
      <c r="B277" s="11">
        <v>270</v>
      </c>
      <c r="C277" s="19" t="str">
        <f t="shared" si="8"/>
        <v>EMPTY</v>
      </c>
      <c r="D277" s="3" t="str">
        <f>IF(C277="SHOW",CONCATENATE(Temp!T273,Temp!U273,",",Temp!V273,",",Temp!W273,Temp!X273),"")</f>
        <v/>
      </c>
      <c r="E277" s="7"/>
      <c r="F277" s="8" t="str">
        <f t="shared" si="9"/>
        <v/>
      </c>
      <c r="BY277" s="4" t="s">
        <v>5</v>
      </c>
      <c r="BZ277" s="4" t="s">
        <v>5</v>
      </c>
    </row>
    <row r="278" spans="1:78" x14ac:dyDescent="0.25">
      <c r="A278" s="13" t="str">
        <f>IF(AND($E278="",MAX($A$8:$A277)=0),"",IF(AND($E278&lt;&gt;"",MAX($A$8:$A277)=0),1,IF(AND($E278&lt;&gt;"",MAX($A$8:$A277)&gt;0),MAX($A$8:$A277)+1,"")))</f>
        <v/>
      </c>
      <c r="B278" s="11">
        <v>271</v>
      </c>
      <c r="C278" s="19" t="str">
        <f t="shared" si="8"/>
        <v>EMPTY</v>
      </c>
      <c r="D278" s="3" t="str">
        <f>IF(C278="SHOW",CONCATENATE(Temp!T274,Temp!U274,",",Temp!V274,",",Temp!W274,Temp!X274),"")</f>
        <v/>
      </c>
      <c r="E278" s="7"/>
      <c r="F278" s="8" t="str">
        <f t="shared" si="9"/>
        <v/>
      </c>
      <c r="BY278" s="4" t="s">
        <v>5</v>
      </c>
      <c r="BZ278" s="4" t="s">
        <v>5</v>
      </c>
    </row>
    <row r="279" spans="1:78" x14ac:dyDescent="0.25">
      <c r="A279" s="13" t="str">
        <f>IF(AND($E279="",MAX($A$8:$A278)=0),"",IF(AND($E279&lt;&gt;"",MAX($A$8:$A278)=0),1,IF(AND($E279&lt;&gt;"",MAX($A$8:$A278)&gt;0),MAX($A$8:$A278)+1,"")))</f>
        <v/>
      </c>
      <c r="B279" s="11">
        <v>272</v>
      </c>
      <c r="C279" s="19" t="str">
        <f t="shared" si="8"/>
        <v>EMPTY</v>
      </c>
      <c r="D279" s="3" t="str">
        <f>IF(C279="SHOW",CONCATENATE(Temp!T275,Temp!U275,",",Temp!V275,",",Temp!W275,Temp!X275),"")</f>
        <v/>
      </c>
      <c r="E279" s="7"/>
      <c r="F279" s="8" t="str">
        <f t="shared" si="9"/>
        <v/>
      </c>
      <c r="BY279" s="4" t="s">
        <v>5</v>
      </c>
      <c r="BZ279" s="4" t="s">
        <v>5</v>
      </c>
    </row>
    <row r="280" spans="1:78" x14ac:dyDescent="0.25">
      <c r="A280" s="13" t="str">
        <f>IF(AND($E280="",MAX($A$8:$A279)=0),"",IF(AND($E280&lt;&gt;"",MAX($A$8:$A279)=0),1,IF(AND($E280&lt;&gt;"",MAX($A$8:$A279)&gt;0),MAX($A$8:$A279)+1,"")))</f>
        <v/>
      </c>
      <c r="B280" s="11">
        <v>273</v>
      </c>
      <c r="C280" s="19" t="str">
        <f t="shared" si="8"/>
        <v>EMPTY</v>
      </c>
      <c r="D280" s="3" t="str">
        <f>IF(C280="SHOW",CONCATENATE(Temp!T276,Temp!U276,",",Temp!V276,",",Temp!W276,Temp!X276),"")</f>
        <v/>
      </c>
      <c r="E280" s="7"/>
      <c r="F280" s="8" t="str">
        <f t="shared" si="9"/>
        <v/>
      </c>
      <c r="BY280" s="4" t="s">
        <v>5</v>
      </c>
      <c r="BZ280" s="4" t="s">
        <v>5</v>
      </c>
    </row>
    <row r="281" spans="1:78" x14ac:dyDescent="0.25">
      <c r="A281" s="13" t="str">
        <f>IF(AND($E281="",MAX($A$8:$A280)=0),"",IF(AND($E281&lt;&gt;"",MAX($A$8:$A280)=0),1,IF(AND($E281&lt;&gt;"",MAX($A$8:$A280)&gt;0),MAX($A$8:$A280)+1,"")))</f>
        <v/>
      </c>
      <c r="B281" s="11">
        <v>274</v>
      </c>
      <c r="C281" s="19" t="str">
        <f t="shared" si="8"/>
        <v>EMPTY</v>
      </c>
      <c r="D281" s="3" t="str">
        <f>IF(C281="SHOW",CONCATENATE(Temp!T277,Temp!U277,",",Temp!V277,",",Temp!W277,Temp!X277),"")</f>
        <v/>
      </c>
      <c r="E281" s="7"/>
      <c r="F281" s="8" t="str">
        <f t="shared" si="9"/>
        <v/>
      </c>
      <c r="BY281" s="4" t="s">
        <v>5</v>
      </c>
      <c r="BZ281" s="4" t="s">
        <v>5</v>
      </c>
    </row>
    <row r="282" spans="1:78" x14ac:dyDescent="0.25">
      <c r="A282" s="13" t="str">
        <f>IF(AND($E282="",MAX($A$8:$A281)=0),"",IF(AND($E282&lt;&gt;"",MAX($A$8:$A281)=0),1,IF(AND($E282&lt;&gt;"",MAX($A$8:$A281)&gt;0),MAX($A$8:$A281)+1,"")))</f>
        <v/>
      </c>
      <c r="B282" s="11">
        <v>275</v>
      </c>
      <c r="C282" s="19" t="str">
        <f t="shared" si="8"/>
        <v>EMPTY</v>
      </c>
      <c r="D282" s="3" t="str">
        <f>IF(C282="SHOW",CONCATENATE(Temp!T278,Temp!U278,",",Temp!V278,",",Temp!W278,Temp!X278),"")</f>
        <v/>
      </c>
      <c r="E282" s="7"/>
      <c r="F282" s="8" t="str">
        <f t="shared" si="9"/>
        <v/>
      </c>
      <c r="BY282" s="4" t="s">
        <v>5</v>
      </c>
      <c r="BZ282" s="4" t="s">
        <v>5</v>
      </c>
    </row>
    <row r="283" spans="1:78" x14ac:dyDescent="0.25">
      <c r="A283" s="13" t="str">
        <f>IF(AND($E283="",MAX($A$8:$A282)=0),"",IF(AND($E283&lt;&gt;"",MAX($A$8:$A282)=0),1,IF(AND($E283&lt;&gt;"",MAX($A$8:$A282)&gt;0),MAX($A$8:$A282)+1,"")))</f>
        <v/>
      </c>
      <c r="B283" s="11">
        <v>276</v>
      </c>
      <c r="C283" s="19" t="str">
        <f t="shared" si="8"/>
        <v>EMPTY</v>
      </c>
      <c r="D283" s="3" t="str">
        <f>IF(C283="SHOW",CONCATENATE(Temp!T279,Temp!U279,",",Temp!V279,",",Temp!W279,Temp!X279),"")</f>
        <v/>
      </c>
      <c r="E283" s="7"/>
      <c r="F283" s="8" t="str">
        <f t="shared" si="9"/>
        <v/>
      </c>
      <c r="BY283" s="4" t="s">
        <v>5</v>
      </c>
      <c r="BZ283" s="4" t="s">
        <v>5</v>
      </c>
    </row>
    <row r="284" spans="1:78" x14ac:dyDescent="0.25">
      <c r="A284" s="13" t="str">
        <f>IF(AND($E284="",MAX($A$8:$A283)=0),"",IF(AND($E284&lt;&gt;"",MAX($A$8:$A283)=0),1,IF(AND($E284&lt;&gt;"",MAX($A$8:$A283)&gt;0),MAX($A$8:$A283)+1,"")))</f>
        <v/>
      </c>
      <c r="B284" s="11">
        <v>277</v>
      </c>
      <c r="C284" s="19" t="str">
        <f t="shared" si="8"/>
        <v>EMPTY</v>
      </c>
      <c r="D284" s="3" t="str">
        <f>IF(C284="SHOW",CONCATENATE(Temp!T280,Temp!U280,",",Temp!V280,",",Temp!W280,Temp!X280),"")</f>
        <v/>
      </c>
      <c r="E284" s="7"/>
      <c r="F284" s="8" t="str">
        <f t="shared" si="9"/>
        <v/>
      </c>
      <c r="BY284" s="4" t="s">
        <v>5</v>
      </c>
      <c r="BZ284" s="4" t="s">
        <v>5</v>
      </c>
    </row>
    <row r="285" spans="1:78" x14ac:dyDescent="0.25">
      <c r="A285" s="13" t="str">
        <f>IF(AND($E285="",MAX($A$8:$A284)=0),"",IF(AND($E285&lt;&gt;"",MAX($A$8:$A284)=0),1,IF(AND($E285&lt;&gt;"",MAX($A$8:$A284)&gt;0),MAX($A$8:$A284)+1,"")))</f>
        <v/>
      </c>
      <c r="B285" s="11">
        <v>278</v>
      </c>
      <c r="C285" s="19" t="str">
        <f t="shared" si="8"/>
        <v>EMPTY</v>
      </c>
      <c r="D285" s="3" t="str">
        <f>IF(C285="SHOW",CONCATENATE(Temp!T281,Temp!U281,",",Temp!V281,",",Temp!W281,Temp!X281),"")</f>
        <v/>
      </c>
      <c r="E285" s="7"/>
      <c r="F285" s="8" t="str">
        <f t="shared" si="9"/>
        <v/>
      </c>
      <c r="BY285" s="4" t="s">
        <v>5</v>
      </c>
      <c r="BZ285" s="4" t="s">
        <v>5</v>
      </c>
    </row>
    <row r="286" spans="1:78" x14ac:dyDescent="0.25">
      <c r="A286" s="13" t="str">
        <f>IF(AND($E286="",MAX($A$8:$A285)=0),"",IF(AND($E286&lt;&gt;"",MAX($A$8:$A285)=0),1,IF(AND($E286&lt;&gt;"",MAX($A$8:$A285)&gt;0),MAX($A$8:$A285)+1,"")))</f>
        <v/>
      </c>
      <c r="B286" s="11">
        <v>279</v>
      </c>
      <c r="C286" s="19" t="str">
        <f t="shared" si="8"/>
        <v>EMPTY</v>
      </c>
      <c r="D286" s="3" t="str">
        <f>IF(C286="SHOW",CONCATENATE(Temp!T282,Temp!U282,",",Temp!V282,",",Temp!W282,Temp!X282),"")</f>
        <v/>
      </c>
      <c r="E286" s="7"/>
      <c r="F286" s="8" t="str">
        <f t="shared" si="9"/>
        <v/>
      </c>
      <c r="BY286" s="4" t="s">
        <v>5</v>
      </c>
      <c r="BZ286" s="4" t="s">
        <v>5</v>
      </c>
    </row>
    <row r="287" spans="1:78" x14ac:dyDescent="0.25">
      <c r="A287" s="13" t="str">
        <f>IF(AND($E287="",MAX($A$8:$A286)=0),"",IF(AND($E287&lt;&gt;"",MAX($A$8:$A286)=0),1,IF(AND($E287&lt;&gt;"",MAX($A$8:$A286)&gt;0),MAX($A$8:$A286)+1,"")))</f>
        <v/>
      </c>
      <c r="B287" s="11">
        <v>280</v>
      </c>
      <c r="C287" s="19" t="str">
        <f t="shared" si="8"/>
        <v>EMPTY</v>
      </c>
      <c r="D287" s="3" t="str">
        <f>IF(C287="SHOW",CONCATENATE(Temp!T283,Temp!U283,",",Temp!V283,",",Temp!W283,Temp!X283),"")</f>
        <v/>
      </c>
      <c r="E287" s="7"/>
      <c r="F287" s="8" t="str">
        <f t="shared" si="9"/>
        <v/>
      </c>
      <c r="BY287" s="4" t="s">
        <v>5</v>
      </c>
      <c r="BZ287" s="4" t="s">
        <v>5</v>
      </c>
    </row>
    <row r="288" spans="1:78" x14ac:dyDescent="0.25">
      <c r="A288" s="13" t="str">
        <f>IF(AND($E288="",MAX($A$8:$A287)=0),"",IF(AND($E288&lt;&gt;"",MAX($A$8:$A287)=0),1,IF(AND($E288&lt;&gt;"",MAX($A$8:$A287)&gt;0),MAX($A$8:$A287)+1,"")))</f>
        <v/>
      </c>
      <c r="B288" s="11">
        <v>281</v>
      </c>
      <c r="C288" s="19" t="str">
        <f t="shared" si="8"/>
        <v>EMPTY</v>
      </c>
      <c r="D288" s="3" t="str">
        <f>IF(C288="SHOW",CONCATENATE(Temp!T284,Temp!U284,",",Temp!V284,",",Temp!W284,Temp!X284),"")</f>
        <v/>
      </c>
      <c r="E288" s="7"/>
      <c r="F288" s="8" t="str">
        <f t="shared" si="9"/>
        <v/>
      </c>
      <c r="BY288" s="4" t="s">
        <v>5</v>
      </c>
      <c r="BZ288" s="4" t="s">
        <v>5</v>
      </c>
    </row>
    <row r="289" spans="1:78" x14ac:dyDescent="0.25">
      <c r="A289" s="13" t="str">
        <f>IF(AND($E289="",MAX($A$8:$A288)=0),"",IF(AND($E289&lt;&gt;"",MAX($A$8:$A288)=0),1,IF(AND($E289&lt;&gt;"",MAX($A$8:$A288)&gt;0),MAX($A$8:$A288)+1,"")))</f>
        <v/>
      </c>
      <c r="B289" s="11">
        <v>282</v>
      </c>
      <c r="C289" s="19" t="str">
        <f t="shared" si="8"/>
        <v>EMPTY</v>
      </c>
      <c r="D289" s="3" t="str">
        <f>IF(C289="SHOW",CONCATENATE(Temp!T285,Temp!U285,",",Temp!V285,",",Temp!W285,Temp!X285),"")</f>
        <v/>
      </c>
      <c r="E289" s="7"/>
      <c r="F289" s="8" t="str">
        <f t="shared" si="9"/>
        <v/>
      </c>
      <c r="BY289" s="4" t="s">
        <v>5</v>
      </c>
      <c r="BZ289" s="4" t="s">
        <v>5</v>
      </c>
    </row>
    <row r="290" spans="1:78" x14ac:dyDescent="0.25">
      <c r="A290" s="13" t="str">
        <f>IF(AND($E290="",MAX($A$8:$A289)=0),"",IF(AND($E290&lt;&gt;"",MAX($A$8:$A289)=0),1,IF(AND($E290&lt;&gt;"",MAX($A$8:$A289)&gt;0),MAX($A$8:$A289)+1,"")))</f>
        <v/>
      </c>
      <c r="B290" s="11">
        <v>283</v>
      </c>
      <c r="C290" s="19" t="str">
        <f t="shared" si="8"/>
        <v>EMPTY</v>
      </c>
      <c r="D290" s="3" t="str">
        <f>IF(C290="SHOW",CONCATENATE(Temp!T286,Temp!U286,",",Temp!V286,",",Temp!W286,Temp!X286),"")</f>
        <v/>
      </c>
      <c r="E290" s="7"/>
      <c r="F290" s="8" t="str">
        <f t="shared" si="9"/>
        <v/>
      </c>
      <c r="BY290" s="4" t="s">
        <v>5</v>
      </c>
      <c r="BZ290" s="4" t="s">
        <v>5</v>
      </c>
    </row>
    <row r="291" spans="1:78" x14ac:dyDescent="0.25">
      <c r="A291" s="13" t="str">
        <f>IF(AND($E291="",MAX($A$8:$A290)=0),"",IF(AND($E291&lt;&gt;"",MAX($A$8:$A290)=0),1,IF(AND($E291&lt;&gt;"",MAX($A$8:$A290)&gt;0),MAX($A$8:$A290)+1,"")))</f>
        <v/>
      </c>
      <c r="B291" s="11">
        <v>284</v>
      </c>
      <c r="C291" s="19" t="str">
        <f t="shared" si="8"/>
        <v>EMPTY</v>
      </c>
      <c r="D291" s="3" t="str">
        <f>IF(C291="SHOW",CONCATENATE(Temp!T287,Temp!U287,",",Temp!V287,",",Temp!W287,Temp!X287),"")</f>
        <v/>
      </c>
      <c r="E291" s="7"/>
      <c r="F291" s="8" t="str">
        <f t="shared" si="9"/>
        <v/>
      </c>
      <c r="BY291" s="4" t="s">
        <v>5</v>
      </c>
      <c r="BZ291" s="4" t="s">
        <v>5</v>
      </c>
    </row>
    <row r="292" spans="1:78" x14ac:dyDescent="0.25">
      <c r="A292" s="13" t="str">
        <f>IF(AND($E292="",MAX($A$8:$A291)=0),"",IF(AND($E292&lt;&gt;"",MAX($A$8:$A291)=0),1,IF(AND($E292&lt;&gt;"",MAX($A$8:$A291)&gt;0),MAX($A$8:$A291)+1,"")))</f>
        <v/>
      </c>
      <c r="B292" s="11">
        <v>285</v>
      </c>
      <c r="C292" s="19" t="str">
        <f t="shared" si="8"/>
        <v>EMPTY</v>
      </c>
      <c r="D292" s="3" t="str">
        <f>IF(C292="SHOW",CONCATENATE(Temp!T288,Temp!U288,",",Temp!V288,",",Temp!W288,Temp!X288),"")</f>
        <v/>
      </c>
      <c r="E292" s="7"/>
      <c r="F292" s="8" t="str">
        <f t="shared" si="9"/>
        <v/>
      </c>
      <c r="BY292" s="4" t="s">
        <v>5</v>
      </c>
      <c r="BZ292" s="4" t="s">
        <v>5</v>
      </c>
    </row>
    <row r="293" spans="1:78" x14ac:dyDescent="0.25">
      <c r="A293" s="13" t="str">
        <f>IF(AND($E293="",MAX($A$8:$A292)=0),"",IF(AND($E293&lt;&gt;"",MAX($A$8:$A292)=0),1,IF(AND($E293&lt;&gt;"",MAX($A$8:$A292)&gt;0),MAX($A$8:$A292)+1,"")))</f>
        <v/>
      </c>
      <c r="B293" s="11">
        <v>286</v>
      </c>
      <c r="C293" s="19" t="str">
        <f t="shared" si="8"/>
        <v>EMPTY</v>
      </c>
      <c r="D293" s="3" t="str">
        <f>IF(C293="SHOW",CONCATENATE(Temp!T289,Temp!U289,",",Temp!V289,",",Temp!W289,Temp!X289),"")</f>
        <v/>
      </c>
      <c r="E293" s="7"/>
      <c r="F293" s="8" t="str">
        <f t="shared" si="9"/>
        <v/>
      </c>
      <c r="BY293" s="4" t="s">
        <v>5</v>
      </c>
      <c r="BZ293" s="4" t="s">
        <v>5</v>
      </c>
    </row>
    <row r="294" spans="1:78" x14ac:dyDescent="0.25">
      <c r="A294" s="13" t="str">
        <f>IF(AND($E294="",MAX($A$8:$A293)=0),"",IF(AND($E294&lt;&gt;"",MAX($A$8:$A293)=0),1,IF(AND($E294&lt;&gt;"",MAX($A$8:$A293)&gt;0),MAX($A$8:$A293)+1,"")))</f>
        <v/>
      </c>
      <c r="B294" s="11">
        <v>287</v>
      </c>
      <c r="C294" s="19" t="str">
        <f t="shared" si="8"/>
        <v>EMPTY</v>
      </c>
      <c r="D294" s="3" t="str">
        <f>IF(C294="SHOW",CONCATENATE(Temp!T290,Temp!U290,",",Temp!V290,",",Temp!W290,Temp!X290),"")</f>
        <v/>
      </c>
      <c r="E294" s="7"/>
      <c r="F294" s="8" t="str">
        <f t="shared" si="9"/>
        <v/>
      </c>
      <c r="BY294" s="4" t="s">
        <v>5</v>
      </c>
      <c r="BZ294" s="4" t="s">
        <v>5</v>
      </c>
    </row>
    <row r="295" spans="1:78" x14ac:dyDescent="0.25">
      <c r="A295" s="13" t="str">
        <f>IF(AND($E295="",MAX($A$8:$A294)=0),"",IF(AND($E295&lt;&gt;"",MAX($A$8:$A294)=0),1,IF(AND($E295&lt;&gt;"",MAX($A$8:$A294)&gt;0),MAX($A$8:$A294)+1,"")))</f>
        <v/>
      </c>
      <c r="B295" s="11">
        <v>288</v>
      </c>
      <c r="C295" s="19" t="str">
        <f t="shared" si="8"/>
        <v>EMPTY</v>
      </c>
      <c r="D295" s="3" t="str">
        <f>IF(C295="SHOW",CONCATENATE(Temp!T291,Temp!U291,",",Temp!V291,",",Temp!W291,Temp!X291),"")</f>
        <v/>
      </c>
      <c r="E295" s="7"/>
      <c r="F295" s="8" t="str">
        <f t="shared" si="9"/>
        <v/>
      </c>
      <c r="BY295" s="4" t="s">
        <v>5</v>
      </c>
      <c r="BZ295" s="4" t="s">
        <v>5</v>
      </c>
    </row>
    <row r="296" spans="1:78" x14ac:dyDescent="0.25">
      <c r="A296" s="13" t="str">
        <f>IF(AND($E296="",MAX($A$8:$A295)=0),"",IF(AND($E296&lt;&gt;"",MAX($A$8:$A295)=0),1,IF(AND($E296&lt;&gt;"",MAX($A$8:$A295)&gt;0),MAX($A$8:$A295)+1,"")))</f>
        <v/>
      </c>
      <c r="B296" s="11">
        <v>289</v>
      </c>
      <c r="C296" s="19" t="str">
        <f t="shared" si="8"/>
        <v>EMPTY</v>
      </c>
      <c r="D296" s="3" t="str">
        <f>IF(C296="SHOW",CONCATENATE(Temp!T292,Temp!U292,",",Temp!V292,",",Temp!W292,Temp!X292),"")</f>
        <v/>
      </c>
      <c r="E296" s="7"/>
      <c r="F296" s="8" t="str">
        <f t="shared" si="9"/>
        <v/>
      </c>
      <c r="BY296" s="4" t="s">
        <v>5</v>
      </c>
      <c r="BZ296" s="4" t="s">
        <v>5</v>
      </c>
    </row>
    <row r="297" spans="1:78" x14ac:dyDescent="0.25">
      <c r="A297" s="13" t="str">
        <f>IF(AND($E297="",MAX($A$8:$A296)=0),"",IF(AND($E297&lt;&gt;"",MAX($A$8:$A296)=0),1,IF(AND($E297&lt;&gt;"",MAX($A$8:$A296)&gt;0),MAX($A$8:$A296)+1,"")))</f>
        <v/>
      </c>
      <c r="B297" s="11">
        <v>290</v>
      </c>
      <c r="C297" s="19" t="str">
        <f t="shared" si="8"/>
        <v>EMPTY</v>
      </c>
      <c r="D297" s="3" t="str">
        <f>IF(C297="SHOW",CONCATENATE(Temp!T293,Temp!U293,",",Temp!V293,",",Temp!W293,Temp!X293),"")</f>
        <v/>
      </c>
      <c r="E297" s="7"/>
      <c r="F297" s="8" t="str">
        <f t="shared" si="9"/>
        <v/>
      </c>
      <c r="BY297" s="4" t="s">
        <v>5</v>
      </c>
      <c r="BZ297" s="4" t="s">
        <v>5</v>
      </c>
    </row>
    <row r="298" spans="1:78" x14ac:dyDescent="0.25">
      <c r="A298" s="13" t="str">
        <f>IF(AND($E298="",MAX($A$8:$A297)=0),"",IF(AND($E298&lt;&gt;"",MAX($A$8:$A297)=0),1,IF(AND($E298&lt;&gt;"",MAX($A$8:$A297)&gt;0),MAX($A$8:$A297)+1,"")))</f>
        <v/>
      </c>
      <c r="B298" s="11">
        <v>291</v>
      </c>
      <c r="C298" s="19" t="str">
        <f t="shared" si="8"/>
        <v>EMPTY</v>
      </c>
      <c r="D298" s="3" t="str">
        <f>IF(C298="SHOW",CONCATENATE(Temp!T294,Temp!U294,",",Temp!V294,",",Temp!W294,Temp!X294),"")</f>
        <v/>
      </c>
      <c r="E298" s="7"/>
      <c r="F298" s="8" t="str">
        <f t="shared" si="9"/>
        <v/>
      </c>
      <c r="BY298" s="4" t="s">
        <v>5</v>
      </c>
      <c r="BZ298" s="4" t="s">
        <v>5</v>
      </c>
    </row>
    <row r="299" spans="1:78" x14ac:dyDescent="0.25">
      <c r="A299" s="13" t="str">
        <f>IF(AND($E299="",MAX($A$8:$A298)=0),"",IF(AND($E299&lt;&gt;"",MAX($A$8:$A298)=0),1,IF(AND($E299&lt;&gt;"",MAX($A$8:$A298)&gt;0),MAX($A$8:$A298)+1,"")))</f>
        <v/>
      </c>
      <c r="B299" s="11">
        <v>292</v>
      </c>
      <c r="C299" s="19" t="str">
        <f t="shared" si="8"/>
        <v>EMPTY</v>
      </c>
      <c r="D299" s="3" t="str">
        <f>IF(C299="SHOW",CONCATENATE(Temp!T295,Temp!U295,",",Temp!V295,",",Temp!W295,Temp!X295),"")</f>
        <v/>
      </c>
      <c r="E299" s="7"/>
      <c r="F299" s="8" t="str">
        <f t="shared" si="9"/>
        <v/>
      </c>
      <c r="BY299" s="4" t="s">
        <v>5</v>
      </c>
      <c r="BZ299" s="4" t="s">
        <v>5</v>
      </c>
    </row>
    <row r="300" spans="1:78" x14ac:dyDescent="0.25">
      <c r="A300" s="13" t="str">
        <f>IF(AND($E300="",MAX($A$8:$A299)=0),"",IF(AND($E300&lt;&gt;"",MAX($A$8:$A299)=0),1,IF(AND($E300&lt;&gt;"",MAX($A$8:$A299)&gt;0),MAX($A$8:$A299)+1,"")))</f>
        <v/>
      </c>
      <c r="B300" s="11">
        <v>293</v>
      </c>
      <c r="C300" s="19" t="str">
        <f t="shared" si="8"/>
        <v>EMPTY</v>
      </c>
      <c r="D300" s="3" t="str">
        <f>IF(C300="SHOW",CONCATENATE(Temp!T296,Temp!U296,",",Temp!V296,",",Temp!W296,Temp!X296),"")</f>
        <v/>
      </c>
      <c r="E300" s="7"/>
      <c r="F300" s="8" t="str">
        <f t="shared" si="9"/>
        <v/>
      </c>
      <c r="BY300" s="4" t="s">
        <v>5</v>
      </c>
      <c r="BZ300" s="4" t="s">
        <v>5</v>
      </c>
    </row>
    <row r="301" spans="1:78" x14ac:dyDescent="0.25">
      <c r="A301" s="13" t="str">
        <f>IF(AND($E301="",MAX($A$8:$A300)=0),"",IF(AND($E301&lt;&gt;"",MAX($A$8:$A300)=0),1,IF(AND($E301&lt;&gt;"",MAX($A$8:$A300)&gt;0),MAX($A$8:$A300)+1,"")))</f>
        <v/>
      </c>
      <c r="B301" s="11">
        <v>294</v>
      </c>
      <c r="C301" s="19" t="str">
        <f t="shared" si="8"/>
        <v>EMPTY</v>
      </c>
      <c r="D301" s="3" t="str">
        <f>IF(C301="SHOW",CONCATENATE(Temp!T297,Temp!U297,",",Temp!V297,",",Temp!W297,Temp!X297),"")</f>
        <v/>
      </c>
      <c r="E301" s="7"/>
      <c r="F301" s="8" t="str">
        <f t="shared" si="9"/>
        <v/>
      </c>
      <c r="BY301" s="4" t="s">
        <v>5</v>
      </c>
      <c r="BZ301" s="4" t="s">
        <v>5</v>
      </c>
    </row>
    <row r="302" spans="1:78" x14ac:dyDescent="0.25">
      <c r="A302" s="13" t="str">
        <f>IF(AND($E302="",MAX($A$8:$A301)=0),"",IF(AND($E302&lt;&gt;"",MAX($A$8:$A301)=0),1,IF(AND($E302&lt;&gt;"",MAX($A$8:$A301)&gt;0),MAX($A$8:$A301)+1,"")))</f>
        <v/>
      </c>
      <c r="B302" s="11">
        <v>295</v>
      </c>
      <c r="C302" s="19" t="str">
        <f t="shared" si="8"/>
        <v>EMPTY</v>
      </c>
      <c r="D302" s="3" t="str">
        <f>IF(C302="SHOW",CONCATENATE(Temp!T298,Temp!U298,",",Temp!V298,",",Temp!W298,Temp!X298),"")</f>
        <v/>
      </c>
      <c r="E302" s="7"/>
      <c r="F302" s="8" t="str">
        <f t="shared" si="9"/>
        <v/>
      </c>
      <c r="BY302" s="4" t="s">
        <v>5</v>
      </c>
      <c r="BZ302" s="4" t="s">
        <v>5</v>
      </c>
    </row>
    <row r="303" spans="1:78" x14ac:dyDescent="0.25">
      <c r="A303" s="13" t="str">
        <f>IF(AND($E303="",MAX($A$8:$A302)=0),"",IF(AND($E303&lt;&gt;"",MAX($A$8:$A302)=0),1,IF(AND($E303&lt;&gt;"",MAX($A$8:$A302)&gt;0),MAX($A$8:$A302)+1,"")))</f>
        <v/>
      </c>
      <c r="B303" s="11">
        <v>296</v>
      </c>
      <c r="C303" s="19" t="str">
        <f t="shared" si="8"/>
        <v>EMPTY</v>
      </c>
      <c r="D303" s="3" t="str">
        <f>IF(C303="SHOW",CONCATENATE(Temp!T299,Temp!U299,",",Temp!V299,",",Temp!W299,Temp!X299),"")</f>
        <v/>
      </c>
      <c r="E303" s="7"/>
      <c r="F303" s="8" t="str">
        <f t="shared" si="9"/>
        <v/>
      </c>
      <c r="BY303" s="4" t="s">
        <v>5</v>
      </c>
      <c r="BZ303" s="4" t="s">
        <v>5</v>
      </c>
    </row>
    <row r="304" spans="1:78" x14ac:dyDescent="0.25">
      <c r="A304" s="13" t="str">
        <f>IF(AND($E304="",MAX($A$8:$A303)=0),"",IF(AND($E304&lt;&gt;"",MAX($A$8:$A303)=0),1,IF(AND($E304&lt;&gt;"",MAX($A$8:$A303)&gt;0),MAX($A$8:$A303)+1,"")))</f>
        <v/>
      </c>
      <c r="B304" s="11">
        <v>297</v>
      </c>
      <c r="C304" s="19" t="str">
        <f t="shared" si="8"/>
        <v>EMPTY</v>
      </c>
      <c r="D304" s="3" t="str">
        <f>IF(C304="SHOW",CONCATENATE(Temp!T300,Temp!U300,",",Temp!V300,",",Temp!W300,Temp!X300),"")</f>
        <v/>
      </c>
      <c r="E304" s="7"/>
      <c r="F304" s="8" t="str">
        <f t="shared" si="9"/>
        <v/>
      </c>
      <c r="BY304" s="4" t="s">
        <v>5</v>
      </c>
      <c r="BZ304" s="4" t="s">
        <v>5</v>
      </c>
    </row>
    <row r="305" spans="1:78" x14ac:dyDescent="0.25">
      <c r="A305" s="13" t="str">
        <f>IF(AND($E305="",MAX($A$8:$A304)=0),"",IF(AND($E305&lt;&gt;"",MAX($A$8:$A304)=0),1,IF(AND($E305&lt;&gt;"",MAX($A$8:$A304)&gt;0),MAX($A$8:$A304)+1,"")))</f>
        <v/>
      </c>
      <c r="B305" s="11">
        <v>298</v>
      </c>
      <c r="C305" s="19" t="str">
        <f t="shared" si="8"/>
        <v>EMPTY</v>
      </c>
      <c r="D305" s="3" t="str">
        <f>IF(C305="SHOW",CONCATENATE(Temp!T301,Temp!U301,",",Temp!V301,",",Temp!W301,Temp!X301),"")</f>
        <v/>
      </c>
      <c r="E305" s="7"/>
      <c r="F305" s="8" t="str">
        <f t="shared" si="9"/>
        <v/>
      </c>
      <c r="BY305" s="4" t="s">
        <v>5</v>
      </c>
      <c r="BZ305" s="4" t="s">
        <v>5</v>
      </c>
    </row>
    <row r="306" spans="1:78" x14ac:dyDescent="0.25">
      <c r="A306" s="13" t="str">
        <f>IF(AND($E306="",MAX($A$8:$A305)=0),"",IF(AND($E306&lt;&gt;"",MAX($A$8:$A305)=0),1,IF(AND($E306&lt;&gt;"",MAX($A$8:$A305)&gt;0),MAX($A$8:$A305)+1,"")))</f>
        <v/>
      </c>
      <c r="B306" s="11">
        <v>299</v>
      </c>
      <c r="C306" s="19" t="str">
        <f t="shared" si="8"/>
        <v>EMPTY</v>
      </c>
      <c r="D306" s="3" t="str">
        <f>IF(C306="SHOW",CONCATENATE(Temp!T302,Temp!U302,",",Temp!V302,",",Temp!W302,Temp!X302),"")</f>
        <v/>
      </c>
      <c r="E306" s="7"/>
      <c r="F306" s="8" t="str">
        <f t="shared" si="9"/>
        <v/>
      </c>
      <c r="BY306" s="4" t="s">
        <v>5</v>
      </c>
      <c r="BZ306" s="4" t="s">
        <v>5</v>
      </c>
    </row>
    <row r="307" spans="1:78" x14ac:dyDescent="0.25">
      <c r="A307" s="13" t="str">
        <f>IF(AND($E307="",MAX($A$8:$A306)=0),"",IF(AND($E307&lt;&gt;"",MAX($A$8:$A306)=0),1,IF(AND($E307&lt;&gt;"",MAX($A$8:$A306)&gt;0),MAX($A$8:$A306)+1,"")))</f>
        <v/>
      </c>
      <c r="B307" s="11">
        <v>300</v>
      </c>
      <c r="C307" s="19" t="str">
        <f t="shared" si="8"/>
        <v>EMPTY</v>
      </c>
      <c r="D307" s="3" t="str">
        <f>IF(C307="SHOW",CONCATENATE(Temp!T303,Temp!U303,",",Temp!V303,",",Temp!W303,Temp!X303),"")</f>
        <v/>
      </c>
      <c r="E307" s="7"/>
      <c r="F307" s="8" t="str">
        <f t="shared" si="9"/>
        <v/>
      </c>
      <c r="BY307" s="4" t="s">
        <v>5</v>
      </c>
      <c r="BZ307" s="4" t="s">
        <v>5</v>
      </c>
    </row>
    <row r="308" spans="1:78" x14ac:dyDescent="0.25">
      <c r="A308" s="13" t="str">
        <f>IF(AND($E308="",MAX($A$8:$A307)=0),"",IF(AND($E308&lt;&gt;"",MAX($A$8:$A307)=0),1,IF(AND($E308&lt;&gt;"",MAX($A$8:$A307)&gt;0),MAX($A$8:$A307)+1,"")))</f>
        <v/>
      </c>
      <c r="B308" s="11">
        <v>301</v>
      </c>
      <c r="C308" s="19" t="str">
        <f t="shared" si="8"/>
        <v>EMPTY</v>
      </c>
      <c r="D308" s="3" t="str">
        <f>IF(C308="SHOW",CONCATENATE(Temp!T304,Temp!U304,",",Temp!V304,",",Temp!W304,Temp!X304),"")</f>
        <v/>
      </c>
      <c r="E308" s="7"/>
      <c r="F308" s="8" t="str">
        <f t="shared" si="9"/>
        <v/>
      </c>
      <c r="BY308" s="4" t="s">
        <v>5</v>
      </c>
      <c r="BZ308" s="4" t="s">
        <v>5</v>
      </c>
    </row>
    <row r="309" spans="1:78" x14ac:dyDescent="0.25">
      <c r="A309" s="13" t="str">
        <f>IF(AND($E309="",MAX($A$8:$A308)=0),"",IF(AND($E309&lt;&gt;"",MAX($A$8:$A308)=0),1,IF(AND($E309&lt;&gt;"",MAX($A$8:$A308)&gt;0),MAX($A$8:$A308)+1,"")))</f>
        <v/>
      </c>
      <c r="B309" s="11">
        <v>302</v>
      </c>
      <c r="C309" s="19" t="str">
        <f t="shared" si="8"/>
        <v>EMPTY</v>
      </c>
      <c r="D309" s="3" t="str">
        <f>IF(C309="SHOW",CONCATENATE(Temp!T305,Temp!U305,",",Temp!V305,",",Temp!W305,Temp!X305),"")</f>
        <v/>
      </c>
      <c r="E309" s="7"/>
      <c r="F309" s="8" t="str">
        <f t="shared" si="9"/>
        <v/>
      </c>
      <c r="BY309" s="4" t="s">
        <v>5</v>
      </c>
      <c r="BZ309" s="4" t="s">
        <v>5</v>
      </c>
    </row>
    <row r="310" spans="1:78" x14ac:dyDescent="0.25">
      <c r="A310" s="13" t="str">
        <f>IF(AND($E310="",MAX($A$8:$A309)=0),"",IF(AND($E310&lt;&gt;"",MAX($A$8:$A309)=0),1,IF(AND($E310&lt;&gt;"",MAX($A$8:$A309)&gt;0),MAX($A$8:$A309)+1,"")))</f>
        <v/>
      </c>
      <c r="B310" s="11">
        <v>303</v>
      </c>
      <c r="C310" s="19" t="str">
        <f t="shared" si="8"/>
        <v>EMPTY</v>
      </c>
      <c r="D310" s="3" t="str">
        <f>IF(C310="SHOW",CONCATENATE(Temp!T306,Temp!U306,",",Temp!V306,",",Temp!W306,Temp!X306),"")</f>
        <v/>
      </c>
      <c r="E310" s="7"/>
      <c r="F310" s="8" t="str">
        <f t="shared" si="9"/>
        <v/>
      </c>
      <c r="BY310" s="4" t="s">
        <v>5</v>
      </c>
      <c r="BZ310" s="4" t="s">
        <v>5</v>
      </c>
    </row>
    <row r="311" spans="1:78" x14ac:dyDescent="0.25">
      <c r="A311" s="13" t="str">
        <f>IF(AND($E311="",MAX($A$8:$A310)=0),"",IF(AND($E311&lt;&gt;"",MAX($A$8:$A310)=0),1,IF(AND($E311&lt;&gt;"",MAX($A$8:$A310)&gt;0),MAX($A$8:$A310)+1,"")))</f>
        <v/>
      </c>
      <c r="B311" s="11">
        <v>304</v>
      </c>
      <c r="C311" s="19" t="str">
        <f t="shared" si="8"/>
        <v>EMPTY</v>
      </c>
      <c r="D311" s="3" t="str">
        <f>IF(C311="SHOW",CONCATENATE(Temp!T307,Temp!U307,",",Temp!V307,",",Temp!W307,Temp!X307),"")</f>
        <v/>
      </c>
      <c r="E311" s="7"/>
      <c r="F311" s="8" t="str">
        <f t="shared" si="9"/>
        <v/>
      </c>
      <c r="BY311" s="4" t="s">
        <v>5</v>
      </c>
      <c r="BZ311" s="4" t="s">
        <v>5</v>
      </c>
    </row>
    <row r="312" spans="1:78" x14ac:dyDescent="0.25">
      <c r="A312" s="13" t="str">
        <f>IF(AND($E312="",MAX($A$8:$A311)=0),"",IF(AND($E312&lt;&gt;"",MAX($A$8:$A311)=0),1,IF(AND($E312&lt;&gt;"",MAX($A$8:$A311)&gt;0),MAX($A$8:$A311)+1,"")))</f>
        <v/>
      </c>
      <c r="B312" s="11">
        <v>305</v>
      </c>
      <c r="C312" s="19" t="str">
        <f t="shared" si="8"/>
        <v>EMPTY</v>
      </c>
      <c r="D312" s="3" t="str">
        <f>IF(C312="SHOW",CONCATENATE(Temp!T308,Temp!U308,",",Temp!V308,",",Temp!W308,Temp!X308),"")</f>
        <v/>
      </c>
      <c r="E312" s="7"/>
      <c r="F312" s="8" t="str">
        <f t="shared" si="9"/>
        <v/>
      </c>
      <c r="BY312" s="4" t="s">
        <v>5</v>
      </c>
      <c r="BZ312" s="4" t="s">
        <v>5</v>
      </c>
    </row>
    <row r="313" spans="1:78" x14ac:dyDescent="0.25">
      <c r="A313" s="13" t="str">
        <f>IF(AND($E313="",MAX($A$8:$A312)=0),"",IF(AND($E313&lt;&gt;"",MAX($A$8:$A312)=0),1,IF(AND($E313&lt;&gt;"",MAX($A$8:$A312)&gt;0),MAX($A$8:$A312)+1,"")))</f>
        <v/>
      </c>
      <c r="B313" s="11">
        <v>306</v>
      </c>
      <c r="C313" s="19" t="str">
        <f t="shared" si="8"/>
        <v>EMPTY</v>
      </c>
      <c r="D313" s="3" t="str">
        <f>IF(C313="SHOW",CONCATENATE(Temp!T309,Temp!U309,",",Temp!V309,",",Temp!W309,Temp!X309),"")</f>
        <v/>
      </c>
      <c r="E313" s="7"/>
      <c r="F313" s="8" t="str">
        <f t="shared" si="9"/>
        <v/>
      </c>
      <c r="BY313" s="4" t="s">
        <v>5</v>
      </c>
      <c r="BZ313" s="4" t="s">
        <v>5</v>
      </c>
    </row>
    <row r="314" spans="1:78" x14ac:dyDescent="0.25">
      <c r="A314" s="13" t="str">
        <f>IF(AND($E314="",MAX($A$8:$A313)=0),"",IF(AND($E314&lt;&gt;"",MAX($A$8:$A313)=0),1,IF(AND($E314&lt;&gt;"",MAX($A$8:$A313)&gt;0),MAX($A$8:$A313)+1,"")))</f>
        <v/>
      </c>
      <c r="B314" s="11">
        <v>307</v>
      </c>
      <c r="C314" s="19" t="str">
        <f t="shared" si="8"/>
        <v>EMPTY</v>
      </c>
      <c r="D314" s="3" t="str">
        <f>IF(C314="SHOW",CONCATENATE(Temp!T310,Temp!U310,",",Temp!V310,",",Temp!W310,Temp!X310),"")</f>
        <v/>
      </c>
      <c r="E314" s="7"/>
      <c r="F314" s="8" t="str">
        <f t="shared" si="9"/>
        <v/>
      </c>
      <c r="BY314" s="4" t="s">
        <v>5</v>
      </c>
      <c r="BZ314" s="4" t="s">
        <v>5</v>
      </c>
    </row>
    <row r="315" spans="1:78" x14ac:dyDescent="0.25">
      <c r="A315" s="13" t="str">
        <f>IF(AND($E315="",MAX($A$8:$A314)=0),"",IF(AND($E315&lt;&gt;"",MAX($A$8:$A314)=0),1,IF(AND($E315&lt;&gt;"",MAX($A$8:$A314)&gt;0),MAX($A$8:$A314)+1,"")))</f>
        <v/>
      </c>
      <c r="B315" s="11">
        <v>308</v>
      </c>
      <c r="C315" s="19" t="str">
        <f t="shared" si="8"/>
        <v>EMPTY</v>
      </c>
      <c r="D315" s="3" t="str">
        <f>IF(C315="SHOW",CONCATENATE(Temp!T311,Temp!U311,",",Temp!V311,",",Temp!W311,Temp!X311),"")</f>
        <v/>
      </c>
      <c r="E315" s="7"/>
      <c r="F315" s="8" t="str">
        <f t="shared" si="9"/>
        <v/>
      </c>
      <c r="BY315" s="4" t="s">
        <v>5</v>
      </c>
      <c r="BZ315" s="4" t="s">
        <v>5</v>
      </c>
    </row>
    <row r="316" spans="1:78" x14ac:dyDescent="0.25">
      <c r="A316" s="13" t="str">
        <f>IF(AND($E316="",MAX($A$8:$A315)=0),"",IF(AND($E316&lt;&gt;"",MAX($A$8:$A315)=0),1,IF(AND($E316&lt;&gt;"",MAX($A$8:$A315)&gt;0),MAX($A$8:$A315)+1,"")))</f>
        <v/>
      </c>
      <c r="B316" s="11">
        <v>309</v>
      </c>
      <c r="C316" s="19" t="str">
        <f t="shared" si="8"/>
        <v>EMPTY</v>
      </c>
      <c r="D316" s="3" t="str">
        <f>IF(C316="SHOW",CONCATENATE(Temp!T312,Temp!U312,",",Temp!V312,",",Temp!W312,Temp!X312),"")</f>
        <v/>
      </c>
      <c r="E316" s="7"/>
      <c r="F316" s="8" t="str">
        <f t="shared" si="9"/>
        <v/>
      </c>
      <c r="BY316" s="4" t="s">
        <v>5</v>
      </c>
      <c r="BZ316" s="4" t="s">
        <v>5</v>
      </c>
    </row>
    <row r="317" spans="1:78" x14ac:dyDescent="0.25">
      <c r="A317" s="13" t="str">
        <f>IF(AND($E317="",MAX($A$8:$A316)=0),"",IF(AND($E317&lt;&gt;"",MAX($A$8:$A316)=0),1,IF(AND($E317&lt;&gt;"",MAX($A$8:$A316)&gt;0),MAX($A$8:$A316)+1,"")))</f>
        <v/>
      </c>
      <c r="B317" s="11">
        <v>310</v>
      </c>
      <c r="C317" s="19" t="str">
        <f t="shared" si="8"/>
        <v>EMPTY</v>
      </c>
      <c r="D317" s="3" t="str">
        <f>IF(C317="SHOW",CONCATENATE(Temp!T313,Temp!U313,",",Temp!V313,",",Temp!W313,Temp!X313),"")</f>
        <v/>
      </c>
      <c r="E317" s="7"/>
      <c r="F317" s="8" t="str">
        <f t="shared" si="9"/>
        <v/>
      </c>
      <c r="BY317" s="4" t="s">
        <v>5</v>
      </c>
      <c r="BZ317" s="4" t="s">
        <v>5</v>
      </c>
    </row>
    <row r="318" spans="1:78" x14ac:dyDescent="0.25">
      <c r="A318" s="13" t="str">
        <f>IF(AND($E318="",MAX($A$8:$A317)=0),"",IF(AND($E318&lt;&gt;"",MAX($A$8:$A317)=0),1,IF(AND($E318&lt;&gt;"",MAX($A$8:$A317)&gt;0),MAX($A$8:$A317)+1,"")))</f>
        <v/>
      </c>
      <c r="B318" s="11">
        <v>311</v>
      </c>
      <c r="C318" s="19" t="str">
        <f t="shared" si="8"/>
        <v>EMPTY</v>
      </c>
      <c r="D318" s="3" t="str">
        <f>IF(C318="SHOW",CONCATENATE(Temp!T314,Temp!U314,",",Temp!V314,",",Temp!W314,Temp!X314),"")</f>
        <v/>
      </c>
      <c r="E318" s="7"/>
      <c r="F318" s="8" t="str">
        <f t="shared" si="9"/>
        <v/>
      </c>
      <c r="BY318" s="4" t="s">
        <v>5</v>
      </c>
      <c r="BZ318" s="4" t="s">
        <v>5</v>
      </c>
    </row>
    <row r="319" spans="1:78" x14ac:dyDescent="0.25">
      <c r="A319" s="13" t="str">
        <f>IF(AND($E319="",MAX($A$8:$A318)=0),"",IF(AND($E319&lt;&gt;"",MAX($A$8:$A318)=0),1,IF(AND($E319&lt;&gt;"",MAX($A$8:$A318)&gt;0),MAX($A$8:$A318)+1,"")))</f>
        <v/>
      </c>
      <c r="B319" s="11">
        <v>312</v>
      </c>
      <c r="C319" s="19" t="str">
        <f t="shared" si="8"/>
        <v>EMPTY</v>
      </c>
      <c r="D319" s="3" t="str">
        <f>IF(C319="SHOW",CONCATENATE(Temp!T315,Temp!U315,",",Temp!V315,",",Temp!W315,Temp!X315),"")</f>
        <v/>
      </c>
      <c r="E319" s="7"/>
      <c r="F319" s="8" t="str">
        <f t="shared" si="9"/>
        <v/>
      </c>
      <c r="BY319" s="4" t="s">
        <v>5</v>
      </c>
      <c r="BZ319" s="4" t="s">
        <v>5</v>
      </c>
    </row>
    <row r="320" spans="1:78" x14ac:dyDescent="0.25">
      <c r="A320" s="13" t="str">
        <f>IF(AND($E320="",MAX($A$8:$A319)=0),"",IF(AND($E320&lt;&gt;"",MAX($A$8:$A319)=0),1,IF(AND($E320&lt;&gt;"",MAX($A$8:$A319)&gt;0),MAX($A$8:$A319)+1,"")))</f>
        <v/>
      </c>
      <c r="B320" s="11">
        <v>313</v>
      </c>
      <c r="C320" s="19" t="str">
        <f t="shared" si="8"/>
        <v>EMPTY</v>
      </c>
      <c r="D320" s="3" t="str">
        <f>IF(C320="SHOW",CONCATENATE(Temp!T316,Temp!U316,",",Temp!V316,",",Temp!W316,Temp!X316),"")</f>
        <v/>
      </c>
      <c r="E320" s="7"/>
      <c r="F320" s="8" t="str">
        <f t="shared" si="9"/>
        <v/>
      </c>
      <c r="BY320" s="4" t="s">
        <v>5</v>
      </c>
      <c r="BZ320" s="4" t="s">
        <v>5</v>
      </c>
    </row>
    <row r="321" spans="1:78" x14ac:dyDescent="0.25">
      <c r="A321" s="13" t="str">
        <f>IF(AND($E321="",MAX($A$8:$A320)=0),"",IF(AND($E321&lt;&gt;"",MAX($A$8:$A320)=0),1,IF(AND($E321&lt;&gt;"",MAX($A$8:$A320)&gt;0),MAX($A$8:$A320)+1,"")))</f>
        <v/>
      </c>
      <c r="B321" s="11">
        <v>314</v>
      </c>
      <c r="C321" s="19" t="str">
        <f t="shared" si="8"/>
        <v>EMPTY</v>
      </c>
      <c r="D321" s="3" t="str">
        <f>IF(C321="SHOW",CONCATENATE(Temp!T317,Temp!U317,",",Temp!V317,",",Temp!W317,Temp!X317),"")</f>
        <v/>
      </c>
      <c r="E321" s="7"/>
      <c r="F321" s="8" t="str">
        <f t="shared" si="9"/>
        <v/>
      </c>
      <c r="BY321" s="4" t="s">
        <v>5</v>
      </c>
      <c r="BZ321" s="4" t="s">
        <v>5</v>
      </c>
    </row>
    <row r="322" spans="1:78" x14ac:dyDescent="0.25">
      <c r="A322" s="13" t="str">
        <f>IF(AND($E322="",MAX($A$8:$A321)=0),"",IF(AND($E322&lt;&gt;"",MAX($A$8:$A321)=0),1,IF(AND($E322&lt;&gt;"",MAX($A$8:$A321)&gt;0),MAX($A$8:$A321)+1,"")))</f>
        <v/>
      </c>
      <c r="B322" s="11">
        <v>315</v>
      </c>
      <c r="C322" s="19" t="str">
        <f t="shared" si="8"/>
        <v>EMPTY</v>
      </c>
      <c r="D322" s="3" t="str">
        <f>IF(C322="SHOW",CONCATENATE(Temp!T318,Temp!U318,",",Temp!V318,",",Temp!W318,Temp!X318),"")</f>
        <v/>
      </c>
      <c r="E322" s="7"/>
      <c r="F322" s="8" t="str">
        <f t="shared" si="9"/>
        <v/>
      </c>
      <c r="BY322" s="4" t="s">
        <v>5</v>
      </c>
      <c r="BZ322" s="4" t="s">
        <v>5</v>
      </c>
    </row>
    <row r="323" spans="1:78" x14ac:dyDescent="0.25">
      <c r="A323" s="13" t="str">
        <f>IF(AND($E323="",MAX($A$8:$A322)=0),"",IF(AND($E323&lt;&gt;"",MAX($A$8:$A322)=0),1,IF(AND($E323&lt;&gt;"",MAX($A$8:$A322)&gt;0),MAX($A$8:$A322)+1,"")))</f>
        <v/>
      </c>
      <c r="B323" s="11">
        <v>316</v>
      </c>
      <c r="C323" s="19" t="str">
        <f t="shared" si="8"/>
        <v>EMPTY</v>
      </c>
      <c r="D323" s="3" t="str">
        <f>IF(C323="SHOW",CONCATENATE(Temp!T319,Temp!U319,",",Temp!V319,",",Temp!W319,Temp!X319),"")</f>
        <v/>
      </c>
      <c r="E323" s="7"/>
      <c r="F323" s="8" t="str">
        <f t="shared" si="9"/>
        <v/>
      </c>
      <c r="BY323" s="4" t="s">
        <v>5</v>
      </c>
      <c r="BZ323" s="4" t="s">
        <v>5</v>
      </c>
    </row>
    <row r="324" spans="1:78" x14ac:dyDescent="0.25">
      <c r="A324" s="13" t="str">
        <f>IF(AND($E324="",MAX($A$8:$A323)=0),"",IF(AND($E324&lt;&gt;"",MAX($A$8:$A323)=0),1,IF(AND($E324&lt;&gt;"",MAX($A$8:$A323)&gt;0),MAX($A$8:$A323)+1,"")))</f>
        <v/>
      </c>
      <c r="B324" s="11">
        <v>317</v>
      </c>
      <c r="C324" s="19" t="str">
        <f t="shared" si="8"/>
        <v>EMPTY</v>
      </c>
      <c r="D324" s="3" t="str">
        <f>IF(C324="SHOW",CONCATENATE(Temp!T320,Temp!U320,",",Temp!V320,",",Temp!W320,Temp!X320),"")</f>
        <v/>
      </c>
      <c r="E324" s="7"/>
      <c r="F324" s="8" t="str">
        <f t="shared" si="9"/>
        <v/>
      </c>
      <c r="BY324" s="4" t="s">
        <v>5</v>
      </c>
      <c r="BZ324" s="4" t="s">
        <v>5</v>
      </c>
    </row>
    <row r="325" spans="1:78" x14ac:dyDescent="0.25">
      <c r="A325" s="13" t="str">
        <f>IF(AND($E325="",MAX($A$8:$A324)=0),"",IF(AND($E325&lt;&gt;"",MAX($A$8:$A324)=0),1,IF(AND($E325&lt;&gt;"",MAX($A$8:$A324)&gt;0),MAX($A$8:$A324)+1,"")))</f>
        <v/>
      </c>
      <c r="B325" s="11">
        <v>318</v>
      </c>
      <c r="C325" s="19" t="str">
        <f t="shared" si="8"/>
        <v>EMPTY</v>
      </c>
      <c r="D325" s="3" t="str">
        <f>IF(C325="SHOW",CONCATENATE(Temp!T321,Temp!U321,",",Temp!V321,",",Temp!W321,Temp!X321),"")</f>
        <v/>
      </c>
      <c r="E325" s="7"/>
      <c r="F325" s="8" t="str">
        <f t="shared" si="9"/>
        <v/>
      </c>
      <c r="BY325" s="4" t="s">
        <v>5</v>
      </c>
      <c r="BZ325" s="4" t="s">
        <v>5</v>
      </c>
    </row>
    <row r="326" spans="1:78" x14ac:dyDescent="0.25">
      <c r="A326" s="13" t="str">
        <f>IF(AND($E326="",MAX($A$8:$A325)=0),"",IF(AND($E326&lt;&gt;"",MAX($A$8:$A325)=0),1,IF(AND($E326&lt;&gt;"",MAX($A$8:$A325)&gt;0),MAX($A$8:$A325)+1,"")))</f>
        <v/>
      </c>
      <c r="B326" s="11">
        <v>319</v>
      </c>
      <c r="C326" s="19" t="str">
        <f t="shared" si="8"/>
        <v>EMPTY</v>
      </c>
      <c r="D326" s="3" t="str">
        <f>IF(C326="SHOW",CONCATENATE(Temp!T322,Temp!U322,",",Temp!V322,",",Temp!W322,Temp!X322),"")</f>
        <v/>
      </c>
      <c r="E326" s="7"/>
      <c r="F326" s="8" t="str">
        <f t="shared" si="9"/>
        <v/>
      </c>
      <c r="BY326" s="4" t="s">
        <v>5</v>
      </c>
      <c r="BZ326" s="4" t="s">
        <v>5</v>
      </c>
    </row>
    <row r="327" spans="1:78" x14ac:dyDescent="0.25">
      <c r="A327" s="13" t="str">
        <f>IF(AND($E327="",MAX($A$8:$A326)=0),"",IF(AND($E327&lt;&gt;"",MAX($A$8:$A326)=0),1,IF(AND($E327&lt;&gt;"",MAX($A$8:$A326)&gt;0),MAX($A$8:$A326)+1,"")))</f>
        <v/>
      </c>
      <c r="B327" s="11">
        <v>320</v>
      </c>
      <c r="C327" s="19" t="str">
        <f t="shared" si="8"/>
        <v>EMPTY</v>
      </c>
      <c r="D327" s="3" t="str">
        <f>IF(C327="SHOW",CONCATENATE(Temp!T323,Temp!U323,",",Temp!V323,",",Temp!W323,Temp!X323),"")</f>
        <v/>
      </c>
      <c r="E327" s="7"/>
      <c r="F327" s="8" t="str">
        <f t="shared" si="9"/>
        <v/>
      </c>
      <c r="BY327" s="4" t="s">
        <v>5</v>
      </c>
      <c r="BZ327" s="4" t="s">
        <v>5</v>
      </c>
    </row>
    <row r="328" spans="1:78" x14ac:dyDescent="0.25">
      <c r="A328" s="13" t="str">
        <f>IF(AND($E328="",MAX($A$8:$A327)=0),"",IF(AND($E328&lt;&gt;"",MAX($A$8:$A327)=0),1,IF(AND($E328&lt;&gt;"",MAX($A$8:$A327)&gt;0),MAX($A$8:$A327)+1,"")))</f>
        <v/>
      </c>
      <c r="B328" s="11">
        <v>321</v>
      </c>
      <c r="C328" s="19" t="str">
        <f t="shared" si="8"/>
        <v>EMPTY</v>
      </c>
      <c r="D328" s="3" t="str">
        <f>IF(C328="SHOW",CONCATENATE(Temp!T324,Temp!U324,",",Temp!V324,",",Temp!W324,Temp!X324),"")</f>
        <v/>
      </c>
      <c r="E328" s="7"/>
      <c r="F328" s="8" t="str">
        <f t="shared" si="9"/>
        <v/>
      </c>
      <c r="BY328" s="4" t="s">
        <v>5</v>
      </c>
      <c r="BZ328" s="4" t="s">
        <v>5</v>
      </c>
    </row>
    <row r="329" spans="1:78" x14ac:dyDescent="0.25">
      <c r="A329" s="13" t="str">
        <f>IF(AND($E329="",MAX($A$8:$A328)=0),"",IF(AND($E329&lt;&gt;"",MAX($A$8:$A328)=0),1,IF(AND($E329&lt;&gt;"",MAX($A$8:$A328)&gt;0),MAX($A$8:$A328)+1,"")))</f>
        <v/>
      </c>
      <c r="B329" s="11">
        <v>322</v>
      </c>
      <c r="C329" s="19" t="str">
        <f t="shared" ref="C329:C392" si="10">IF(E329="","EMPTY",IF(MID(E329,1,9)&lt;&gt;"Dialogue:","HIDE",IF(MID(E329,1,9)="Dialogue:","SHOW","")))</f>
        <v>EMPTY</v>
      </c>
      <c r="D329" s="3" t="str">
        <f>IF(C329="SHOW",CONCATENATE(Temp!T325,Temp!U325,",",Temp!V325,",",Temp!W325,Temp!X325),"")</f>
        <v/>
      </c>
      <c r="E329" s="7"/>
      <c r="F329" s="8" t="str">
        <f t="shared" ref="F329:F392" si="11">$D329</f>
        <v/>
      </c>
      <c r="BY329" s="4" t="s">
        <v>5</v>
      </c>
      <c r="BZ329" s="4" t="s">
        <v>5</v>
      </c>
    </row>
    <row r="330" spans="1:78" x14ac:dyDescent="0.25">
      <c r="A330" s="13" t="str">
        <f>IF(AND($E330="",MAX($A$8:$A329)=0),"",IF(AND($E330&lt;&gt;"",MAX($A$8:$A329)=0),1,IF(AND($E330&lt;&gt;"",MAX($A$8:$A329)&gt;0),MAX($A$8:$A329)+1,"")))</f>
        <v/>
      </c>
      <c r="B330" s="11">
        <v>323</v>
      </c>
      <c r="C330" s="19" t="str">
        <f t="shared" si="10"/>
        <v>EMPTY</v>
      </c>
      <c r="D330" s="3" t="str">
        <f>IF(C330="SHOW",CONCATENATE(Temp!T326,Temp!U326,",",Temp!V326,",",Temp!W326,Temp!X326),"")</f>
        <v/>
      </c>
      <c r="E330" s="7"/>
      <c r="F330" s="8" t="str">
        <f t="shared" si="11"/>
        <v/>
      </c>
      <c r="BY330" s="4" t="s">
        <v>5</v>
      </c>
      <c r="BZ330" s="4" t="s">
        <v>5</v>
      </c>
    </row>
    <row r="331" spans="1:78" x14ac:dyDescent="0.25">
      <c r="A331" s="13" t="str">
        <f>IF(AND($E331="",MAX($A$8:$A330)=0),"",IF(AND($E331&lt;&gt;"",MAX($A$8:$A330)=0),1,IF(AND($E331&lt;&gt;"",MAX($A$8:$A330)&gt;0),MAX($A$8:$A330)+1,"")))</f>
        <v/>
      </c>
      <c r="B331" s="11">
        <v>324</v>
      </c>
      <c r="C331" s="19" t="str">
        <f t="shared" si="10"/>
        <v>EMPTY</v>
      </c>
      <c r="D331" s="3" t="str">
        <f>IF(C331="SHOW",CONCATENATE(Temp!T327,Temp!U327,",",Temp!V327,",",Temp!W327,Temp!X327),"")</f>
        <v/>
      </c>
      <c r="E331" s="7"/>
      <c r="F331" s="8" t="str">
        <f t="shared" si="11"/>
        <v/>
      </c>
      <c r="BY331" s="4" t="s">
        <v>5</v>
      </c>
      <c r="BZ331" s="4" t="s">
        <v>5</v>
      </c>
    </row>
    <row r="332" spans="1:78" x14ac:dyDescent="0.25">
      <c r="A332" s="13" t="str">
        <f>IF(AND($E332="",MAX($A$8:$A331)=0),"",IF(AND($E332&lt;&gt;"",MAX($A$8:$A331)=0),1,IF(AND($E332&lt;&gt;"",MAX($A$8:$A331)&gt;0),MAX($A$8:$A331)+1,"")))</f>
        <v/>
      </c>
      <c r="B332" s="11">
        <v>325</v>
      </c>
      <c r="C332" s="19" t="str">
        <f t="shared" si="10"/>
        <v>EMPTY</v>
      </c>
      <c r="D332" s="3" t="str">
        <f>IF(C332="SHOW",CONCATENATE(Temp!T328,Temp!U328,",",Temp!V328,",",Temp!W328,Temp!X328),"")</f>
        <v/>
      </c>
      <c r="E332" s="7"/>
      <c r="F332" s="8" t="str">
        <f t="shared" si="11"/>
        <v/>
      </c>
      <c r="BY332" s="4" t="s">
        <v>5</v>
      </c>
      <c r="BZ332" s="4" t="s">
        <v>5</v>
      </c>
    </row>
    <row r="333" spans="1:78" x14ac:dyDescent="0.25">
      <c r="A333" s="13" t="str">
        <f>IF(AND($E333="",MAX($A$8:$A332)=0),"",IF(AND($E333&lt;&gt;"",MAX($A$8:$A332)=0),1,IF(AND($E333&lt;&gt;"",MAX($A$8:$A332)&gt;0),MAX($A$8:$A332)+1,"")))</f>
        <v/>
      </c>
      <c r="B333" s="11">
        <v>326</v>
      </c>
      <c r="C333" s="19" t="str">
        <f t="shared" si="10"/>
        <v>EMPTY</v>
      </c>
      <c r="D333" s="3" t="str">
        <f>IF(C333="SHOW",CONCATENATE(Temp!T329,Temp!U329,",",Temp!V329,",",Temp!W329,Temp!X329),"")</f>
        <v/>
      </c>
      <c r="E333" s="7"/>
      <c r="F333" s="8" t="str">
        <f t="shared" si="11"/>
        <v/>
      </c>
      <c r="BY333" s="4" t="s">
        <v>5</v>
      </c>
      <c r="BZ333" s="4" t="s">
        <v>5</v>
      </c>
    </row>
    <row r="334" spans="1:78" x14ac:dyDescent="0.25">
      <c r="A334" s="13" t="str">
        <f>IF(AND($E334="",MAX($A$8:$A333)=0),"",IF(AND($E334&lt;&gt;"",MAX($A$8:$A333)=0),1,IF(AND($E334&lt;&gt;"",MAX($A$8:$A333)&gt;0),MAX($A$8:$A333)+1,"")))</f>
        <v/>
      </c>
      <c r="B334" s="11">
        <v>327</v>
      </c>
      <c r="C334" s="19" t="str">
        <f t="shared" si="10"/>
        <v>EMPTY</v>
      </c>
      <c r="D334" s="3" t="str">
        <f>IF(C334="SHOW",CONCATENATE(Temp!T330,Temp!U330,",",Temp!V330,",",Temp!W330,Temp!X330),"")</f>
        <v/>
      </c>
      <c r="E334" s="7"/>
      <c r="F334" s="8" t="str">
        <f t="shared" si="11"/>
        <v/>
      </c>
      <c r="BY334" s="4" t="s">
        <v>5</v>
      </c>
      <c r="BZ334" s="4" t="s">
        <v>5</v>
      </c>
    </row>
    <row r="335" spans="1:78" x14ac:dyDescent="0.25">
      <c r="A335" s="13" t="str">
        <f>IF(AND($E335="",MAX($A$8:$A334)=0),"",IF(AND($E335&lt;&gt;"",MAX($A$8:$A334)=0),1,IF(AND($E335&lt;&gt;"",MAX($A$8:$A334)&gt;0),MAX($A$8:$A334)+1,"")))</f>
        <v/>
      </c>
      <c r="B335" s="11">
        <v>328</v>
      </c>
      <c r="C335" s="19" t="str">
        <f t="shared" si="10"/>
        <v>EMPTY</v>
      </c>
      <c r="D335" s="3" t="str">
        <f>IF(C335="SHOW",CONCATENATE(Temp!T331,Temp!U331,",",Temp!V331,",",Temp!W331,Temp!X331),"")</f>
        <v/>
      </c>
      <c r="E335" s="7"/>
      <c r="F335" s="8" t="str">
        <f t="shared" si="11"/>
        <v/>
      </c>
      <c r="BY335" s="4" t="s">
        <v>5</v>
      </c>
      <c r="BZ335" s="4" t="s">
        <v>5</v>
      </c>
    </row>
    <row r="336" spans="1:78" x14ac:dyDescent="0.25">
      <c r="A336" s="13" t="str">
        <f>IF(AND($E336="",MAX($A$8:$A335)=0),"",IF(AND($E336&lt;&gt;"",MAX($A$8:$A335)=0),1,IF(AND($E336&lt;&gt;"",MAX($A$8:$A335)&gt;0),MAX($A$8:$A335)+1,"")))</f>
        <v/>
      </c>
      <c r="B336" s="11">
        <v>329</v>
      </c>
      <c r="C336" s="19" t="str">
        <f t="shared" si="10"/>
        <v>EMPTY</v>
      </c>
      <c r="D336" s="3" t="str">
        <f>IF(C336="SHOW",CONCATENATE(Temp!T332,Temp!U332,",",Temp!V332,",",Temp!W332,Temp!X332),"")</f>
        <v/>
      </c>
      <c r="E336" s="7"/>
      <c r="F336" s="8" t="str">
        <f t="shared" si="11"/>
        <v/>
      </c>
      <c r="BZ336" s="4" t="s">
        <v>5</v>
      </c>
    </row>
    <row r="337" spans="1:78" x14ac:dyDescent="0.25">
      <c r="A337" s="13" t="str">
        <f>IF(AND($E337="",MAX($A$8:$A336)=0),"",IF(AND($E337&lt;&gt;"",MAX($A$8:$A336)=0),1,IF(AND($E337&lt;&gt;"",MAX($A$8:$A336)&gt;0),MAX($A$8:$A336)+1,"")))</f>
        <v/>
      </c>
      <c r="B337" s="11">
        <v>330</v>
      </c>
      <c r="C337" s="19" t="str">
        <f t="shared" si="10"/>
        <v>EMPTY</v>
      </c>
      <c r="D337" s="3" t="str">
        <f>IF(C337="SHOW",CONCATENATE(Temp!T333,Temp!U333,",",Temp!V333,",",Temp!W333,Temp!X333),"")</f>
        <v/>
      </c>
      <c r="E337" s="7"/>
      <c r="F337" s="8" t="str">
        <f t="shared" si="11"/>
        <v/>
      </c>
      <c r="BY337" s="4" t="s">
        <v>5</v>
      </c>
      <c r="BZ337" s="4" t="s">
        <v>5</v>
      </c>
    </row>
    <row r="338" spans="1:78" x14ac:dyDescent="0.25">
      <c r="A338" s="13" t="str">
        <f>IF(AND($E338="",MAX($A$8:$A337)=0),"",IF(AND($E338&lt;&gt;"",MAX($A$8:$A337)=0),1,IF(AND($E338&lt;&gt;"",MAX($A$8:$A337)&gt;0),MAX($A$8:$A337)+1,"")))</f>
        <v/>
      </c>
      <c r="B338" s="11">
        <v>331</v>
      </c>
      <c r="C338" s="19" t="str">
        <f t="shared" si="10"/>
        <v>EMPTY</v>
      </c>
      <c r="D338" s="3" t="str">
        <f>IF(C338="SHOW",CONCATENATE(Temp!T334,Temp!U334,",",Temp!V334,",",Temp!W334,Temp!X334),"")</f>
        <v/>
      </c>
      <c r="E338" s="7"/>
      <c r="F338" s="8" t="str">
        <f t="shared" si="11"/>
        <v/>
      </c>
      <c r="BY338" s="4" t="s">
        <v>5</v>
      </c>
      <c r="BZ338" s="4" t="s">
        <v>5</v>
      </c>
    </row>
    <row r="339" spans="1:78" x14ac:dyDescent="0.25">
      <c r="A339" s="13" t="str">
        <f>IF(AND($E339="",MAX($A$8:$A338)=0),"",IF(AND($E339&lt;&gt;"",MAX($A$8:$A338)=0),1,IF(AND($E339&lt;&gt;"",MAX($A$8:$A338)&gt;0),MAX($A$8:$A338)+1,"")))</f>
        <v/>
      </c>
      <c r="B339" s="11">
        <v>332</v>
      </c>
      <c r="C339" s="19" t="str">
        <f t="shared" si="10"/>
        <v>EMPTY</v>
      </c>
      <c r="D339" s="3" t="str">
        <f>IF(C339="SHOW",CONCATENATE(Temp!T335,Temp!U335,",",Temp!V335,",",Temp!W335,Temp!X335),"")</f>
        <v/>
      </c>
      <c r="E339" s="7"/>
      <c r="F339" s="8" t="str">
        <f t="shared" si="11"/>
        <v/>
      </c>
      <c r="BY339" s="4" t="s">
        <v>5</v>
      </c>
      <c r="BZ339" s="4" t="s">
        <v>5</v>
      </c>
    </row>
    <row r="340" spans="1:78" x14ac:dyDescent="0.25">
      <c r="A340" s="13" t="str">
        <f>IF(AND($E340="",MAX($A$8:$A339)=0),"",IF(AND($E340&lt;&gt;"",MAX($A$8:$A339)=0),1,IF(AND($E340&lt;&gt;"",MAX($A$8:$A339)&gt;0),MAX($A$8:$A339)+1,"")))</f>
        <v/>
      </c>
      <c r="B340" s="11">
        <v>333</v>
      </c>
      <c r="C340" s="19" t="str">
        <f t="shared" si="10"/>
        <v>EMPTY</v>
      </c>
      <c r="D340" s="3" t="str">
        <f>IF(C340="SHOW",CONCATENATE(Temp!T336,Temp!U336,",",Temp!V336,",",Temp!W336,Temp!X336),"")</f>
        <v/>
      </c>
      <c r="E340" s="7"/>
      <c r="F340" s="8" t="str">
        <f t="shared" si="11"/>
        <v/>
      </c>
      <c r="BY340" s="4" t="s">
        <v>5</v>
      </c>
      <c r="BZ340" s="4" t="s">
        <v>5</v>
      </c>
    </row>
    <row r="341" spans="1:78" x14ac:dyDescent="0.25">
      <c r="A341" s="13" t="str">
        <f>IF(AND($E341="",MAX($A$8:$A340)=0),"",IF(AND($E341&lt;&gt;"",MAX($A$8:$A340)=0),1,IF(AND($E341&lt;&gt;"",MAX($A$8:$A340)&gt;0),MAX($A$8:$A340)+1,"")))</f>
        <v/>
      </c>
      <c r="B341" s="11">
        <v>334</v>
      </c>
      <c r="C341" s="19" t="str">
        <f t="shared" si="10"/>
        <v>EMPTY</v>
      </c>
      <c r="D341" s="3" t="str">
        <f>IF(C341="SHOW",CONCATENATE(Temp!T337,Temp!U337,",",Temp!V337,",",Temp!W337,Temp!X337),"")</f>
        <v/>
      </c>
      <c r="E341" s="7"/>
      <c r="F341" s="8" t="str">
        <f t="shared" si="11"/>
        <v/>
      </c>
      <c r="BY341" s="4" t="s">
        <v>5</v>
      </c>
      <c r="BZ341" s="4" t="s">
        <v>5</v>
      </c>
    </row>
    <row r="342" spans="1:78" x14ac:dyDescent="0.25">
      <c r="A342" s="13" t="str">
        <f>IF(AND($E342="",MAX($A$8:$A341)=0),"",IF(AND($E342&lt;&gt;"",MAX($A$8:$A341)=0),1,IF(AND($E342&lt;&gt;"",MAX($A$8:$A341)&gt;0),MAX($A$8:$A341)+1,"")))</f>
        <v/>
      </c>
      <c r="B342" s="11">
        <v>335</v>
      </c>
      <c r="C342" s="19" t="str">
        <f t="shared" si="10"/>
        <v>EMPTY</v>
      </c>
      <c r="D342" s="3" t="str">
        <f>IF(C342="SHOW",CONCATENATE(Temp!T338,Temp!U338,",",Temp!V338,",",Temp!W338,Temp!X338),"")</f>
        <v/>
      </c>
      <c r="E342" s="7"/>
      <c r="F342" s="8" t="str">
        <f t="shared" si="11"/>
        <v/>
      </c>
      <c r="BY342" s="4" t="s">
        <v>5</v>
      </c>
      <c r="BZ342" s="4" t="s">
        <v>5</v>
      </c>
    </row>
    <row r="343" spans="1:78" x14ac:dyDescent="0.25">
      <c r="A343" s="13" t="str">
        <f>IF(AND($E343="",MAX($A$8:$A342)=0),"",IF(AND($E343&lt;&gt;"",MAX($A$8:$A342)=0),1,IF(AND($E343&lt;&gt;"",MAX($A$8:$A342)&gt;0),MAX($A$8:$A342)+1,"")))</f>
        <v/>
      </c>
      <c r="B343" s="11">
        <v>336</v>
      </c>
      <c r="C343" s="19" t="str">
        <f t="shared" si="10"/>
        <v>EMPTY</v>
      </c>
      <c r="D343" s="3" t="str">
        <f>IF(C343="SHOW",CONCATENATE(Temp!T339,Temp!U339,",",Temp!V339,",",Temp!W339,Temp!X339),"")</f>
        <v/>
      </c>
      <c r="E343" s="7"/>
      <c r="F343" s="8" t="str">
        <f t="shared" si="11"/>
        <v/>
      </c>
      <c r="BY343" s="4" t="s">
        <v>5</v>
      </c>
      <c r="BZ343" s="4" t="s">
        <v>5</v>
      </c>
    </row>
    <row r="344" spans="1:78" x14ac:dyDescent="0.25">
      <c r="A344" s="13" t="str">
        <f>IF(AND($E344="",MAX($A$8:$A343)=0),"",IF(AND($E344&lt;&gt;"",MAX($A$8:$A343)=0),1,IF(AND($E344&lt;&gt;"",MAX($A$8:$A343)&gt;0),MAX($A$8:$A343)+1,"")))</f>
        <v/>
      </c>
      <c r="B344" s="11">
        <v>337</v>
      </c>
      <c r="C344" s="19" t="str">
        <f t="shared" si="10"/>
        <v>EMPTY</v>
      </c>
      <c r="D344" s="3" t="str">
        <f>IF(C344="SHOW",CONCATENATE(Temp!T340,Temp!U340,",",Temp!V340,",",Temp!W340,Temp!X340),"")</f>
        <v/>
      </c>
      <c r="E344" s="7"/>
      <c r="F344" s="8" t="str">
        <f t="shared" si="11"/>
        <v/>
      </c>
      <c r="BY344" s="4" t="s">
        <v>5</v>
      </c>
      <c r="BZ344" s="4" t="s">
        <v>5</v>
      </c>
    </row>
    <row r="345" spans="1:78" x14ac:dyDescent="0.25">
      <c r="A345" s="13" t="str">
        <f>IF(AND($E345="",MAX($A$8:$A344)=0),"",IF(AND($E345&lt;&gt;"",MAX($A$8:$A344)=0),1,IF(AND($E345&lt;&gt;"",MAX($A$8:$A344)&gt;0),MAX($A$8:$A344)+1,"")))</f>
        <v/>
      </c>
      <c r="B345" s="11">
        <v>338</v>
      </c>
      <c r="C345" s="19" t="str">
        <f t="shared" si="10"/>
        <v>EMPTY</v>
      </c>
      <c r="D345" s="3" t="str">
        <f>IF(C345="SHOW",CONCATENATE(Temp!T341,Temp!U341,",",Temp!V341,",",Temp!W341,Temp!X341),"")</f>
        <v/>
      </c>
      <c r="E345" s="7"/>
      <c r="F345" s="8" t="str">
        <f t="shared" si="11"/>
        <v/>
      </c>
      <c r="BY345" s="4" t="s">
        <v>5</v>
      </c>
      <c r="BZ345" s="4" t="s">
        <v>5</v>
      </c>
    </row>
    <row r="346" spans="1:78" x14ac:dyDescent="0.25">
      <c r="A346" s="13" t="str">
        <f>IF(AND($E346="",MAX($A$8:$A345)=0),"",IF(AND($E346&lt;&gt;"",MAX($A$8:$A345)=0),1,IF(AND($E346&lt;&gt;"",MAX($A$8:$A345)&gt;0),MAX($A$8:$A345)+1,"")))</f>
        <v/>
      </c>
      <c r="B346" s="11">
        <v>339</v>
      </c>
      <c r="C346" s="19" t="str">
        <f t="shared" si="10"/>
        <v>EMPTY</v>
      </c>
      <c r="D346" s="3" t="str">
        <f>IF(C346="SHOW",CONCATENATE(Temp!T342,Temp!U342,",",Temp!V342,",",Temp!W342,Temp!X342),"")</f>
        <v/>
      </c>
      <c r="E346" s="7"/>
      <c r="F346" s="8" t="str">
        <f t="shared" si="11"/>
        <v/>
      </c>
      <c r="BY346" s="4" t="s">
        <v>5</v>
      </c>
      <c r="BZ346" s="4" t="s">
        <v>5</v>
      </c>
    </row>
    <row r="347" spans="1:78" x14ac:dyDescent="0.25">
      <c r="A347" s="13" t="str">
        <f>IF(AND($E347="",MAX($A$8:$A346)=0),"",IF(AND($E347&lt;&gt;"",MAX($A$8:$A346)=0),1,IF(AND($E347&lt;&gt;"",MAX($A$8:$A346)&gt;0),MAX($A$8:$A346)+1,"")))</f>
        <v/>
      </c>
      <c r="B347" s="11">
        <v>340</v>
      </c>
      <c r="C347" s="19" t="str">
        <f t="shared" si="10"/>
        <v>EMPTY</v>
      </c>
      <c r="D347" s="3" t="str">
        <f>IF(C347="SHOW",CONCATENATE(Temp!T343,Temp!U343,",",Temp!V343,",",Temp!W343,Temp!X343),"")</f>
        <v/>
      </c>
      <c r="E347" s="7"/>
      <c r="F347" s="8" t="str">
        <f t="shared" si="11"/>
        <v/>
      </c>
      <c r="BY347" s="4" t="s">
        <v>5</v>
      </c>
      <c r="BZ347" s="4" t="s">
        <v>5</v>
      </c>
    </row>
    <row r="348" spans="1:78" x14ac:dyDescent="0.25">
      <c r="A348" s="13" t="str">
        <f>IF(AND($E348="",MAX($A$8:$A347)=0),"",IF(AND($E348&lt;&gt;"",MAX($A$8:$A347)=0),1,IF(AND($E348&lt;&gt;"",MAX($A$8:$A347)&gt;0),MAX($A$8:$A347)+1,"")))</f>
        <v/>
      </c>
      <c r="B348" s="11">
        <v>341</v>
      </c>
      <c r="C348" s="19" t="str">
        <f t="shared" si="10"/>
        <v>EMPTY</v>
      </c>
      <c r="D348" s="3" t="str">
        <f>IF(C348="SHOW",CONCATENATE(Temp!T344,Temp!U344,",",Temp!V344,",",Temp!W344,Temp!X344),"")</f>
        <v/>
      </c>
      <c r="E348" s="7"/>
      <c r="F348" s="8" t="str">
        <f t="shared" si="11"/>
        <v/>
      </c>
      <c r="BY348" s="4" t="s">
        <v>5</v>
      </c>
      <c r="BZ348" s="4" t="s">
        <v>5</v>
      </c>
    </row>
    <row r="349" spans="1:78" x14ac:dyDescent="0.25">
      <c r="A349" s="13" t="str">
        <f>IF(AND($E349="",MAX($A$8:$A348)=0),"",IF(AND($E349&lt;&gt;"",MAX($A$8:$A348)=0),1,IF(AND($E349&lt;&gt;"",MAX($A$8:$A348)&gt;0),MAX($A$8:$A348)+1,"")))</f>
        <v/>
      </c>
      <c r="B349" s="11">
        <v>342</v>
      </c>
      <c r="C349" s="19" t="str">
        <f t="shared" si="10"/>
        <v>EMPTY</v>
      </c>
      <c r="D349" s="3" t="str">
        <f>IF(C349="SHOW",CONCATENATE(Temp!T345,Temp!U345,",",Temp!V345,",",Temp!W345,Temp!X345),"")</f>
        <v/>
      </c>
      <c r="E349" s="7"/>
      <c r="F349" s="8" t="str">
        <f t="shared" si="11"/>
        <v/>
      </c>
      <c r="BY349" s="4" t="s">
        <v>5</v>
      </c>
      <c r="BZ349" s="4" t="s">
        <v>5</v>
      </c>
    </row>
    <row r="350" spans="1:78" x14ac:dyDescent="0.25">
      <c r="A350" s="13" t="str">
        <f>IF(AND($E350="",MAX($A$8:$A349)=0),"",IF(AND($E350&lt;&gt;"",MAX($A$8:$A349)=0),1,IF(AND($E350&lt;&gt;"",MAX($A$8:$A349)&gt;0),MAX($A$8:$A349)+1,"")))</f>
        <v/>
      </c>
      <c r="B350" s="11">
        <v>343</v>
      </c>
      <c r="C350" s="19" t="str">
        <f t="shared" si="10"/>
        <v>EMPTY</v>
      </c>
      <c r="D350" s="3" t="str">
        <f>IF(C350="SHOW",CONCATENATE(Temp!T346,Temp!U346,",",Temp!V346,",",Temp!W346,Temp!X346),"")</f>
        <v/>
      </c>
      <c r="E350" s="7"/>
      <c r="F350" s="8" t="str">
        <f t="shared" si="11"/>
        <v/>
      </c>
      <c r="BY350" s="4" t="s">
        <v>5</v>
      </c>
      <c r="BZ350" s="4" t="s">
        <v>5</v>
      </c>
    </row>
    <row r="351" spans="1:78" x14ac:dyDescent="0.25">
      <c r="A351" s="13" t="str">
        <f>IF(AND($E351="",MAX($A$8:$A350)=0),"",IF(AND($E351&lt;&gt;"",MAX($A$8:$A350)=0),1,IF(AND($E351&lt;&gt;"",MAX($A$8:$A350)&gt;0),MAX($A$8:$A350)+1,"")))</f>
        <v/>
      </c>
      <c r="B351" s="11">
        <v>344</v>
      </c>
      <c r="C351" s="19" t="str">
        <f t="shared" si="10"/>
        <v>EMPTY</v>
      </c>
      <c r="D351" s="3" t="str">
        <f>IF(C351="SHOW",CONCATENATE(Temp!T347,Temp!U347,",",Temp!V347,",",Temp!W347,Temp!X347),"")</f>
        <v/>
      </c>
      <c r="E351" s="7"/>
      <c r="F351" s="8" t="str">
        <f t="shared" si="11"/>
        <v/>
      </c>
      <c r="BY351" s="4" t="s">
        <v>5</v>
      </c>
      <c r="BZ351" s="4" t="s">
        <v>5</v>
      </c>
    </row>
    <row r="352" spans="1:78" x14ac:dyDescent="0.25">
      <c r="A352" s="13" t="str">
        <f>IF(AND($E352="",MAX($A$8:$A351)=0),"",IF(AND($E352&lt;&gt;"",MAX($A$8:$A351)=0),1,IF(AND($E352&lt;&gt;"",MAX($A$8:$A351)&gt;0),MAX($A$8:$A351)+1,"")))</f>
        <v/>
      </c>
      <c r="B352" s="11">
        <v>345</v>
      </c>
      <c r="C352" s="19" t="str">
        <f t="shared" si="10"/>
        <v>EMPTY</v>
      </c>
      <c r="D352" s="3" t="str">
        <f>IF(C352="SHOW",CONCATENATE(Temp!T348,Temp!U348,",",Temp!V348,",",Temp!W348,Temp!X348),"")</f>
        <v/>
      </c>
      <c r="E352" s="7"/>
      <c r="F352" s="8" t="str">
        <f t="shared" si="11"/>
        <v/>
      </c>
      <c r="BY352" s="4" t="s">
        <v>5</v>
      </c>
      <c r="BZ352" s="4" t="s">
        <v>5</v>
      </c>
    </row>
    <row r="353" spans="1:78" x14ac:dyDescent="0.25">
      <c r="A353" s="13" t="str">
        <f>IF(AND($E353="",MAX($A$8:$A352)=0),"",IF(AND($E353&lt;&gt;"",MAX($A$8:$A352)=0),1,IF(AND($E353&lt;&gt;"",MAX($A$8:$A352)&gt;0),MAX($A$8:$A352)+1,"")))</f>
        <v/>
      </c>
      <c r="B353" s="11">
        <v>346</v>
      </c>
      <c r="C353" s="19" t="str">
        <f t="shared" si="10"/>
        <v>EMPTY</v>
      </c>
      <c r="D353" s="3" t="str">
        <f>IF(C353="SHOW",CONCATENATE(Temp!T349,Temp!U349,",",Temp!V349,",",Temp!W349,Temp!X349),"")</f>
        <v/>
      </c>
      <c r="E353" s="7"/>
      <c r="F353" s="8" t="str">
        <f t="shared" si="11"/>
        <v/>
      </c>
      <c r="BY353" s="4" t="s">
        <v>5</v>
      </c>
      <c r="BZ353" s="4" t="s">
        <v>5</v>
      </c>
    </row>
    <row r="354" spans="1:78" x14ac:dyDescent="0.25">
      <c r="A354" s="13" t="str">
        <f>IF(AND($E354="",MAX($A$8:$A353)=0),"",IF(AND($E354&lt;&gt;"",MAX($A$8:$A353)=0),1,IF(AND($E354&lt;&gt;"",MAX($A$8:$A353)&gt;0),MAX($A$8:$A353)+1,"")))</f>
        <v/>
      </c>
      <c r="B354" s="11">
        <v>347</v>
      </c>
      <c r="C354" s="19" t="str">
        <f t="shared" si="10"/>
        <v>EMPTY</v>
      </c>
      <c r="D354" s="3" t="str">
        <f>IF(C354="SHOW",CONCATENATE(Temp!T350,Temp!U350,",",Temp!V350,",",Temp!W350,Temp!X350),"")</f>
        <v/>
      </c>
      <c r="E354" s="7"/>
      <c r="F354" s="8" t="str">
        <f t="shared" si="11"/>
        <v/>
      </c>
      <c r="BY354" s="4" t="s">
        <v>5</v>
      </c>
      <c r="BZ354" s="4" t="s">
        <v>5</v>
      </c>
    </row>
    <row r="355" spans="1:78" x14ac:dyDescent="0.25">
      <c r="A355" s="13" t="str">
        <f>IF(AND($E355="",MAX($A$8:$A354)=0),"",IF(AND($E355&lt;&gt;"",MAX($A$8:$A354)=0),1,IF(AND($E355&lt;&gt;"",MAX($A$8:$A354)&gt;0),MAX($A$8:$A354)+1,"")))</f>
        <v/>
      </c>
      <c r="B355" s="11">
        <v>348</v>
      </c>
      <c r="C355" s="19" t="str">
        <f t="shared" si="10"/>
        <v>EMPTY</v>
      </c>
      <c r="D355" s="3" t="str">
        <f>IF(C355="SHOW",CONCATENATE(Temp!T351,Temp!U351,",",Temp!V351,",",Temp!W351,Temp!X351),"")</f>
        <v/>
      </c>
      <c r="E355" s="7"/>
      <c r="F355" s="8" t="str">
        <f t="shared" si="11"/>
        <v/>
      </c>
      <c r="BY355" s="4" t="s">
        <v>5</v>
      </c>
      <c r="BZ355" s="4" t="s">
        <v>5</v>
      </c>
    </row>
    <row r="356" spans="1:78" x14ac:dyDescent="0.25">
      <c r="A356" s="13" t="str">
        <f>IF(AND($E356="",MAX($A$8:$A355)=0),"",IF(AND($E356&lt;&gt;"",MAX($A$8:$A355)=0),1,IF(AND($E356&lt;&gt;"",MAX($A$8:$A355)&gt;0),MAX($A$8:$A355)+1,"")))</f>
        <v/>
      </c>
      <c r="B356" s="11">
        <v>349</v>
      </c>
      <c r="C356" s="19" t="str">
        <f t="shared" si="10"/>
        <v>EMPTY</v>
      </c>
      <c r="D356" s="3" t="str">
        <f>IF(C356="SHOW",CONCATENATE(Temp!T352,Temp!U352,",",Temp!V352,",",Temp!W352,Temp!X352),"")</f>
        <v/>
      </c>
      <c r="E356" s="7"/>
      <c r="F356" s="8" t="str">
        <f t="shared" si="11"/>
        <v/>
      </c>
      <c r="BY356" s="4" t="s">
        <v>5</v>
      </c>
      <c r="BZ356" s="4" t="s">
        <v>5</v>
      </c>
    </row>
    <row r="357" spans="1:78" x14ac:dyDescent="0.25">
      <c r="A357" s="13" t="str">
        <f>IF(AND($E357="",MAX($A$8:$A356)=0),"",IF(AND($E357&lt;&gt;"",MAX($A$8:$A356)=0),1,IF(AND($E357&lt;&gt;"",MAX($A$8:$A356)&gt;0),MAX($A$8:$A356)+1,"")))</f>
        <v/>
      </c>
      <c r="B357" s="11">
        <v>350</v>
      </c>
      <c r="C357" s="19" t="str">
        <f t="shared" si="10"/>
        <v>EMPTY</v>
      </c>
      <c r="D357" s="3" t="str">
        <f>IF(C357="SHOW",CONCATENATE(Temp!T353,Temp!U353,",",Temp!V353,",",Temp!W353,Temp!X353),"")</f>
        <v/>
      </c>
      <c r="E357" s="7"/>
      <c r="F357" s="8" t="str">
        <f t="shared" si="11"/>
        <v/>
      </c>
      <c r="BY357" s="4" t="s">
        <v>5</v>
      </c>
      <c r="BZ357" s="4" t="s">
        <v>5</v>
      </c>
    </row>
    <row r="358" spans="1:78" x14ac:dyDescent="0.25">
      <c r="A358" s="13" t="str">
        <f>IF(AND($E358="",MAX($A$8:$A357)=0),"",IF(AND($E358&lt;&gt;"",MAX($A$8:$A357)=0),1,IF(AND($E358&lt;&gt;"",MAX($A$8:$A357)&gt;0),MAX($A$8:$A357)+1,"")))</f>
        <v/>
      </c>
      <c r="B358" s="11">
        <v>351</v>
      </c>
      <c r="C358" s="19" t="str">
        <f t="shared" si="10"/>
        <v>EMPTY</v>
      </c>
      <c r="D358" s="3" t="str">
        <f>IF(C358="SHOW",CONCATENATE(Temp!T354,Temp!U354,",",Temp!V354,",",Temp!W354,Temp!X354),"")</f>
        <v/>
      </c>
      <c r="E358" s="7"/>
      <c r="F358" s="8" t="str">
        <f t="shared" si="11"/>
        <v/>
      </c>
      <c r="BY358" s="4" t="s">
        <v>5</v>
      </c>
      <c r="BZ358" s="4" t="s">
        <v>5</v>
      </c>
    </row>
    <row r="359" spans="1:78" x14ac:dyDescent="0.25">
      <c r="A359" s="13" t="str">
        <f>IF(AND($E359="",MAX($A$8:$A358)=0),"",IF(AND($E359&lt;&gt;"",MAX($A$8:$A358)=0),1,IF(AND($E359&lt;&gt;"",MAX($A$8:$A358)&gt;0),MAX($A$8:$A358)+1,"")))</f>
        <v/>
      </c>
      <c r="B359" s="11">
        <v>352</v>
      </c>
      <c r="C359" s="19" t="str">
        <f t="shared" si="10"/>
        <v>EMPTY</v>
      </c>
      <c r="D359" s="3" t="str">
        <f>IF(C359="SHOW",CONCATENATE(Temp!T355,Temp!U355,",",Temp!V355,",",Temp!W355,Temp!X355),"")</f>
        <v/>
      </c>
      <c r="E359" s="7"/>
      <c r="F359" s="8" t="str">
        <f t="shared" si="11"/>
        <v/>
      </c>
      <c r="BY359" s="4" t="s">
        <v>5</v>
      </c>
      <c r="BZ359" s="4" t="s">
        <v>5</v>
      </c>
    </row>
    <row r="360" spans="1:78" x14ac:dyDescent="0.25">
      <c r="A360" s="13" t="str">
        <f>IF(AND($E360="",MAX($A$8:$A359)=0),"",IF(AND($E360&lt;&gt;"",MAX($A$8:$A359)=0),1,IF(AND($E360&lt;&gt;"",MAX($A$8:$A359)&gt;0),MAX($A$8:$A359)+1,"")))</f>
        <v/>
      </c>
      <c r="B360" s="11">
        <v>353</v>
      </c>
      <c r="C360" s="19" t="str">
        <f t="shared" si="10"/>
        <v>EMPTY</v>
      </c>
      <c r="D360" s="3" t="str">
        <f>IF(C360="SHOW",CONCATENATE(Temp!T356,Temp!U356,",",Temp!V356,",",Temp!W356,Temp!X356),"")</f>
        <v/>
      </c>
      <c r="E360" s="7"/>
      <c r="F360" s="8" t="str">
        <f t="shared" si="11"/>
        <v/>
      </c>
      <c r="BY360" s="4" t="s">
        <v>5</v>
      </c>
      <c r="BZ360" s="4" t="s">
        <v>5</v>
      </c>
    </row>
    <row r="361" spans="1:78" x14ac:dyDescent="0.25">
      <c r="A361" s="13" t="str">
        <f>IF(AND($E361="",MAX($A$8:$A360)=0),"",IF(AND($E361&lt;&gt;"",MAX($A$8:$A360)=0),1,IF(AND($E361&lt;&gt;"",MAX($A$8:$A360)&gt;0),MAX($A$8:$A360)+1,"")))</f>
        <v/>
      </c>
      <c r="B361" s="11">
        <v>354</v>
      </c>
      <c r="C361" s="19" t="str">
        <f t="shared" si="10"/>
        <v>EMPTY</v>
      </c>
      <c r="D361" s="3" t="str">
        <f>IF(C361="SHOW",CONCATENATE(Temp!T357,Temp!U357,",",Temp!V357,",",Temp!W357,Temp!X357),"")</f>
        <v/>
      </c>
      <c r="E361" s="7"/>
      <c r="F361" s="8" t="str">
        <f t="shared" si="11"/>
        <v/>
      </c>
      <c r="BY361" s="4" t="s">
        <v>5</v>
      </c>
      <c r="BZ361" s="4" t="s">
        <v>5</v>
      </c>
    </row>
    <row r="362" spans="1:78" x14ac:dyDescent="0.25">
      <c r="A362" s="13" t="str">
        <f>IF(AND($E362="",MAX($A$8:$A361)=0),"",IF(AND($E362&lt;&gt;"",MAX($A$8:$A361)=0),1,IF(AND($E362&lt;&gt;"",MAX($A$8:$A361)&gt;0),MAX($A$8:$A361)+1,"")))</f>
        <v/>
      </c>
      <c r="B362" s="11">
        <v>355</v>
      </c>
      <c r="C362" s="19" t="str">
        <f t="shared" si="10"/>
        <v>EMPTY</v>
      </c>
      <c r="D362" s="3" t="str">
        <f>IF(C362="SHOW",CONCATENATE(Temp!T358,Temp!U358,",",Temp!V358,",",Temp!W358,Temp!X358),"")</f>
        <v/>
      </c>
      <c r="E362" s="7"/>
      <c r="F362" s="8" t="str">
        <f t="shared" si="11"/>
        <v/>
      </c>
      <c r="BY362" s="4" t="s">
        <v>5</v>
      </c>
      <c r="BZ362" s="4" t="s">
        <v>5</v>
      </c>
    </row>
    <row r="363" spans="1:78" x14ac:dyDescent="0.25">
      <c r="A363" s="13" t="str">
        <f>IF(AND($E363="",MAX($A$8:$A362)=0),"",IF(AND($E363&lt;&gt;"",MAX($A$8:$A362)=0),1,IF(AND($E363&lt;&gt;"",MAX($A$8:$A362)&gt;0),MAX($A$8:$A362)+1,"")))</f>
        <v/>
      </c>
      <c r="B363" s="11">
        <v>356</v>
      </c>
      <c r="C363" s="19" t="str">
        <f t="shared" si="10"/>
        <v>EMPTY</v>
      </c>
      <c r="D363" s="3" t="str">
        <f>IF(C363="SHOW",CONCATENATE(Temp!T359,Temp!U359,",",Temp!V359,",",Temp!W359,Temp!X359),"")</f>
        <v/>
      </c>
      <c r="E363" s="7"/>
      <c r="F363" s="8" t="str">
        <f t="shared" si="11"/>
        <v/>
      </c>
      <c r="BY363" s="4" t="s">
        <v>5</v>
      </c>
      <c r="BZ363" s="4" t="s">
        <v>5</v>
      </c>
    </row>
    <row r="364" spans="1:78" x14ac:dyDescent="0.25">
      <c r="A364" s="13" t="str">
        <f>IF(AND($E364="",MAX($A$8:$A363)=0),"",IF(AND($E364&lt;&gt;"",MAX($A$8:$A363)=0),1,IF(AND($E364&lt;&gt;"",MAX($A$8:$A363)&gt;0),MAX($A$8:$A363)+1,"")))</f>
        <v/>
      </c>
      <c r="B364" s="11">
        <v>357</v>
      </c>
      <c r="C364" s="19" t="str">
        <f t="shared" si="10"/>
        <v>EMPTY</v>
      </c>
      <c r="D364" s="3" t="str">
        <f>IF(C364="SHOW",CONCATENATE(Temp!T360,Temp!U360,",",Temp!V360,",",Temp!W360,Temp!X360),"")</f>
        <v/>
      </c>
      <c r="E364" s="7"/>
      <c r="F364" s="8" t="str">
        <f t="shared" si="11"/>
        <v/>
      </c>
      <c r="BY364" s="4" t="s">
        <v>5</v>
      </c>
      <c r="BZ364" s="4" t="s">
        <v>5</v>
      </c>
    </row>
    <row r="365" spans="1:78" x14ac:dyDescent="0.25">
      <c r="A365" s="13" t="str">
        <f>IF(AND($E365="",MAX($A$8:$A364)=0),"",IF(AND($E365&lt;&gt;"",MAX($A$8:$A364)=0),1,IF(AND($E365&lt;&gt;"",MAX($A$8:$A364)&gt;0),MAX($A$8:$A364)+1,"")))</f>
        <v/>
      </c>
      <c r="B365" s="11">
        <v>358</v>
      </c>
      <c r="C365" s="19" t="str">
        <f t="shared" si="10"/>
        <v>EMPTY</v>
      </c>
      <c r="D365" s="3" t="str">
        <f>IF(C365="SHOW",CONCATENATE(Temp!T361,Temp!U361,",",Temp!V361,",",Temp!W361,Temp!X361),"")</f>
        <v/>
      </c>
      <c r="E365" s="7"/>
      <c r="F365" s="8" t="str">
        <f t="shared" si="11"/>
        <v/>
      </c>
      <c r="BY365" s="4" t="s">
        <v>5</v>
      </c>
      <c r="BZ365" s="4" t="s">
        <v>5</v>
      </c>
    </row>
    <row r="366" spans="1:78" x14ac:dyDescent="0.25">
      <c r="A366" s="13" t="str">
        <f>IF(AND($E366="",MAX($A$8:$A365)=0),"",IF(AND($E366&lt;&gt;"",MAX($A$8:$A365)=0),1,IF(AND($E366&lt;&gt;"",MAX($A$8:$A365)&gt;0),MAX($A$8:$A365)+1,"")))</f>
        <v/>
      </c>
      <c r="B366" s="11">
        <v>359</v>
      </c>
      <c r="C366" s="19" t="str">
        <f t="shared" si="10"/>
        <v>EMPTY</v>
      </c>
      <c r="D366" s="3" t="str">
        <f>IF(C366="SHOW",CONCATENATE(Temp!T362,Temp!U362,",",Temp!V362,",",Temp!W362,Temp!X362),"")</f>
        <v/>
      </c>
      <c r="E366" s="7"/>
      <c r="F366" s="8" t="str">
        <f t="shared" si="11"/>
        <v/>
      </c>
      <c r="BY366" s="4" t="s">
        <v>5</v>
      </c>
      <c r="BZ366" s="4" t="s">
        <v>5</v>
      </c>
    </row>
    <row r="367" spans="1:78" x14ac:dyDescent="0.25">
      <c r="A367" s="13" t="str">
        <f>IF(AND($E367="",MAX($A$8:$A366)=0),"",IF(AND($E367&lt;&gt;"",MAX($A$8:$A366)=0),1,IF(AND($E367&lt;&gt;"",MAX($A$8:$A366)&gt;0),MAX($A$8:$A366)+1,"")))</f>
        <v/>
      </c>
      <c r="B367" s="11">
        <v>360</v>
      </c>
      <c r="C367" s="19" t="str">
        <f t="shared" si="10"/>
        <v>EMPTY</v>
      </c>
      <c r="D367" s="3" t="str">
        <f>IF(C367="SHOW",CONCATENATE(Temp!T363,Temp!U363,",",Temp!V363,",",Temp!W363,Temp!X363),"")</f>
        <v/>
      </c>
      <c r="E367" s="7"/>
      <c r="F367" s="8" t="str">
        <f t="shared" si="11"/>
        <v/>
      </c>
      <c r="BY367" s="4" t="s">
        <v>5</v>
      </c>
      <c r="BZ367" s="4" t="s">
        <v>5</v>
      </c>
    </row>
    <row r="368" spans="1:78" x14ac:dyDescent="0.25">
      <c r="A368" s="13" t="str">
        <f>IF(AND($E368="",MAX($A$8:$A367)=0),"",IF(AND($E368&lt;&gt;"",MAX($A$8:$A367)=0),1,IF(AND($E368&lt;&gt;"",MAX($A$8:$A367)&gt;0),MAX($A$8:$A367)+1,"")))</f>
        <v/>
      </c>
      <c r="B368" s="11">
        <v>361</v>
      </c>
      <c r="C368" s="19" t="str">
        <f t="shared" si="10"/>
        <v>EMPTY</v>
      </c>
      <c r="D368" s="3" t="str">
        <f>IF(C368="SHOW",CONCATENATE(Temp!T364,Temp!U364,",",Temp!V364,",",Temp!W364,Temp!X364),"")</f>
        <v/>
      </c>
      <c r="E368" s="7"/>
      <c r="F368" s="8" t="str">
        <f t="shared" si="11"/>
        <v/>
      </c>
      <c r="BY368" s="4" t="s">
        <v>5</v>
      </c>
      <c r="BZ368" s="4" t="s">
        <v>5</v>
      </c>
    </row>
    <row r="369" spans="1:78" x14ac:dyDescent="0.25">
      <c r="A369" s="13" t="str">
        <f>IF(AND($E369="",MAX($A$8:$A368)=0),"",IF(AND($E369&lt;&gt;"",MAX($A$8:$A368)=0),1,IF(AND($E369&lt;&gt;"",MAX($A$8:$A368)&gt;0),MAX($A$8:$A368)+1,"")))</f>
        <v/>
      </c>
      <c r="B369" s="11">
        <v>362</v>
      </c>
      <c r="C369" s="19" t="str">
        <f t="shared" si="10"/>
        <v>EMPTY</v>
      </c>
      <c r="D369" s="3" t="str">
        <f>IF(C369="SHOW",CONCATENATE(Temp!T365,Temp!U365,",",Temp!V365,",",Temp!W365,Temp!X365),"")</f>
        <v/>
      </c>
      <c r="E369" s="7"/>
      <c r="F369" s="8" t="str">
        <f t="shared" si="11"/>
        <v/>
      </c>
      <c r="BY369" s="4" t="s">
        <v>5</v>
      </c>
      <c r="BZ369" s="4" t="s">
        <v>5</v>
      </c>
    </row>
    <row r="370" spans="1:78" x14ac:dyDescent="0.25">
      <c r="A370" s="13" t="str">
        <f>IF(AND($E370="",MAX($A$8:$A369)=0),"",IF(AND($E370&lt;&gt;"",MAX($A$8:$A369)=0),1,IF(AND($E370&lt;&gt;"",MAX($A$8:$A369)&gt;0),MAX($A$8:$A369)+1,"")))</f>
        <v/>
      </c>
      <c r="B370" s="11">
        <v>363</v>
      </c>
      <c r="C370" s="19" t="str">
        <f t="shared" si="10"/>
        <v>EMPTY</v>
      </c>
      <c r="D370" s="3" t="str">
        <f>IF(C370="SHOW",CONCATENATE(Temp!T366,Temp!U366,",",Temp!V366,",",Temp!W366,Temp!X366),"")</f>
        <v/>
      </c>
      <c r="E370" s="7"/>
      <c r="F370" s="8" t="str">
        <f t="shared" si="11"/>
        <v/>
      </c>
      <c r="BY370" s="4" t="s">
        <v>5</v>
      </c>
      <c r="BZ370" s="4" t="s">
        <v>5</v>
      </c>
    </row>
    <row r="371" spans="1:78" x14ac:dyDescent="0.25">
      <c r="A371" s="13" t="str">
        <f>IF(AND($E371="",MAX($A$8:$A370)=0),"",IF(AND($E371&lt;&gt;"",MAX($A$8:$A370)=0),1,IF(AND($E371&lt;&gt;"",MAX($A$8:$A370)&gt;0),MAX($A$8:$A370)+1,"")))</f>
        <v/>
      </c>
      <c r="B371" s="11">
        <v>364</v>
      </c>
      <c r="C371" s="19" t="str">
        <f t="shared" si="10"/>
        <v>EMPTY</v>
      </c>
      <c r="D371" s="3" t="str">
        <f>IF(C371="SHOW",CONCATENATE(Temp!T367,Temp!U367,",",Temp!V367,",",Temp!W367,Temp!X367),"")</f>
        <v/>
      </c>
      <c r="E371" s="7"/>
      <c r="F371" s="8" t="str">
        <f t="shared" si="11"/>
        <v/>
      </c>
      <c r="BY371" s="4" t="s">
        <v>5</v>
      </c>
      <c r="BZ371" s="4" t="s">
        <v>5</v>
      </c>
    </row>
    <row r="372" spans="1:78" x14ac:dyDescent="0.25">
      <c r="A372" s="13" t="str">
        <f>IF(AND($E372="",MAX($A$8:$A371)=0),"",IF(AND($E372&lt;&gt;"",MAX($A$8:$A371)=0),1,IF(AND($E372&lt;&gt;"",MAX($A$8:$A371)&gt;0),MAX($A$8:$A371)+1,"")))</f>
        <v/>
      </c>
      <c r="B372" s="11">
        <v>365</v>
      </c>
      <c r="C372" s="19" t="str">
        <f t="shared" si="10"/>
        <v>EMPTY</v>
      </c>
      <c r="D372" s="3" t="str">
        <f>IF(C372="SHOW",CONCATENATE(Temp!T368,Temp!U368,",",Temp!V368,",",Temp!W368,Temp!X368),"")</f>
        <v/>
      </c>
      <c r="E372" s="7"/>
      <c r="F372" s="8" t="str">
        <f t="shared" si="11"/>
        <v/>
      </c>
      <c r="BY372" s="4" t="s">
        <v>5</v>
      </c>
      <c r="BZ372" s="4" t="s">
        <v>5</v>
      </c>
    </row>
    <row r="373" spans="1:78" x14ac:dyDescent="0.25">
      <c r="A373" s="13" t="str">
        <f>IF(AND($E373="",MAX($A$8:$A372)=0),"",IF(AND($E373&lt;&gt;"",MAX($A$8:$A372)=0),1,IF(AND($E373&lt;&gt;"",MAX($A$8:$A372)&gt;0),MAX($A$8:$A372)+1,"")))</f>
        <v/>
      </c>
      <c r="B373" s="11">
        <v>366</v>
      </c>
      <c r="C373" s="19" t="str">
        <f t="shared" si="10"/>
        <v>EMPTY</v>
      </c>
      <c r="D373" s="3" t="str">
        <f>IF(C373="SHOW",CONCATENATE(Temp!T369,Temp!U369,",",Temp!V369,",",Temp!W369,Temp!X369),"")</f>
        <v/>
      </c>
      <c r="E373" s="7"/>
      <c r="F373" s="8" t="str">
        <f t="shared" si="11"/>
        <v/>
      </c>
      <c r="BY373" s="4" t="s">
        <v>5</v>
      </c>
      <c r="BZ373" s="4" t="s">
        <v>5</v>
      </c>
    </row>
    <row r="374" spans="1:78" x14ac:dyDescent="0.25">
      <c r="A374" s="13" t="str">
        <f>IF(AND($E374="",MAX($A$8:$A373)=0),"",IF(AND($E374&lt;&gt;"",MAX($A$8:$A373)=0),1,IF(AND($E374&lt;&gt;"",MAX($A$8:$A373)&gt;0),MAX($A$8:$A373)+1,"")))</f>
        <v/>
      </c>
      <c r="B374" s="11">
        <v>367</v>
      </c>
      <c r="C374" s="19" t="str">
        <f t="shared" si="10"/>
        <v>EMPTY</v>
      </c>
      <c r="D374" s="3" t="str">
        <f>IF(C374="SHOW",CONCATENATE(Temp!T370,Temp!U370,",",Temp!V370,",",Temp!W370,Temp!X370),"")</f>
        <v/>
      </c>
      <c r="E374" s="7"/>
      <c r="F374" s="8" t="str">
        <f t="shared" si="11"/>
        <v/>
      </c>
      <c r="BY374" s="4" t="s">
        <v>5</v>
      </c>
      <c r="BZ374" s="4" t="s">
        <v>5</v>
      </c>
    </row>
    <row r="375" spans="1:78" x14ac:dyDescent="0.25">
      <c r="A375" s="13" t="str">
        <f>IF(AND($E375="",MAX($A$8:$A374)=0),"",IF(AND($E375&lt;&gt;"",MAX($A$8:$A374)=0),1,IF(AND($E375&lt;&gt;"",MAX($A$8:$A374)&gt;0),MAX($A$8:$A374)+1,"")))</f>
        <v/>
      </c>
      <c r="B375" s="11">
        <v>368</v>
      </c>
      <c r="C375" s="19" t="str">
        <f t="shared" si="10"/>
        <v>EMPTY</v>
      </c>
      <c r="D375" s="3" t="str">
        <f>IF(C375="SHOW",CONCATENATE(Temp!T371,Temp!U371,",",Temp!V371,",",Temp!W371,Temp!X371),"")</f>
        <v/>
      </c>
      <c r="E375" s="7"/>
      <c r="F375" s="8" t="str">
        <f t="shared" si="11"/>
        <v/>
      </c>
      <c r="BY375" s="4" t="s">
        <v>5</v>
      </c>
      <c r="BZ375" s="4" t="s">
        <v>5</v>
      </c>
    </row>
    <row r="376" spans="1:78" x14ac:dyDescent="0.25">
      <c r="A376" s="13" t="str">
        <f>IF(AND($E376="",MAX($A$8:$A375)=0),"",IF(AND($E376&lt;&gt;"",MAX($A$8:$A375)=0),1,IF(AND($E376&lt;&gt;"",MAX($A$8:$A375)&gt;0),MAX($A$8:$A375)+1,"")))</f>
        <v/>
      </c>
      <c r="B376" s="11">
        <v>369</v>
      </c>
      <c r="C376" s="19" t="str">
        <f t="shared" si="10"/>
        <v>EMPTY</v>
      </c>
      <c r="D376" s="3" t="str">
        <f>IF(C376="SHOW",CONCATENATE(Temp!T372,Temp!U372,",",Temp!V372,",",Temp!W372,Temp!X372),"")</f>
        <v/>
      </c>
      <c r="E376" s="7"/>
      <c r="F376" s="8" t="str">
        <f t="shared" si="11"/>
        <v/>
      </c>
      <c r="BY376" s="4" t="s">
        <v>5</v>
      </c>
      <c r="BZ376" s="4" t="s">
        <v>5</v>
      </c>
    </row>
    <row r="377" spans="1:78" x14ac:dyDescent="0.25">
      <c r="A377" s="13" t="str">
        <f>IF(AND($E377="",MAX($A$8:$A376)=0),"",IF(AND($E377&lt;&gt;"",MAX($A$8:$A376)=0),1,IF(AND($E377&lt;&gt;"",MAX($A$8:$A376)&gt;0),MAX($A$8:$A376)+1,"")))</f>
        <v/>
      </c>
      <c r="B377" s="11">
        <v>370</v>
      </c>
      <c r="C377" s="19" t="str">
        <f t="shared" si="10"/>
        <v>EMPTY</v>
      </c>
      <c r="D377" s="3" t="str">
        <f>IF(C377="SHOW",CONCATENATE(Temp!T373,Temp!U373,",",Temp!V373,",",Temp!W373,Temp!X373),"")</f>
        <v/>
      </c>
      <c r="E377" s="7"/>
      <c r="F377" s="8" t="str">
        <f t="shared" si="11"/>
        <v/>
      </c>
      <c r="BY377" s="4" t="s">
        <v>5</v>
      </c>
      <c r="BZ377" s="4" t="s">
        <v>5</v>
      </c>
    </row>
    <row r="378" spans="1:78" x14ac:dyDescent="0.25">
      <c r="A378" s="13" t="str">
        <f>IF(AND($E378="",MAX($A$8:$A377)=0),"",IF(AND($E378&lt;&gt;"",MAX($A$8:$A377)=0),1,IF(AND($E378&lt;&gt;"",MAX($A$8:$A377)&gt;0),MAX($A$8:$A377)+1,"")))</f>
        <v/>
      </c>
      <c r="B378" s="11">
        <v>371</v>
      </c>
      <c r="C378" s="19" t="str">
        <f t="shared" si="10"/>
        <v>EMPTY</v>
      </c>
      <c r="D378" s="3" t="str">
        <f>IF(C378="SHOW",CONCATENATE(Temp!T374,Temp!U374,",",Temp!V374,",",Temp!W374,Temp!X374),"")</f>
        <v/>
      </c>
      <c r="E378" s="7"/>
      <c r="F378" s="8" t="str">
        <f t="shared" si="11"/>
        <v/>
      </c>
      <c r="BY378" s="4" t="s">
        <v>5</v>
      </c>
      <c r="BZ378" s="4" t="s">
        <v>5</v>
      </c>
    </row>
    <row r="379" spans="1:78" x14ac:dyDescent="0.25">
      <c r="A379" s="13" t="str">
        <f>IF(AND($E379="",MAX($A$8:$A378)=0),"",IF(AND($E379&lt;&gt;"",MAX($A$8:$A378)=0),1,IF(AND($E379&lt;&gt;"",MAX($A$8:$A378)&gt;0),MAX($A$8:$A378)+1,"")))</f>
        <v/>
      </c>
      <c r="B379" s="11">
        <v>372</v>
      </c>
      <c r="C379" s="19" t="str">
        <f t="shared" si="10"/>
        <v>EMPTY</v>
      </c>
      <c r="D379" s="3" t="str">
        <f>IF(C379="SHOW",CONCATENATE(Temp!T375,Temp!U375,",",Temp!V375,",",Temp!W375,Temp!X375),"")</f>
        <v/>
      </c>
      <c r="E379" s="7"/>
      <c r="F379" s="8" t="str">
        <f t="shared" si="11"/>
        <v/>
      </c>
      <c r="BY379" s="4" t="s">
        <v>5</v>
      </c>
      <c r="BZ379" s="4" t="s">
        <v>5</v>
      </c>
    </row>
    <row r="380" spans="1:78" x14ac:dyDescent="0.25">
      <c r="A380" s="13" t="str">
        <f>IF(AND($E380="",MAX($A$8:$A379)=0),"",IF(AND($E380&lt;&gt;"",MAX($A$8:$A379)=0),1,IF(AND($E380&lt;&gt;"",MAX($A$8:$A379)&gt;0),MAX($A$8:$A379)+1,"")))</f>
        <v/>
      </c>
      <c r="B380" s="11">
        <v>373</v>
      </c>
      <c r="C380" s="19" t="str">
        <f t="shared" si="10"/>
        <v>EMPTY</v>
      </c>
      <c r="D380" s="3" t="str">
        <f>IF(C380="SHOW",CONCATENATE(Temp!T376,Temp!U376,",",Temp!V376,",",Temp!W376,Temp!X376),"")</f>
        <v/>
      </c>
      <c r="E380" s="7"/>
      <c r="F380" s="8" t="str">
        <f t="shared" si="11"/>
        <v/>
      </c>
      <c r="BY380" s="4" t="s">
        <v>5</v>
      </c>
      <c r="BZ380" s="4" t="s">
        <v>5</v>
      </c>
    </row>
    <row r="381" spans="1:78" x14ac:dyDescent="0.25">
      <c r="A381" s="13" t="str">
        <f>IF(AND($E381="",MAX($A$8:$A380)=0),"",IF(AND($E381&lt;&gt;"",MAX($A$8:$A380)=0),1,IF(AND($E381&lt;&gt;"",MAX($A$8:$A380)&gt;0),MAX($A$8:$A380)+1,"")))</f>
        <v/>
      </c>
      <c r="B381" s="11">
        <v>374</v>
      </c>
      <c r="C381" s="19" t="str">
        <f t="shared" si="10"/>
        <v>EMPTY</v>
      </c>
      <c r="D381" s="3" t="str">
        <f>IF(C381="SHOW",CONCATENATE(Temp!T377,Temp!U377,",",Temp!V377,",",Temp!W377,Temp!X377),"")</f>
        <v/>
      </c>
      <c r="E381" s="7"/>
      <c r="F381" s="8" t="str">
        <f t="shared" si="11"/>
        <v/>
      </c>
      <c r="BY381" s="4" t="s">
        <v>5</v>
      </c>
      <c r="BZ381" s="4" t="s">
        <v>5</v>
      </c>
    </row>
    <row r="382" spans="1:78" x14ac:dyDescent="0.25">
      <c r="A382" s="13" t="str">
        <f>IF(AND($E382="",MAX($A$8:$A381)=0),"",IF(AND($E382&lt;&gt;"",MAX($A$8:$A381)=0),1,IF(AND($E382&lt;&gt;"",MAX($A$8:$A381)&gt;0),MAX($A$8:$A381)+1,"")))</f>
        <v/>
      </c>
      <c r="B382" s="11">
        <v>375</v>
      </c>
      <c r="C382" s="19" t="str">
        <f t="shared" si="10"/>
        <v>EMPTY</v>
      </c>
      <c r="D382" s="3" t="str">
        <f>IF(C382="SHOW",CONCATENATE(Temp!T378,Temp!U378,",",Temp!V378,",",Temp!W378,Temp!X378),"")</f>
        <v/>
      </c>
      <c r="E382" s="7"/>
      <c r="F382" s="8" t="str">
        <f t="shared" si="11"/>
        <v/>
      </c>
      <c r="BY382" s="4" t="s">
        <v>5</v>
      </c>
      <c r="BZ382" s="4" t="s">
        <v>5</v>
      </c>
    </row>
    <row r="383" spans="1:78" x14ac:dyDescent="0.25">
      <c r="A383" s="13" t="str">
        <f>IF(AND($E383="",MAX($A$8:$A382)=0),"",IF(AND($E383&lt;&gt;"",MAX($A$8:$A382)=0),1,IF(AND($E383&lt;&gt;"",MAX($A$8:$A382)&gt;0),MAX($A$8:$A382)+1,"")))</f>
        <v/>
      </c>
      <c r="B383" s="11">
        <v>376</v>
      </c>
      <c r="C383" s="19" t="str">
        <f t="shared" si="10"/>
        <v>EMPTY</v>
      </c>
      <c r="D383" s="3" t="str">
        <f>IF(C383="SHOW",CONCATENATE(Temp!T379,Temp!U379,",",Temp!V379,",",Temp!W379,Temp!X379),"")</f>
        <v/>
      </c>
      <c r="E383" s="7"/>
      <c r="F383" s="8" t="str">
        <f t="shared" si="11"/>
        <v/>
      </c>
      <c r="BY383" s="4" t="s">
        <v>5</v>
      </c>
      <c r="BZ383" s="4" t="s">
        <v>5</v>
      </c>
    </row>
    <row r="384" spans="1:78" x14ac:dyDescent="0.25">
      <c r="A384" s="13" t="str">
        <f>IF(AND($E384="",MAX($A$8:$A383)=0),"",IF(AND($E384&lt;&gt;"",MAX($A$8:$A383)=0),1,IF(AND($E384&lt;&gt;"",MAX($A$8:$A383)&gt;0),MAX($A$8:$A383)+1,"")))</f>
        <v/>
      </c>
      <c r="B384" s="11">
        <v>377</v>
      </c>
      <c r="C384" s="19" t="str">
        <f t="shared" si="10"/>
        <v>EMPTY</v>
      </c>
      <c r="D384" s="3" t="str">
        <f>IF(C384="SHOW",CONCATENATE(Temp!T380,Temp!U380,",",Temp!V380,",",Temp!W380,Temp!X380),"")</f>
        <v/>
      </c>
      <c r="E384" s="7"/>
      <c r="F384" s="8" t="str">
        <f t="shared" si="11"/>
        <v/>
      </c>
      <c r="BY384" s="4" t="s">
        <v>5</v>
      </c>
      <c r="BZ384" s="4" t="s">
        <v>5</v>
      </c>
    </row>
    <row r="385" spans="1:78" x14ac:dyDescent="0.25">
      <c r="A385" s="13" t="str">
        <f>IF(AND($E385="",MAX($A$8:$A384)=0),"",IF(AND($E385&lt;&gt;"",MAX($A$8:$A384)=0),1,IF(AND($E385&lt;&gt;"",MAX($A$8:$A384)&gt;0),MAX($A$8:$A384)+1,"")))</f>
        <v/>
      </c>
      <c r="B385" s="11">
        <v>378</v>
      </c>
      <c r="C385" s="19" t="str">
        <f t="shared" si="10"/>
        <v>EMPTY</v>
      </c>
      <c r="D385" s="3" t="str">
        <f>IF(C385="SHOW",CONCATENATE(Temp!T381,Temp!U381,",",Temp!V381,",",Temp!W381,Temp!X381),"")</f>
        <v/>
      </c>
      <c r="E385" s="7"/>
      <c r="F385" s="8" t="str">
        <f t="shared" si="11"/>
        <v/>
      </c>
      <c r="BY385" s="4" t="s">
        <v>5</v>
      </c>
      <c r="BZ385" s="4" t="s">
        <v>5</v>
      </c>
    </row>
    <row r="386" spans="1:78" x14ac:dyDescent="0.25">
      <c r="A386" s="13" t="str">
        <f>IF(AND($E386="",MAX($A$8:$A385)=0),"",IF(AND($E386&lt;&gt;"",MAX($A$8:$A385)=0),1,IF(AND($E386&lt;&gt;"",MAX($A$8:$A385)&gt;0),MAX($A$8:$A385)+1,"")))</f>
        <v/>
      </c>
      <c r="B386" s="11">
        <v>379</v>
      </c>
      <c r="C386" s="19" t="str">
        <f t="shared" si="10"/>
        <v>EMPTY</v>
      </c>
      <c r="D386" s="3" t="str">
        <f>IF(C386="SHOW",CONCATENATE(Temp!T382,Temp!U382,",",Temp!V382,",",Temp!W382,Temp!X382),"")</f>
        <v/>
      </c>
      <c r="E386" s="7"/>
      <c r="F386" s="8" t="str">
        <f t="shared" si="11"/>
        <v/>
      </c>
      <c r="BY386" s="4" t="s">
        <v>5</v>
      </c>
      <c r="BZ386" s="4" t="s">
        <v>5</v>
      </c>
    </row>
    <row r="387" spans="1:78" x14ac:dyDescent="0.25">
      <c r="A387" s="13" t="str">
        <f>IF(AND($E387="",MAX($A$8:$A386)=0),"",IF(AND($E387&lt;&gt;"",MAX($A$8:$A386)=0),1,IF(AND($E387&lt;&gt;"",MAX($A$8:$A386)&gt;0),MAX($A$8:$A386)+1,"")))</f>
        <v/>
      </c>
      <c r="B387" s="11">
        <v>380</v>
      </c>
      <c r="C387" s="19" t="str">
        <f t="shared" si="10"/>
        <v>EMPTY</v>
      </c>
      <c r="D387" s="3" t="str">
        <f>IF(C387="SHOW",CONCATENATE(Temp!T383,Temp!U383,",",Temp!V383,",",Temp!W383,Temp!X383),"")</f>
        <v/>
      </c>
      <c r="E387" s="7"/>
      <c r="F387" s="8" t="str">
        <f t="shared" si="11"/>
        <v/>
      </c>
      <c r="BY387" s="4" t="s">
        <v>5</v>
      </c>
      <c r="BZ387" s="4" t="s">
        <v>5</v>
      </c>
    </row>
    <row r="388" spans="1:78" x14ac:dyDescent="0.25">
      <c r="A388" s="13" t="str">
        <f>IF(AND($E388="",MAX($A$8:$A387)=0),"",IF(AND($E388&lt;&gt;"",MAX($A$8:$A387)=0),1,IF(AND($E388&lt;&gt;"",MAX($A$8:$A387)&gt;0),MAX($A$8:$A387)+1,"")))</f>
        <v/>
      </c>
      <c r="B388" s="11">
        <v>381</v>
      </c>
      <c r="C388" s="19" t="str">
        <f t="shared" si="10"/>
        <v>EMPTY</v>
      </c>
      <c r="D388" s="3" t="str">
        <f>IF(C388="SHOW",CONCATENATE(Temp!T384,Temp!U384,",",Temp!V384,",",Temp!W384,Temp!X384),"")</f>
        <v/>
      </c>
      <c r="E388" s="7"/>
      <c r="F388" s="8" t="str">
        <f t="shared" si="11"/>
        <v/>
      </c>
      <c r="BY388" s="4" t="s">
        <v>5</v>
      </c>
      <c r="BZ388" s="4" t="s">
        <v>5</v>
      </c>
    </row>
    <row r="389" spans="1:78" x14ac:dyDescent="0.25">
      <c r="A389" s="13" t="str">
        <f>IF(AND($E389="",MAX($A$8:$A388)=0),"",IF(AND($E389&lt;&gt;"",MAX($A$8:$A388)=0),1,IF(AND($E389&lt;&gt;"",MAX($A$8:$A388)&gt;0),MAX($A$8:$A388)+1,"")))</f>
        <v/>
      </c>
      <c r="B389" s="11">
        <v>382</v>
      </c>
      <c r="C389" s="19" t="str">
        <f t="shared" si="10"/>
        <v>EMPTY</v>
      </c>
      <c r="D389" s="3" t="str">
        <f>IF(C389="SHOW",CONCATENATE(Temp!T385,Temp!U385,",",Temp!V385,",",Temp!W385,Temp!X385),"")</f>
        <v/>
      </c>
      <c r="E389" s="7"/>
      <c r="F389" s="8" t="str">
        <f t="shared" si="11"/>
        <v/>
      </c>
      <c r="BY389" s="4" t="s">
        <v>5</v>
      </c>
      <c r="BZ389" s="4" t="s">
        <v>5</v>
      </c>
    </row>
    <row r="390" spans="1:78" x14ac:dyDescent="0.25">
      <c r="A390" s="13" t="str">
        <f>IF(AND($E390="",MAX($A$8:$A389)=0),"",IF(AND($E390&lt;&gt;"",MAX($A$8:$A389)=0),1,IF(AND($E390&lt;&gt;"",MAX($A$8:$A389)&gt;0),MAX($A$8:$A389)+1,"")))</f>
        <v/>
      </c>
      <c r="B390" s="11">
        <v>383</v>
      </c>
      <c r="C390" s="19" t="str">
        <f t="shared" si="10"/>
        <v>EMPTY</v>
      </c>
      <c r="D390" s="3" t="str">
        <f>IF(C390="SHOW",CONCATENATE(Temp!T386,Temp!U386,",",Temp!V386,",",Temp!W386,Temp!X386),"")</f>
        <v/>
      </c>
      <c r="E390" s="7"/>
      <c r="F390" s="8" t="str">
        <f t="shared" si="11"/>
        <v/>
      </c>
      <c r="BY390" s="4" t="s">
        <v>5</v>
      </c>
      <c r="BZ390" s="4" t="s">
        <v>5</v>
      </c>
    </row>
    <row r="391" spans="1:78" x14ac:dyDescent="0.25">
      <c r="A391" s="13" t="str">
        <f>IF(AND($E391="",MAX($A$8:$A390)=0),"",IF(AND($E391&lt;&gt;"",MAX($A$8:$A390)=0),1,IF(AND($E391&lt;&gt;"",MAX($A$8:$A390)&gt;0),MAX($A$8:$A390)+1,"")))</f>
        <v/>
      </c>
      <c r="B391" s="11">
        <v>384</v>
      </c>
      <c r="C391" s="19" t="str">
        <f t="shared" si="10"/>
        <v>EMPTY</v>
      </c>
      <c r="D391" s="3" t="str">
        <f>IF(C391="SHOW",CONCATENATE(Temp!T387,Temp!U387,",",Temp!V387,",",Temp!W387,Temp!X387),"")</f>
        <v/>
      </c>
      <c r="E391" s="7"/>
      <c r="F391" s="8" t="str">
        <f t="shared" si="11"/>
        <v/>
      </c>
      <c r="BY391" s="4" t="s">
        <v>5</v>
      </c>
      <c r="BZ391" s="4" t="s">
        <v>5</v>
      </c>
    </row>
    <row r="392" spans="1:78" x14ac:dyDescent="0.25">
      <c r="A392" s="13" t="str">
        <f>IF(AND($E392="",MAX($A$8:$A391)=0),"",IF(AND($E392&lt;&gt;"",MAX($A$8:$A391)=0),1,IF(AND($E392&lt;&gt;"",MAX($A$8:$A391)&gt;0),MAX($A$8:$A391)+1,"")))</f>
        <v/>
      </c>
      <c r="B392" s="11">
        <v>385</v>
      </c>
      <c r="C392" s="19" t="str">
        <f t="shared" si="10"/>
        <v>EMPTY</v>
      </c>
      <c r="D392" s="3" t="str">
        <f>IF(C392="SHOW",CONCATENATE(Temp!T388,Temp!U388,",",Temp!V388,",",Temp!W388,Temp!X388),"")</f>
        <v/>
      </c>
      <c r="E392" s="7"/>
      <c r="F392" s="8" t="str">
        <f t="shared" si="11"/>
        <v/>
      </c>
      <c r="BY392" s="4" t="s">
        <v>5</v>
      </c>
      <c r="BZ392" s="4" t="s">
        <v>5</v>
      </c>
    </row>
    <row r="393" spans="1:78" x14ac:dyDescent="0.25">
      <c r="A393" s="13" t="str">
        <f>IF(AND($E393="",MAX($A$8:$A392)=0),"",IF(AND($E393&lt;&gt;"",MAX($A$8:$A392)=0),1,IF(AND($E393&lt;&gt;"",MAX($A$8:$A392)&gt;0),MAX($A$8:$A392)+1,"")))</f>
        <v/>
      </c>
      <c r="B393" s="11">
        <v>386</v>
      </c>
      <c r="C393" s="19" t="str">
        <f t="shared" ref="C393:C456" si="12">IF(E393="","EMPTY",IF(MID(E393,1,9)&lt;&gt;"Dialogue:","HIDE",IF(MID(E393,1,9)="Dialogue:","SHOW","")))</f>
        <v>EMPTY</v>
      </c>
      <c r="D393" s="3" t="str">
        <f>IF(C393="SHOW",CONCATENATE(Temp!T389,Temp!U389,",",Temp!V389,",",Temp!W389,Temp!X389),"")</f>
        <v/>
      </c>
      <c r="E393" s="7"/>
      <c r="F393" s="8" t="str">
        <f t="shared" ref="F393:F456" si="13">$D393</f>
        <v/>
      </c>
      <c r="BY393" s="4" t="s">
        <v>5</v>
      </c>
      <c r="BZ393" s="4" t="s">
        <v>5</v>
      </c>
    </row>
    <row r="394" spans="1:78" x14ac:dyDescent="0.25">
      <c r="A394" s="13" t="str">
        <f>IF(AND($E394="",MAX($A$8:$A393)=0),"",IF(AND($E394&lt;&gt;"",MAX($A$8:$A393)=0),1,IF(AND($E394&lt;&gt;"",MAX($A$8:$A393)&gt;0),MAX($A$8:$A393)+1,"")))</f>
        <v/>
      </c>
      <c r="B394" s="11">
        <v>387</v>
      </c>
      <c r="C394" s="19" t="str">
        <f t="shared" si="12"/>
        <v>EMPTY</v>
      </c>
      <c r="D394" s="3" t="str">
        <f>IF(C394="SHOW",CONCATENATE(Temp!T390,Temp!U390,",",Temp!V390,",",Temp!W390,Temp!X390),"")</f>
        <v/>
      </c>
      <c r="E394" s="7"/>
      <c r="F394" s="8" t="str">
        <f t="shared" si="13"/>
        <v/>
      </c>
      <c r="BY394" s="4" t="s">
        <v>5</v>
      </c>
      <c r="BZ394" s="4" t="s">
        <v>5</v>
      </c>
    </row>
    <row r="395" spans="1:78" x14ac:dyDescent="0.25">
      <c r="A395" s="13" t="str">
        <f>IF(AND($E395="",MAX($A$8:$A394)=0),"",IF(AND($E395&lt;&gt;"",MAX($A$8:$A394)=0),1,IF(AND($E395&lt;&gt;"",MAX($A$8:$A394)&gt;0),MAX($A$8:$A394)+1,"")))</f>
        <v/>
      </c>
      <c r="B395" s="11">
        <v>388</v>
      </c>
      <c r="C395" s="19" t="str">
        <f t="shared" si="12"/>
        <v>EMPTY</v>
      </c>
      <c r="D395" s="3" t="str">
        <f>IF(C395="SHOW",CONCATENATE(Temp!T391,Temp!U391,",",Temp!V391,",",Temp!W391,Temp!X391),"")</f>
        <v/>
      </c>
      <c r="E395" s="7"/>
      <c r="F395" s="8" t="str">
        <f t="shared" si="13"/>
        <v/>
      </c>
      <c r="BY395" s="4" t="s">
        <v>5</v>
      </c>
      <c r="BZ395" s="4" t="s">
        <v>5</v>
      </c>
    </row>
    <row r="396" spans="1:78" x14ac:dyDescent="0.25">
      <c r="A396" s="13" t="str">
        <f>IF(AND($E396="",MAX($A$8:$A395)=0),"",IF(AND($E396&lt;&gt;"",MAX($A$8:$A395)=0),1,IF(AND($E396&lt;&gt;"",MAX($A$8:$A395)&gt;0),MAX($A$8:$A395)+1,"")))</f>
        <v/>
      </c>
      <c r="B396" s="11">
        <v>389</v>
      </c>
      <c r="C396" s="19" t="str">
        <f t="shared" si="12"/>
        <v>EMPTY</v>
      </c>
      <c r="D396" s="3" t="str">
        <f>IF(C396="SHOW",CONCATENATE(Temp!T392,Temp!U392,",",Temp!V392,",",Temp!W392,Temp!X392),"")</f>
        <v/>
      </c>
      <c r="E396" s="7"/>
      <c r="F396" s="8" t="str">
        <f t="shared" si="13"/>
        <v/>
      </c>
      <c r="BY396" s="4" t="s">
        <v>5</v>
      </c>
      <c r="BZ396" s="4" t="s">
        <v>5</v>
      </c>
    </row>
    <row r="397" spans="1:78" x14ac:dyDescent="0.25">
      <c r="A397" s="13" t="str">
        <f>IF(AND($E397="",MAX($A$8:$A396)=0),"",IF(AND($E397&lt;&gt;"",MAX($A$8:$A396)=0),1,IF(AND($E397&lt;&gt;"",MAX($A$8:$A396)&gt;0),MAX($A$8:$A396)+1,"")))</f>
        <v/>
      </c>
      <c r="B397" s="11">
        <v>390</v>
      </c>
      <c r="C397" s="19" t="str">
        <f t="shared" si="12"/>
        <v>EMPTY</v>
      </c>
      <c r="D397" s="3" t="str">
        <f>IF(C397="SHOW",CONCATENATE(Temp!T393,Temp!U393,",",Temp!V393,",",Temp!W393,Temp!X393),"")</f>
        <v/>
      </c>
      <c r="E397" s="7"/>
      <c r="F397" s="8" t="str">
        <f t="shared" si="13"/>
        <v/>
      </c>
      <c r="BY397" s="4" t="s">
        <v>5</v>
      </c>
      <c r="BZ397" s="4" t="s">
        <v>5</v>
      </c>
    </row>
    <row r="398" spans="1:78" x14ac:dyDescent="0.25">
      <c r="A398" s="13" t="str">
        <f>IF(AND($E398="",MAX($A$8:$A397)=0),"",IF(AND($E398&lt;&gt;"",MAX($A$8:$A397)=0),1,IF(AND($E398&lt;&gt;"",MAX($A$8:$A397)&gt;0),MAX($A$8:$A397)+1,"")))</f>
        <v/>
      </c>
      <c r="B398" s="11">
        <v>391</v>
      </c>
      <c r="C398" s="19" t="str">
        <f t="shared" si="12"/>
        <v>EMPTY</v>
      </c>
      <c r="D398" s="3" t="str">
        <f>IF(C398="SHOW",CONCATENATE(Temp!T394,Temp!U394,",",Temp!V394,",",Temp!W394,Temp!X394),"")</f>
        <v/>
      </c>
      <c r="E398" s="7"/>
      <c r="F398" s="8" t="str">
        <f t="shared" si="13"/>
        <v/>
      </c>
      <c r="BY398" s="4" t="s">
        <v>5</v>
      </c>
      <c r="BZ398" s="4" t="s">
        <v>5</v>
      </c>
    </row>
    <row r="399" spans="1:78" x14ac:dyDescent="0.25">
      <c r="A399" s="13" t="str">
        <f>IF(AND($E399="",MAX($A$8:$A398)=0),"",IF(AND($E399&lt;&gt;"",MAX($A$8:$A398)=0),1,IF(AND($E399&lt;&gt;"",MAX($A$8:$A398)&gt;0),MAX($A$8:$A398)+1,"")))</f>
        <v/>
      </c>
      <c r="B399" s="11">
        <v>392</v>
      </c>
      <c r="C399" s="19" t="str">
        <f t="shared" si="12"/>
        <v>EMPTY</v>
      </c>
      <c r="D399" s="3" t="str">
        <f>IF(C399="SHOW",CONCATENATE(Temp!T395,Temp!U395,",",Temp!V395,",",Temp!W395,Temp!X395),"")</f>
        <v/>
      </c>
      <c r="E399" s="7"/>
      <c r="F399" s="8" t="str">
        <f t="shared" si="13"/>
        <v/>
      </c>
      <c r="BY399" s="4" t="s">
        <v>5</v>
      </c>
      <c r="BZ399" s="4" t="s">
        <v>5</v>
      </c>
    </row>
    <row r="400" spans="1:78" x14ac:dyDescent="0.25">
      <c r="A400" s="13" t="str">
        <f>IF(AND($E400="",MAX($A$8:$A399)=0),"",IF(AND($E400&lt;&gt;"",MAX($A$8:$A399)=0),1,IF(AND($E400&lt;&gt;"",MAX($A$8:$A399)&gt;0),MAX($A$8:$A399)+1,"")))</f>
        <v/>
      </c>
      <c r="B400" s="11">
        <v>393</v>
      </c>
      <c r="C400" s="19" t="str">
        <f t="shared" si="12"/>
        <v>EMPTY</v>
      </c>
      <c r="D400" s="3" t="str">
        <f>IF(C400="SHOW",CONCATENATE(Temp!T396,Temp!U396,",",Temp!V396,",",Temp!W396,Temp!X396),"")</f>
        <v/>
      </c>
      <c r="E400" s="7"/>
      <c r="F400" s="8" t="str">
        <f t="shared" si="13"/>
        <v/>
      </c>
      <c r="BY400" s="4" t="s">
        <v>5</v>
      </c>
      <c r="BZ400" s="4" t="s">
        <v>5</v>
      </c>
    </row>
    <row r="401" spans="1:78" x14ac:dyDescent="0.25">
      <c r="A401" s="13" t="str">
        <f>IF(AND($E401="",MAX($A$8:$A400)=0),"",IF(AND($E401&lt;&gt;"",MAX($A$8:$A400)=0),1,IF(AND($E401&lt;&gt;"",MAX($A$8:$A400)&gt;0),MAX($A$8:$A400)+1,"")))</f>
        <v/>
      </c>
      <c r="B401" s="11">
        <v>394</v>
      </c>
      <c r="C401" s="19" t="str">
        <f t="shared" si="12"/>
        <v>EMPTY</v>
      </c>
      <c r="D401" s="3" t="str">
        <f>IF(C401="SHOW",CONCATENATE(Temp!T397,Temp!U397,",",Temp!V397,",",Temp!W397,Temp!X397),"")</f>
        <v/>
      </c>
      <c r="E401" s="7"/>
      <c r="F401" s="8" t="str">
        <f t="shared" si="13"/>
        <v/>
      </c>
      <c r="BY401" s="4" t="s">
        <v>5</v>
      </c>
      <c r="BZ401" s="4" t="s">
        <v>5</v>
      </c>
    </row>
    <row r="402" spans="1:78" x14ac:dyDescent="0.25">
      <c r="A402" s="13" t="str">
        <f>IF(AND($E402="",MAX($A$8:$A401)=0),"",IF(AND($E402&lt;&gt;"",MAX($A$8:$A401)=0),1,IF(AND($E402&lt;&gt;"",MAX($A$8:$A401)&gt;0),MAX($A$8:$A401)+1,"")))</f>
        <v/>
      </c>
      <c r="B402" s="11">
        <v>395</v>
      </c>
      <c r="C402" s="19" t="str">
        <f t="shared" si="12"/>
        <v>EMPTY</v>
      </c>
      <c r="D402" s="3" t="str">
        <f>IF(C402="SHOW",CONCATENATE(Temp!T398,Temp!U398,",",Temp!V398,",",Temp!W398,Temp!X398),"")</f>
        <v/>
      </c>
      <c r="E402" s="7"/>
      <c r="F402" s="8" t="str">
        <f t="shared" si="13"/>
        <v/>
      </c>
      <c r="BY402" s="4" t="s">
        <v>5</v>
      </c>
      <c r="BZ402" s="4" t="s">
        <v>5</v>
      </c>
    </row>
    <row r="403" spans="1:78" x14ac:dyDescent="0.25">
      <c r="A403" s="13" t="str">
        <f>IF(AND($E403="",MAX($A$8:$A402)=0),"",IF(AND($E403&lt;&gt;"",MAX($A$8:$A402)=0),1,IF(AND($E403&lt;&gt;"",MAX($A$8:$A402)&gt;0),MAX($A$8:$A402)+1,"")))</f>
        <v/>
      </c>
      <c r="B403" s="11">
        <v>396</v>
      </c>
      <c r="C403" s="19" t="str">
        <f t="shared" si="12"/>
        <v>EMPTY</v>
      </c>
      <c r="D403" s="3" t="str">
        <f>IF(C403="SHOW",CONCATENATE(Temp!T399,Temp!U399,",",Temp!V399,",",Temp!W399,Temp!X399),"")</f>
        <v/>
      </c>
      <c r="E403" s="7"/>
      <c r="F403" s="8" t="str">
        <f t="shared" si="13"/>
        <v/>
      </c>
      <c r="BY403" s="4" t="s">
        <v>5</v>
      </c>
      <c r="BZ403" s="4" t="s">
        <v>5</v>
      </c>
    </row>
    <row r="404" spans="1:78" x14ac:dyDescent="0.25">
      <c r="A404" s="13" t="str">
        <f>IF(AND($E404="",MAX($A$8:$A403)=0),"",IF(AND($E404&lt;&gt;"",MAX($A$8:$A403)=0),1,IF(AND($E404&lt;&gt;"",MAX($A$8:$A403)&gt;0),MAX($A$8:$A403)+1,"")))</f>
        <v/>
      </c>
      <c r="B404" s="11">
        <v>397</v>
      </c>
      <c r="C404" s="19" t="str">
        <f t="shared" si="12"/>
        <v>EMPTY</v>
      </c>
      <c r="D404" s="3" t="str">
        <f>IF(C404="SHOW",CONCATENATE(Temp!T400,Temp!U400,",",Temp!V400,",",Temp!W400,Temp!X400),"")</f>
        <v/>
      </c>
      <c r="E404" s="7"/>
      <c r="F404" s="8" t="str">
        <f t="shared" si="13"/>
        <v/>
      </c>
      <c r="BY404" s="4" t="s">
        <v>5</v>
      </c>
      <c r="BZ404" s="4" t="s">
        <v>5</v>
      </c>
    </row>
    <row r="405" spans="1:78" x14ac:dyDescent="0.25">
      <c r="A405" s="13" t="str">
        <f>IF(AND($E405="",MAX($A$8:$A404)=0),"",IF(AND($E405&lt;&gt;"",MAX($A$8:$A404)=0),1,IF(AND($E405&lt;&gt;"",MAX($A$8:$A404)&gt;0),MAX($A$8:$A404)+1,"")))</f>
        <v/>
      </c>
      <c r="B405" s="11">
        <v>398</v>
      </c>
      <c r="C405" s="19" t="str">
        <f t="shared" si="12"/>
        <v>EMPTY</v>
      </c>
      <c r="D405" s="3" t="str">
        <f>IF(C405="SHOW",CONCATENATE(Temp!T401,Temp!U401,",",Temp!V401,",",Temp!W401,Temp!X401),"")</f>
        <v/>
      </c>
      <c r="E405" s="7"/>
      <c r="F405" s="8" t="str">
        <f t="shared" si="13"/>
        <v/>
      </c>
      <c r="BY405" s="4" t="s">
        <v>5</v>
      </c>
      <c r="BZ405" s="4" t="s">
        <v>5</v>
      </c>
    </row>
    <row r="406" spans="1:78" x14ac:dyDescent="0.25">
      <c r="A406" s="13" t="str">
        <f>IF(AND($E406="",MAX($A$8:$A405)=0),"",IF(AND($E406&lt;&gt;"",MAX($A$8:$A405)=0),1,IF(AND($E406&lt;&gt;"",MAX($A$8:$A405)&gt;0),MAX($A$8:$A405)+1,"")))</f>
        <v/>
      </c>
      <c r="B406" s="11">
        <v>399</v>
      </c>
      <c r="C406" s="19" t="str">
        <f t="shared" si="12"/>
        <v>EMPTY</v>
      </c>
      <c r="D406" s="3" t="str">
        <f>IF(C406="SHOW",CONCATENATE(Temp!T402,Temp!U402,",",Temp!V402,",",Temp!W402,Temp!X402),"")</f>
        <v/>
      </c>
      <c r="E406" s="7"/>
      <c r="F406" s="8" t="str">
        <f t="shared" si="13"/>
        <v/>
      </c>
      <c r="BY406" s="4" t="s">
        <v>5</v>
      </c>
      <c r="BZ406" s="4" t="s">
        <v>5</v>
      </c>
    </row>
    <row r="407" spans="1:78" x14ac:dyDescent="0.25">
      <c r="A407" s="13" t="str">
        <f>IF(AND($E407="",MAX($A$8:$A406)=0),"",IF(AND($E407&lt;&gt;"",MAX($A$8:$A406)=0),1,IF(AND($E407&lt;&gt;"",MAX($A$8:$A406)&gt;0),MAX($A$8:$A406)+1,"")))</f>
        <v/>
      </c>
      <c r="B407" s="11">
        <v>400</v>
      </c>
      <c r="C407" s="19" t="str">
        <f t="shared" si="12"/>
        <v>EMPTY</v>
      </c>
      <c r="D407" s="3" t="str">
        <f>IF(C407="SHOW",CONCATENATE(Temp!T403,Temp!U403,",",Temp!V403,",",Temp!W403,Temp!X403),"")</f>
        <v/>
      </c>
      <c r="E407" s="7"/>
      <c r="F407" s="8" t="str">
        <f t="shared" si="13"/>
        <v/>
      </c>
      <c r="BY407" s="4" t="s">
        <v>5</v>
      </c>
      <c r="BZ407" s="4" t="s">
        <v>5</v>
      </c>
    </row>
    <row r="408" spans="1:78" x14ac:dyDescent="0.25">
      <c r="A408" s="13" t="str">
        <f>IF(AND($E408="",MAX($A$8:$A407)=0),"",IF(AND($E408&lt;&gt;"",MAX($A$8:$A407)=0),1,IF(AND($E408&lt;&gt;"",MAX($A$8:$A407)&gt;0),MAX($A$8:$A407)+1,"")))</f>
        <v/>
      </c>
      <c r="B408" s="11">
        <v>401</v>
      </c>
      <c r="C408" s="19" t="str">
        <f t="shared" si="12"/>
        <v>EMPTY</v>
      </c>
      <c r="D408" s="3" t="str">
        <f>IF(C408="SHOW",CONCATENATE(Temp!T404,Temp!U404,",",Temp!V404,",",Temp!W404,Temp!X404),"")</f>
        <v/>
      </c>
      <c r="E408" s="7"/>
      <c r="F408" s="8" t="str">
        <f t="shared" si="13"/>
        <v/>
      </c>
      <c r="BY408" s="4" t="s">
        <v>5</v>
      </c>
      <c r="BZ408" s="4" t="s">
        <v>5</v>
      </c>
    </row>
    <row r="409" spans="1:78" x14ac:dyDescent="0.25">
      <c r="A409" s="13" t="str">
        <f>IF(AND($E409="",MAX($A$8:$A408)=0),"",IF(AND($E409&lt;&gt;"",MAX($A$8:$A408)=0),1,IF(AND($E409&lt;&gt;"",MAX($A$8:$A408)&gt;0),MAX($A$8:$A408)+1,"")))</f>
        <v/>
      </c>
      <c r="B409" s="11">
        <v>402</v>
      </c>
      <c r="C409" s="19" t="str">
        <f t="shared" si="12"/>
        <v>EMPTY</v>
      </c>
      <c r="D409" s="3" t="str">
        <f>IF(C409="SHOW",CONCATENATE(Temp!T405,Temp!U405,",",Temp!V405,",",Temp!W405,Temp!X405),"")</f>
        <v/>
      </c>
      <c r="E409" s="7"/>
      <c r="F409" s="8" t="str">
        <f t="shared" si="13"/>
        <v/>
      </c>
      <c r="BY409" s="4" t="s">
        <v>5</v>
      </c>
      <c r="BZ409" s="4" t="s">
        <v>5</v>
      </c>
    </row>
    <row r="410" spans="1:78" x14ac:dyDescent="0.25">
      <c r="A410" s="13" t="str">
        <f>IF(AND($E410="",MAX($A$8:$A409)=0),"",IF(AND($E410&lt;&gt;"",MAX($A$8:$A409)=0),1,IF(AND($E410&lt;&gt;"",MAX($A$8:$A409)&gt;0),MAX($A$8:$A409)+1,"")))</f>
        <v/>
      </c>
      <c r="B410" s="11">
        <v>403</v>
      </c>
      <c r="C410" s="19" t="str">
        <f t="shared" si="12"/>
        <v>EMPTY</v>
      </c>
      <c r="D410" s="3" t="str">
        <f>IF(C410="SHOW",CONCATENATE(Temp!T406,Temp!U406,",",Temp!V406,",",Temp!W406,Temp!X406),"")</f>
        <v/>
      </c>
      <c r="E410" s="7"/>
      <c r="F410" s="8" t="str">
        <f t="shared" si="13"/>
        <v/>
      </c>
      <c r="BY410" s="4" t="s">
        <v>5</v>
      </c>
      <c r="BZ410" s="4" t="s">
        <v>5</v>
      </c>
    </row>
    <row r="411" spans="1:78" x14ac:dyDescent="0.25">
      <c r="A411" s="13" t="str">
        <f>IF(AND($E411="",MAX($A$8:$A410)=0),"",IF(AND($E411&lt;&gt;"",MAX($A$8:$A410)=0),1,IF(AND($E411&lt;&gt;"",MAX($A$8:$A410)&gt;0),MAX($A$8:$A410)+1,"")))</f>
        <v/>
      </c>
      <c r="B411" s="11">
        <v>404</v>
      </c>
      <c r="C411" s="19" t="str">
        <f t="shared" si="12"/>
        <v>EMPTY</v>
      </c>
      <c r="D411" s="3" t="str">
        <f>IF(C411="SHOW",CONCATENATE(Temp!T407,Temp!U407,",",Temp!V407,",",Temp!W407,Temp!X407),"")</f>
        <v/>
      </c>
      <c r="E411" s="7"/>
      <c r="F411" s="8" t="str">
        <f t="shared" si="13"/>
        <v/>
      </c>
      <c r="BY411" s="4" t="s">
        <v>5</v>
      </c>
      <c r="BZ411" s="4" t="s">
        <v>5</v>
      </c>
    </row>
    <row r="412" spans="1:78" x14ac:dyDescent="0.25">
      <c r="A412" s="13" t="str">
        <f>IF(AND($E412="",MAX($A$8:$A411)=0),"",IF(AND($E412&lt;&gt;"",MAX($A$8:$A411)=0),1,IF(AND($E412&lt;&gt;"",MAX($A$8:$A411)&gt;0),MAX($A$8:$A411)+1,"")))</f>
        <v/>
      </c>
      <c r="B412" s="11">
        <v>405</v>
      </c>
      <c r="C412" s="19" t="str">
        <f t="shared" si="12"/>
        <v>EMPTY</v>
      </c>
      <c r="D412" s="3" t="str">
        <f>IF(C412="SHOW",CONCATENATE(Temp!T408,Temp!U408,",",Temp!V408,",",Temp!W408,Temp!X408),"")</f>
        <v/>
      </c>
      <c r="E412" s="7"/>
      <c r="F412" s="8" t="str">
        <f t="shared" si="13"/>
        <v/>
      </c>
      <c r="BY412" s="4" t="s">
        <v>5</v>
      </c>
      <c r="BZ412" s="4" t="s">
        <v>5</v>
      </c>
    </row>
    <row r="413" spans="1:78" x14ac:dyDescent="0.25">
      <c r="A413" s="13" t="str">
        <f>IF(AND($E413="",MAX($A$8:$A412)=0),"",IF(AND($E413&lt;&gt;"",MAX($A$8:$A412)=0),1,IF(AND($E413&lt;&gt;"",MAX($A$8:$A412)&gt;0),MAX($A$8:$A412)+1,"")))</f>
        <v/>
      </c>
      <c r="B413" s="11">
        <v>406</v>
      </c>
      <c r="C413" s="19" t="str">
        <f t="shared" si="12"/>
        <v>EMPTY</v>
      </c>
      <c r="D413" s="3" t="str">
        <f>IF(C413="SHOW",CONCATENATE(Temp!T409,Temp!U409,",",Temp!V409,",",Temp!W409,Temp!X409),"")</f>
        <v/>
      </c>
      <c r="E413" s="7"/>
      <c r="F413" s="8" t="str">
        <f t="shared" si="13"/>
        <v/>
      </c>
      <c r="BY413" s="4" t="s">
        <v>5</v>
      </c>
      <c r="BZ413" s="4" t="s">
        <v>5</v>
      </c>
    </row>
    <row r="414" spans="1:78" x14ac:dyDescent="0.25">
      <c r="A414" s="13" t="str">
        <f>IF(AND($E414="",MAX($A$8:$A413)=0),"",IF(AND($E414&lt;&gt;"",MAX($A$8:$A413)=0),1,IF(AND($E414&lt;&gt;"",MAX($A$8:$A413)&gt;0),MAX($A$8:$A413)+1,"")))</f>
        <v/>
      </c>
      <c r="B414" s="11">
        <v>407</v>
      </c>
      <c r="C414" s="19" t="str">
        <f t="shared" si="12"/>
        <v>EMPTY</v>
      </c>
      <c r="D414" s="3" t="str">
        <f>IF(C414="SHOW",CONCATENATE(Temp!T410,Temp!U410,",",Temp!V410,",",Temp!W410,Temp!X410),"")</f>
        <v/>
      </c>
      <c r="E414" s="7"/>
      <c r="F414" s="8" t="str">
        <f t="shared" si="13"/>
        <v/>
      </c>
      <c r="BY414" s="4" t="s">
        <v>5</v>
      </c>
      <c r="BZ414" s="4" t="s">
        <v>5</v>
      </c>
    </row>
    <row r="415" spans="1:78" x14ac:dyDescent="0.25">
      <c r="A415" s="13" t="str">
        <f>IF(AND($E415="",MAX($A$8:$A414)=0),"",IF(AND($E415&lt;&gt;"",MAX($A$8:$A414)=0),1,IF(AND($E415&lt;&gt;"",MAX($A$8:$A414)&gt;0),MAX($A$8:$A414)+1,"")))</f>
        <v/>
      </c>
      <c r="B415" s="11">
        <v>408</v>
      </c>
      <c r="C415" s="19" t="str">
        <f t="shared" si="12"/>
        <v>EMPTY</v>
      </c>
      <c r="D415" s="3" t="str">
        <f>IF(C415="SHOW",CONCATENATE(Temp!T411,Temp!U411,",",Temp!V411,",",Temp!W411,Temp!X411),"")</f>
        <v/>
      </c>
      <c r="E415" s="7"/>
      <c r="F415" s="8" t="str">
        <f t="shared" si="13"/>
        <v/>
      </c>
      <c r="BY415" s="4" t="s">
        <v>5</v>
      </c>
      <c r="BZ415" s="4" t="s">
        <v>5</v>
      </c>
    </row>
    <row r="416" spans="1:78" x14ac:dyDescent="0.25">
      <c r="A416" s="13" t="str">
        <f>IF(AND($E416="",MAX($A$8:$A415)=0),"",IF(AND($E416&lt;&gt;"",MAX($A$8:$A415)=0),1,IF(AND($E416&lt;&gt;"",MAX($A$8:$A415)&gt;0),MAX($A$8:$A415)+1,"")))</f>
        <v/>
      </c>
      <c r="B416" s="11">
        <v>409</v>
      </c>
      <c r="C416" s="19" t="str">
        <f t="shared" si="12"/>
        <v>EMPTY</v>
      </c>
      <c r="D416" s="3" t="str">
        <f>IF(C416="SHOW",CONCATENATE(Temp!T412,Temp!U412,",",Temp!V412,",",Temp!W412,Temp!X412),"")</f>
        <v/>
      </c>
      <c r="E416" s="7"/>
      <c r="F416" s="8" t="str">
        <f t="shared" si="13"/>
        <v/>
      </c>
      <c r="BY416" s="4" t="s">
        <v>5</v>
      </c>
      <c r="BZ416" s="4" t="s">
        <v>5</v>
      </c>
    </row>
    <row r="417" spans="1:78" x14ac:dyDescent="0.25">
      <c r="A417" s="13" t="str">
        <f>IF(AND($E417="",MAX($A$8:$A416)=0),"",IF(AND($E417&lt;&gt;"",MAX($A$8:$A416)=0),1,IF(AND($E417&lt;&gt;"",MAX($A$8:$A416)&gt;0),MAX($A$8:$A416)+1,"")))</f>
        <v/>
      </c>
      <c r="B417" s="11">
        <v>410</v>
      </c>
      <c r="C417" s="19" t="str">
        <f t="shared" si="12"/>
        <v>EMPTY</v>
      </c>
      <c r="D417" s="3" t="str">
        <f>IF(C417="SHOW",CONCATENATE(Temp!T413,Temp!U413,",",Temp!V413,",",Temp!W413,Temp!X413),"")</f>
        <v/>
      </c>
      <c r="E417" s="7"/>
      <c r="F417" s="8" t="str">
        <f t="shared" si="13"/>
        <v/>
      </c>
      <c r="BY417" s="4" t="s">
        <v>5</v>
      </c>
      <c r="BZ417" s="4" t="s">
        <v>5</v>
      </c>
    </row>
    <row r="418" spans="1:78" x14ac:dyDescent="0.25">
      <c r="A418" s="13" t="str">
        <f>IF(AND($E418="",MAX($A$8:$A417)=0),"",IF(AND($E418&lt;&gt;"",MAX($A$8:$A417)=0),1,IF(AND($E418&lt;&gt;"",MAX($A$8:$A417)&gt;0),MAX($A$8:$A417)+1,"")))</f>
        <v/>
      </c>
      <c r="B418" s="11">
        <v>411</v>
      </c>
      <c r="C418" s="19" t="str">
        <f t="shared" si="12"/>
        <v>EMPTY</v>
      </c>
      <c r="D418" s="3" t="str">
        <f>IF(C418="SHOW",CONCATENATE(Temp!T414,Temp!U414,",",Temp!V414,",",Temp!W414,Temp!X414),"")</f>
        <v/>
      </c>
      <c r="E418" s="7"/>
      <c r="F418" s="8" t="str">
        <f t="shared" si="13"/>
        <v/>
      </c>
      <c r="BY418" s="4" t="s">
        <v>5</v>
      </c>
      <c r="BZ418" s="4" t="s">
        <v>5</v>
      </c>
    </row>
    <row r="419" spans="1:78" x14ac:dyDescent="0.25">
      <c r="A419" s="13" t="str">
        <f>IF(AND($E419="",MAX($A$8:$A418)=0),"",IF(AND($E419&lt;&gt;"",MAX($A$8:$A418)=0),1,IF(AND($E419&lt;&gt;"",MAX($A$8:$A418)&gt;0),MAX($A$8:$A418)+1,"")))</f>
        <v/>
      </c>
      <c r="B419" s="11">
        <v>412</v>
      </c>
      <c r="C419" s="19" t="str">
        <f t="shared" si="12"/>
        <v>EMPTY</v>
      </c>
      <c r="D419" s="3" t="str">
        <f>IF(C419="SHOW",CONCATENATE(Temp!T415,Temp!U415,",",Temp!V415,",",Temp!W415,Temp!X415),"")</f>
        <v/>
      </c>
      <c r="E419" s="7"/>
      <c r="F419" s="8" t="str">
        <f t="shared" si="13"/>
        <v/>
      </c>
      <c r="BY419" s="4" t="s">
        <v>5</v>
      </c>
      <c r="BZ419" s="4" t="s">
        <v>5</v>
      </c>
    </row>
    <row r="420" spans="1:78" x14ac:dyDescent="0.25">
      <c r="A420" s="13" t="str">
        <f>IF(AND($E420="",MAX($A$8:$A419)=0),"",IF(AND($E420&lt;&gt;"",MAX($A$8:$A419)=0),1,IF(AND($E420&lt;&gt;"",MAX($A$8:$A419)&gt;0),MAX($A$8:$A419)+1,"")))</f>
        <v/>
      </c>
      <c r="B420" s="11">
        <v>413</v>
      </c>
      <c r="C420" s="19" t="str">
        <f t="shared" si="12"/>
        <v>EMPTY</v>
      </c>
      <c r="D420" s="3" t="str">
        <f>IF(C420="SHOW",CONCATENATE(Temp!T416,Temp!U416,",",Temp!V416,",",Temp!W416,Temp!X416),"")</f>
        <v/>
      </c>
      <c r="E420" s="7"/>
      <c r="F420" s="8" t="str">
        <f t="shared" si="13"/>
        <v/>
      </c>
      <c r="BY420" s="4" t="s">
        <v>5</v>
      </c>
      <c r="BZ420" s="4" t="s">
        <v>5</v>
      </c>
    </row>
    <row r="421" spans="1:78" x14ac:dyDescent="0.25">
      <c r="A421" s="13" t="str">
        <f>IF(AND($E421="",MAX($A$8:$A420)=0),"",IF(AND($E421&lt;&gt;"",MAX($A$8:$A420)=0),1,IF(AND($E421&lt;&gt;"",MAX($A$8:$A420)&gt;0),MAX($A$8:$A420)+1,"")))</f>
        <v/>
      </c>
      <c r="B421" s="11">
        <v>414</v>
      </c>
      <c r="C421" s="19" t="str">
        <f t="shared" si="12"/>
        <v>EMPTY</v>
      </c>
      <c r="D421" s="3" t="str">
        <f>IF(C421="SHOW",CONCATENATE(Temp!T417,Temp!U417,",",Temp!V417,",",Temp!W417,Temp!X417),"")</f>
        <v/>
      </c>
      <c r="E421" s="7"/>
      <c r="F421" s="8" t="str">
        <f t="shared" si="13"/>
        <v/>
      </c>
      <c r="BZ421" s="4" t="s">
        <v>5</v>
      </c>
    </row>
    <row r="422" spans="1:78" x14ac:dyDescent="0.25">
      <c r="A422" s="13" t="str">
        <f>IF(AND($E422="",MAX($A$8:$A421)=0),"",IF(AND($E422&lt;&gt;"",MAX($A$8:$A421)=0),1,IF(AND($E422&lt;&gt;"",MAX($A$8:$A421)&gt;0),MAX($A$8:$A421)+1,"")))</f>
        <v/>
      </c>
      <c r="B422" s="11">
        <v>415</v>
      </c>
      <c r="C422" s="19" t="str">
        <f t="shared" si="12"/>
        <v>EMPTY</v>
      </c>
      <c r="D422" s="3" t="str">
        <f>IF(C422="SHOW",CONCATENATE(Temp!T418,Temp!U418,",",Temp!V418,",",Temp!W418,Temp!X418),"")</f>
        <v/>
      </c>
      <c r="E422" s="7"/>
      <c r="F422" s="8" t="str">
        <f t="shared" si="13"/>
        <v/>
      </c>
      <c r="BY422" s="4" t="s">
        <v>5</v>
      </c>
      <c r="BZ422" s="4" t="s">
        <v>5</v>
      </c>
    </row>
    <row r="423" spans="1:78" x14ac:dyDescent="0.25">
      <c r="A423" s="13" t="str">
        <f>IF(AND($E423="",MAX($A$8:$A422)=0),"",IF(AND($E423&lt;&gt;"",MAX($A$8:$A422)=0),1,IF(AND($E423&lt;&gt;"",MAX($A$8:$A422)&gt;0),MAX($A$8:$A422)+1,"")))</f>
        <v/>
      </c>
      <c r="B423" s="11">
        <v>416</v>
      </c>
      <c r="C423" s="19" t="str">
        <f t="shared" si="12"/>
        <v>EMPTY</v>
      </c>
      <c r="D423" s="3" t="str">
        <f>IF(C423="SHOW",CONCATENATE(Temp!T419,Temp!U419,",",Temp!V419,",",Temp!W419,Temp!X419),"")</f>
        <v/>
      </c>
      <c r="E423" s="7"/>
      <c r="F423" s="8" t="str">
        <f t="shared" si="13"/>
        <v/>
      </c>
      <c r="BY423" s="4" t="s">
        <v>5</v>
      </c>
      <c r="BZ423" s="4" t="s">
        <v>5</v>
      </c>
    </row>
    <row r="424" spans="1:78" x14ac:dyDescent="0.25">
      <c r="A424" s="13" t="str">
        <f>IF(AND($E424="",MAX($A$8:$A423)=0),"",IF(AND($E424&lt;&gt;"",MAX($A$8:$A423)=0),1,IF(AND($E424&lt;&gt;"",MAX($A$8:$A423)&gt;0),MAX($A$8:$A423)+1,"")))</f>
        <v/>
      </c>
      <c r="B424" s="11">
        <v>417</v>
      </c>
      <c r="C424" s="19" t="str">
        <f t="shared" si="12"/>
        <v>EMPTY</v>
      </c>
      <c r="D424" s="3" t="str">
        <f>IF(C424="SHOW",CONCATENATE(Temp!T420,Temp!U420,",",Temp!V420,",",Temp!W420,Temp!X420),"")</f>
        <v/>
      </c>
      <c r="E424" s="7"/>
      <c r="F424" s="8" t="str">
        <f t="shared" si="13"/>
        <v/>
      </c>
      <c r="BY424" s="4" t="s">
        <v>5</v>
      </c>
      <c r="BZ424" s="4" t="s">
        <v>5</v>
      </c>
    </row>
    <row r="425" spans="1:78" x14ac:dyDescent="0.25">
      <c r="A425" s="13" t="str">
        <f>IF(AND($E425="",MAX($A$8:$A424)=0),"",IF(AND($E425&lt;&gt;"",MAX($A$8:$A424)=0),1,IF(AND($E425&lt;&gt;"",MAX($A$8:$A424)&gt;0),MAX($A$8:$A424)+1,"")))</f>
        <v/>
      </c>
      <c r="B425" s="11">
        <v>418</v>
      </c>
      <c r="C425" s="19" t="str">
        <f t="shared" si="12"/>
        <v>EMPTY</v>
      </c>
      <c r="D425" s="3" t="str">
        <f>IF(C425="SHOW",CONCATENATE(Temp!T421,Temp!U421,",",Temp!V421,",",Temp!W421,Temp!X421),"")</f>
        <v/>
      </c>
      <c r="E425" s="7"/>
      <c r="F425" s="8" t="str">
        <f t="shared" si="13"/>
        <v/>
      </c>
      <c r="BY425" s="4" t="s">
        <v>5</v>
      </c>
      <c r="BZ425" s="4" t="s">
        <v>5</v>
      </c>
    </row>
    <row r="426" spans="1:78" x14ac:dyDescent="0.25">
      <c r="A426" s="13" t="str">
        <f>IF(AND($E426="",MAX($A$8:$A425)=0),"",IF(AND($E426&lt;&gt;"",MAX($A$8:$A425)=0),1,IF(AND($E426&lt;&gt;"",MAX($A$8:$A425)&gt;0),MAX($A$8:$A425)+1,"")))</f>
        <v/>
      </c>
      <c r="B426" s="11">
        <v>419</v>
      </c>
      <c r="C426" s="19" t="str">
        <f t="shared" si="12"/>
        <v>EMPTY</v>
      </c>
      <c r="D426" s="3" t="str">
        <f>IF(C426="SHOW",CONCATENATE(Temp!T422,Temp!U422,",",Temp!V422,",",Temp!W422,Temp!X422),"")</f>
        <v/>
      </c>
      <c r="E426" s="7"/>
      <c r="F426" s="8" t="str">
        <f t="shared" si="13"/>
        <v/>
      </c>
      <c r="BY426" s="4" t="s">
        <v>5</v>
      </c>
      <c r="BZ426" s="4" t="s">
        <v>5</v>
      </c>
    </row>
    <row r="427" spans="1:78" x14ac:dyDescent="0.25">
      <c r="A427" s="13" t="str">
        <f>IF(AND($E427="",MAX($A$8:$A426)=0),"",IF(AND($E427&lt;&gt;"",MAX($A$8:$A426)=0),1,IF(AND($E427&lt;&gt;"",MAX($A$8:$A426)&gt;0),MAX($A$8:$A426)+1,"")))</f>
        <v/>
      </c>
      <c r="B427" s="11">
        <v>420</v>
      </c>
      <c r="C427" s="19" t="str">
        <f t="shared" si="12"/>
        <v>EMPTY</v>
      </c>
      <c r="D427" s="3" t="str">
        <f>IF(C427="SHOW",CONCATENATE(Temp!T423,Temp!U423,",",Temp!V423,",",Temp!W423,Temp!X423),"")</f>
        <v/>
      </c>
      <c r="E427" s="7"/>
      <c r="F427" s="8" t="str">
        <f t="shared" si="13"/>
        <v/>
      </c>
      <c r="BY427" s="4" t="s">
        <v>5</v>
      </c>
      <c r="BZ427" s="4" t="s">
        <v>5</v>
      </c>
    </row>
    <row r="428" spans="1:78" x14ac:dyDescent="0.25">
      <c r="A428" s="13" t="str">
        <f>IF(AND($E428="",MAX($A$8:$A427)=0),"",IF(AND($E428&lt;&gt;"",MAX($A$8:$A427)=0),1,IF(AND($E428&lt;&gt;"",MAX($A$8:$A427)&gt;0),MAX($A$8:$A427)+1,"")))</f>
        <v/>
      </c>
      <c r="B428" s="11">
        <v>421</v>
      </c>
      <c r="C428" s="19" t="str">
        <f t="shared" si="12"/>
        <v>EMPTY</v>
      </c>
      <c r="D428" s="3" t="str">
        <f>IF(C428="SHOW",CONCATENATE(Temp!T424,Temp!U424,",",Temp!V424,",",Temp!W424,Temp!X424),"")</f>
        <v/>
      </c>
      <c r="E428" s="7"/>
      <c r="F428" s="8" t="str">
        <f t="shared" si="13"/>
        <v/>
      </c>
      <c r="BY428" s="4" t="s">
        <v>5</v>
      </c>
      <c r="BZ428" s="4" t="s">
        <v>5</v>
      </c>
    </row>
    <row r="429" spans="1:78" x14ac:dyDescent="0.25">
      <c r="A429" s="13" t="str">
        <f>IF(AND($E429="",MAX($A$8:$A428)=0),"",IF(AND($E429&lt;&gt;"",MAX($A$8:$A428)=0),1,IF(AND($E429&lt;&gt;"",MAX($A$8:$A428)&gt;0),MAX($A$8:$A428)+1,"")))</f>
        <v/>
      </c>
      <c r="B429" s="11">
        <v>422</v>
      </c>
      <c r="C429" s="19" t="str">
        <f t="shared" si="12"/>
        <v>EMPTY</v>
      </c>
      <c r="D429" s="3" t="str">
        <f>IF(C429="SHOW",CONCATENATE(Temp!T425,Temp!U425,",",Temp!V425,",",Temp!W425,Temp!X425),"")</f>
        <v/>
      </c>
      <c r="E429" s="7"/>
      <c r="F429" s="8" t="str">
        <f t="shared" si="13"/>
        <v/>
      </c>
      <c r="BY429" s="4" t="s">
        <v>5</v>
      </c>
      <c r="BZ429" s="4" t="s">
        <v>5</v>
      </c>
    </row>
    <row r="430" spans="1:78" x14ac:dyDescent="0.25">
      <c r="A430" s="13" t="str">
        <f>IF(AND($E430="",MAX($A$8:$A429)=0),"",IF(AND($E430&lt;&gt;"",MAX($A$8:$A429)=0),1,IF(AND($E430&lt;&gt;"",MAX($A$8:$A429)&gt;0),MAX($A$8:$A429)+1,"")))</f>
        <v/>
      </c>
      <c r="B430" s="11">
        <v>423</v>
      </c>
      <c r="C430" s="19" t="str">
        <f t="shared" si="12"/>
        <v>EMPTY</v>
      </c>
      <c r="D430" s="3" t="str">
        <f>IF(C430="SHOW",CONCATENATE(Temp!T426,Temp!U426,",",Temp!V426,",",Temp!W426,Temp!X426),"")</f>
        <v/>
      </c>
      <c r="E430" s="7"/>
      <c r="F430" s="8" t="str">
        <f t="shared" si="13"/>
        <v/>
      </c>
      <c r="BY430" s="4" t="s">
        <v>5</v>
      </c>
      <c r="BZ430" s="4" t="s">
        <v>5</v>
      </c>
    </row>
    <row r="431" spans="1:78" x14ac:dyDescent="0.25">
      <c r="A431" s="13" t="str">
        <f>IF(AND($E431="",MAX($A$8:$A430)=0),"",IF(AND($E431&lt;&gt;"",MAX($A$8:$A430)=0),1,IF(AND($E431&lt;&gt;"",MAX($A$8:$A430)&gt;0),MAX($A$8:$A430)+1,"")))</f>
        <v/>
      </c>
      <c r="B431" s="11">
        <v>424</v>
      </c>
      <c r="C431" s="19" t="str">
        <f t="shared" si="12"/>
        <v>EMPTY</v>
      </c>
      <c r="D431" s="3" t="str">
        <f>IF(C431="SHOW",CONCATENATE(Temp!T427,Temp!U427,",",Temp!V427,",",Temp!W427,Temp!X427),"")</f>
        <v/>
      </c>
      <c r="E431" s="7"/>
      <c r="F431" s="8" t="str">
        <f t="shared" si="13"/>
        <v/>
      </c>
      <c r="BY431" s="4" t="s">
        <v>5</v>
      </c>
      <c r="BZ431" s="4" t="s">
        <v>5</v>
      </c>
    </row>
    <row r="432" spans="1:78" x14ac:dyDescent="0.25">
      <c r="A432" s="13" t="str">
        <f>IF(AND($E432="",MAX($A$8:$A431)=0),"",IF(AND($E432&lt;&gt;"",MAX($A$8:$A431)=0),1,IF(AND($E432&lt;&gt;"",MAX($A$8:$A431)&gt;0),MAX($A$8:$A431)+1,"")))</f>
        <v/>
      </c>
      <c r="B432" s="11">
        <v>425</v>
      </c>
      <c r="C432" s="19" t="str">
        <f t="shared" si="12"/>
        <v>EMPTY</v>
      </c>
      <c r="D432" s="3" t="str">
        <f>IF(C432="SHOW",CONCATENATE(Temp!T428,Temp!U428,",",Temp!V428,",",Temp!W428,Temp!X428),"")</f>
        <v/>
      </c>
      <c r="E432" s="7"/>
      <c r="F432" s="8" t="str">
        <f t="shared" si="13"/>
        <v/>
      </c>
      <c r="BY432" s="4" t="s">
        <v>5</v>
      </c>
      <c r="BZ432" s="4" t="s">
        <v>5</v>
      </c>
    </row>
    <row r="433" spans="1:78" x14ac:dyDescent="0.25">
      <c r="A433" s="13" t="str">
        <f>IF(AND($E433="",MAX($A$8:$A432)=0),"",IF(AND($E433&lt;&gt;"",MAX($A$8:$A432)=0),1,IF(AND($E433&lt;&gt;"",MAX($A$8:$A432)&gt;0),MAX($A$8:$A432)+1,"")))</f>
        <v/>
      </c>
      <c r="B433" s="11">
        <v>426</v>
      </c>
      <c r="C433" s="19" t="str">
        <f t="shared" si="12"/>
        <v>EMPTY</v>
      </c>
      <c r="D433" s="3" t="str">
        <f>IF(C433="SHOW",CONCATENATE(Temp!T429,Temp!U429,",",Temp!V429,",",Temp!W429,Temp!X429),"")</f>
        <v/>
      </c>
      <c r="E433" s="7"/>
      <c r="F433" s="8" t="str">
        <f t="shared" si="13"/>
        <v/>
      </c>
      <c r="BY433" s="4" t="s">
        <v>5</v>
      </c>
      <c r="BZ433" s="4" t="s">
        <v>5</v>
      </c>
    </row>
    <row r="434" spans="1:78" x14ac:dyDescent="0.25">
      <c r="A434" s="13" t="str">
        <f>IF(AND($E434="",MAX($A$8:$A433)=0),"",IF(AND($E434&lt;&gt;"",MAX($A$8:$A433)=0),1,IF(AND($E434&lt;&gt;"",MAX($A$8:$A433)&gt;0),MAX($A$8:$A433)+1,"")))</f>
        <v/>
      </c>
      <c r="B434" s="11">
        <v>427</v>
      </c>
      <c r="C434" s="19" t="str">
        <f t="shared" si="12"/>
        <v>EMPTY</v>
      </c>
      <c r="D434" s="3" t="str">
        <f>IF(C434="SHOW",CONCATENATE(Temp!T430,Temp!U430,",",Temp!V430,",",Temp!W430,Temp!X430),"")</f>
        <v/>
      </c>
      <c r="E434" s="7"/>
      <c r="F434" s="8" t="str">
        <f t="shared" si="13"/>
        <v/>
      </c>
      <c r="BY434" s="4" t="s">
        <v>5</v>
      </c>
      <c r="BZ434" s="4" t="s">
        <v>5</v>
      </c>
    </row>
    <row r="435" spans="1:78" x14ac:dyDescent="0.25">
      <c r="A435" s="13" t="str">
        <f>IF(AND($E435="",MAX($A$8:$A434)=0),"",IF(AND($E435&lt;&gt;"",MAX($A$8:$A434)=0),1,IF(AND($E435&lt;&gt;"",MAX($A$8:$A434)&gt;0),MAX($A$8:$A434)+1,"")))</f>
        <v/>
      </c>
      <c r="B435" s="11">
        <v>428</v>
      </c>
      <c r="C435" s="19" t="str">
        <f t="shared" si="12"/>
        <v>EMPTY</v>
      </c>
      <c r="D435" s="3" t="str">
        <f>IF(C435="SHOW",CONCATENATE(Temp!T431,Temp!U431,",",Temp!V431,",",Temp!W431,Temp!X431),"")</f>
        <v/>
      </c>
      <c r="E435" s="7"/>
      <c r="F435" s="8" t="str">
        <f t="shared" si="13"/>
        <v/>
      </c>
      <c r="BY435" s="4" t="s">
        <v>5</v>
      </c>
      <c r="BZ435" s="4" t="s">
        <v>5</v>
      </c>
    </row>
    <row r="436" spans="1:78" x14ac:dyDescent="0.25">
      <c r="A436" s="13" t="str">
        <f>IF(AND($E436="",MAX($A$8:$A435)=0),"",IF(AND($E436&lt;&gt;"",MAX($A$8:$A435)=0),1,IF(AND($E436&lt;&gt;"",MAX($A$8:$A435)&gt;0),MAX($A$8:$A435)+1,"")))</f>
        <v/>
      </c>
      <c r="B436" s="11">
        <v>429</v>
      </c>
      <c r="C436" s="19" t="str">
        <f t="shared" si="12"/>
        <v>EMPTY</v>
      </c>
      <c r="D436" s="3" t="str">
        <f>IF(C436="SHOW",CONCATENATE(Temp!T432,Temp!U432,",",Temp!V432,",",Temp!W432,Temp!X432),"")</f>
        <v/>
      </c>
      <c r="E436" s="7"/>
      <c r="F436" s="8" t="str">
        <f t="shared" si="13"/>
        <v/>
      </c>
      <c r="BY436" s="4" t="s">
        <v>5</v>
      </c>
      <c r="BZ436" s="4" t="s">
        <v>5</v>
      </c>
    </row>
    <row r="437" spans="1:78" x14ac:dyDescent="0.25">
      <c r="A437" s="13" t="str">
        <f>IF(AND($E437="",MAX($A$8:$A436)=0),"",IF(AND($E437&lt;&gt;"",MAX($A$8:$A436)=0),1,IF(AND($E437&lt;&gt;"",MAX($A$8:$A436)&gt;0),MAX($A$8:$A436)+1,"")))</f>
        <v/>
      </c>
      <c r="B437" s="11">
        <v>430</v>
      </c>
      <c r="C437" s="19" t="str">
        <f t="shared" si="12"/>
        <v>EMPTY</v>
      </c>
      <c r="D437" s="3" t="str">
        <f>IF(C437="SHOW",CONCATENATE(Temp!T433,Temp!U433,",",Temp!V433,",",Temp!W433,Temp!X433),"")</f>
        <v/>
      </c>
      <c r="E437" s="7"/>
      <c r="F437" s="8" t="str">
        <f t="shared" si="13"/>
        <v/>
      </c>
      <c r="BY437" s="4" t="s">
        <v>5</v>
      </c>
      <c r="BZ437" s="4" t="s">
        <v>5</v>
      </c>
    </row>
    <row r="438" spans="1:78" x14ac:dyDescent="0.25">
      <c r="A438" s="13" t="str">
        <f>IF(AND($E438="",MAX($A$8:$A437)=0),"",IF(AND($E438&lt;&gt;"",MAX($A$8:$A437)=0),1,IF(AND($E438&lt;&gt;"",MAX($A$8:$A437)&gt;0),MAX($A$8:$A437)+1,"")))</f>
        <v/>
      </c>
      <c r="B438" s="11">
        <v>431</v>
      </c>
      <c r="C438" s="19" t="str">
        <f t="shared" si="12"/>
        <v>EMPTY</v>
      </c>
      <c r="D438" s="3" t="str">
        <f>IF(C438="SHOW",CONCATENATE(Temp!T434,Temp!U434,",",Temp!V434,",",Temp!W434,Temp!X434),"")</f>
        <v/>
      </c>
      <c r="E438" s="7"/>
      <c r="F438" s="8" t="str">
        <f t="shared" si="13"/>
        <v/>
      </c>
      <c r="BY438" s="4" t="s">
        <v>5</v>
      </c>
      <c r="BZ438" s="4" t="s">
        <v>5</v>
      </c>
    </row>
    <row r="439" spans="1:78" x14ac:dyDescent="0.25">
      <c r="A439" s="13" t="str">
        <f>IF(AND($E439="",MAX($A$8:$A438)=0),"",IF(AND($E439&lt;&gt;"",MAX($A$8:$A438)=0),1,IF(AND($E439&lt;&gt;"",MAX($A$8:$A438)&gt;0),MAX($A$8:$A438)+1,"")))</f>
        <v/>
      </c>
      <c r="B439" s="11">
        <v>432</v>
      </c>
      <c r="C439" s="19" t="str">
        <f t="shared" si="12"/>
        <v>EMPTY</v>
      </c>
      <c r="D439" s="3" t="str">
        <f>IF(C439="SHOW",CONCATENATE(Temp!T435,Temp!U435,",",Temp!V435,",",Temp!W435,Temp!X435),"")</f>
        <v/>
      </c>
      <c r="E439" s="7"/>
      <c r="F439" s="8" t="str">
        <f t="shared" si="13"/>
        <v/>
      </c>
      <c r="BY439" s="4" t="s">
        <v>5</v>
      </c>
      <c r="BZ439" s="4" t="s">
        <v>5</v>
      </c>
    </row>
    <row r="440" spans="1:78" x14ac:dyDescent="0.25">
      <c r="A440" s="13" t="str">
        <f>IF(AND($E440="",MAX($A$8:$A439)=0),"",IF(AND($E440&lt;&gt;"",MAX($A$8:$A439)=0),1,IF(AND($E440&lt;&gt;"",MAX($A$8:$A439)&gt;0),MAX($A$8:$A439)+1,"")))</f>
        <v/>
      </c>
      <c r="B440" s="11">
        <v>433</v>
      </c>
      <c r="C440" s="19" t="str">
        <f t="shared" si="12"/>
        <v>EMPTY</v>
      </c>
      <c r="D440" s="3" t="str">
        <f>IF(C440="SHOW",CONCATENATE(Temp!T436,Temp!U436,",",Temp!V436,",",Temp!W436,Temp!X436),"")</f>
        <v/>
      </c>
      <c r="E440" s="7"/>
      <c r="F440" s="8" t="str">
        <f t="shared" si="13"/>
        <v/>
      </c>
      <c r="BY440" s="4" t="s">
        <v>5</v>
      </c>
      <c r="BZ440" s="4" t="s">
        <v>5</v>
      </c>
    </row>
    <row r="441" spans="1:78" x14ac:dyDescent="0.25">
      <c r="A441" s="13" t="str">
        <f>IF(AND($E441="",MAX($A$8:$A440)=0),"",IF(AND($E441&lt;&gt;"",MAX($A$8:$A440)=0),1,IF(AND($E441&lt;&gt;"",MAX($A$8:$A440)&gt;0),MAX($A$8:$A440)+1,"")))</f>
        <v/>
      </c>
      <c r="B441" s="11">
        <v>434</v>
      </c>
      <c r="C441" s="19" t="str">
        <f t="shared" si="12"/>
        <v>EMPTY</v>
      </c>
      <c r="D441" s="3" t="str">
        <f>IF(C441="SHOW",CONCATENATE(Temp!T437,Temp!U437,",",Temp!V437,",",Temp!W437,Temp!X437),"")</f>
        <v/>
      </c>
      <c r="E441" s="7"/>
      <c r="F441" s="8" t="str">
        <f t="shared" si="13"/>
        <v/>
      </c>
      <c r="BY441" s="4" t="s">
        <v>5</v>
      </c>
      <c r="BZ441" s="4" t="s">
        <v>5</v>
      </c>
    </row>
    <row r="442" spans="1:78" x14ac:dyDescent="0.25">
      <c r="A442" s="13" t="str">
        <f>IF(AND($E442="",MAX($A$8:$A441)=0),"",IF(AND($E442&lt;&gt;"",MAX($A$8:$A441)=0),1,IF(AND($E442&lt;&gt;"",MAX($A$8:$A441)&gt;0),MAX($A$8:$A441)+1,"")))</f>
        <v/>
      </c>
      <c r="B442" s="11">
        <v>435</v>
      </c>
      <c r="C442" s="19" t="str">
        <f t="shared" si="12"/>
        <v>EMPTY</v>
      </c>
      <c r="D442" s="3" t="str">
        <f>IF(C442="SHOW",CONCATENATE(Temp!T438,Temp!U438,",",Temp!V438,",",Temp!W438,Temp!X438),"")</f>
        <v/>
      </c>
      <c r="E442" s="7"/>
      <c r="F442" s="8" t="str">
        <f t="shared" si="13"/>
        <v/>
      </c>
      <c r="BY442" s="4" t="s">
        <v>5</v>
      </c>
      <c r="BZ442" s="4" t="s">
        <v>5</v>
      </c>
    </row>
    <row r="443" spans="1:78" x14ac:dyDescent="0.25">
      <c r="A443" s="13" t="str">
        <f>IF(AND($E443="",MAX($A$8:$A442)=0),"",IF(AND($E443&lt;&gt;"",MAX($A$8:$A442)=0),1,IF(AND($E443&lt;&gt;"",MAX($A$8:$A442)&gt;0),MAX($A$8:$A442)+1,"")))</f>
        <v/>
      </c>
      <c r="B443" s="11">
        <v>436</v>
      </c>
      <c r="C443" s="19" t="str">
        <f t="shared" si="12"/>
        <v>EMPTY</v>
      </c>
      <c r="D443" s="3" t="str">
        <f>IF(C443="SHOW",CONCATENATE(Temp!T439,Temp!U439,",",Temp!V439,",",Temp!W439,Temp!X439),"")</f>
        <v/>
      </c>
      <c r="E443" s="7"/>
      <c r="F443" s="8" t="str">
        <f t="shared" si="13"/>
        <v/>
      </c>
      <c r="BY443" s="4" t="s">
        <v>5</v>
      </c>
      <c r="BZ443" s="4" t="s">
        <v>5</v>
      </c>
    </row>
    <row r="444" spans="1:78" x14ac:dyDescent="0.25">
      <c r="A444" s="13" t="str">
        <f>IF(AND($E444="",MAX($A$8:$A443)=0),"",IF(AND($E444&lt;&gt;"",MAX($A$8:$A443)=0),1,IF(AND($E444&lt;&gt;"",MAX($A$8:$A443)&gt;0),MAX($A$8:$A443)+1,"")))</f>
        <v/>
      </c>
      <c r="B444" s="11">
        <v>437</v>
      </c>
      <c r="C444" s="19" t="str">
        <f t="shared" si="12"/>
        <v>EMPTY</v>
      </c>
      <c r="D444" s="3" t="str">
        <f>IF(C444="SHOW",CONCATENATE(Temp!T440,Temp!U440,",",Temp!V440,",",Temp!W440,Temp!X440),"")</f>
        <v/>
      </c>
      <c r="E444" s="7"/>
      <c r="F444" s="8" t="str">
        <f t="shared" si="13"/>
        <v/>
      </c>
      <c r="BY444" s="4" t="s">
        <v>5</v>
      </c>
      <c r="BZ444" s="4" t="s">
        <v>5</v>
      </c>
    </row>
    <row r="445" spans="1:78" x14ac:dyDescent="0.25">
      <c r="A445" s="13" t="str">
        <f>IF(AND($E445="",MAX($A$8:$A444)=0),"",IF(AND($E445&lt;&gt;"",MAX($A$8:$A444)=0),1,IF(AND($E445&lt;&gt;"",MAX($A$8:$A444)&gt;0),MAX($A$8:$A444)+1,"")))</f>
        <v/>
      </c>
      <c r="B445" s="11">
        <v>438</v>
      </c>
      <c r="C445" s="19" t="str">
        <f t="shared" si="12"/>
        <v>EMPTY</v>
      </c>
      <c r="D445" s="3" t="str">
        <f>IF(C445="SHOW",CONCATENATE(Temp!T441,Temp!U441,",",Temp!V441,",",Temp!W441,Temp!X441),"")</f>
        <v/>
      </c>
      <c r="E445" s="7"/>
      <c r="F445" s="8" t="str">
        <f t="shared" si="13"/>
        <v/>
      </c>
      <c r="BY445" s="4" t="s">
        <v>5</v>
      </c>
      <c r="BZ445" s="4" t="s">
        <v>5</v>
      </c>
    </row>
    <row r="446" spans="1:78" x14ac:dyDescent="0.25">
      <c r="A446" s="13" t="str">
        <f>IF(AND($E446="",MAX($A$8:$A445)=0),"",IF(AND($E446&lt;&gt;"",MAX($A$8:$A445)=0),1,IF(AND($E446&lt;&gt;"",MAX($A$8:$A445)&gt;0),MAX($A$8:$A445)+1,"")))</f>
        <v/>
      </c>
      <c r="B446" s="11">
        <v>439</v>
      </c>
      <c r="C446" s="19" t="str">
        <f t="shared" si="12"/>
        <v>EMPTY</v>
      </c>
      <c r="D446" s="3" t="str">
        <f>IF(C446="SHOW",CONCATENATE(Temp!T442,Temp!U442,",",Temp!V442,",",Temp!W442,Temp!X442),"")</f>
        <v/>
      </c>
      <c r="E446" s="7"/>
      <c r="F446" s="8" t="str">
        <f t="shared" si="13"/>
        <v/>
      </c>
      <c r="BY446" s="4" t="s">
        <v>5</v>
      </c>
      <c r="BZ446" s="4" t="s">
        <v>5</v>
      </c>
    </row>
    <row r="447" spans="1:78" x14ac:dyDescent="0.25">
      <c r="A447" s="13" t="str">
        <f>IF(AND($E447="",MAX($A$8:$A446)=0),"",IF(AND($E447&lt;&gt;"",MAX($A$8:$A446)=0),1,IF(AND($E447&lt;&gt;"",MAX($A$8:$A446)&gt;0),MAX($A$8:$A446)+1,"")))</f>
        <v/>
      </c>
      <c r="B447" s="11">
        <v>440</v>
      </c>
      <c r="C447" s="19" t="str">
        <f t="shared" si="12"/>
        <v>EMPTY</v>
      </c>
      <c r="D447" s="3" t="str">
        <f>IF(C447="SHOW",CONCATENATE(Temp!T443,Temp!U443,",",Temp!V443,",",Temp!W443,Temp!X443),"")</f>
        <v/>
      </c>
      <c r="E447" s="7"/>
      <c r="F447" s="8" t="str">
        <f t="shared" si="13"/>
        <v/>
      </c>
      <c r="BY447" s="4" t="s">
        <v>5</v>
      </c>
      <c r="BZ447" s="4" t="s">
        <v>5</v>
      </c>
    </row>
    <row r="448" spans="1:78" x14ac:dyDescent="0.25">
      <c r="A448" s="13" t="str">
        <f>IF(AND($E448="",MAX($A$8:$A447)=0),"",IF(AND($E448&lt;&gt;"",MAX($A$8:$A447)=0),1,IF(AND($E448&lt;&gt;"",MAX($A$8:$A447)&gt;0),MAX($A$8:$A447)+1,"")))</f>
        <v/>
      </c>
      <c r="B448" s="11">
        <v>441</v>
      </c>
      <c r="C448" s="19" t="str">
        <f t="shared" si="12"/>
        <v>EMPTY</v>
      </c>
      <c r="D448" s="3" t="str">
        <f>IF(C448="SHOW",CONCATENATE(Temp!T444,Temp!U444,",",Temp!V444,",",Temp!W444,Temp!X444),"")</f>
        <v/>
      </c>
      <c r="E448" s="7"/>
      <c r="F448" s="8" t="str">
        <f t="shared" si="13"/>
        <v/>
      </c>
      <c r="BY448" s="4" t="s">
        <v>5</v>
      </c>
      <c r="BZ448" s="4" t="s">
        <v>5</v>
      </c>
    </row>
    <row r="449" spans="1:78" x14ac:dyDescent="0.25">
      <c r="A449" s="13" t="str">
        <f>IF(AND($E449="",MAX($A$8:$A448)=0),"",IF(AND($E449&lt;&gt;"",MAX($A$8:$A448)=0),1,IF(AND($E449&lt;&gt;"",MAX($A$8:$A448)&gt;0),MAX($A$8:$A448)+1,"")))</f>
        <v/>
      </c>
      <c r="B449" s="11">
        <v>442</v>
      </c>
      <c r="C449" s="19" t="str">
        <f t="shared" si="12"/>
        <v>EMPTY</v>
      </c>
      <c r="D449" s="3" t="str">
        <f>IF(C449="SHOW",CONCATENATE(Temp!T445,Temp!U445,",",Temp!V445,",",Temp!W445,Temp!X445),"")</f>
        <v/>
      </c>
      <c r="E449" s="7"/>
      <c r="F449" s="8" t="str">
        <f t="shared" si="13"/>
        <v/>
      </c>
      <c r="BY449" s="4" t="s">
        <v>5</v>
      </c>
      <c r="BZ449" s="4" t="s">
        <v>5</v>
      </c>
    </row>
    <row r="450" spans="1:78" x14ac:dyDescent="0.25">
      <c r="A450" s="13" t="str">
        <f>IF(AND($E450="",MAX($A$8:$A449)=0),"",IF(AND($E450&lt;&gt;"",MAX($A$8:$A449)=0),1,IF(AND($E450&lt;&gt;"",MAX($A$8:$A449)&gt;0),MAX($A$8:$A449)+1,"")))</f>
        <v/>
      </c>
      <c r="B450" s="11">
        <v>443</v>
      </c>
      <c r="C450" s="19" t="str">
        <f t="shared" si="12"/>
        <v>EMPTY</v>
      </c>
      <c r="D450" s="3" t="str">
        <f>IF(C450="SHOW",CONCATENATE(Temp!T446,Temp!U446,",",Temp!V446,",",Temp!W446,Temp!X446),"")</f>
        <v/>
      </c>
      <c r="E450" s="7"/>
      <c r="F450" s="8" t="str">
        <f t="shared" si="13"/>
        <v/>
      </c>
      <c r="BY450" s="4" t="s">
        <v>5</v>
      </c>
      <c r="BZ450" s="4" t="s">
        <v>5</v>
      </c>
    </row>
    <row r="451" spans="1:78" x14ac:dyDescent="0.25">
      <c r="A451" s="13" t="str">
        <f>IF(AND($E451="",MAX($A$8:$A450)=0),"",IF(AND($E451&lt;&gt;"",MAX($A$8:$A450)=0),1,IF(AND($E451&lt;&gt;"",MAX($A$8:$A450)&gt;0),MAX($A$8:$A450)+1,"")))</f>
        <v/>
      </c>
      <c r="B451" s="11">
        <v>444</v>
      </c>
      <c r="C451" s="19" t="str">
        <f t="shared" si="12"/>
        <v>EMPTY</v>
      </c>
      <c r="D451" s="3" t="str">
        <f>IF(C451="SHOW",CONCATENATE(Temp!T447,Temp!U447,",",Temp!V447,",",Temp!W447,Temp!X447),"")</f>
        <v/>
      </c>
      <c r="E451" s="7"/>
      <c r="F451" s="8" t="str">
        <f t="shared" si="13"/>
        <v/>
      </c>
      <c r="BY451" s="4" t="s">
        <v>5</v>
      </c>
      <c r="BZ451" s="4" t="s">
        <v>5</v>
      </c>
    </row>
    <row r="452" spans="1:78" x14ac:dyDescent="0.25">
      <c r="A452" s="13" t="str">
        <f>IF(AND($E452="",MAX($A$8:$A451)=0),"",IF(AND($E452&lt;&gt;"",MAX($A$8:$A451)=0),1,IF(AND($E452&lt;&gt;"",MAX($A$8:$A451)&gt;0),MAX($A$8:$A451)+1,"")))</f>
        <v/>
      </c>
      <c r="B452" s="11">
        <v>445</v>
      </c>
      <c r="C452" s="19" t="str">
        <f t="shared" si="12"/>
        <v>EMPTY</v>
      </c>
      <c r="D452" s="3" t="str">
        <f>IF(C452="SHOW",CONCATENATE(Temp!T448,Temp!U448,",",Temp!V448,",",Temp!W448,Temp!X448),"")</f>
        <v/>
      </c>
      <c r="E452" s="7"/>
      <c r="F452" s="8" t="str">
        <f t="shared" si="13"/>
        <v/>
      </c>
      <c r="BY452" s="4" t="s">
        <v>5</v>
      </c>
      <c r="BZ452" s="4" t="s">
        <v>5</v>
      </c>
    </row>
    <row r="453" spans="1:78" x14ac:dyDescent="0.25">
      <c r="A453" s="13" t="str">
        <f>IF(AND($E453="",MAX($A$8:$A452)=0),"",IF(AND($E453&lt;&gt;"",MAX($A$8:$A452)=0),1,IF(AND($E453&lt;&gt;"",MAX($A$8:$A452)&gt;0),MAX($A$8:$A452)+1,"")))</f>
        <v/>
      </c>
      <c r="B453" s="11">
        <v>446</v>
      </c>
      <c r="C453" s="19" t="str">
        <f t="shared" si="12"/>
        <v>EMPTY</v>
      </c>
      <c r="D453" s="3" t="str">
        <f>IF(C453="SHOW",CONCATENATE(Temp!T449,Temp!U449,",",Temp!V449,",",Temp!W449,Temp!X449),"")</f>
        <v/>
      </c>
      <c r="E453" s="7"/>
      <c r="F453" s="8" t="str">
        <f t="shared" si="13"/>
        <v/>
      </c>
      <c r="BY453" s="4" t="s">
        <v>5</v>
      </c>
      <c r="BZ453" s="4" t="s">
        <v>5</v>
      </c>
    </row>
    <row r="454" spans="1:78" x14ac:dyDescent="0.25">
      <c r="A454" s="13" t="str">
        <f>IF(AND($E454="",MAX($A$8:$A453)=0),"",IF(AND($E454&lt;&gt;"",MAX($A$8:$A453)=0),1,IF(AND($E454&lt;&gt;"",MAX($A$8:$A453)&gt;0),MAX($A$8:$A453)+1,"")))</f>
        <v/>
      </c>
      <c r="B454" s="11">
        <v>447</v>
      </c>
      <c r="C454" s="19" t="str">
        <f t="shared" si="12"/>
        <v>EMPTY</v>
      </c>
      <c r="D454" s="3" t="str">
        <f>IF(C454="SHOW",CONCATENATE(Temp!T450,Temp!U450,",",Temp!V450,",",Temp!W450,Temp!X450),"")</f>
        <v/>
      </c>
      <c r="E454" s="7"/>
      <c r="F454" s="8" t="str">
        <f t="shared" si="13"/>
        <v/>
      </c>
      <c r="BY454" s="4" t="s">
        <v>5</v>
      </c>
      <c r="BZ454" s="4" t="s">
        <v>5</v>
      </c>
    </row>
    <row r="455" spans="1:78" x14ac:dyDescent="0.25">
      <c r="A455" s="13" t="str">
        <f>IF(AND($E455="",MAX($A$8:$A454)=0),"",IF(AND($E455&lt;&gt;"",MAX($A$8:$A454)=0),1,IF(AND($E455&lt;&gt;"",MAX($A$8:$A454)&gt;0),MAX($A$8:$A454)+1,"")))</f>
        <v/>
      </c>
      <c r="B455" s="11">
        <v>448</v>
      </c>
      <c r="C455" s="19" t="str">
        <f t="shared" si="12"/>
        <v>EMPTY</v>
      </c>
      <c r="D455" s="3" t="str">
        <f>IF(C455="SHOW",CONCATENATE(Temp!T451,Temp!U451,",",Temp!V451,",",Temp!W451,Temp!X451),"")</f>
        <v/>
      </c>
      <c r="E455" s="7"/>
      <c r="F455" s="8" t="str">
        <f t="shared" si="13"/>
        <v/>
      </c>
      <c r="BY455" s="4" t="s">
        <v>5</v>
      </c>
      <c r="BZ455" s="4" t="s">
        <v>5</v>
      </c>
    </row>
    <row r="456" spans="1:78" x14ac:dyDescent="0.25">
      <c r="A456" s="13" t="str">
        <f>IF(AND($E456="",MAX($A$8:$A455)=0),"",IF(AND($E456&lt;&gt;"",MAX($A$8:$A455)=0),1,IF(AND($E456&lt;&gt;"",MAX($A$8:$A455)&gt;0),MAX($A$8:$A455)+1,"")))</f>
        <v/>
      </c>
      <c r="B456" s="11">
        <v>449</v>
      </c>
      <c r="C456" s="19" t="str">
        <f t="shared" si="12"/>
        <v>EMPTY</v>
      </c>
      <c r="D456" s="3" t="str">
        <f>IF(C456="SHOW",CONCATENATE(Temp!T452,Temp!U452,",",Temp!V452,",",Temp!W452,Temp!X452),"")</f>
        <v/>
      </c>
      <c r="E456" s="7"/>
      <c r="F456" s="8" t="str">
        <f t="shared" si="13"/>
        <v/>
      </c>
      <c r="BY456" s="4" t="s">
        <v>5</v>
      </c>
      <c r="BZ456" s="4" t="s">
        <v>5</v>
      </c>
    </row>
    <row r="457" spans="1:78" x14ac:dyDescent="0.25">
      <c r="A457" s="13" t="str">
        <f>IF(AND($E457="",MAX($A$8:$A456)=0),"",IF(AND($E457&lt;&gt;"",MAX($A$8:$A456)=0),1,IF(AND($E457&lt;&gt;"",MAX($A$8:$A456)&gt;0),MAX($A$8:$A456)+1,"")))</f>
        <v/>
      </c>
      <c r="B457" s="11">
        <v>450</v>
      </c>
      <c r="C457" s="19" t="str">
        <f t="shared" ref="C457:C520" si="14">IF(E457="","EMPTY",IF(MID(E457,1,9)&lt;&gt;"Dialogue:","HIDE",IF(MID(E457,1,9)="Dialogue:","SHOW","")))</f>
        <v>EMPTY</v>
      </c>
      <c r="D457" s="3" t="str">
        <f>IF(C457="SHOW",CONCATENATE(Temp!T453,Temp!U453,",",Temp!V453,",",Temp!W453,Temp!X453),"")</f>
        <v/>
      </c>
      <c r="E457" s="7"/>
      <c r="F457" s="8" t="str">
        <f t="shared" ref="F457:F520" si="15">$D457</f>
        <v/>
      </c>
      <c r="BY457" s="4" t="s">
        <v>5</v>
      </c>
      <c r="BZ457" s="4" t="s">
        <v>5</v>
      </c>
    </row>
    <row r="458" spans="1:78" x14ac:dyDescent="0.25">
      <c r="A458" s="13" t="str">
        <f>IF(AND($E458="",MAX($A$8:$A457)=0),"",IF(AND($E458&lt;&gt;"",MAX($A$8:$A457)=0),1,IF(AND($E458&lt;&gt;"",MAX($A$8:$A457)&gt;0),MAX($A$8:$A457)+1,"")))</f>
        <v/>
      </c>
      <c r="B458" s="11">
        <v>451</v>
      </c>
      <c r="C458" s="19" t="str">
        <f t="shared" si="14"/>
        <v>EMPTY</v>
      </c>
      <c r="D458" s="3" t="str">
        <f>IF(C458="SHOW",CONCATENATE(Temp!T454,Temp!U454,",",Temp!V454,",",Temp!W454,Temp!X454),"")</f>
        <v/>
      </c>
      <c r="E458" s="7"/>
      <c r="F458" s="8" t="str">
        <f t="shared" si="15"/>
        <v/>
      </c>
      <c r="BY458" s="4" t="s">
        <v>5</v>
      </c>
      <c r="BZ458" s="4" t="s">
        <v>5</v>
      </c>
    </row>
    <row r="459" spans="1:78" x14ac:dyDescent="0.25">
      <c r="A459" s="13" t="str">
        <f>IF(AND($E459="",MAX($A$8:$A458)=0),"",IF(AND($E459&lt;&gt;"",MAX($A$8:$A458)=0),1,IF(AND($E459&lt;&gt;"",MAX($A$8:$A458)&gt;0),MAX($A$8:$A458)+1,"")))</f>
        <v/>
      </c>
      <c r="B459" s="11">
        <v>452</v>
      </c>
      <c r="C459" s="19" t="str">
        <f t="shared" si="14"/>
        <v>EMPTY</v>
      </c>
      <c r="D459" s="3" t="str">
        <f>IF(C459="SHOW",CONCATENATE(Temp!T455,Temp!U455,",",Temp!V455,",",Temp!W455,Temp!X455),"")</f>
        <v/>
      </c>
      <c r="E459" s="7"/>
      <c r="F459" s="8" t="str">
        <f t="shared" si="15"/>
        <v/>
      </c>
      <c r="BY459" s="4" t="s">
        <v>5</v>
      </c>
      <c r="BZ459" s="4" t="s">
        <v>5</v>
      </c>
    </row>
    <row r="460" spans="1:78" x14ac:dyDescent="0.25">
      <c r="A460" s="13" t="str">
        <f>IF(AND($E460="",MAX($A$8:$A459)=0),"",IF(AND($E460&lt;&gt;"",MAX($A$8:$A459)=0),1,IF(AND($E460&lt;&gt;"",MAX($A$8:$A459)&gt;0),MAX($A$8:$A459)+1,"")))</f>
        <v/>
      </c>
      <c r="B460" s="11">
        <v>453</v>
      </c>
      <c r="C460" s="19" t="str">
        <f t="shared" si="14"/>
        <v>EMPTY</v>
      </c>
      <c r="D460" s="3" t="str">
        <f>IF(C460="SHOW",CONCATENATE(Temp!T456,Temp!U456,",",Temp!V456,",",Temp!W456,Temp!X456),"")</f>
        <v/>
      </c>
      <c r="E460" s="7"/>
      <c r="F460" s="8" t="str">
        <f t="shared" si="15"/>
        <v/>
      </c>
      <c r="BZ460" s="4" t="s">
        <v>5</v>
      </c>
    </row>
    <row r="461" spans="1:78" x14ac:dyDescent="0.25">
      <c r="A461" s="13" t="str">
        <f>IF(AND($E461="",MAX($A$8:$A460)=0),"",IF(AND($E461&lt;&gt;"",MAX($A$8:$A460)=0),1,IF(AND($E461&lt;&gt;"",MAX($A$8:$A460)&gt;0),MAX($A$8:$A460)+1,"")))</f>
        <v/>
      </c>
      <c r="B461" s="11">
        <v>454</v>
      </c>
      <c r="C461" s="19" t="str">
        <f t="shared" si="14"/>
        <v>EMPTY</v>
      </c>
      <c r="D461" s="3" t="str">
        <f>IF(C461="SHOW",CONCATENATE(Temp!T457,Temp!U457,",",Temp!V457,",",Temp!W457,Temp!X457),"")</f>
        <v/>
      </c>
      <c r="E461" s="7"/>
      <c r="F461" s="8" t="str">
        <f t="shared" si="15"/>
        <v/>
      </c>
      <c r="BY461" s="4" t="s">
        <v>5</v>
      </c>
      <c r="BZ461" s="4" t="s">
        <v>5</v>
      </c>
    </row>
    <row r="462" spans="1:78" x14ac:dyDescent="0.25">
      <c r="A462" s="13" t="str">
        <f>IF(AND($E462="",MAX($A$8:$A461)=0),"",IF(AND($E462&lt;&gt;"",MAX($A$8:$A461)=0),1,IF(AND($E462&lt;&gt;"",MAX($A$8:$A461)&gt;0),MAX($A$8:$A461)+1,"")))</f>
        <v/>
      </c>
      <c r="B462" s="11">
        <v>455</v>
      </c>
      <c r="C462" s="19" t="str">
        <f t="shared" si="14"/>
        <v>EMPTY</v>
      </c>
      <c r="D462" s="3" t="str">
        <f>IF(C462="SHOW",CONCATENATE(Temp!T458,Temp!U458,",",Temp!V458,",",Temp!W458,Temp!X458),"")</f>
        <v/>
      </c>
      <c r="E462" s="7"/>
      <c r="F462" s="8" t="str">
        <f t="shared" si="15"/>
        <v/>
      </c>
      <c r="BY462" s="4" t="s">
        <v>5</v>
      </c>
      <c r="BZ462" s="4" t="s">
        <v>5</v>
      </c>
    </row>
    <row r="463" spans="1:78" x14ac:dyDescent="0.25">
      <c r="A463" s="13" t="str">
        <f>IF(AND($E463="",MAX($A$8:$A462)=0),"",IF(AND($E463&lt;&gt;"",MAX($A$8:$A462)=0),1,IF(AND($E463&lt;&gt;"",MAX($A$8:$A462)&gt;0),MAX($A$8:$A462)+1,"")))</f>
        <v/>
      </c>
      <c r="B463" s="11">
        <v>456</v>
      </c>
      <c r="C463" s="19" t="str">
        <f t="shared" si="14"/>
        <v>EMPTY</v>
      </c>
      <c r="D463" s="3" t="str">
        <f>IF(C463="SHOW",CONCATENATE(Temp!T459,Temp!U459,",",Temp!V459,",",Temp!W459,Temp!X459),"")</f>
        <v/>
      </c>
      <c r="E463" s="7"/>
      <c r="F463" s="8" t="str">
        <f t="shared" si="15"/>
        <v/>
      </c>
      <c r="BY463" s="4" t="s">
        <v>5</v>
      </c>
      <c r="BZ463" s="4" t="s">
        <v>5</v>
      </c>
    </row>
    <row r="464" spans="1:78" x14ac:dyDescent="0.25">
      <c r="A464" s="13" t="str">
        <f>IF(AND($E464="",MAX($A$8:$A463)=0),"",IF(AND($E464&lt;&gt;"",MAX($A$8:$A463)=0),1,IF(AND($E464&lt;&gt;"",MAX($A$8:$A463)&gt;0),MAX($A$8:$A463)+1,"")))</f>
        <v/>
      </c>
      <c r="B464" s="11">
        <v>457</v>
      </c>
      <c r="C464" s="19" t="str">
        <f t="shared" si="14"/>
        <v>EMPTY</v>
      </c>
      <c r="D464" s="3" t="str">
        <f>IF(C464="SHOW",CONCATENATE(Temp!T460,Temp!U460,",",Temp!V460,",",Temp!W460,Temp!X460),"")</f>
        <v/>
      </c>
      <c r="E464" s="7"/>
      <c r="F464" s="8" t="str">
        <f t="shared" si="15"/>
        <v/>
      </c>
      <c r="BY464" s="4" t="s">
        <v>5</v>
      </c>
      <c r="BZ464" s="4" t="s">
        <v>5</v>
      </c>
    </row>
    <row r="465" spans="1:78" x14ac:dyDescent="0.25">
      <c r="A465" s="13" t="str">
        <f>IF(AND($E465="",MAX($A$8:$A464)=0),"",IF(AND($E465&lt;&gt;"",MAX($A$8:$A464)=0),1,IF(AND($E465&lt;&gt;"",MAX($A$8:$A464)&gt;0),MAX($A$8:$A464)+1,"")))</f>
        <v/>
      </c>
      <c r="B465" s="11">
        <v>458</v>
      </c>
      <c r="C465" s="19" t="str">
        <f t="shared" si="14"/>
        <v>EMPTY</v>
      </c>
      <c r="D465" s="3" t="str">
        <f>IF(C465="SHOW",CONCATENATE(Temp!T461,Temp!U461,",",Temp!V461,",",Temp!W461,Temp!X461),"")</f>
        <v/>
      </c>
      <c r="E465" s="7"/>
      <c r="F465" s="8" t="str">
        <f t="shared" si="15"/>
        <v/>
      </c>
      <c r="BY465" s="4" t="s">
        <v>5</v>
      </c>
      <c r="BZ465" s="4" t="s">
        <v>5</v>
      </c>
    </row>
    <row r="466" spans="1:78" x14ac:dyDescent="0.25">
      <c r="A466" s="13" t="str">
        <f>IF(AND($E466="",MAX($A$8:$A465)=0),"",IF(AND($E466&lt;&gt;"",MAX($A$8:$A465)=0),1,IF(AND($E466&lt;&gt;"",MAX($A$8:$A465)&gt;0),MAX($A$8:$A465)+1,"")))</f>
        <v/>
      </c>
      <c r="B466" s="11">
        <v>459</v>
      </c>
      <c r="C466" s="19" t="str">
        <f t="shared" si="14"/>
        <v>EMPTY</v>
      </c>
      <c r="D466" s="3" t="str">
        <f>IF(C466="SHOW",CONCATENATE(Temp!T462,Temp!U462,",",Temp!V462,",",Temp!W462,Temp!X462),"")</f>
        <v/>
      </c>
      <c r="E466" s="7"/>
      <c r="F466" s="8" t="str">
        <f t="shared" si="15"/>
        <v/>
      </c>
      <c r="BY466" s="4" t="s">
        <v>5</v>
      </c>
      <c r="BZ466" s="4" t="s">
        <v>5</v>
      </c>
    </row>
    <row r="467" spans="1:78" x14ac:dyDescent="0.25">
      <c r="A467" s="13" t="str">
        <f>IF(AND($E467="",MAX($A$8:$A466)=0),"",IF(AND($E467&lt;&gt;"",MAX($A$8:$A466)=0),1,IF(AND($E467&lt;&gt;"",MAX($A$8:$A466)&gt;0),MAX($A$8:$A466)+1,"")))</f>
        <v/>
      </c>
      <c r="B467" s="11">
        <v>460</v>
      </c>
      <c r="C467" s="19" t="str">
        <f t="shared" si="14"/>
        <v>EMPTY</v>
      </c>
      <c r="D467" s="3" t="str">
        <f>IF(C467="SHOW",CONCATENATE(Temp!T463,Temp!U463,",",Temp!V463,",",Temp!W463,Temp!X463),"")</f>
        <v/>
      </c>
      <c r="E467" s="7"/>
      <c r="F467" s="8" t="str">
        <f t="shared" si="15"/>
        <v/>
      </c>
      <c r="BY467" s="4" t="s">
        <v>5</v>
      </c>
      <c r="BZ467" s="4" t="s">
        <v>5</v>
      </c>
    </row>
    <row r="468" spans="1:78" x14ac:dyDescent="0.25">
      <c r="A468" s="13" t="str">
        <f>IF(AND($E468="",MAX($A$8:$A467)=0),"",IF(AND($E468&lt;&gt;"",MAX($A$8:$A467)=0),1,IF(AND($E468&lt;&gt;"",MAX($A$8:$A467)&gt;0),MAX($A$8:$A467)+1,"")))</f>
        <v/>
      </c>
      <c r="B468" s="11">
        <v>461</v>
      </c>
      <c r="C468" s="19" t="str">
        <f t="shared" si="14"/>
        <v>EMPTY</v>
      </c>
      <c r="D468" s="3" t="str">
        <f>IF(C468="SHOW",CONCATENATE(Temp!T464,Temp!U464,",",Temp!V464,",",Temp!W464,Temp!X464),"")</f>
        <v/>
      </c>
      <c r="E468" s="7"/>
      <c r="F468" s="8" t="str">
        <f t="shared" si="15"/>
        <v/>
      </c>
      <c r="BY468" s="4" t="s">
        <v>5</v>
      </c>
      <c r="BZ468" s="4" t="s">
        <v>5</v>
      </c>
    </row>
    <row r="469" spans="1:78" x14ac:dyDescent="0.25">
      <c r="A469" s="13" t="str">
        <f>IF(AND($E469="",MAX($A$8:$A468)=0),"",IF(AND($E469&lt;&gt;"",MAX($A$8:$A468)=0),1,IF(AND($E469&lt;&gt;"",MAX($A$8:$A468)&gt;0),MAX($A$8:$A468)+1,"")))</f>
        <v/>
      </c>
      <c r="B469" s="11">
        <v>462</v>
      </c>
      <c r="C469" s="19" t="str">
        <f t="shared" si="14"/>
        <v>EMPTY</v>
      </c>
      <c r="D469" s="3" t="str">
        <f>IF(C469="SHOW",CONCATENATE(Temp!T465,Temp!U465,",",Temp!V465,",",Temp!W465,Temp!X465),"")</f>
        <v/>
      </c>
      <c r="E469" s="7"/>
      <c r="F469" s="8" t="str">
        <f t="shared" si="15"/>
        <v/>
      </c>
      <c r="BY469" s="4" t="s">
        <v>5</v>
      </c>
      <c r="BZ469" s="4" t="s">
        <v>5</v>
      </c>
    </row>
    <row r="470" spans="1:78" x14ac:dyDescent="0.25">
      <c r="A470" s="13" t="str">
        <f>IF(AND($E470="",MAX($A$8:$A469)=0),"",IF(AND($E470&lt;&gt;"",MAX($A$8:$A469)=0),1,IF(AND($E470&lt;&gt;"",MAX($A$8:$A469)&gt;0),MAX($A$8:$A469)+1,"")))</f>
        <v/>
      </c>
      <c r="B470" s="11">
        <v>463</v>
      </c>
      <c r="C470" s="19" t="str">
        <f t="shared" si="14"/>
        <v>EMPTY</v>
      </c>
      <c r="D470" s="3" t="str">
        <f>IF(C470="SHOW",CONCATENATE(Temp!T466,Temp!U466,",",Temp!V466,",",Temp!W466,Temp!X466),"")</f>
        <v/>
      </c>
      <c r="E470" s="7"/>
      <c r="F470" s="8" t="str">
        <f t="shared" si="15"/>
        <v/>
      </c>
      <c r="BY470" s="4" t="s">
        <v>5</v>
      </c>
      <c r="BZ470" s="4" t="s">
        <v>5</v>
      </c>
    </row>
    <row r="471" spans="1:78" x14ac:dyDescent="0.25">
      <c r="A471" s="13" t="str">
        <f>IF(AND($E471="",MAX($A$8:$A470)=0),"",IF(AND($E471&lt;&gt;"",MAX($A$8:$A470)=0),1,IF(AND($E471&lt;&gt;"",MAX($A$8:$A470)&gt;0),MAX($A$8:$A470)+1,"")))</f>
        <v/>
      </c>
      <c r="B471" s="11">
        <v>464</v>
      </c>
      <c r="C471" s="19" t="str">
        <f t="shared" si="14"/>
        <v>EMPTY</v>
      </c>
      <c r="D471" s="3" t="str">
        <f>IF(C471="SHOW",CONCATENATE(Temp!T467,Temp!U467,",",Temp!V467,",",Temp!W467,Temp!X467),"")</f>
        <v/>
      </c>
      <c r="E471" s="7"/>
      <c r="F471" s="8" t="str">
        <f t="shared" si="15"/>
        <v/>
      </c>
      <c r="BY471" s="4" t="s">
        <v>5</v>
      </c>
      <c r="BZ471" s="4" t="s">
        <v>5</v>
      </c>
    </row>
    <row r="472" spans="1:78" x14ac:dyDescent="0.25">
      <c r="A472" s="13" t="str">
        <f>IF(AND($E472="",MAX($A$8:$A471)=0),"",IF(AND($E472&lt;&gt;"",MAX($A$8:$A471)=0),1,IF(AND($E472&lt;&gt;"",MAX($A$8:$A471)&gt;0),MAX($A$8:$A471)+1,"")))</f>
        <v/>
      </c>
      <c r="B472" s="11">
        <v>465</v>
      </c>
      <c r="C472" s="19" t="str">
        <f t="shared" si="14"/>
        <v>EMPTY</v>
      </c>
      <c r="D472" s="3" t="str">
        <f>IF(C472="SHOW",CONCATENATE(Temp!T468,Temp!U468,",",Temp!V468,",",Temp!W468,Temp!X468),"")</f>
        <v/>
      </c>
      <c r="E472" s="7"/>
      <c r="F472" s="8" t="str">
        <f t="shared" si="15"/>
        <v/>
      </c>
      <c r="BY472" s="4" t="s">
        <v>5</v>
      </c>
      <c r="BZ472" s="4" t="s">
        <v>5</v>
      </c>
    </row>
    <row r="473" spans="1:78" x14ac:dyDescent="0.25">
      <c r="A473" s="13" t="str">
        <f>IF(AND($E473="",MAX($A$8:$A472)=0),"",IF(AND($E473&lt;&gt;"",MAX($A$8:$A472)=0),1,IF(AND($E473&lt;&gt;"",MAX($A$8:$A472)&gt;0),MAX($A$8:$A472)+1,"")))</f>
        <v/>
      </c>
      <c r="B473" s="11">
        <v>466</v>
      </c>
      <c r="C473" s="19" t="str">
        <f t="shared" si="14"/>
        <v>EMPTY</v>
      </c>
      <c r="D473" s="3" t="str">
        <f>IF(C473="SHOW",CONCATENATE(Temp!T469,Temp!U469,",",Temp!V469,",",Temp!W469,Temp!X469),"")</f>
        <v/>
      </c>
      <c r="E473" s="7"/>
      <c r="F473" s="8" t="str">
        <f t="shared" si="15"/>
        <v/>
      </c>
      <c r="BY473" s="4" t="s">
        <v>5</v>
      </c>
      <c r="BZ473" s="4" t="s">
        <v>5</v>
      </c>
    </row>
    <row r="474" spans="1:78" x14ac:dyDescent="0.25">
      <c r="A474" s="13" t="str">
        <f>IF(AND($E474="",MAX($A$8:$A473)=0),"",IF(AND($E474&lt;&gt;"",MAX($A$8:$A473)=0),1,IF(AND($E474&lt;&gt;"",MAX($A$8:$A473)&gt;0),MAX($A$8:$A473)+1,"")))</f>
        <v/>
      </c>
      <c r="B474" s="11">
        <v>467</v>
      </c>
      <c r="C474" s="19" t="str">
        <f t="shared" si="14"/>
        <v>EMPTY</v>
      </c>
      <c r="D474" s="3" t="str">
        <f>IF(C474="SHOW",CONCATENATE(Temp!T470,Temp!U470,",",Temp!V470,",",Temp!W470,Temp!X470),"")</f>
        <v/>
      </c>
      <c r="E474" s="7"/>
      <c r="F474" s="8" t="str">
        <f t="shared" si="15"/>
        <v/>
      </c>
      <c r="BY474" s="4" t="s">
        <v>5</v>
      </c>
      <c r="BZ474" s="4" t="s">
        <v>5</v>
      </c>
    </row>
    <row r="475" spans="1:78" x14ac:dyDescent="0.25">
      <c r="A475" s="13" t="str">
        <f>IF(AND($E475="",MAX($A$8:$A474)=0),"",IF(AND($E475&lt;&gt;"",MAX($A$8:$A474)=0),1,IF(AND($E475&lt;&gt;"",MAX($A$8:$A474)&gt;0),MAX($A$8:$A474)+1,"")))</f>
        <v/>
      </c>
      <c r="B475" s="11">
        <v>468</v>
      </c>
      <c r="C475" s="19" t="str">
        <f t="shared" si="14"/>
        <v>EMPTY</v>
      </c>
      <c r="D475" s="3" t="str">
        <f>IF(C475="SHOW",CONCATENATE(Temp!T471,Temp!U471,",",Temp!V471,",",Temp!W471,Temp!X471),"")</f>
        <v/>
      </c>
      <c r="E475" s="7"/>
      <c r="F475" s="8" t="str">
        <f t="shared" si="15"/>
        <v/>
      </c>
      <c r="BY475" s="4" t="s">
        <v>5</v>
      </c>
      <c r="BZ475" s="4" t="s">
        <v>5</v>
      </c>
    </row>
    <row r="476" spans="1:78" x14ac:dyDescent="0.25">
      <c r="A476" s="13" t="str">
        <f>IF(AND($E476="",MAX($A$8:$A475)=0),"",IF(AND($E476&lt;&gt;"",MAX($A$8:$A475)=0),1,IF(AND($E476&lt;&gt;"",MAX($A$8:$A475)&gt;0),MAX($A$8:$A475)+1,"")))</f>
        <v/>
      </c>
      <c r="B476" s="11">
        <v>469</v>
      </c>
      <c r="C476" s="19" t="str">
        <f t="shared" si="14"/>
        <v>EMPTY</v>
      </c>
      <c r="D476" s="3" t="str">
        <f>IF(C476="SHOW",CONCATENATE(Temp!T472,Temp!U472,",",Temp!V472,",",Temp!W472,Temp!X472),"")</f>
        <v/>
      </c>
      <c r="E476" s="7"/>
      <c r="F476" s="8" t="str">
        <f t="shared" si="15"/>
        <v/>
      </c>
      <c r="BY476" s="4" t="s">
        <v>5</v>
      </c>
      <c r="BZ476" s="4" t="s">
        <v>5</v>
      </c>
    </row>
    <row r="477" spans="1:78" x14ac:dyDescent="0.25">
      <c r="A477" s="13" t="str">
        <f>IF(AND($E477="",MAX($A$8:$A476)=0),"",IF(AND($E477&lt;&gt;"",MAX($A$8:$A476)=0),1,IF(AND($E477&lt;&gt;"",MAX($A$8:$A476)&gt;0),MAX($A$8:$A476)+1,"")))</f>
        <v/>
      </c>
      <c r="B477" s="11">
        <v>470</v>
      </c>
      <c r="C477" s="19" t="str">
        <f t="shared" si="14"/>
        <v>EMPTY</v>
      </c>
      <c r="D477" s="3" t="str">
        <f>IF(C477="SHOW",CONCATENATE(Temp!T473,Temp!U473,",",Temp!V473,",",Temp!W473,Temp!X473),"")</f>
        <v/>
      </c>
      <c r="E477" s="7"/>
      <c r="F477" s="8" t="str">
        <f t="shared" si="15"/>
        <v/>
      </c>
      <c r="BY477" s="4" t="s">
        <v>5</v>
      </c>
      <c r="BZ477" s="4" t="s">
        <v>5</v>
      </c>
    </row>
    <row r="478" spans="1:78" x14ac:dyDescent="0.25">
      <c r="A478" s="13" t="str">
        <f>IF(AND($E478="",MAX($A$8:$A477)=0),"",IF(AND($E478&lt;&gt;"",MAX($A$8:$A477)=0),1,IF(AND($E478&lt;&gt;"",MAX($A$8:$A477)&gt;0),MAX($A$8:$A477)+1,"")))</f>
        <v/>
      </c>
      <c r="B478" s="11">
        <v>471</v>
      </c>
      <c r="C478" s="19" t="str">
        <f t="shared" si="14"/>
        <v>EMPTY</v>
      </c>
      <c r="D478" s="3" t="str">
        <f>IF(C478="SHOW",CONCATENATE(Temp!T474,Temp!U474,",",Temp!V474,",",Temp!W474,Temp!X474),"")</f>
        <v/>
      </c>
      <c r="E478" s="7"/>
      <c r="F478" s="8" t="str">
        <f t="shared" si="15"/>
        <v/>
      </c>
      <c r="BY478" s="4" t="s">
        <v>5</v>
      </c>
      <c r="BZ478" s="4" t="s">
        <v>5</v>
      </c>
    </row>
    <row r="479" spans="1:78" x14ac:dyDescent="0.25">
      <c r="A479" s="13" t="str">
        <f>IF(AND($E479="",MAX($A$8:$A478)=0),"",IF(AND($E479&lt;&gt;"",MAX($A$8:$A478)=0),1,IF(AND($E479&lt;&gt;"",MAX($A$8:$A478)&gt;0),MAX($A$8:$A478)+1,"")))</f>
        <v/>
      </c>
      <c r="B479" s="11">
        <v>472</v>
      </c>
      <c r="C479" s="19" t="str">
        <f t="shared" si="14"/>
        <v>EMPTY</v>
      </c>
      <c r="D479" s="3" t="str">
        <f>IF(C479="SHOW",CONCATENATE(Temp!T475,Temp!U475,",",Temp!V475,",",Temp!W475,Temp!X475),"")</f>
        <v/>
      </c>
      <c r="E479" s="7"/>
      <c r="F479" s="8" t="str">
        <f t="shared" si="15"/>
        <v/>
      </c>
      <c r="BY479" s="4" t="s">
        <v>5</v>
      </c>
      <c r="BZ479" s="4" t="s">
        <v>5</v>
      </c>
    </row>
    <row r="480" spans="1:78" x14ac:dyDescent="0.25">
      <c r="A480" s="13" t="str">
        <f>IF(AND($E480="",MAX($A$8:$A479)=0),"",IF(AND($E480&lt;&gt;"",MAX($A$8:$A479)=0),1,IF(AND($E480&lt;&gt;"",MAX($A$8:$A479)&gt;0),MAX($A$8:$A479)+1,"")))</f>
        <v/>
      </c>
      <c r="B480" s="11">
        <v>473</v>
      </c>
      <c r="C480" s="19" t="str">
        <f t="shared" si="14"/>
        <v>EMPTY</v>
      </c>
      <c r="D480" s="3" t="str">
        <f>IF(C480="SHOW",CONCATENATE(Temp!T476,Temp!U476,",",Temp!V476,",",Temp!W476,Temp!X476),"")</f>
        <v/>
      </c>
      <c r="E480" s="7"/>
      <c r="F480" s="8" t="str">
        <f t="shared" si="15"/>
        <v/>
      </c>
      <c r="BY480" s="4" t="s">
        <v>5</v>
      </c>
      <c r="BZ480" s="4" t="s">
        <v>5</v>
      </c>
    </row>
    <row r="481" spans="1:78" x14ac:dyDescent="0.25">
      <c r="A481" s="13" t="str">
        <f>IF(AND($E481="",MAX($A$8:$A480)=0),"",IF(AND($E481&lt;&gt;"",MAX($A$8:$A480)=0),1,IF(AND($E481&lt;&gt;"",MAX($A$8:$A480)&gt;0),MAX($A$8:$A480)+1,"")))</f>
        <v/>
      </c>
      <c r="B481" s="11">
        <v>474</v>
      </c>
      <c r="C481" s="19" t="str">
        <f t="shared" si="14"/>
        <v>EMPTY</v>
      </c>
      <c r="D481" s="3" t="str">
        <f>IF(C481="SHOW",CONCATENATE(Temp!T477,Temp!U477,",",Temp!V477,",",Temp!W477,Temp!X477),"")</f>
        <v/>
      </c>
      <c r="E481" s="7"/>
      <c r="F481" s="8" t="str">
        <f t="shared" si="15"/>
        <v/>
      </c>
      <c r="BY481" s="4" t="s">
        <v>5</v>
      </c>
      <c r="BZ481" s="4" t="s">
        <v>5</v>
      </c>
    </row>
    <row r="482" spans="1:78" x14ac:dyDescent="0.25">
      <c r="A482" s="13" t="str">
        <f>IF(AND($E482="",MAX($A$8:$A481)=0),"",IF(AND($E482&lt;&gt;"",MAX($A$8:$A481)=0),1,IF(AND($E482&lt;&gt;"",MAX($A$8:$A481)&gt;0),MAX($A$8:$A481)+1,"")))</f>
        <v/>
      </c>
      <c r="B482" s="11">
        <v>475</v>
      </c>
      <c r="C482" s="19" t="str">
        <f t="shared" si="14"/>
        <v>EMPTY</v>
      </c>
      <c r="D482" s="3" t="str">
        <f>IF(C482="SHOW",CONCATENATE(Temp!T478,Temp!U478,",",Temp!V478,",",Temp!W478,Temp!X478),"")</f>
        <v/>
      </c>
      <c r="E482" s="7"/>
      <c r="F482" s="8" t="str">
        <f t="shared" si="15"/>
        <v/>
      </c>
      <c r="BY482" s="4" t="s">
        <v>5</v>
      </c>
      <c r="BZ482" s="4" t="s">
        <v>5</v>
      </c>
    </row>
    <row r="483" spans="1:78" x14ac:dyDescent="0.25">
      <c r="A483" s="13" t="str">
        <f>IF(AND($E483="",MAX($A$8:$A482)=0),"",IF(AND($E483&lt;&gt;"",MAX($A$8:$A482)=0),1,IF(AND($E483&lt;&gt;"",MAX($A$8:$A482)&gt;0),MAX($A$8:$A482)+1,"")))</f>
        <v/>
      </c>
      <c r="B483" s="11">
        <v>476</v>
      </c>
      <c r="C483" s="19" t="str">
        <f t="shared" si="14"/>
        <v>EMPTY</v>
      </c>
      <c r="D483" s="3" t="str">
        <f>IF(C483="SHOW",CONCATENATE(Temp!T479,Temp!U479,",",Temp!V479,",",Temp!W479,Temp!X479),"")</f>
        <v/>
      </c>
      <c r="E483" s="7"/>
      <c r="F483" s="8" t="str">
        <f t="shared" si="15"/>
        <v/>
      </c>
      <c r="BY483" s="4" t="s">
        <v>5</v>
      </c>
      <c r="BZ483" s="4" t="s">
        <v>5</v>
      </c>
    </row>
    <row r="484" spans="1:78" x14ac:dyDescent="0.25">
      <c r="A484" s="13" t="str">
        <f>IF(AND($E484="",MAX($A$8:$A483)=0),"",IF(AND($E484&lt;&gt;"",MAX($A$8:$A483)=0),1,IF(AND($E484&lt;&gt;"",MAX($A$8:$A483)&gt;0),MAX($A$8:$A483)+1,"")))</f>
        <v/>
      </c>
      <c r="B484" s="11">
        <v>477</v>
      </c>
      <c r="C484" s="19" t="str">
        <f t="shared" si="14"/>
        <v>EMPTY</v>
      </c>
      <c r="D484" s="3" t="str">
        <f>IF(C484="SHOW",CONCATENATE(Temp!T480,Temp!U480,",",Temp!V480,",",Temp!W480,Temp!X480),"")</f>
        <v/>
      </c>
      <c r="E484" s="7"/>
      <c r="F484" s="8" t="str">
        <f t="shared" si="15"/>
        <v/>
      </c>
      <c r="BY484" s="4" t="s">
        <v>5</v>
      </c>
      <c r="BZ484" s="4" t="s">
        <v>5</v>
      </c>
    </row>
    <row r="485" spans="1:78" x14ac:dyDescent="0.25">
      <c r="A485" s="13" t="str">
        <f>IF(AND($E485="",MAX($A$8:$A484)=0),"",IF(AND($E485&lt;&gt;"",MAX($A$8:$A484)=0),1,IF(AND($E485&lt;&gt;"",MAX($A$8:$A484)&gt;0),MAX($A$8:$A484)+1,"")))</f>
        <v/>
      </c>
      <c r="B485" s="11">
        <v>478</v>
      </c>
      <c r="C485" s="19" t="str">
        <f t="shared" si="14"/>
        <v>EMPTY</v>
      </c>
      <c r="D485" s="3" t="str">
        <f>IF(C485="SHOW",CONCATENATE(Temp!T481,Temp!U481,",",Temp!V481,",",Temp!W481,Temp!X481),"")</f>
        <v/>
      </c>
      <c r="E485" s="7"/>
      <c r="F485" s="8" t="str">
        <f t="shared" si="15"/>
        <v/>
      </c>
      <c r="BY485" s="4" t="s">
        <v>5</v>
      </c>
      <c r="BZ485" s="4" t="s">
        <v>5</v>
      </c>
    </row>
    <row r="486" spans="1:78" x14ac:dyDescent="0.25">
      <c r="A486" s="13" t="str">
        <f>IF(AND($E486="",MAX($A$8:$A485)=0),"",IF(AND($E486&lt;&gt;"",MAX($A$8:$A485)=0),1,IF(AND($E486&lt;&gt;"",MAX($A$8:$A485)&gt;0),MAX($A$8:$A485)+1,"")))</f>
        <v/>
      </c>
      <c r="B486" s="11">
        <v>479</v>
      </c>
      <c r="C486" s="19" t="str">
        <f t="shared" si="14"/>
        <v>EMPTY</v>
      </c>
      <c r="D486" s="3" t="str">
        <f>IF(C486="SHOW",CONCATENATE(Temp!T482,Temp!U482,",",Temp!V482,",",Temp!W482,Temp!X482),"")</f>
        <v/>
      </c>
      <c r="E486" s="7"/>
      <c r="F486" s="8" t="str">
        <f t="shared" si="15"/>
        <v/>
      </c>
      <c r="BY486" s="4" t="s">
        <v>5</v>
      </c>
      <c r="BZ486" s="4" t="s">
        <v>5</v>
      </c>
    </row>
    <row r="487" spans="1:78" x14ac:dyDescent="0.25">
      <c r="A487" s="13" t="str">
        <f>IF(AND($E487="",MAX($A$8:$A486)=0),"",IF(AND($E487&lt;&gt;"",MAX($A$8:$A486)=0),1,IF(AND($E487&lt;&gt;"",MAX($A$8:$A486)&gt;0),MAX($A$8:$A486)+1,"")))</f>
        <v/>
      </c>
      <c r="B487" s="11">
        <v>480</v>
      </c>
      <c r="C487" s="19" t="str">
        <f t="shared" si="14"/>
        <v>EMPTY</v>
      </c>
      <c r="D487" s="3" t="str">
        <f>IF(C487="SHOW",CONCATENATE(Temp!T483,Temp!U483,",",Temp!V483,",",Temp!W483,Temp!X483),"")</f>
        <v/>
      </c>
      <c r="E487" s="7"/>
      <c r="F487" s="8" t="str">
        <f t="shared" si="15"/>
        <v/>
      </c>
      <c r="BY487" s="4" t="s">
        <v>5</v>
      </c>
      <c r="BZ487" s="4" t="s">
        <v>5</v>
      </c>
    </row>
    <row r="488" spans="1:78" x14ac:dyDescent="0.25">
      <c r="A488" s="13" t="str">
        <f>IF(AND($E488="",MAX($A$8:$A487)=0),"",IF(AND($E488&lt;&gt;"",MAX($A$8:$A487)=0),1,IF(AND($E488&lt;&gt;"",MAX($A$8:$A487)&gt;0),MAX($A$8:$A487)+1,"")))</f>
        <v/>
      </c>
      <c r="B488" s="11">
        <v>481</v>
      </c>
      <c r="C488" s="19" t="str">
        <f t="shared" si="14"/>
        <v>EMPTY</v>
      </c>
      <c r="D488" s="3" t="str">
        <f>IF(C488="SHOW",CONCATENATE(Temp!T484,Temp!U484,",",Temp!V484,",",Temp!W484,Temp!X484),"")</f>
        <v/>
      </c>
      <c r="E488" s="7"/>
      <c r="F488" s="8" t="str">
        <f t="shared" si="15"/>
        <v/>
      </c>
      <c r="BY488" s="4" t="s">
        <v>5</v>
      </c>
      <c r="BZ488" s="4" t="s">
        <v>5</v>
      </c>
    </row>
    <row r="489" spans="1:78" x14ac:dyDescent="0.25">
      <c r="A489" s="13" t="str">
        <f>IF(AND($E489="",MAX($A$8:$A488)=0),"",IF(AND($E489&lt;&gt;"",MAX($A$8:$A488)=0),1,IF(AND($E489&lt;&gt;"",MAX($A$8:$A488)&gt;0),MAX($A$8:$A488)+1,"")))</f>
        <v/>
      </c>
      <c r="B489" s="11">
        <v>482</v>
      </c>
      <c r="C489" s="19" t="str">
        <f t="shared" si="14"/>
        <v>EMPTY</v>
      </c>
      <c r="D489" s="3" t="str">
        <f>IF(C489="SHOW",CONCATENATE(Temp!T485,Temp!U485,",",Temp!V485,",",Temp!W485,Temp!X485),"")</f>
        <v/>
      </c>
      <c r="E489" s="7"/>
      <c r="F489" s="8" t="str">
        <f t="shared" si="15"/>
        <v/>
      </c>
      <c r="BY489" s="4" t="s">
        <v>5</v>
      </c>
      <c r="BZ489" s="4" t="s">
        <v>5</v>
      </c>
    </row>
    <row r="490" spans="1:78" x14ac:dyDescent="0.25">
      <c r="A490" s="13" t="str">
        <f>IF(AND($E490="",MAX($A$8:$A489)=0),"",IF(AND($E490&lt;&gt;"",MAX($A$8:$A489)=0),1,IF(AND($E490&lt;&gt;"",MAX($A$8:$A489)&gt;0),MAX($A$8:$A489)+1,"")))</f>
        <v/>
      </c>
      <c r="B490" s="11">
        <v>483</v>
      </c>
      <c r="C490" s="19" t="str">
        <f t="shared" si="14"/>
        <v>EMPTY</v>
      </c>
      <c r="D490" s="3" t="str">
        <f>IF(C490="SHOW",CONCATENATE(Temp!T486,Temp!U486,",",Temp!V486,",",Temp!W486,Temp!X486),"")</f>
        <v/>
      </c>
      <c r="E490" s="7"/>
      <c r="F490" s="8" t="str">
        <f t="shared" si="15"/>
        <v/>
      </c>
      <c r="BY490" s="4" t="s">
        <v>5</v>
      </c>
      <c r="BZ490" s="4" t="s">
        <v>5</v>
      </c>
    </row>
    <row r="491" spans="1:78" x14ac:dyDescent="0.25">
      <c r="A491" s="13" t="str">
        <f>IF(AND($E491="",MAX($A$8:$A490)=0),"",IF(AND($E491&lt;&gt;"",MAX($A$8:$A490)=0),1,IF(AND($E491&lt;&gt;"",MAX($A$8:$A490)&gt;0),MAX($A$8:$A490)+1,"")))</f>
        <v/>
      </c>
      <c r="B491" s="11">
        <v>484</v>
      </c>
      <c r="C491" s="19" t="str">
        <f t="shared" si="14"/>
        <v>EMPTY</v>
      </c>
      <c r="D491" s="3" t="str">
        <f>IF(C491="SHOW",CONCATENATE(Temp!T487,Temp!U487,",",Temp!V487,",",Temp!W487,Temp!X487),"")</f>
        <v/>
      </c>
      <c r="E491" s="7"/>
      <c r="F491" s="8" t="str">
        <f t="shared" si="15"/>
        <v/>
      </c>
      <c r="BY491" s="4" t="s">
        <v>5</v>
      </c>
      <c r="BZ491" s="4" t="s">
        <v>5</v>
      </c>
    </row>
    <row r="492" spans="1:78" x14ac:dyDescent="0.25">
      <c r="A492" s="13" t="str">
        <f>IF(AND($E492="",MAX($A$8:$A491)=0),"",IF(AND($E492&lt;&gt;"",MAX($A$8:$A491)=0),1,IF(AND($E492&lt;&gt;"",MAX($A$8:$A491)&gt;0),MAX($A$8:$A491)+1,"")))</f>
        <v/>
      </c>
      <c r="B492" s="11">
        <v>485</v>
      </c>
      <c r="C492" s="19" t="str">
        <f t="shared" si="14"/>
        <v>EMPTY</v>
      </c>
      <c r="D492" s="3" t="str">
        <f>IF(C492="SHOW",CONCATENATE(Temp!T488,Temp!U488,",",Temp!V488,",",Temp!W488,Temp!X488),"")</f>
        <v/>
      </c>
      <c r="E492" s="7"/>
      <c r="F492" s="8" t="str">
        <f t="shared" si="15"/>
        <v/>
      </c>
      <c r="BY492" s="4" t="s">
        <v>5</v>
      </c>
      <c r="BZ492" s="4" t="s">
        <v>5</v>
      </c>
    </row>
    <row r="493" spans="1:78" x14ac:dyDescent="0.25">
      <c r="A493" s="13" t="str">
        <f>IF(AND($E493="",MAX($A$8:$A492)=0),"",IF(AND($E493&lt;&gt;"",MAX($A$8:$A492)=0),1,IF(AND($E493&lt;&gt;"",MAX($A$8:$A492)&gt;0),MAX($A$8:$A492)+1,"")))</f>
        <v/>
      </c>
      <c r="B493" s="11">
        <v>486</v>
      </c>
      <c r="C493" s="19" t="str">
        <f t="shared" si="14"/>
        <v>EMPTY</v>
      </c>
      <c r="D493" s="3" t="str">
        <f>IF(C493="SHOW",CONCATENATE(Temp!T489,Temp!U489,",",Temp!V489,",",Temp!W489,Temp!X489),"")</f>
        <v/>
      </c>
      <c r="E493" s="7"/>
      <c r="F493" s="8" t="str">
        <f t="shared" si="15"/>
        <v/>
      </c>
      <c r="BY493" s="4" t="s">
        <v>5</v>
      </c>
      <c r="BZ493" s="4" t="s">
        <v>5</v>
      </c>
    </row>
    <row r="494" spans="1:78" x14ac:dyDescent="0.25">
      <c r="A494" s="13" t="str">
        <f>IF(AND($E494="",MAX($A$8:$A493)=0),"",IF(AND($E494&lt;&gt;"",MAX($A$8:$A493)=0),1,IF(AND($E494&lt;&gt;"",MAX($A$8:$A493)&gt;0),MAX($A$8:$A493)+1,"")))</f>
        <v/>
      </c>
      <c r="B494" s="11">
        <v>487</v>
      </c>
      <c r="C494" s="19" t="str">
        <f t="shared" si="14"/>
        <v>EMPTY</v>
      </c>
      <c r="D494" s="3" t="str">
        <f>IF(C494="SHOW",CONCATENATE(Temp!T490,Temp!U490,",",Temp!V490,",",Temp!W490,Temp!X490),"")</f>
        <v/>
      </c>
      <c r="E494" s="7"/>
      <c r="F494" s="8" t="str">
        <f t="shared" si="15"/>
        <v/>
      </c>
      <c r="BY494" s="4" t="s">
        <v>5</v>
      </c>
      <c r="BZ494" s="4" t="s">
        <v>5</v>
      </c>
    </row>
    <row r="495" spans="1:78" x14ac:dyDescent="0.25">
      <c r="A495" s="13" t="str">
        <f>IF(AND($E495="",MAX($A$8:$A494)=0),"",IF(AND($E495&lt;&gt;"",MAX($A$8:$A494)=0),1,IF(AND($E495&lt;&gt;"",MAX($A$8:$A494)&gt;0),MAX($A$8:$A494)+1,"")))</f>
        <v/>
      </c>
      <c r="B495" s="11">
        <v>488</v>
      </c>
      <c r="C495" s="19" t="str">
        <f t="shared" si="14"/>
        <v>EMPTY</v>
      </c>
      <c r="D495" s="3" t="str">
        <f>IF(C495="SHOW",CONCATENATE(Temp!T491,Temp!U491,",",Temp!V491,",",Temp!W491,Temp!X491),"")</f>
        <v/>
      </c>
      <c r="E495" s="7"/>
      <c r="F495" s="8" t="str">
        <f t="shared" si="15"/>
        <v/>
      </c>
      <c r="BY495" s="4" t="s">
        <v>5</v>
      </c>
      <c r="BZ495" s="4" t="s">
        <v>5</v>
      </c>
    </row>
    <row r="496" spans="1:78" x14ac:dyDescent="0.25">
      <c r="A496" s="13" t="str">
        <f>IF(AND($E496="",MAX($A$8:$A495)=0),"",IF(AND($E496&lt;&gt;"",MAX($A$8:$A495)=0),1,IF(AND($E496&lt;&gt;"",MAX($A$8:$A495)&gt;0),MAX($A$8:$A495)+1,"")))</f>
        <v/>
      </c>
      <c r="B496" s="11">
        <v>489</v>
      </c>
      <c r="C496" s="19" t="str">
        <f t="shared" si="14"/>
        <v>EMPTY</v>
      </c>
      <c r="D496" s="3" t="str">
        <f>IF(C496="SHOW",CONCATENATE(Temp!T492,Temp!U492,",",Temp!V492,",",Temp!W492,Temp!X492),"")</f>
        <v/>
      </c>
      <c r="E496" s="7"/>
      <c r="F496" s="8" t="str">
        <f t="shared" si="15"/>
        <v/>
      </c>
      <c r="BY496" s="4" t="s">
        <v>5</v>
      </c>
      <c r="BZ496" s="4" t="s">
        <v>5</v>
      </c>
    </row>
    <row r="497" spans="1:78" x14ac:dyDescent="0.25">
      <c r="A497" s="13" t="str">
        <f>IF(AND($E497="",MAX($A$8:$A496)=0),"",IF(AND($E497&lt;&gt;"",MAX($A$8:$A496)=0),1,IF(AND($E497&lt;&gt;"",MAX($A$8:$A496)&gt;0),MAX($A$8:$A496)+1,"")))</f>
        <v/>
      </c>
      <c r="B497" s="11">
        <v>490</v>
      </c>
      <c r="C497" s="19" t="str">
        <f t="shared" si="14"/>
        <v>EMPTY</v>
      </c>
      <c r="D497" s="3" t="str">
        <f>IF(C497="SHOW",CONCATENATE(Temp!T493,Temp!U493,",",Temp!V493,",",Temp!W493,Temp!X493),"")</f>
        <v/>
      </c>
      <c r="E497" s="7"/>
      <c r="F497" s="8" t="str">
        <f t="shared" si="15"/>
        <v/>
      </c>
      <c r="BY497" s="4" t="s">
        <v>5</v>
      </c>
      <c r="BZ497" s="4" t="s">
        <v>5</v>
      </c>
    </row>
    <row r="498" spans="1:78" x14ac:dyDescent="0.25">
      <c r="A498" s="13" t="str">
        <f>IF(AND($E498="",MAX($A$8:$A497)=0),"",IF(AND($E498&lt;&gt;"",MAX($A$8:$A497)=0),1,IF(AND($E498&lt;&gt;"",MAX($A$8:$A497)&gt;0),MAX($A$8:$A497)+1,"")))</f>
        <v/>
      </c>
      <c r="B498" s="11">
        <v>491</v>
      </c>
      <c r="C498" s="19" t="str">
        <f t="shared" si="14"/>
        <v>EMPTY</v>
      </c>
      <c r="D498" s="3" t="str">
        <f>IF(C498="SHOW",CONCATENATE(Temp!T494,Temp!U494,",",Temp!V494,",",Temp!W494,Temp!X494),"")</f>
        <v/>
      </c>
      <c r="E498" s="7"/>
      <c r="F498" s="8" t="str">
        <f t="shared" si="15"/>
        <v/>
      </c>
      <c r="BY498" s="4" t="s">
        <v>5</v>
      </c>
      <c r="BZ498" s="4" t="s">
        <v>5</v>
      </c>
    </row>
    <row r="499" spans="1:78" x14ac:dyDescent="0.25">
      <c r="A499" s="13" t="str">
        <f>IF(AND($E499="",MAX($A$8:$A498)=0),"",IF(AND($E499&lt;&gt;"",MAX($A$8:$A498)=0),1,IF(AND($E499&lt;&gt;"",MAX($A$8:$A498)&gt;0),MAX($A$8:$A498)+1,"")))</f>
        <v/>
      </c>
      <c r="B499" s="11">
        <v>492</v>
      </c>
      <c r="C499" s="19" t="str">
        <f t="shared" si="14"/>
        <v>EMPTY</v>
      </c>
      <c r="D499" s="3" t="str">
        <f>IF(C499="SHOW",CONCATENATE(Temp!T495,Temp!U495,",",Temp!V495,",",Temp!W495,Temp!X495),"")</f>
        <v/>
      </c>
      <c r="E499" s="7"/>
      <c r="F499" s="8" t="str">
        <f t="shared" si="15"/>
        <v/>
      </c>
      <c r="BY499" s="4" t="s">
        <v>5</v>
      </c>
      <c r="BZ499" s="4" t="s">
        <v>5</v>
      </c>
    </row>
    <row r="500" spans="1:78" x14ac:dyDescent="0.25">
      <c r="A500" s="13" t="str">
        <f>IF(AND($E500="",MAX($A$8:$A499)=0),"",IF(AND($E500&lt;&gt;"",MAX($A$8:$A499)=0),1,IF(AND($E500&lt;&gt;"",MAX($A$8:$A499)&gt;0),MAX($A$8:$A499)+1,"")))</f>
        <v/>
      </c>
      <c r="B500" s="11">
        <v>493</v>
      </c>
      <c r="C500" s="19" t="str">
        <f t="shared" si="14"/>
        <v>EMPTY</v>
      </c>
      <c r="D500" s="3" t="str">
        <f>IF(C500="SHOW",CONCATENATE(Temp!T496,Temp!U496,",",Temp!V496,",",Temp!W496,Temp!X496),"")</f>
        <v/>
      </c>
      <c r="E500" s="7"/>
      <c r="F500" s="8" t="str">
        <f t="shared" si="15"/>
        <v/>
      </c>
      <c r="BY500" s="4" t="s">
        <v>5</v>
      </c>
      <c r="BZ500" s="4" t="s">
        <v>5</v>
      </c>
    </row>
    <row r="501" spans="1:78" x14ac:dyDescent="0.25">
      <c r="A501" s="13" t="str">
        <f>IF(AND($E501="",MAX($A$8:$A500)=0),"",IF(AND($E501&lt;&gt;"",MAX($A$8:$A500)=0),1,IF(AND($E501&lt;&gt;"",MAX($A$8:$A500)&gt;0),MAX($A$8:$A500)+1,"")))</f>
        <v/>
      </c>
      <c r="B501" s="11">
        <v>494</v>
      </c>
      <c r="C501" s="19" t="str">
        <f t="shared" si="14"/>
        <v>EMPTY</v>
      </c>
      <c r="D501" s="3" t="str">
        <f>IF(C501="SHOW",CONCATENATE(Temp!T497,Temp!U497,",",Temp!V497,",",Temp!W497,Temp!X497),"")</f>
        <v/>
      </c>
      <c r="E501" s="7"/>
      <c r="F501" s="8" t="str">
        <f t="shared" si="15"/>
        <v/>
      </c>
      <c r="BY501" s="4" t="s">
        <v>5</v>
      </c>
      <c r="BZ501" s="4" t="s">
        <v>5</v>
      </c>
    </row>
    <row r="502" spans="1:78" x14ac:dyDescent="0.25">
      <c r="A502" s="13" t="str">
        <f>IF(AND($E502="",MAX($A$8:$A501)=0),"",IF(AND($E502&lt;&gt;"",MAX($A$8:$A501)=0),1,IF(AND($E502&lt;&gt;"",MAX($A$8:$A501)&gt;0),MAX($A$8:$A501)+1,"")))</f>
        <v/>
      </c>
      <c r="B502" s="11">
        <v>495</v>
      </c>
      <c r="C502" s="19" t="str">
        <f t="shared" si="14"/>
        <v>EMPTY</v>
      </c>
      <c r="D502" s="3" t="str">
        <f>IF(C502="SHOW",CONCATENATE(Temp!T498,Temp!U498,",",Temp!V498,",",Temp!W498,Temp!X498),"")</f>
        <v/>
      </c>
      <c r="E502" s="7"/>
      <c r="F502" s="8" t="str">
        <f t="shared" si="15"/>
        <v/>
      </c>
      <c r="BY502" s="4" t="s">
        <v>5</v>
      </c>
      <c r="BZ502" s="4" t="s">
        <v>5</v>
      </c>
    </row>
    <row r="503" spans="1:78" x14ac:dyDescent="0.25">
      <c r="A503" s="13" t="str">
        <f>IF(AND($E503="",MAX($A$8:$A502)=0),"",IF(AND($E503&lt;&gt;"",MAX($A$8:$A502)=0),1,IF(AND($E503&lt;&gt;"",MAX($A$8:$A502)&gt;0),MAX($A$8:$A502)+1,"")))</f>
        <v/>
      </c>
      <c r="B503" s="11">
        <v>496</v>
      </c>
      <c r="C503" s="19" t="str">
        <f t="shared" si="14"/>
        <v>EMPTY</v>
      </c>
      <c r="D503" s="3" t="str">
        <f>IF(C503="SHOW",CONCATENATE(Temp!T499,Temp!U499,",",Temp!V499,",",Temp!W499,Temp!X499),"")</f>
        <v/>
      </c>
      <c r="E503" s="7"/>
      <c r="F503" s="8" t="str">
        <f t="shared" si="15"/>
        <v/>
      </c>
      <c r="BY503" s="4" t="s">
        <v>5</v>
      </c>
      <c r="BZ503" s="4" t="s">
        <v>5</v>
      </c>
    </row>
    <row r="504" spans="1:78" x14ac:dyDescent="0.25">
      <c r="A504" s="13" t="str">
        <f>IF(AND($E504="",MAX($A$8:$A503)=0),"",IF(AND($E504&lt;&gt;"",MAX($A$8:$A503)=0),1,IF(AND($E504&lt;&gt;"",MAX($A$8:$A503)&gt;0),MAX($A$8:$A503)+1,"")))</f>
        <v/>
      </c>
      <c r="B504" s="11">
        <v>497</v>
      </c>
      <c r="C504" s="19" t="str">
        <f t="shared" si="14"/>
        <v>EMPTY</v>
      </c>
      <c r="D504" s="3" t="str">
        <f>IF(C504="SHOW",CONCATENATE(Temp!T500,Temp!U500,",",Temp!V500,",",Temp!W500,Temp!X500),"")</f>
        <v/>
      </c>
      <c r="E504" s="7"/>
      <c r="F504" s="8" t="str">
        <f t="shared" si="15"/>
        <v/>
      </c>
      <c r="BY504" s="4" t="s">
        <v>5</v>
      </c>
      <c r="BZ504" s="4" t="s">
        <v>5</v>
      </c>
    </row>
    <row r="505" spans="1:78" x14ac:dyDescent="0.25">
      <c r="A505" s="13" t="str">
        <f>IF(AND($E505="",MAX($A$8:$A504)=0),"",IF(AND($E505&lt;&gt;"",MAX($A$8:$A504)=0),1,IF(AND($E505&lt;&gt;"",MAX($A$8:$A504)&gt;0),MAX($A$8:$A504)+1,"")))</f>
        <v/>
      </c>
      <c r="B505" s="11">
        <v>498</v>
      </c>
      <c r="C505" s="19" t="str">
        <f t="shared" si="14"/>
        <v>EMPTY</v>
      </c>
      <c r="D505" s="3" t="str">
        <f>IF(C505="SHOW",CONCATENATE(Temp!T501,Temp!U501,",",Temp!V501,",",Temp!W501,Temp!X501),"")</f>
        <v/>
      </c>
      <c r="E505" s="7"/>
      <c r="F505" s="8" t="str">
        <f t="shared" si="15"/>
        <v/>
      </c>
      <c r="BY505" s="4" t="s">
        <v>5</v>
      </c>
      <c r="BZ505" s="4" t="s">
        <v>5</v>
      </c>
    </row>
    <row r="506" spans="1:78" x14ac:dyDescent="0.25">
      <c r="A506" s="13" t="str">
        <f>IF(AND($E506="",MAX($A$8:$A505)=0),"",IF(AND($E506&lt;&gt;"",MAX($A$8:$A505)=0),1,IF(AND($E506&lt;&gt;"",MAX($A$8:$A505)&gt;0),MAX($A$8:$A505)+1,"")))</f>
        <v/>
      </c>
      <c r="B506" s="11">
        <v>499</v>
      </c>
      <c r="C506" s="19" t="str">
        <f t="shared" si="14"/>
        <v>EMPTY</v>
      </c>
      <c r="D506" s="3" t="str">
        <f>IF(C506="SHOW",CONCATENATE(Temp!T502,Temp!U502,",",Temp!V502,",",Temp!W502,Temp!X502),"")</f>
        <v/>
      </c>
      <c r="E506" s="7"/>
      <c r="F506" s="8" t="str">
        <f t="shared" si="15"/>
        <v/>
      </c>
      <c r="BY506" s="4" t="s">
        <v>5</v>
      </c>
      <c r="BZ506" s="4" t="s">
        <v>5</v>
      </c>
    </row>
    <row r="507" spans="1:78" x14ac:dyDescent="0.25">
      <c r="A507" s="13" t="str">
        <f>IF(AND($E507="",MAX($A$8:$A506)=0),"",IF(AND($E507&lt;&gt;"",MAX($A$8:$A506)=0),1,IF(AND($E507&lt;&gt;"",MAX($A$8:$A506)&gt;0),MAX($A$8:$A506)+1,"")))</f>
        <v/>
      </c>
      <c r="B507" s="11">
        <v>500</v>
      </c>
      <c r="C507" s="19" t="str">
        <f t="shared" si="14"/>
        <v>EMPTY</v>
      </c>
      <c r="D507" s="3" t="str">
        <f>IF(C507="SHOW",CONCATENATE(Temp!T503,Temp!U503,",",Temp!V503,",",Temp!W503,Temp!X503),"")</f>
        <v/>
      </c>
      <c r="E507" s="7"/>
      <c r="F507" s="8" t="str">
        <f t="shared" si="15"/>
        <v/>
      </c>
      <c r="BY507" s="4" t="s">
        <v>5</v>
      </c>
      <c r="BZ507" s="4" t="s">
        <v>5</v>
      </c>
    </row>
    <row r="508" spans="1:78" x14ac:dyDescent="0.25">
      <c r="A508" s="13" t="str">
        <f>IF(AND($E508="",MAX($A$8:$A507)=0),"",IF(AND($E508&lt;&gt;"",MAX($A$8:$A507)=0),1,IF(AND($E508&lt;&gt;"",MAX($A$8:$A507)&gt;0),MAX($A$8:$A507)+1,"")))</f>
        <v/>
      </c>
      <c r="B508" s="11">
        <v>501</v>
      </c>
      <c r="C508" s="19" t="str">
        <f t="shared" si="14"/>
        <v>EMPTY</v>
      </c>
      <c r="D508" s="3" t="str">
        <f>IF(C508="SHOW",CONCATENATE(Temp!T504,Temp!U504,",",Temp!V504,",",Temp!W504,Temp!X504),"")</f>
        <v/>
      </c>
      <c r="E508" s="7"/>
      <c r="F508" s="8" t="str">
        <f t="shared" si="15"/>
        <v/>
      </c>
      <c r="BY508" s="4" t="s">
        <v>5</v>
      </c>
      <c r="BZ508" s="4" t="s">
        <v>5</v>
      </c>
    </row>
    <row r="509" spans="1:78" x14ac:dyDescent="0.25">
      <c r="A509" s="13" t="str">
        <f>IF(AND($E509="",MAX($A$8:$A508)=0),"",IF(AND($E509&lt;&gt;"",MAX($A$8:$A508)=0),1,IF(AND($E509&lt;&gt;"",MAX($A$8:$A508)&gt;0),MAX($A$8:$A508)+1,"")))</f>
        <v/>
      </c>
      <c r="B509" s="11">
        <v>502</v>
      </c>
      <c r="C509" s="19" t="str">
        <f t="shared" si="14"/>
        <v>EMPTY</v>
      </c>
      <c r="D509" s="3" t="str">
        <f>IF(C509="SHOW",CONCATENATE(Temp!T505,Temp!U505,",",Temp!V505,",",Temp!W505,Temp!X505),"")</f>
        <v/>
      </c>
      <c r="E509" s="7"/>
      <c r="F509" s="8" t="str">
        <f t="shared" si="15"/>
        <v/>
      </c>
      <c r="BY509" s="4" t="s">
        <v>5</v>
      </c>
      <c r="BZ509" s="4" t="s">
        <v>5</v>
      </c>
    </row>
    <row r="510" spans="1:78" x14ac:dyDescent="0.25">
      <c r="A510" s="13" t="str">
        <f>IF(AND($E510="",MAX($A$8:$A509)=0),"",IF(AND($E510&lt;&gt;"",MAX($A$8:$A509)=0),1,IF(AND($E510&lt;&gt;"",MAX($A$8:$A509)&gt;0),MAX($A$8:$A509)+1,"")))</f>
        <v/>
      </c>
      <c r="B510" s="11">
        <v>503</v>
      </c>
      <c r="C510" s="19" t="str">
        <f t="shared" si="14"/>
        <v>EMPTY</v>
      </c>
      <c r="D510" s="3" t="str">
        <f>IF(C510="SHOW",CONCATENATE(Temp!T506,Temp!U506,",",Temp!V506,",",Temp!W506,Temp!X506),"")</f>
        <v/>
      </c>
      <c r="E510" s="7"/>
      <c r="F510" s="8" t="str">
        <f t="shared" si="15"/>
        <v/>
      </c>
      <c r="BY510" s="4" t="s">
        <v>5</v>
      </c>
      <c r="BZ510" s="4" t="s">
        <v>5</v>
      </c>
    </row>
    <row r="511" spans="1:78" x14ac:dyDescent="0.25">
      <c r="A511" s="13" t="str">
        <f>IF(AND($E511="",MAX($A$8:$A510)=0),"",IF(AND($E511&lt;&gt;"",MAX($A$8:$A510)=0),1,IF(AND($E511&lt;&gt;"",MAX($A$8:$A510)&gt;0),MAX($A$8:$A510)+1,"")))</f>
        <v/>
      </c>
      <c r="B511" s="11">
        <v>504</v>
      </c>
      <c r="C511" s="19" t="str">
        <f t="shared" si="14"/>
        <v>EMPTY</v>
      </c>
      <c r="D511" s="3" t="str">
        <f>IF(C511="SHOW",CONCATENATE(Temp!T507,Temp!U507,",",Temp!V507,",",Temp!W507,Temp!X507),"")</f>
        <v/>
      </c>
      <c r="E511" s="7"/>
      <c r="F511" s="8" t="str">
        <f t="shared" si="15"/>
        <v/>
      </c>
      <c r="BY511" s="4" t="s">
        <v>5</v>
      </c>
      <c r="BZ511" s="4" t="s">
        <v>5</v>
      </c>
    </row>
    <row r="512" spans="1:78" x14ac:dyDescent="0.25">
      <c r="A512" s="13" t="str">
        <f>IF(AND($E512="",MAX($A$8:$A511)=0),"",IF(AND($E512&lt;&gt;"",MAX($A$8:$A511)=0),1,IF(AND($E512&lt;&gt;"",MAX($A$8:$A511)&gt;0),MAX($A$8:$A511)+1,"")))</f>
        <v/>
      </c>
      <c r="B512" s="11">
        <v>505</v>
      </c>
      <c r="C512" s="19" t="str">
        <f t="shared" si="14"/>
        <v>EMPTY</v>
      </c>
      <c r="D512" s="3" t="str">
        <f>IF(C512="SHOW",CONCATENATE(Temp!T508,Temp!U508,",",Temp!V508,",",Temp!W508,Temp!X508),"")</f>
        <v/>
      </c>
      <c r="E512" s="7"/>
      <c r="F512" s="8" t="str">
        <f t="shared" si="15"/>
        <v/>
      </c>
      <c r="BY512" s="4" t="s">
        <v>5</v>
      </c>
      <c r="BZ512" s="4" t="s">
        <v>5</v>
      </c>
    </row>
    <row r="513" spans="1:78" x14ac:dyDescent="0.25">
      <c r="A513" s="13" t="str">
        <f>IF(AND($E513="",MAX($A$8:$A512)=0),"",IF(AND($E513&lt;&gt;"",MAX($A$8:$A512)=0),1,IF(AND($E513&lt;&gt;"",MAX($A$8:$A512)&gt;0),MAX($A$8:$A512)+1,"")))</f>
        <v/>
      </c>
      <c r="B513" s="11">
        <v>506</v>
      </c>
      <c r="C513" s="19" t="str">
        <f t="shared" si="14"/>
        <v>EMPTY</v>
      </c>
      <c r="D513" s="3" t="str">
        <f>IF(C513="SHOW",CONCATENATE(Temp!T509,Temp!U509,",",Temp!V509,",",Temp!W509,Temp!X509),"")</f>
        <v/>
      </c>
      <c r="E513" s="7"/>
      <c r="F513" s="8" t="str">
        <f t="shared" si="15"/>
        <v/>
      </c>
      <c r="BY513" s="4" t="s">
        <v>5</v>
      </c>
      <c r="BZ513" s="4" t="s">
        <v>5</v>
      </c>
    </row>
    <row r="514" spans="1:78" x14ac:dyDescent="0.25">
      <c r="A514" s="13" t="str">
        <f>IF(AND($E514="",MAX($A$8:$A513)=0),"",IF(AND($E514&lt;&gt;"",MAX($A$8:$A513)=0),1,IF(AND($E514&lt;&gt;"",MAX($A$8:$A513)&gt;0),MAX($A$8:$A513)+1,"")))</f>
        <v/>
      </c>
      <c r="B514" s="11">
        <v>507</v>
      </c>
      <c r="C514" s="19" t="str">
        <f t="shared" si="14"/>
        <v>EMPTY</v>
      </c>
      <c r="D514" s="3" t="str">
        <f>IF(C514="SHOW",CONCATENATE(Temp!T510,Temp!U510,",",Temp!V510,",",Temp!W510,Temp!X510),"")</f>
        <v/>
      </c>
      <c r="E514" s="7"/>
      <c r="F514" s="8" t="str">
        <f t="shared" si="15"/>
        <v/>
      </c>
      <c r="BY514" s="4" t="s">
        <v>5</v>
      </c>
      <c r="BZ514" s="4" t="s">
        <v>5</v>
      </c>
    </row>
    <row r="515" spans="1:78" x14ac:dyDescent="0.25">
      <c r="A515" s="13" t="str">
        <f>IF(AND($E515="",MAX($A$8:$A514)=0),"",IF(AND($E515&lt;&gt;"",MAX($A$8:$A514)=0),1,IF(AND($E515&lt;&gt;"",MAX($A$8:$A514)&gt;0),MAX($A$8:$A514)+1,"")))</f>
        <v/>
      </c>
      <c r="B515" s="11">
        <v>508</v>
      </c>
      <c r="C515" s="19" t="str">
        <f t="shared" si="14"/>
        <v>EMPTY</v>
      </c>
      <c r="D515" s="3" t="str">
        <f>IF(C515="SHOW",CONCATENATE(Temp!T511,Temp!U511,",",Temp!V511,",",Temp!W511,Temp!X511),"")</f>
        <v/>
      </c>
      <c r="E515" s="7"/>
      <c r="F515" s="8" t="str">
        <f t="shared" si="15"/>
        <v/>
      </c>
      <c r="BY515" s="4" t="s">
        <v>5</v>
      </c>
      <c r="BZ515" s="4" t="s">
        <v>5</v>
      </c>
    </row>
    <row r="516" spans="1:78" x14ac:dyDescent="0.25">
      <c r="A516" s="13" t="str">
        <f>IF(AND($E516="",MAX($A$8:$A515)=0),"",IF(AND($E516&lt;&gt;"",MAX($A$8:$A515)=0),1,IF(AND($E516&lt;&gt;"",MAX($A$8:$A515)&gt;0),MAX($A$8:$A515)+1,"")))</f>
        <v/>
      </c>
      <c r="B516" s="11">
        <v>509</v>
      </c>
      <c r="C516" s="19" t="str">
        <f t="shared" si="14"/>
        <v>EMPTY</v>
      </c>
      <c r="D516" s="3" t="str">
        <f>IF(C516="SHOW",CONCATENATE(Temp!T512,Temp!U512,",",Temp!V512,",",Temp!W512,Temp!X512),"")</f>
        <v/>
      </c>
      <c r="E516" s="7"/>
      <c r="F516" s="8" t="str">
        <f t="shared" si="15"/>
        <v/>
      </c>
      <c r="BY516" s="4" t="s">
        <v>5</v>
      </c>
      <c r="BZ516" s="4" t="s">
        <v>5</v>
      </c>
    </row>
    <row r="517" spans="1:78" x14ac:dyDescent="0.25">
      <c r="A517" s="13" t="str">
        <f>IF(AND($E517="",MAX($A$8:$A516)=0),"",IF(AND($E517&lt;&gt;"",MAX($A$8:$A516)=0),1,IF(AND($E517&lt;&gt;"",MAX($A$8:$A516)&gt;0),MAX($A$8:$A516)+1,"")))</f>
        <v/>
      </c>
      <c r="B517" s="11">
        <v>510</v>
      </c>
      <c r="C517" s="19" t="str">
        <f t="shared" si="14"/>
        <v>EMPTY</v>
      </c>
      <c r="D517" s="3" t="str">
        <f>IF(C517="SHOW",CONCATENATE(Temp!T513,Temp!U513,",",Temp!V513,",",Temp!W513,Temp!X513),"")</f>
        <v/>
      </c>
      <c r="E517" s="7"/>
      <c r="F517" s="8" t="str">
        <f t="shared" si="15"/>
        <v/>
      </c>
      <c r="BY517" s="4" t="s">
        <v>5</v>
      </c>
      <c r="BZ517" s="4" t="s">
        <v>5</v>
      </c>
    </row>
    <row r="518" spans="1:78" x14ac:dyDescent="0.25">
      <c r="A518" s="13" t="str">
        <f>IF(AND($E518="",MAX($A$8:$A517)=0),"",IF(AND($E518&lt;&gt;"",MAX($A$8:$A517)=0),1,IF(AND($E518&lt;&gt;"",MAX($A$8:$A517)&gt;0),MAX($A$8:$A517)+1,"")))</f>
        <v/>
      </c>
      <c r="B518" s="11">
        <v>511</v>
      </c>
      <c r="C518" s="19" t="str">
        <f t="shared" si="14"/>
        <v>EMPTY</v>
      </c>
      <c r="D518" s="3" t="str">
        <f>IF(C518="SHOW",CONCATENATE(Temp!T514,Temp!U514,",",Temp!V514,",",Temp!W514,Temp!X514),"")</f>
        <v/>
      </c>
      <c r="E518" s="7"/>
      <c r="F518" s="8" t="str">
        <f t="shared" si="15"/>
        <v/>
      </c>
      <c r="BY518" s="4" t="s">
        <v>5</v>
      </c>
      <c r="BZ518" s="4" t="s">
        <v>5</v>
      </c>
    </row>
    <row r="519" spans="1:78" x14ac:dyDescent="0.25">
      <c r="A519" s="13" t="str">
        <f>IF(AND($E519="",MAX($A$8:$A518)=0),"",IF(AND($E519&lt;&gt;"",MAX($A$8:$A518)=0),1,IF(AND($E519&lt;&gt;"",MAX($A$8:$A518)&gt;0),MAX($A$8:$A518)+1,"")))</f>
        <v/>
      </c>
      <c r="B519" s="11">
        <v>512</v>
      </c>
      <c r="C519" s="19" t="str">
        <f t="shared" si="14"/>
        <v>EMPTY</v>
      </c>
      <c r="D519" s="3" t="str">
        <f>IF(C519="SHOW",CONCATENATE(Temp!T515,Temp!U515,",",Temp!V515,",",Temp!W515,Temp!X515),"")</f>
        <v/>
      </c>
      <c r="E519" s="7"/>
      <c r="F519" s="8" t="str">
        <f t="shared" si="15"/>
        <v/>
      </c>
      <c r="BY519" s="4" t="s">
        <v>5</v>
      </c>
      <c r="BZ519" s="4" t="s">
        <v>5</v>
      </c>
    </row>
    <row r="520" spans="1:78" x14ac:dyDescent="0.25">
      <c r="A520" s="13" t="str">
        <f>IF(AND($E520="",MAX($A$8:$A519)=0),"",IF(AND($E520&lt;&gt;"",MAX($A$8:$A519)=0),1,IF(AND($E520&lt;&gt;"",MAX($A$8:$A519)&gt;0),MAX($A$8:$A519)+1,"")))</f>
        <v/>
      </c>
      <c r="B520" s="11">
        <v>513</v>
      </c>
      <c r="C520" s="19" t="str">
        <f t="shared" si="14"/>
        <v>EMPTY</v>
      </c>
      <c r="D520" s="3" t="str">
        <f>IF(C520="SHOW",CONCATENATE(Temp!T516,Temp!U516,",",Temp!V516,",",Temp!W516,Temp!X516),"")</f>
        <v/>
      </c>
      <c r="E520" s="7"/>
      <c r="F520" s="8" t="str">
        <f t="shared" si="15"/>
        <v/>
      </c>
      <c r="BY520" s="4" t="s">
        <v>5</v>
      </c>
      <c r="BZ520" s="4" t="s">
        <v>5</v>
      </c>
    </row>
    <row r="521" spans="1:78" x14ac:dyDescent="0.25">
      <c r="A521" s="13" t="str">
        <f>IF(AND($E521="",MAX($A$8:$A520)=0),"",IF(AND($E521&lt;&gt;"",MAX($A$8:$A520)=0),1,IF(AND($E521&lt;&gt;"",MAX($A$8:$A520)&gt;0),MAX($A$8:$A520)+1,"")))</f>
        <v/>
      </c>
      <c r="B521" s="11">
        <v>514</v>
      </c>
      <c r="C521" s="19" t="str">
        <f t="shared" ref="C521:C584" si="16">IF(E521="","EMPTY",IF(MID(E521,1,9)&lt;&gt;"Dialogue:","HIDE",IF(MID(E521,1,9)="Dialogue:","SHOW","")))</f>
        <v>EMPTY</v>
      </c>
      <c r="D521" s="3" t="str">
        <f>IF(C521="SHOW",CONCATENATE(Temp!T517,Temp!U517,",",Temp!V517,",",Temp!W517,Temp!X517),"")</f>
        <v/>
      </c>
      <c r="E521" s="7"/>
      <c r="F521" s="8" t="str">
        <f t="shared" ref="F521:F584" si="17">$D521</f>
        <v/>
      </c>
      <c r="BY521" s="4" t="s">
        <v>5</v>
      </c>
      <c r="BZ521" s="4" t="s">
        <v>5</v>
      </c>
    </row>
    <row r="522" spans="1:78" x14ac:dyDescent="0.25">
      <c r="A522" s="13" t="str">
        <f>IF(AND($E522="",MAX($A$8:$A521)=0),"",IF(AND($E522&lt;&gt;"",MAX($A$8:$A521)=0),1,IF(AND($E522&lt;&gt;"",MAX($A$8:$A521)&gt;0),MAX($A$8:$A521)+1,"")))</f>
        <v/>
      </c>
      <c r="B522" s="11">
        <v>515</v>
      </c>
      <c r="C522" s="19" t="str">
        <f t="shared" si="16"/>
        <v>EMPTY</v>
      </c>
      <c r="D522" s="3" t="str">
        <f>IF(C522="SHOW",CONCATENATE(Temp!T518,Temp!U518,",",Temp!V518,",",Temp!W518,Temp!X518),"")</f>
        <v/>
      </c>
      <c r="E522" s="7"/>
      <c r="F522" s="8" t="str">
        <f t="shared" si="17"/>
        <v/>
      </c>
      <c r="BY522" s="4" t="s">
        <v>5</v>
      </c>
      <c r="BZ522" s="4" t="s">
        <v>5</v>
      </c>
    </row>
    <row r="523" spans="1:78" x14ac:dyDescent="0.25">
      <c r="A523" s="13" t="str">
        <f>IF(AND($E523="",MAX($A$8:$A522)=0),"",IF(AND($E523&lt;&gt;"",MAX($A$8:$A522)=0),1,IF(AND($E523&lt;&gt;"",MAX($A$8:$A522)&gt;0),MAX($A$8:$A522)+1,"")))</f>
        <v/>
      </c>
      <c r="B523" s="11">
        <v>516</v>
      </c>
      <c r="C523" s="19" t="str">
        <f t="shared" si="16"/>
        <v>EMPTY</v>
      </c>
      <c r="D523" s="3" t="str">
        <f>IF(C523="SHOW",CONCATENATE(Temp!T519,Temp!U519,",",Temp!V519,",",Temp!W519,Temp!X519),"")</f>
        <v/>
      </c>
      <c r="E523" s="7"/>
      <c r="F523" s="8" t="str">
        <f t="shared" si="17"/>
        <v/>
      </c>
      <c r="BY523" s="4" t="s">
        <v>5</v>
      </c>
      <c r="BZ523" s="4" t="s">
        <v>5</v>
      </c>
    </row>
    <row r="524" spans="1:78" x14ac:dyDescent="0.25">
      <c r="A524" s="13" t="str">
        <f>IF(AND($E524="",MAX($A$8:$A523)=0),"",IF(AND($E524&lt;&gt;"",MAX($A$8:$A523)=0),1,IF(AND($E524&lt;&gt;"",MAX($A$8:$A523)&gt;0),MAX($A$8:$A523)+1,"")))</f>
        <v/>
      </c>
      <c r="B524" s="11">
        <v>517</v>
      </c>
      <c r="C524" s="19" t="str">
        <f t="shared" si="16"/>
        <v>EMPTY</v>
      </c>
      <c r="D524" s="3" t="str">
        <f>IF(C524="SHOW",CONCATENATE(Temp!T520,Temp!U520,",",Temp!V520,",",Temp!W520,Temp!X520),"")</f>
        <v/>
      </c>
      <c r="E524" s="7"/>
      <c r="F524" s="8" t="str">
        <f t="shared" si="17"/>
        <v/>
      </c>
      <c r="BY524" s="4" t="s">
        <v>5</v>
      </c>
      <c r="BZ524" s="4" t="s">
        <v>5</v>
      </c>
    </row>
    <row r="525" spans="1:78" x14ac:dyDescent="0.25">
      <c r="A525" s="13" t="str">
        <f>IF(AND($E525="",MAX($A$8:$A524)=0),"",IF(AND($E525&lt;&gt;"",MAX($A$8:$A524)=0),1,IF(AND($E525&lt;&gt;"",MAX($A$8:$A524)&gt;0),MAX($A$8:$A524)+1,"")))</f>
        <v/>
      </c>
      <c r="B525" s="11">
        <v>518</v>
      </c>
      <c r="C525" s="19" t="str">
        <f t="shared" si="16"/>
        <v>EMPTY</v>
      </c>
      <c r="D525" s="3" t="str">
        <f>IF(C525="SHOW",CONCATENATE(Temp!T521,Temp!U521,",",Temp!V521,",",Temp!W521,Temp!X521),"")</f>
        <v/>
      </c>
      <c r="E525" s="7"/>
      <c r="F525" s="8" t="str">
        <f t="shared" si="17"/>
        <v/>
      </c>
      <c r="BY525" s="4" t="s">
        <v>5</v>
      </c>
      <c r="BZ525" s="4" t="s">
        <v>5</v>
      </c>
    </row>
    <row r="526" spans="1:78" x14ac:dyDescent="0.25">
      <c r="A526" s="13" t="str">
        <f>IF(AND($E526="",MAX($A$8:$A525)=0),"",IF(AND($E526&lt;&gt;"",MAX($A$8:$A525)=0),1,IF(AND($E526&lt;&gt;"",MAX($A$8:$A525)&gt;0),MAX($A$8:$A525)+1,"")))</f>
        <v/>
      </c>
      <c r="B526" s="11">
        <v>519</v>
      </c>
      <c r="C526" s="19" t="str">
        <f t="shared" si="16"/>
        <v>EMPTY</v>
      </c>
      <c r="D526" s="3" t="str">
        <f>IF(C526="SHOW",CONCATENATE(Temp!T522,Temp!U522,",",Temp!V522,",",Temp!W522,Temp!X522),"")</f>
        <v/>
      </c>
      <c r="E526" s="7"/>
      <c r="F526" s="8" t="str">
        <f t="shared" si="17"/>
        <v/>
      </c>
      <c r="BY526" s="4" t="s">
        <v>5</v>
      </c>
      <c r="BZ526" s="4" t="s">
        <v>5</v>
      </c>
    </row>
    <row r="527" spans="1:78" x14ac:dyDescent="0.25">
      <c r="A527" s="13" t="str">
        <f>IF(AND($E527="",MAX($A$8:$A526)=0),"",IF(AND($E527&lt;&gt;"",MAX($A$8:$A526)=0),1,IF(AND($E527&lt;&gt;"",MAX($A$8:$A526)&gt;0),MAX($A$8:$A526)+1,"")))</f>
        <v/>
      </c>
      <c r="B527" s="11">
        <v>520</v>
      </c>
      <c r="C527" s="19" t="str">
        <f t="shared" si="16"/>
        <v>EMPTY</v>
      </c>
      <c r="D527" s="3" t="str">
        <f>IF(C527="SHOW",CONCATENATE(Temp!T523,Temp!U523,",",Temp!V523,",",Temp!W523,Temp!X523),"")</f>
        <v/>
      </c>
      <c r="E527" s="7"/>
      <c r="F527" s="8" t="str">
        <f t="shared" si="17"/>
        <v/>
      </c>
      <c r="BY527" s="4" t="s">
        <v>5</v>
      </c>
      <c r="BZ527" s="4" t="s">
        <v>5</v>
      </c>
    </row>
    <row r="528" spans="1:78" x14ac:dyDescent="0.25">
      <c r="A528" s="13" t="str">
        <f>IF(AND($E528="",MAX($A$8:$A527)=0),"",IF(AND($E528&lt;&gt;"",MAX($A$8:$A527)=0),1,IF(AND($E528&lt;&gt;"",MAX($A$8:$A527)&gt;0),MAX($A$8:$A527)+1,"")))</f>
        <v/>
      </c>
      <c r="B528" s="11">
        <v>521</v>
      </c>
      <c r="C528" s="19" t="str">
        <f t="shared" si="16"/>
        <v>EMPTY</v>
      </c>
      <c r="D528" s="3" t="str">
        <f>IF(C528="SHOW",CONCATENATE(Temp!T524,Temp!U524,",",Temp!V524,",",Temp!W524,Temp!X524),"")</f>
        <v/>
      </c>
      <c r="E528" s="7"/>
      <c r="F528" s="8" t="str">
        <f t="shared" si="17"/>
        <v/>
      </c>
      <c r="BY528" s="4" t="s">
        <v>5</v>
      </c>
      <c r="BZ528" s="4" t="s">
        <v>5</v>
      </c>
    </row>
    <row r="529" spans="1:78" x14ac:dyDescent="0.25">
      <c r="A529" s="13" t="str">
        <f>IF(AND($E529="",MAX($A$8:$A528)=0),"",IF(AND($E529&lt;&gt;"",MAX($A$8:$A528)=0),1,IF(AND($E529&lt;&gt;"",MAX($A$8:$A528)&gt;0),MAX($A$8:$A528)+1,"")))</f>
        <v/>
      </c>
      <c r="B529" s="11">
        <v>522</v>
      </c>
      <c r="C529" s="19" t="str">
        <f t="shared" si="16"/>
        <v>EMPTY</v>
      </c>
      <c r="D529" s="3" t="str">
        <f>IF(C529="SHOW",CONCATENATE(Temp!T525,Temp!U525,",",Temp!V525,",",Temp!W525,Temp!X525),"")</f>
        <v/>
      </c>
      <c r="E529" s="7"/>
      <c r="F529" s="8" t="str">
        <f t="shared" si="17"/>
        <v/>
      </c>
      <c r="BY529" s="4" t="s">
        <v>5</v>
      </c>
      <c r="BZ529" s="4" t="s">
        <v>5</v>
      </c>
    </row>
    <row r="530" spans="1:78" x14ac:dyDescent="0.25">
      <c r="A530" s="13" t="str">
        <f>IF(AND($E530="",MAX($A$8:$A529)=0),"",IF(AND($E530&lt;&gt;"",MAX($A$8:$A529)=0),1,IF(AND($E530&lt;&gt;"",MAX($A$8:$A529)&gt;0),MAX($A$8:$A529)+1,"")))</f>
        <v/>
      </c>
      <c r="B530" s="11">
        <v>523</v>
      </c>
      <c r="C530" s="19" t="str">
        <f t="shared" si="16"/>
        <v>EMPTY</v>
      </c>
      <c r="D530" s="3" t="str">
        <f>IF(C530="SHOW",CONCATENATE(Temp!T526,Temp!U526,",",Temp!V526,",",Temp!W526,Temp!X526),"")</f>
        <v/>
      </c>
      <c r="E530" s="7"/>
      <c r="F530" s="8" t="str">
        <f t="shared" si="17"/>
        <v/>
      </c>
      <c r="BY530" s="4" t="s">
        <v>5</v>
      </c>
      <c r="BZ530" s="4" t="s">
        <v>5</v>
      </c>
    </row>
    <row r="531" spans="1:78" x14ac:dyDescent="0.25">
      <c r="A531" s="13" t="str">
        <f>IF(AND($E531="",MAX($A$8:$A530)=0),"",IF(AND($E531&lt;&gt;"",MAX($A$8:$A530)=0),1,IF(AND($E531&lt;&gt;"",MAX($A$8:$A530)&gt;0),MAX($A$8:$A530)+1,"")))</f>
        <v/>
      </c>
      <c r="B531" s="11">
        <v>524</v>
      </c>
      <c r="C531" s="19" t="str">
        <f t="shared" si="16"/>
        <v>EMPTY</v>
      </c>
      <c r="D531" s="3" t="str">
        <f>IF(C531="SHOW",CONCATENATE(Temp!T527,Temp!U527,",",Temp!V527,",",Temp!W527,Temp!X527),"")</f>
        <v/>
      </c>
      <c r="E531" s="7"/>
      <c r="F531" s="8" t="str">
        <f t="shared" si="17"/>
        <v/>
      </c>
      <c r="BY531" s="4" t="s">
        <v>5</v>
      </c>
      <c r="BZ531" s="4" t="s">
        <v>5</v>
      </c>
    </row>
    <row r="532" spans="1:78" x14ac:dyDescent="0.25">
      <c r="A532" s="13" t="str">
        <f>IF(AND($E532="",MAX($A$8:$A531)=0),"",IF(AND($E532&lt;&gt;"",MAX($A$8:$A531)=0),1,IF(AND($E532&lt;&gt;"",MAX($A$8:$A531)&gt;0),MAX($A$8:$A531)+1,"")))</f>
        <v/>
      </c>
      <c r="B532" s="11">
        <v>525</v>
      </c>
      <c r="C532" s="19" t="str">
        <f t="shared" si="16"/>
        <v>EMPTY</v>
      </c>
      <c r="D532" s="3" t="str">
        <f>IF(C532="SHOW",CONCATENATE(Temp!T528,Temp!U528,",",Temp!V528,",",Temp!W528,Temp!X528),"")</f>
        <v/>
      </c>
      <c r="E532" s="7"/>
      <c r="F532" s="8" t="str">
        <f t="shared" si="17"/>
        <v/>
      </c>
      <c r="BY532" s="4" t="s">
        <v>5</v>
      </c>
      <c r="BZ532" s="4" t="s">
        <v>5</v>
      </c>
    </row>
    <row r="533" spans="1:78" x14ac:dyDescent="0.25">
      <c r="A533" s="13" t="str">
        <f>IF(AND($E533="",MAX($A$8:$A532)=0),"",IF(AND($E533&lt;&gt;"",MAX($A$8:$A532)=0),1,IF(AND($E533&lt;&gt;"",MAX($A$8:$A532)&gt;0),MAX($A$8:$A532)+1,"")))</f>
        <v/>
      </c>
      <c r="B533" s="11">
        <v>526</v>
      </c>
      <c r="C533" s="19" t="str">
        <f t="shared" si="16"/>
        <v>EMPTY</v>
      </c>
      <c r="D533" s="3" t="str">
        <f>IF(C533="SHOW",CONCATENATE(Temp!T529,Temp!U529,",",Temp!V529,",",Temp!W529,Temp!X529),"")</f>
        <v/>
      </c>
      <c r="E533" s="7"/>
      <c r="F533" s="8" t="str">
        <f t="shared" si="17"/>
        <v/>
      </c>
      <c r="BY533" s="4" t="s">
        <v>5</v>
      </c>
      <c r="BZ533" s="4" t="s">
        <v>5</v>
      </c>
    </row>
    <row r="534" spans="1:78" x14ac:dyDescent="0.25">
      <c r="A534" s="13" t="str">
        <f>IF(AND($E534="",MAX($A$8:$A533)=0),"",IF(AND($E534&lt;&gt;"",MAX($A$8:$A533)=0),1,IF(AND($E534&lt;&gt;"",MAX($A$8:$A533)&gt;0),MAX($A$8:$A533)+1,"")))</f>
        <v/>
      </c>
      <c r="B534" s="11">
        <v>527</v>
      </c>
      <c r="C534" s="19" t="str">
        <f t="shared" si="16"/>
        <v>EMPTY</v>
      </c>
      <c r="D534" s="3" t="str">
        <f>IF(C534="SHOW",CONCATENATE(Temp!T530,Temp!U530,",",Temp!V530,",",Temp!W530,Temp!X530),"")</f>
        <v/>
      </c>
      <c r="E534" s="7"/>
      <c r="F534" s="8" t="str">
        <f t="shared" si="17"/>
        <v/>
      </c>
      <c r="BY534" s="4" t="s">
        <v>5</v>
      </c>
      <c r="BZ534" s="4" t="s">
        <v>5</v>
      </c>
    </row>
    <row r="535" spans="1:78" x14ac:dyDescent="0.25">
      <c r="A535" s="13" t="str">
        <f>IF(AND($E535="",MAX($A$8:$A534)=0),"",IF(AND($E535&lt;&gt;"",MAX($A$8:$A534)=0),1,IF(AND($E535&lt;&gt;"",MAX($A$8:$A534)&gt;0),MAX($A$8:$A534)+1,"")))</f>
        <v/>
      </c>
      <c r="B535" s="11">
        <v>528</v>
      </c>
      <c r="C535" s="19" t="str">
        <f t="shared" si="16"/>
        <v>EMPTY</v>
      </c>
      <c r="D535" s="3" t="str">
        <f>IF(C535="SHOW",CONCATENATE(Temp!T531,Temp!U531,",",Temp!V531,",",Temp!W531,Temp!X531),"")</f>
        <v/>
      </c>
      <c r="E535" s="7"/>
      <c r="F535" s="8" t="str">
        <f t="shared" si="17"/>
        <v/>
      </c>
      <c r="BY535" s="4" t="s">
        <v>5</v>
      </c>
      <c r="BZ535" s="4" t="s">
        <v>5</v>
      </c>
    </row>
    <row r="536" spans="1:78" x14ac:dyDescent="0.25">
      <c r="A536" s="13" t="str">
        <f>IF(AND($E536="",MAX($A$8:$A535)=0),"",IF(AND($E536&lt;&gt;"",MAX($A$8:$A535)=0),1,IF(AND($E536&lt;&gt;"",MAX($A$8:$A535)&gt;0),MAX($A$8:$A535)+1,"")))</f>
        <v/>
      </c>
      <c r="B536" s="11">
        <v>529</v>
      </c>
      <c r="C536" s="19" t="str">
        <f t="shared" si="16"/>
        <v>EMPTY</v>
      </c>
      <c r="D536" s="3" t="str">
        <f>IF(C536="SHOW",CONCATENATE(Temp!T532,Temp!U532,",",Temp!V532,",",Temp!W532,Temp!X532),"")</f>
        <v/>
      </c>
      <c r="E536" s="7"/>
      <c r="F536" s="8" t="str">
        <f t="shared" si="17"/>
        <v/>
      </c>
      <c r="BY536" s="4" t="s">
        <v>5</v>
      </c>
      <c r="BZ536" s="4" t="s">
        <v>5</v>
      </c>
    </row>
    <row r="537" spans="1:78" x14ac:dyDescent="0.25">
      <c r="A537" s="13" t="str">
        <f>IF(AND($E537="",MAX($A$8:$A536)=0),"",IF(AND($E537&lt;&gt;"",MAX($A$8:$A536)=0),1,IF(AND($E537&lt;&gt;"",MAX($A$8:$A536)&gt;0),MAX($A$8:$A536)+1,"")))</f>
        <v/>
      </c>
      <c r="B537" s="11">
        <v>530</v>
      </c>
      <c r="C537" s="19" t="str">
        <f t="shared" si="16"/>
        <v>EMPTY</v>
      </c>
      <c r="D537" s="3" t="str">
        <f>IF(C537="SHOW",CONCATENATE(Temp!T533,Temp!U533,",",Temp!V533,",",Temp!W533,Temp!X533),"")</f>
        <v/>
      </c>
      <c r="E537" s="7"/>
      <c r="F537" s="8" t="str">
        <f t="shared" si="17"/>
        <v/>
      </c>
      <c r="BY537" s="4" t="s">
        <v>5</v>
      </c>
      <c r="BZ537" s="4" t="s">
        <v>5</v>
      </c>
    </row>
    <row r="538" spans="1:78" x14ac:dyDescent="0.25">
      <c r="A538" s="13" t="str">
        <f>IF(AND($E538="",MAX($A$8:$A537)=0),"",IF(AND($E538&lt;&gt;"",MAX($A$8:$A537)=0),1,IF(AND($E538&lt;&gt;"",MAX($A$8:$A537)&gt;0),MAX($A$8:$A537)+1,"")))</f>
        <v/>
      </c>
      <c r="B538" s="11">
        <v>531</v>
      </c>
      <c r="C538" s="19" t="str">
        <f t="shared" si="16"/>
        <v>EMPTY</v>
      </c>
      <c r="D538" s="3" t="str">
        <f>IF(C538="SHOW",CONCATENATE(Temp!T534,Temp!U534,",",Temp!V534,",",Temp!W534,Temp!X534),"")</f>
        <v/>
      </c>
      <c r="E538" s="7"/>
      <c r="F538" s="8" t="str">
        <f t="shared" si="17"/>
        <v/>
      </c>
      <c r="BY538" s="4" t="s">
        <v>5</v>
      </c>
      <c r="BZ538" s="4" t="s">
        <v>5</v>
      </c>
    </row>
    <row r="539" spans="1:78" x14ac:dyDescent="0.25">
      <c r="A539" s="13" t="str">
        <f>IF(AND($E539="",MAX($A$8:$A538)=0),"",IF(AND($E539&lt;&gt;"",MAX($A$8:$A538)=0),1,IF(AND($E539&lt;&gt;"",MAX($A$8:$A538)&gt;0),MAX($A$8:$A538)+1,"")))</f>
        <v/>
      </c>
      <c r="B539" s="11">
        <v>532</v>
      </c>
      <c r="C539" s="19" t="str">
        <f t="shared" si="16"/>
        <v>EMPTY</v>
      </c>
      <c r="D539" s="3" t="str">
        <f>IF(C539="SHOW",CONCATENATE(Temp!T535,Temp!U535,",",Temp!V535,",",Temp!W535,Temp!X535),"")</f>
        <v/>
      </c>
      <c r="E539" s="7"/>
      <c r="F539" s="8" t="str">
        <f t="shared" si="17"/>
        <v/>
      </c>
      <c r="BY539" s="4" t="s">
        <v>5</v>
      </c>
      <c r="BZ539" s="4" t="s">
        <v>5</v>
      </c>
    </row>
    <row r="540" spans="1:78" x14ac:dyDescent="0.25">
      <c r="A540" s="13" t="str">
        <f>IF(AND($E540="",MAX($A$8:$A539)=0),"",IF(AND($E540&lt;&gt;"",MAX($A$8:$A539)=0),1,IF(AND($E540&lt;&gt;"",MAX($A$8:$A539)&gt;0),MAX($A$8:$A539)+1,"")))</f>
        <v/>
      </c>
      <c r="B540" s="11">
        <v>533</v>
      </c>
      <c r="C540" s="19" t="str">
        <f t="shared" si="16"/>
        <v>EMPTY</v>
      </c>
      <c r="D540" s="3" t="str">
        <f>IF(C540="SHOW",CONCATENATE(Temp!T536,Temp!U536,",",Temp!V536,",",Temp!W536,Temp!X536),"")</f>
        <v/>
      </c>
      <c r="E540" s="7"/>
      <c r="F540" s="8" t="str">
        <f t="shared" si="17"/>
        <v/>
      </c>
      <c r="BY540" s="4" t="s">
        <v>5</v>
      </c>
      <c r="BZ540" s="4" t="s">
        <v>5</v>
      </c>
    </row>
    <row r="541" spans="1:78" x14ac:dyDescent="0.25">
      <c r="A541" s="13" t="str">
        <f>IF(AND($E541="",MAX($A$8:$A540)=0),"",IF(AND($E541&lt;&gt;"",MAX($A$8:$A540)=0),1,IF(AND($E541&lt;&gt;"",MAX($A$8:$A540)&gt;0),MAX($A$8:$A540)+1,"")))</f>
        <v/>
      </c>
      <c r="B541" s="11">
        <v>534</v>
      </c>
      <c r="C541" s="19" t="str">
        <f t="shared" si="16"/>
        <v>EMPTY</v>
      </c>
      <c r="D541" s="3" t="str">
        <f>IF(C541="SHOW",CONCATENATE(Temp!T537,Temp!U537,",",Temp!V537,",",Temp!W537,Temp!X537),"")</f>
        <v/>
      </c>
      <c r="E541" s="7"/>
      <c r="F541" s="8" t="str">
        <f t="shared" si="17"/>
        <v/>
      </c>
      <c r="BY541" s="4" t="s">
        <v>5</v>
      </c>
      <c r="BZ541" s="4" t="s">
        <v>5</v>
      </c>
    </row>
    <row r="542" spans="1:78" x14ac:dyDescent="0.25">
      <c r="A542" s="13" t="str">
        <f>IF(AND($E542="",MAX($A$8:$A541)=0),"",IF(AND($E542&lt;&gt;"",MAX($A$8:$A541)=0),1,IF(AND($E542&lt;&gt;"",MAX($A$8:$A541)&gt;0),MAX($A$8:$A541)+1,"")))</f>
        <v/>
      </c>
      <c r="B542" s="11">
        <v>535</v>
      </c>
      <c r="C542" s="19" t="str">
        <f t="shared" si="16"/>
        <v>EMPTY</v>
      </c>
      <c r="D542" s="3" t="str">
        <f>IF(C542="SHOW",CONCATENATE(Temp!T538,Temp!U538,",",Temp!V538,",",Temp!W538,Temp!X538),"")</f>
        <v/>
      </c>
      <c r="E542" s="7"/>
      <c r="F542" s="8" t="str">
        <f t="shared" si="17"/>
        <v/>
      </c>
      <c r="BY542" s="4" t="s">
        <v>5</v>
      </c>
      <c r="BZ542" s="4" t="s">
        <v>5</v>
      </c>
    </row>
    <row r="543" spans="1:78" x14ac:dyDescent="0.25">
      <c r="A543" s="13" t="str">
        <f>IF(AND($E543="",MAX($A$8:$A542)=0),"",IF(AND($E543&lt;&gt;"",MAX($A$8:$A542)=0),1,IF(AND($E543&lt;&gt;"",MAX($A$8:$A542)&gt;0),MAX($A$8:$A542)+1,"")))</f>
        <v/>
      </c>
      <c r="B543" s="11">
        <v>536</v>
      </c>
      <c r="C543" s="19" t="str">
        <f t="shared" si="16"/>
        <v>EMPTY</v>
      </c>
      <c r="D543" s="3" t="str">
        <f>IF(C543="SHOW",CONCATENATE(Temp!T539,Temp!U539,",",Temp!V539,",",Temp!W539,Temp!X539),"")</f>
        <v/>
      </c>
      <c r="E543" s="7"/>
      <c r="F543" s="8" t="str">
        <f t="shared" si="17"/>
        <v/>
      </c>
      <c r="BY543" s="4" t="s">
        <v>5</v>
      </c>
      <c r="BZ543" s="4" t="s">
        <v>5</v>
      </c>
    </row>
    <row r="544" spans="1:78" x14ac:dyDescent="0.25">
      <c r="A544" s="13" t="str">
        <f>IF(AND($E544="",MAX($A$8:$A543)=0),"",IF(AND($E544&lt;&gt;"",MAX($A$8:$A543)=0),1,IF(AND($E544&lt;&gt;"",MAX($A$8:$A543)&gt;0),MAX($A$8:$A543)+1,"")))</f>
        <v/>
      </c>
      <c r="B544" s="11">
        <v>537</v>
      </c>
      <c r="C544" s="19" t="str">
        <f t="shared" si="16"/>
        <v>EMPTY</v>
      </c>
      <c r="D544" s="3" t="str">
        <f>IF(C544="SHOW",CONCATENATE(Temp!T540,Temp!U540,",",Temp!V540,",",Temp!W540,Temp!X540),"")</f>
        <v/>
      </c>
      <c r="E544" s="7"/>
      <c r="F544" s="8" t="str">
        <f t="shared" si="17"/>
        <v/>
      </c>
      <c r="BY544" s="4" t="s">
        <v>5</v>
      </c>
      <c r="BZ544" s="4" t="s">
        <v>5</v>
      </c>
    </row>
    <row r="545" spans="1:78" x14ac:dyDescent="0.25">
      <c r="A545" s="13" t="str">
        <f>IF(AND($E545="",MAX($A$8:$A544)=0),"",IF(AND($E545&lt;&gt;"",MAX($A$8:$A544)=0),1,IF(AND($E545&lt;&gt;"",MAX($A$8:$A544)&gt;0),MAX($A$8:$A544)+1,"")))</f>
        <v/>
      </c>
      <c r="B545" s="11">
        <v>538</v>
      </c>
      <c r="C545" s="19" t="str">
        <f t="shared" si="16"/>
        <v>EMPTY</v>
      </c>
      <c r="D545" s="3" t="str">
        <f>IF(C545="SHOW",CONCATENATE(Temp!T541,Temp!U541,",",Temp!V541,",",Temp!W541,Temp!X541),"")</f>
        <v/>
      </c>
      <c r="E545" s="7"/>
      <c r="F545" s="8" t="str">
        <f t="shared" si="17"/>
        <v/>
      </c>
      <c r="BY545" s="4" t="s">
        <v>5</v>
      </c>
      <c r="BZ545" s="4" t="s">
        <v>5</v>
      </c>
    </row>
    <row r="546" spans="1:78" x14ac:dyDescent="0.25">
      <c r="A546" s="13" t="str">
        <f>IF(AND($E546="",MAX($A$8:$A545)=0),"",IF(AND($E546&lt;&gt;"",MAX($A$8:$A545)=0),1,IF(AND($E546&lt;&gt;"",MAX($A$8:$A545)&gt;0),MAX($A$8:$A545)+1,"")))</f>
        <v/>
      </c>
      <c r="B546" s="11">
        <v>539</v>
      </c>
      <c r="C546" s="19" t="str">
        <f t="shared" si="16"/>
        <v>EMPTY</v>
      </c>
      <c r="D546" s="3" t="str">
        <f>IF(C546="SHOW",CONCATENATE(Temp!T542,Temp!U542,",",Temp!V542,",",Temp!W542,Temp!X542),"")</f>
        <v/>
      </c>
      <c r="E546" s="7"/>
      <c r="F546" s="8" t="str">
        <f t="shared" si="17"/>
        <v/>
      </c>
      <c r="BZ546" s="4" t="s">
        <v>5</v>
      </c>
    </row>
    <row r="547" spans="1:78" x14ac:dyDescent="0.25">
      <c r="A547" s="13" t="str">
        <f>IF(AND($E547="",MAX($A$8:$A546)=0),"",IF(AND($E547&lt;&gt;"",MAX($A$8:$A546)=0),1,IF(AND($E547&lt;&gt;"",MAX($A$8:$A546)&gt;0),MAX($A$8:$A546)+1,"")))</f>
        <v/>
      </c>
      <c r="B547" s="11">
        <v>540</v>
      </c>
      <c r="C547" s="19" t="str">
        <f t="shared" si="16"/>
        <v>EMPTY</v>
      </c>
      <c r="D547" s="3" t="str">
        <f>IF(C547="SHOW",CONCATENATE(Temp!T543,Temp!U543,",",Temp!V543,",",Temp!W543,Temp!X543),"")</f>
        <v/>
      </c>
      <c r="E547" s="7"/>
      <c r="F547" s="8" t="str">
        <f t="shared" si="17"/>
        <v/>
      </c>
      <c r="BY547" s="4" t="s">
        <v>5</v>
      </c>
      <c r="BZ547" s="4" t="s">
        <v>5</v>
      </c>
    </row>
    <row r="548" spans="1:78" x14ac:dyDescent="0.25">
      <c r="A548" s="13" t="str">
        <f>IF(AND($E548="",MAX($A$8:$A547)=0),"",IF(AND($E548&lt;&gt;"",MAX($A$8:$A547)=0),1,IF(AND($E548&lt;&gt;"",MAX($A$8:$A547)&gt;0),MAX($A$8:$A547)+1,"")))</f>
        <v/>
      </c>
      <c r="B548" s="11">
        <v>541</v>
      </c>
      <c r="C548" s="19" t="str">
        <f t="shared" si="16"/>
        <v>EMPTY</v>
      </c>
      <c r="D548" s="3" t="str">
        <f>IF(C548="SHOW",CONCATENATE(Temp!T544,Temp!U544,",",Temp!V544,",",Temp!W544,Temp!X544),"")</f>
        <v/>
      </c>
      <c r="E548" s="7"/>
      <c r="F548" s="8" t="str">
        <f t="shared" si="17"/>
        <v/>
      </c>
      <c r="BY548" s="4" t="s">
        <v>5</v>
      </c>
      <c r="BZ548" s="4" t="s">
        <v>5</v>
      </c>
    </row>
    <row r="549" spans="1:78" x14ac:dyDescent="0.25">
      <c r="A549" s="13" t="str">
        <f>IF(AND($E549="",MAX($A$8:$A548)=0),"",IF(AND($E549&lt;&gt;"",MAX($A$8:$A548)=0),1,IF(AND($E549&lt;&gt;"",MAX($A$8:$A548)&gt;0),MAX($A$8:$A548)+1,"")))</f>
        <v/>
      </c>
      <c r="B549" s="11">
        <v>542</v>
      </c>
      <c r="C549" s="19" t="str">
        <f t="shared" si="16"/>
        <v>EMPTY</v>
      </c>
      <c r="D549" s="3" t="str">
        <f>IF(C549="SHOW",CONCATENATE(Temp!T545,Temp!U545,",",Temp!V545,",",Temp!W545,Temp!X545),"")</f>
        <v/>
      </c>
      <c r="E549" s="7"/>
      <c r="F549" s="8" t="str">
        <f t="shared" si="17"/>
        <v/>
      </c>
      <c r="BY549" s="4" t="s">
        <v>5</v>
      </c>
      <c r="BZ549" s="4" t="s">
        <v>5</v>
      </c>
    </row>
    <row r="550" spans="1:78" x14ac:dyDescent="0.25">
      <c r="A550" s="13" t="str">
        <f>IF(AND($E550="",MAX($A$8:$A549)=0),"",IF(AND($E550&lt;&gt;"",MAX($A$8:$A549)=0),1,IF(AND($E550&lt;&gt;"",MAX($A$8:$A549)&gt;0),MAX($A$8:$A549)+1,"")))</f>
        <v/>
      </c>
      <c r="B550" s="11">
        <v>543</v>
      </c>
      <c r="C550" s="19" t="str">
        <f t="shared" si="16"/>
        <v>EMPTY</v>
      </c>
      <c r="D550" s="3" t="str">
        <f>IF(C550="SHOW",CONCATENATE(Temp!T546,Temp!U546,",",Temp!V546,",",Temp!W546,Temp!X546),"")</f>
        <v/>
      </c>
      <c r="E550" s="7"/>
      <c r="F550" s="8" t="str">
        <f t="shared" si="17"/>
        <v/>
      </c>
      <c r="BY550" s="4" t="s">
        <v>5</v>
      </c>
      <c r="BZ550" s="4" t="s">
        <v>5</v>
      </c>
    </row>
    <row r="551" spans="1:78" x14ac:dyDescent="0.25">
      <c r="A551" s="13" t="str">
        <f>IF(AND($E551="",MAX($A$8:$A550)=0),"",IF(AND($E551&lt;&gt;"",MAX($A$8:$A550)=0),1,IF(AND($E551&lt;&gt;"",MAX($A$8:$A550)&gt;0),MAX($A$8:$A550)+1,"")))</f>
        <v/>
      </c>
      <c r="B551" s="11">
        <v>544</v>
      </c>
      <c r="C551" s="19" t="str">
        <f t="shared" si="16"/>
        <v>EMPTY</v>
      </c>
      <c r="D551" s="3" t="str">
        <f>IF(C551="SHOW",CONCATENATE(Temp!T547,Temp!U547,",",Temp!V547,",",Temp!W547,Temp!X547),"")</f>
        <v/>
      </c>
      <c r="E551" s="7"/>
      <c r="F551" s="8" t="str">
        <f t="shared" si="17"/>
        <v/>
      </c>
      <c r="BY551" s="4" t="s">
        <v>5</v>
      </c>
      <c r="BZ551" s="4" t="s">
        <v>5</v>
      </c>
    </row>
    <row r="552" spans="1:78" x14ac:dyDescent="0.25">
      <c r="A552" s="13" t="str">
        <f>IF(AND($E552="",MAX($A$8:$A551)=0),"",IF(AND($E552&lt;&gt;"",MAX($A$8:$A551)=0),1,IF(AND($E552&lt;&gt;"",MAX($A$8:$A551)&gt;0),MAX($A$8:$A551)+1,"")))</f>
        <v/>
      </c>
      <c r="B552" s="11">
        <v>545</v>
      </c>
      <c r="C552" s="19" t="str">
        <f t="shared" si="16"/>
        <v>EMPTY</v>
      </c>
      <c r="D552" s="3" t="str">
        <f>IF(C552="SHOW",CONCATENATE(Temp!T548,Temp!U548,",",Temp!V548,",",Temp!W548,Temp!X548),"")</f>
        <v/>
      </c>
      <c r="E552" s="7"/>
      <c r="F552" s="8" t="str">
        <f t="shared" si="17"/>
        <v/>
      </c>
      <c r="BY552" s="4" t="s">
        <v>5</v>
      </c>
      <c r="BZ552" s="4" t="s">
        <v>5</v>
      </c>
    </row>
    <row r="553" spans="1:78" x14ac:dyDescent="0.25">
      <c r="A553" s="13" t="str">
        <f>IF(AND($E553="",MAX($A$8:$A552)=0),"",IF(AND($E553&lt;&gt;"",MAX($A$8:$A552)=0),1,IF(AND($E553&lt;&gt;"",MAX($A$8:$A552)&gt;0),MAX($A$8:$A552)+1,"")))</f>
        <v/>
      </c>
      <c r="B553" s="11">
        <v>546</v>
      </c>
      <c r="C553" s="19" t="str">
        <f t="shared" si="16"/>
        <v>EMPTY</v>
      </c>
      <c r="D553" s="3" t="str">
        <f>IF(C553="SHOW",CONCATENATE(Temp!T549,Temp!U549,",",Temp!V549,",",Temp!W549,Temp!X549),"")</f>
        <v/>
      </c>
      <c r="E553" s="7"/>
      <c r="F553" s="8" t="str">
        <f t="shared" si="17"/>
        <v/>
      </c>
      <c r="BY553" s="4" t="s">
        <v>5</v>
      </c>
      <c r="BZ553" s="4" t="s">
        <v>5</v>
      </c>
    </row>
    <row r="554" spans="1:78" x14ac:dyDescent="0.25">
      <c r="A554" s="13" t="str">
        <f>IF(AND($E554="",MAX($A$8:$A553)=0),"",IF(AND($E554&lt;&gt;"",MAX($A$8:$A553)=0),1,IF(AND($E554&lt;&gt;"",MAX($A$8:$A553)&gt;0),MAX($A$8:$A553)+1,"")))</f>
        <v/>
      </c>
      <c r="B554" s="11">
        <v>547</v>
      </c>
      <c r="C554" s="19" t="str">
        <f t="shared" si="16"/>
        <v>EMPTY</v>
      </c>
      <c r="D554" s="3" t="str">
        <f>IF(C554="SHOW",CONCATENATE(Temp!T550,Temp!U550,",",Temp!V550,",",Temp!W550,Temp!X550),"")</f>
        <v/>
      </c>
      <c r="E554" s="7"/>
      <c r="F554" s="8" t="str">
        <f t="shared" si="17"/>
        <v/>
      </c>
      <c r="BY554" s="4" t="s">
        <v>5</v>
      </c>
      <c r="BZ554" s="4" t="s">
        <v>5</v>
      </c>
    </row>
    <row r="555" spans="1:78" x14ac:dyDescent="0.25">
      <c r="A555" s="13" t="str">
        <f>IF(AND($E555="",MAX($A$8:$A554)=0),"",IF(AND($E555&lt;&gt;"",MAX($A$8:$A554)=0),1,IF(AND($E555&lt;&gt;"",MAX($A$8:$A554)&gt;0),MAX($A$8:$A554)+1,"")))</f>
        <v/>
      </c>
      <c r="B555" s="11">
        <v>548</v>
      </c>
      <c r="C555" s="19" t="str">
        <f t="shared" si="16"/>
        <v>EMPTY</v>
      </c>
      <c r="D555" s="3" t="str">
        <f>IF(C555="SHOW",CONCATENATE(Temp!T551,Temp!U551,",",Temp!V551,",",Temp!W551,Temp!X551),"")</f>
        <v/>
      </c>
      <c r="E555" s="7"/>
      <c r="F555" s="8" t="str">
        <f t="shared" si="17"/>
        <v/>
      </c>
      <c r="BY555" s="4" t="s">
        <v>5</v>
      </c>
      <c r="BZ555" s="4" t="s">
        <v>5</v>
      </c>
    </row>
    <row r="556" spans="1:78" x14ac:dyDescent="0.25">
      <c r="A556" s="13" t="str">
        <f>IF(AND($E556="",MAX($A$8:$A555)=0),"",IF(AND($E556&lt;&gt;"",MAX($A$8:$A555)=0),1,IF(AND($E556&lt;&gt;"",MAX($A$8:$A555)&gt;0),MAX($A$8:$A555)+1,"")))</f>
        <v/>
      </c>
      <c r="B556" s="11">
        <v>549</v>
      </c>
      <c r="C556" s="19" t="str">
        <f t="shared" si="16"/>
        <v>EMPTY</v>
      </c>
      <c r="D556" s="3" t="str">
        <f>IF(C556="SHOW",CONCATENATE(Temp!T552,Temp!U552,",",Temp!V552,",",Temp!W552,Temp!X552),"")</f>
        <v/>
      </c>
      <c r="E556" s="7"/>
      <c r="F556" s="8" t="str">
        <f t="shared" si="17"/>
        <v/>
      </c>
      <c r="BY556" s="4" t="s">
        <v>5</v>
      </c>
      <c r="BZ556" s="4" t="s">
        <v>5</v>
      </c>
    </row>
    <row r="557" spans="1:78" x14ac:dyDescent="0.25">
      <c r="A557" s="13" t="str">
        <f>IF(AND($E557="",MAX($A$8:$A556)=0),"",IF(AND($E557&lt;&gt;"",MAX($A$8:$A556)=0),1,IF(AND($E557&lt;&gt;"",MAX($A$8:$A556)&gt;0),MAX($A$8:$A556)+1,"")))</f>
        <v/>
      </c>
      <c r="B557" s="11">
        <v>550</v>
      </c>
      <c r="C557" s="19" t="str">
        <f t="shared" si="16"/>
        <v>EMPTY</v>
      </c>
      <c r="D557" s="3" t="str">
        <f>IF(C557="SHOW",CONCATENATE(Temp!T553,Temp!U553,",",Temp!V553,",",Temp!W553,Temp!X553),"")</f>
        <v/>
      </c>
      <c r="E557" s="7"/>
      <c r="F557" s="8" t="str">
        <f t="shared" si="17"/>
        <v/>
      </c>
      <c r="BY557" s="4" t="s">
        <v>5</v>
      </c>
      <c r="BZ557" s="4" t="s">
        <v>5</v>
      </c>
    </row>
    <row r="558" spans="1:78" x14ac:dyDescent="0.25">
      <c r="A558" s="13" t="str">
        <f>IF(AND($E558="",MAX($A$8:$A557)=0),"",IF(AND($E558&lt;&gt;"",MAX($A$8:$A557)=0),1,IF(AND($E558&lt;&gt;"",MAX($A$8:$A557)&gt;0),MAX($A$8:$A557)+1,"")))</f>
        <v/>
      </c>
      <c r="B558" s="11">
        <v>551</v>
      </c>
      <c r="C558" s="19" t="str">
        <f t="shared" si="16"/>
        <v>EMPTY</v>
      </c>
      <c r="D558" s="3" t="str">
        <f>IF(C558="SHOW",CONCATENATE(Temp!T554,Temp!U554,",",Temp!V554,",",Temp!W554,Temp!X554),"")</f>
        <v/>
      </c>
      <c r="E558" s="7"/>
      <c r="F558" s="8" t="str">
        <f t="shared" si="17"/>
        <v/>
      </c>
      <c r="BY558" s="4" t="s">
        <v>5</v>
      </c>
      <c r="BZ558" s="4" t="s">
        <v>5</v>
      </c>
    </row>
    <row r="559" spans="1:78" x14ac:dyDescent="0.25">
      <c r="A559" s="13" t="str">
        <f>IF(AND($E559="",MAX($A$8:$A558)=0),"",IF(AND($E559&lt;&gt;"",MAX($A$8:$A558)=0),1,IF(AND($E559&lt;&gt;"",MAX($A$8:$A558)&gt;0),MAX($A$8:$A558)+1,"")))</f>
        <v/>
      </c>
      <c r="B559" s="11">
        <v>552</v>
      </c>
      <c r="C559" s="19" t="str">
        <f t="shared" si="16"/>
        <v>EMPTY</v>
      </c>
      <c r="D559" s="3" t="str">
        <f>IF(C559="SHOW",CONCATENATE(Temp!T555,Temp!U555,",",Temp!V555,",",Temp!W555,Temp!X555),"")</f>
        <v/>
      </c>
      <c r="E559" s="7"/>
      <c r="F559" s="8" t="str">
        <f t="shared" si="17"/>
        <v/>
      </c>
      <c r="BY559" s="4" t="s">
        <v>5</v>
      </c>
      <c r="BZ559" s="4" t="s">
        <v>5</v>
      </c>
    </row>
    <row r="560" spans="1:78" x14ac:dyDescent="0.25">
      <c r="A560" s="13" t="str">
        <f>IF(AND($E560="",MAX($A$8:$A559)=0),"",IF(AND($E560&lt;&gt;"",MAX($A$8:$A559)=0),1,IF(AND($E560&lt;&gt;"",MAX($A$8:$A559)&gt;0),MAX($A$8:$A559)+1,"")))</f>
        <v/>
      </c>
      <c r="B560" s="11">
        <v>553</v>
      </c>
      <c r="C560" s="19" t="str">
        <f t="shared" si="16"/>
        <v>EMPTY</v>
      </c>
      <c r="D560" s="3" t="str">
        <f>IF(C560="SHOW",CONCATENATE(Temp!T556,Temp!U556,",",Temp!V556,",",Temp!W556,Temp!X556),"")</f>
        <v/>
      </c>
      <c r="E560" s="7"/>
      <c r="F560" s="8" t="str">
        <f t="shared" si="17"/>
        <v/>
      </c>
      <c r="BY560" s="4" t="s">
        <v>5</v>
      </c>
      <c r="BZ560" s="4" t="s">
        <v>5</v>
      </c>
    </row>
    <row r="561" spans="1:78" x14ac:dyDescent="0.25">
      <c r="A561" s="13" t="str">
        <f>IF(AND($E561="",MAX($A$8:$A560)=0),"",IF(AND($E561&lt;&gt;"",MAX($A$8:$A560)=0),1,IF(AND($E561&lt;&gt;"",MAX($A$8:$A560)&gt;0),MAX($A$8:$A560)+1,"")))</f>
        <v/>
      </c>
      <c r="B561" s="11">
        <v>554</v>
      </c>
      <c r="C561" s="19" t="str">
        <f t="shared" si="16"/>
        <v>EMPTY</v>
      </c>
      <c r="D561" s="3" t="str">
        <f>IF(C561="SHOW",CONCATENATE(Temp!T557,Temp!U557,",",Temp!V557,",",Temp!W557,Temp!X557),"")</f>
        <v/>
      </c>
      <c r="E561" s="7"/>
      <c r="F561" s="8" t="str">
        <f t="shared" si="17"/>
        <v/>
      </c>
      <c r="BY561" s="4" t="s">
        <v>5</v>
      </c>
      <c r="BZ561" s="4" t="s">
        <v>5</v>
      </c>
    </row>
    <row r="562" spans="1:78" x14ac:dyDescent="0.25">
      <c r="A562" s="13" t="str">
        <f>IF(AND($E562="",MAX($A$8:$A561)=0),"",IF(AND($E562&lt;&gt;"",MAX($A$8:$A561)=0),1,IF(AND($E562&lt;&gt;"",MAX($A$8:$A561)&gt;0),MAX($A$8:$A561)+1,"")))</f>
        <v/>
      </c>
      <c r="B562" s="11">
        <v>555</v>
      </c>
      <c r="C562" s="19" t="str">
        <f t="shared" si="16"/>
        <v>EMPTY</v>
      </c>
      <c r="D562" s="3" t="str">
        <f>IF(C562="SHOW",CONCATENATE(Temp!T558,Temp!U558,",",Temp!V558,",",Temp!W558,Temp!X558),"")</f>
        <v/>
      </c>
      <c r="E562" s="7"/>
      <c r="F562" s="8" t="str">
        <f t="shared" si="17"/>
        <v/>
      </c>
      <c r="BY562" s="4" t="s">
        <v>5</v>
      </c>
      <c r="BZ562" s="4" t="s">
        <v>5</v>
      </c>
    </row>
    <row r="563" spans="1:78" x14ac:dyDescent="0.25">
      <c r="A563" s="13" t="str">
        <f>IF(AND($E563="",MAX($A$8:$A562)=0),"",IF(AND($E563&lt;&gt;"",MAX($A$8:$A562)=0),1,IF(AND($E563&lt;&gt;"",MAX($A$8:$A562)&gt;0),MAX($A$8:$A562)+1,"")))</f>
        <v/>
      </c>
      <c r="B563" s="11">
        <v>556</v>
      </c>
      <c r="C563" s="19" t="str">
        <f t="shared" si="16"/>
        <v>EMPTY</v>
      </c>
      <c r="D563" s="3" t="str">
        <f>IF(C563="SHOW",CONCATENATE(Temp!T559,Temp!U559,",",Temp!V559,",",Temp!W559,Temp!X559),"")</f>
        <v/>
      </c>
      <c r="E563" s="7"/>
      <c r="F563" s="8" t="str">
        <f t="shared" si="17"/>
        <v/>
      </c>
      <c r="BY563" s="4" t="s">
        <v>5</v>
      </c>
      <c r="BZ563" s="4" t="s">
        <v>5</v>
      </c>
    </row>
    <row r="564" spans="1:78" x14ac:dyDescent="0.25">
      <c r="A564" s="13" t="str">
        <f>IF(AND($E564="",MAX($A$8:$A563)=0),"",IF(AND($E564&lt;&gt;"",MAX($A$8:$A563)=0),1,IF(AND($E564&lt;&gt;"",MAX($A$8:$A563)&gt;0),MAX($A$8:$A563)+1,"")))</f>
        <v/>
      </c>
      <c r="B564" s="11">
        <v>557</v>
      </c>
      <c r="C564" s="19" t="str">
        <f t="shared" si="16"/>
        <v>EMPTY</v>
      </c>
      <c r="D564" s="3" t="str">
        <f>IF(C564="SHOW",CONCATENATE(Temp!T560,Temp!U560,",",Temp!V560,",",Temp!W560,Temp!X560),"")</f>
        <v/>
      </c>
      <c r="E564" s="7"/>
      <c r="F564" s="8" t="str">
        <f t="shared" si="17"/>
        <v/>
      </c>
      <c r="BY564" s="4" t="s">
        <v>5</v>
      </c>
      <c r="BZ564" s="4" t="s">
        <v>5</v>
      </c>
    </row>
    <row r="565" spans="1:78" x14ac:dyDescent="0.25">
      <c r="A565" s="13" t="str">
        <f>IF(AND($E565="",MAX($A$8:$A564)=0),"",IF(AND($E565&lt;&gt;"",MAX($A$8:$A564)=0),1,IF(AND($E565&lt;&gt;"",MAX($A$8:$A564)&gt;0),MAX($A$8:$A564)+1,"")))</f>
        <v/>
      </c>
      <c r="B565" s="11">
        <v>558</v>
      </c>
      <c r="C565" s="19" t="str">
        <f t="shared" si="16"/>
        <v>EMPTY</v>
      </c>
      <c r="D565" s="3" t="str">
        <f>IF(C565="SHOW",CONCATENATE(Temp!T561,Temp!U561,",",Temp!V561,",",Temp!W561,Temp!X561),"")</f>
        <v/>
      </c>
      <c r="E565" s="7"/>
      <c r="F565" s="8" t="str">
        <f t="shared" si="17"/>
        <v/>
      </c>
      <c r="BY565" s="4" t="s">
        <v>5</v>
      </c>
      <c r="BZ565" s="4" t="s">
        <v>5</v>
      </c>
    </row>
    <row r="566" spans="1:78" x14ac:dyDescent="0.25">
      <c r="A566" s="13" t="str">
        <f>IF(AND($E566="",MAX($A$8:$A565)=0),"",IF(AND($E566&lt;&gt;"",MAX($A$8:$A565)=0),1,IF(AND($E566&lt;&gt;"",MAX($A$8:$A565)&gt;0),MAX($A$8:$A565)+1,"")))</f>
        <v/>
      </c>
      <c r="B566" s="11">
        <v>559</v>
      </c>
      <c r="C566" s="19" t="str">
        <f t="shared" si="16"/>
        <v>EMPTY</v>
      </c>
      <c r="D566" s="3" t="str">
        <f>IF(C566="SHOW",CONCATENATE(Temp!T562,Temp!U562,",",Temp!V562,",",Temp!W562,Temp!X562),"")</f>
        <v/>
      </c>
      <c r="E566" s="7"/>
      <c r="F566" s="8" t="str">
        <f t="shared" si="17"/>
        <v/>
      </c>
      <c r="BY566" s="4" t="s">
        <v>5</v>
      </c>
      <c r="BZ566" s="4" t="s">
        <v>5</v>
      </c>
    </row>
    <row r="567" spans="1:78" x14ac:dyDescent="0.25">
      <c r="A567" s="13" t="str">
        <f>IF(AND($E567="",MAX($A$8:$A566)=0),"",IF(AND($E567&lt;&gt;"",MAX($A$8:$A566)=0),1,IF(AND($E567&lt;&gt;"",MAX($A$8:$A566)&gt;0),MAX($A$8:$A566)+1,"")))</f>
        <v/>
      </c>
      <c r="B567" s="11">
        <v>560</v>
      </c>
      <c r="C567" s="19" t="str">
        <f t="shared" si="16"/>
        <v>EMPTY</v>
      </c>
      <c r="D567" s="3" t="str">
        <f>IF(C567="SHOW",CONCATENATE(Temp!T563,Temp!U563,",",Temp!V563,",",Temp!W563,Temp!X563),"")</f>
        <v/>
      </c>
      <c r="E567" s="7"/>
      <c r="F567" s="8" t="str">
        <f t="shared" si="17"/>
        <v/>
      </c>
      <c r="BY567" s="4" t="s">
        <v>5</v>
      </c>
      <c r="BZ567" s="4" t="s">
        <v>5</v>
      </c>
    </row>
    <row r="568" spans="1:78" x14ac:dyDescent="0.25">
      <c r="A568" s="13" t="str">
        <f>IF(AND($E568="",MAX($A$8:$A567)=0),"",IF(AND($E568&lt;&gt;"",MAX($A$8:$A567)=0),1,IF(AND($E568&lt;&gt;"",MAX($A$8:$A567)&gt;0),MAX($A$8:$A567)+1,"")))</f>
        <v/>
      </c>
      <c r="B568" s="11">
        <v>561</v>
      </c>
      <c r="C568" s="19" t="str">
        <f t="shared" si="16"/>
        <v>EMPTY</v>
      </c>
      <c r="D568" s="3" t="str">
        <f>IF(C568="SHOW",CONCATENATE(Temp!T564,Temp!U564,",",Temp!V564,",",Temp!W564,Temp!X564),"")</f>
        <v/>
      </c>
      <c r="E568" s="7"/>
      <c r="F568" s="8" t="str">
        <f t="shared" si="17"/>
        <v/>
      </c>
      <c r="BY568" s="4" t="s">
        <v>5</v>
      </c>
      <c r="BZ568" s="4" t="s">
        <v>5</v>
      </c>
    </row>
    <row r="569" spans="1:78" x14ac:dyDescent="0.25">
      <c r="A569" s="13" t="str">
        <f>IF(AND($E569="",MAX($A$8:$A568)=0),"",IF(AND($E569&lt;&gt;"",MAX($A$8:$A568)=0),1,IF(AND($E569&lt;&gt;"",MAX($A$8:$A568)&gt;0),MAX($A$8:$A568)+1,"")))</f>
        <v/>
      </c>
      <c r="B569" s="11">
        <v>562</v>
      </c>
      <c r="C569" s="19" t="str">
        <f t="shared" si="16"/>
        <v>EMPTY</v>
      </c>
      <c r="D569" s="3" t="str">
        <f>IF(C569="SHOW",CONCATENATE(Temp!T565,Temp!U565,",",Temp!V565,",",Temp!W565,Temp!X565),"")</f>
        <v/>
      </c>
      <c r="E569" s="7"/>
      <c r="F569" s="8" t="str">
        <f t="shared" si="17"/>
        <v/>
      </c>
      <c r="BY569" s="4" t="s">
        <v>5</v>
      </c>
      <c r="BZ569" s="4" t="s">
        <v>5</v>
      </c>
    </row>
    <row r="570" spans="1:78" x14ac:dyDescent="0.25">
      <c r="A570" s="13" t="str">
        <f>IF(AND($E570="",MAX($A$8:$A569)=0),"",IF(AND($E570&lt;&gt;"",MAX($A$8:$A569)=0),1,IF(AND($E570&lt;&gt;"",MAX($A$8:$A569)&gt;0),MAX($A$8:$A569)+1,"")))</f>
        <v/>
      </c>
      <c r="B570" s="11">
        <v>563</v>
      </c>
      <c r="C570" s="19" t="str">
        <f t="shared" si="16"/>
        <v>EMPTY</v>
      </c>
      <c r="D570" s="3" t="str">
        <f>IF(C570="SHOW",CONCATENATE(Temp!T566,Temp!U566,",",Temp!V566,",",Temp!W566,Temp!X566),"")</f>
        <v/>
      </c>
      <c r="E570" s="7"/>
      <c r="F570" s="8" t="str">
        <f t="shared" si="17"/>
        <v/>
      </c>
      <c r="BY570" s="4" t="s">
        <v>5</v>
      </c>
      <c r="BZ570" s="4" t="s">
        <v>5</v>
      </c>
    </row>
    <row r="571" spans="1:78" x14ac:dyDescent="0.25">
      <c r="A571" s="13" t="str">
        <f>IF(AND($E571="",MAX($A$8:$A570)=0),"",IF(AND($E571&lt;&gt;"",MAX($A$8:$A570)=0),1,IF(AND($E571&lt;&gt;"",MAX($A$8:$A570)&gt;0),MAX($A$8:$A570)+1,"")))</f>
        <v/>
      </c>
      <c r="B571" s="11">
        <v>564</v>
      </c>
      <c r="C571" s="19" t="str">
        <f t="shared" si="16"/>
        <v>EMPTY</v>
      </c>
      <c r="D571" s="3" t="str">
        <f>IF(C571="SHOW",CONCATENATE(Temp!T567,Temp!U567,",",Temp!V567,",",Temp!W567,Temp!X567),"")</f>
        <v/>
      </c>
      <c r="E571" s="7"/>
      <c r="F571" s="8" t="str">
        <f t="shared" si="17"/>
        <v/>
      </c>
      <c r="BY571" s="4" t="s">
        <v>5</v>
      </c>
      <c r="BZ571" s="4" t="s">
        <v>5</v>
      </c>
    </row>
    <row r="572" spans="1:78" x14ac:dyDescent="0.25">
      <c r="A572" s="13" t="str">
        <f>IF(AND($E572="",MAX($A$8:$A571)=0),"",IF(AND($E572&lt;&gt;"",MAX($A$8:$A571)=0),1,IF(AND($E572&lt;&gt;"",MAX($A$8:$A571)&gt;0),MAX($A$8:$A571)+1,"")))</f>
        <v/>
      </c>
      <c r="B572" s="11">
        <v>565</v>
      </c>
      <c r="C572" s="19" t="str">
        <f t="shared" si="16"/>
        <v>EMPTY</v>
      </c>
      <c r="D572" s="3" t="str">
        <f>IF(C572="SHOW",CONCATENATE(Temp!T568,Temp!U568,",",Temp!V568,",",Temp!W568,Temp!X568),"")</f>
        <v/>
      </c>
      <c r="E572" s="7"/>
      <c r="F572" s="8" t="str">
        <f t="shared" si="17"/>
        <v/>
      </c>
      <c r="BY572" s="4" t="s">
        <v>5</v>
      </c>
      <c r="BZ572" s="4" t="s">
        <v>5</v>
      </c>
    </row>
    <row r="573" spans="1:78" x14ac:dyDescent="0.25">
      <c r="A573" s="13" t="str">
        <f>IF(AND($E573="",MAX($A$8:$A572)=0),"",IF(AND($E573&lt;&gt;"",MAX($A$8:$A572)=0),1,IF(AND($E573&lt;&gt;"",MAX($A$8:$A572)&gt;0),MAX($A$8:$A572)+1,"")))</f>
        <v/>
      </c>
      <c r="B573" s="11">
        <v>566</v>
      </c>
      <c r="C573" s="19" t="str">
        <f t="shared" si="16"/>
        <v>EMPTY</v>
      </c>
      <c r="D573" s="3" t="str">
        <f>IF(C573="SHOW",CONCATENATE(Temp!T569,Temp!U569,",",Temp!V569,",",Temp!W569,Temp!X569),"")</f>
        <v/>
      </c>
      <c r="E573" s="7"/>
      <c r="F573" s="8" t="str">
        <f t="shared" si="17"/>
        <v/>
      </c>
      <c r="BY573" s="4" t="s">
        <v>5</v>
      </c>
      <c r="BZ573" s="4" t="s">
        <v>5</v>
      </c>
    </row>
    <row r="574" spans="1:78" x14ac:dyDescent="0.25">
      <c r="A574" s="13" t="str">
        <f>IF(AND($E574="",MAX($A$8:$A573)=0),"",IF(AND($E574&lt;&gt;"",MAX($A$8:$A573)=0),1,IF(AND($E574&lt;&gt;"",MAX($A$8:$A573)&gt;0),MAX($A$8:$A573)+1,"")))</f>
        <v/>
      </c>
      <c r="B574" s="11">
        <v>567</v>
      </c>
      <c r="C574" s="19" t="str">
        <f t="shared" si="16"/>
        <v>EMPTY</v>
      </c>
      <c r="D574" s="3" t="str">
        <f>IF(C574="SHOW",CONCATENATE(Temp!T570,Temp!U570,",",Temp!V570,",",Temp!W570,Temp!X570),"")</f>
        <v/>
      </c>
      <c r="E574" s="7"/>
      <c r="F574" s="8" t="str">
        <f t="shared" si="17"/>
        <v/>
      </c>
      <c r="BY574" s="4" t="s">
        <v>5</v>
      </c>
      <c r="BZ574" s="4" t="s">
        <v>5</v>
      </c>
    </row>
    <row r="575" spans="1:78" x14ac:dyDescent="0.25">
      <c r="A575" s="13" t="str">
        <f>IF(AND($E575="",MAX($A$8:$A574)=0),"",IF(AND($E575&lt;&gt;"",MAX($A$8:$A574)=0),1,IF(AND($E575&lt;&gt;"",MAX($A$8:$A574)&gt;0),MAX($A$8:$A574)+1,"")))</f>
        <v/>
      </c>
      <c r="B575" s="11">
        <v>568</v>
      </c>
      <c r="C575" s="19" t="str">
        <f t="shared" si="16"/>
        <v>EMPTY</v>
      </c>
      <c r="D575" s="3" t="str">
        <f>IF(C575="SHOW",CONCATENATE(Temp!T571,Temp!U571,",",Temp!V571,",",Temp!W571,Temp!X571),"")</f>
        <v/>
      </c>
      <c r="E575" s="7"/>
      <c r="F575" s="8" t="str">
        <f t="shared" si="17"/>
        <v/>
      </c>
      <c r="BY575" s="4" t="s">
        <v>5</v>
      </c>
      <c r="BZ575" s="4" t="s">
        <v>5</v>
      </c>
    </row>
    <row r="576" spans="1:78" x14ac:dyDescent="0.25">
      <c r="A576" s="13" t="str">
        <f>IF(AND($E576="",MAX($A$8:$A575)=0),"",IF(AND($E576&lt;&gt;"",MAX($A$8:$A575)=0),1,IF(AND($E576&lt;&gt;"",MAX($A$8:$A575)&gt;0),MAX($A$8:$A575)+1,"")))</f>
        <v/>
      </c>
      <c r="B576" s="11">
        <v>569</v>
      </c>
      <c r="C576" s="19" t="str">
        <f t="shared" si="16"/>
        <v>EMPTY</v>
      </c>
      <c r="D576" s="3" t="str">
        <f>IF(C576="SHOW",CONCATENATE(Temp!T572,Temp!U572,",",Temp!V572,",",Temp!W572,Temp!X572),"")</f>
        <v/>
      </c>
      <c r="E576" s="7"/>
      <c r="F576" s="8" t="str">
        <f t="shared" si="17"/>
        <v/>
      </c>
      <c r="BY576" s="4" t="s">
        <v>5</v>
      </c>
      <c r="BZ576" s="4" t="s">
        <v>5</v>
      </c>
    </row>
    <row r="577" spans="1:78" x14ac:dyDescent="0.25">
      <c r="A577" s="13" t="str">
        <f>IF(AND($E577="",MAX($A$8:$A576)=0),"",IF(AND($E577&lt;&gt;"",MAX($A$8:$A576)=0),1,IF(AND($E577&lt;&gt;"",MAX($A$8:$A576)&gt;0),MAX($A$8:$A576)+1,"")))</f>
        <v/>
      </c>
      <c r="B577" s="11">
        <v>570</v>
      </c>
      <c r="C577" s="19" t="str">
        <f t="shared" si="16"/>
        <v>EMPTY</v>
      </c>
      <c r="D577" s="3" t="str">
        <f>IF(C577="SHOW",CONCATENATE(Temp!T573,Temp!U573,",",Temp!V573,",",Temp!W573,Temp!X573),"")</f>
        <v/>
      </c>
      <c r="E577" s="7"/>
      <c r="F577" s="8" t="str">
        <f t="shared" si="17"/>
        <v/>
      </c>
      <c r="BY577" s="4" t="s">
        <v>5</v>
      </c>
      <c r="BZ577" s="4" t="s">
        <v>5</v>
      </c>
    </row>
    <row r="578" spans="1:78" x14ac:dyDescent="0.25">
      <c r="A578" s="13" t="str">
        <f>IF(AND($E578="",MAX($A$8:$A577)=0),"",IF(AND($E578&lt;&gt;"",MAX($A$8:$A577)=0),1,IF(AND($E578&lt;&gt;"",MAX($A$8:$A577)&gt;0),MAX($A$8:$A577)+1,"")))</f>
        <v/>
      </c>
      <c r="B578" s="11">
        <v>571</v>
      </c>
      <c r="C578" s="19" t="str">
        <f t="shared" si="16"/>
        <v>EMPTY</v>
      </c>
      <c r="D578" s="3" t="str">
        <f>IF(C578="SHOW",CONCATENATE(Temp!T574,Temp!U574,",",Temp!V574,",",Temp!W574,Temp!X574),"")</f>
        <v/>
      </c>
      <c r="E578" s="7"/>
      <c r="F578" s="8" t="str">
        <f t="shared" si="17"/>
        <v/>
      </c>
      <c r="BY578" s="4" t="s">
        <v>5</v>
      </c>
      <c r="BZ578" s="4" t="s">
        <v>5</v>
      </c>
    </row>
    <row r="579" spans="1:78" x14ac:dyDescent="0.25">
      <c r="A579" s="13" t="str">
        <f>IF(AND($E579="",MAX($A$8:$A578)=0),"",IF(AND($E579&lt;&gt;"",MAX($A$8:$A578)=0),1,IF(AND($E579&lt;&gt;"",MAX($A$8:$A578)&gt;0),MAX($A$8:$A578)+1,"")))</f>
        <v/>
      </c>
      <c r="B579" s="11">
        <v>572</v>
      </c>
      <c r="C579" s="19" t="str">
        <f t="shared" si="16"/>
        <v>EMPTY</v>
      </c>
      <c r="D579" s="3" t="str">
        <f>IF(C579="SHOW",CONCATENATE(Temp!T575,Temp!U575,",",Temp!V575,",",Temp!W575,Temp!X575),"")</f>
        <v/>
      </c>
      <c r="E579" s="7"/>
      <c r="F579" s="8" t="str">
        <f t="shared" si="17"/>
        <v/>
      </c>
      <c r="BY579" s="4" t="s">
        <v>5</v>
      </c>
      <c r="BZ579" s="4" t="s">
        <v>5</v>
      </c>
    </row>
    <row r="580" spans="1:78" x14ac:dyDescent="0.25">
      <c r="A580" s="13" t="str">
        <f>IF(AND($E580="",MAX($A$8:$A579)=0),"",IF(AND($E580&lt;&gt;"",MAX($A$8:$A579)=0),1,IF(AND($E580&lt;&gt;"",MAX($A$8:$A579)&gt;0),MAX($A$8:$A579)+1,"")))</f>
        <v/>
      </c>
      <c r="B580" s="11">
        <v>573</v>
      </c>
      <c r="C580" s="19" t="str">
        <f t="shared" si="16"/>
        <v>EMPTY</v>
      </c>
      <c r="D580" s="3" t="str">
        <f>IF(C580="SHOW",CONCATENATE(Temp!T576,Temp!U576,",",Temp!V576,",",Temp!W576,Temp!X576),"")</f>
        <v/>
      </c>
      <c r="E580" s="7"/>
      <c r="F580" s="8" t="str">
        <f t="shared" si="17"/>
        <v/>
      </c>
      <c r="BY580" s="4" t="s">
        <v>5</v>
      </c>
      <c r="BZ580" s="4" t="s">
        <v>5</v>
      </c>
    </row>
    <row r="581" spans="1:78" x14ac:dyDescent="0.25">
      <c r="A581" s="13" t="str">
        <f>IF(AND($E581="",MAX($A$8:$A580)=0),"",IF(AND($E581&lt;&gt;"",MAX($A$8:$A580)=0),1,IF(AND($E581&lt;&gt;"",MAX($A$8:$A580)&gt;0),MAX($A$8:$A580)+1,"")))</f>
        <v/>
      </c>
      <c r="B581" s="11">
        <v>574</v>
      </c>
      <c r="C581" s="19" t="str">
        <f t="shared" si="16"/>
        <v>EMPTY</v>
      </c>
      <c r="D581" s="3" t="str">
        <f>IF(C581="SHOW",CONCATENATE(Temp!T577,Temp!U577,",",Temp!V577,",",Temp!W577,Temp!X577),"")</f>
        <v/>
      </c>
      <c r="E581" s="7"/>
      <c r="F581" s="8" t="str">
        <f t="shared" si="17"/>
        <v/>
      </c>
      <c r="BY581" s="4" t="s">
        <v>5</v>
      </c>
      <c r="BZ581" s="4" t="s">
        <v>5</v>
      </c>
    </row>
    <row r="582" spans="1:78" x14ac:dyDescent="0.25">
      <c r="A582" s="13" t="str">
        <f>IF(AND($E582="",MAX($A$8:$A581)=0),"",IF(AND($E582&lt;&gt;"",MAX($A$8:$A581)=0),1,IF(AND($E582&lt;&gt;"",MAX($A$8:$A581)&gt;0),MAX($A$8:$A581)+1,"")))</f>
        <v/>
      </c>
      <c r="B582" s="11">
        <v>575</v>
      </c>
      <c r="C582" s="19" t="str">
        <f t="shared" si="16"/>
        <v>EMPTY</v>
      </c>
      <c r="D582" s="3" t="str">
        <f>IF(C582="SHOW",CONCATENATE(Temp!T578,Temp!U578,",",Temp!V578,",",Temp!W578,Temp!X578),"")</f>
        <v/>
      </c>
      <c r="E582" s="7"/>
      <c r="F582" s="8" t="str">
        <f t="shared" si="17"/>
        <v/>
      </c>
      <c r="BY582" s="4" t="s">
        <v>5</v>
      </c>
      <c r="BZ582" s="4" t="s">
        <v>5</v>
      </c>
    </row>
    <row r="583" spans="1:78" x14ac:dyDescent="0.25">
      <c r="A583" s="13" t="str">
        <f>IF(AND($E583="",MAX($A$8:$A582)=0),"",IF(AND($E583&lt;&gt;"",MAX($A$8:$A582)=0),1,IF(AND($E583&lt;&gt;"",MAX($A$8:$A582)&gt;0),MAX($A$8:$A582)+1,"")))</f>
        <v/>
      </c>
      <c r="B583" s="11">
        <v>576</v>
      </c>
      <c r="C583" s="19" t="str">
        <f t="shared" si="16"/>
        <v>EMPTY</v>
      </c>
      <c r="D583" s="3" t="str">
        <f>IF(C583="SHOW",CONCATENATE(Temp!T579,Temp!U579,",",Temp!V579,",",Temp!W579,Temp!X579),"")</f>
        <v/>
      </c>
      <c r="E583" s="7"/>
      <c r="F583" s="8" t="str">
        <f t="shared" si="17"/>
        <v/>
      </c>
      <c r="BY583" s="4" t="s">
        <v>5</v>
      </c>
      <c r="BZ583" s="4" t="s">
        <v>5</v>
      </c>
    </row>
    <row r="584" spans="1:78" x14ac:dyDescent="0.25">
      <c r="A584" s="13" t="str">
        <f>IF(AND($E584="",MAX($A$8:$A583)=0),"",IF(AND($E584&lt;&gt;"",MAX($A$8:$A583)=0),1,IF(AND($E584&lt;&gt;"",MAX($A$8:$A583)&gt;0),MAX($A$8:$A583)+1,"")))</f>
        <v/>
      </c>
      <c r="B584" s="11">
        <v>577</v>
      </c>
      <c r="C584" s="19" t="str">
        <f t="shared" si="16"/>
        <v>EMPTY</v>
      </c>
      <c r="D584" s="3" t="str">
        <f>IF(C584="SHOW",CONCATENATE(Temp!T580,Temp!U580,",",Temp!V580,",",Temp!W580,Temp!X580),"")</f>
        <v/>
      </c>
      <c r="E584" s="7"/>
      <c r="F584" s="8" t="str">
        <f t="shared" si="17"/>
        <v/>
      </c>
      <c r="BY584" s="4" t="s">
        <v>5</v>
      </c>
      <c r="BZ584" s="4" t="s">
        <v>5</v>
      </c>
    </row>
    <row r="585" spans="1:78" x14ac:dyDescent="0.25">
      <c r="A585" s="13" t="str">
        <f>IF(AND($E585="",MAX($A$8:$A584)=0),"",IF(AND($E585&lt;&gt;"",MAX($A$8:$A584)=0),1,IF(AND($E585&lt;&gt;"",MAX($A$8:$A584)&gt;0),MAX($A$8:$A584)+1,"")))</f>
        <v/>
      </c>
      <c r="B585" s="11">
        <v>578</v>
      </c>
      <c r="C585" s="19" t="str">
        <f t="shared" ref="C585:C648" si="18">IF(E585="","EMPTY",IF(MID(E585,1,9)&lt;&gt;"Dialogue:","HIDE",IF(MID(E585,1,9)="Dialogue:","SHOW","")))</f>
        <v>EMPTY</v>
      </c>
      <c r="D585" s="3" t="str">
        <f>IF(C585="SHOW",CONCATENATE(Temp!T581,Temp!U581,",",Temp!V581,",",Temp!W581,Temp!X581),"")</f>
        <v/>
      </c>
      <c r="E585" s="7"/>
      <c r="F585" s="8" t="str">
        <f t="shared" ref="F585:F648" si="19">$D585</f>
        <v/>
      </c>
      <c r="BY585" s="4" t="s">
        <v>5</v>
      </c>
      <c r="BZ585" s="4" t="s">
        <v>5</v>
      </c>
    </row>
    <row r="586" spans="1:78" x14ac:dyDescent="0.25">
      <c r="A586" s="13" t="str">
        <f>IF(AND($E586="",MAX($A$8:$A585)=0),"",IF(AND($E586&lt;&gt;"",MAX($A$8:$A585)=0),1,IF(AND($E586&lt;&gt;"",MAX($A$8:$A585)&gt;0),MAX($A$8:$A585)+1,"")))</f>
        <v/>
      </c>
      <c r="B586" s="11">
        <v>579</v>
      </c>
      <c r="C586" s="19" t="str">
        <f t="shared" si="18"/>
        <v>EMPTY</v>
      </c>
      <c r="D586" s="3" t="str">
        <f>IF(C586="SHOW",CONCATENATE(Temp!T582,Temp!U582,",",Temp!V582,",",Temp!W582,Temp!X582),"")</f>
        <v/>
      </c>
      <c r="E586" s="7"/>
      <c r="F586" s="8" t="str">
        <f t="shared" si="19"/>
        <v/>
      </c>
      <c r="BY586" s="4" t="s">
        <v>5</v>
      </c>
      <c r="BZ586" s="4" t="s">
        <v>5</v>
      </c>
    </row>
    <row r="587" spans="1:78" x14ac:dyDescent="0.25">
      <c r="A587" s="13" t="str">
        <f>IF(AND($E587="",MAX($A$8:$A586)=0),"",IF(AND($E587&lt;&gt;"",MAX($A$8:$A586)=0),1,IF(AND($E587&lt;&gt;"",MAX($A$8:$A586)&gt;0),MAX($A$8:$A586)+1,"")))</f>
        <v/>
      </c>
      <c r="B587" s="11">
        <v>580</v>
      </c>
      <c r="C587" s="19" t="str">
        <f t="shared" si="18"/>
        <v>EMPTY</v>
      </c>
      <c r="D587" s="3" t="str">
        <f>IF(C587="SHOW",CONCATENATE(Temp!T583,Temp!U583,",",Temp!V583,",",Temp!W583,Temp!X583),"")</f>
        <v/>
      </c>
      <c r="E587" s="7"/>
      <c r="F587" s="8" t="str">
        <f t="shared" si="19"/>
        <v/>
      </c>
      <c r="BY587" s="4" t="s">
        <v>5</v>
      </c>
      <c r="BZ587" s="4" t="s">
        <v>5</v>
      </c>
    </row>
    <row r="588" spans="1:78" x14ac:dyDescent="0.25">
      <c r="A588" s="13" t="str">
        <f>IF(AND($E588="",MAX($A$8:$A587)=0),"",IF(AND($E588&lt;&gt;"",MAX($A$8:$A587)=0),1,IF(AND($E588&lt;&gt;"",MAX($A$8:$A587)&gt;0),MAX($A$8:$A587)+1,"")))</f>
        <v/>
      </c>
      <c r="B588" s="11">
        <v>581</v>
      </c>
      <c r="C588" s="19" t="str">
        <f t="shared" si="18"/>
        <v>EMPTY</v>
      </c>
      <c r="D588" s="3" t="str">
        <f>IF(C588="SHOW",CONCATENATE(Temp!T584,Temp!U584,",",Temp!V584,",",Temp!W584,Temp!X584),"")</f>
        <v/>
      </c>
      <c r="E588" s="7"/>
      <c r="F588" s="8" t="str">
        <f t="shared" si="19"/>
        <v/>
      </c>
      <c r="BY588" s="4" t="s">
        <v>5</v>
      </c>
      <c r="BZ588" s="4" t="s">
        <v>5</v>
      </c>
    </row>
    <row r="589" spans="1:78" x14ac:dyDescent="0.25">
      <c r="A589" s="13" t="str">
        <f>IF(AND($E589="",MAX($A$8:$A588)=0),"",IF(AND($E589&lt;&gt;"",MAX($A$8:$A588)=0),1,IF(AND($E589&lt;&gt;"",MAX($A$8:$A588)&gt;0),MAX($A$8:$A588)+1,"")))</f>
        <v/>
      </c>
      <c r="B589" s="11">
        <v>582</v>
      </c>
      <c r="C589" s="19" t="str">
        <f t="shared" si="18"/>
        <v>EMPTY</v>
      </c>
      <c r="D589" s="3" t="str">
        <f>IF(C589="SHOW",CONCATENATE(Temp!T585,Temp!U585,",",Temp!V585,",",Temp!W585,Temp!X585),"")</f>
        <v/>
      </c>
      <c r="E589" s="7"/>
      <c r="F589" s="8" t="str">
        <f t="shared" si="19"/>
        <v/>
      </c>
      <c r="BY589" s="4" t="s">
        <v>5</v>
      </c>
      <c r="BZ589" s="4" t="s">
        <v>5</v>
      </c>
    </row>
    <row r="590" spans="1:78" x14ac:dyDescent="0.25">
      <c r="A590" s="13" t="str">
        <f>IF(AND($E590="",MAX($A$8:$A589)=0),"",IF(AND($E590&lt;&gt;"",MAX($A$8:$A589)=0),1,IF(AND($E590&lt;&gt;"",MAX($A$8:$A589)&gt;0),MAX($A$8:$A589)+1,"")))</f>
        <v/>
      </c>
      <c r="B590" s="11">
        <v>583</v>
      </c>
      <c r="C590" s="19" t="str">
        <f t="shared" si="18"/>
        <v>EMPTY</v>
      </c>
      <c r="D590" s="3" t="str">
        <f>IF(C590="SHOW",CONCATENATE(Temp!T586,Temp!U586,",",Temp!V586,",",Temp!W586,Temp!X586),"")</f>
        <v/>
      </c>
      <c r="E590" s="7"/>
      <c r="F590" s="8" t="str">
        <f t="shared" si="19"/>
        <v/>
      </c>
      <c r="BY590" s="4" t="s">
        <v>5</v>
      </c>
      <c r="BZ590" s="4" t="s">
        <v>5</v>
      </c>
    </row>
    <row r="591" spans="1:78" x14ac:dyDescent="0.25">
      <c r="A591" s="13" t="str">
        <f>IF(AND($E591="",MAX($A$8:$A590)=0),"",IF(AND($E591&lt;&gt;"",MAX($A$8:$A590)=0),1,IF(AND($E591&lt;&gt;"",MAX($A$8:$A590)&gt;0),MAX($A$8:$A590)+1,"")))</f>
        <v/>
      </c>
      <c r="B591" s="11">
        <v>584</v>
      </c>
      <c r="C591" s="19" t="str">
        <f t="shared" si="18"/>
        <v>EMPTY</v>
      </c>
      <c r="D591" s="3" t="str">
        <f>IF(C591="SHOW",CONCATENATE(Temp!T587,Temp!U587,",",Temp!V587,",",Temp!W587,Temp!X587),"")</f>
        <v/>
      </c>
      <c r="E591" s="7"/>
      <c r="F591" s="8" t="str">
        <f t="shared" si="19"/>
        <v/>
      </c>
      <c r="BY591" s="4" t="s">
        <v>5</v>
      </c>
      <c r="BZ591" s="4" t="s">
        <v>5</v>
      </c>
    </row>
    <row r="592" spans="1:78" x14ac:dyDescent="0.25">
      <c r="A592" s="13" t="str">
        <f>IF(AND($E592="",MAX($A$8:$A591)=0),"",IF(AND($E592&lt;&gt;"",MAX($A$8:$A591)=0),1,IF(AND($E592&lt;&gt;"",MAX($A$8:$A591)&gt;0),MAX($A$8:$A591)+1,"")))</f>
        <v/>
      </c>
      <c r="B592" s="11">
        <v>585</v>
      </c>
      <c r="C592" s="19" t="str">
        <f t="shared" si="18"/>
        <v>EMPTY</v>
      </c>
      <c r="D592" s="3" t="str">
        <f>IF(C592="SHOW",CONCATENATE(Temp!T588,Temp!U588,",",Temp!V588,",",Temp!W588,Temp!X588),"")</f>
        <v/>
      </c>
      <c r="E592" s="7"/>
      <c r="F592" s="8" t="str">
        <f t="shared" si="19"/>
        <v/>
      </c>
      <c r="BY592" s="4" t="s">
        <v>5</v>
      </c>
      <c r="BZ592" s="4" t="s">
        <v>5</v>
      </c>
    </row>
    <row r="593" spans="1:78" x14ac:dyDescent="0.25">
      <c r="A593" s="13" t="str">
        <f>IF(AND($E593="",MAX($A$8:$A592)=0),"",IF(AND($E593&lt;&gt;"",MAX($A$8:$A592)=0),1,IF(AND($E593&lt;&gt;"",MAX($A$8:$A592)&gt;0),MAX($A$8:$A592)+1,"")))</f>
        <v/>
      </c>
      <c r="B593" s="11">
        <v>586</v>
      </c>
      <c r="C593" s="19" t="str">
        <f t="shared" si="18"/>
        <v>EMPTY</v>
      </c>
      <c r="D593" s="3" t="str">
        <f>IF(C593="SHOW",CONCATENATE(Temp!T589,Temp!U589,",",Temp!V589,",",Temp!W589,Temp!X589),"")</f>
        <v/>
      </c>
      <c r="E593" s="7"/>
      <c r="F593" s="8" t="str">
        <f t="shared" si="19"/>
        <v/>
      </c>
      <c r="BY593" s="4" t="s">
        <v>5</v>
      </c>
      <c r="BZ593" s="4" t="s">
        <v>5</v>
      </c>
    </row>
    <row r="594" spans="1:78" x14ac:dyDescent="0.25">
      <c r="A594" s="13" t="str">
        <f>IF(AND($E594="",MAX($A$8:$A593)=0),"",IF(AND($E594&lt;&gt;"",MAX($A$8:$A593)=0),1,IF(AND($E594&lt;&gt;"",MAX($A$8:$A593)&gt;0),MAX($A$8:$A593)+1,"")))</f>
        <v/>
      </c>
      <c r="B594" s="11">
        <v>587</v>
      </c>
      <c r="C594" s="19" t="str">
        <f t="shared" si="18"/>
        <v>EMPTY</v>
      </c>
      <c r="D594" s="3" t="str">
        <f>IF(C594="SHOW",CONCATENATE(Temp!T590,Temp!U590,",",Temp!V590,",",Temp!W590,Temp!X590),"")</f>
        <v/>
      </c>
      <c r="E594" s="7"/>
      <c r="F594" s="8" t="str">
        <f t="shared" si="19"/>
        <v/>
      </c>
      <c r="BY594" s="4" t="s">
        <v>5</v>
      </c>
      <c r="BZ594" s="4" t="s">
        <v>5</v>
      </c>
    </row>
    <row r="595" spans="1:78" x14ac:dyDescent="0.25">
      <c r="A595" s="13" t="str">
        <f>IF(AND($E595="",MAX($A$8:$A594)=0),"",IF(AND($E595&lt;&gt;"",MAX($A$8:$A594)=0),1,IF(AND($E595&lt;&gt;"",MAX($A$8:$A594)&gt;0),MAX($A$8:$A594)+1,"")))</f>
        <v/>
      </c>
      <c r="B595" s="11">
        <v>588</v>
      </c>
      <c r="C595" s="19" t="str">
        <f t="shared" si="18"/>
        <v>EMPTY</v>
      </c>
      <c r="D595" s="3" t="str">
        <f>IF(C595="SHOW",CONCATENATE(Temp!T591,Temp!U591,",",Temp!V591,",",Temp!W591,Temp!X591),"")</f>
        <v/>
      </c>
      <c r="E595" s="7"/>
      <c r="F595" s="8" t="str">
        <f t="shared" si="19"/>
        <v/>
      </c>
      <c r="BY595" s="4" t="s">
        <v>5</v>
      </c>
      <c r="BZ595" s="4" t="s">
        <v>5</v>
      </c>
    </row>
    <row r="596" spans="1:78" x14ac:dyDescent="0.25">
      <c r="A596" s="13" t="str">
        <f>IF(AND($E596="",MAX($A$8:$A595)=0),"",IF(AND($E596&lt;&gt;"",MAX($A$8:$A595)=0),1,IF(AND($E596&lt;&gt;"",MAX($A$8:$A595)&gt;0),MAX($A$8:$A595)+1,"")))</f>
        <v/>
      </c>
      <c r="B596" s="11">
        <v>589</v>
      </c>
      <c r="C596" s="19" t="str">
        <f t="shared" si="18"/>
        <v>EMPTY</v>
      </c>
      <c r="D596" s="3" t="str">
        <f>IF(C596="SHOW",CONCATENATE(Temp!T592,Temp!U592,",",Temp!V592,",",Temp!W592,Temp!X592),"")</f>
        <v/>
      </c>
      <c r="E596" s="7"/>
      <c r="F596" s="8" t="str">
        <f t="shared" si="19"/>
        <v/>
      </c>
      <c r="BY596" s="4" t="s">
        <v>5</v>
      </c>
      <c r="BZ596" s="4" t="s">
        <v>5</v>
      </c>
    </row>
    <row r="597" spans="1:78" x14ac:dyDescent="0.25">
      <c r="A597" s="13" t="str">
        <f>IF(AND($E597="",MAX($A$8:$A596)=0),"",IF(AND($E597&lt;&gt;"",MAX($A$8:$A596)=0),1,IF(AND($E597&lt;&gt;"",MAX($A$8:$A596)&gt;0),MAX($A$8:$A596)+1,"")))</f>
        <v/>
      </c>
      <c r="B597" s="11">
        <v>590</v>
      </c>
      <c r="C597" s="19" t="str">
        <f t="shared" si="18"/>
        <v>EMPTY</v>
      </c>
      <c r="D597" s="3" t="str">
        <f>IF(C597="SHOW",CONCATENATE(Temp!T593,Temp!U593,",",Temp!V593,",",Temp!W593,Temp!X593),"")</f>
        <v/>
      </c>
      <c r="E597" s="7"/>
      <c r="F597" s="8" t="str">
        <f t="shared" si="19"/>
        <v/>
      </c>
      <c r="BY597" s="4" t="s">
        <v>5</v>
      </c>
      <c r="BZ597" s="4" t="s">
        <v>5</v>
      </c>
    </row>
    <row r="598" spans="1:78" x14ac:dyDescent="0.25">
      <c r="A598" s="13" t="str">
        <f>IF(AND($E598="",MAX($A$8:$A597)=0),"",IF(AND($E598&lt;&gt;"",MAX($A$8:$A597)=0),1,IF(AND($E598&lt;&gt;"",MAX($A$8:$A597)&gt;0),MAX($A$8:$A597)+1,"")))</f>
        <v/>
      </c>
      <c r="B598" s="11">
        <v>591</v>
      </c>
      <c r="C598" s="19" t="str">
        <f t="shared" si="18"/>
        <v>EMPTY</v>
      </c>
      <c r="D598" s="3" t="str">
        <f>IF(C598="SHOW",CONCATENATE(Temp!T594,Temp!U594,",",Temp!V594,",",Temp!W594,Temp!X594),"")</f>
        <v/>
      </c>
      <c r="E598" s="7"/>
      <c r="F598" s="8" t="str">
        <f t="shared" si="19"/>
        <v/>
      </c>
      <c r="BY598" s="4" t="s">
        <v>5</v>
      </c>
      <c r="BZ598" s="4" t="s">
        <v>5</v>
      </c>
    </row>
    <row r="599" spans="1:78" x14ac:dyDescent="0.25">
      <c r="A599" s="13" t="str">
        <f>IF(AND($E599="",MAX($A$8:$A598)=0),"",IF(AND($E599&lt;&gt;"",MAX($A$8:$A598)=0),1,IF(AND($E599&lt;&gt;"",MAX($A$8:$A598)&gt;0),MAX($A$8:$A598)+1,"")))</f>
        <v/>
      </c>
      <c r="B599" s="11">
        <v>592</v>
      </c>
      <c r="C599" s="19" t="str">
        <f t="shared" si="18"/>
        <v>EMPTY</v>
      </c>
      <c r="D599" s="3" t="str">
        <f>IF(C599="SHOW",CONCATENATE(Temp!T595,Temp!U595,",",Temp!V595,",",Temp!W595,Temp!X595),"")</f>
        <v/>
      </c>
      <c r="E599" s="7"/>
      <c r="F599" s="8" t="str">
        <f t="shared" si="19"/>
        <v/>
      </c>
      <c r="BY599" s="4" t="s">
        <v>5</v>
      </c>
      <c r="BZ599" s="4" t="s">
        <v>5</v>
      </c>
    </row>
    <row r="600" spans="1:78" x14ac:dyDescent="0.25">
      <c r="A600" s="13" t="str">
        <f>IF(AND($E600="",MAX($A$8:$A599)=0),"",IF(AND($E600&lt;&gt;"",MAX($A$8:$A599)=0),1,IF(AND($E600&lt;&gt;"",MAX($A$8:$A599)&gt;0),MAX($A$8:$A599)+1,"")))</f>
        <v/>
      </c>
      <c r="B600" s="11">
        <v>593</v>
      </c>
      <c r="C600" s="19" t="str">
        <f t="shared" si="18"/>
        <v>EMPTY</v>
      </c>
      <c r="D600" s="3" t="str">
        <f>IF(C600="SHOW",CONCATENATE(Temp!T596,Temp!U596,",",Temp!V596,",",Temp!W596,Temp!X596),"")</f>
        <v/>
      </c>
      <c r="E600" s="7"/>
      <c r="F600" s="8" t="str">
        <f t="shared" si="19"/>
        <v/>
      </c>
      <c r="BY600" s="4" t="s">
        <v>5</v>
      </c>
      <c r="BZ600" s="4" t="s">
        <v>5</v>
      </c>
    </row>
    <row r="601" spans="1:78" x14ac:dyDescent="0.25">
      <c r="A601" s="13" t="str">
        <f>IF(AND($E601="",MAX($A$8:$A600)=0),"",IF(AND($E601&lt;&gt;"",MAX($A$8:$A600)=0),1,IF(AND($E601&lt;&gt;"",MAX($A$8:$A600)&gt;0),MAX($A$8:$A600)+1,"")))</f>
        <v/>
      </c>
      <c r="B601" s="11">
        <v>594</v>
      </c>
      <c r="C601" s="19" t="str">
        <f t="shared" si="18"/>
        <v>EMPTY</v>
      </c>
      <c r="D601" s="3" t="str">
        <f>IF(C601="SHOW",CONCATENATE(Temp!T597,Temp!U597,",",Temp!V597,",",Temp!W597,Temp!X597),"")</f>
        <v/>
      </c>
      <c r="E601" s="7"/>
      <c r="F601" s="8" t="str">
        <f t="shared" si="19"/>
        <v/>
      </c>
      <c r="BY601" s="4" t="s">
        <v>5</v>
      </c>
      <c r="BZ601" s="4" t="s">
        <v>5</v>
      </c>
    </row>
    <row r="602" spans="1:78" x14ac:dyDescent="0.25">
      <c r="A602" s="13" t="str">
        <f>IF(AND($E602="",MAX($A$8:$A601)=0),"",IF(AND($E602&lt;&gt;"",MAX($A$8:$A601)=0),1,IF(AND($E602&lt;&gt;"",MAX($A$8:$A601)&gt;0),MAX($A$8:$A601)+1,"")))</f>
        <v/>
      </c>
      <c r="B602" s="11">
        <v>595</v>
      </c>
      <c r="C602" s="19" t="str">
        <f t="shared" si="18"/>
        <v>EMPTY</v>
      </c>
      <c r="D602" s="3" t="str">
        <f>IF(C602="SHOW",CONCATENATE(Temp!T598,Temp!U598,",",Temp!V598,",",Temp!W598,Temp!X598),"")</f>
        <v/>
      </c>
      <c r="E602" s="7"/>
      <c r="F602" s="8" t="str">
        <f t="shared" si="19"/>
        <v/>
      </c>
      <c r="BY602" s="4" t="s">
        <v>5</v>
      </c>
      <c r="BZ602" s="4" t="s">
        <v>5</v>
      </c>
    </row>
    <row r="603" spans="1:78" x14ac:dyDescent="0.25">
      <c r="A603" s="13" t="str">
        <f>IF(AND($E603="",MAX($A$8:$A602)=0),"",IF(AND($E603&lt;&gt;"",MAX($A$8:$A602)=0),1,IF(AND($E603&lt;&gt;"",MAX($A$8:$A602)&gt;0),MAX($A$8:$A602)+1,"")))</f>
        <v/>
      </c>
      <c r="B603" s="11">
        <v>596</v>
      </c>
      <c r="C603" s="19" t="str">
        <f t="shared" si="18"/>
        <v>EMPTY</v>
      </c>
      <c r="D603" s="3" t="str">
        <f>IF(C603="SHOW",CONCATENATE(Temp!T599,Temp!U599,",",Temp!V599,",",Temp!W599,Temp!X599),"")</f>
        <v/>
      </c>
      <c r="E603" s="7"/>
      <c r="F603" s="8" t="str">
        <f t="shared" si="19"/>
        <v/>
      </c>
      <c r="BY603" s="4" t="s">
        <v>5</v>
      </c>
      <c r="BZ603" s="4" t="s">
        <v>5</v>
      </c>
    </row>
    <row r="604" spans="1:78" x14ac:dyDescent="0.25">
      <c r="A604" s="13" t="str">
        <f>IF(AND($E604="",MAX($A$8:$A603)=0),"",IF(AND($E604&lt;&gt;"",MAX($A$8:$A603)=0),1,IF(AND($E604&lt;&gt;"",MAX($A$8:$A603)&gt;0),MAX($A$8:$A603)+1,"")))</f>
        <v/>
      </c>
      <c r="B604" s="11">
        <v>597</v>
      </c>
      <c r="C604" s="19" t="str">
        <f t="shared" si="18"/>
        <v>EMPTY</v>
      </c>
      <c r="D604" s="3" t="str">
        <f>IF(C604="SHOW",CONCATENATE(Temp!T600,Temp!U600,",",Temp!V600,",",Temp!W600,Temp!X600),"")</f>
        <v/>
      </c>
      <c r="E604" s="7"/>
      <c r="F604" s="8" t="str">
        <f t="shared" si="19"/>
        <v/>
      </c>
      <c r="BY604" s="4" t="s">
        <v>5</v>
      </c>
      <c r="BZ604" s="4" t="s">
        <v>5</v>
      </c>
    </row>
    <row r="605" spans="1:78" x14ac:dyDescent="0.25">
      <c r="A605" s="13" t="str">
        <f>IF(AND($E605="",MAX($A$8:$A604)=0),"",IF(AND($E605&lt;&gt;"",MAX($A$8:$A604)=0),1,IF(AND($E605&lt;&gt;"",MAX($A$8:$A604)&gt;0),MAX($A$8:$A604)+1,"")))</f>
        <v/>
      </c>
      <c r="B605" s="11">
        <v>598</v>
      </c>
      <c r="C605" s="19" t="str">
        <f t="shared" si="18"/>
        <v>EMPTY</v>
      </c>
      <c r="D605" s="3" t="str">
        <f>IF(C605="SHOW",CONCATENATE(Temp!T601,Temp!U601,",",Temp!V601,",",Temp!W601,Temp!X601),"")</f>
        <v/>
      </c>
      <c r="E605" s="7"/>
      <c r="F605" s="8" t="str">
        <f t="shared" si="19"/>
        <v/>
      </c>
      <c r="BY605" s="4" t="s">
        <v>5</v>
      </c>
      <c r="BZ605" s="4" t="s">
        <v>5</v>
      </c>
    </row>
    <row r="606" spans="1:78" x14ac:dyDescent="0.25">
      <c r="A606" s="13" t="str">
        <f>IF(AND($E606="",MAX($A$8:$A605)=0),"",IF(AND($E606&lt;&gt;"",MAX($A$8:$A605)=0),1,IF(AND($E606&lt;&gt;"",MAX($A$8:$A605)&gt;0),MAX($A$8:$A605)+1,"")))</f>
        <v/>
      </c>
      <c r="B606" s="11">
        <v>599</v>
      </c>
      <c r="C606" s="19" t="str">
        <f t="shared" si="18"/>
        <v>EMPTY</v>
      </c>
      <c r="D606" s="3" t="str">
        <f>IF(C606="SHOW",CONCATENATE(Temp!T602,Temp!U602,",",Temp!V602,",",Temp!W602,Temp!X602),"")</f>
        <v/>
      </c>
      <c r="E606" s="7"/>
      <c r="F606" s="8" t="str">
        <f t="shared" si="19"/>
        <v/>
      </c>
      <c r="BY606" s="4" t="s">
        <v>5</v>
      </c>
      <c r="BZ606" s="4" t="s">
        <v>5</v>
      </c>
    </row>
    <row r="607" spans="1:78" x14ac:dyDescent="0.25">
      <c r="A607" s="13" t="str">
        <f>IF(AND($E607="",MAX($A$8:$A606)=0),"",IF(AND($E607&lt;&gt;"",MAX($A$8:$A606)=0),1,IF(AND($E607&lt;&gt;"",MAX($A$8:$A606)&gt;0),MAX($A$8:$A606)+1,"")))</f>
        <v/>
      </c>
      <c r="B607" s="11">
        <v>600</v>
      </c>
      <c r="C607" s="19" t="str">
        <f t="shared" si="18"/>
        <v>EMPTY</v>
      </c>
      <c r="D607" s="3" t="str">
        <f>IF(C607="SHOW",CONCATENATE(Temp!T603,Temp!U603,",",Temp!V603,",",Temp!W603,Temp!X603),"")</f>
        <v/>
      </c>
      <c r="E607" s="7"/>
      <c r="F607" s="8" t="str">
        <f t="shared" si="19"/>
        <v/>
      </c>
      <c r="BY607" s="4" t="s">
        <v>5</v>
      </c>
      <c r="BZ607" s="4" t="s">
        <v>5</v>
      </c>
    </row>
    <row r="608" spans="1:78" x14ac:dyDescent="0.25">
      <c r="A608" s="13" t="str">
        <f>IF(AND($E608="",MAX($A$8:$A607)=0),"",IF(AND($E608&lt;&gt;"",MAX($A$8:$A607)=0),1,IF(AND($E608&lt;&gt;"",MAX($A$8:$A607)&gt;0),MAX($A$8:$A607)+1,"")))</f>
        <v/>
      </c>
      <c r="B608" s="11">
        <v>601</v>
      </c>
      <c r="C608" s="19" t="str">
        <f t="shared" si="18"/>
        <v>EMPTY</v>
      </c>
      <c r="D608" s="3" t="str">
        <f>IF(C608="SHOW",CONCATENATE(Temp!T604,Temp!U604,",",Temp!V604,",",Temp!W604,Temp!X604),"")</f>
        <v/>
      </c>
      <c r="E608" s="7"/>
      <c r="F608" s="8" t="str">
        <f t="shared" si="19"/>
        <v/>
      </c>
      <c r="BZ608" s="4" t="s">
        <v>5</v>
      </c>
    </row>
    <row r="609" spans="1:78" x14ac:dyDescent="0.25">
      <c r="A609" s="13" t="str">
        <f>IF(AND($E609="",MAX($A$8:$A608)=0),"",IF(AND($E609&lt;&gt;"",MAX($A$8:$A608)=0),1,IF(AND($E609&lt;&gt;"",MAX($A$8:$A608)&gt;0),MAX($A$8:$A608)+1,"")))</f>
        <v/>
      </c>
      <c r="B609" s="11">
        <v>602</v>
      </c>
      <c r="C609" s="19" t="str">
        <f t="shared" si="18"/>
        <v>EMPTY</v>
      </c>
      <c r="D609" s="3" t="str">
        <f>IF(C609="SHOW",CONCATENATE(Temp!T605,Temp!U605,",",Temp!V605,",",Temp!W605,Temp!X605),"")</f>
        <v/>
      </c>
      <c r="E609" s="7"/>
      <c r="F609" s="8" t="str">
        <f t="shared" si="19"/>
        <v/>
      </c>
      <c r="BY609" s="4" t="s">
        <v>5</v>
      </c>
      <c r="BZ609" s="4" t="s">
        <v>5</v>
      </c>
    </row>
    <row r="610" spans="1:78" x14ac:dyDescent="0.25">
      <c r="A610" s="13" t="str">
        <f>IF(AND($E610="",MAX($A$8:$A609)=0),"",IF(AND($E610&lt;&gt;"",MAX($A$8:$A609)=0),1,IF(AND($E610&lt;&gt;"",MAX($A$8:$A609)&gt;0),MAX($A$8:$A609)+1,"")))</f>
        <v/>
      </c>
      <c r="B610" s="11">
        <v>603</v>
      </c>
      <c r="C610" s="19" t="str">
        <f t="shared" si="18"/>
        <v>EMPTY</v>
      </c>
      <c r="D610" s="3" t="str">
        <f>IF(C610="SHOW",CONCATENATE(Temp!T606,Temp!U606,",",Temp!V606,",",Temp!W606,Temp!X606),"")</f>
        <v/>
      </c>
      <c r="E610" s="7"/>
      <c r="F610" s="8" t="str">
        <f t="shared" si="19"/>
        <v/>
      </c>
      <c r="BY610" s="4" t="s">
        <v>5</v>
      </c>
      <c r="BZ610" s="4" t="s">
        <v>5</v>
      </c>
    </row>
    <row r="611" spans="1:78" x14ac:dyDescent="0.25">
      <c r="A611" s="13" t="str">
        <f>IF(AND($E611="",MAX($A$8:$A610)=0),"",IF(AND($E611&lt;&gt;"",MAX($A$8:$A610)=0),1,IF(AND($E611&lt;&gt;"",MAX($A$8:$A610)&gt;0),MAX($A$8:$A610)+1,"")))</f>
        <v/>
      </c>
      <c r="B611" s="11">
        <v>604</v>
      </c>
      <c r="C611" s="19" t="str">
        <f t="shared" si="18"/>
        <v>EMPTY</v>
      </c>
      <c r="D611" s="3" t="str">
        <f>IF(C611="SHOW",CONCATENATE(Temp!T607,Temp!U607,",",Temp!V607,",",Temp!W607,Temp!X607),"")</f>
        <v/>
      </c>
      <c r="E611" s="7"/>
      <c r="F611" s="8" t="str">
        <f t="shared" si="19"/>
        <v/>
      </c>
      <c r="BY611" s="4" t="s">
        <v>5</v>
      </c>
      <c r="BZ611" s="4" t="s">
        <v>5</v>
      </c>
    </row>
    <row r="612" spans="1:78" x14ac:dyDescent="0.25">
      <c r="A612" s="13" t="str">
        <f>IF(AND($E612="",MAX($A$8:$A611)=0),"",IF(AND($E612&lt;&gt;"",MAX($A$8:$A611)=0),1,IF(AND($E612&lt;&gt;"",MAX($A$8:$A611)&gt;0),MAX($A$8:$A611)+1,"")))</f>
        <v/>
      </c>
      <c r="B612" s="11">
        <v>605</v>
      </c>
      <c r="C612" s="19" t="str">
        <f t="shared" si="18"/>
        <v>EMPTY</v>
      </c>
      <c r="D612" s="3" t="str">
        <f>IF(C612="SHOW",CONCATENATE(Temp!T608,Temp!U608,",",Temp!V608,",",Temp!W608,Temp!X608),"")</f>
        <v/>
      </c>
      <c r="E612" s="7"/>
      <c r="F612" s="8" t="str">
        <f t="shared" si="19"/>
        <v/>
      </c>
      <c r="BY612" s="4" t="s">
        <v>5</v>
      </c>
      <c r="BZ612" s="4" t="s">
        <v>5</v>
      </c>
    </row>
    <row r="613" spans="1:78" x14ac:dyDescent="0.25">
      <c r="A613" s="13" t="str">
        <f>IF(AND($E613="",MAX($A$8:$A612)=0),"",IF(AND($E613&lt;&gt;"",MAX($A$8:$A612)=0),1,IF(AND($E613&lt;&gt;"",MAX($A$8:$A612)&gt;0),MAX($A$8:$A612)+1,"")))</f>
        <v/>
      </c>
      <c r="B613" s="11">
        <v>606</v>
      </c>
      <c r="C613" s="19" t="str">
        <f t="shared" si="18"/>
        <v>EMPTY</v>
      </c>
      <c r="D613" s="3" t="str">
        <f>IF(C613="SHOW",CONCATENATE(Temp!T609,Temp!U609,",",Temp!V609,",",Temp!W609,Temp!X609),"")</f>
        <v/>
      </c>
      <c r="E613" s="7"/>
      <c r="F613" s="8" t="str">
        <f t="shared" si="19"/>
        <v/>
      </c>
      <c r="BY613" s="4" t="s">
        <v>5</v>
      </c>
      <c r="BZ613" s="4" t="s">
        <v>5</v>
      </c>
    </row>
    <row r="614" spans="1:78" x14ac:dyDescent="0.25">
      <c r="A614" s="13" t="str">
        <f>IF(AND($E614="",MAX($A$8:$A613)=0),"",IF(AND($E614&lt;&gt;"",MAX($A$8:$A613)=0),1,IF(AND($E614&lt;&gt;"",MAX($A$8:$A613)&gt;0),MAX($A$8:$A613)+1,"")))</f>
        <v/>
      </c>
      <c r="B614" s="11">
        <v>607</v>
      </c>
      <c r="C614" s="19" t="str">
        <f t="shared" si="18"/>
        <v>EMPTY</v>
      </c>
      <c r="D614" s="3" t="str">
        <f>IF(C614="SHOW",CONCATENATE(Temp!T610,Temp!U610,",",Temp!V610,",",Temp!W610,Temp!X610),"")</f>
        <v/>
      </c>
      <c r="E614" s="7"/>
      <c r="F614" s="8" t="str">
        <f t="shared" si="19"/>
        <v/>
      </c>
      <c r="BY614" s="4" t="s">
        <v>5</v>
      </c>
      <c r="BZ614" s="4" t="s">
        <v>5</v>
      </c>
    </row>
    <row r="615" spans="1:78" x14ac:dyDescent="0.25">
      <c r="A615" s="13" t="str">
        <f>IF(AND($E615="",MAX($A$8:$A614)=0),"",IF(AND($E615&lt;&gt;"",MAX($A$8:$A614)=0),1,IF(AND($E615&lt;&gt;"",MAX($A$8:$A614)&gt;0),MAX($A$8:$A614)+1,"")))</f>
        <v/>
      </c>
      <c r="B615" s="11">
        <v>608</v>
      </c>
      <c r="C615" s="19" t="str">
        <f t="shared" si="18"/>
        <v>EMPTY</v>
      </c>
      <c r="D615" s="3" t="str">
        <f>IF(C615="SHOW",CONCATENATE(Temp!T611,Temp!U611,",",Temp!V611,",",Temp!W611,Temp!X611),"")</f>
        <v/>
      </c>
      <c r="E615" s="7"/>
      <c r="F615" s="8" t="str">
        <f t="shared" si="19"/>
        <v/>
      </c>
      <c r="BY615" s="4" t="s">
        <v>5</v>
      </c>
      <c r="BZ615" s="4" t="s">
        <v>5</v>
      </c>
    </row>
    <row r="616" spans="1:78" x14ac:dyDescent="0.25">
      <c r="A616" s="13" t="str">
        <f>IF(AND($E616="",MAX($A$8:$A615)=0),"",IF(AND($E616&lt;&gt;"",MAX($A$8:$A615)=0),1,IF(AND($E616&lt;&gt;"",MAX($A$8:$A615)&gt;0),MAX($A$8:$A615)+1,"")))</f>
        <v/>
      </c>
      <c r="B616" s="11">
        <v>609</v>
      </c>
      <c r="C616" s="19" t="str">
        <f t="shared" si="18"/>
        <v>EMPTY</v>
      </c>
      <c r="D616" s="3" t="str">
        <f>IF(C616="SHOW",CONCATENATE(Temp!T612,Temp!U612,",",Temp!V612,",",Temp!W612,Temp!X612),"")</f>
        <v/>
      </c>
      <c r="E616" s="7"/>
      <c r="F616" s="8" t="str">
        <f t="shared" si="19"/>
        <v/>
      </c>
      <c r="BY616" s="4" t="s">
        <v>5</v>
      </c>
      <c r="BZ616" s="4" t="s">
        <v>5</v>
      </c>
    </row>
    <row r="617" spans="1:78" x14ac:dyDescent="0.25">
      <c r="A617" s="13" t="str">
        <f>IF(AND($E617="",MAX($A$8:$A616)=0),"",IF(AND($E617&lt;&gt;"",MAX($A$8:$A616)=0),1,IF(AND($E617&lt;&gt;"",MAX($A$8:$A616)&gt;0),MAX($A$8:$A616)+1,"")))</f>
        <v/>
      </c>
      <c r="B617" s="11">
        <v>610</v>
      </c>
      <c r="C617" s="19" t="str">
        <f t="shared" si="18"/>
        <v>EMPTY</v>
      </c>
      <c r="D617" s="3" t="str">
        <f>IF(C617="SHOW",CONCATENATE(Temp!T613,Temp!U613,",",Temp!V613,",",Temp!W613,Temp!X613),"")</f>
        <v/>
      </c>
      <c r="E617" s="7"/>
      <c r="F617" s="8" t="str">
        <f t="shared" si="19"/>
        <v/>
      </c>
      <c r="BY617" s="4" t="s">
        <v>5</v>
      </c>
      <c r="BZ617" s="4" t="s">
        <v>5</v>
      </c>
    </row>
    <row r="618" spans="1:78" x14ac:dyDescent="0.25">
      <c r="A618" s="13" t="str">
        <f>IF(AND($E618="",MAX($A$8:$A617)=0),"",IF(AND($E618&lt;&gt;"",MAX($A$8:$A617)=0),1,IF(AND($E618&lt;&gt;"",MAX($A$8:$A617)&gt;0),MAX($A$8:$A617)+1,"")))</f>
        <v/>
      </c>
      <c r="B618" s="11">
        <v>611</v>
      </c>
      <c r="C618" s="19" t="str">
        <f t="shared" si="18"/>
        <v>EMPTY</v>
      </c>
      <c r="D618" s="3" t="str">
        <f>IF(C618="SHOW",CONCATENATE(Temp!T614,Temp!U614,",",Temp!V614,",",Temp!W614,Temp!X614),"")</f>
        <v/>
      </c>
      <c r="E618" s="7"/>
      <c r="F618" s="8" t="str">
        <f t="shared" si="19"/>
        <v/>
      </c>
      <c r="BY618" s="4" t="s">
        <v>5</v>
      </c>
      <c r="BZ618" s="4" t="s">
        <v>5</v>
      </c>
    </row>
    <row r="619" spans="1:78" x14ac:dyDescent="0.25">
      <c r="A619" s="13" t="str">
        <f>IF(AND($E619="",MAX($A$8:$A618)=0),"",IF(AND($E619&lt;&gt;"",MAX($A$8:$A618)=0),1,IF(AND($E619&lt;&gt;"",MAX($A$8:$A618)&gt;0),MAX($A$8:$A618)+1,"")))</f>
        <v/>
      </c>
      <c r="B619" s="11">
        <v>612</v>
      </c>
      <c r="C619" s="19" t="str">
        <f t="shared" si="18"/>
        <v>EMPTY</v>
      </c>
      <c r="D619" s="3" t="str">
        <f>IF(C619="SHOW",CONCATENATE(Temp!T615,Temp!U615,",",Temp!V615,",",Temp!W615,Temp!X615),"")</f>
        <v/>
      </c>
      <c r="E619" s="7"/>
      <c r="F619" s="8" t="str">
        <f t="shared" si="19"/>
        <v/>
      </c>
      <c r="BY619" s="4" t="s">
        <v>5</v>
      </c>
      <c r="BZ619" s="4" t="s">
        <v>5</v>
      </c>
    </row>
    <row r="620" spans="1:78" x14ac:dyDescent="0.25">
      <c r="A620" s="13" t="str">
        <f>IF(AND($E620="",MAX($A$8:$A619)=0),"",IF(AND($E620&lt;&gt;"",MAX($A$8:$A619)=0),1,IF(AND($E620&lt;&gt;"",MAX($A$8:$A619)&gt;0),MAX($A$8:$A619)+1,"")))</f>
        <v/>
      </c>
      <c r="B620" s="11">
        <v>613</v>
      </c>
      <c r="C620" s="19" t="str">
        <f t="shared" si="18"/>
        <v>EMPTY</v>
      </c>
      <c r="D620" s="3" t="str">
        <f>IF(C620="SHOW",CONCATENATE(Temp!T616,Temp!U616,",",Temp!V616,",",Temp!W616,Temp!X616),"")</f>
        <v/>
      </c>
      <c r="E620" s="7"/>
      <c r="F620" s="8" t="str">
        <f t="shared" si="19"/>
        <v/>
      </c>
      <c r="BY620" s="4" t="s">
        <v>5</v>
      </c>
      <c r="BZ620" s="4" t="s">
        <v>5</v>
      </c>
    </row>
    <row r="621" spans="1:78" x14ac:dyDescent="0.25">
      <c r="A621" s="13" t="str">
        <f>IF(AND($E621="",MAX($A$8:$A620)=0),"",IF(AND($E621&lt;&gt;"",MAX($A$8:$A620)=0),1,IF(AND($E621&lt;&gt;"",MAX($A$8:$A620)&gt;0),MAX($A$8:$A620)+1,"")))</f>
        <v/>
      </c>
      <c r="B621" s="11">
        <v>614</v>
      </c>
      <c r="C621" s="19" t="str">
        <f t="shared" si="18"/>
        <v>EMPTY</v>
      </c>
      <c r="D621" s="3" t="str">
        <f>IF(C621="SHOW",CONCATENATE(Temp!T617,Temp!U617,",",Temp!V617,",",Temp!W617,Temp!X617),"")</f>
        <v/>
      </c>
      <c r="E621" s="7"/>
      <c r="F621" s="8" t="str">
        <f t="shared" si="19"/>
        <v/>
      </c>
      <c r="BY621" s="4" t="s">
        <v>5</v>
      </c>
      <c r="BZ621" s="4" t="s">
        <v>5</v>
      </c>
    </row>
    <row r="622" spans="1:78" x14ac:dyDescent="0.25">
      <c r="A622" s="13" t="str">
        <f>IF(AND($E622="",MAX($A$8:$A621)=0),"",IF(AND($E622&lt;&gt;"",MAX($A$8:$A621)=0),1,IF(AND($E622&lt;&gt;"",MAX($A$8:$A621)&gt;0),MAX($A$8:$A621)+1,"")))</f>
        <v/>
      </c>
      <c r="B622" s="11">
        <v>615</v>
      </c>
      <c r="C622" s="19" t="str">
        <f t="shared" si="18"/>
        <v>EMPTY</v>
      </c>
      <c r="D622" s="3" t="str">
        <f>IF(C622="SHOW",CONCATENATE(Temp!T618,Temp!U618,",",Temp!V618,",",Temp!W618,Temp!X618),"")</f>
        <v/>
      </c>
      <c r="E622" s="7"/>
      <c r="F622" s="8" t="str">
        <f t="shared" si="19"/>
        <v/>
      </c>
      <c r="BY622" s="4" t="s">
        <v>5</v>
      </c>
      <c r="BZ622" s="4" t="s">
        <v>5</v>
      </c>
    </row>
    <row r="623" spans="1:78" x14ac:dyDescent="0.25">
      <c r="A623" s="13" t="str">
        <f>IF(AND($E623="",MAX($A$8:$A622)=0),"",IF(AND($E623&lt;&gt;"",MAX($A$8:$A622)=0),1,IF(AND($E623&lt;&gt;"",MAX($A$8:$A622)&gt;0),MAX($A$8:$A622)+1,"")))</f>
        <v/>
      </c>
      <c r="B623" s="11">
        <v>616</v>
      </c>
      <c r="C623" s="19" t="str">
        <f t="shared" si="18"/>
        <v>EMPTY</v>
      </c>
      <c r="D623" s="3" t="str">
        <f>IF(C623="SHOW",CONCATENATE(Temp!T619,Temp!U619,",",Temp!V619,",",Temp!W619,Temp!X619),"")</f>
        <v/>
      </c>
      <c r="E623" s="7"/>
      <c r="F623" s="8" t="str">
        <f t="shared" si="19"/>
        <v/>
      </c>
      <c r="BY623" s="4" t="s">
        <v>5</v>
      </c>
      <c r="BZ623" s="4" t="s">
        <v>5</v>
      </c>
    </row>
    <row r="624" spans="1:78" x14ac:dyDescent="0.25">
      <c r="A624" s="13" t="str">
        <f>IF(AND($E624="",MAX($A$8:$A623)=0),"",IF(AND($E624&lt;&gt;"",MAX($A$8:$A623)=0),1,IF(AND($E624&lt;&gt;"",MAX($A$8:$A623)&gt;0),MAX($A$8:$A623)+1,"")))</f>
        <v/>
      </c>
      <c r="B624" s="11">
        <v>617</v>
      </c>
      <c r="C624" s="19" t="str">
        <f t="shared" si="18"/>
        <v>EMPTY</v>
      </c>
      <c r="D624" s="3" t="str">
        <f>IF(C624="SHOW",CONCATENATE(Temp!T620,Temp!U620,",",Temp!V620,",",Temp!W620,Temp!X620),"")</f>
        <v/>
      </c>
      <c r="E624" s="7"/>
      <c r="F624" s="8" t="str">
        <f t="shared" si="19"/>
        <v/>
      </c>
      <c r="BY624" s="4" t="s">
        <v>5</v>
      </c>
      <c r="BZ624" s="4" t="s">
        <v>5</v>
      </c>
    </row>
    <row r="625" spans="1:78" x14ac:dyDescent="0.25">
      <c r="A625" s="13" t="str">
        <f>IF(AND($E625="",MAX($A$8:$A624)=0),"",IF(AND($E625&lt;&gt;"",MAX($A$8:$A624)=0),1,IF(AND($E625&lt;&gt;"",MAX($A$8:$A624)&gt;0),MAX($A$8:$A624)+1,"")))</f>
        <v/>
      </c>
      <c r="B625" s="11">
        <v>618</v>
      </c>
      <c r="C625" s="19" t="str">
        <f t="shared" si="18"/>
        <v>EMPTY</v>
      </c>
      <c r="D625" s="3" t="str">
        <f>IF(C625="SHOW",CONCATENATE(Temp!T621,Temp!U621,",",Temp!V621,",",Temp!W621,Temp!X621),"")</f>
        <v/>
      </c>
      <c r="E625" s="7"/>
      <c r="F625" s="8" t="str">
        <f t="shared" si="19"/>
        <v/>
      </c>
      <c r="BY625" s="4" t="s">
        <v>5</v>
      </c>
      <c r="BZ625" s="4" t="s">
        <v>5</v>
      </c>
    </row>
    <row r="626" spans="1:78" x14ac:dyDescent="0.25">
      <c r="A626" s="13" t="str">
        <f>IF(AND($E626="",MAX($A$8:$A625)=0),"",IF(AND($E626&lt;&gt;"",MAX($A$8:$A625)=0),1,IF(AND($E626&lt;&gt;"",MAX($A$8:$A625)&gt;0),MAX($A$8:$A625)+1,"")))</f>
        <v/>
      </c>
      <c r="B626" s="11">
        <v>619</v>
      </c>
      <c r="C626" s="19" t="str">
        <f t="shared" si="18"/>
        <v>EMPTY</v>
      </c>
      <c r="D626" s="3" t="str">
        <f>IF(C626="SHOW",CONCATENATE(Temp!T622,Temp!U622,",",Temp!V622,",",Temp!W622,Temp!X622),"")</f>
        <v/>
      </c>
      <c r="E626" s="7"/>
      <c r="F626" s="8" t="str">
        <f t="shared" si="19"/>
        <v/>
      </c>
      <c r="BY626" s="4" t="s">
        <v>5</v>
      </c>
      <c r="BZ626" s="4" t="s">
        <v>5</v>
      </c>
    </row>
    <row r="627" spans="1:78" x14ac:dyDescent="0.25">
      <c r="A627" s="13" t="str">
        <f>IF(AND($E627="",MAX($A$8:$A626)=0),"",IF(AND($E627&lt;&gt;"",MAX($A$8:$A626)=0),1,IF(AND($E627&lt;&gt;"",MAX($A$8:$A626)&gt;0),MAX($A$8:$A626)+1,"")))</f>
        <v/>
      </c>
      <c r="B627" s="11">
        <v>620</v>
      </c>
      <c r="C627" s="19" t="str">
        <f t="shared" si="18"/>
        <v>EMPTY</v>
      </c>
      <c r="D627" s="3" t="str">
        <f>IF(C627="SHOW",CONCATENATE(Temp!T623,Temp!U623,",",Temp!V623,",",Temp!W623,Temp!X623),"")</f>
        <v/>
      </c>
      <c r="E627" s="7"/>
      <c r="F627" s="8" t="str">
        <f t="shared" si="19"/>
        <v/>
      </c>
      <c r="BY627" s="4" t="s">
        <v>5</v>
      </c>
      <c r="BZ627" s="4" t="s">
        <v>5</v>
      </c>
    </row>
    <row r="628" spans="1:78" x14ac:dyDescent="0.25">
      <c r="A628" s="13" t="str">
        <f>IF(AND($E628="",MAX($A$8:$A627)=0),"",IF(AND($E628&lt;&gt;"",MAX($A$8:$A627)=0),1,IF(AND($E628&lt;&gt;"",MAX($A$8:$A627)&gt;0),MAX($A$8:$A627)+1,"")))</f>
        <v/>
      </c>
      <c r="B628" s="11">
        <v>621</v>
      </c>
      <c r="C628" s="19" t="str">
        <f t="shared" si="18"/>
        <v>EMPTY</v>
      </c>
      <c r="D628" s="3" t="str">
        <f>IF(C628="SHOW",CONCATENATE(Temp!T624,Temp!U624,",",Temp!V624,",",Temp!W624,Temp!X624),"")</f>
        <v/>
      </c>
      <c r="E628" s="7"/>
      <c r="F628" s="8" t="str">
        <f t="shared" si="19"/>
        <v/>
      </c>
      <c r="BY628" s="4" t="s">
        <v>5</v>
      </c>
      <c r="BZ628" s="4" t="s">
        <v>5</v>
      </c>
    </row>
    <row r="629" spans="1:78" x14ac:dyDescent="0.25">
      <c r="A629" s="13" t="str">
        <f>IF(AND($E629="",MAX($A$8:$A628)=0),"",IF(AND($E629&lt;&gt;"",MAX($A$8:$A628)=0),1,IF(AND($E629&lt;&gt;"",MAX($A$8:$A628)&gt;0),MAX($A$8:$A628)+1,"")))</f>
        <v/>
      </c>
      <c r="B629" s="11">
        <v>622</v>
      </c>
      <c r="C629" s="19" t="str">
        <f t="shared" si="18"/>
        <v>EMPTY</v>
      </c>
      <c r="D629" s="3" t="str">
        <f>IF(C629="SHOW",CONCATENATE(Temp!T625,Temp!U625,",",Temp!V625,",",Temp!W625,Temp!X625),"")</f>
        <v/>
      </c>
      <c r="E629" s="7"/>
      <c r="F629" s="8" t="str">
        <f t="shared" si="19"/>
        <v/>
      </c>
      <c r="BY629" s="4" t="s">
        <v>5</v>
      </c>
      <c r="BZ629" s="4" t="s">
        <v>5</v>
      </c>
    </row>
    <row r="630" spans="1:78" x14ac:dyDescent="0.25">
      <c r="A630" s="13" t="str">
        <f>IF(AND($E630="",MAX($A$8:$A629)=0),"",IF(AND($E630&lt;&gt;"",MAX($A$8:$A629)=0),1,IF(AND($E630&lt;&gt;"",MAX($A$8:$A629)&gt;0),MAX($A$8:$A629)+1,"")))</f>
        <v/>
      </c>
      <c r="B630" s="11">
        <v>623</v>
      </c>
      <c r="C630" s="19" t="str">
        <f t="shared" si="18"/>
        <v>EMPTY</v>
      </c>
      <c r="D630" s="3" t="str">
        <f>IF(C630="SHOW",CONCATENATE(Temp!T626,Temp!U626,",",Temp!V626,",",Temp!W626,Temp!X626),"")</f>
        <v/>
      </c>
      <c r="E630" s="7"/>
      <c r="F630" s="8" t="str">
        <f t="shared" si="19"/>
        <v/>
      </c>
      <c r="BY630" s="4" t="s">
        <v>5</v>
      </c>
      <c r="BZ630" s="4" t="s">
        <v>5</v>
      </c>
    </row>
    <row r="631" spans="1:78" x14ac:dyDescent="0.25">
      <c r="A631" s="13" t="str">
        <f>IF(AND($E631="",MAX($A$8:$A630)=0),"",IF(AND($E631&lt;&gt;"",MAX($A$8:$A630)=0),1,IF(AND($E631&lt;&gt;"",MAX($A$8:$A630)&gt;0),MAX($A$8:$A630)+1,"")))</f>
        <v/>
      </c>
      <c r="B631" s="11">
        <v>624</v>
      </c>
      <c r="C631" s="19" t="str">
        <f t="shared" si="18"/>
        <v>EMPTY</v>
      </c>
      <c r="D631" s="3" t="str">
        <f>IF(C631="SHOW",CONCATENATE(Temp!T627,Temp!U627,",",Temp!V627,",",Temp!W627,Temp!X627),"")</f>
        <v/>
      </c>
      <c r="E631" s="7"/>
      <c r="F631" s="8" t="str">
        <f t="shared" si="19"/>
        <v/>
      </c>
      <c r="BY631" s="4" t="s">
        <v>5</v>
      </c>
      <c r="BZ631" s="4" t="s">
        <v>5</v>
      </c>
    </row>
    <row r="632" spans="1:78" x14ac:dyDescent="0.25">
      <c r="A632" s="13" t="str">
        <f>IF(AND($E632="",MAX($A$8:$A631)=0),"",IF(AND($E632&lt;&gt;"",MAX($A$8:$A631)=0),1,IF(AND($E632&lt;&gt;"",MAX($A$8:$A631)&gt;0),MAX($A$8:$A631)+1,"")))</f>
        <v/>
      </c>
      <c r="B632" s="11">
        <v>625</v>
      </c>
      <c r="C632" s="19" t="str">
        <f t="shared" si="18"/>
        <v>EMPTY</v>
      </c>
      <c r="D632" s="3" t="str">
        <f>IF(C632="SHOW",CONCATENATE(Temp!T628,Temp!U628,",",Temp!V628,",",Temp!W628,Temp!X628),"")</f>
        <v/>
      </c>
      <c r="E632" s="7"/>
      <c r="F632" s="8" t="str">
        <f t="shared" si="19"/>
        <v/>
      </c>
      <c r="BY632" s="4" t="s">
        <v>5</v>
      </c>
      <c r="BZ632" s="4" t="s">
        <v>5</v>
      </c>
    </row>
    <row r="633" spans="1:78" x14ac:dyDescent="0.25">
      <c r="A633" s="13" t="str">
        <f>IF(AND($E633="",MAX($A$8:$A632)=0),"",IF(AND($E633&lt;&gt;"",MAX($A$8:$A632)=0),1,IF(AND($E633&lt;&gt;"",MAX($A$8:$A632)&gt;0),MAX($A$8:$A632)+1,"")))</f>
        <v/>
      </c>
      <c r="B633" s="11">
        <v>626</v>
      </c>
      <c r="C633" s="19" t="str">
        <f t="shared" si="18"/>
        <v>EMPTY</v>
      </c>
      <c r="D633" s="3" t="str">
        <f>IF(C633="SHOW",CONCATENATE(Temp!T629,Temp!U629,",",Temp!V629,",",Temp!W629,Temp!X629),"")</f>
        <v/>
      </c>
      <c r="E633" s="7"/>
      <c r="F633" s="8" t="str">
        <f t="shared" si="19"/>
        <v/>
      </c>
      <c r="BY633" s="4" t="s">
        <v>5</v>
      </c>
      <c r="BZ633" s="4" t="s">
        <v>5</v>
      </c>
    </row>
    <row r="634" spans="1:78" x14ac:dyDescent="0.25">
      <c r="A634" s="13" t="str">
        <f>IF(AND($E634="",MAX($A$8:$A633)=0),"",IF(AND($E634&lt;&gt;"",MAX($A$8:$A633)=0),1,IF(AND($E634&lt;&gt;"",MAX($A$8:$A633)&gt;0),MAX($A$8:$A633)+1,"")))</f>
        <v/>
      </c>
      <c r="B634" s="11">
        <v>627</v>
      </c>
      <c r="C634" s="19" t="str">
        <f t="shared" si="18"/>
        <v>EMPTY</v>
      </c>
      <c r="D634" s="3" t="str">
        <f>IF(C634="SHOW",CONCATENATE(Temp!T630,Temp!U630,",",Temp!V630,",",Temp!W630,Temp!X630),"")</f>
        <v/>
      </c>
      <c r="E634" s="7"/>
      <c r="F634" s="8" t="str">
        <f t="shared" si="19"/>
        <v/>
      </c>
      <c r="BY634" s="4" t="s">
        <v>5</v>
      </c>
      <c r="BZ634" s="4" t="s">
        <v>5</v>
      </c>
    </row>
    <row r="635" spans="1:78" x14ac:dyDescent="0.25">
      <c r="A635" s="13" t="str">
        <f>IF(AND($E635="",MAX($A$8:$A634)=0),"",IF(AND($E635&lt;&gt;"",MAX($A$8:$A634)=0),1,IF(AND($E635&lt;&gt;"",MAX($A$8:$A634)&gt;0),MAX($A$8:$A634)+1,"")))</f>
        <v/>
      </c>
      <c r="B635" s="11">
        <v>628</v>
      </c>
      <c r="C635" s="19" t="str">
        <f t="shared" si="18"/>
        <v>EMPTY</v>
      </c>
      <c r="D635" s="3" t="str">
        <f>IF(C635="SHOW",CONCATENATE(Temp!T631,Temp!U631,",",Temp!V631,",",Temp!W631,Temp!X631),"")</f>
        <v/>
      </c>
      <c r="E635" s="7"/>
      <c r="F635" s="8" t="str">
        <f t="shared" si="19"/>
        <v/>
      </c>
      <c r="BY635" s="4" t="s">
        <v>5</v>
      </c>
      <c r="BZ635" s="4" t="s">
        <v>5</v>
      </c>
    </row>
    <row r="636" spans="1:78" x14ac:dyDescent="0.25">
      <c r="A636" s="13" t="str">
        <f>IF(AND($E636="",MAX($A$8:$A635)=0),"",IF(AND($E636&lt;&gt;"",MAX($A$8:$A635)=0),1,IF(AND($E636&lt;&gt;"",MAX($A$8:$A635)&gt;0),MAX($A$8:$A635)+1,"")))</f>
        <v/>
      </c>
      <c r="B636" s="11">
        <v>629</v>
      </c>
      <c r="C636" s="19" t="str">
        <f t="shared" si="18"/>
        <v>EMPTY</v>
      </c>
      <c r="D636" s="3" t="str">
        <f>IF(C636="SHOW",CONCATENATE(Temp!T632,Temp!U632,",",Temp!V632,",",Temp!W632,Temp!X632),"")</f>
        <v/>
      </c>
      <c r="E636" s="7"/>
      <c r="F636" s="8" t="str">
        <f t="shared" si="19"/>
        <v/>
      </c>
      <c r="BY636" s="4" t="s">
        <v>5</v>
      </c>
      <c r="BZ636" s="4" t="s">
        <v>5</v>
      </c>
    </row>
    <row r="637" spans="1:78" x14ac:dyDescent="0.25">
      <c r="A637" s="13" t="str">
        <f>IF(AND($E637="",MAX($A$8:$A636)=0),"",IF(AND($E637&lt;&gt;"",MAX($A$8:$A636)=0),1,IF(AND($E637&lt;&gt;"",MAX($A$8:$A636)&gt;0),MAX($A$8:$A636)+1,"")))</f>
        <v/>
      </c>
      <c r="B637" s="11">
        <v>630</v>
      </c>
      <c r="C637" s="19" t="str">
        <f t="shared" si="18"/>
        <v>EMPTY</v>
      </c>
      <c r="D637" s="3" t="str">
        <f>IF(C637="SHOW",CONCATENATE(Temp!T633,Temp!U633,",",Temp!V633,",",Temp!W633,Temp!X633),"")</f>
        <v/>
      </c>
      <c r="E637" s="7"/>
      <c r="F637" s="8" t="str">
        <f t="shared" si="19"/>
        <v/>
      </c>
      <c r="BY637" s="4" t="s">
        <v>5</v>
      </c>
      <c r="BZ637" s="4" t="s">
        <v>5</v>
      </c>
    </row>
    <row r="638" spans="1:78" x14ac:dyDescent="0.25">
      <c r="A638" s="13" t="str">
        <f>IF(AND($E638="",MAX($A$8:$A637)=0),"",IF(AND($E638&lt;&gt;"",MAX($A$8:$A637)=0),1,IF(AND($E638&lt;&gt;"",MAX($A$8:$A637)&gt;0),MAX($A$8:$A637)+1,"")))</f>
        <v/>
      </c>
      <c r="B638" s="11">
        <v>631</v>
      </c>
      <c r="C638" s="19" t="str">
        <f t="shared" si="18"/>
        <v>EMPTY</v>
      </c>
      <c r="D638" s="3" t="str">
        <f>IF(C638="SHOW",CONCATENATE(Temp!T634,Temp!U634,",",Temp!V634,",",Temp!W634,Temp!X634),"")</f>
        <v/>
      </c>
      <c r="E638" s="7"/>
      <c r="F638" s="8" t="str">
        <f t="shared" si="19"/>
        <v/>
      </c>
      <c r="BY638" s="4" t="s">
        <v>5</v>
      </c>
      <c r="BZ638" s="4" t="s">
        <v>5</v>
      </c>
    </row>
    <row r="639" spans="1:78" x14ac:dyDescent="0.25">
      <c r="A639" s="13" t="str">
        <f>IF(AND($E639="",MAX($A$8:$A638)=0),"",IF(AND($E639&lt;&gt;"",MAX($A$8:$A638)=0),1,IF(AND($E639&lt;&gt;"",MAX($A$8:$A638)&gt;0),MAX($A$8:$A638)+1,"")))</f>
        <v/>
      </c>
      <c r="B639" s="11">
        <v>632</v>
      </c>
      <c r="C639" s="19" t="str">
        <f t="shared" si="18"/>
        <v>EMPTY</v>
      </c>
      <c r="D639" s="3" t="str">
        <f>IF(C639="SHOW",CONCATENATE(Temp!T635,Temp!U635,",",Temp!V635,",",Temp!W635,Temp!X635),"")</f>
        <v/>
      </c>
      <c r="E639" s="7"/>
      <c r="F639" s="8" t="str">
        <f t="shared" si="19"/>
        <v/>
      </c>
      <c r="BY639" s="4" t="s">
        <v>5</v>
      </c>
      <c r="BZ639" s="4" t="s">
        <v>5</v>
      </c>
    </row>
    <row r="640" spans="1:78" x14ac:dyDescent="0.25">
      <c r="A640" s="13" t="str">
        <f>IF(AND($E640="",MAX($A$8:$A639)=0),"",IF(AND($E640&lt;&gt;"",MAX($A$8:$A639)=0),1,IF(AND($E640&lt;&gt;"",MAX($A$8:$A639)&gt;0),MAX($A$8:$A639)+1,"")))</f>
        <v/>
      </c>
      <c r="B640" s="11">
        <v>633</v>
      </c>
      <c r="C640" s="19" t="str">
        <f t="shared" si="18"/>
        <v>EMPTY</v>
      </c>
      <c r="D640" s="3" t="str">
        <f>IF(C640="SHOW",CONCATENATE(Temp!T636,Temp!U636,",",Temp!V636,",",Temp!W636,Temp!X636),"")</f>
        <v/>
      </c>
      <c r="E640" s="7"/>
      <c r="F640" s="8" t="str">
        <f t="shared" si="19"/>
        <v/>
      </c>
      <c r="BY640" s="4" t="s">
        <v>5</v>
      </c>
      <c r="BZ640" s="4" t="s">
        <v>5</v>
      </c>
    </row>
    <row r="641" spans="1:78" x14ac:dyDescent="0.25">
      <c r="A641" s="13" t="str">
        <f>IF(AND($E641="",MAX($A$8:$A640)=0),"",IF(AND($E641&lt;&gt;"",MAX($A$8:$A640)=0),1,IF(AND($E641&lt;&gt;"",MAX($A$8:$A640)&gt;0),MAX($A$8:$A640)+1,"")))</f>
        <v/>
      </c>
      <c r="B641" s="11">
        <v>634</v>
      </c>
      <c r="C641" s="19" t="str">
        <f t="shared" si="18"/>
        <v>EMPTY</v>
      </c>
      <c r="D641" s="3" t="str">
        <f>IF(C641="SHOW",CONCATENATE(Temp!T637,Temp!U637,",",Temp!V637,",",Temp!W637,Temp!X637),"")</f>
        <v/>
      </c>
      <c r="E641" s="7"/>
      <c r="F641" s="8" t="str">
        <f t="shared" si="19"/>
        <v/>
      </c>
      <c r="BY641" s="4" t="s">
        <v>5</v>
      </c>
      <c r="BZ641" s="4" t="s">
        <v>5</v>
      </c>
    </row>
    <row r="642" spans="1:78" x14ac:dyDescent="0.25">
      <c r="A642" s="13" t="str">
        <f>IF(AND($E642="",MAX($A$8:$A641)=0),"",IF(AND($E642&lt;&gt;"",MAX($A$8:$A641)=0),1,IF(AND($E642&lt;&gt;"",MAX($A$8:$A641)&gt;0),MAX($A$8:$A641)+1,"")))</f>
        <v/>
      </c>
      <c r="B642" s="11">
        <v>635</v>
      </c>
      <c r="C642" s="19" t="str">
        <f t="shared" si="18"/>
        <v>EMPTY</v>
      </c>
      <c r="D642" s="3" t="str">
        <f>IF(C642="SHOW",CONCATENATE(Temp!T638,Temp!U638,",",Temp!V638,",",Temp!W638,Temp!X638),"")</f>
        <v/>
      </c>
      <c r="E642" s="7"/>
      <c r="F642" s="8" t="str">
        <f t="shared" si="19"/>
        <v/>
      </c>
      <c r="BY642" s="4" t="s">
        <v>5</v>
      </c>
      <c r="BZ642" s="4" t="s">
        <v>5</v>
      </c>
    </row>
    <row r="643" spans="1:78" x14ac:dyDescent="0.25">
      <c r="A643" s="13" t="str">
        <f>IF(AND($E643="",MAX($A$8:$A642)=0),"",IF(AND($E643&lt;&gt;"",MAX($A$8:$A642)=0),1,IF(AND($E643&lt;&gt;"",MAX($A$8:$A642)&gt;0),MAX($A$8:$A642)+1,"")))</f>
        <v/>
      </c>
      <c r="B643" s="11">
        <v>636</v>
      </c>
      <c r="C643" s="19" t="str">
        <f t="shared" si="18"/>
        <v>EMPTY</v>
      </c>
      <c r="D643" s="3" t="str">
        <f>IF(C643="SHOW",CONCATENATE(Temp!T639,Temp!U639,",",Temp!V639,",",Temp!W639,Temp!X639),"")</f>
        <v/>
      </c>
      <c r="E643" s="7"/>
      <c r="F643" s="8" t="str">
        <f t="shared" si="19"/>
        <v/>
      </c>
      <c r="BY643" s="4" t="s">
        <v>5</v>
      </c>
      <c r="BZ643" s="4" t="s">
        <v>5</v>
      </c>
    </row>
    <row r="644" spans="1:78" x14ac:dyDescent="0.25">
      <c r="A644" s="13" t="str">
        <f>IF(AND($E644="",MAX($A$8:$A643)=0),"",IF(AND($E644&lt;&gt;"",MAX($A$8:$A643)=0),1,IF(AND($E644&lt;&gt;"",MAX($A$8:$A643)&gt;0),MAX($A$8:$A643)+1,"")))</f>
        <v/>
      </c>
      <c r="B644" s="11">
        <v>637</v>
      </c>
      <c r="C644" s="19" t="str">
        <f t="shared" si="18"/>
        <v>EMPTY</v>
      </c>
      <c r="D644" s="3" t="str">
        <f>IF(C644="SHOW",CONCATENATE(Temp!T640,Temp!U640,",",Temp!V640,",",Temp!W640,Temp!X640),"")</f>
        <v/>
      </c>
      <c r="E644" s="7"/>
      <c r="F644" s="8" t="str">
        <f t="shared" si="19"/>
        <v/>
      </c>
      <c r="BY644" s="4" t="s">
        <v>5</v>
      </c>
      <c r="BZ644" s="4" t="s">
        <v>5</v>
      </c>
    </row>
    <row r="645" spans="1:78" x14ac:dyDescent="0.25">
      <c r="A645" s="13" t="str">
        <f>IF(AND($E645="",MAX($A$8:$A644)=0),"",IF(AND($E645&lt;&gt;"",MAX($A$8:$A644)=0),1,IF(AND($E645&lt;&gt;"",MAX($A$8:$A644)&gt;0),MAX($A$8:$A644)+1,"")))</f>
        <v/>
      </c>
      <c r="B645" s="11">
        <v>638</v>
      </c>
      <c r="C645" s="19" t="str">
        <f t="shared" si="18"/>
        <v>EMPTY</v>
      </c>
      <c r="D645" s="3" t="str">
        <f>IF(C645="SHOW",CONCATENATE(Temp!T641,Temp!U641,",",Temp!V641,",",Temp!W641,Temp!X641),"")</f>
        <v/>
      </c>
      <c r="E645" s="7"/>
      <c r="F645" s="8" t="str">
        <f t="shared" si="19"/>
        <v/>
      </c>
      <c r="BY645" s="4" t="s">
        <v>5</v>
      </c>
      <c r="BZ645" s="4" t="s">
        <v>5</v>
      </c>
    </row>
    <row r="646" spans="1:78" x14ac:dyDescent="0.25">
      <c r="A646" s="13" t="str">
        <f>IF(AND($E646="",MAX($A$8:$A645)=0),"",IF(AND($E646&lt;&gt;"",MAX($A$8:$A645)=0),1,IF(AND($E646&lt;&gt;"",MAX($A$8:$A645)&gt;0),MAX($A$8:$A645)+1,"")))</f>
        <v/>
      </c>
      <c r="B646" s="11">
        <v>639</v>
      </c>
      <c r="C646" s="19" t="str">
        <f t="shared" si="18"/>
        <v>EMPTY</v>
      </c>
      <c r="D646" s="3" t="str">
        <f>IF(C646="SHOW",CONCATENATE(Temp!T642,Temp!U642,",",Temp!V642,",",Temp!W642,Temp!X642),"")</f>
        <v/>
      </c>
      <c r="E646" s="7"/>
      <c r="F646" s="8" t="str">
        <f t="shared" si="19"/>
        <v/>
      </c>
      <c r="BY646" s="4" t="s">
        <v>5</v>
      </c>
      <c r="BZ646" s="4" t="s">
        <v>5</v>
      </c>
    </row>
    <row r="647" spans="1:78" x14ac:dyDescent="0.25">
      <c r="A647" s="13" t="str">
        <f>IF(AND($E647="",MAX($A$8:$A646)=0),"",IF(AND($E647&lt;&gt;"",MAX($A$8:$A646)=0),1,IF(AND($E647&lt;&gt;"",MAX($A$8:$A646)&gt;0),MAX($A$8:$A646)+1,"")))</f>
        <v/>
      </c>
      <c r="B647" s="11">
        <v>640</v>
      </c>
      <c r="C647" s="19" t="str">
        <f t="shared" si="18"/>
        <v>EMPTY</v>
      </c>
      <c r="D647" s="3" t="str">
        <f>IF(C647="SHOW",CONCATENATE(Temp!T643,Temp!U643,",",Temp!V643,",",Temp!W643,Temp!X643),"")</f>
        <v/>
      </c>
      <c r="E647" s="7"/>
      <c r="F647" s="8" t="str">
        <f t="shared" si="19"/>
        <v/>
      </c>
      <c r="BY647" s="4" t="s">
        <v>5</v>
      </c>
      <c r="BZ647" s="4" t="s">
        <v>5</v>
      </c>
    </row>
    <row r="648" spans="1:78" x14ac:dyDescent="0.25">
      <c r="A648" s="13" t="str">
        <f>IF(AND($E648="",MAX($A$8:$A647)=0),"",IF(AND($E648&lt;&gt;"",MAX($A$8:$A647)=0),1,IF(AND($E648&lt;&gt;"",MAX($A$8:$A647)&gt;0),MAX($A$8:$A647)+1,"")))</f>
        <v/>
      </c>
      <c r="B648" s="11">
        <v>641</v>
      </c>
      <c r="C648" s="19" t="str">
        <f t="shared" si="18"/>
        <v>EMPTY</v>
      </c>
      <c r="D648" s="3" t="str">
        <f>IF(C648="SHOW",CONCATENATE(Temp!T644,Temp!U644,",",Temp!V644,",",Temp!W644,Temp!X644),"")</f>
        <v/>
      </c>
      <c r="E648" s="7"/>
      <c r="F648" s="8" t="str">
        <f t="shared" si="19"/>
        <v/>
      </c>
      <c r="BY648" s="4" t="s">
        <v>5</v>
      </c>
      <c r="BZ648" s="4" t="s">
        <v>5</v>
      </c>
    </row>
    <row r="649" spans="1:78" x14ac:dyDescent="0.25">
      <c r="A649" s="13" t="str">
        <f>IF(AND($E649="",MAX($A$8:$A648)=0),"",IF(AND($E649&lt;&gt;"",MAX($A$8:$A648)=0),1,IF(AND($E649&lt;&gt;"",MAX($A$8:$A648)&gt;0),MAX($A$8:$A648)+1,"")))</f>
        <v/>
      </c>
      <c r="B649" s="11">
        <v>642</v>
      </c>
      <c r="C649" s="19" t="str">
        <f t="shared" ref="C649:C712" si="20">IF(E649="","EMPTY",IF(MID(E649,1,9)&lt;&gt;"Dialogue:","HIDE",IF(MID(E649,1,9)="Dialogue:","SHOW","")))</f>
        <v>EMPTY</v>
      </c>
      <c r="D649" s="3" t="str">
        <f>IF(C649="SHOW",CONCATENATE(Temp!T645,Temp!U645,",",Temp!V645,",",Temp!W645,Temp!X645),"")</f>
        <v/>
      </c>
      <c r="E649" s="7"/>
      <c r="F649" s="8" t="str">
        <f t="shared" ref="F649:F712" si="21">$D649</f>
        <v/>
      </c>
      <c r="BY649" s="4" t="s">
        <v>5</v>
      </c>
      <c r="BZ649" s="4" t="s">
        <v>5</v>
      </c>
    </row>
    <row r="650" spans="1:78" x14ac:dyDescent="0.25">
      <c r="A650" s="13" t="str">
        <f>IF(AND($E650="",MAX($A$8:$A649)=0),"",IF(AND($E650&lt;&gt;"",MAX($A$8:$A649)=0),1,IF(AND($E650&lt;&gt;"",MAX($A$8:$A649)&gt;0),MAX($A$8:$A649)+1,"")))</f>
        <v/>
      </c>
      <c r="B650" s="11">
        <v>643</v>
      </c>
      <c r="C650" s="19" t="str">
        <f t="shared" si="20"/>
        <v>EMPTY</v>
      </c>
      <c r="D650" s="3" t="str">
        <f>IF(C650="SHOW",CONCATENATE(Temp!T646,Temp!U646,",",Temp!V646,",",Temp!W646,Temp!X646),"")</f>
        <v/>
      </c>
      <c r="E650" s="7"/>
      <c r="F650" s="8" t="str">
        <f t="shared" si="21"/>
        <v/>
      </c>
      <c r="BY650" s="4" t="s">
        <v>5</v>
      </c>
      <c r="BZ650" s="4" t="s">
        <v>5</v>
      </c>
    </row>
    <row r="651" spans="1:78" x14ac:dyDescent="0.25">
      <c r="A651" s="13" t="str">
        <f>IF(AND($E651="",MAX($A$8:$A650)=0),"",IF(AND($E651&lt;&gt;"",MAX($A$8:$A650)=0),1,IF(AND($E651&lt;&gt;"",MAX($A$8:$A650)&gt;0),MAX($A$8:$A650)+1,"")))</f>
        <v/>
      </c>
      <c r="B651" s="11">
        <v>644</v>
      </c>
      <c r="C651" s="19" t="str">
        <f t="shared" si="20"/>
        <v>EMPTY</v>
      </c>
      <c r="D651" s="3" t="str">
        <f>IF(C651="SHOW",CONCATENATE(Temp!T647,Temp!U647,",",Temp!V647,",",Temp!W647,Temp!X647),"")</f>
        <v/>
      </c>
      <c r="E651" s="7"/>
      <c r="F651" s="8" t="str">
        <f t="shared" si="21"/>
        <v/>
      </c>
      <c r="BY651" s="4" t="s">
        <v>5</v>
      </c>
      <c r="BZ651" s="4" t="s">
        <v>5</v>
      </c>
    </row>
    <row r="652" spans="1:78" x14ac:dyDescent="0.25">
      <c r="A652" s="13" t="str">
        <f>IF(AND($E652="",MAX($A$8:$A651)=0),"",IF(AND($E652&lt;&gt;"",MAX($A$8:$A651)=0),1,IF(AND($E652&lt;&gt;"",MAX($A$8:$A651)&gt;0),MAX($A$8:$A651)+1,"")))</f>
        <v/>
      </c>
      <c r="B652" s="11">
        <v>645</v>
      </c>
      <c r="C652" s="19" t="str">
        <f t="shared" si="20"/>
        <v>EMPTY</v>
      </c>
      <c r="D652" s="3" t="str">
        <f>IF(C652="SHOW",CONCATENATE(Temp!T648,Temp!U648,",",Temp!V648,",",Temp!W648,Temp!X648),"")</f>
        <v/>
      </c>
      <c r="E652" s="7"/>
      <c r="F652" s="8" t="str">
        <f t="shared" si="21"/>
        <v/>
      </c>
      <c r="BY652" s="4" t="s">
        <v>5</v>
      </c>
      <c r="BZ652" s="4" t="s">
        <v>5</v>
      </c>
    </row>
    <row r="653" spans="1:78" x14ac:dyDescent="0.25">
      <c r="A653" s="13" t="str">
        <f>IF(AND($E653="",MAX($A$8:$A652)=0),"",IF(AND($E653&lt;&gt;"",MAX($A$8:$A652)=0),1,IF(AND($E653&lt;&gt;"",MAX($A$8:$A652)&gt;0),MAX($A$8:$A652)+1,"")))</f>
        <v/>
      </c>
      <c r="B653" s="11">
        <v>646</v>
      </c>
      <c r="C653" s="19" t="str">
        <f t="shared" si="20"/>
        <v>EMPTY</v>
      </c>
      <c r="D653" s="3" t="str">
        <f>IF(C653="SHOW",CONCATENATE(Temp!T649,Temp!U649,",",Temp!V649,",",Temp!W649,Temp!X649),"")</f>
        <v/>
      </c>
      <c r="E653" s="7"/>
      <c r="F653" s="8" t="str">
        <f t="shared" si="21"/>
        <v/>
      </c>
      <c r="BY653" s="4" t="s">
        <v>5</v>
      </c>
      <c r="BZ653" s="4" t="s">
        <v>5</v>
      </c>
    </row>
    <row r="654" spans="1:78" x14ac:dyDescent="0.25">
      <c r="A654" s="13" t="str">
        <f>IF(AND($E654="",MAX($A$8:$A653)=0),"",IF(AND($E654&lt;&gt;"",MAX($A$8:$A653)=0),1,IF(AND($E654&lt;&gt;"",MAX($A$8:$A653)&gt;0),MAX($A$8:$A653)+1,"")))</f>
        <v/>
      </c>
      <c r="B654" s="11">
        <v>647</v>
      </c>
      <c r="C654" s="19" t="str">
        <f t="shared" si="20"/>
        <v>EMPTY</v>
      </c>
      <c r="D654" s="3" t="str">
        <f>IF(C654="SHOW",CONCATENATE(Temp!T650,Temp!U650,",",Temp!V650,",",Temp!W650,Temp!X650),"")</f>
        <v/>
      </c>
      <c r="E654" s="7"/>
      <c r="F654" s="8" t="str">
        <f t="shared" si="21"/>
        <v/>
      </c>
      <c r="BY654" s="4" t="s">
        <v>5</v>
      </c>
      <c r="BZ654" s="4" t="s">
        <v>5</v>
      </c>
    </row>
    <row r="655" spans="1:78" x14ac:dyDescent="0.25">
      <c r="A655" s="13" t="str">
        <f>IF(AND($E655="",MAX($A$8:$A654)=0),"",IF(AND($E655&lt;&gt;"",MAX($A$8:$A654)=0),1,IF(AND($E655&lt;&gt;"",MAX($A$8:$A654)&gt;0),MAX($A$8:$A654)+1,"")))</f>
        <v/>
      </c>
      <c r="B655" s="11">
        <v>648</v>
      </c>
      <c r="C655" s="19" t="str">
        <f t="shared" si="20"/>
        <v>EMPTY</v>
      </c>
      <c r="D655" s="3" t="str">
        <f>IF(C655="SHOW",CONCATENATE(Temp!T651,Temp!U651,",",Temp!V651,",",Temp!W651,Temp!X651),"")</f>
        <v/>
      </c>
      <c r="E655" s="7"/>
      <c r="F655" s="8" t="str">
        <f t="shared" si="21"/>
        <v/>
      </c>
      <c r="BY655" s="4" t="s">
        <v>5</v>
      </c>
      <c r="BZ655" s="4" t="s">
        <v>5</v>
      </c>
    </row>
    <row r="656" spans="1:78" x14ac:dyDescent="0.25">
      <c r="A656" s="13" t="str">
        <f>IF(AND($E656="",MAX($A$8:$A655)=0),"",IF(AND($E656&lt;&gt;"",MAX($A$8:$A655)=0),1,IF(AND($E656&lt;&gt;"",MAX($A$8:$A655)&gt;0),MAX($A$8:$A655)+1,"")))</f>
        <v/>
      </c>
      <c r="B656" s="11">
        <v>649</v>
      </c>
      <c r="C656" s="19" t="str">
        <f t="shared" si="20"/>
        <v>EMPTY</v>
      </c>
      <c r="D656" s="3" t="str">
        <f>IF(C656="SHOW",CONCATENATE(Temp!T652,Temp!U652,",",Temp!V652,",",Temp!W652,Temp!X652),"")</f>
        <v/>
      </c>
      <c r="E656" s="7"/>
      <c r="F656" s="8" t="str">
        <f t="shared" si="21"/>
        <v/>
      </c>
      <c r="BY656" s="4" t="s">
        <v>5</v>
      </c>
      <c r="BZ656" s="4" t="s">
        <v>5</v>
      </c>
    </row>
    <row r="657" spans="1:78" x14ac:dyDescent="0.25">
      <c r="A657" s="13" t="str">
        <f>IF(AND($E657="",MAX($A$8:$A656)=0),"",IF(AND($E657&lt;&gt;"",MAX($A$8:$A656)=0),1,IF(AND($E657&lt;&gt;"",MAX($A$8:$A656)&gt;0),MAX($A$8:$A656)+1,"")))</f>
        <v/>
      </c>
      <c r="B657" s="11">
        <v>650</v>
      </c>
      <c r="C657" s="19" t="str">
        <f t="shared" si="20"/>
        <v>EMPTY</v>
      </c>
      <c r="D657" s="3" t="str">
        <f>IF(C657="SHOW",CONCATENATE(Temp!T653,Temp!U653,",",Temp!V653,",",Temp!W653,Temp!X653),"")</f>
        <v/>
      </c>
      <c r="E657" s="7"/>
      <c r="F657" s="8" t="str">
        <f t="shared" si="21"/>
        <v/>
      </c>
      <c r="BY657" s="4" t="s">
        <v>5</v>
      </c>
      <c r="BZ657" s="4" t="s">
        <v>5</v>
      </c>
    </row>
    <row r="658" spans="1:78" x14ac:dyDescent="0.25">
      <c r="A658" s="13" t="str">
        <f>IF(AND($E658="",MAX($A$8:$A657)=0),"",IF(AND($E658&lt;&gt;"",MAX($A$8:$A657)=0),1,IF(AND($E658&lt;&gt;"",MAX($A$8:$A657)&gt;0),MAX($A$8:$A657)+1,"")))</f>
        <v/>
      </c>
      <c r="B658" s="11">
        <v>651</v>
      </c>
      <c r="C658" s="19" t="str">
        <f t="shared" si="20"/>
        <v>EMPTY</v>
      </c>
      <c r="D658" s="3" t="str">
        <f>IF(C658="SHOW",CONCATENATE(Temp!T654,Temp!U654,",",Temp!V654,",",Temp!W654,Temp!X654),"")</f>
        <v/>
      </c>
      <c r="E658" s="7"/>
      <c r="F658" s="8" t="str">
        <f t="shared" si="21"/>
        <v/>
      </c>
      <c r="BY658" s="4" t="s">
        <v>5</v>
      </c>
      <c r="BZ658" s="4" t="s">
        <v>5</v>
      </c>
    </row>
    <row r="659" spans="1:78" x14ac:dyDescent="0.25">
      <c r="A659" s="13" t="str">
        <f>IF(AND($E659="",MAX($A$8:$A658)=0),"",IF(AND($E659&lt;&gt;"",MAX($A$8:$A658)=0),1,IF(AND($E659&lt;&gt;"",MAX($A$8:$A658)&gt;0),MAX($A$8:$A658)+1,"")))</f>
        <v/>
      </c>
      <c r="B659" s="11">
        <v>652</v>
      </c>
      <c r="C659" s="19" t="str">
        <f t="shared" si="20"/>
        <v>EMPTY</v>
      </c>
      <c r="D659" s="3" t="str">
        <f>IF(C659="SHOW",CONCATENATE(Temp!T655,Temp!U655,",",Temp!V655,",",Temp!W655,Temp!X655),"")</f>
        <v/>
      </c>
      <c r="E659" s="7"/>
      <c r="F659" s="8" t="str">
        <f t="shared" si="21"/>
        <v/>
      </c>
      <c r="BY659" s="4" t="s">
        <v>5</v>
      </c>
      <c r="BZ659" s="4" t="s">
        <v>5</v>
      </c>
    </row>
    <row r="660" spans="1:78" x14ac:dyDescent="0.25">
      <c r="A660" s="13" t="str">
        <f>IF(AND($E660="",MAX($A$8:$A659)=0),"",IF(AND($E660&lt;&gt;"",MAX($A$8:$A659)=0),1,IF(AND($E660&lt;&gt;"",MAX($A$8:$A659)&gt;0),MAX($A$8:$A659)+1,"")))</f>
        <v/>
      </c>
      <c r="B660" s="11">
        <v>653</v>
      </c>
      <c r="C660" s="19" t="str">
        <f t="shared" si="20"/>
        <v>EMPTY</v>
      </c>
      <c r="D660" s="3" t="str">
        <f>IF(C660="SHOW",CONCATENATE(Temp!T656,Temp!U656,",",Temp!V656,",",Temp!W656,Temp!X656),"")</f>
        <v/>
      </c>
      <c r="E660" s="7"/>
      <c r="F660" s="8" t="str">
        <f t="shared" si="21"/>
        <v/>
      </c>
      <c r="BY660" s="4" t="s">
        <v>5</v>
      </c>
      <c r="BZ660" s="4" t="s">
        <v>5</v>
      </c>
    </row>
    <row r="661" spans="1:78" x14ac:dyDescent="0.25">
      <c r="A661" s="13" t="str">
        <f>IF(AND($E661="",MAX($A$8:$A660)=0),"",IF(AND($E661&lt;&gt;"",MAX($A$8:$A660)=0),1,IF(AND($E661&lt;&gt;"",MAX($A$8:$A660)&gt;0),MAX($A$8:$A660)+1,"")))</f>
        <v/>
      </c>
      <c r="B661" s="11">
        <v>654</v>
      </c>
      <c r="C661" s="19" t="str">
        <f t="shared" si="20"/>
        <v>EMPTY</v>
      </c>
      <c r="D661" s="3" t="str">
        <f>IF(C661="SHOW",CONCATENATE(Temp!T657,Temp!U657,",",Temp!V657,",",Temp!W657,Temp!X657),"")</f>
        <v/>
      </c>
      <c r="E661" s="7"/>
      <c r="F661" s="8" t="str">
        <f t="shared" si="21"/>
        <v/>
      </c>
      <c r="BY661" s="4" t="s">
        <v>5</v>
      </c>
      <c r="BZ661" s="4" t="s">
        <v>5</v>
      </c>
    </row>
    <row r="662" spans="1:78" x14ac:dyDescent="0.25">
      <c r="A662" s="13" t="str">
        <f>IF(AND($E662="",MAX($A$8:$A661)=0),"",IF(AND($E662&lt;&gt;"",MAX($A$8:$A661)=0),1,IF(AND($E662&lt;&gt;"",MAX($A$8:$A661)&gt;0),MAX($A$8:$A661)+1,"")))</f>
        <v/>
      </c>
      <c r="B662" s="11">
        <v>655</v>
      </c>
      <c r="C662" s="19" t="str">
        <f t="shared" si="20"/>
        <v>EMPTY</v>
      </c>
      <c r="D662" s="3" t="str">
        <f>IF(C662="SHOW",CONCATENATE(Temp!T658,Temp!U658,",",Temp!V658,",",Temp!W658,Temp!X658),"")</f>
        <v/>
      </c>
      <c r="E662" s="7"/>
      <c r="F662" s="8" t="str">
        <f t="shared" si="21"/>
        <v/>
      </c>
      <c r="BY662" s="4" t="s">
        <v>5</v>
      </c>
      <c r="BZ662" s="4" t="s">
        <v>5</v>
      </c>
    </row>
    <row r="663" spans="1:78" x14ac:dyDescent="0.25">
      <c r="A663" s="13" t="str">
        <f>IF(AND($E663="",MAX($A$8:$A662)=0),"",IF(AND($E663&lt;&gt;"",MAX($A$8:$A662)=0),1,IF(AND($E663&lt;&gt;"",MAX($A$8:$A662)&gt;0),MAX($A$8:$A662)+1,"")))</f>
        <v/>
      </c>
      <c r="B663" s="11">
        <v>656</v>
      </c>
      <c r="C663" s="19" t="str">
        <f t="shared" si="20"/>
        <v>EMPTY</v>
      </c>
      <c r="D663" s="3" t="str">
        <f>IF(C663="SHOW",CONCATENATE(Temp!T659,Temp!U659,",",Temp!V659,",",Temp!W659,Temp!X659),"")</f>
        <v/>
      </c>
      <c r="E663" s="7"/>
      <c r="F663" s="8" t="str">
        <f t="shared" si="21"/>
        <v/>
      </c>
      <c r="BY663" s="4" t="s">
        <v>5</v>
      </c>
      <c r="BZ663" s="4" t="s">
        <v>5</v>
      </c>
    </row>
    <row r="664" spans="1:78" x14ac:dyDescent="0.25">
      <c r="A664" s="13" t="str">
        <f>IF(AND($E664="",MAX($A$8:$A663)=0),"",IF(AND($E664&lt;&gt;"",MAX($A$8:$A663)=0),1,IF(AND($E664&lt;&gt;"",MAX($A$8:$A663)&gt;0),MAX($A$8:$A663)+1,"")))</f>
        <v/>
      </c>
      <c r="B664" s="11">
        <v>657</v>
      </c>
      <c r="C664" s="19" t="str">
        <f t="shared" si="20"/>
        <v>EMPTY</v>
      </c>
      <c r="D664" s="3" t="str">
        <f>IF(C664="SHOW",CONCATENATE(Temp!T660,Temp!U660,",",Temp!V660,",",Temp!W660,Temp!X660),"")</f>
        <v/>
      </c>
      <c r="E664" s="7"/>
      <c r="F664" s="8" t="str">
        <f t="shared" si="21"/>
        <v/>
      </c>
      <c r="BY664" s="4" t="s">
        <v>5</v>
      </c>
      <c r="BZ664" s="4" t="s">
        <v>5</v>
      </c>
    </row>
    <row r="665" spans="1:78" x14ac:dyDescent="0.25">
      <c r="A665" s="13" t="str">
        <f>IF(AND($E665="",MAX($A$8:$A664)=0),"",IF(AND($E665&lt;&gt;"",MAX($A$8:$A664)=0),1,IF(AND($E665&lt;&gt;"",MAX($A$8:$A664)&gt;0),MAX($A$8:$A664)+1,"")))</f>
        <v/>
      </c>
      <c r="B665" s="11">
        <v>658</v>
      </c>
      <c r="C665" s="19" t="str">
        <f t="shared" si="20"/>
        <v>EMPTY</v>
      </c>
      <c r="D665" s="3" t="str">
        <f>IF(C665="SHOW",CONCATENATE(Temp!T661,Temp!U661,",",Temp!V661,",",Temp!W661,Temp!X661),"")</f>
        <v/>
      </c>
      <c r="E665" s="7"/>
      <c r="F665" s="8" t="str">
        <f t="shared" si="21"/>
        <v/>
      </c>
      <c r="BY665" s="4" t="s">
        <v>5</v>
      </c>
      <c r="BZ665" s="4" t="s">
        <v>5</v>
      </c>
    </row>
    <row r="666" spans="1:78" x14ac:dyDescent="0.25">
      <c r="A666" s="13" t="str">
        <f>IF(AND($E666="",MAX($A$8:$A665)=0),"",IF(AND($E666&lt;&gt;"",MAX($A$8:$A665)=0),1,IF(AND($E666&lt;&gt;"",MAX($A$8:$A665)&gt;0),MAX($A$8:$A665)+1,"")))</f>
        <v/>
      </c>
      <c r="B666" s="11">
        <v>659</v>
      </c>
      <c r="C666" s="19" t="str">
        <f t="shared" si="20"/>
        <v>EMPTY</v>
      </c>
      <c r="D666" s="3" t="str">
        <f>IF(C666="SHOW",CONCATENATE(Temp!T662,Temp!U662,",",Temp!V662,",",Temp!W662,Temp!X662),"")</f>
        <v/>
      </c>
      <c r="E666" s="7"/>
      <c r="F666" s="8" t="str">
        <f t="shared" si="21"/>
        <v/>
      </c>
      <c r="BY666" s="4" t="s">
        <v>5</v>
      </c>
      <c r="BZ666" s="4" t="s">
        <v>5</v>
      </c>
    </row>
    <row r="667" spans="1:78" x14ac:dyDescent="0.25">
      <c r="A667" s="13" t="str">
        <f>IF(AND($E667="",MAX($A$8:$A666)=0),"",IF(AND($E667&lt;&gt;"",MAX($A$8:$A666)=0),1,IF(AND($E667&lt;&gt;"",MAX($A$8:$A666)&gt;0),MAX($A$8:$A666)+1,"")))</f>
        <v/>
      </c>
      <c r="B667" s="11">
        <v>660</v>
      </c>
      <c r="C667" s="19" t="str">
        <f t="shared" si="20"/>
        <v>EMPTY</v>
      </c>
      <c r="D667" s="3" t="str">
        <f>IF(C667="SHOW",CONCATENATE(Temp!T663,Temp!U663,",",Temp!V663,",",Temp!W663,Temp!X663),"")</f>
        <v/>
      </c>
      <c r="E667" s="7"/>
      <c r="F667" s="8" t="str">
        <f t="shared" si="21"/>
        <v/>
      </c>
      <c r="BY667" s="4" t="s">
        <v>5</v>
      </c>
      <c r="BZ667" s="4" t="s">
        <v>5</v>
      </c>
    </row>
    <row r="668" spans="1:78" x14ac:dyDescent="0.25">
      <c r="A668" s="13" t="str">
        <f>IF(AND($E668="",MAX($A$8:$A667)=0),"",IF(AND($E668&lt;&gt;"",MAX($A$8:$A667)=0),1,IF(AND($E668&lt;&gt;"",MAX($A$8:$A667)&gt;0),MAX($A$8:$A667)+1,"")))</f>
        <v/>
      </c>
      <c r="B668" s="11">
        <v>661</v>
      </c>
      <c r="C668" s="19" t="str">
        <f t="shared" si="20"/>
        <v>EMPTY</v>
      </c>
      <c r="D668" s="3" t="str">
        <f>IF(C668="SHOW",CONCATENATE(Temp!T664,Temp!U664,",",Temp!V664,",",Temp!W664,Temp!X664),"")</f>
        <v/>
      </c>
      <c r="E668" s="7"/>
      <c r="F668" s="8" t="str">
        <f t="shared" si="21"/>
        <v/>
      </c>
      <c r="BY668" s="4" t="s">
        <v>5</v>
      </c>
      <c r="BZ668" s="4" t="s">
        <v>5</v>
      </c>
    </row>
    <row r="669" spans="1:78" x14ac:dyDescent="0.25">
      <c r="A669" s="13" t="str">
        <f>IF(AND($E669="",MAX($A$8:$A668)=0),"",IF(AND($E669&lt;&gt;"",MAX($A$8:$A668)=0),1,IF(AND($E669&lt;&gt;"",MAX($A$8:$A668)&gt;0),MAX($A$8:$A668)+1,"")))</f>
        <v/>
      </c>
      <c r="B669" s="11">
        <v>662</v>
      </c>
      <c r="C669" s="19" t="str">
        <f t="shared" si="20"/>
        <v>EMPTY</v>
      </c>
      <c r="D669" s="3" t="str">
        <f>IF(C669="SHOW",CONCATENATE(Temp!T665,Temp!U665,",",Temp!V665,",",Temp!W665,Temp!X665),"")</f>
        <v/>
      </c>
      <c r="E669" s="7"/>
      <c r="F669" s="8" t="str">
        <f t="shared" si="21"/>
        <v/>
      </c>
      <c r="BZ669" s="4" t="s">
        <v>5</v>
      </c>
    </row>
    <row r="670" spans="1:78" x14ac:dyDescent="0.25">
      <c r="A670" s="13" t="str">
        <f>IF(AND($E670="",MAX($A$8:$A669)=0),"",IF(AND($E670&lt;&gt;"",MAX($A$8:$A669)=0),1,IF(AND($E670&lt;&gt;"",MAX($A$8:$A669)&gt;0),MAX($A$8:$A669)+1,"")))</f>
        <v/>
      </c>
      <c r="B670" s="11">
        <v>663</v>
      </c>
      <c r="C670" s="19" t="str">
        <f t="shared" si="20"/>
        <v>EMPTY</v>
      </c>
      <c r="D670" s="3" t="str">
        <f>IF(C670="SHOW",CONCATENATE(Temp!T666,Temp!U666,",",Temp!V666,",",Temp!W666,Temp!X666),"")</f>
        <v/>
      </c>
      <c r="E670" s="7"/>
      <c r="F670" s="8" t="str">
        <f t="shared" si="21"/>
        <v/>
      </c>
      <c r="BY670" s="4" t="s">
        <v>5</v>
      </c>
      <c r="BZ670" s="4" t="s">
        <v>5</v>
      </c>
    </row>
    <row r="671" spans="1:78" x14ac:dyDescent="0.25">
      <c r="A671" s="13" t="str">
        <f>IF(AND($E671="",MAX($A$8:$A670)=0),"",IF(AND($E671&lt;&gt;"",MAX($A$8:$A670)=0),1,IF(AND($E671&lt;&gt;"",MAX($A$8:$A670)&gt;0),MAX($A$8:$A670)+1,"")))</f>
        <v/>
      </c>
      <c r="B671" s="11">
        <v>664</v>
      </c>
      <c r="C671" s="19" t="str">
        <f t="shared" si="20"/>
        <v>EMPTY</v>
      </c>
      <c r="D671" s="3" t="str">
        <f>IF(C671="SHOW",CONCATENATE(Temp!T667,Temp!U667,",",Temp!V667,",",Temp!W667,Temp!X667),"")</f>
        <v/>
      </c>
      <c r="E671" s="7"/>
      <c r="F671" s="8" t="str">
        <f t="shared" si="21"/>
        <v/>
      </c>
      <c r="BY671" s="4" t="s">
        <v>5</v>
      </c>
      <c r="BZ671" s="4" t="s">
        <v>5</v>
      </c>
    </row>
    <row r="672" spans="1:78" x14ac:dyDescent="0.25">
      <c r="A672" s="13" t="str">
        <f>IF(AND($E672="",MAX($A$8:$A671)=0),"",IF(AND($E672&lt;&gt;"",MAX($A$8:$A671)=0),1,IF(AND($E672&lt;&gt;"",MAX($A$8:$A671)&gt;0),MAX($A$8:$A671)+1,"")))</f>
        <v/>
      </c>
      <c r="B672" s="11">
        <v>665</v>
      </c>
      <c r="C672" s="19" t="str">
        <f t="shared" si="20"/>
        <v>EMPTY</v>
      </c>
      <c r="D672" s="3" t="str">
        <f>IF(C672="SHOW",CONCATENATE(Temp!T668,Temp!U668,",",Temp!V668,",",Temp!W668,Temp!X668),"")</f>
        <v/>
      </c>
      <c r="E672" s="7"/>
      <c r="F672" s="8" t="str">
        <f t="shared" si="21"/>
        <v/>
      </c>
      <c r="BY672" s="4" t="s">
        <v>5</v>
      </c>
      <c r="BZ672" s="4" t="s">
        <v>5</v>
      </c>
    </row>
    <row r="673" spans="1:78" x14ac:dyDescent="0.25">
      <c r="A673" s="13" t="str">
        <f>IF(AND($E673="",MAX($A$8:$A672)=0),"",IF(AND($E673&lt;&gt;"",MAX($A$8:$A672)=0),1,IF(AND($E673&lt;&gt;"",MAX($A$8:$A672)&gt;0),MAX($A$8:$A672)+1,"")))</f>
        <v/>
      </c>
      <c r="B673" s="11">
        <v>666</v>
      </c>
      <c r="C673" s="19" t="str">
        <f t="shared" si="20"/>
        <v>EMPTY</v>
      </c>
      <c r="D673" s="3" t="str">
        <f>IF(C673="SHOW",CONCATENATE(Temp!T669,Temp!U669,",",Temp!V669,",",Temp!W669,Temp!X669),"")</f>
        <v/>
      </c>
      <c r="E673" s="7"/>
      <c r="F673" s="8" t="str">
        <f t="shared" si="21"/>
        <v/>
      </c>
      <c r="BY673" s="4" t="s">
        <v>5</v>
      </c>
      <c r="BZ673" s="4" t="s">
        <v>5</v>
      </c>
    </row>
    <row r="674" spans="1:78" x14ac:dyDescent="0.25">
      <c r="A674" s="13" t="str">
        <f>IF(AND($E674="",MAX($A$8:$A673)=0),"",IF(AND($E674&lt;&gt;"",MAX($A$8:$A673)=0),1,IF(AND($E674&lt;&gt;"",MAX($A$8:$A673)&gt;0),MAX($A$8:$A673)+1,"")))</f>
        <v/>
      </c>
      <c r="B674" s="11">
        <v>667</v>
      </c>
      <c r="C674" s="19" t="str">
        <f t="shared" si="20"/>
        <v>EMPTY</v>
      </c>
      <c r="D674" s="3" t="str">
        <f>IF(C674="SHOW",CONCATENATE(Temp!T670,Temp!U670,",",Temp!V670,",",Temp!W670,Temp!X670),"")</f>
        <v/>
      </c>
      <c r="E674" s="7"/>
      <c r="F674" s="8" t="str">
        <f t="shared" si="21"/>
        <v/>
      </c>
      <c r="BY674" s="4" t="s">
        <v>5</v>
      </c>
      <c r="BZ674" s="4" t="s">
        <v>5</v>
      </c>
    </row>
    <row r="675" spans="1:78" x14ac:dyDescent="0.25">
      <c r="A675" s="13" t="str">
        <f>IF(AND($E675="",MAX($A$8:$A674)=0),"",IF(AND($E675&lt;&gt;"",MAX($A$8:$A674)=0),1,IF(AND($E675&lt;&gt;"",MAX($A$8:$A674)&gt;0),MAX($A$8:$A674)+1,"")))</f>
        <v/>
      </c>
      <c r="B675" s="11">
        <v>668</v>
      </c>
      <c r="C675" s="19" t="str">
        <f t="shared" si="20"/>
        <v>EMPTY</v>
      </c>
      <c r="D675" s="3" t="str">
        <f>IF(C675="SHOW",CONCATENATE(Temp!T671,Temp!U671,",",Temp!V671,",",Temp!W671,Temp!X671),"")</f>
        <v/>
      </c>
      <c r="E675" s="7"/>
      <c r="F675" s="8" t="str">
        <f t="shared" si="21"/>
        <v/>
      </c>
      <c r="BY675" s="4" t="s">
        <v>5</v>
      </c>
      <c r="BZ675" s="4" t="s">
        <v>5</v>
      </c>
    </row>
    <row r="676" spans="1:78" x14ac:dyDescent="0.25">
      <c r="A676" s="13" t="str">
        <f>IF(AND($E676="",MAX($A$8:$A675)=0),"",IF(AND($E676&lt;&gt;"",MAX($A$8:$A675)=0),1,IF(AND($E676&lt;&gt;"",MAX($A$8:$A675)&gt;0),MAX($A$8:$A675)+1,"")))</f>
        <v/>
      </c>
      <c r="B676" s="11">
        <v>669</v>
      </c>
      <c r="C676" s="19" t="str">
        <f t="shared" si="20"/>
        <v>EMPTY</v>
      </c>
      <c r="D676" s="3" t="str">
        <f>IF(C676="SHOW",CONCATENATE(Temp!T672,Temp!U672,",",Temp!V672,",",Temp!W672,Temp!X672),"")</f>
        <v/>
      </c>
      <c r="E676" s="7"/>
      <c r="F676" s="8" t="str">
        <f t="shared" si="21"/>
        <v/>
      </c>
      <c r="BY676" s="4" t="s">
        <v>5</v>
      </c>
      <c r="BZ676" s="4" t="s">
        <v>5</v>
      </c>
    </row>
    <row r="677" spans="1:78" x14ac:dyDescent="0.25">
      <c r="A677" s="13" t="str">
        <f>IF(AND($E677="",MAX($A$8:$A676)=0),"",IF(AND($E677&lt;&gt;"",MAX($A$8:$A676)=0),1,IF(AND($E677&lt;&gt;"",MAX($A$8:$A676)&gt;0),MAX($A$8:$A676)+1,"")))</f>
        <v/>
      </c>
      <c r="B677" s="11">
        <v>670</v>
      </c>
      <c r="C677" s="19" t="str">
        <f t="shared" si="20"/>
        <v>EMPTY</v>
      </c>
      <c r="D677" s="3" t="str">
        <f>IF(C677="SHOW",CONCATENATE(Temp!T673,Temp!U673,",",Temp!V673,",",Temp!W673,Temp!X673),"")</f>
        <v/>
      </c>
      <c r="E677" s="7"/>
      <c r="F677" s="8" t="str">
        <f t="shared" si="21"/>
        <v/>
      </c>
      <c r="BY677" s="4" t="s">
        <v>5</v>
      </c>
      <c r="BZ677" s="4" t="s">
        <v>5</v>
      </c>
    </row>
    <row r="678" spans="1:78" x14ac:dyDescent="0.25">
      <c r="A678" s="13" t="str">
        <f>IF(AND($E678="",MAX($A$8:$A677)=0),"",IF(AND($E678&lt;&gt;"",MAX($A$8:$A677)=0),1,IF(AND($E678&lt;&gt;"",MAX($A$8:$A677)&gt;0),MAX($A$8:$A677)+1,"")))</f>
        <v/>
      </c>
      <c r="B678" s="11">
        <v>671</v>
      </c>
      <c r="C678" s="19" t="str">
        <f t="shared" si="20"/>
        <v>EMPTY</v>
      </c>
      <c r="D678" s="3" t="str">
        <f>IF(C678="SHOW",CONCATENATE(Temp!T674,Temp!U674,",",Temp!V674,",",Temp!W674,Temp!X674),"")</f>
        <v/>
      </c>
      <c r="E678" s="7"/>
      <c r="F678" s="8" t="str">
        <f t="shared" si="21"/>
        <v/>
      </c>
      <c r="BY678" s="4" t="s">
        <v>5</v>
      </c>
      <c r="BZ678" s="4" t="s">
        <v>5</v>
      </c>
    </row>
    <row r="679" spans="1:78" x14ac:dyDescent="0.25">
      <c r="A679" s="13" t="str">
        <f>IF(AND($E679="",MAX($A$8:$A678)=0),"",IF(AND($E679&lt;&gt;"",MAX($A$8:$A678)=0),1,IF(AND($E679&lt;&gt;"",MAX($A$8:$A678)&gt;0),MAX($A$8:$A678)+1,"")))</f>
        <v/>
      </c>
      <c r="B679" s="11">
        <v>672</v>
      </c>
      <c r="C679" s="19" t="str">
        <f t="shared" si="20"/>
        <v>EMPTY</v>
      </c>
      <c r="D679" s="3" t="str">
        <f>IF(C679="SHOW",CONCATENATE(Temp!T675,Temp!U675,",",Temp!V675,",",Temp!W675,Temp!X675),"")</f>
        <v/>
      </c>
      <c r="E679" s="7"/>
      <c r="F679" s="8" t="str">
        <f t="shared" si="21"/>
        <v/>
      </c>
      <c r="BY679" s="4" t="s">
        <v>5</v>
      </c>
      <c r="BZ679" s="4" t="s">
        <v>5</v>
      </c>
    </row>
    <row r="680" spans="1:78" x14ac:dyDescent="0.25">
      <c r="A680" s="13" t="str">
        <f>IF(AND($E680="",MAX($A$8:$A679)=0),"",IF(AND($E680&lt;&gt;"",MAX($A$8:$A679)=0),1,IF(AND($E680&lt;&gt;"",MAX($A$8:$A679)&gt;0),MAX($A$8:$A679)+1,"")))</f>
        <v/>
      </c>
      <c r="B680" s="11">
        <v>673</v>
      </c>
      <c r="C680" s="19" t="str">
        <f t="shared" si="20"/>
        <v>EMPTY</v>
      </c>
      <c r="D680" s="3" t="str">
        <f>IF(C680="SHOW",CONCATENATE(Temp!T676,Temp!U676,",",Temp!V676,",",Temp!W676,Temp!X676),"")</f>
        <v/>
      </c>
      <c r="E680" s="7"/>
      <c r="F680" s="8" t="str">
        <f t="shared" si="21"/>
        <v/>
      </c>
      <c r="BY680" s="4" t="s">
        <v>5</v>
      </c>
      <c r="BZ680" s="4" t="s">
        <v>5</v>
      </c>
    </row>
    <row r="681" spans="1:78" x14ac:dyDescent="0.25">
      <c r="A681" s="13" t="str">
        <f>IF(AND($E681="",MAX($A$8:$A680)=0),"",IF(AND($E681&lt;&gt;"",MAX($A$8:$A680)=0),1,IF(AND($E681&lt;&gt;"",MAX($A$8:$A680)&gt;0),MAX($A$8:$A680)+1,"")))</f>
        <v/>
      </c>
      <c r="B681" s="11">
        <v>674</v>
      </c>
      <c r="C681" s="19" t="str">
        <f t="shared" si="20"/>
        <v>EMPTY</v>
      </c>
      <c r="D681" s="3" t="str">
        <f>IF(C681="SHOW",CONCATENATE(Temp!T677,Temp!U677,",",Temp!V677,",",Temp!W677,Temp!X677),"")</f>
        <v/>
      </c>
      <c r="E681" s="7"/>
      <c r="F681" s="8" t="str">
        <f t="shared" si="21"/>
        <v/>
      </c>
      <c r="BY681" s="4" t="s">
        <v>5</v>
      </c>
      <c r="BZ681" s="4" t="s">
        <v>5</v>
      </c>
    </row>
    <row r="682" spans="1:78" x14ac:dyDescent="0.25">
      <c r="A682" s="13" t="str">
        <f>IF(AND($E682="",MAX($A$8:$A681)=0),"",IF(AND($E682&lt;&gt;"",MAX($A$8:$A681)=0),1,IF(AND($E682&lt;&gt;"",MAX($A$8:$A681)&gt;0),MAX($A$8:$A681)+1,"")))</f>
        <v/>
      </c>
      <c r="B682" s="11">
        <v>675</v>
      </c>
      <c r="C682" s="19" t="str">
        <f t="shared" si="20"/>
        <v>EMPTY</v>
      </c>
      <c r="D682" s="3" t="str">
        <f>IF(C682="SHOW",CONCATENATE(Temp!T678,Temp!U678,",",Temp!V678,",",Temp!W678,Temp!X678),"")</f>
        <v/>
      </c>
      <c r="E682" s="7"/>
      <c r="F682" s="8" t="str">
        <f t="shared" si="21"/>
        <v/>
      </c>
      <c r="BY682" s="4" t="s">
        <v>5</v>
      </c>
      <c r="BZ682" s="4" t="s">
        <v>5</v>
      </c>
    </row>
    <row r="683" spans="1:78" x14ac:dyDescent="0.25">
      <c r="A683" s="13" t="str">
        <f>IF(AND($E683="",MAX($A$8:$A682)=0),"",IF(AND($E683&lt;&gt;"",MAX($A$8:$A682)=0),1,IF(AND($E683&lt;&gt;"",MAX($A$8:$A682)&gt;0),MAX($A$8:$A682)+1,"")))</f>
        <v/>
      </c>
      <c r="B683" s="11">
        <v>676</v>
      </c>
      <c r="C683" s="19" t="str">
        <f t="shared" si="20"/>
        <v>EMPTY</v>
      </c>
      <c r="D683" s="3" t="str">
        <f>IF(C683="SHOW",CONCATENATE(Temp!T679,Temp!U679,",",Temp!V679,",",Temp!W679,Temp!X679),"")</f>
        <v/>
      </c>
      <c r="E683" s="7"/>
      <c r="F683" s="8" t="str">
        <f t="shared" si="21"/>
        <v/>
      </c>
      <c r="BY683" s="4" t="s">
        <v>5</v>
      </c>
      <c r="BZ683" s="4" t="s">
        <v>5</v>
      </c>
    </row>
    <row r="684" spans="1:78" x14ac:dyDescent="0.25">
      <c r="A684" s="13" t="str">
        <f>IF(AND($E684="",MAX($A$8:$A683)=0),"",IF(AND($E684&lt;&gt;"",MAX($A$8:$A683)=0),1,IF(AND($E684&lt;&gt;"",MAX($A$8:$A683)&gt;0),MAX($A$8:$A683)+1,"")))</f>
        <v/>
      </c>
      <c r="B684" s="11">
        <v>677</v>
      </c>
      <c r="C684" s="19" t="str">
        <f t="shared" si="20"/>
        <v>EMPTY</v>
      </c>
      <c r="D684" s="3" t="str">
        <f>IF(C684="SHOW",CONCATENATE(Temp!T680,Temp!U680,",",Temp!V680,",",Temp!W680,Temp!X680),"")</f>
        <v/>
      </c>
      <c r="E684" s="7"/>
      <c r="F684" s="8" t="str">
        <f t="shared" si="21"/>
        <v/>
      </c>
      <c r="BY684" s="4" t="s">
        <v>5</v>
      </c>
      <c r="BZ684" s="4" t="s">
        <v>5</v>
      </c>
    </row>
    <row r="685" spans="1:78" x14ac:dyDescent="0.25">
      <c r="A685" s="13" t="str">
        <f>IF(AND($E685="",MAX($A$8:$A684)=0),"",IF(AND($E685&lt;&gt;"",MAX($A$8:$A684)=0),1,IF(AND($E685&lt;&gt;"",MAX($A$8:$A684)&gt;0),MAX($A$8:$A684)+1,"")))</f>
        <v/>
      </c>
      <c r="B685" s="11">
        <v>678</v>
      </c>
      <c r="C685" s="19" t="str">
        <f t="shared" si="20"/>
        <v>EMPTY</v>
      </c>
      <c r="D685" s="3" t="str">
        <f>IF(C685="SHOW",CONCATENATE(Temp!T681,Temp!U681,",",Temp!V681,",",Temp!W681,Temp!X681),"")</f>
        <v/>
      </c>
      <c r="E685" s="7"/>
      <c r="F685" s="8" t="str">
        <f t="shared" si="21"/>
        <v/>
      </c>
      <c r="BY685" s="4" t="s">
        <v>5</v>
      </c>
      <c r="BZ685" s="4" t="s">
        <v>5</v>
      </c>
    </row>
    <row r="686" spans="1:78" x14ac:dyDescent="0.25">
      <c r="A686" s="13" t="str">
        <f>IF(AND($E686="",MAX($A$8:$A685)=0),"",IF(AND($E686&lt;&gt;"",MAX($A$8:$A685)=0),1,IF(AND($E686&lt;&gt;"",MAX($A$8:$A685)&gt;0),MAX($A$8:$A685)+1,"")))</f>
        <v/>
      </c>
      <c r="B686" s="11">
        <v>679</v>
      </c>
      <c r="C686" s="19" t="str">
        <f t="shared" si="20"/>
        <v>EMPTY</v>
      </c>
      <c r="D686" s="3" t="str">
        <f>IF(C686="SHOW",CONCATENATE(Temp!T682,Temp!U682,",",Temp!V682,",",Temp!W682,Temp!X682),"")</f>
        <v/>
      </c>
      <c r="E686" s="7"/>
      <c r="F686" s="8" t="str">
        <f t="shared" si="21"/>
        <v/>
      </c>
      <c r="BY686" s="4" t="s">
        <v>5</v>
      </c>
      <c r="BZ686" s="4" t="s">
        <v>5</v>
      </c>
    </row>
    <row r="687" spans="1:78" x14ac:dyDescent="0.25">
      <c r="A687" s="13" t="str">
        <f>IF(AND($E687="",MAX($A$8:$A686)=0),"",IF(AND($E687&lt;&gt;"",MAX($A$8:$A686)=0),1,IF(AND($E687&lt;&gt;"",MAX($A$8:$A686)&gt;0),MAX($A$8:$A686)+1,"")))</f>
        <v/>
      </c>
      <c r="B687" s="11">
        <v>680</v>
      </c>
      <c r="C687" s="19" t="str">
        <f t="shared" si="20"/>
        <v>EMPTY</v>
      </c>
      <c r="D687" s="3" t="str">
        <f>IF(C687="SHOW",CONCATENATE(Temp!T683,Temp!U683,",",Temp!V683,",",Temp!W683,Temp!X683),"")</f>
        <v/>
      </c>
      <c r="E687" s="7"/>
      <c r="F687" s="8" t="str">
        <f t="shared" si="21"/>
        <v/>
      </c>
      <c r="BY687" s="4" t="s">
        <v>5</v>
      </c>
      <c r="BZ687" s="4" t="s">
        <v>5</v>
      </c>
    </row>
    <row r="688" spans="1:78" x14ac:dyDescent="0.25">
      <c r="A688" s="13" t="str">
        <f>IF(AND($E688="",MAX($A$8:$A687)=0),"",IF(AND($E688&lt;&gt;"",MAX($A$8:$A687)=0),1,IF(AND($E688&lt;&gt;"",MAX($A$8:$A687)&gt;0),MAX($A$8:$A687)+1,"")))</f>
        <v/>
      </c>
      <c r="B688" s="11">
        <v>681</v>
      </c>
      <c r="C688" s="19" t="str">
        <f t="shared" si="20"/>
        <v>EMPTY</v>
      </c>
      <c r="D688" s="3" t="str">
        <f>IF(C688="SHOW",CONCATENATE(Temp!T684,Temp!U684,",",Temp!V684,",",Temp!W684,Temp!X684),"")</f>
        <v/>
      </c>
      <c r="E688" s="7"/>
      <c r="F688" s="8" t="str">
        <f t="shared" si="21"/>
        <v/>
      </c>
      <c r="BY688" s="4" t="s">
        <v>5</v>
      </c>
      <c r="BZ688" s="4" t="s">
        <v>5</v>
      </c>
    </row>
    <row r="689" spans="1:78" x14ac:dyDescent="0.25">
      <c r="A689" s="13" t="str">
        <f>IF(AND($E689="",MAX($A$8:$A688)=0),"",IF(AND($E689&lt;&gt;"",MAX($A$8:$A688)=0),1,IF(AND($E689&lt;&gt;"",MAX($A$8:$A688)&gt;0),MAX($A$8:$A688)+1,"")))</f>
        <v/>
      </c>
      <c r="B689" s="11">
        <v>682</v>
      </c>
      <c r="C689" s="19" t="str">
        <f t="shared" si="20"/>
        <v>EMPTY</v>
      </c>
      <c r="D689" s="3" t="str">
        <f>IF(C689="SHOW",CONCATENATE(Temp!T685,Temp!U685,",",Temp!V685,",",Temp!W685,Temp!X685),"")</f>
        <v/>
      </c>
      <c r="E689" s="7"/>
      <c r="F689" s="8" t="str">
        <f t="shared" si="21"/>
        <v/>
      </c>
      <c r="BY689" s="4" t="s">
        <v>5</v>
      </c>
      <c r="BZ689" s="4" t="s">
        <v>5</v>
      </c>
    </row>
    <row r="690" spans="1:78" x14ac:dyDescent="0.25">
      <c r="A690" s="13" t="str">
        <f>IF(AND($E690="",MAX($A$8:$A689)=0),"",IF(AND($E690&lt;&gt;"",MAX($A$8:$A689)=0),1,IF(AND($E690&lt;&gt;"",MAX($A$8:$A689)&gt;0),MAX($A$8:$A689)+1,"")))</f>
        <v/>
      </c>
      <c r="B690" s="11">
        <v>683</v>
      </c>
      <c r="C690" s="19" t="str">
        <f t="shared" si="20"/>
        <v>EMPTY</v>
      </c>
      <c r="D690" s="3" t="str">
        <f>IF(C690="SHOW",CONCATENATE(Temp!T686,Temp!U686,",",Temp!V686,",",Temp!W686,Temp!X686),"")</f>
        <v/>
      </c>
      <c r="E690" s="7"/>
      <c r="F690" s="8" t="str">
        <f t="shared" si="21"/>
        <v/>
      </c>
      <c r="BY690" s="4" t="s">
        <v>5</v>
      </c>
      <c r="BZ690" s="4" t="s">
        <v>5</v>
      </c>
    </row>
    <row r="691" spans="1:78" x14ac:dyDescent="0.25">
      <c r="A691" s="13" t="str">
        <f>IF(AND($E691="",MAX($A$8:$A690)=0),"",IF(AND($E691&lt;&gt;"",MAX($A$8:$A690)=0),1,IF(AND($E691&lt;&gt;"",MAX($A$8:$A690)&gt;0),MAX($A$8:$A690)+1,"")))</f>
        <v/>
      </c>
      <c r="B691" s="11">
        <v>684</v>
      </c>
      <c r="C691" s="19" t="str">
        <f t="shared" si="20"/>
        <v>EMPTY</v>
      </c>
      <c r="D691" s="3" t="str">
        <f>IF(C691="SHOW",CONCATENATE(Temp!T687,Temp!U687,",",Temp!V687,",",Temp!W687,Temp!X687),"")</f>
        <v/>
      </c>
      <c r="E691" s="7"/>
      <c r="F691" s="8" t="str">
        <f t="shared" si="21"/>
        <v/>
      </c>
      <c r="BY691" s="4" t="s">
        <v>5</v>
      </c>
      <c r="BZ691" s="4" t="s">
        <v>5</v>
      </c>
    </row>
    <row r="692" spans="1:78" x14ac:dyDescent="0.25">
      <c r="A692" s="13" t="str">
        <f>IF(AND($E692="",MAX($A$8:$A691)=0),"",IF(AND($E692&lt;&gt;"",MAX($A$8:$A691)=0),1,IF(AND($E692&lt;&gt;"",MAX($A$8:$A691)&gt;0),MAX($A$8:$A691)+1,"")))</f>
        <v/>
      </c>
      <c r="B692" s="11">
        <v>685</v>
      </c>
      <c r="C692" s="19" t="str">
        <f t="shared" si="20"/>
        <v>EMPTY</v>
      </c>
      <c r="D692" s="3" t="str">
        <f>IF(C692="SHOW",CONCATENATE(Temp!T688,Temp!U688,",",Temp!V688,",",Temp!W688,Temp!X688),"")</f>
        <v/>
      </c>
      <c r="E692" s="7"/>
      <c r="F692" s="8" t="str">
        <f t="shared" si="21"/>
        <v/>
      </c>
      <c r="BY692" s="4" t="s">
        <v>5</v>
      </c>
      <c r="BZ692" s="4" t="s">
        <v>5</v>
      </c>
    </row>
    <row r="693" spans="1:78" x14ac:dyDescent="0.25">
      <c r="A693" s="13" t="str">
        <f>IF(AND($E693="",MAX($A$8:$A692)=0),"",IF(AND($E693&lt;&gt;"",MAX($A$8:$A692)=0),1,IF(AND($E693&lt;&gt;"",MAX($A$8:$A692)&gt;0),MAX($A$8:$A692)+1,"")))</f>
        <v/>
      </c>
      <c r="B693" s="11">
        <v>686</v>
      </c>
      <c r="C693" s="19" t="str">
        <f t="shared" si="20"/>
        <v>EMPTY</v>
      </c>
      <c r="D693" s="3" t="str">
        <f>IF(C693="SHOW",CONCATENATE(Temp!T689,Temp!U689,",",Temp!V689,",",Temp!W689,Temp!X689),"")</f>
        <v/>
      </c>
      <c r="E693" s="7"/>
      <c r="F693" s="8" t="str">
        <f t="shared" si="21"/>
        <v/>
      </c>
      <c r="BY693" s="4" t="s">
        <v>5</v>
      </c>
      <c r="BZ693" s="4" t="s">
        <v>5</v>
      </c>
    </row>
    <row r="694" spans="1:78" x14ac:dyDescent="0.25">
      <c r="A694" s="13" t="str">
        <f>IF(AND($E694="",MAX($A$8:$A693)=0),"",IF(AND($E694&lt;&gt;"",MAX($A$8:$A693)=0),1,IF(AND($E694&lt;&gt;"",MAX($A$8:$A693)&gt;0),MAX($A$8:$A693)+1,"")))</f>
        <v/>
      </c>
      <c r="B694" s="11">
        <v>687</v>
      </c>
      <c r="C694" s="19" t="str">
        <f t="shared" si="20"/>
        <v>EMPTY</v>
      </c>
      <c r="D694" s="3" t="str">
        <f>IF(C694="SHOW",CONCATENATE(Temp!T690,Temp!U690,",",Temp!V690,",",Temp!W690,Temp!X690),"")</f>
        <v/>
      </c>
      <c r="E694" s="7"/>
      <c r="F694" s="8" t="str">
        <f t="shared" si="21"/>
        <v/>
      </c>
      <c r="BY694" s="4" t="s">
        <v>5</v>
      </c>
      <c r="BZ694" s="4" t="s">
        <v>5</v>
      </c>
    </row>
    <row r="695" spans="1:78" x14ac:dyDescent="0.25">
      <c r="A695" s="13" t="str">
        <f>IF(AND($E695="",MAX($A$8:$A694)=0),"",IF(AND($E695&lt;&gt;"",MAX($A$8:$A694)=0),1,IF(AND($E695&lt;&gt;"",MAX($A$8:$A694)&gt;0),MAX($A$8:$A694)+1,"")))</f>
        <v/>
      </c>
      <c r="B695" s="11">
        <v>688</v>
      </c>
      <c r="C695" s="19" t="str">
        <f t="shared" si="20"/>
        <v>EMPTY</v>
      </c>
      <c r="D695" s="3" t="str">
        <f>IF(C695="SHOW",CONCATENATE(Temp!T691,Temp!U691,",",Temp!V691,",",Temp!W691,Temp!X691),"")</f>
        <v/>
      </c>
      <c r="E695" s="7"/>
      <c r="F695" s="8" t="str">
        <f t="shared" si="21"/>
        <v/>
      </c>
      <c r="BY695" s="4" t="s">
        <v>5</v>
      </c>
      <c r="BZ695" s="4" t="s">
        <v>5</v>
      </c>
    </row>
    <row r="696" spans="1:78" x14ac:dyDescent="0.25">
      <c r="A696" s="13" t="str">
        <f>IF(AND($E696="",MAX($A$8:$A695)=0),"",IF(AND($E696&lt;&gt;"",MAX($A$8:$A695)=0),1,IF(AND($E696&lt;&gt;"",MAX($A$8:$A695)&gt;0),MAX($A$8:$A695)+1,"")))</f>
        <v/>
      </c>
      <c r="B696" s="11">
        <v>689</v>
      </c>
      <c r="C696" s="19" t="str">
        <f t="shared" si="20"/>
        <v>EMPTY</v>
      </c>
      <c r="D696" s="3" t="str">
        <f>IF(C696="SHOW",CONCATENATE(Temp!T692,Temp!U692,",",Temp!V692,",",Temp!W692,Temp!X692),"")</f>
        <v/>
      </c>
      <c r="E696" s="7"/>
      <c r="F696" s="8" t="str">
        <f t="shared" si="21"/>
        <v/>
      </c>
      <c r="BY696" s="4" t="s">
        <v>5</v>
      </c>
      <c r="BZ696" s="4" t="s">
        <v>5</v>
      </c>
    </row>
    <row r="697" spans="1:78" x14ac:dyDescent="0.25">
      <c r="A697" s="13" t="str">
        <f>IF(AND($E697="",MAX($A$8:$A696)=0),"",IF(AND($E697&lt;&gt;"",MAX($A$8:$A696)=0),1,IF(AND($E697&lt;&gt;"",MAX($A$8:$A696)&gt;0),MAX($A$8:$A696)+1,"")))</f>
        <v/>
      </c>
      <c r="B697" s="11">
        <v>690</v>
      </c>
      <c r="C697" s="19" t="str">
        <f t="shared" si="20"/>
        <v>EMPTY</v>
      </c>
      <c r="D697" s="3" t="str">
        <f>IF(C697="SHOW",CONCATENATE(Temp!T693,Temp!U693,",",Temp!V693,",",Temp!W693,Temp!X693),"")</f>
        <v/>
      </c>
      <c r="E697" s="7"/>
      <c r="F697" s="8" t="str">
        <f t="shared" si="21"/>
        <v/>
      </c>
      <c r="BY697" s="4" t="s">
        <v>5</v>
      </c>
      <c r="BZ697" s="4" t="s">
        <v>5</v>
      </c>
    </row>
    <row r="698" spans="1:78" x14ac:dyDescent="0.25">
      <c r="A698" s="13" t="str">
        <f>IF(AND($E698="",MAX($A$8:$A697)=0),"",IF(AND($E698&lt;&gt;"",MAX($A$8:$A697)=0),1,IF(AND($E698&lt;&gt;"",MAX($A$8:$A697)&gt;0),MAX($A$8:$A697)+1,"")))</f>
        <v/>
      </c>
      <c r="B698" s="11">
        <v>691</v>
      </c>
      <c r="C698" s="19" t="str">
        <f t="shared" si="20"/>
        <v>EMPTY</v>
      </c>
      <c r="D698" s="3" t="str">
        <f>IF(C698="SHOW",CONCATENATE(Temp!T694,Temp!U694,",",Temp!V694,",",Temp!W694,Temp!X694),"")</f>
        <v/>
      </c>
      <c r="E698" s="7"/>
      <c r="F698" s="8" t="str">
        <f t="shared" si="21"/>
        <v/>
      </c>
      <c r="BY698" s="4" t="s">
        <v>5</v>
      </c>
      <c r="BZ698" s="4" t="s">
        <v>5</v>
      </c>
    </row>
    <row r="699" spans="1:78" x14ac:dyDescent="0.25">
      <c r="A699" s="13" t="str">
        <f>IF(AND($E699="",MAX($A$8:$A698)=0),"",IF(AND($E699&lt;&gt;"",MAX($A$8:$A698)=0),1,IF(AND($E699&lt;&gt;"",MAX($A$8:$A698)&gt;0),MAX($A$8:$A698)+1,"")))</f>
        <v/>
      </c>
      <c r="B699" s="11">
        <v>692</v>
      </c>
      <c r="C699" s="19" t="str">
        <f t="shared" si="20"/>
        <v>EMPTY</v>
      </c>
      <c r="D699" s="3" t="str">
        <f>IF(C699="SHOW",CONCATENATE(Temp!T695,Temp!U695,",",Temp!V695,",",Temp!W695,Temp!X695),"")</f>
        <v/>
      </c>
      <c r="E699" s="7"/>
      <c r="F699" s="8" t="str">
        <f t="shared" si="21"/>
        <v/>
      </c>
      <c r="BY699" s="4" t="s">
        <v>5</v>
      </c>
      <c r="BZ699" s="4" t="s">
        <v>5</v>
      </c>
    </row>
    <row r="700" spans="1:78" x14ac:dyDescent="0.25">
      <c r="A700" s="13" t="str">
        <f>IF(AND($E700="",MAX($A$8:$A699)=0),"",IF(AND($E700&lt;&gt;"",MAX($A$8:$A699)=0),1,IF(AND($E700&lt;&gt;"",MAX($A$8:$A699)&gt;0),MAX($A$8:$A699)+1,"")))</f>
        <v/>
      </c>
      <c r="B700" s="11">
        <v>693</v>
      </c>
      <c r="C700" s="19" t="str">
        <f t="shared" si="20"/>
        <v>EMPTY</v>
      </c>
      <c r="D700" s="3" t="str">
        <f>IF(C700="SHOW",CONCATENATE(Temp!T696,Temp!U696,",",Temp!V696,",",Temp!W696,Temp!X696),"")</f>
        <v/>
      </c>
      <c r="E700" s="7"/>
      <c r="F700" s="8" t="str">
        <f t="shared" si="21"/>
        <v/>
      </c>
      <c r="BY700" s="4" t="s">
        <v>5</v>
      </c>
      <c r="BZ700" s="4" t="s">
        <v>5</v>
      </c>
    </row>
    <row r="701" spans="1:78" x14ac:dyDescent="0.25">
      <c r="A701" s="13" t="str">
        <f>IF(AND($E701="",MAX($A$8:$A700)=0),"",IF(AND($E701&lt;&gt;"",MAX($A$8:$A700)=0),1,IF(AND($E701&lt;&gt;"",MAX($A$8:$A700)&gt;0),MAX($A$8:$A700)+1,"")))</f>
        <v/>
      </c>
      <c r="B701" s="11">
        <v>694</v>
      </c>
      <c r="C701" s="19" t="str">
        <f t="shared" si="20"/>
        <v>EMPTY</v>
      </c>
      <c r="D701" s="3" t="str">
        <f>IF(C701="SHOW",CONCATENATE(Temp!T697,Temp!U697,",",Temp!V697,",",Temp!W697,Temp!X697),"")</f>
        <v/>
      </c>
      <c r="E701" s="7"/>
      <c r="F701" s="8" t="str">
        <f t="shared" si="21"/>
        <v/>
      </c>
      <c r="BY701" s="4" t="s">
        <v>5</v>
      </c>
      <c r="BZ701" s="4" t="s">
        <v>5</v>
      </c>
    </row>
    <row r="702" spans="1:78" x14ac:dyDescent="0.25">
      <c r="A702" s="13" t="str">
        <f>IF(AND($E702="",MAX($A$8:$A701)=0),"",IF(AND($E702&lt;&gt;"",MAX($A$8:$A701)=0),1,IF(AND($E702&lt;&gt;"",MAX($A$8:$A701)&gt;0),MAX($A$8:$A701)+1,"")))</f>
        <v/>
      </c>
      <c r="B702" s="11">
        <v>695</v>
      </c>
      <c r="C702" s="19" t="str">
        <f t="shared" si="20"/>
        <v>EMPTY</v>
      </c>
      <c r="D702" s="3" t="str">
        <f>IF(C702="SHOW",CONCATENATE(Temp!T698,Temp!U698,",",Temp!V698,",",Temp!W698,Temp!X698),"")</f>
        <v/>
      </c>
      <c r="E702" s="7"/>
      <c r="F702" s="8" t="str">
        <f t="shared" si="21"/>
        <v/>
      </c>
      <c r="BY702" s="4" t="s">
        <v>5</v>
      </c>
      <c r="BZ702" s="4" t="s">
        <v>5</v>
      </c>
    </row>
    <row r="703" spans="1:78" x14ac:dyDescent="0.25">
      <c r="A703" s="13" t="str">
        <f>IF(AND($E703="",MAX($A$8:$A702)=0),"",IF(AND($E703&lt;&gt;"",MAX($A$8:$A702)=0),1,IF(AND($E703&lt;&gt;"",MAX($A$8:$A702)&gt;0),MAX($A$8:$A702)+1,"")))</f>
        <v/>
      </c>
      <c r="B703" s="11">
        <v>696</v>
      </c>
      <c r="C703" s="19" t="str">
        <f t="shared" si="20"/>
        <v>EMPTY</v>
      </c>
      <c r="D703" s="3" t="str">
        <f>IF(C703="SHOW",CONCATENATE(Temp!T699,Temp!U699,",",Temp!V699,",",Temp!W699,Temp!X699),"")</f>
        <v/>
      </c>
      <c r="E703" s="7"/>
      <c r="F703" s="8" t="str">
        <f t="shared" si="21"/>
        <v/>
      </c>
      <c r="BY703" s="4" t="s">
        <v>5</v>
      </c>
      <c r="BZ703" s="4" t="s">
        <v>5</v>
      </c>
    </row>
    <row r="704" spans="1:78" x14ac:dyDescent="0.25">
      <c r="A704" s="13" t="str">
        <f>IF(AND($E704="",MAX($A$8:$A703)=0),"",IF(AND($E704&lt;&gt;"",MAX($A$8:$A703)=0),1,IF(AND($E704&lt;&gt;"",MAX($A$8:$A703)&gt;0),MAX($A$8:$A703)+1,"")))</f>
        <v/>
      </c>
      <c r="B704" s="11">
        <v>697</v>
      </c>
      <c r="C704" s="19" t="str">
        <f t="shared" si="20"/>
        <v>EMPTY</v>
      </c>
      <c r="D704" s="3" t="str">
        <f>IF(C704="SHOW",CONCATENATE(Temp!T700,Temp!U700,",",Temp!V700,",",Temp!W700,Temp!X700),"")</f>
        <v/>
      </c>
      <c r="E704" s="7"/>
      <c r="F704" s="8" t="str">
        <f t="shared" si="21"/>
        <v/>
      </c>
      <c r="BY704" s="4" t="s">
        <v>5</v>
      </c>
      <c r="BZ704" s="4" t="s">
        <v>5</v>
      </c>
    </row>
    <row r="705" spans="1:78" x14ac:dyDescent="0.25">
      <c r="A705" s="13" t="str">
        <f>IF(AND($E705="",MAX($A$8:$A704)=0),"",IF(AND($E705&lt;&gt;"",MAX($A$8:$A704)=0),1,IF(AND($E705&lt;&gt;"",MAX($A$8:$A704)&gt;0),MAX($A$8:$A704)+1,"")))</f>
        <v/>
      </c>
      <c r="B705" s="11">
        <v>698</v>
      </c>
      <c r="C705" s="19" t="str">
        <f t="shared" si="20"/>
        <v>EMPTY</v>
      </c>
      <c r="D705" s="3" t="str">
        <f>IF(C705="SHOW",CONCATENATE(Temp!T701,Temp!U701,",",Temp!V701,",",Temp!W701,Temp!X701),"")</f>
        <v/>
      </c>
      <c r="E705" s="7"/>
      <c r="F705" s="8" t="str">
        <f t="shared" si="21"/>
        <v/>
      </c>
      <c r="BY705" s="4" t="s">
        <v>5</v>
      </c>
      <c r="BZ705" s="4" t="s">
        <v>5</v>
      </c>
    </row>
    <row r="706" spans="1:78" x14ac:dyDescent="0.25">
      <c r="A706" s="13" t="str">
        <f>IF(AND($E706="",MAX($A$8:$A705)=0),"",IF(AND($E706&lt;&gt;"",MAX($A$8:$A705)=0),1,IF(AND($E706&lt;&gt;"",MAX($A$8:$A705)&gt;0),MAX($A$8:$A705)+1,"")))</f>
        <v/>
      </c>
      <c r="B706" s="11">
        <v>699</v>
      </c>
      <c r="C706" s="19" t="str">
        <f t="shared" si="20"/>
        <v>EMPTY</v>
      </c>
      <c r="D706" s="3" t="str">
        <f>IF(C706="SHOW",CONCATENATE(Temp!T702,Temp!U702,",",Temp!V702,",",Temp!W702,Temp!X702),"")</f>
        <v/>
      </c>
      <c r="E706" s="7"/>
      <c r="F706" s="8" t="str">
        <f t="shared" si="21"/>
        <v/>
      </c>
      <c r="BY706" s="4" t="s">
        <v>5</v>
      </c>
      <c r="BZ706" s="4" t="s">
        <v>5</v>
      </c>
    </row>
    <row r="707" spans="1:78" x14ac:dyDescent="0.25">
      <c r="A707" s="13" t="str">
        <f>IF(AND($E707="",MAX($A$8:$A706)=0),"",IF(AND($E707&lt;&gt;"",MAX($A$8:$A706)=0),1,IF(AND($E707&lt;&gt;"",MAX($A$8:$A706)&gt;0),MAX($A$8:$A706)+1,"")))</f>
        <v/>
      </c>
      <c r="B707" s="11">
        <v>700</v>
      </c>
      <c r="C707" s="19" t="str">
        <f t="shared" si="20"/>
        <v>EMPTY</v>
      </c>
      <c r="D707" s="3" t="str">
        <f>IF(C707="SHOW",CONCATENATE(Temp!T703,Temp!U703,",",Temp!V703,",",Temp!W703,Temp!X703),"")</f>
        <v/>
      </c>
      <c r="E707" s="7"/>
      <c r="F707" s="8" t="str">
        <f t="shared" si="21"/>
        <v/>
      </c>
      <c r="BY707" s="4" t="s">
        <v>5</v>
      </c>
      <c r="BZ707" s="4" t="s">
        <v>5</v>
      </c>
    </row>
    <row r="708" spans="1:78" x14ac:dyDescent="0.25">
      <c r="A708" s="13" t="str">
        <f>IF(AND($E708="",MAX($A$8:$A707)=0),"",IF(AND($E708&lt;&gt;"",MAX($A$8:$A707)=0),1,IF(AND($E708&lt;&gt;"",MAX($A$8:$A707)&gt;0),MAX($A$8:$A707)+1,"")))</f>
        <v/>
      </c>
      <c r="B708" s="11">
        <v>701</v>
      </c>
      <c r="C708" s="19" t="str">
        <f t="shared" si="20"/>
        <v>EMPTY</v>
      </c>
      <c r="D708" s="3" t="str">
        <f>IF(C708="SHOW",CONCATENATE(Temp!T704,Temp!U704,",",Temp!V704,",",Temp!W704,Temp!X704),"")</f>
        <v/>
      </c>
      <c r="E708" s="7"/>
      <c r="F708" s="8" t="str">
        <f t="shared" si="21"/>
        <v/>
      </c>
      <c r="BY708" s="4" t="s">
        <v>5</v>
      </c>
      <c r="BZ708" s="4" t="s">
        <v>5</v>
      </c>
    </row>
    <row r="709" spans="1:78" x14ac:dyDescent="0.25">
      <c r="A709" s="13" t="str">
        <f>IF(AND($E709="",MAX($A$8:$A708)=0),"",IF(AND($E709&lt;&gt;"",MAX($A$8:$A708)=0),1,IF(AND($E709&lt;&gt;"",MAX($A$8:$A708)&gt;0),MAX($A$8:$A708)+1,"")))</f>
        <v/>
      </c>
      <c r="B709" s="11">
        <v>702</v>
      </c>
      <c r="C709" s="19" t="str">
        <f t="shared" si="20"/>
        <v>EMPTY</v>
      </c>
      <c r="D709" s="3" t="str">
        <f>IF(C709="SHOW",CONCATENATE(Temp!T705,Temp!U705,",",Temp!V705,",",Temp!W705,Temp!X705),"")</f>
        <v/>
      </c>
      <c r="E709" s="7"/>
      <c r="F709" s="8" t="str">
        <f t="shared" si="21"/>
        <v/>
      </c>
      <c r="BY709" s="4" t="s">
        <v>5</v>
      </c>
      <c r="BZ709" s="4" t="s">
        <v>5</v>
      </c>
    </row>
    <row r="710" spans="1:78" x14ac:dyDescent="0.25">
      <c r="A710" s="13" t="str">
        <f>IF(AND($E710="",MAX($A$8:$A709)=0),"",IF(AND($E710&lt;&gt;"",MAX($A$8:$A709)=0),1,IF(AND($E710&lt;&gt;"",MAX($A$8:$A709)&gt;0),MAX($A$8:$A709)+1,"")))</f>
        <v/>
      </c>
      <c r="B710" s="11">
        <v>703</v>
      </c>
      <c r="C710" s="19" t="str">
        <f t="shared" si="20"/>
        <v>EMPTY</v>
      </c>
      <c r="D710" s="3" t="str">
        <f>IF(C710="SHOW",CONCATENATE(Temp!T706,Temp!U706,",",Temp!V706,",",Temp!W706,Temp!X706),"")</f>
        <v/>
      </c>
      <c r="E710" s="7"/>
      <c r="F710" s="8" t="str">
        <f t="shared" si="21"/>
        <v/>
      </c>
      <c r="BY710" s="4" t="s">
        <v>5</v>
      </c>
      <c r="BZ710" s="4" t="s">
        <v>5</v>
      </c>
    </row>
    <row r="711" spans="1:78" x14ac:dyDescent="0.25">
      <c r="A711" s="13" t="str">
        <f>IF(AND($E711="",MAX($A$8:$A710)=0),"",IF(AND($E711&lt;&gt;"",MAX($A$8:$A710)=0),1,IF(AND($E711&lt;&gt;"",MAX($A$8:$A710)&gt;0),MAX($A$8:$A710)+1,"")))</f>
        <v/>
      </c>
      <c r="B711" s="11">
        <v>704</v>
      </c>
      <c r="C711" s="19" t="str">
        <f t="shared" si="20"/>
        <v>EMPTY</v>
      </c>
      <c r="D711" s="3" t="str">
        <f>IF(C711="SHOW",CONCATENATE(Temp!T707,Temp!U707,",",Temp!V707,",",Temp!W707,Temp!X707),"")</f>
        <v/>
      </c>
      <c r="E711" s="7"/>
      <c r="F711" s="8" t="str">
        <f t="shared" si="21"/>
        <v/>
      </c>
      <c r="BY711" s="4" t="s">
        <v>5</v>
      </c>
      <c r="BZ711" s="4" t="s">
        <v>5</v>
      </c>
    </row>
    <row r="712" spans="1:78" x14ac:dyDescent="0.25">
      <c r="A712" s="13" t="str">
        <f>IF(AND($E712="",MAX($A$8:$A711)=0),"",IF(AND($E712&lt;&gt;"",MAX($A$8:$A711)=0),1,IF(AND($E712&lt;&gt;"",MAX($A$8:$A711)&gt;0),MAX($A$8:$A711)+1,"")))</f>
        <v/>
      </c>
      <c r="B712" s="11">
        <v>705</v>
      </c>
      <c r="C712" s="19" t="str">
        <f t="shared" si="20"/>
        <v>EMPTY</v>
      </c>
      <c r="D712" s="3" t="str">
        <f>IF(C712="SHOW",CONCATENATE(Temp!T708,Temp!U708,",",Temp!V708,",",Temp!W708,Temp!X708),"")</f>
        <v/>
      </c>
      <c r="E712" s="7"/>
      <c r="F712" s="8" t="str">
        <f t="shared" si="21"/>
        <v/>
      </c>
      <c r="BY712" s="4" t="s">
        <v>5</v>
      </c>
      <c r="BZ712" s="4" t="s">
        <v>5</v>
      </c>
    </row>
    <row r="713" spans="1:78" x14ac:dyDescent="0.25">
      <c r="A713" s="13" t="str">
        <f>IF(AND($E713="",MAX($A$8:$A712)=0),"",IF(AND($E713&lt;&gt;"",MAX($A$8:$A712)=0),1,IF(AND($E713&lt;&gt;"",MAX($A$8:$A712)&gt;0),MAX($A$8:$A712)+1,"")))</f>
        <v/>
      </c>
      <c r="B713" s="11">
        <v>706</v>
      </c>
      <c r="C713" s="19" t="str">
        <f t="shared" ref="C713:C776" si="22">IF(E713="","EMPTY",IF(MID(E713,1,9)&lt;&gt;"Dialogue:","HIDE",IF(MID(E713,1,9)="Dialogue:","SHOW","")))</f>
        <v>EMPTY</v>
      </c>
      <c r="D713" s="3" t="str">
        <f>IF(C713="SHOW",CONCATENATE(Temp!T709,Temp!U709,",",Temp!V709,",",Temp!W709,Temp!X709),"")</f>
        <v/>
      </c>
      <c r="E713" s="7"/>
      <c r="F713" s="8" t="str">
        <f t="shared" ref="F713:F776" si="23">$D713</f>
        <v/>
      </c>
      <c r="BY713" s="4" t="s">
        <v>5</v>
      </c>
      <c r="BZ713" s="4" t="s">
        <v>5</v>
      </c>
    </row>
    <row r="714" spans="1:78" x14ac:dyDescent="0.25">
      <c r="A714" s="13" t="str">
        <f>IF(AND($E714="",MAX($A$8:$A713)=0),"",IF(AND($E714&lt;&gt;"",MAX($A$8:$A713)=0),1,IF(AND($E714&lt;&gt;"",MAX($A$8:$A713)&gt;0),MAX($A$8:$A713)+1,"")))</f>
        <v/>
      </c>
      <c r="B714" s="11">
        <v>707</v>
      </c>
      <c r="C714" s="19" t="str">
        <f t="shared" si="22"/>
        <v>EMPTY</v>
      </c>
      <c r="D714" s="3" t="str">
        <f>IF(C714="SHOW",CONCATENATE(Temp!T710,Temp!U710,",",Temp!V710,",",Temp!W710,Temp!X710),"")</f>
        <v/>
      </c>
      <c r="E714" s="7"/>
      <c r="F714" s="8" t="str">
        <f t="shared" si="23"/>
        <v/>
      </c>
      <c r="BY714" s="4" t="s">
        <v>5</v>
      </c>
      <c r="BZ714" s="4" t="s">
        <v>5</v>
      </c>
    </row>
    <row r="715" spans="1:78" x14ac:dyDescent="0.25">
      <c r="A715" s="13" t="str">
        <f>IF(AND($E715="",MAX($A$8:$A714)=0),"",IF(AND($E715&lt;&gt;"",MAX($A$8:$A714)=0),1,IF(AND($E715&lt;&gt;"",MAX($A$8:$A714)&gt;0),MAX($A$8:$A714)+1,"")))</f>
        <v/>
      </c>
      <c r="B715" s="11">
        <v>708</v>
      </c>
      <c r="C715" s="19" t="str">
        <f t="shared" si="22"/>
        <v>EMPTY</v>
      </c>
      <c r="D715" s="3" t="str">
        <f>IF(C715="SHOW",CONCATENATE(Temp!T711,Temp!U711,",",Temp!V711,",",Temp!W711,Temp!X711),"")</f>
        <v/>
      </c>
      <c r="E715" s="7"/>
      <c r="F715" s="8" t="str">
        <f t="shared" si="23"/>
        <v/>
      </c>
      <c r="BY715" s="4" t="s">
        <v>5</v>
      </c>
      <c r="BZ715" s="4" t="s">
        <v>5</v>
      </c>
    </row>
    <row r="716" spans="1:78" x14ac:dyDescent="0.25">
      <c r="A716" s="13" t="str">
        <f>IF(AND($E716="",MAX($A$8:$A715)=0),"",IF(AND($E716&lt;&gt;"",MAX($A$8:$A715)=0),1,IF(AND($E716&lt;&gt;"",MAX($A$8:$A715)&gt;0),MAX($A$8:$A715)+1,"")))</f>
        <v/>
      </c>
      <c r="B716" s="11">
        <v>709</v>
      </c>
      <c r="C716" s="19" t="str">
        <f t="shared" si="22"/>
        <v>EMPTY</v>
      </c>
      <c r="D716" s="3" t="str">
        <f>IF(C716="SHOW",CONCATENATE(Temp!T712,Temp!U712,",",Temp!V712,",",Temp!W712,Temp!X712),"")</f>
        <v/>
      </c>
      <c r="E716" s="7"/>
      <c r="F716" s="8" t="str">
        <f t="shared" si="23"/>
        <v/>
      </c>
      <c r="BY716" s="4" t="s">
        <v>5</v>
      </c>
      <c r="BZ716" s="4" t="s">
        <v>5</v>
      </c>
    </row>
    <row r="717" spans="1:78" x14ac:dyDescent="0.25">
      <c r="A717" s="13" t="str">
        <f>IF(AND($E717="",MAX($A$8:$A716)=0),"",IF(AND($E717&lt;&gt;"",MAX($A$8:$A716)=0),1,IF(AND($E717&lt;&gt;"",MAX($A$8:$A716)&gt;0),MAX($A$8:$A716)+1,"")))</f>
        <v/>
      </c>
      <c r="B717" s="11">
        <v>710</v>
      </c>
      <c r="C717" s="19" t="str">
        <f t="shared" si="22"/>
        <v>EMPTY</v>
      </c>
      <c r="D717" s="3" t="str">
        <f>IF(C717="SHOW",CONCATENATE(Temp!T713,Temp!U713,",",Temp!V713,",",Temp!W713,Temp!X713),"")</f>
        <v/>
      </c>
      <c r="E717" s="7"/>
      <c r="F717" s="8" t="str">
        <f t="shared" si="23"/>
        <v/>
      </c>
      <c r="BY717" s="4" t="s">
        <v>5</v>
      </c>
      <c r="BZ717" s="4" t="s">
        <v>5</v>
      </c>
    </row>
    <row r="718" spans="1:78" x14ac:dyDescent="0.25">
      <c r="A718" s="13" t="str">
        <f>IF(AND($E718="",MAX($A$8:$A717)=0),"",IF(AND($E718&lt;&gt;"",MAX($A$8:$A717)=0),1,IF(AND($E718&lt;&gt;"",MAX($A$8:$A717)&gt;0),MAX($A$8:$A717)+1,"")))</f>
        <v/>
      </c>
      <c r="B718" s="11">
        <v>711</v>
      </c>
      <c r="C718" s="19" t="str">
        <f t="shared" si="22"/>
        <v>EMPTY</v>
      </c>
      <c r="D718" s="3" t="str">
        <f>IF(C718="SHOW",CONCATENATE(Temp!T714,Temp!U714,",",Temp!V714,",",Temp!W714,Temp!X714),"")</f>
        <v/>
      </c>
      <c r="E718" s="7"/>
      <c r="F718" s="8" t="str">
        <f t="shared" si="23"/>
        <v/>
      </c>
      <c r="BY718" s="4" t="s">
        <v>5</v>
      </c>
      <c r="BZ718" s="4" t="s">
        <v>5</v>
      </c>
    </row>
    <row r="719" spans="1:78" x14ac:dyDescent="0.25">
      <c r="A719" s="13" t="str">
        <f>IF(AND($E719="",MAX($A$8:$A718)=0),"",IF(AND($E719&lt;&gt;"",MAX($A$8:$A718)=0),1,IF(AND($E719&lt;&gt;"",MAX($A$8:$A718)&gt;0),MAX($A$8:$A718)+1,"")))</f>
        <v/>
      </c>
      <c r="B719" s="11">
        <v>712</v>
      </c>
      <c r="C719" s="19" t="str">
        <f t="shared" si="22"/>
        <v>EMPTY</v>
      </c>
      <c r="D719" s="3" t="str">
        <f>IF(C719="SHOW",CONCATENATE(Temp!T715,Temp!U715,",",Temp!V715,",",Temp!W715,Temp!X715),"")</f>
        <v/>
      </c>
      <c r="E719" s="7"/>
      <c r="F719" s="8" t="str">
        <f t="shared" si="23"/>
        <v/>
      </c>
      <c r="BY719" s="4" t="s">
        <v>5</v>
      </c>
      <c r="BZ719" s="4" t="s">
        <v>5</v>
      </c>
    </row>
    <row r="720" spans="1:78" x14ac:dyDescent="0.25">
      <c r="A720" s="13" t="str">
        <f>IF(AND($E720="",MAX($A$8:$A719)=0),"",IF(AND($E720&lt;&gt;"",MAX($A$8:$A719)=0),1,IF(AND($E720&lt;&gt;"",MAX($A$8:$A719)&gt;0),MAX($A$8:$A719)+1,"")))</f>
        <v/>
      </c>
      <c r="B720" s="11">
        <v>713</v>
      </c>
      <c r="C720" s="19" t="str">
        <f t="shared" si="22"/>
        <v>EMPTY</v>
      </c>
      <c r="D720" s="3" t="str">
        <f>IF(C720="SHOW",CONCATENATE(Temp!T716,Temp!U716,",",Temp!V716,",",Temp!W716,Temp!X716),"")</f>
        <v/>
      </c>
      <c r="E720" s="7"/>
      <c r="F720" s="8" t="str">
        <f t="shared" si="23"/>
        <v/>
      </c>
      <c r="BY720" s="4" t="s">
        <v>5</v>
      </c>
      <c r="BZ720" s="4" t="s">
        <v>5</v>
      </c>
    </row>
    <row r="721" spans="1:78" x14ac:dyDescent="0.25">
      <c r="A721" s="13" t="str">
        <f>IF(AND($E721="",MAX($A$8:$A720)=0),"",IF(AND($E721&lt;&gt;"",MAX($A$8:$A720)=0),1,IF(AND($E721&lt;&gt;"",MAX($A$8:$A720)&gt;0),MAX($A$8:$A720)+1,"")))</f>
        <v/>
      </c>
      <c r="B721" s="11">
        <v>714</v>
      </c>
      <c r="C721" s="19" t="str">
        <f t="shared" si="22"/>
        <v>EMPTY</v>
      </c>
      <c r="D721" s="3" t="str">
        <f>IF(C721="SHOW",CONCATENATE(Temp!T717,Temp!U717,",",Temp!V717,",",Temp!W717,Temp!X717),"")</f>
        <v/>
      </c>
      <c r="E721" s="7"/>
      <c r="F721" s="8" t="str">
        <f t="shared" si="23"/>
        <v/>
      </c>
      <c r="BY721" s="4" t="s">
        <v>5</v>
      </c>
      <c r="BZ721" s="4" t="s">
        <v>5</v>
      </c>
    </row>
    <row r="722" spans="1:78" x14ac:dyDescent="0.25">
      <c r="A722" s="13" t="str">
        <f>IF(AND($E722="",MAX($A$8:$A721)=0),"",IF(AND($E722&lt;&gt;"",MAX($A$8:$A721)=0),1,IF(AND($E722&lt;&gt;"",MAX($A$8:$A721)&gt;0),MAX($A$8:$A721)+1,"")))</f>
        <v/>
      </c>
      <c r="B722" s="11">
        <v>715</v>
      </c>
      <c r="C722" s="19" t="str">
        <f t="shared" si="22"/>
        <v>EMPTY</v>
      </c>
      <c r="D722" s="3" t="str">
        <f>IF(C722="SHOW",CONCATENATE(Temp!T718,Temp!U718,",",Temp!V718,",",Temp!W718,Temp!X718),"")</f>
        <v/>
      </c>
      <c r="E722" s="7"/>
      <c r="F722" s="8" t="str">
        <f t="shared" si="23"/>
        <v/>
      </c>
      <c r="BY722" s="4" t="s">
        <v>5</v>
      </c>
      <c r="BZ722" s="4" t="s">
        <v>5</v>
      </c>
    </row>
    <row r="723" spans="1:78" x14ac:dyDescent="0.25">
      <c r="A723" s="13" t="str">
        <f>IF(AND($E723="",MAX($A$8:$A722)=0),"",IF(AND($E723&lt;&gt;"",MAX($A$8:$A722)=0),1,IF(AND($E723&lt;&gt;"",MAX($A$8:$A722)&gt;0),MAX($A$8:$A722)+1,"")))</f>
        <v/>
      </c>
      <c r="B723" s="11">
        <v>716</v>
      </c>
      <c r="C723" s="19" t="str">
        <f t="shared" si="22"/>
        <v>EMPTY</v>
      </c>
      <c r="D723" s="3" t="str">
        <f>IF(C723="SHOW",CONCATENATE(Temp!T719,Temp!U719,",",Temp!V719,",",Temp!W719,Temp!X719),"")</f>
        <v/>
      </c>
      <c r="E723" s="7"/>
      <c r="F723" s="8" t="str">
        <f t="shared" si="23"/>
        <v/>
      </c>
      <c r="BZ723" s="4" t="s">
        <v>5</v>
      </c>
    </row>
    <row r="724" spans="1:78" x14ac:dyDescent="0.25">
      <c r="A724" s="13" t="str">
        <f>IF(AND($E724="",MAX($A$8:$A723)=0),"",IF(AND($E724&lt;&gt;"",MAX($A$8:$A723)=0),1,IF(AND($E724&lt;&gt;"",MAX($A$8:$A723)&gt;0),MAX($A$8:$A723)+1,"")))</f>
        <v/>
      </c>
      <c r="B724" s="11">
        <v>717</v>
      </c>
      <c r="C724" s="19" t="str">
        <f t="shared" si="22"/>
        <v>EMPTY</v>
      </c>
      <c r="D724" s="3" t="str">
        <f>IF(C724="SHOW",CONCATENATE(Temp!T720,Temp!U720,",",Temp!V720,",",Temp!W720,Temp!X720),"")</f>
        <v/>
      </c>
      <c r="E724" s="7"/>
      <c r="F724" s="8" t="str">
        <f t="shared" si="23"/>
        <v/>
      </c>
      <c r="BY724" s="4" t="s">
        <v>5</v>
      </c>
      <c r="BZ724" s="4" t="s">
        <v>5</v>
      </c>
    </row>
    <row r="725" spans="1:78" x14ac:dyDescent="0.25">
      <c r="A725" s="13" t="str">
        <f>IF(AND($E725="",MAX($A$8:$A724)=0),"",IF(AND($E725&lt;&gt;"",MAX($A$8:$A724)=0),1,IF(AND($E725&lt;&gt;"",MAX($A$8:$A724)&gt;0),MAX($A$8:$A724)+1,"")))</f>
        <v/>
      </c>
      <c r="B725" s="11">
        <v>718</v>
      </c>
      <c r="C725" s="19" t="str">
        <f t="shared" si="22"/>
        <v>EMPTY</v>
      </c>
      <c r="D725" s="3" t="str">
        <f>IF(C725="SHOW",CONCATENATE(Temp!T721,Temp!U721,",",Temp!V721,",",Temp!W721,Temp!X721),"")</f>
        <v/>
      </c>
      <c r="E725" s="7"/>
      <c r="F725" s="8" t="str">
        <f t="shared" si="23"/>
        <v/>
      </c>
      <c r="BY725" s="4" t="s">
        <v>5</v>
      </c>
      <c r="BZ725" s="4" t="s">
        <v>5</v>
      </c>
    </row>
    <row r="726" spans="1:78" x14ac:dyDescent="0.25">
      <c r="A726" s="13" t="str">
        <f>IF(AND($E726="",MAX($A$8:$A725)=0),"",IF(AND($E726&lt;&gt;"",MAX($A$8:$A725)=0),1,IF(AND($E726&lt;&gt;"",MAX($A$8:$A725)&gt;0),MAX($A$8:$A725)+1,"")))</f>
        <v/>
      </c>
      <c r="B726" s="11">
        <v>719</v>
      </c>
      <c r="C726" s="19" t="str">
        <f t="shared" si="22"/>
        <v>EMPTY</v>
      </c>
      <c r="D726" s="3" t="str">
        <f>IF(C726="SHOW",CONCATENATE(Temp!T722,Temp!U722,",",Temp!V722,",",Temp!W722,Temp!X722),"")</f>
        <v/>
      </c>
      <c r="E726" s="7"/>
      <c r="F726" s="8" t="str">
        <f t="shared" si="23"/>
        <v/>
      </c>
      <c r="BY726" s="4" t="s">
        <v>5</v>
      </c>
      <c r="BZ726" s="4" t="s">
        <v>5</v>
      </c>
    </row>
    <row r="727" spans="1:78" x14ac:dyDescent="0.25">
      <c r="A727" s="13" t="str">
        <f>IF(AND($E727="",MAX($A$8:$A726)=0),"",IF(AND($E727&lt;&gt;"",MAX($A$8:$A726)=0),1,IF(AND($E727&lt;&gt;"",MAX($A$8:$A726)&gt;0),MAX($A$8:$A726)+1,"")))</f>
        <v/>
      </c>
      <c r="B727" s="11">
        <v>720</v>
      </c>
      <c r="C727" s="19" t="str">
        <f t="shared" si="22"/>
        <v>EMPTY</v>
      </c>
      <c r="D727" s="3" t="str">
        <f>IF(C727="SHOW",CONCATENATE(Temp!T723,Temp!U723,",",Temp!V723,",",Temp!W723,Temp!X723),"")</f>
        <v/>
      </c>
      <c r="E727" s="7"/>
      <c r="F727" s="8" t="str">
        <f t="shared" si="23"/>
        <v/>
      </c>
      <c r="BY727" s="4" t="s">
        <v>5</v>
      </c>
      <c r="BZ727" s="4" t="s">
        <v>5</v>
      </c>
    </row>
    <row r="728" spans="1:78" x14ac:dyDescent="0.25">
      <c r="A728" s="13" t="str">
        <f>IF(AND($E728="",MAX($A$8:$A727)=0),"",IF(AND($E728&lt;&gt;"",MAX($A$8:$A727)=0),1,IF(AND($E728&lt;&gt;"",MAX($A$8:$A727)&gt;0),MAX($A$8:$A727)+1,"")))</f>
        <v/>
      </c>
      <c r="B728" s="11">
        <v>721</v>
      </c>
      <c r="C728" s="19" t="str">
        <f t="shared" si="22"/>
        <v>EMPTY</v>
      </c>
      <c r="D728" s="3" t="str">
        <f>IF(C728="SHOW",CONCATENATE(Temp!T724,Temp!U724,",",Temp!V724,",",Temp!W724,Temp!X724),"")</f>
        <v/>
      </c>
      <c r="E728" s="7"/>
      <c r="F728" s="8" t="str">
        <f t="shared" si="23"/>
        <v/>
      </c>
      <c r="BY728" s="4" t="s">
        <v>5</v>
      </c>
      <c r="BZ728" s="4" t="s">
        <v>5</v>
      </c>
    </row>
    <row r="729" spans="1:78" x14ac:dyDescent="0.25">
      <c r="A729" s="13" t="str">
        <f>IF(AND($E729="",MAX($A$8:$A728)=0),"",IF(AND($E729&lt;&gt;"",MAX($A$8:$A728)=0),1,IF(AND($E729&lt;&gt;"",MAX($A$8:$A728)&gt;0),MAX($A$8:$A728)+1,"")))</f>
        <v/>
      </c>
      <c r="B729" s="11">
        <v>722</v>
      </c>
      <c r="C729" s="19" t="str">
        <f t="shared" si="22"/>
        <v>EMPTY</v>
      </c>
      <c r="D729" s="3" t="str">
        <f>IF(C729="SHOW",CONCATENATE(Temp!T725,Temp!U725,",",Temp!V725,",",Temp!W725,Temp!X725),"")</f>
        <v/>
      </c>
      <c r="E729" s="7"/>
      <c r="F729" s="8" t="str">
        <f t="shared" si="23"/>
        <v/>
      </c>
      <c r="BY729" s="4" t="s">
        <v>5</v>
      </c>
      <c r="BZ729" s="4" t="s">
        <v>5</v>
      </c>
    </row>
    <row r="730" spans="1:78" x14ac:dyDescent="0.25">
      <c r="A730" s="13" t="str">
        <f>IF(AND($E730="",MAX($A$8:$A729)=0),"",IF(AND($E730&lt;&gt;"",MAX($A$8:$A729)=0),1,IF(AND($E730&lt;&gt;"",MAX($A$8:$A729)&gt;0),MAX($A$8:$A729)+1,"")))</f>
        <v/>
      </c>
      <c r="B730" s="11">
        <v>723</v>
      </c>
      <c r="C730" s="19" t="str">
        <f t="shared" si="22"/>
        <v>EMPTY</v>
      </c>
      <c r="D730" s="3" t="str">
        <f>IF(C730="SHOW",CONCATENATE(Temp!T726,Temp!U726,",",Temp!V726,",",Temp!W726,Temp!X726),"")</f>
        <v/>
      </c>
      <c r="E730" s="7"/>
      <c r="F730" s="8" t="str">
        <f t="shared" si="23"/>
        <v/>
      </c>
      <c r="BY730" s="4" t="s">
        <v>5</v>
      </c>
      <c r="BZ730" s="4" t="s">
        <v>5</v>
      </c>
    </row>
    <row r="731" spans="1:78" x14ac:dyDescent="0.25">
      <c r="A731" s="13" t="str">
        <f>IF(AND($E731="",MAX($A$8:$A730)=0),"",IF(AND($E731&lt;&gt;"",MAX($A$8:$A730)=0),1,IF(AND($E731&lt;&gt;"",MAX($A$8:$A730)&gt;0),MAX($A$8:$A730)+1,"")))</f>
        <v/>
      </c>
      <c r="B731" s="11">
        <v>724</v>
      </c>
      <c r="C731" s="19" t="str">
        <f t="shared" si="22"/>
        <v>EMPTY</v>
      </c>
      <c r="D731" s="3" t="str">
        <f>IF(C731="SHOW",CONCATENATE(Temp!T727,Temp!U727,",",Temp!V727,",",Temp!W727,Temp!X727),"")</f>
        <v/>
      </c>
      <c r="E731" s="7"/>
      <c r="F731" s="8" t="str">
        <f t="shared" si="23"/>
        <v/>
      </c>
      <c r="BY731" s="4" t="s">
        <v>5</v>
      </c>
      <c r="BZ731" s="4" t="s">
        <v>5</v>
      </c>
    </row>
    <row r="732" spans="1:78" x14ac:dyDescent="0.25">
      <c r="A732" s="13" t="str">
        <f>IF(AND($E732="",MAX($A$8:$A731)=0),"",IF(AND($E732&lt;&gt;"",MAX($A$8:$A731)=0),1,IF(AND($E732&lt;&gt;"",MAX($A$8:$A731)&gt;0),MAX($A$8:$A731)+1,"")))</f>
        <v/>
      </c>
      <c r="B732" s="11">
        <v>725</v>
      </c>
      <c r="C732" s="19" t="str">
        <f t="shared" si="22"/>
        <v>EMPTY</v>
      </c>
      <c r="D732" s="3" t="str">
        <f>IF(C732="SHOW",CONCATENATE(Temp!T728,Temp!U728,",",Temp!V728,",",Temp!W728,Temp!X728),"")</f>
        <v/>
      </c>
      <c r="E732" s="7"/>
      <c r="F732" s="8" t="str">
        <f t="shared" si="23"/>
        <v/>
      </c>
      <c r="BY732" s="4" t="s">
        <v>5</v>
      </c>
      <c r="BZ732" s="4" t="s">
        <v>5</v>
      </c>
    </row>
    <row r="733" spans="1:78" x14ac:dyDescent="0.25">
      <c r="A733" s="13" t="str">
        <f>IF(AND($E733="",MAX($A$8:$A732)=0),"",IF(AND($E733&lt;&gt;"",MAX($A$8:$A732)=0),1,IF(AND($E733&lt;&gt;"",MAX($A$8:$A732)&gt;0),MAX($A$8:$A732)+1,"")))</f>
        <v/>
      </c>
      <c r="B733" s="11">
        <v>726</v>
      </c>
      <c r="C733" s="19" t="str">
        <f t="shared" si="22"/>
        <v>EMPTY</v>
      </c>
      <c r="D733" s="3" t="str">
        <f>IF(C733="SHOW",CONCATENATE(Temp!T729,Temp!U729,",",Temp!V729,",",Temp!W729,Temp!X729),"")</f>
        <v/>
      </c>
      <c r="E733" s="7"/>
      <c r="F733" s="8" t="str">
        <f t="shared" si="23"/>
        <v/>
      </c>
      <c r="BY733" s="4" t="s">
        <v>5</v>
      </c>
      <c r="BZ733" s="4" t="s">
        <v>5</v>
      </c>
    </row>
    <row r="734" spans="1:78" x14ac:dyDescent="0.25">
      <c r="A734" s="13" t="str">
        <f>IF(AND($E734="",MAX($A$8:$A733)=0),"",IF(AND($E734&lt;&gt;"",MAX($A$8:$A733)=0),1,IF(AND($E734&lt;&gt;"",MAX($A$8:$A733)&gt;0),MAX($A$8:$A733)+1,"")))</f>
        <v/>
      </c>
      <c r="B734" s="11">
        <v>727</v>
      </c>
      <c r="C734" s="19" t="str">
        <f t="shared" si="22"/>
        <v>EMPTY</v>
      </c>
      <c r="D734" s="3" t="str">
        <f>IF(C734="SHOW",CONCATENATE(Temp!T730,Temp!U730,",",Temp!V730,",",Temp!W730,Temp!X730),"")</f>
        <v/>
      </c>
      <c r="E734" s="7"/>
      <c r="F734" s="8" t="str">
        <f t="shared" si="23"/>
        <v/>
      </c>
      <c r="BY734" s="4" t="s">
        <v>5</v>
      </c>
      <c r="BZ734" s="4" t="s">
        <v>5</v>
      </c>
    </row>
    <row r="735" spans="1:78" x14ac:dyDescent="0.25">
      <c r="A735" s="13" t="str">
        <f>IF(AND($E735="",MAX($A$8:$A734)=0),"",IF(AND($E735&lt;&gt;"",MAX($A$8:$A734)=0),1,IF(AND($E735&lt;&gt;"",MAX($A$8:$A734)&gt;0),MAX($A$8:$A734)+1,"")))</f>
        <v/>
      </c>
      <c r="B735" s="11">
        <v>728</v>
      </c>
      <c r="C735" s="19" t="str">
        <f t="shared" si="22"/>
        <v>EMPTY</v>
      </c>
      <c r="D735" s="3" t="str">
        <f>IF(C735="SHOW",CONCATENATE(Temp!T731,Temp!U731,",",Temp!V731,",",Temp!W731,Temp!X731),"")</f>
        <v/>
      </c>
      <c r="E735" s="7"/>
      <c r="F735" s="8" t="str">
        <f t="shared" si="23"/>
        <v/>
      </c>
      <c r="BY735" s="4" t="s">
        <v>5</v>
      </c>
      <c r="BZ735" s="4" t="s">
        <v>5</v>
      </c>
    </row>
    <row r="736" spans="1:78" x14ac:dyDescent="0.25">
      <c r="A736" s="13" t="str">
        <f>IF(AND($E736="",MAX($A$8:$A735)=0),"",IF(AND($E736&lt;&gt;"",MAX($A$8:$A735)=0),1,IF(AND($E736&lt;&gt;"",MAX($A$8:$A735)&gt;0),MAX($A$8:$A735)+1,"")))</f>
        <v/>
      </c>
      <c r="B736" s="11">
        <v>729</v>
      </c>
      <c r="C736" s="19" t="str">
        <f t="shared" si="22"/>
        <v>EMPTY</v>
      </c>
      <c r="D736" s="3" t="str">
        <f>IF(C736="SHOW",CONCATENATE(Temp!T732,Temp!U732,",",Temp!V732,",",Temp!W732,Temp!X732),"")</f>
        <v/>
      </c>
      <c r="E736" s="7"/>
      <c r="F736" s="8" t="str">
        <f t="shared" si="23"/>
        <v/>
      </c>
      <c r="BY736" s="4" t="s">
        <v>5</v>
      </c>
      <c r="BZ736" s="4" t="s">
        <v>5</v>
      </c>
    </row>
    <row r="737" spans="1:78" x14ac:dyDescent="0.25">
      <c r="A737" s="13" t="str">
        <f>IF(AND($E737="",MAX($A$8:$A736)=0),"",IF(AND($E737&lt;&gt;"",MAX($A$8:$A736)=0),1,IF(AND($E737&lt;&gt;"",MAX($A$8:$A736)&gt;0),MAX($A$8:$A736)+1,"")))</f>
        <v/>
      </c>
      <c r="B737" s="11">
        <v>730</v>
      </c>
      <c r="C737" s="19" t="str">
        <f t="shared" si="22"/>
        <v>EMPTY</v>
      </c>
      <c r="D737" s="3" t="str">
        <f>IF(C737="SHOW",CONCATENATE(Temp!T733,Temp!U733,",",Temp!V733,",",Temp!W733,Temp!X733),"")</f>
        <v/>
      </c>
      <c r="E737" s="7"/>
      <c r="F737" s="8" t="str">
        <f t="shared" si="23"/>
        <v/>
      </c>
      <c r="BY737" s="4" t="s">
        <v>5</v>
      </c>
      <c r="BZ737" s="4" t="s">
        <v>5</v>
      </c>
    </row>
    <row r="738" spans="1:78" x14ac:dyDescent="0.25">
      <c r="A738" s="13" t="str">
        <f>IF(AND($E738="",MAX($A$8:$A737)=0),"",IF(AND($E738&lt;&gt;"",MAX($A$8:$A737)=0),1,IF(AND($E738&lt;&gt;"",MAX($A$8:$A737)&gt;0),MAX($A$8:$A737)+1,"")))</f>
        <v/>
      </c>
      <c r="B738" s="11">
        <v>731</v>
      </c>
      <c r="C738" s="19" t="str">
        <f t="shared" si="22"/>
        <v>EMPTY</v>
      </c>
      <c r="D738" s="3" t="str">
        <f>IF(C738="SHOW",CONCATENATE(Temp!T734,Temp!U734,",",Temp!V734,",",Temp!W734,Temp!X734),"")</f>
        <v/>
      </c>
      <c r="E738" s="7"/>
      <c r="F738" s="8" t="str">
        <f t="shared" si="23"/>
        <v/>
      </c>
      <c r="BY738" s="4" t="s">
        <v>5</v>
      </c>
      <c r="BZ738" s="4" t="s">
        <v>5</v>
      </c>
    </row>
    <row r="739" spans="1:78" x14ac:dyDescent="0.25">
      <c r="A739" s="13" t="str">
        <f>IF(AND($E739="",MAX($A$8:$A738)=0),"",IF(AND($E739&lt;&gt;"",MAX($A$8:$A738)=0),1,IF(AND($E739&lt;&gt;"",MAX($A$8:$A738)&gt;0),MAX($A$8:$A738)+1,"")))</f>
        <v/>
      </c>
      <c r="B739" s="11">
        <v>732</v>
      </c>
      <c r="C739" s="19" t="str">
        <f t="shared" si="22"/>
        <v>EMPTY</v>
      </c>
      <c r="D739" s="3" t="str">
        <f>IF(C739="SHOW",CONCATENATE(Temp!T735,Temp!U735,",",Temp!V735,",",Temp!W735,Temp!X735),"")</f>
        <v/>
      </c>
      <c r="E739" s="7"/>
      <c r="F739" s="8" t="str">
        <f t="shared" si="23"/>
        <v/>
      </c>
      <c r="BY739" s="4" t="s">
        <v>5</v>
      </c>
      <c r="BZ739" s="4" t="s">
        <v>5</v>
      </c>
    </row>
    <row r="740" spans="1:78" x14ac:dyDescent="0.25">
      <c r="A740" s="13" t="str">
        <f>IF(AND($E740="",MAX($A$8:$A739)=0),"",IF(AND($E740&lt;&gt;"",MAX($A$8:$A739)=0),1,IF(AND($E740&lt;&gt;"",MAX($A$8:$A739)&gt;0),MAX($A$8:$A739)+1,"")))</f>
        <v/>
      </c>
      <c r="B740" s="11">
        <v>733</v>
      </c>
      <c r="C740" s="19" t="str">
        <f t="shared" si="22"/>
        <v>EMPTY</v>
      </c>
      <c r="D740" s="3" t="str">
        <f>IF(C740="SHOW",CONCATENATE(Temp!T736,Temp!U736,",",Temp!V736,",",Temp!W736,Temp!X736),"")</f>
        <v/>
      </c>
      <c r="E740" s="7"/>
      <c r="F740" s="8" t="str">
        <f t="shared" si="23"/>
        <v/>
      </c>
      <c r="BY740" s="4" t="s">
        <v>5</v>
      </c>
      <c r="BZ740" s="4" t="s">
        <v>5</v>
      </c>
    </row>
    <row r="741" spans="1:78" x14ac:dyDescent="0.25">
      <c r="A741" s="13" t="str">
        <f>IF(AND($E741="",MAX($A$8:$A740)=0),"",IF(AND($E741&lt;&gt;"",MAX($A$8:$A740)=0),1,IF(AND($E741&lt;&gt;"",MAX($A$8:$A740)&gt;0),MAX($A$8:$A740)+1,"")))</f>
        <v/>
      </c>
      <c r="B741" s="11">
        <v>734</v>
      </c>
      <c r="C741" s="19" t="str">
        <f t="shared" si="22"/>
        <v>EMPTY</v>
      </c>
      <c r="D741" s="3" t="str">
        <f>IF(C741="SHOW",CONCATENATE(Temp!T737,Temp!U737,",",Temp!V737,",",Temp!W737,Temp!X737),"")</f>
        <v/>
      </c>
      <c r="E741" s="7"/>
      <c r="F741" s="8" t="str">
        <f t="shared" si="23"/>
        <v/>
      </c>
      <c r="BY741" s="4" t="s">
        <v>5</v>
      </c>
      <c r="BZ741" s="4" t="s">
        <v>5</v>
      </c>
    </row>
    <row r="742" spans="1:78" x14ac:dyDescent="0.25">
      <c r="A742" s="13" t="str">
        <f>IF(AND($E742="",MAX($A$8:$A741)=0),"",IF(AND($E742&lt;&gt;"",MAX($A$8:$A741)=0),1,IF(AND($E742&lt;&gt;"",MAX($A$8:$A741)&gt;0),MAX($A$8:$A741)+1,"")))</f>
        <v/>
      </c>
      <c r="B742" s="11">
        <v>735</v>
      </c>
      <c r="C742" s="19" t="str">
        <f t="shared" si="22"/>
        <v>EMPTY</v>
      </c>
      <c r="D742" s="3" t="str">
        <f>IF(C742="SHOW",CONCATENATE(Temp!T738,Temp!U738,",",Temp!V738,",",Temp!W738,Temp!X738),"")</f>
        <v/>
      </c>
      <c r="E742" s="7"/>
      <c r="F742" s="8" t="str">
        <f t="shared" si="23"/>
        <v/>
      </c>
      <c r="BY742" s="4" t="s">
        <v>5</v>
      </c>
      <c r="BZ742" s="4" t="s">
        <v>5</v>
      </c>
    </row>
    <row r="743" spans="1:78" x14ac:dyDescent="0.25">
      <c r="A743" s="13" t="str">
        <f>IF(AND($E743="",MAX($A$8:$A742)=0),"",IF(AND($E743&lt;&gt;"",MAX($A$8:$A742)=0),1,IF(AND($E743&lt;&gt;"",MAX($A$8:$A742)&gt;0),MAX($A$8:$A742)+1,"")))</f>
        <v/>
      </c>
      <c r="B743" s="11">
        <v>736</v>
      </c>
      <c r="C743" s="19" t="str">
        <f t="shared" si="22"/>
        <v>EMPTY</v>
      </c>
      <c r="D743" s="3" t="str">
        <f>IF(C743="SHOW",CONCATENATE(Temp!T739,Temp!U739,",",Temp!V739,",",Temp!W739,Temp!X739),"")</f>
        <v/>
      </c>
      <c r="E743" s="7"/>
      <c r="F743" s="8" t="str">
        <f t="shared" si="23"/>
        <v/>
      </c>
      <c r="BY743" s="4" t="s">
        <v>5</v>
      </c>
      <c r="BZ743" s="4" t="s">
        <v>5</v>
      </c>
    </row>
    <row r="744" spans="1:78" x14ac:dyDescent="0.25">
      <c r="A744" s="13" t="str">
        <f>IF(AND($E744="",MAX($A$8:$A743)=0),"",IF(AND($E744&lt;&gt;"",MAX($A$8:$A743)=0),1,IF(AND($E744&lt;&gt;"",MAX($A$8:$A743)&gt;0),MAX($A$8:$A743)+1,"")))</f>
        <v/>
      </c>
      <c r="B744" s="11">
        <v>737</v>
      </c>
      <c r="C744" s="19" t="str">
        <f t="shared" si="22"/>
        <v>EMPTY</v>
      </c>
      <c r="D744" s="3" t="str">
        <f>IF(C744="SHOW",CONCATENATE(Temp!T740,Temp!U740,",",Temp!V740,",",Temp!W740,Temp!X740),"")</f>
        <v/>
      </c>
      <c r="E744" s="7"/>
      <c r="F744" s="8" t="str">
        <f t="shared" si="23"/>
        <v/>
      </c>
      <c r="BY744" s="4" t="s">
        <v>5</v>
      </c>
      <c r="BZ744" s="4" t="s">
        <v>5</v>
      </c>
    </row>
    <row r="745" spans="1:78" x14ac:dyDescent="0.25">
      <c r="A745" s="13" t="str">
        <f>IF(AND($E745="",MAX($A$8:$A744)=0),"",IF(AND($E745&lt;&gt;"",MAX($A$8:$A744)=0),1,IF(AND($E745&lt;&gt;"",MAX($A$8:$A744)&gt;0),MAX($A$8:$A744)+1,"")))</f>
        <v/>
      </c>
      <c r="B745" s="11">
        <v>738</v>
      </c>
      <c r="C745" s="19" t="str">
        <f t="shared" si="22"/>
        <v>EMPTY</v>
      </c>
      <c r="D745" s="3" t="str">
        <f>IF(C745="SHOW",CONCATENATE(Temp!T741,Temp!U741,",",Temp!V741,",",Temp!W741,Temp!X741),"")</f>
        <v/>
      </c>
      <c r="E745" s="7"/>
      <c r="F745" s="8" t="str">
        <f t="shared" si="23"/>
        <v/>
      </c>
      <c r="BY745" s="4" t="s">
        <v>5</v>
      </c>
      <c r="BZ745" s="4" t="s">
        <v>5</v>
      </c>
    </row>
    <row r="746" spans="1:78" x14ac:dyDescent="0.25">
      <c r="A746" s="13" t="str">
        <f>IF(AND($E746="",MAX($A$8:$A745)=0),"",IF(AND($E746&lt;&gt;"",MAX($A$8:$A745)=0),1,IF(AND($E746&lt;&gt;"",MAX($A$8:$A745)&gt;0),MAX($A$8:$A745)+1,"")))</f>
        <v/>
      </c>
      <c r="B746" s="11">
        <v>739</v>
      </c>
      <c r="C746" s="19" t="str">
        <f t="shared" si="22"/>
        <v>EMPTY</v>
      </c>
      <c r="D746" s="3" t="str">
        <f>IF(C746="SHOW",CONCATENATE(Temp!T742,Temp!U742,",",Temp!V742,",",Temp!W742,Temp!X742),"")</f>
        <v/>
      </c>
      <c r="E746" s="7"/>
      <c r="F746" s="8" t="str">
        <f t="shared" si="23"/>
        <v/>
      </c>
      <c r="BY746" s="4" t="s">
        <v>5</v>
      </c>
      <c r="BZ746" s="4" t="s">
        <v>5</v>
      </c>
    </row>
    <row r="747" spans="1:78" x14ac:dyDescent="0.25">
      <c r="A747" s="13" t="str">
        <f>IF(AND($E747="",MAX($A$8:$A746)=0),"",IF(AND($E747&lt;&gt;"",MAX($A$8:$A746)=0),1,IF(AND($E747&lt;&gt;"",MAX($A$8:$A746)&gt;0),MAX($A$8:$A746)+1,"")))</f>
        <v/>
      </c>
      <c r="B747" s="11">
        <v>740</v>
      </c>
      <c r="C747" s="19" t="str">
        <f t="shared" si="22"/>
        <v>EMPTY</v>
      </c>
      <c r="D747" s="3" t="str">
        <f>IF(C747="SHOW",CONCATENATE(Temp!T743,Temp!U743,",",Temp!V743,",",Temp!W743,Temp!X743),"")</f>
        <v/>
      </c>
      <c r="E747" s="7"/>
      <c r="F747" s="8" t="str">
        <f t="shared" si="23"/>
        <v/>
      </c>
      <c r="BY747" s="4" t="s">
        <v>5</v>
      </c>
      <c r="BZ747" s="4" t="s">
        <v>5</v>
      </c>
    </row>
    <row r="748" spans="1:78" x14ac:dyDescent="0.25">
      <c r="A748" s="13" t="str">
        <f>IF(AND($E748="",MAX($A$8:$A747)=0),"",IF(AND($E748&lt;&gt;"",MAX($A$8:$A747)=0),1,IF(AND($E748&lt;&gt;"",MAX($A$8:$A747)&gt;0),MAX($A$8:$A747)+1,"")))</f>
        <v/>
      </c>
      <c r="B748" s="11">
        <v>741</v>
      </c>
      <c r="C748" s="19" t="str">
        <f t="shared" si="22"/>
        <v>EMPTY</v>
      </c>
      <c r="D748" s="3" t="str">
        <f>IF(C748="SHOW",CONCATENATE(Temp!T744,Temp!U744,",",Temp!V744,",",Temp!W744,Temp!X744),"")</f>
        <v/>
      </c>
      <c r="E748" s="7"/>
      <c r="F748" s="8" t="str">
        <f t="shared" si="23"/>
        <v/>
      </c>
      <c r="BY748" s="4" t="s">
        <v>5</v>
      </c>
      <c r="BZ748" s="4" t="s">
        <v>5</v>
      </c>
    </row>
    <row r="749" spans="1:78" x14ac:dyDescent="0.25">
      <c r="A749" s="13" t="str">
        <f>IF(AND($E749="",MAX($A$8:$A748)=0),"",IF(AND($E749&lt;&gt;"",MAX($A$8:$A748)=0),1,IF(AND($E749&lt;&gt;"",MAX($A$8:$A748)&gt;0),MAX($A$8:$A748)+1,"")))</f>
        <v/>
      </c>
      <c r="B749" s="11">
        <v>742</v>
      </c>
      <c r="C749" s="19" t="str">
        <f t="shared" si="22"/>
        <v>EMPTY</v>
      </c>
      <c r="D749" s="3" t="str">
        <f>IF(C749="SHOW",CONCATENATE(Temp!T745,Temp!U745,",",Temp!V745,",",Temp!W745,Temp!X745),"")</f>
        <v/>
      </c>
      <c r="E749" s="7"/>
      <c r="F749" s="8" t="str">
        <f t="shared" si="23"/>
        <v/>
      </c>
      <c r="BY749" s="4" t="s">
        <v>5</v>
      </c>
      <c r="BZ749" s="4" t="s">
        <v>5</v>
      </c>
    </row>
    <row r="750" spans="1:78" x14ac:dyDescent="0.25">
      <c r="A750" s="13" t="str">
        <f>IF(AND($E750="",MAX($A$8:$A749)=0),"",IF(AND($E750&lt;&gt;"",MAX($A$8:$A749)=0),1,IF(AND($E750&lt;&gt;"",MAX($A$8:$A749)&gt;0),MAX($A$8:$A749)+1,"")))</f>
        <v/>
      </c>
      <c r="B750" s="11">
        <v>743</v>
      </c>
      <c r="C750" s="19" t="str">
        <f t="shared" si="22"/>
        <v>EMPTY</v>
      </c>
      <c r="D750" s="3" t="str">
        <f>IF(C750="SHOW",CONCATENATE(Temp!T746,Temp!U746,",",Temp!V746,",",Temp!W746,Temp!X746),"")</f>
        <v/>
      </c>
      <c r="E750" s="7"/>
      <c r="F750" s="8" t="str">
        <f t="shared" si="23"/>
        <v/>
      </c>
      <c r="BY750" s="4" t="s">
        <v>5</v>
      </c>
      <c r="BZ750" s="4" t="s">
        <v>5</v>
      </c>
    </row>
    <row r="751" spans="1:78" x14ac:dyDescent="0.25">
      <c r="A751" s="13" t="str">
        <f>IF(AND($E751="",MAX($A$8:$A750)=0),"",IF(AND($E751&lt;&gt;"",MAX($A$8:$A750)=0),1,IF(AND($E751&lt;&gt;"",MAX($A$8:$A750)&gt;0),MAX($A$8:$A750)+1,"")))</f>
        <v/>
      </c>
      <c r="B751" s="11">
        <v>744</v>
      </c>
      <c r="C751" s="19" t="str">
        <f t="shared" si="22"/>
        <v>EMPTY</v>
      </c>
      <c r="D751" s="3" t="str">
        <f>IF(C751="SHOW",CONCATENATE(Temp!T747,Temp!U747,",",Temp!V747,",",Temp!W747,Temp!X747),"")</f>
        <v/>
      </c>
      <c r="E751" s="7"/>
      <c r="F751" s="8" t="str">
        <f t="shared" si="23"/>
        <v/>
      </c>
      <c r="BY751" s="4" t="s">
        <v>5</v>
      </c>
      <c r="BZ751" s="4" t="s">
        <v>5</v>
      </c>
    </row>
    <row r="752" spans="1:78" x14ac:dyDescent="0.25">
      <c r="A752" s="13" t="str">
        <f>IF(AND($E752="",MAX($A$8:$A751)=0),"",IF(AND($E752&lt;&gt;"",MAX($A$8:$A751)=0),1,IF(AND($E752&lt;&gt;"",MAX($A$8:$A751)&gt;0),MAX($A$8:$A751)+1,"")))</f>
        <v/>
      </c>
      <c r="B752" s="11">
        <v>745</v>
      </c>
      <c r="C752" s="19" t="str">
        <f t="shared" si="22"/>
        <v>EMPTY</v>
      </c>
      <c r="D752" s="3" t="str">
        <f>IF(C752="SHOW",CONCATENATE(Temp!T748,Temp!U748,",",Temp!V748,",",Temp!W748,Temp!X748),"")</f>
        <v/>
      </c>
      <c r="E752" s="7"/>
      <c r="F752" s="8" t="str">
        <f t="shared" si="23"/>
        <v/>
      </c>
      <c r="BY752" s="4" t="s">
        <v>5</v>
      </c>
      <c r="BZ752" s="4" t="s">
        <v>5</v>
      </c>
    </row>
    <row r="753" spans="1:78" x14ac:dyDescent="0.25">
      <c r="A753" s="13" t="str">
        <f>IF(AND($E753="",MAX($A$8:$A752)=0),"",IF(AND($E753&lt;&gt;"",MAX($A$8:$A752)=0),1,IF(AND($E753&lt;&gt;"",MAX($A$8:$A752)&gt;0),MAX($A$8:$A752)+1,"")))</f>
        <v/>
      </c>
      <c r="B753" s="11">
        <v>746</v>
      </c>
      <c r="C753" s="19" t="str">
        <f t="shared" si="22"/>
        <v>EMPTY</v>
      </c>
      <c r="D753" s="3" t="str">
        <f>IF(C753="SHOW",CONCATENATE(Temp!T749,Temp!U749,",",Temp!V749,",",Temp!W749,Temp!X749),"")</f>
        <v/>
      </c>
      <c r="E753" s="7"/>
      <c r="F753" s="8" t="str">
        <f t="shared" si="23"/>
        <v/>
      </c>
      <c r="BY753" s="4" t="s">
        <v>5</v>
      </c>
      <c r="BZ753" s="4" t="s">
        <v>5</v>
      </c>
    </row>
    <row r="754" spans="1:78" x14ac:dyDescent="0.25">
      <c r="A754" s="13" t="str">
        <f>IF(AND($E754="",MAX($A$8:$A753)=0),"",IF(AND($E754&lt;&gt;"",MAX($A$8:$A753)=0),1,IF(AND($E754&lt;&gt;"",MAX($A$8:$A753)&gt;0),MAX($A$8:$A753)+1,"")))</f>
        <v/>
      </c>
      <c r="B754" s="11">
        <v>747</v>
      </c>
      <c r="C754" s="19" t="str">
        <f t="shared" si="22"/>
        <v>EMPTY</v>
      </c>
      <c r="D754" s="3" t="str">
        <f>IF(C754="SHOW",CONCATENATE(Temp!T750,Temp!U750,",",Temp!V750,",",Temp!W750,Temp!X750),"")</f>
        <v/>
      </c>
      <c r="E754" s="7"/>
      <c r="F754" s="8" t="str">
        <f t="shared" si="23"/>
        <v/>
      </c>
      <c r="BY754" s="4" t="s">
        <v>5</v>
      </c>
      <c r="BZ754" s="4" t="s">
        <v>5</v>
      </c>
    </row>
    <row r="755" spans="1:78" x14ac:dyDescent="0.25">
      <c r="A755" s="13" t="str">
        <f>IF(AND($E755="",MAX($A$8:$A754)=0),"",IF(AND($E755&lt;&gt;"",MAX($A$8:$A754)=0),1,IF(AND($E755&lt;&gt;"",MAX($A$8:$A754)&gt;0),MAX($A$8:$A754)+1,"")))</f>
        <v/>
      </c>
      <c r="B755" s="11">
        <v>748</v>
      </c>
      <c r="C755" s="19" t="str">
        <f t="shared" si="22"/>
        <v>EMPTY</v>
      </c>
      <c r="D755" s="3" t="str">
        <f>IF(C755="SHOW",CONCATENATE(Temp!T751,Temp!U751,",",Temp!V751,",",Temp!W751,Temp!X751),"")</f>
        <v/>
      </c>
      <c r="E755" s="7"/>
      <c r="F755" s="8" t="str">
        <f t="shared" si="23"/>
        <v/>
      </c>
      <c r="BY755" s="4" t="s">
        <v>5</v>
      </c>
      <c r="BZ755" s="4" t="s">
        <v>5</v>
      </c>
    </row>
    <row r="756" spans="1:78" x14ac:dyDescent="0.25">
      <c r="A756" s="13" t="str">
        <f>IF(AND($E756="",MAX($A$8:$A755)=0),"",IF(AND($E756&lt;&gt;"",MAX($A$8:$A755)=0),1,IF(AND($E756&lt;&gt;"",MAX($A$8:$A755)&gt;0),MAX($A$8:$A755)+1,"")))</f>
        <v/>
      </c>
      <c r="B756" s="11">
        <v>749</v>
      </c>
      <c r="C756" s="19" t="str">
        <f t="shared" si="22"/>
        <v>EMPTY</v>
      </c>
      <c r="D756" s="3" t="str">
        <f>IF(C756="SHOW",CONCATENATE(Temp!T752,Temp!U752,",",Temp!V752,",",Temp!W752,Temp!X752),"")</f>
        <v/>
      </c>
      <c r="E756" s="7"/>
      <c r="F756" s="8" t="str">
        <f t="shared" si="23"/>
        <v/>
      </c>
      <c r="BY756" s="4" t="s">
        <v>5</v>
      </c>
      <c r="BZ756" s="4" t="s">
        <v>5</v>
      </c>
    </row>
    <row r="757" spans="1:78" x14ac:dyDescent="0.25">
      <c r="A757" s="13" t="str">
        <f>IF(AND($E757="",MAX($A$8:$A756)=0),"",IF(AND($E757&lt;&gt;"",MAX($A$8:$A756)=0),1,IF(AND($E757&lt;&gt;"",MAX($A$8:$A756)&gt;0),MAX($A$8:$A756)+1,"")))</f>
        <v/>
      </c>
      <c r="B757" s="11">
        <v>750</v>
      </c>
      <c r="C757" s="19" t="str">
        <f t="shared" si="22"/>
        <v>EMPTY</v>
      </c>
      <c r="D757" s="3" t="str">
        <f>IF(C757="SHOW",CONCATENATE(Temp!T753,Temp!U753,",",Temp!V753,",",Temp!W753,Temp!X753),"")</f>
        <v/>
      </c>
      <c r="E757" s="7"/>
      <c r="F757" s="8" t="str">
        <f t="shared" si="23"/>
        <v/>
      </c>
      <c r="BY757" s="4" t="s">
        <v>5</v>
      </c>
      <c r="BZ757" s="4" t="s">
        <v>5</v>
      </c>
    </row>
    <row r="758" spans="1:78" x14ac:dyDescent="0.25">
      <c r="A758" s="13" t="str">
        <f>IF(AND($E758="",MAX($A$8:$A757)=0),"",IF(AND($E758&lt;&gt;"",MAX($A$8:$A757)=0),1,IF(AND($E758&lt;&gt;"",MAX($A$8:$A757)&gt;0),MAX($A$8:$A757)+1,"")))</f>
        <v/>
      </c>
      <c r="B758" s="11">
        <v>751</v>
      </c>
      <c r="C758" s="19" t="str">
        <f t="shared" si="22"/>
        <v>EMPTY</v>
      </c>
      <c r="D758" s="3" t="str">
        <f>IF(C758="SHOW",CONCATENATE(Temp!T754,Temp!U754,",",Temp!V754,",",Temp!W754,Temp!X754),"")</f>
        <v/>
      </c>
      <c r="E758" s="7"/>
      <c r="F758" s="8" t="str">
        <f t="shared" si="23"/>
        <v/>
      </c>
      <c r="BY758" s="4" t="s">
        <v>5</v>
      </c>
      <c r="BZ758" s="4" t="s">
        <v>5</v>
      </c>
    </row>
    <row r="759" spans="1:78" x14ac:dyDescent="0.25">
      <c r="A759" s="13" t="str">
        <f>IF(AND($E759="",MAX($A$8:$A758)=0),"",IF(AND($E759&lt;&gt;"",MAX($A$8:$A758)=0),1,IF(AND($E759&lt;&gt;"",MAX($A$8:$A758)&gt;0),MAX($A$8:$A758)+1,"")))</f>
        <v/>
      </c>
      <c r="B759" s="11">
        <v>752</v>
      </c>
      <c r="C759" s="19" t="str">
        <f t="shared" si="22"/>
        <v>EMPTY</v>
      </c>
      <c r="D759" s="3" t="str">
        <f>IF(C759="SHOW",CONCATENATE(Temp!T755,Temp!U755,",",Temp!V755,",",Temp!W755,Temp!X755),"")</f>
        <v/>
      </c>
      <c r="E759" s="7"/>
      <c r="F759" s="8" t="str">
        <f t="shared" si="23"/>
        <v/>
      </c>
      <c r="BY759" s="4" t="s">
        <v>5</v>
      </c>
      <c r="BZ759" s="4" t="s">
        <v>5</v>
      </c>
    </row>
    <row r="760" spans="1:78" x14ac:dyDescent="0.25">
      <c r="A760" s="13" t="str">
        <f>IF(AND($E760="",MAX($A$8:$A759)=0),"",IF(AND($E760&lt;&gt;"",MAX($A$8:$A759)=0),1,IF(AND($E760&lt;&gt;"",MAX($A$8:$A759)&gt;0),MAX($A$8:$A759)+1,"")))</f>
        <v/>
      </c>
      <c r="B760" s="11">
        <v>753</v>
      </c>
      <c r="C760" s="19" t="str">
        <f t="shared" si="22"/>
        <v>EMPTY</v>
      </c>
      <c r="D760" s="3" t="str">
        <f>IF(C760="SHOW",CONCATENATE(Temp!T756,Temp!U756,",",Temp!V756,",",Temp!W756,Temp!X756),"")</f>
        <v/>
      </c>
      <c r="E760" s="7"/>
      <c r="F760" s="8" t="str">
        <f t="shared" si="23"/>
        <v/>
      </c>
      <c r="BY760" s="4" t="s">
        <v>5</v>
      </c>
      <c r="BZ760" s="4" t="s">
        <v>5</v>
      </c>
    </row>
    <row r="761" spans="1:78" x14ac:dyDescent="0.25">
      <c r="A761" s="13" t="str">
        <f>IF(AND($E761="",MAX($A$8:$A760)=0),"",IF(AND($E761&lt;&gt;"",MAX($A$8:$A760)=0),1,IF(AND($E761&lt;&gt;"",MAX($A$8:$A760)&gt;0),MAX($A$8:$A760)+1,"")))</f>
        <v/>
      </c>
      <c r="B761" s="11">
        <v>754</v>
      </c>
      <c r="C761" s="19" t="str">
        <f t="shared" si="22"/>
        <v>EMPTY</v>
      </c>
      <c r="D761" s="3" t="str">
        <f>IF(C761="SHOW",CONCATENATE(Temp!T757,Temp!U757,",",Temp!V757,",",Temp!W757,Temp!X757),"")</f>
        <v/>
      </c>
      <c r="E761" s="7"/>
      <c r="F761" s="8" t="str">
        <f t="shared" si="23"/>
        <v/>
      </c>
      <c r="BY761" s="4" t="s">
        <v>5</v>
      </c>
      <c r="BZ761" s="4" t="s">
        <v>5</v>
      </c>
    </row>
    <row r="762" spans="1:78" x14ac:dyDescent="0.25">
      <c r="A762" s="13" t="str">
        <f>IF(AND($E762="",MAX($A$8:$A761)=0),"",IF(AND($E762&lt;&gt;"",MAX($A$8:$A761)=0),1,IF(AND($E762&lt;&gt;"",MAX($A$8:$A761)&gt;0),MAX($A$8:$A761)+1,"")))</f>
        <v/>
      </c>
      <c r="B762" s="11">
        <v>755</v>
      </c>
      <c r="C762" s="19" t="str">
        <f t="shared" si="22"/>
        <v>EMPTY</v>
      </c>
      <c r="D762" s="3" t="str">
        <f>IF(C762="SHOW",CONCATENATE(Temp!T758,Temp!U758,",",Temp!V758,",",Temp!W758,Temp!X758),"")</f>
        <v/>
      </c>
      <c r="E762" s="7"/>
      <c r="F762" s="8" t="str">
        <f t="shared" si="23"/>
        <v/>
      </c>
      <c r="BY762" s="4" t="s">
        <v>5</v>
      </c>
      <c r="BZ762" s="4" t="s">
        <v>5</v>
      </c>
    </row>
    <row r="763" spans="1:78" x14ac:dyDescent="0.25">
      <c r="A763" s="13" t="str">
        <f>IF(AND($E763="",MAX($A$8:$A762)=0),"",IF(AND($E763&lt;&gt;"",MAX($A$8:$A762)=0),1,IF(AND($E763&lt;&gt;"",MAX($A$8:$A762)&gt;0),MAX($A$8:$A762)+1,"")))</f>
        <v/>
      </c>
      <c r="B763" s="11">
        <v>756</v>
      </c>
      <c r="C763" s="19" t="str">
        <f t="shared" si="22"/>
        <v>EMPTY</v>
      </c>
      <c r="D763" s="3" t="str">
        <f>IF(C763="SHOW",CONCATENATE(Temp!T759,Temp!U759,",",Temp!V759,",",Temp!W759,Temp!X759),"")</f>
        <v/>
      </c>
      <c r="E763" s="7"/>
      <c r="F763" s="8" t="str">
        <f t="shared" si="23"/>
        <v/>
      </c>
      <c r="BY763" s="4" t="s">
        <v>5</v>
      </c>
      <c r="BZ763" s="4" t="s">
        <v>5</v>
      </c>
    </row>
    <row r="764" spans="1:78" x14ac:dyDescent="0.25">
      <c r="A764" s="13" t="str">
        <f>IF(AND($E764="",MAX($A$8:$A763)=0),"",IF(AND($E764&lt;&gt;"",MAX($A$8:$A763)=0),1,IF(AND($E764&lt;&gt;"",MAX($A$8:$A763)&gt;0),MAX($A$8:$A763)+1,"")))</f>
        <v/>
      </c>
      <c r="B764" s="11">
        <v>757</v>
      </c>
      <c r="C764" s="19" t="str">
        <f t="shared" si="22"/>
        <v>EMPTY</v>
      </c>
      <c r="D764" s="3" t="str">
        <f>IF(C764="SHOW",CONCATENATE(Temp!T760,Temp!U760,",",Temp!V760,",",Temp!W760,Temp!X760),"")</f>
        <v/>
      </c>
      <c r="E764" s="7"/>
      <c r="F764" s="8" t="str">
        <f t="shared" si="23"/>
        <v/>
      </c>
      <c r="BY764" s="4" t="s">
        <v>5</v>
      </c>
      <c r="BZ764" s="4" t="s">
        <v>5</v>
      </c>
    </row>
    <row r="765" spans="1:78" x14ac:dyDescent="0.25">
      <c r="A765" s="13" t="str">
        <f>IF(AND($E765="",MAX($A$8:$A764)=0),"",IF(AND($E765&lt;&gt;"",MAX($A$8:$A764)=0),1,IF(AND($E765&lt;&gt;"",MAX($A$8:$A764)&gt;0),MAX($A$8:$A764)+1,"")))</f>
        <v/>
      </c>
      <c r="B765" s="11">
        <v>758</v>
      </c>
      <c r="C765" s="19" t="str">
        <f t="shared" si="22"/>
        <v>EMPTY</v>
      </c>
      <c r="D765" s="3" t="str">
        <f>IF(C765="SHOW",CONCATENATE(Temp!T761,Temp!U761,",",Temp!V761,",",Temp!W761,Temp!X761),"")</f>
        <v/>
      </c>
      <c r="E765" s="7"/>
      <c r="F765" s="8" t="str">
        <f t="shared" si="23"/>
        <v/>
      </c>
      <c r="BY765" s="4" t="s">
        <v>5</v>
      </c>
      <c r="BZ765" s="4" t="s">
        <v>5</v>
      </c>
    </row>
    <row r="766" spans="1:78" x14ac:dyDescent="0.25">
      <c r="A766" s="13" t="str">
        <f>IF(AND($E766="",MAX($A$8:$A765)=0),"",IF(AND($E766&lt;&gt;"",MAX($A$8:$A765)=0),1,IF(AND($E766&lt;&gt;"",MAX($A$8:$A765)&gt;0),MAX($A$8:$A765)+1,"")))</f>
        <v/>
      </c>
      <c r="B766" s="11">
        <v>759</v>
      </c>
      <c r="C766" s="19" t="str">
        <f t="shared" si="22"/>
        <v>EMPTY</v>
      </c>
      <c r="D766" s="3" t="str">
        <f>IF(C766="SHOW",CONCATENATE(Temp!T762,Temp!U762,",",Temp!V762,",",Temp!W762,Temp!X762),"")</f>
        <v/>
      </c>
      <c r="E766" s="7"/>
      <c r="F766" s="8" t="str">
        <f t="shared" si="23"/>
        <v/>
      </c>
      <c r="BY766" s="4" t="s">
        <v>5</v>
      </c>
      <c r="BZ766" s="4" t="s">
        <v>5</v>
      </c>
    </row>
    <row r="767" spans="1:78" x14ac:dyDescent="0.25">
      <c r="A767" s="13" t="str">
        <f>IF(AND($E767="",MAX($A$8:$A766)=0),"",IF(AND($E767&lt;&gt;"",MAX($A$8:$A766)=0),1,IF(AND($E767&lt;&gt;"",MAX($A$8:$A766)&gt;0),MAX($A$8:$A766)+1,"")))</f>
        <v/>
      </c>
      <c r="B767" s="11">
        <v>760</v>
      </c>
      <c r="C767" s="19" t="str">
        <f t="shared" si="22"/>
        <v>EMPTY</v>
      </c>
      <c r="D767" s="3" t="str">
        <f>IF(C767="SHOW",CONCATENATE(Temp!T763,Temp!U763,",",Temp!V763,",",Temp!W763,Temp!X763),"")</f>
        <v/>
      </c>
      <c r="E767" s="7"/>
      <c r="F767" s="8" t="str">
        <f t="shared" si="23"/>
        <v/>
      </c>
      <c r="BY767" s="4" t="s">
        <v>5</v>
      </c>
      <c r="BZ767" s="4" t="s">
        <v>5</v>
      </c>
    </row>
    <row r="768" spans="1:78" x14ac:dyDescent="0.25">
      <c r="A768" s="13" t="str">
        <f>IF(AND($E768="",MAX($A$8:$A767)=0),"",IF(AND($E768&lt;&gt;"",MAX($A$8:$A767)=0),1,IF(AND($E768&lt;&gt;"",MAX($A$8:$A767)&gt;0),MAX($A$8:$A767)+1,"")))</f>
        <v/>
      </c>
      <c r="B768" s="11">
        <v>761</v>
      </c>
      <c r="C768" s="19" t="str">
        <f t="shared" si="22"/>
        <v>EMPTY</v>
      </c>
      <c r="D768" s="3" t="str">
        <f>IF(C768="SHOW",CONCATENATE(Temp!T764,Temp!U764,",",Temp!V764,",",Temp!W764,Temp!X764),"")</f>
        <v/>
      </c>
      <c r="E768" s="7"/>
      <c r="F768" s="8" t="str">
        <f t="shared" si="23"/>
        <v/>
      </c>
      <c r="BY768" s="4" t="s">
        <v>5</v>
      </c>
      <c r="BZ768" s="4" t="s">
        <v>5</v>
      </c>
    </row>
    <row r="769" spans="1:78" x14ac:dyDescent="0.25">
      <c r="A769" s="13" t="str">
        <f>IF(AND($E769="",MAX($A$8:$A768)=0),"",IF(AND($E769&lt;&gt;"",MAX($A$8:$A768)=0),1,IF(AND($E769&lt;&gt;"",MAX($A$8:$A768)&gt;0),MAX($A$8:$A768)+1,"")))</f>
        <v/>
      </c>
      <c r="B769" s="11">
        <v>762</v>
      </c>
      <c r="C769" s="19" t="str">
        <f t="shared" si="22"/>
        <v>EMPTY</v>
      </c>
      <c r="D769" s="3" t="str">
        <f>IF(C769="SHOW",CONCATENATE(Temp!T765,Temp!U765,",",Temp!V765,",",Temp!W765,Temp!X765),"")</f>
        <v/>
      </c>
      <c r="E769" s="7"/>
      <c r="F769" s="8" t="str">
        <f t="shared" si="23"/>
        <v/>
      </c>
      <c r="BY769" s="4" t="s">
        <v>5</v>
      </c>
      <c r="BZ769" s="4" t="s">
        <v>5</v>
      </c>
    </row>
    <row r="770" spans="1:78" x14ac:dyDescent="0.25">
      <c r="A770" s="13" t="str">
        <f>IF(AND($E770="",MAX($A$8:$A769)=0),"",IF(AND($E770&lt;&gt;"",MAX($A$8:$A769)=0),1,IF(AND($E770&lt;&gt;"",MAX($A$8:$A769)&gt;0),MAX($A$8:$A769)+1,"")))</f>
        <v/>
      </c>
      <c r="B770" s="11">
        <v>763</v>
      </c>
      <c r="C770" s="19" t="str">
        <f t="shared" si="22"/>
        <v>EMPTY</v>
      </c>
      <c r="D770" s="3" t="str">
        <f>IF(C770="SHOW",CONCATENATE(Temp!T766,Temp!U766,",",Temp!V766,",",Temp!W766,Temp!X766),"")</f>
        <v/>
      </c>
      <c r="E770" s="7"/>
      <c r="F770" s="8" t="str">
        <f t="shared" si="23"/>
        <v/>
      </c>
      <c r="BY770" s="4" t="s">
        <v>5</v>
      </c>
      <c r="BZ770" s="4" t="s">
        <v>5</v>
      </c>
    </row>
    <row r="771" spans="1:78" x14ac:dyDescent="0.25">
      <c r="A771" s="13" t="str">
        <f>IF(AND($E771="",MAX($A$8:$A770)=0),"",IF(AND($E771&lt;&gt;"",MAX($A$8:$A770)=0),1,IF(AND($E771&lt;&gt;"",MAX($A$8:$A770)&gt;0),MAX($A$8:$A770)+1,"")))</f>
        <v/>
      </c>
      <c r="B771" s="11">
        <v>764</v>
      </c>
      <c r="C771" s="19" t="str">
        <f t="shared" si="22"/>
        <v>EMPTY</v>
      </c>
      <c r="D771" s="3" t="str">
        <f>IF(C771="SHOW",CONCATENATE(Temp!T767,Temp!U767,",",Temp!V767,",",Temp!W767,Temp!X767),"")</f>
        <v/>
      </c>
      <c r="E771" s="7"/>
      <c r="F771" s="8" t="str">
        <f t="shared" si="23"/>
        <v/>
      </c>
      <c r="BY771" s="4" t="s">
        <v>5</v>
      </c>
      <c r="BZ771" s="4" t="s">
        <v>5</v>
      </c>
    </row>
    <row r="772" spans="1:78" x14ac:dyDescent="0.25">
      <c r="A772" s="13" t="str">
        <f>IF(AND($E772="",MAX($A$8:$A771)=0),"",IF(AND($E772&lt;&gt;"",MAX($A$8:$A771)=0),1,IF(AND($E772&lt;&gt;"",MAX($A$8:$A771)&gt;0),MAX($A$8:$A771)+1,"")))</f>
        <v/>
      </c>
      <c r="B772" s="11">
        <v>765</v>
      </c>
      <c r="C772" s="19" t="str">
        <f t="shared" si="22"/>
        <v>EMPTY</v>
      </c>
      <c r="D772" s="3" t="str">
        <f>IF(C772="SHOW",CONCATENATE(Temp!T768,Temp!U768,",",Temp!V768,",",Temp!W768,Temp!X768),"")</f>
        <v/>
      </c>
      <c r="E772" s="7"/>
      <c r="F772" s="8" t="str">
        <f t="shared" si="23"/>
        <v/>
      </c>
      <c r="BY772" s="4" t="s">
        <v>5</v>
      </c>
      <c r="BZ772" s="4" t="s">
        <v>5</v>
      </c>
    </row>
    <row r="773" spans="1:78" x14ac:dyDescent="0.25">
      <c r="A773" s="13" t="str">
        <f>IF(AND($E773="",MAX($A$8:$A772)=0),"",IF(AND($E773&lt;&gt;"",MAX($A$8:$A772)=0),1,IF(AND($E773&lt;&gt;"",MAX($A$8:$A772)&gt;0),MAX($A$8:$A772)+1,"")))</f>
        <v/>
      </c>
      <c r="B773" s="11">
        <v>766</v>
      </c>
      <c r="C773" s="19" t="str">
        <f t="shared" si="22"/>
        <v>EMPTY</v>
      </c>
      <c r="D773" s="3" t="str">
        <f>IF(C773="SHOW",CONCATENATE(Temp!T769,Temp!U769,",",Temp!V769,",",Temp!W769,Temp!X769),"")</f>
        <v/>
      </c>
      <c r="E773" s="7"/>
      <c r="F773" s="8" t="str">
        <f t="shared" si="23"/>
        <v/>
      </c>
      <c r="BY773" s="4" t="s">
        <v>5</v>
      </c>
      <c r="BZ773" s="4" t="s">
        <v>5</v>
      </c>
    </row>
    <row r="774" spans="1:78" x14ac:dyDescent="0.25">
      <c r="A774" s="13" t="str">
        <f>IF(AND($E774="",MAX($A$8:$A773)=0),"",IF(AND($E774&lt;&gt;"",MAX($A$8:$A773)=0),1,IF(AND($E774&lt;&gt;"",MAX($A$8:$A773)&gt;0),MAX($A$8:$A773)+1,"")))</f>
        <v/>
      </c>
      <c r="B774" s="11">
        <v>767</v>
      </c>
      <c r="C774" s="19" t="str">
        <f t="shared" si="22"/>
        <v>EMPTY</v>
      </c>
      <c r="D774" s="3" t="str">
        <f>IF(C774="SHOW",CONCATENATE(Temp!T770,Temp!U770,",",Temp!V770,",",Temp!W770,Temp!X770),"")</f>
        <v/>
      </c>
      <c r="E774" s="7"/>
      <c r="F774" s="8" t="str">
        <f t="shared" si="23"/>
        <v/>
      </c>
      <c r="BY774" s="4" t="s">
        <v>5</v>
      </c>
      <c r="BZ774" s="4" t="s">
        <v>5</v>
      </c>
    </row>
    <row r="775" spans="1:78" x14ac:dyDescent="0.25">
      <c r="A775" s="13" t="str">
        <f>IF(AND($E775="",MAX($A$8:$A774)=0),"",IF(AND($E775&lt;&gt;"",MAX($A$8:$A774)=0),1,IF(AND($E775&lt;&gt;"",MAX($A$8:$A774)&gt;0),MAX($A$8:$A774)+1,"")))</f>
        <v/>
      </c>
      <c r="B775" s="11">
        <v>768</v>
      </c>
      <c r="C775" s="19" t="str">
        <f t="shared" si="22"/>
        <v>EMPTY</v>
      </c>
      <c r="D775" s="3" t="str">
        <f>IF(C775="SHOW",CONCATENATE(Temp!T771,Temp!U771,",",Temp!V771,",",Temp!W771,Temp!X771),"")</f>
        <v/>
      </c>
      <c r="E775" s="7"/>
      <c r="F775" s="8" t="str">
        <f t="shared" si="23"/>
        <v/>
      </c>
      <c r="BY775" s="4" t="s">
        <v>5</v>
      </c>
      <c r="BZ775" s="4" t="s">
        <v>5</v>
      </c>
    </row>
    <row r="776" spans="1:78" x14ac:dyDescent="0.25">
      <c r="A776" s="13" t="str">
        <f>IF(AND($E776="",MAX($A$8:$A775)=0),"",IF(AND($E776&lt;&gt;"",MAX($A$8:$A775)=0),1,IF(AND($E776&lt;&gt;"",MAX($A$8:$A775)&gt;0),MAX($A$8:$A775)+1,"")))</f>
        <v/>
      </c>
      <c r="B776" s="11">
        <v>769</v>
      </c>
      <c r="C776" s="19" t="str">
        <f t="shared" si="22"/>
        <v>EMPTY</v>
      </c>
      <c r="D776" s="3" t="str">
        <f>IF(C776="SHOW",CONCATENATE(Temp!T772,Temp!U772,",",Temp!V772,",",Temp!W772,Temp!X772),"")</f>
        <v/>
      </c>
      <c r="E776" s="7"/>
      <c r="F776" s="8" t="str">
        <f t="shared" si="23"/>
        <v/>
      </c>
      <c r="BY776" s="4" t="s">
        <v>5</v>
      </c>
      <c r="BZ776" s="4" t="s">
        <v>5</v>
      </c>
    </row>
    <row r="777" spans="1:78" x14ac:dyDescent="0.25">
      <c r="A777" s="13" t="str">
        <f>IF(AND($E777="",MAX($A$8:$A776)=0),"",IF(AND($E777&lt;&gt;"",MAX($A$8:$A776)=0),1,IF(AND($E777&lt;&gt;"",MAX($A$8:$A776)&gt;0),MAX($A$8:$A776)+1,"")))</f>
        <v/>
      </c>
      <c r="B777" s="11">
        <v>770</v>
      </c>
      <c r="C777" s="19" t="str">
        <f t="shared" ref="C777:C840" si="24">IF(E777="","EMPTY",IF(MID(E777,1,9)&lt;&gt;"Dialogue:","HIDE",IF(MID(E777,1,9)="Dialogue:","SHOW","")))</f>
        <v>EMPTY</v>
      </c>
      <c r="D777" s="3" t="str">
        <f>IF(C777="SHOW",CONCATENATE(Temp!T773,Temp!U773,",",Temp!V773,",",Temp!W773,Temp!X773),"")</f>
        <v/>
      </c>
      <c r="E777" s="7"/>
      <c r="F777" s="8" t="str">
        <f t="shared" ref="F777:F840" si="25">$D777</f>
        <v/>
      </c>
      <c r="BY777" s="4" t="s">
        <v>5</v>
      </c>
      <c r="BZ777" s="4" t="s">
        <v>5</v>
      </c>
    </row>
    <row r="778" spans="1:78" x14ac:dyDescent="0.25">
      <c r="A778" s="13" t="str">
        <f>IF(AND($E778="",MAX($A$8:$A777)=0),"",IF(AND($E778&lt;&gt;"",MAX($A$8:$A777)=0),1,IF(AND($E778&lt;&gt;"",MAX($A$8:$A777)&gt;0),MAX($A$8:$A777)+1,"")))</f>
        <v/>
      </c>
      <c r="B778" s="11">
        <v>771</v>
      </c>
      <c r="C778" s="19" t="str">
        <f t="shared" si="24"/>
        <v>EMPTY</v>
      </c>
      <c r="D778" s="3" t="str">
        <f>IF(C778="SHOW",CONCATENATE(Temp!T774,Temp!U774,",",Temp!V774,",",Temp!W774,Temp!X774),"")</f>
        <v/>
      </c>
      <c r="E778" s="7"/>
      <c r="F778" s="8" t="str">
        <f t="shared" si="25"/>
        <v/>
      </c>
      <c r="BY778" s="4" t="s">
        <v>5</v>
      </c>
      <c r="BZ778" s="4" t="s">
        <v>5</v>
      </c>
    </row>
    <row r="779" spans="1:78" x14ac:dyDescent="0.25">
      <c r="A779" s="13" t="str">
        <f>IF(AND($E779="",MAX($A$8:$A778)=0),"",IF(AND($E779&lt;&gt;"",MAX($A$8:$A778)=0),1,IF(AND($E779&lt;&gt;"",MAX($A$8:$A778)&gt;0),MAX($A$8:$A778)+1,"")))</f>
        <v/>
      </c>
      <c r="B779" s="11">
        <v>772</v>
      </c>
      <c r="C779" s="19" t="str">
        <f t="shared" si="24"/>
        <v>EMPTY</v>
      </c>
      <c r="D779" s="3" t="str">
        <f>IF(C779="SHOW",CONCATENATE(Temp!T775,Temp!U775,",",Temp!V775,",",Temp!W775,Temp!X775),"")</f>
        <v/>
      </c>
      <c r="E779" s="7"/>
      <c r="F779" s="8" t="str">
        <f t="shared" si="25"/>
        <v/>
      </c>
      <c r="BY779" s="4" t="s">
        <v>5</v>
      </c>
      <c r="BZ779" s="4" t="s">
        <v>5</v>
      </c>
    </row>
    <row r="780" spans="1:78" x14ac:dyDescent="0.25">
      <c r="A780" s="13" t="str">
        <f>IF(AND($E780="",MAX($A$8:$A779)=0),"",IF(AND($E780&lt;&gt;"",MAX($A$8:$A779)=0),1,IF(AND($E780&lt;&gt;"",MAX($A$8:$A779)&gt;0),MAX($A$8:$A779)+1,"")))</f>
        <v/>
      </c>
      <c r="B780" s="11">
        <v>773</v>
      </c>
      <c r="C780" s="19" t="str">
        <f t="shared" si="24"/>
        <v>EMPTY</v>
      </c>
      <c r="D780" s="3" t="str">
        <f>IF(C780="SHOW",CONCATENATE(Temp!T776,Temp!U776,",",Temp!V776,",",Temp!W776,Temp!X776),"")</f>
        <v/>
      </c>
      <c r="E780" s="7"/>
      <c r="F780" s="8" t="str">
        <f t="shared" si="25"/>
        <v/>
      </c>
      <c r="BY780" s="4" t="s">
        <v>5</v>
      </c>
      <c r="BZ780" s="4" t="s">
        <v>5</v>
      </c>
    </row>
    <row r="781" spans="1:78" x14ac:dyDescent="0.25">
      <c r="A781" s="13" t="str">
        <f>IF(AND($E781="",MAX($A$8:$A780)=0),"",IF(AND($E781&lt;&gt;"",MAX($A$8:$A780)=0),1,IF(AND($E781&lt;&gt;"",MAX($A$8:$A780)&gt;0),MAX($A$8:$A780)+1,"")))</f>
        <v/>
      </c>
      <c r="B781" s="11">
        <v>774</v>
      </c>
      <c r="C781" s="19" t="str">
        <f t="shared" si="24"/>
        <v>EMPTY</v>
      </c>
      <c r="D781" s="3" t="str">
        <f>IF(C781="SHOW",CONCATENATE(Temp!T777,Temp!U777,",",Temp!V777,",",Temp!W777,Temp!X777),"")</f>
        <v/>
      </c>
      <c r="E781" s="7"/>
      <c r="F781" s="8" t="str">
        <f t="shared" si="25"/>
        <v/>
      </c>
      <c r="BY781" s="4" t="s">
        <v>5</v>
      </c>
      <c r="BZ781" s="4" t="s">
        <v>5</v>
      </c>
    </row>
    <row r="782" spans="1:78" x14ac:dyDescent="0.25">
      <c r="A782" s="13" t="str">
        <f>IF(AND($E782="",MAX($A$8:$A781)=0),"",IF(AND($E782&lt;&gt;"",MAX($A$8:$A781)=0),1,IF(AND($E782&lt;&gt;"",MAX($A$8:$A781)&gt;0),MAX($A$8:$A781)+1,"")))</f>
        <v/>
      </c>
      <c r="B782" s="11">
        <v>775</v>
      </c>
      <c r="C782" s="19" t="str">
        <f t="shared" si="24"/>
        <v>EMPTY</v>
      </c>
      <c r="D782" s="3" t="str">
        <f>IF(C782="SHOW",CONCATENATE(Temp!T778,Temp!U778,",",Temp!V778,",",Temp!W778,Temp!X778),"")</f>
        <v/>
      </c>
      <c r="E782" s="7"/>
      <c r="F782" s="8" t="str">
        <f t="shared" si="25"/>
        <v/>
      </c>
      <c r="BY782" s="4" t="s">
        <v>5</v>
      </c>
      <c r="BZ782" s="4" t="s">
        <v>5</v>
      </c>
    </row>
    <row r="783" spans="1:78" x14ac:dyDescent="0.25">
      <c r="A783" s="13" t="str">
        <f>IF(AND($E783="",MAX($A$8:$A782)=0),"",IF(AND($E783&lt;&gt;"",MAX($A$8:$A782)=0),1,IF(AND($E783&lt;&gt;"",MAX($A$8:$A782)&gt;0),MAX($A$8:$A782)+1,"")))</f>
        <v/>
      </c>
      <c r="B783" s="11">
        <v>776</v>
      </c>
      <c r="C783" s="19" t="str">
        <f t="shared" si="24"/>
        <v>EMPTY</v>
      </c>
      <c r="D783" s="3" t="str">
        <f>IF(C783="SHOW",CONCATENATE(Temp!T779,Temp!U779,",",Temp!V779,",",Temp!W779,Temp!X779),"")</f>
        <v/>
      </c>
      <c r="E783" s="7"/>
      <c r="F783" s="8" t="str">
        <f t="shared" si="25"/>
        <v/>
      </c>
      <c r="BY783" s="4" t="s">
        <v>5</v>
      </c>
      <c r="BZ783" s="4" t="s">
        <v>5</v>
      </c>
    </row>
    <row r="784" spans="1:78" x14ac:dyDescent="0.25">
      <c r="A784" s="13" t="str">
        <f>IF(AND($E784="",MAX($A$8:$A783)=0),"",IF(AND($E784&lt;&gt;"",MAX($A$8:$A783)=0),1,IF(AND($E784&lt;&gt;"",MAX($A$8:$A783)&gt;0),MAX($A$8:$A783)+1,"")))</f>
        <v/>
      </c>
      <c r="B784" s="11">
        <v>777</v>
      </c>
      <c r="C784" s="19" t="str">
        <f t="shared" si="24"/>
        <v>EMPTY</v>
      </c>
      <c r="D784" s="3" t="str">
        <f>IF(C784="SHOW",CONCATENATE(Temp!T780,Temp!U780,",",Temp!V780,",",Temp!W780,Temp!X780),"")</f>
        <v/>
      </c>
      <c r="E784" s="7"/>
      <c r="F784" s="8" t="str">
        <f t="shared" si="25"/>
        <v/>
      </c>
      <c r="BY784" s="4" t="s">
        <v>5</v>
      </c>
      <c r="BZ784" s="4" t="s">
        <v>5</v>
      </c>
    </row>
    <row r="785" spans="1:78" x14ac:dyDescent="0.25">
      <c r="A785" s="13" t="str">
        <f>IF(AND($E785="",MAX($A$8:$A784)=0),"",IF(AND($E785&lt;&gt;"",MAX($A$8:$A784)=0),1,IF(AND($E785&lt;&gt;"",MAX($A$8:$A784)&gt;0),MAX($A$8:$A784)+1,"")))</f>
        <v/>
      </c>
      <c r="B785" s="11">
        <v>778</v>
      </c>
      <c r="C785" s="19" t="str">
        <f t="shared" si="24"/>
        <v>EMPTY</v>
      </c>
      <c r="D785" s="3" t="str">
        <f>IF(C785="SHOW",CONCATENATE(Temp!T781,Temp!U781,",",Temp!V781,",",Temp!W781,Temp!X781),"")</f>
        <v/>
      </c>
      <c r="E785" s="7"/>
      <c r="F785" s="8" t="str">
        <f t="shared" si="25"/>
        <v/>
      </c>
      <c r="BY785" s="4" t="s">
        <v>5</v>
      </c>
      <c r="BZ785" s="4" t="s">
        <v>5</v>
      </c>
    </row>
    <row r="786" spans="1:78" x14ac:dyDescent="0.25">
      <c r="A786" s="13" t="str">
        <f>IF(AND($E786="",MAX($A$8:$A785)=0),"",IF(AND($E786&lt;&gt;"",MAX($A$8:$A785)=0),1,IF(AND($E786&lt;&gt;"",MAX($A$8:$A785)&gt;0),MAX($A$8:$A785)+1,"")))</f>
        <v/>
      </c>
      <c r="B786" s="11">
        <v>779</v>
      </c>
      <c r="C786" s="19" t="str">
        <f t="shared" si="24"/>
        <v>EMPTY</v>
      </c>
      <c r="D786" s="3" t="str">
        <f>IF(C786="SHOW",CONCATENATE(Temp!T782,Temp!U782,",",Temp!V782,",",Temp!W782,Temp!X782),"")</f>
        <v/>
      </c>
      <c r="E786" s="7"/>
      <c r="F786" s="8" t="str">
        <f t="shared" si="25"/>
        <v/>
      </c>
      <c r="BY786" s="4" t="s">
        <v>5</v>
      </c>
      <c r="BZ786" s="4" t="s">
        <v>5</v>
      </c>
    </row>
    <row r="787" spans="1:78" x14ac:dyDescent="0.25">
      <c r="A787" s="13" t="str">
        <f>IF(AND($E787="",MAX($A$8:$A786)=0),"",IF(AND($E787&lt;&gt;"",MAX($A$8:$A786)=0),1,IF(AND($E787&lt;&gt;"",MAX($A$8:$A786)&gt;0),MAX($A$8:$A786)+1,"")))</f>
        <v/>
      </c>
      <c r="B787" s="11">
        <v>780</v>
      </c>
      <c r="C787" s="19" t="str">
        <f t="shared" si="24"/>
        <v>EMPTY</v>
      </c>
      <c r="D787" s="3" t="str">
        <f>IF(C787="SHOW",CONCATENATE(Temp!T783,Temp!U783,",",Temp!V783,",",Temp!W783,Temp!X783),"")</f>
        <v/>
      </c>
      <c r="E787" s="7"/>
      <c r="F787" s="8" t="str">
        <f t="shared" si="25"/>
        <v/>
      </c>
      <c r="BY787" s="4" t="s">
        <v>5</v>
      </c>
      <c r="BZ787" s="4" t="s">
        <v>5</v>
      </c>
    </row>
    <row r="788" spans="1:78" x14ac:dyDescent="0.25">
      <c r="A788" s="13" t="str">
        <f>IF(AND($E788="",MAX($A$8:$A787)=0),"",IF(AND($E788&lt;&gt;"",MAX($A$8:$A787)=0),1,IF(AND($E788&lt;&gt;"",MAX($A$8:$A787)&gt;0),MAX($A$8:$A787)+1,"")))</f>
        <v/>
      </c>
      <c r="B788" s="11">
        <v>781</v>
      </c>
      <c r="C788" s="19" t="str">
        <f t="shared" si="24"/>
        <v>EMPTY</v>
      </c>
      <c r="D788" s="3" t="str">
        <f>IF(C788="SHOW",CONCATENATE(Temp!T784,Temp!U784,",",Temp!V784,",",Temp!W784,Temp!X784),"")</f>
        <v/>
      </c>
      <c r="E788" s="7"/>
      <c r="F788" s="8" t="str">
        <f t="shared" si="25"/>
        <v/>
      </c>
      <c r="BY788" s="4" t="s">
        <v>5</v>
      </c>
      <c r="BZ788" s="4" t="s">
        <v>5</v>
      </c>
    </row>
    <row r="789" spans="1:78" x14ac:dyDescent="0.25">
      <c r="A789" s="13" t="str">
        <f>IF(AND($E789="",MAX($A$8:$A788)=0),"",IF(AND($E789&lt;&gt;"",MAX($A$8:$A788)=0),1,IF(AND($E789&lt;&gt;"",MAX($A$8:$A788)&gt;0),MAX($A$8:$A788)+1,"")))</f>
        <v/>
      </c>
      <c r="B789" s="11">
        <v>782</v>
      </c>
      <c r="C789" s="19" t="str">
        <f t="shared" si="24"/>
        <v>EMPTY</v>
      </c>
      <c r="D789" s="3" t="str">
        <f>IF(C789="SHOW",CONCATENATE(Temp!T785,Temp!U785,",",Temp!V785,",",Temp!W785,Temp!X785),"")</f>
        <v/>
      </c>
      <c r="E789" s="7"/>
      <c r="F789" s="8" t="str">
        <f t="shared" si="25"/>
        <v/>
      </c>
      <c r="BY789" s="4" t="s">
        <v>5</v>
      </c>
      <c r="BZ789" s="4" t="s">
        <v>5</v>
      </c>
    </row>
    <row r="790" spans="1:78" x14ac:dyDescent="0.25">
      <c r="A790" s="13" t="str">
        <f>IF(AND($E790="",MAX($A$8:$A789)=0),"",IF(AND($E790&lt;&gt;"",MAX($A$8:$A789)=0),1,IF(AND($E790&lt;&gt;"",MAX($A$8:$A789)&gt;0),MAX($A$8:$A789)+1,"")))</f>
        <v/>
      </c>
      <c r="B790" s="11">
        <v>783</v>
      </c>
      <c r="C790" s="19" t="str">
        <f t="shared" si="24"/>
        <v>EMPTY</v>
      </c>
      <c r="D790" s="3" t="str">
        <f>IF(C790="SHOW",CONCATENATE(Temp!T786,Temp!U786,",",Temp!V786,",",Temp!W786,Temp!X786),"")</f>
        <v/>
      </c>
      <c r="E790" s="7"/>
      <c r="F790" s="8" t="str">
        <f t="shared" si="25"/>
        <v/>
      </c>
      <c r="BY790" s="4" t="s">
        <v>5</v>
      </c>
      <c r="BZ790" s="4" t="s">
        <v>5</v>
      </c>
    </row>
    <row r="791" spans="1:78" x14ac:dyDescent="0.25">
      <c r="A791" s="13" t="str">
        <f>IF(AND($E791="",MAX($A$8:$A790)=0),"",IF(AND($E791&lt;&gt;"",MAX($A$8:$A790)=0),1,IF(AND($E791&lt;&gt;"",MAX($A$8:$A790)&gt;0),MAX($A$8:$A790)+1,"")))</f>
        <v/>
      </c>
      <c r="B791" s="11">
        <v>784</v>
      </c>
      <c r="C791" s="19" t="str">
        <f t="shared" si="24"/>
        <v>EMPTY</v>
      </c>
      <c r="D791" s="3" t="str">
        <f>IF(C791="SHOW",CONCATENATE(Temp!T787,Temp!U787,",",Temp!V787,",",Temp!W787,Temp!X787),"")</f>
        <v/>
      </c>
      <c r="E791" s="7"/>
      <c r="F791" s="8" t="str">
        <f t="shared" si="25"/>
        <v/>
      </c>
      <c r="BY791" s="4" t="s">
        <v>5</v>
      </c>
      <c r="BZ791" s="4" t="s">
        <v>5</v>
      </c>
    </row>
    <row r="792" spans="1:78" x14ac:dyDescent="0.25">
      <c r="A792" s="13" t="str">
        <f>IF(AND($E792="",MAX($A$8:$A791)=0),"",IF(AND($E792&lt;&gt;"",MAX($A$8:$A791)=0),1,IF(AND($E792&lt;&gt;"",MAX($A$8:$A791)&gt;0),MAX($A$8:$A791)+1,"")))</f>
        <v/>
      </c>
      <c r="B792" s="11">
        <v>785</v>
      </c>
      <c r="C792" s="19" t="str">
        <f t="shared" si="24"/>
        <v>EMPTY</v>
      </c>
      <c r="D792" s="3" t="str">
        <f>IF(C792="SHOW",CONCATENATE(Temp!T788,Temp!U788,",",Temp!V788,",",Temp!W788,Temp!X788),"")</f>
        <v/>
      </c>
      <c r="E792" s="7"/>
      <c r="F792" s="8" t="str">
        <f t="shared" si="25"/>
        <v/>
      </c>
      <c r="BY792" s="4" t="s">
        <v>5</v>
      </c>
      <c r="BZ792" s="4" t="s">
        <v>5</v>
      </c>
    </row>
    <row r="793" spans="1:78" x14ac:dyDescent="0.25">
      <c r="A793" s="13" t="str">
        <f>IF(AND($E793="",MAX($A$8:$A792)=0),"",IF(AND($E793&lt;&gt;"",MAX($A$8:$A792)=0),1,IF(AND($E793&lt;&gt;"",MAX($A$8:$A792)&gt;0),MAX($A$8:$A792)+1,"")))</f>
        <v/>
      </c>
      <c r="B793" s="11">
        <v>786</v>
      </c>
      <c r="C793" s="19" t="str">
        <f t="shared" si="24"/>
        <v>EMPTY</v>
      </c>
      <c r="D793" s="3" t="str">
        <f>IF(C793="SHOW",CONCATENATE(Temp!T789,Temp!U789,",",Temp!V789,",",Temp!W789,Temp!X789),"")</f>
        <v/>
      </c>
      <c r="E793" s="7"/>
      <c r="F793" s="8" t="str">
        <f t="shared" si="25"/>
        <v/>
      </c>
      <c r="BY793" s="4" t="s">
        <v>5</v>
      </c>
      <c r="BZ793" s="4" t="s">
        <v>5</v>
      </c>
    </row>
    <row r="794" spans="1:78" x14ac:dyDescent="0.25">
      <c r="A794" s="13" t="str">
        <f>IF(AND($E794="",MAX($A$8:$A793)=0),"",IF(AND($E794&lt;&gt;"",MAX($A$8:$A793)=0),1,IF(AND($E794&lt;&gt;"",MAX($A$8:$A793)&gt;0),MAX($A$8:$A793)+1,"")))</f>
        <v/>
      </c>
      <c r="B794" s="11">
        <v>787</v>
      </c>
      <c r="C794" s="19" t="str">
        <f t="shared" si="24"/>
        <v>EMPTY</v>
      </c>
      <c r="D794" s="3" t="str">
        <f>IF(C794="SHOW",CONCATENATE(Temp!T790,Temp!U790,",",Temp!V790,",",Temp!W790,Temp!X790),"")</f>
        <v/>
      </c>
      <c r="E794" s="7"/>
      <c r="F794" s="8" t="str">
        <f t="shared" si="25"/>
        <v/>
      </c>
      <c r="BY794" s="4" t="s">
        <v>5</v>
      </c>
      <c r="BZ794" s="4" t="s">
        <v>5</v>
      </c>
    </row>
    <row r="795" spans="1:78" x14ac:dyDescent="0.25">
      <c r="A795" s="13" t="str">
        <f>IF(AND($E795="",MAX($A$8:$A794)=0),"",IF(AND($E795&lt;&gt;"",MAX($A$8:$A794)=0),1,IF(AND($E795&lt;&gt;"",MAX($A$8:$A794)&gt;0),MAX($A$8:$A794)+1,"")))</f>
        <v/>
      </c>
      <c r="B795" s="11">
        <v>788</v>
      </c>
      <c r="C795" s="19" t="str">
        <f t="shared" si="24"/>
        <v>EMPTY</v>
      </c>
      <c r="D795" s="3" t="str">
        <f>IF(C795="SHOW",CONCATENATE(Temp!T791,Temp!U791,",",Temp!V791,",",Temp!W791,Temp!X791),"")</f>
        <v/>
      </c>
      <c r="E795" s="7"/>
      <c r="F795" s="8" t="str">
        <f t="shared" si="25"/>
        <v/>
      </c>
      <c r="BY795" s="4" t="s">
        <v>5</v>
      </c>
      <c r="BZ795" s="4" t="s">
        <v>5</v>
      </c>
    </row>
    <row r="796" spans="1:78" x14ac:dyDescent="0.25">
      <c r="A796" s="13" t="str">
        <f>IF(AND($E796="",MAX($A$8:$A795)=0),"",IF(AND($E796&lt;&gt;"",MAX($A$8:$A795)=0),1,IF(AND($E796&lt;&gt;"",MAX($A$8:$A795)&gt;0),MAX($A$8:$A795)+1,"")))</f>
        <v/>
      </c>
      <c r="B796" s="11">
        <v>789</v>
      </c>
      <c r="C796" s="19" t="str">
        <f t="shared" si="24"/>
        <v>EMPTY</v>
      </c>
      <c r="D796" s="3" t="str">
        <f>IF(C796="SHOW",CONCATENATE(Temp!T792,Temp!U792,",",Temp!V792,",",Temp!W792,Temp!X792),"")</f>
        <v/>
      </c>
      <c r="E796" s="7"/>
      <c r="F796" s="8" t="str">
        <f t="shared" si="25"/>
        <v/>
      </c>
      <c r="BY796" s="4" t="s">
        <v>5</v>
      </c>
      <c r="BZ796" s="4" t="s">
        <v>5</v>
      </c>
    </row>
    <row r="797" spans="1:78" x14ac:dyDescent="0.25">
      <c r="A797" s="13" t="str">
        <f>IF(AND($E797="",MAX($A$8:$A796)=0),"",IF(AND($E797&lt;&gt;"",MAX($A$8:$A796)=0),1,IF(AND($E797&lt;&gt;"",MAX($A$8:$A796)&gt;0),MAX($A$8:$A796)+1,"")))</f>
        <v/>
      </c>
      <c r="B797" s="11">
        <v>790</v>
      </c>
      <c r="C797" s="19" t="str">
        <f t="shared" si="24"/>
        <v>EMPTY</v>
      </c>
      <c r="D797" s="3" t="str">
        <f>IF(C797="SHOW",CONCATENATE(Temp!T793,Temp!U793,",",Temp!V793,",",Temp!W793,Temp!X793),"")</f>
        <v/>
      </c>
      <c r="E797" s="7"/>
      <c r="F797" s="8" t="str">
        <f t="shared" si="25"/>
        <v/>
      </c>
      <c r="BY797" s="4" t="s">
        <v>5</v>
      </c>
      <c r="BZ797" s="4" t="s">
        <v>5</v>
      </c>
    </row>
    <row r="798" spans="1:78" x14ac:dyDescent="0.25">
      <c r="A798" s="13" t="str">
        <f>IF(AND($E798="",MAX($A$8:$A797)=0),"",IF(AND($E798&lt;&gt;"",MAX($A$8:$A797)=0),1,IF(AND($E798&lt;&gt;"",MAX($A$8:$A797)&gt;0),MAX($A$8:$A797)+1,"")))</f>
        <v/>
      </c>
      <c r="B798" s="11">
        <v>791</v>
      </c>
      <c r="C798" s="19" t="str">
        <f t="shared" si="24"/>
        <v>EMPTY</v>
      </c>
      <c r="D798" s="3" t="str">
        <f>IF(C798="SHOW",CONCATENATE(Temp!T794,Temp!U794,",",Temp!V794,",",Temp!W794,Temp!X794),"")</f>
        <v/>
      </c>
      <c r="E798" s="7"/>
      <c r="F798" s="8" t="str">
        <f t="shared" si="25"/>
        <v/>
      </c>
      <c r="BY798" s="4" t="s">
        <v>5</v>
      </c>
      <c r="BZ798" s="4" t="s">
        <v>5</v>
      </c>
    </row>
    <row r="799" spans="1:78" x14ac:dyDescent="0.25">
      <c r="A799" s="13" t="str">
        <f>IF(AND($E799="",MAX($A$8:$A798)=0),"",IF(AND($E799&lt;&gt;"",MAX($A$8:$A798)=0),1,IF(AND($E799&lt;&gt;"",MAX($A$8:$A798)&gt;0),MAX($A$8:$A798)+1,"")))</f>
        <v/>
      </c>
      <c r="B799" s="11">
        <v>792</v>
      </c>
      <c r="C799" s="19" t="str">
        <f t="shared" si="24"/>
        <v>EMPTY</v>
      </c>
      <c r="D799" s="3" t="str">
        <f>IF(C799="SHOW",CONCATENATE(Temp!T795,Temp!U795,",",Temp!V795,",",Temp!W795,Temp!X795),"")</f>
        <v/>
      </c>
      <c r="E799" s="7"/>
      <c r="F799" s="8" t="str">
        <f t="shared" si="25"/>
        <v/>
      </c>
      <c r="BY799" s="4" t="s">
        <v>5</v>
      </c>
      <c r="BZ799" s="4" t="s">
        <v>5</v>
      </c>
    </row>
    <row r="800" spans="1:78" x14ac:dyDescent="0.25">
      <c r="A800" s="13" t="str">
        <f>IF(AND($E800="",MAX($A$8:$A799)=0),"",IF(AND($E800&lt;&gt;"",MAX($A$8:$A799)=0),1,IF(AND($E800&lt;&gt;"",MAX($A$8:$A799)&gt;0),MAX($A$8:$A799)+1,"")))</f>
        <v/>
      </c>
      <c r="B800" s="11">
        <v>793</v>
      </c>
      <c r="C800" s="19" t="str">
        <f t="shared" si="24"/>
        <v>EMPTY</v>
      </c>
      <c r="D800" s="3" t="str">
        <f>IF(C800="SHOW",CONCATENATE(Temp!T796,Temp!U796,",",Temp!V796,",",Temp!W796,Temp!X796),"")</f>
        <v/>
      </c>
      <c r="E800" s="7"/>
      <c r="F800" s="8" t="str">
        <f t="shared" si="25"/>
        <v/>
      </c>
      <c r="BY800" s="4" t="s">
        <v>5</v>
      </c>
      <c r="BZ800" s="4" t="s">
        <v>5</v>
      </c>
    </row>
    <row r="801" spans="1:78" x14ac:dyDescent="0.25">
      <c r="A801" s="13" t="str">
        <f>IF(AND($E801="",MAX($A$8:$A800)=0),"",IF(AND($E801&lt;&gt;"",MAX($A$8:$A800)=0),1,IF(AND($E801&lt;&gt;"",MAX($A$8:$A800)&gt;0),MAX($A$8:$A800)+1,"")))</f>
        <v/>
      </c>
      <c r="B801" s="11">
        <v>794</v>
      </c>
      <c r="C801" s="19" t="str">
        <f t="shared" si="24"/>
        <v>EMPTY</v>
      </c>
      <c r="D801" s="3" t="str">
        <f>IF(C801="SHOW",CONCATENATE(Temp!T797,Temp!U797,",",Temp!V797,",",Temp!W797,Temp!X797),"")</f>
        <v/>
      </c>
      <c r="E801" s="7"/>
      <c r="F801" s="8" t="str">
        <f t="shared" si="25"/>
        <v/>
      </c>
      <c r="BY801" s="4" t="s">
        <v>5</v>
      </c>
      <c r="BZ801" s="4" t="s">
        <v>5</v>
      </c>
    </row>
    <row r="802" spans="1:78" x14ac:dyDescent="0.25">
      <c r="A802" s="13" t="str">
        <f>IF(AND($E802="",MAX($A$8:$A801)=0),"",IF(AND($E802&lt;&gt;"",MAX($A$8:$A801)=0),1,IF(AND($E802&lt;&gt;"",MAX($A$8:$A801)&gt;0),MAX($A$8:$A801)+1,"")))</f>
        <v/>
      </c>
      <c r="B802" s="11">
        <v>795</v>
      </c>
      <c r="C802" s="19" t="str">
        <f t="shared" si="24"/>
        <v>EMPTY</v>
      </c>
      <c r="D802" s="3" t="str">
        <f>IF(C802="SHOW",CONCATENATE(Temp!T798,Temp!U798,",",Temp!V798,",",Temp!W798,Temp!X798),"")</f>
        <v/>
      </c>
      <c r="E802" s="7"/>
      <c r="F802" s="8" t="str">
        <f t="shared" si="25"/>
        <v/>
      </c>
      <c r="BY802" s="4" t="s">
        <v>5</v>
      </c>
      <c r="BZ802" s="4" t="s">
        <v>5</v>
      </c>
    </row>
    <row r="803" spans="1:78" x14ac:dyDescent="0.25">
      <c r="A803" s="13" t="str">
        <f>IF(AND($E803="",MAX($A$8:$A802)=0),"",IF(AND($E803&lt;&gt;"",MAX($A$8:$A802)=0),1,IF(AND($E803&lt;&gt;"",MAX($A$8:$A802)&gt;0),MAX($A$8:$A802)+1,"")))</f>
        <v/>
      </c>
      <c r="B803" s="11">
        <v>796</v>
      </c>
      <c r="C803" s="19" t="str">
        <f t="shared" si="24"/>
        <v>EMPTY</v>
      </c>
      <c r="D803" s="3" t="str">
        <f>IF(C803="SHOW",CONCATENATE(Temp!T799,Temp!U799,",",Temp!V799,",",Temp!W799,Temp!X799),"")</f>
        <v/>
      </c>
      <c r="E803" s="7"/>
      <c r="F803" s="8" t="str">
        <f t="shared" si="25"/>
        <v/>
      </c>
      <c r="BY803" s="4" t="s">
        <v>5</v>
      </c>
      <c r="BZ803" s="4" t="s">
        <v>5</v>
      </c>
    </row>
    <row r="804" spans="1:78" x14ac:dyDescent="0.25">
      <c r="A804" s="13" t="str">
        <f>IF(AND($E804="",MAX($A$8:$A803)=0),"",IF(AND($E804&lt;&gt;"",MAX($A$8:$A803)=0),1,IF(AND($E804&lt;&gt;"",MAX($A$8:$A803)&gt;0),MAX($A$8:$A803)+1,"")))</f>
        <v/>
      </c>
      <c r="B804" s="11">
        <v>797</v>
      </c>
      <c r="C804" s="19" t="str">
        <f t="shared" si="24"/>
        <v>EMPTY</v>
      </c>
      <c r="D804" s="3" t="str">
        <f>IF(C804="SHOW",CONCATENATE(Temp!T800,Temp!U800,",",Temp!V800,",",Temp!W800,Temp!X800),"")</f>
        <v/>
      </c>
      <c r="E804" s="7"/>
      <c r="F804" s="8" t="str">
        <f t="shared" si="25"/>
        <v/>
      </c>
      <c r="BY804" s="4" t="s">
        <v>5</v>
      </c>
      <c r="BZ804" s="4" t="s">
        <v>5</v>
      </c>
    </row>
    <row r="805" spans="1:78" x14ac:dyDescent="0.25">
      <c r="A805" s="13" t="str">
        <f>IF(AND($E805="",MAX($A$8:$A804)=0),"",IF(AND($E805&lt;&gt;"",MAX($A$8:$A804)=0),1,IF(AND($E805&lt;&gt;"",MAX($A$8:$A804)&gt;0),MAX($A$8:$A804)+1,"")))</f>
        <v/>
      </c>
      <c r="B805" s="11">
        <v>798</v>
      </c>
      <c r="C805" s="19" t="str">
        <f t="shared" si="24"/>
        <v>EMPTY</v>
      </c>
      <c r="D805" s="3" t="str">
        <f>IF(C805="SHOW",CONCATENATE(Temp!T801,Temp!U801,",",Temp!V801,",",Temp!W801,Temp!X801),"")</f>
        <v/>
      </c>
      <c r="E805" s="7"/>
      <c r="F805" s="8" t="str">
        <f t="shared" si="25"/>
        <v/>
      </c>
      <c r="BY805" s="4" t="s">
        <v>5</v>
      </c>
      <c r="BZ805" s="4" t="s">
        <v>5</v>
      </c>
    </row>
    <row r="806" spans="1:78" x14ac:dyDescent="0.25">
      <c r="A806" s="13" t="str">
        <f>IF(AND($E806="",MAX($A$8:$A805)=0),"",IF(AND($E806&lt;&gt;"",MAX($A$8:$A805)=0),1,IF(AND($E806&lt;&gt;"",MAX($A$8:$A805)&gt;0),MAX($A$8:$A805)+1,"")))</f>
        <v/>
      </c>
      <c r="B806" s="11">
        <v>799</v>
      </c>
      <c r="C806" s="19" t="str">
        <f t="shared" si="24"/>
        <v>EMPTY</v>
      </c>
      <c r="D806" s="3" t="str">
        <f>IF(C806="SHOW",CONCATENATE(Temp!T802,Temp!U802,",",Temp!V802,",",Temp!W802,Temp!X802),"")</f>
        <v/>
      </c>
      <c r="E806" s="7"/>
      <c r="F806" s="8" t="str">
        <f t="shared" si="25"/>
        <v/>
      </c>
      <c r="BY806" s="4" t="s">
        <v>5</v>
      </c>
      <c r="BZ806" s="4" t="s">
        <v>5</v>
      </c>
    </row>
    <row r="807" spans="1:78" x14ac:dyDescent="0.25">
      <c r="A807" s="13" t="str">
        <f>IF(AND($E807="",MAX($A$8:$A806)=0),"",IF(AND($E807&lt;&gt;"",MAX($A$8:$A806)=0),1,IF(AND($E807&lt;&gt;"",MAX($A$8:$A806)&gt;0),MAX($A$8:$A806)+1,"")))</f>
        <v/>
      </c>
      <c r="B807" s="11">
        <v>800</v>
      </c>
      <c r="C807" s="19" t="str">
        <f t="shared" si="24"/>
        <v>EMPTY</v>
      </c>
      <c r="D807" s="3" t="str">
        <f>IF(C807="SHOW",CONCATENATE(Temp!T803,Temp!U803,",",Temp!V803,",",Temp!W803,Temp!X803),"")</f>
        <v/>
      </c>
      <c r="E807" s="7"/>
      <c r="F807" s="8" t="str">
        <f t="shared" si="25"/>
        <v/>
      </c>
      <c r="BY807" s="4" t="s">
        <v>5</v>
      </c>
      <c r="BZ807" s="4" t="s">
        <v>5</v>
      </c>
    </row>
    <row r="808" spans="1:78" x14ac:dyDescent="0.25">
      <c r="A808" s="13" t="str">
        <f>IF(AND($E808="",MAX($A$8:$A807)=0),"",IF(AND($E808&lt;&gt;"",MAX($A$8:$A807)=0),1,IF(AND($E808&lt;&gt;"",MAX($A$8:$A807)&gt;0),MAX($A$8:$A807)+1,"")))</f>
        <v/>
      </c>
      <c r="B808" s="11">
        <v>801</v>
      </c>
      <c r="C808" s="19" t="str">
        <f t="shared" si="24"/>
        <v>EMPTY</v>
      </c>
      <c r="D808" s="3" t="str">
        <f>IF(C808="SHOW",CONCATENATE(Temp!T804,Temp!U804,",",Temp!V804,",",Temp!W804,Temp!X804),"")</f>
        <v/>
      </c>
      <c r="E808" s="7"/>
      <c r="F808" s="8" t="str">
        <f t="shared" si="25"/>
        <v/>
      </c>
      <c r="BY808" s="4" t="s">
        <v>5</v>
      </c>
      <c r="BZ808" s="4" t="s">
        <v>5</v>
      </c>
    </row>
    <row r="809" spans="1:78" x14ac:dyDescent="0.25">
      <c r="A809" s="13" t="str">
        <f>IF(AND($E809="",MAX($A$8:$A808)=0),"",IF(AND($E809&lt;&gt;"",MAX($A$8:$A808)=0),1,IF(AND($E809&lt;&gt;"",MAX($A$8:$A808)&gt;0),MAX($A$8:$A808)+1,"")))</f>
        <v/>
      </c>
      <c r="B809" s="11">
        <v>802</v>
      </c>
      <c r="C809" s="19" t="str">
        <f t="shared" si="24"/>
        <v>EMPTY</v>
      </c>
      <c r="D809" s="3" t="str">
        <f>IF(C809="SHOW",CONCATENATE(Temp!T805,Temp!U805,",",Temp!V805,",",Temp!W805,Temp!X805),"")</f>
        <v/>
      </c>
      <c r="E809" s="7"/>
      <c r="F809" s="8" t="str">
        <f t="shared" si="25"/>
        <v/>
      </c>
      <c r="BY809" s="4" t="s">
        <v>5</v>
      </c>
      <c r="BZ809" s="4" t="s">
        <v>5</v>
      </c>
    </row>
    <row r="810" spans="1:78" x14ac:dyDescent="0.25">
      <c r="A810" s="13" t="str">
        <f>IF(AND($E810="",MAX($A$8:$A809)=0),"",IF(AND($E810&lt;&gt;"",MAX($A$8:$A809)=0),1,IF(AND($E810&lt;&gt;"",MAX($A$8:$A809)&gt;0),MAX($A$8:$A809)+1,"")))</f>
        <v/>
      </c>
      <c r="B810" s="11">
        <v>803</v>
      </c>
      <c r="C810" s="19" t="str">
        <f t="shared" si="24"/>
        <v>EMPTY</v>
      </c>
      <c r="D810" s="3" t="str">
        <f>IF(C810="SHOW",CONCATENATE(Temp!T806,Temp!U806,",",Temp!V806,",",Temp!W806,Temp!X806),"")</f>
        <v/>
      </c>
      <c r="E810" s="7"/>
      <c r="F810" s="8" t="str">
        <f t="shared" si="25"/>
        <v/>
      </c>
      <c r="BY810" s="4" t="s">
        <v>5</v>
      </c>
      <c r="BZ810" s="4" t="s">
        <v>5</v>
      </c>
    </row>
    <row r="811" spans="1:78" x14ac:dyDescent="0.25">
      <c r="A811" s="13" t="str">
        <f>IF(AND($E811="",MAX($A$8:$A810)=0),"",IF(AND($E811&lt;&gt;"",MAX($A$8:$A810)=0),1,IF(AND($E811&lt;&gt;"",MAX($A$8:$A810)&gt;0),MAX($A$8:$A810)+1,"")))</f>
        <v/>
      </c>
      <c r="B811" s="11">
        <v>804</v>
      </c>
      <c r="C811" s="19" t="str">
        <f t="shared" si="24"/>
        <v>EMPTY</v>
      </c>
      <c r="D811" s="3" t="str">
        <f>IF(C811="SHOW",CONCATENATE(Temp!T807,Temp!U807,",",Temp!V807,",",Temp!W807,Temp!X807),"")</f>
        <v/>
      </c>
      <c r="E811" s="7"/>
      <c r="F811" s="8" t="str">
        <f t="shared" si="25"/>
        <v/>
      </c>
      <c r="BY811" s="4" t="s">
        <v>5</v>
      </c>
      <c r="BZ811" s="4" t="s">
        <v>5</v>
      </c>
    </row>
    <row r="812" spans="1:78" x14ac:dyDescent="0.25">
      <c r="A812" s="13" t="str">
        <f>IF(AND($E812="",MAX($A$8:$A811)=0),"",IF(AND($E812&lt;&gt;"",MAX($A$8:$A811)=0),1,IF(AND($E812&lt;&gt;"",MAX($A$8:$A811)&gt;0),MAX($A$8:$A811)+1,"")))</f>
        <v/>
      </c>
      <c r="B812" s="11">
        <v>805</v>
      </c>
      <c r="C812" s="19" t="str">
        <f t="shared" si="24"/>
        <v>EMPTY</v>
      </c>
      <c r="D812" s="3" t="str">
        <f>IF(C812="SHOW",CONCATENATE(Temp!T808,Temp!U808,",",Temp!V808,",",Temp!W808,Temp!X808),"")</f>
        <v/>
      </c>
      <c r="E812" s="7"/>
      <c r="F812" s="8" t="str">
        <f t="shared" si="25"/>
        <v/>
      </c>
      <c r="BY812" s="4" t="s">
        <v>5</v>
      </c>
      <c r="BZ812" s="4" t="s">
        <v>5</v>
      </c>
    </row>
    <row r="813" spans="1:78" x14ac:dyDescent="0.25">
      <c r="A813" s="13" t="str">
        <f>IF(AND($E813="",MAX($A$8:$A812)=0),"",IF(AND($E813&lt;&gt;"",MAX($A$8:$A812)=0),1,IF(AND($E813&lt;&gt;"",MAX($A$8:$A812)&gt;0),MAX($A$8:$A812)+1,"")))</f>
        <v/>
      </c>
      <c r="B813" s="11">
        <v>806</v>
      </c>
      <c r="C813" s="19" t="str">
        <f t="shared" si="24"/>
        <v>EMPTY</v>
      </c>
      <c r="D813" s="3" t="str">
        <f>IF(C813="SHOW",CONCATENATE(Temp!T809,Temp!U809,",",Temp!V809,",",Temp!W809,Temp!X809),"")</f>
        <v/>
      </c>
      <c r="E813" s="7"/>
      <c r="F813" s="8" t="str">
        <f t="shared" si="25"/>
        <v/>
      </c>
      <c r="BY813" s="4" t="s">
        <v>5</v>
      </c>
      <c r="BZ813" s="4" t="s">
        <v>5</v>
      </c>
    </row>
    <row r="814" spans="1:78" x14ac:dyDescent="0.25">
      <c r="A814" s="13" t="str">
        <f>IF(AND($E814="",MAX($A$8:$A813)=0),"",IF(AND($E814&lt;&gt;"",MAX($A$8:$A813)=0),1,IF(AND($E814&lt;&gt;"",MAX($A$8:$A813)&gt;0),MAX($A$8:$A813)+1,"")))</f>
        <v/>
      </c>
      <c r="B814" s="11">
        <v>807</v>
      </c>
      <c r="C814" s="19" t="str">
        <f t="shared" si="24"/>
        <v>EMPTY</v>
      </c>
      <c r="D814" s="3" t="str">
        <f>IF(C814="SHOW",CONCATENATE(Temp!T810,Temp!U810,",",Temp!V810,",",Temp!W810,Temp!X810),"")</f>
        <v/>
      </c>
      <c r="E814" s="7"/>
      <c r="F814" s="8" t="str">
        <f t="shared" si="25"/>
        <v/>
      </c>
      <c r="BY814" s="4" t="s">
        <v>5</v>
      </c>
      <c r="BZ814" s="4" t="s">
        <v>5</v>
      </c>
    </row>
    <row r="815" spans="1:78" x14ac:dyDescent="0.25">
      <c r="A815" s="13" t="str">
        <f>IF(AND($E815="",MAX($A$8:$A814)=0),"",IF(AND($E815&lt;&gt;"",MAX($A$8:$A814)=0),1,IF(AND($E815&lt;&gt;"",MAX($A$8:$A814)&gt;0),MAX($A$8:$A814)+1,"")))</f>
        <v/>
      </c>
      <c r="B815" s="11">
        <v>808</v>
      </c>
      <c r="C815" s="19" t="str">
        <f t="shared" si="24"/>
        <v>EMPTY</v>
      </c>
      <c r="D815" s="3" t="str">
        <f>IF(C815="SHOW",CONCATENATE(Temp!T811,Temp!U811,",",Temp!V811,",",Temp!W811,Temp!X811),"")</f>
        <v/>
      </c>
      <c r="E815" s="7"/>
      <c r="F815" s="8" t="str">
        <f t="shared" si="25"/>
        <v/>
      </c>
      <c r="BY815" s="4" t="s">
        <v>5</v>
      </c>
      <c r="BZ815" s="4" t="s">
        <v>5</v>
      </c>
    </row>
    <row r="816" spans="1:78" x14ac:dyDescent="0.25">
      <c r="A816" s="13" t="str">
        <f>IF(AND($E816="",MAX($A$8:$A815)=0),"",IF(AND($E816&lt;&gt;"",MAX($A$8:$A815)=0),1,IF(AND($E816&lt;&gt;"",MAX($A$8:$A815)&gt;0),MAX($A$8:$A815)+1,"")))</f>
        <v/>
      </c>
      <c r="B816" s="11">
        <v>809</v>
      </c>
      <c r="C816" s="19" t="str">
        <f t="shared" si="24"/>
        <v>EMPTY</v>
      </c>
      <c r="D816" s="3" t="str">
        <f>IF(C816="SHOW",CONCATENATE(Temp!T812,Temp!U812,",",Temp!V812,",",Temp!W812,Temp!X812),"")</f>
        <v/>
      </c>
      <c r="E816" s="7"/>
      <c r="F816" s="8" t="str">
        <f t="shared" si="25"/>
        <v/>
      </c>
      <c r="BY816" s="4" t="s">
        <v>5</v>
      </c>
      <c r="BZ816" s="4" t="s">
        <v>5</v>
      </c>
    </row>
    <row r="817" spans="1:78" x14ac:dyDescent="0.25">
      <c r="A817" s="13" t="str">
        <f>IF(AND($E817="",MAX($A$8:$A816)=0),"",IF(AND($E817&lt;&gt;"",MAX($A$8:$A816)=0),1,IF(AND($E817&lt;&gt;"",MAX($A$8:$A816)&gt;0),MAX($A$8:$A816)+1,"")))</f>
        <v/>
      </c>
      <c r="B817" s="11">
        <v>810</v>
      </c>
      <c r="C817" s="19" t="str">
        <f t="shared" si="24"/>
        <v>EMPTY</v>
      </c>
      <c r="D817" s="3" t="str">
        <f>IF(C817="SHOW",CONCATENATE(Temp!T813,Temp!U813,",",Temp!V813,",",Temp!W813,Temp!X813),"")</f>
        <v/>
      </c>
      <c r="E817" s="7"/>
      <c r="F817" s="8" t="str">
        <f t="shared" si="25"/>
        <v/>
      </c>
      <c r="BY817" s="4" t="s">
        <v>5</v>
      </c>
      <c r="BZ817" s="4" t="s">
        <v>5</v>
      </c>
    </row>
    <row r="818" spans="1:78" x14ac:dyDescent="0.25">
      <c r="A818" s="13" t="str">
        <f>IF(AND($E818="",MAX($A$8:$A817)=0),"",IF(AND($E818&lt;&gt;"",MAX($A$8:$A817)=0),1,IF(AND($E818&lt;&gt;"",MAX($A$8:$A817)&gt;0),MAX($A$8:$A817)+1,"")))</f>
        <v/>
      </c>
      <c r="B818" s="11">
        <v>811</v>
      </c>
      <c r="C818" s="19" t="str">
        <f t="shared" si="24"/>
        <v>EMPTY</v>
      </c>
      <c r="D818" s="3" t="str">
        <f>IF(C818="SHOW",CONCATENATE(Temp!T814,Temp!U814,",",Temp!V814,",",Temp!W814,Temp!X814),"")</f>
        <v/>
      </c>
      <c r="E818" s="7"/>
      <c r="F818" s="8" t="str">
        <f t="shared" si="25"/>
        <v/>
      </c>
      <c r="BY818" s="4" t="s">
        <v>5</v>
      </c>
      <c r="BZ818" s="4" t="s">
        <v>5</v>
      </c>
    </row>
    <row r="819" spans="1:78" x14ac:dyDescent="0.25">
      <c r="A819" s="13" t="str">
        <f>IF(AND($E819="",MAX($A$8:$A818)=0),"",IF(AND($E819&lt;&gt;"",MAX($A$8:$A818)=0),1,IF(AND($E819&lt;&gt;"",MAX($A$8:$A818)&gt;0),MAX($A$8:$A818)+1,"")))</f>
        <v/>
      </c>
      <c r="B819" s="11">
        <v>812</v>
      </c>
      <c r="C819" s="19" t="str">
        <f t="shared" si="24"/>
        <v>EMPTY</v>
      </c>
      <c r="D819" s="3" t="str">
        <f>IF(C819="SHOW",CONCATENATE(Temp!T815,Temp!U815,",",Temp!V815,",",Temp!W815,Temp!X815),"")</f>
        <v/>
      </c>
      <c r="E819" s="7"/>
      <c r="F819" s="8" t="str">
        <f t="shared" si="25"/>
        <v/>
      </c>
      <c r="BY819" s="4" t="s">
        <v>5</v>
      </c>
      <c r="BZ819" s="4" t="s">
        <v>5</v>
      </c>
    </row>
    <row r="820" spans="1:78" x14ac:dyDescent="0.25">
      <c r="A820" s="13" t="str">
        <f>IF(AND($E820="",MAX($A$8:$A819)=0),"",IF(AND($E820&lt;&gt;"",MAX($A$8:$A819)=0),1,IF(AND($E820&lt;&gt;"",MAX($A$8:$A819)&gt;0),MAX($A$8:$A819)+1,"")))</f>
        <v/>
      </c>
      <c r="B820" s="11">
        <v>813</v>
      </c>
      <c r="C820" s="19" t="str">
        <f t="shared" si="24"/>
        <v>EMPTY</v>
      </c>
      <c r="D820" s="3" t="str">
        <f>IF(C820="SHOW",CONCATENATE(Temp!T816,Temp!U816,",",Temp!V816,",",Temp!W816,Temp!X816),"")</f>
        <v/>
      </c>
      <c r="E820" s="7"/>
      <c r="F820" s="8" t="str">
        <f t="shared" si="25"/>
        <v/>
      </c>
      <c r="BY820" s="4" t="s">
        <v>5</v>
      </c>
      <c r="BZ820" s="4" t="s">
        <v>5</v>
      </c>
    </row>
    <row r="821" spans="1:78" x14ac:dyDescent="0.25">
      <c r="A821" s="13" t="str">
        <f>IF(AND($E821="",MAX($A$8:$A820)=0),"",IF(AND($E821&lt;&gt;"",MAX($A$8:$A820)=0),1,IF(AND($E821&lt;&gt;"",MAX($A$8:$A820)&gt;0),MAX($A$8:$A820)+1,"")))</f>
        <v/>
      </c>
      <c r="B821" s="11">
        <v>814</v>
      </c>
      <c r="C821" s="19" t="str">
        <f t="shared" si="24"/>
        <v>EMPTY</v>
      </c>
      <c r="D821" s="3" t="str">
        <f>IF(C821="SHOW",CONCATENATE(Temp!T817,Temp!U817,",",Temp!V817,",",Temp!W817,Temp!X817),"")</f>
        <v/>
      </c>
      <c r="E821" s="7"/>
      <c r="F821" s="8" t="str">
        <f t="shared" si="25"/>
        <v/>
      </c>
      <c r="BY821" s="4" t="s">
        <v>5</v>
      </c>
      <c r="BZ821" s="4" t="s">
        <v>5</v>
      </c>
    </row>
    <row r="822" spans="1:78" x14ac:dyDescent="0.25">
      <c r="A822" s="13" t="str">
        <f>IF(AND($E822="",MAX($A$8:$A821)=0),"",IF(AND($E822&lt;&gt;"",MAX($A$8:$A821)=0),1,IF(AND($E822&lt;&gt;"",MAX($A$8:$A821)&gt;0),MAX($A$8:$A821)+1,"")))</f>
        <v/>
      </c>
      <c r="B822" s="11">
        <v>815</v>
      </c>
      <c r="C822" s="19" t="str">
        <f t="shared" si="24"/>
        <v>EMPTY</v>
      </c>
      <c r="D822" s="3" t="str">
        <f>IF(C822="SHOW",CONCATENATE(Temp!T818,Temp!U818,",",Temp!V818,",",Temp!W818,Temp!X818),"")</f>
        <v/>
      </c>
      <c r="E822" s="7"/>
      <c r="F822" s="8" t="str">
        <f t="shared" si="25"/>
        <v/>
      </c>
      <c r="BY822" s="4" t="s">
        <v>5</v>
      </c>
      <c r="BZ822" s="4" t="s">
        <v>5</v>
      </c>
    </row>
    <row r="823" spans="1:78" x14ac:dyDescent="0.25">
      <c r="A823" s="13" t="str">
        <f>IF(AND($E823="",MAX($A$8:$A822)=0),"",IF(AND($E823&lt;&gt;"",MAX($A$8:$A822)=0),1,IF(AND($E823&lt;&gt;"",MAX($A$8:$A822)&gt;0),MAX($A$8:$A822)+1,"")))</f>
        <v/>
      </c>
      <c r="B823" s="11">
        <v>816</v>
      </c>
      <c r="C823" s="19" t="str">
        <f t="shared" si="24"/>
        <v>EMPTY</v>
      </c>
      <c r="D823" s="3" t="str">
        <f>IF(C823="SHOW",CONCATENATE(Temp!T819,Temp!U819,",",Temp!V819,",",Temp!W819,Temp!X819),"")</f>
        <v/>
      </c>
      <c r="E823" s="7"/>
      <c r="F823" s="8" t="str">
        <f t="shared" si="25"/>
        <v/>
      </c>
      <c r="BY823" s="4" t="s">
        <v>5</v>
      </c>
      <c r="BZ823" s="4" t="s">
        <v>5</v>
      </c>
    </row>
    <row r="824" spans="1:78" x14ac:dyDescent="0.25">
      <c r="A824" s="13" t="str">
        <f>IF(AND($E824="",MAX($A$8:$A823)=0),"",IF(AND($E824&lt;&gt;"",MAX($A$8:$A823)=0),1,IF(AND($E824&lt;&gt;"",MAX($A$8:$A823)&gt;0),MAX($A$8:$A823)+1,"")))</f>
        <v/>
      </c>
      <c r="B824" s="11">
        <v>817</v>
      </c>
      <c r="C824" s="19" t="str">
        <f t="shared" si="24"/>
        <v>EMPTY</v>
      </c>
      <c r="D824" s="3" t="str">
        <f>IF(C824="SHOW",CONCATENATE(Temp!T820,Temp!U820,",",Temp!V820,",",Temp!W820,Temp!X820),"")</f>
        <v/>
      </c>
      <c r="E824" s="7"/>
      <c r="F824" s="8" t="str">
        <f t="shared" si="25"/>
        <v/>
      </c>
      <c r="BY824" s="4" t="s">
        <v>5</v>
      </c>
      <c r="BZ824" s="4" t="s">
        <v>5</v>
      </c>
    </row>
    <row r="825" spans="1:78" x14ac:dyDescent="0.25">
      <c r="A825" s="13" t="str">
        <f>IF(AND($E825="",MAX($A$8:$A824)=0),"",IF(AND($E825&lt;&gt;"",MAX($A$8:$A824)=0),1,IF(AND($E825&lt;&gt;"",MAX($A$8:$A824)&gt;0),MAX($A$8:$A824)+1,"")))</f>
        <v/>
      </c>
      <c r="B825" s="11">
        <v>818</v>
      </c>
      <c r="C825" s="19" t="str">
        <f t="shared" si="24"/>
        <v>EMPTY</v>
      </c>
      <c r="D825" s="3" t="str">
        <f>IF(C825="SHOW",CONCATENATE(Temp!T821,Temp!U821,",",Temp!V821,",",Temp!W821,Temp!X821),"")</f>
        <v/>
      </c>
      <c r="E825" s="7"/>
      <c r="F825" s="8" t="str">
        <f t="shared" si="25"/>
        <v/>
      </c>
      <c r="BY825" s="4" t="s">
        <v>5</v>
      </c>
      <c r="BZ825" s="4" t="s">
        <v>5</v>
      </c>
    </row>
    <row r="826" spans="1:78" x14ac:dyDescent="0.25">
      <c r="A826" s="13" t="str">
        <f>IF(AND($E826="",MAX($A$8:$A825)=0),"",IF(AND($E826&lt;&gt;"",MAX($A$8:$A825)=0),1,IF(AND($E826&lt;&gt;"",MAX($A$8:$A825)&gt;0),MAX($A$8:$A825)+1,"")))</f>
        <v/>
      </c>
      <c r="B826" s="11">
        <v>819</v>
      </c>
      <c r="C826" s="19" t="str">
        <f t="shared" si="24"/>
        <v>EMPTY</v>
      </c>
      <c r="D826" s="3" t="str">
        <f>IF(C826="SHOW",CONCATENATE(Temp!T822,Temp!U822,",",Temp!V822,",",Temp!W822,Temp!X822),"")</f>
        <v/>
      </c>
      <c r="E826" s="7"/>
      <c r="F826" s="8" t="str">
        <f t="shared" si="25"/>
        <v/>
      </c>
      <c r="BY826" s="4" t="s">
        <v>5</v>
      </c>
      <c r="BZ826" s="4" t="s">
        <v>5</v>
      </c>
    </row>
    <row r="827" spans="1:78" x14ac:dyDescent="0.25">
      <c r="A827" s="13" t="str">
        <f>IF(AND($E827="",MAX($A$8:$A826)=0),"",IF(AND($E827&lt;&gt;"",MAX($A$8:$A826)=0),1,IF(AND($E827&lt;&gt;"",MAX($A$8:$A826)&gt;0),MAX($A$8:$A826)+1,"")))</f>
        <v/>
      </c>
      <c r="B827" s="11">
        <v>820</v>
      </c>
      <c r="C827" s="19" t="str">
        <f t="shared" si="24"/>
        <v>EMPTY</v>
      </c>
      <c r="D827" s="3" t="str">
        <f>IF(C827="SHOW",CONCATENATE(Temp!T823,Temp!U823,",",Temp!V823,",",Temp!W823,Temp!X823),"")</f>
        <v/>
      </c>
      <c r="E827" s="7"/>
      <c r="F827" s="8" t="str">
        <f t="shared" si="25"/>
        <v/>
      </c>
      <c r="BY827" s="4" t="s">
        <v>5</v>
      </c>
      <c r="BZ827" s="4" t="s">
        <v>5</v>
      </c>
    </row>
    <row r="828" spans="1:78" x14ac:dyDescent="0.25">
      <c r="A828" s="13" t="str">
        <f>IF(AND($E828="",MAX($A$8:$A827)=0),"",IF(AND($E828&lt;&gt;"",MAX($A$8:$A827)=0),1,IF(AND($E828&lt;&gt;"",MAX($A$8:$A827)&gt;0),MAX($A$8:$A827)+1,"")))</f>
        <v/>
      </c>
      <c r="B828" s="11">
        <v>821</v>
      </c>
      <c r="C828" s="19" t="str">
        <f t="shared" si="24"/>
        <v>EMPTY</v>
      </c>
      <c r="D828" s="3" t="str">
        <f>IF(C828="SHOW",CONCATENATE(Temp!T824,Temp!U824,",",Temp!V824,",",Temp!W824,Temp!X824),"")</f>
        <v/>
      </c>
      <c r="E828" s="7"/>
      <c r="F828" s="8" t="str">
        <f t="shared" si="25"/>
        <v/>
      </c>
      <c r="BY828" s="4" t="s">
        <v>5</v>
      </c>
      <c r="BZ828" s="4" t="s">
        <v>5</v>
      </c>
    </row>
    <row r="829" spans="1:78" x14ac:dyDescent="0.25">
      <c r="A829" s="13" t="str">
        <f>IF(AND($E829="",MAX($A$8:$A828)=0),"",IF(AND($E829&lt;&gt;"",MAX($A$8:$A828)=0),1,IF(AND($E829&lt;&gt;"",MAX($A$8:$A828)&gt;0),MAX($A$8:$A828)+1,"")))</f>
        <v/>
      </c>
      <c r="B829" s="11">
        <v>822</v>
      </c>
      <c r="C829" s="19" t="str">
        <f t="shared" si="24"/>
        <v>EMPTY</v>
      </c>
      <c r="D829" s="3" t="str">
        <f>IF(C829="SHOW",CONCATENATE(Temp!T825,Temp!U825,",",Temp!V825,",",Temp!W825,Temp!X825),"")</f>
        <v/>
      </c>
      <c r="E829" s="7"/>
      <c r="F829" s="8" t="str">
        <f t="shared" si="25"/>
        <v/>
      </c>
      <c r="BY829" s="4" t="s">
        <v>5</v>
      </c>
      <c r="BZ829" s="4" t="s">
        <v>5</v>
      </c>
    </row>
    <row r="830" spans="1:78" x14ac:dyDescent="0.25">
      <c r="A830" s="13" t="str">
        <f>IF(AND($E830="",MAX($A$8:$A829)=0),"",IF(AND($E830&lt;&gt;"",MAX($A$8:$A829)=0),1,IF(AND($E830&lt;&gt;"",MAX($A$8:$A829)&gt;0),MAX($A$8:$A829)+1,"")))</f>
        <v/>
      </c>
      <c r="B830" s="11">
        <v>823</v>
      </c>
      <c r="C830" s="19" t="str">
        <f t="shared" si="24"/>
        <v>EMPTY</v>
      </c>
      <c r="D830" s="3" t="str">
        <f>IF(C830="SHOW",CONCATENATE(Temp!T826,Temp!U826,",",Temp!V826,",",Temp!W826,Temp!X826),"")</f>
        <v/>
      </c>
      <c r="E830" s="7"/>
      <c r="F830" s="8" t="str">
        <f t="shared" si="25"/>
        <v/>
      </c>
      <c r="BY830" s="4" t="s">
        <v>5</v>
      </c>
      <c r="BZ830" s="4" t="s">
        <v>5</v>
      </c>
    </row>
    <row r="831" spans="1:78" x14ac:dyDescent="0.25">
      <c r="A831" s="13" t="str">
        <f>IF(AND($E831="",MAX($A$8:$A830)=0),"",IF(AND($E831&lt;&gt;"",MAX($A$8:$A830)=0),1,IF(AND($E831&lt;&gt;"",MAX($A$8:$A830)&gt;0),MAX($A$8:$A830)+1,"")))</f>
        <v/>
      </c>
      <c r="B831" s="11">
        <v>824</v>
      </c>
      <c r="C831" s="19" t="str">
        <f t="shared" si="24"/>
        <v>EMPTY</v>
      </c>
      <c r="D831" s="3" t="str">
        <f>IF(C831="SHOW",CONCATENATE(Temp!T827,Temp!U827,",",Temp!V827,",",Temp!W827,Temp!X827),"")</f>
        <v/>
      </c>
      <c r="E831" s="7"/>
      <c r="F831" s="8" t="str">
        <f t="shared" si="25"/>
        <v/>
      </c>
      <c r="BY831" s="4" t="s">
        <v>5</v>
      </c>
      <c r="BZ831" s="4" t="s">
        <v>5</v>
      </c>
    </row>
    <row r="832" spans="1:78" x14ac:dyDescent="0.25">
      <c r="A832" s="13" t="str">
        <f>IF(AND($E832="",MAX($A$8:$A831)=0),"",IF(AND($E832&lt;&gt;"",MAX($A$8:$A831)=0),1,IF(AND($E832&lt;&gt;"",MAX($A$8:$A831)&gt;0),MAX($A$8:$A831)+1,"")))</f>
        <v/>
      </c>
      <c r="B832" s="11">
        <v>825</v>
      </c>
      <c r="C832" s="19" t="str">
        <f t="shared" si="24"/>
        <v>EMPTY</v>
      </c>
      <c r="D832" s="3" t="str">
        <f>IF(C832="SHOW",CONCATENATE(Temp!T828,Temp!U828,",",Temp!V828,",",Temp!W828,Temp!X828),"")</f>
        <v/>
      </c>
      <c r="E832" s="7"/>
      <c r="F832" s="8" t="str">
        <f t="shared" si="25"/>
        <v/>
      </c>
      <c r="BY832" s="4" t="s">
        <v>5</v>
      </c>
      <c r="BZ832" s="4" t="s">
        <v>5</v>
      </c>
    </row>
    <row r="833" spans="1:78" x14ac:dyDescent="0.25">
      <c r="A833" s="13" t="str">
        <f>IF(AND($E833="",MAX($A$8:$A832)=0),"",IF(AND($E833&lt;&gt;"",MAX($A$8:$A832)=0),1,IF(AND($E833&lt;&gt;"",MAX($A$8:$A832)&gt;0),MAX($A$8:$A832)+1,"")))</f>
        <v/>
      </c>
      <c r="B833" s="11">
        <v>826</v>
      </c>
      <c r="C833" s="19" t="str">
        <f t="shared" si="24"/>
        <v>EMPTY</v>
      </c>
      <c r="D833" s="3" t="str">
        <f>IF(C833="SHOW",CONCATENATE(Temp!T829,Temp!U829,",",Temp!V829,",",Temp!W829,Temp!X829),"")</f>
        <v/>
      </c>
      <c r="E833" s="7"/>
      <c r="F833" s="8" t="str">
        <f t="shared" si="25"/>
        <v/>
      </c>
      <c r="BY833" s="4" t="s">
        <v>5</v>
      </c>
      <c r="BZ833" s="4" t="s">
        <v>5</v>
      </c>
    </row>
    <row r="834" spans="1:78" x14ac:dyDescent="0.25">
      <c r="A834" s="13" t="str">
        <f>IF(AND($E834="",MAX($A$8:$A833)=0),"",IF(AND($E834&lt;&gt;"",MAX($A$8:$A833)=0),1,IF(AND($E834&lt;&gt;"",MAX($A$8:$A833)&gt;0),MAX($A$8:$A833)+1,"")))</f>
        <v/>
      </c>
      <c r="B834" s="11">
        <v>827</v>
      </c>
      <c r="C834" s="19" t="str">
        <f t="shared" si="24"/>
        <v>EMPTY</v>
      </c>
      <c r="D834" s="3" t="str">
        <f>IF(C834="SHOW",CONCATENATE(Temp!T830,Temp!U830,",",Temp!V830,",",Temp!W830,Temp!X830),"")</f>
        <v/>
      </c>
      <c r="E834" s="7"/>
      <c r="F834" s="8" t="str">
        <f t="shared" si="25"/>
        <v/>
      </c>
      <c r="BY834" s="4" t="s">
        <v>5</v>
      </c>
      <c r="BZ834" s="4" t="s">
        <v>5</v>
      </c>
    </row>
    <row r="835" spans="1:78" x14ac:dyDescent="0.25">
      <c r="A835" s="13" t="str">
        <f>IF(AND($E835="",MAX($A$8:$A834)=0),"",IF(AND($E835&lt;&gt;"",MAX($A$8:$A834)=0),1,IF(AND($E835&lt;&gt;"",MAX($A$8:$A834)&gt;0),MAX($A$8:$A834)+1,"")))</f>
        <v/>
      </c>
      <c r="B835" s="11">
        <v>828</v>
      </c>
      <c r="C835" s="19" t="str">
        <f t="shared" si="24"/>
        <v>EMPTY</v>
      </c>
      <c r="D835" s="3" t="str">
        <f>IF(C835="SHOW",CONCATENATE(Temp!T831,Temp!U831,",",Temp!V831,",",Temp!W831,Temp!X831),"")</f>
        <v/>
      </c>
      <c r="E835" s="7"/>
      <c r="F835" s="8" t="str">
        <f t="shared" si="25"/>
        <v/>
      </c>
      <c r="BY835" s="4" t="s">
        <v>5</v>
      </c>
      <c r="BZ835" s="4" t="s">
        <v>5</v>
      </c>
    </row>
    <row r="836" spans="1:78" x14ac:dyDescent="0.25">
      <c r="A836" s="13" t="str">
        <f>IF(AND($E836="",MAX($A$8:$A835)=0),"",IF(AND($E836&lt;&gt;"",MAX($A$8:$A835)=0),1,IF(AND($E836&lt;&gt;"",MAX($A$8:$A835)&gt;0),MAX($A$8:$A835)+1,"")))</f>
        <v/>
      </c>
      <c r="B836" s="11">
        <v>829</v>
      </c>
      <c r="C836" s="19" t="str">
        <f t="shared" si="24"/>
        <v>EMPTY</v>
      </c>
      <c r="D836" s="3" t="str">
        <f>IF(C836="SHOW",CONCATENATE(Temp!T832,Temp!U832,",",Temp!V832,",",Temp!W832,Temp!X832),"")</f>
        <v/>
      </c>
      <c r="E836" s="7"/>
      <c r="F836" s="8" t="str">
        <f t="shared" si="25"/>
        <v/>
      </c>
      <c r="BY836" s="4" t="s">
        <v>5</v>
      </c>
      <c r="BZ836" s="4" t="s">
        <v>5</v>
      </c>
    </row>
    <row r="837" spans="1:78" x14ac:dyDescent="0.25">
      <c r="A837" s="13" t="str">
        <f>IF(AND($E837="",MAX($A$8:$A836)=0),"",IF(AND($E837&lt;&gt;"",MAX($A$8:$A836)=0),1,IF(AND($E837&lt;&gt;"",MAX($A$8:$A836)&gt;0),MAX($A$8:$A836)+1,"")))</f>
        <v/>
      </c>
      <c r="B837" s="11">
        <v>830</v>
      </c>
      <c r="C837" s="19" t="str">
        <f t="shared" si="24"/>
        <v>EMPTY</v>
      </c>
      <c r="D837" s="3" t="str">
        <f>IF(C837="SHOW",CONCATENATE(Temp!T833,Temp!U833,",",Temp!V833,",",Temp!W833,Temp!X833),"")</f>
        <v/>
      </c>
      <c r="E837" s="7"/>
      <c r="F837" s="8" t="str">
        <f t="shared" si="25"/>
        <v/>
      </c>
      <c r="BY837" s="4" t="s">
        <v>5</v>
      </c>
      <c r="BZ837" s="4" t="s">
        <v>5</v>
      </c>
    </row>
    <row r="838" spans="1:78" x14ac:dyDescent="0.25">
      <c r="A838" s="13" t="str">
        <f>IF(AND($E838="",MAX($A$8:$A837)=0),"",IF(AND($E838&lt;&gt;"",MAX($A$8:$A837)=0),1,IF(AND($E838&lt;&gt;"",MAX($A$8:$A837)&gt;0),MAX($A$8:$A837)+1,"")))</f>
        <v/>
      </c>
      <c r="B838" s="11">
        <v>831</v>
      </c>
      <c r="C838" s="19" t="str">
        <f t="shared" si="24"/>
        <v>EMPTY</v>
      </c>
      <c r="D838" s="3" t="str">
        <f>IF(C838="SHOW",CONCATENATE(Temp!T834,Temp!U834,",",Temp!V834,",",Temp!W834,Temp!X834),"")</f>
        <v/>
      </c>
      <c r="E838" s="7"/>
      <c r="F838" s="8" t="str">
        <f t="shared" si="25"/>
        <v/>
      </c>
      <c r="BY838" s="4" t="s">
        <v>5</v>
      </c>
      <c r="BZ838" s="4" t="s">
        <v>5</v>
      </c>
    </row>
    <row r="839" spans="1:78" x14ac:dyDescent="0.25">
      <c r="A839" s="13" t="str">
        <f>IF(AND($E839="",MAX($A$8:$A838)=0),"",IF(AND($E839&lt;&gt;"",MAX($A$8:$A838)=0),1,IF(AND($E839&lt;&gt;"",MAX($A$8:$A838)&gt;0),MAX($A$8:$A838)+1,"")))</f>
        <v/>
      </c>
      <c r="B839" s="11">
        <v>832</v>
      </c>
      <c r="C839" s="19" t="str">
        <f t="shared" si="24"/>
        <v>EMPTY</v>
      </c>
      <c r="D839" s="3" t="str">
        <f>IF(C839="SHOW",CONCATENATE(Temp!T835,Temp!U835,",",Temp!V835,",",Temp!W835,Temp!X835),"")</f>
        <v/>
      </c>
      <c r="E839" s="7"/>
      <c r="F839" s="8" t="str">
        <f t="shared" si="25"/>
        <v/>
      </c>
      <c r="BY839" s="4" t="s">
        <v>5</v>
      </c>
      <c r="BZ839" s="4" t="s">
        <v>5</v>
      </c>
    </row>
    <row r="840" spans="1:78" x14ac:dyDescent="0.25">
      <c r="A840" s="13" t="str">
        <f>IF(AND($E840="",MAX($A$8:$A839)=0),"",IF(AND($E840&lt;&gt;"",MAX($A$8:$A839)=0),1,IF(AND($E840&lt;&gt;"",MAX($A$8:$A839)&gt;0),MAX($A$8:$A839)+1,"")))</f>
        <v/>
      </c>
      <c r="B840" s="11">
        <v>833</v>
      </c>
      <c r="C840" s="19" t="str">
        <f t="shared" si="24"/>
        <v>EMPTY</v>
      </c>
      <c r="D840" s="3" t="str">
        <f>IF(C840="SHOW",CONCATENATE(Temp!T836,Temp!U836,",",Temp!V836,",",Temp!W836,Temp!X836),"")</f>
        <v/>
      </c>
      <c r="E840" s="7"/>
      <c r="F840" s="8" t="str">
        <f t="shared" si="25"/>
        <v/>
      </c>
      <c r="BY840" s="4" t="s">
        <v>5</v>
      </c>
      <c r="BZ840" s="4" t="s">
        <v>5</v>
      </c>
    </row>
    <row r="841" spans="1:78" x14ac:dyDescent="0.25">
      <c r="A841" s="13" t="str">
        <f>IF(AND($E841="",MAX($A$8:$A840)=0),"",IF(AND($E841&lt;&gt;"",MAX($A$8:$A840)=0),1,IF(AND($E841&lt;&gt;"",MAX($A$8:$A840)&gt;0),MAX($A$8:$A840)+1,"")))</f>
        <v/>
      </c>
      <c r="B841" s="11">
        <v>834</v>
      </c>
      <c r="C841" s="19" t="str">
        <f t="shared" ref="C841:C904" si="26">IF(E841="","EMPTY",IF(MID(E841,1,9)&lt;&gt;"Dialogue:","HIDE",IF(MID(E841,1,9)="Dialogue:","SHOW","")))</f>
        <v>EMPTY</v>
      </c>
      <c r="D841" s="3" t="str">
        <f>IF(C841="SHOW",CONCATENATE(Temp!T837,Temp!U837,",",Temp!V837,",",Temp!W837,Temp!X837),"")</f>
        <v/>
      </c>
      <c r="E841" s="7"/>
      <c r="F841" s="8" t="str">
        <f t="shared" ref="F841:F904" si="27">$D841</f>
        <v/>
      </c>
      <c r="BY841" s="4" t="s">
        <v>5</v>
      </c>
      <c r="BZ841" s="4" t="s">
        <v>5</v>
      </c>
    </row>
    <row r="842" spans="1:78" x14ac:dyDescent="0.25">
      <c r="A842" s="13" t="str">
        <f>IF(AND($E842="",MAX($A$8:$A841)=0),"",IF(AND($E842&lt;&gt;"",MAX($A$8:$A841)=0),1,IF(AND($E842&lt;&gt;"",MAX($A$8:$A841)&gt;0),MAX($A$8:$A841)+1,"")))</f>
        <v/>
      </c>
      <c r="B842" s="11">
        <v>835</v>
      </c>
      <c r="C842" s="19" t="str">
        <f t="shared" si="26"/>
        <v>EMPTY</v>
      </c>
      <c r="D842" s="3" t="str">
        <f>IF(C842="SHOW",CONCATENATE(Temp!T838,Temp!U838,",",Temp!V838,",",Temp!W838,Temp!X838),"")</f>
        <v/>
      </c>
      <c r="E842" s="7"/>
      <c r="F842" s="8" t="str">
        <f t="shared" si="27"/>
        <v/>
      </c>
      <c r="BY842" s="4" t="s">
        <v>5</v>
      </c>
      <c r="BZ842" s="4" t="s">
        <v>5</v>
      </c>
    </row>
    <row r="843" spans="1:78" x14ac:dyDescent="0.25">
      <c r="A843" s="13" t="str">
        <f>IF(AND($E843="",MAX($A$8:$A842)=0),"",IF(AND($E843&lt;&gt;"",MAX($A$8:$A842)=0),1,IF(AND($E843&lt;&gt;"",MAX($A$8:$A842)&gt;0),MAX($A$8:$A842)+1,"")))</f>
        <v/>
      </c>
      <c r="B843" s="11">
        <v>836</v>
      </c>
      <c r="C843" s="19" t="str">
        <f t="shared" si="26"/>
        <v>EMPTY</v>
      </c>
      <c r="D843" s="3" t="str">
        <f>IF(C843="SHOW",CONCATENATE(Temp!T839,Temp!U839,",",Temp!V839,",",Temp!W839,Temp!X839),"")</f>
        <v/>
      </c>
      <c r="E843" s="7"/>
      <c r="F843" s="8" t="str">
        <f t="shared" si="27"/>
        <v/>
      </c>
      <c r="BY843" s="4" t="s">
        <v>5</v>
      </c>
      <c r="BZ843" s="4" t="s">
        <v>5</v>
      </c>
    </row>
    <row r="844" spans="1:78" x14ac:dyDescent="0.25">
      <c r="A844" s="13" t="str">
        <f>IF(AND($E844="",MAX($A$8:$A843)=0),"",IF(AND($E844&lt;&gt;"",MAX($A$8:$A843)=0),1,IF(AND($E844&lt;&gt;"",MAX($A$8:$A843)&gt;0),MAX($A$8:$A843)+1,"")))</f>
        <v/>
      </c>
      <c r="B844" s="11">
        <v>837</v>
      </c>
      <c r="C844" s="19" t="str">
        <f t="shared" si="26"/>
        <v>EMPTY</v>
      </c>
      <c r="D844" s="3" t="str">
        <f>IF(C844="SHOW",CONCATENATE(Temp!T840,Temp!U840,",",Temp!V840,",",Temp!W840,Temp!X840),"")</f>
        <v/>
      </c>
      <c r="E844" s="7"/>
      <c r="F844" s="8" t="str">
        <f t="shared" si="27"/>
        <v/>
      </c>
      <c r="BY844" s="4" t="s">
        <v>5</v>
      </c>
      <c r="BZ844" s="4" t="s">
        <v>5</v>
      </c>
    </row>
    <row r="845" spans="1:78" x14ac:dyDescent="0.25">
      <c r="A845" s="13" t="str">
        <f>IF(AND($E845="",MAX($A$8:$A844)=0),"",IF(AND($E845&lt;&gt;"",MAX($A$8:$A844)=0),1,IF(AND($E845&lt;&gt;"",MAX($A$8:$A844)&gt;0),MAX($A$8:$A844)+1,"")))</f>
        <v/>
      </c>
      <c r="B845" s="11">
        <v>838</v>
      </c>
      <c r="C845" s="19" t="str">
        <f t="shared" si="26"/>
        <v>EMPTY</v>
      </c>
      <c r="D845" s="3" t="str">
        <f>IF(C845="SHOW",CONCATENATE(Temp!T841,Temp!U841,",",Temp!V841,",",Temp!W841,Temp!X841),"")</f>
        <v/>
      </c>
      <c r="E845" s="7"/>
      <c r="F845" s="8" t="str">
        <f t="shared" si="27"/>
        <v/>
      </c>
      <c r="BY845" s="4" t="s">
        <v>5</v>
      </c>
      <c r="BZ845" s="4" t="s">
        <v>5</v>
      </c>
    </row>
    <row r="846" spans="1:78" x14ac:dyDescent="0.25">
      <c r="A846" s="13" t="str">
        <f>IF(AND($E846="",MAX($A$8:$A845)=0),"",IF(AND($E846&lt;&gt;"",MAX($A$8:$A845)=0),1,IF(AND($E846&lt;&gt;"",MAX($A$8:$A845)&gt;0),MAX($A$8:$A845)+1,"")))</f>
        <v/>
      </c>
      <c r="B846" s="11">
        <v>839</v>
      </c>
      <c r="C846" s="19" t="str">
        <f t="shared" si="26"/>
        <v>EMPTY</v>
      </c>
      <c r="D846" s="3" t="str">
        <f>IF(C846="SHOW",CONCATENATE(Temp!T842,Temp!U842,",",Temp!V842,",",Temp!W842,Temp!X842),"")</f>
        <v/>
      </c>
      <c r="E846" s="7"/>
      <c r="F846" s="8" t="str">
        <f t="shared" si="27"/>
        <v/>
      </c>
      <c r="BY846" s="4" t="s">
        <v>5</v>
      </c>
      <c r="BZ846" s="4" t="s">
        <v>5</v>
      </c>
    </row>
    <row r="847" spans="1:78" x14ac:dyDescent="0.25">
      <c r="A847" s="13" t="str">
        <f>IF(AND($E847="",MAX($A$8:$A846)=0),"",IF(AND($E847&lt;&gt;"",MAX($A$8:$A846)=0),1,IF(AND($E847&lt;&gt;"",MAX($A$8:$A846)&gt;0),MAX($A$8:$A846)+1,"")))</f>
        <v/>
      </c>
      <c r="B847" s="11">
        <v>840</v>
      </c>
      <c r="C847" s="19" t="str">
        <f t="shared" si="26"/>
        <v>EMPTY</v>
      </c>
      <c r="D847" s="3" t="str">
        <f>IF(C847="SHOW",CONCATENATE(Temp!T843,Temp!U843,",",Temp!V843,",",Temp!W843,Temp!X843),"")</f>
        <v/>
      </c>
      <c r="E847" s="7"/>
      <c r="F847" s="8" t="str">
        <f t="shared" si="27"/>
        <v/>
      </c>
      <c r="BY847" s="4" t="s">
        <v>5</v>
      </c>
      <c r="BZ847" s="4" t="s">
        <v>5</v>
      </c>
    </row>
    <row r="848" spans="1:78" x14ac:dyDescent="0.25">
      <c r="A848" s="13" t="str">
        <f>IF(AND($E848="",MAX($A$8:$A847)=0),"",IF(AND($E848&lt;&gt;"",MAX($A$8:$A847)=0),1,IF(AND($E848&lt;&gt;"",MAX($A$8:$A847)&gt;0),MAX($A$8:$A847)+1,"")))</f>
        <v/>
      </c>
      <c r="B848" s="11">
        <v>841</v>
      </c>
      <c r="C848" s="19" t="str">
        <f t="shared" si="26"/>
        <v>EMPTY</v>
      </c>
      <c r="D848" s="3" t="str">
        <f>IF(C848="SHOW",CONCATENATE(Temp!T844,Temp!U844,",",Temp!V844,",",Temp!W844,Temp!X844),"")</f>
        <v/>
      </c>
      <c r="E848" s="7"/>
      <c r="F848" s="8" t="str">
        <f t="shared" si="27"/>
        <v/>
      </c>
      <c r="BY848" s="4" t="s">
        <v>5</v>
      </c>
      <c r="BZ848" s="4" t="s">
        <v>5</v>
      </c>
    </row>
    <row r="849" spans="1:78" x14ac:dyDescent="0.25">
      <c r="A849" s="13" t="str">
        <f>IF(AND($E849="",MAX($A$8:$A848)=0),"",IF(AND($E849&lt;&gt;"",MAX($A$8:$A848)=0),1,IF(AND($E849&lt;&gt;"",MAX($A$8:$A848)&gt;0),MAX($A$8:$A848)+1,"")))</f>
        <v/>
      </c>
      <c r="B849" s="11">
        <v>842</v>
      </c>
      <c r="C849" s="19" t="str">
        <f t="shared" si="26"/>
        <v>EMPTY</v>
      </c>
      <c r="D849" s="3" t="str">
        <f>IF(C849="SHOW",CONCATENATE(Temp!T845,Temp!U845,",",Temp!V845,",",Temp!W845,Temp!X845),"")</f>
        <v/>
      </c>
      <c r="E849" s="7"/>
      <c r="F849" s="8" t="str">
        <f t="shared" si="27"/>
        <v/>
      </c>
      <c r="BY849" s="4" t="s">
        <v>5</v>
      </c>
      <c r="BZ849" s="4" t="s">
        <v>5</v>
      </c>
    </row>
    <row r="850" spans="1:78" x14ac:dyDescent="0.25">
      <c r="A850" s="13" t="str">
        <f>IF(AND($E850="",MAX($A$8:$A849)=0),"",IF(AND($E850&lt;&gt;"",MAX($A$8:$A849)=0),1,IF(AND($E850&lt;&gt;"",MAX($A$8:$A849)&gt;0),MAX($A$8:$A849)+1,"")))</f>
        <v/>
      </c>
      <c r="B850" s="11">
        <v>843</v>
      </c>
      <c r="C850" s="19" t="str">
        <f t="shared" si="26"/>
        <v>EMPTY</v>
      </c>
      <c r="D850" s="3" t="str">
        <f>IF(C850="SHOW",CONCATENATE(Temp!T846,Temp!U846,",",Temp!V846,",",Temp!W846,Temp!X846),"")</f>
        <v/>
      </c>
      <c r="E850" s="7"/>
      <c r="F850" s="8" t="str">
        <f t="shared" si="27"/>
        <v/>
      </c>
      <c r="BY850" s="4" t="s">
        <v>5</v>
      </c>
      <c r="BZ850" s="4" t="s">
        <v>5</v>
      </c>
    </row>
    <row r="851" spans="1:78" x14ac:dyDescent="0.25">
      <c r="A851" s="13" t="str">
        <f>IF(AND($E851="",MAX($A$8:$A850)=0),"",IF(AND($E851&lt;&gt;"",MAX($A$8:$A850)=0),1,IF(AND($E851&lt;&gt;"",MAX($A$8:$A850)&gt;0),MAX($A$8:$A850)+1,"")))</f>
        <v/>
      </c>
      <c r="B851" s="11">
        <v>844</v>
      </c>
      <c r="C851" s="19" t="str">
        <f t="shared" si="26"/>
        <v>EMPTY</v>
      </c>
      <c r="D851" s="3" t="str">
        <f>IF(C851="SHOW",CONCATENATE(Temp!T847,Temp!U847,",",Temp!V847,",",Temp!W847,Temp!X847),"")</f>
        <v/>
      </c>
      <c r="E851" s="7"/>
      <c r="F851" s="8" t="str">
        <f t="shared" si="27"/>
        <v/>
      </c>
      <c r="BY851" s="4" t="s">
        <v>5</v>
      </c>
      <c r="BZ851" s="4" t="s">
        <v>5</v>
      </c>
    </row>
    <row r="852" spans="1:78" x14ac:dyDescent="0.25">
      <c r="A852" s="13" t="str">
        <f>IF(AND($E852="",MAX($A$8:$A851)=0),"",IF(AND($E852&lt;&gt;"",MAX($A$8:$A851)=0),1,IF(AND($E852&lt;&gt;"",MAX($A$8:$A851)&gt;0),MAX($A$8:$A851)+1,"")))</f>
        <v/>
      </c>
      <c r="B852" s="11">
        <v>845</v>
      </c>
      <c r="C852" s="19" t="str">
        <f t="shared" si="26"/>
        <v>EMPTY</v>
      </c>
      <c r="D852" s="3" t="str">
        <f>IF(C852="SHOW",CONCATENATE(Temp!T848,Temp!U848,",",Temp!V848,",",Temp!W848,Temp!X848),"")</f>
        <v/>
      </c>
      <c r="E852" s="7"/>
      <c r="F852" s="8" t="str">
        <f t="shared" si="27"/>
        <v/>
      </c>
      <c r="BY852" s="4" t="s">
        <v>5</v>
      </c>
      <c r="BZ852" s="4" t="s">
        <v>5</v>
      </c>
    </row>
    <row r="853" spans="1:78" x14ac:dyDescent="0.25">
      <c r="A853" s="13" t="str">
        <f>IF(AND($E853="",MAX($A$8:$A852)=0),"",IF(AND($E853&lt;&gt;"",MAX($A$8:$A852)=0),1,IF(AND($E853&lt;&gt;"",MAX($A$8:$A852)&gt;0),MAX($A$8:$A852)+1,"")))</f>
        <v/>
      </c>
      <c r="B853" s="11">
        <v>846</v>
      </c>
      <c r="C853" s="19" t="str">
        <f t="shared" si="26"/>
        <v>EMPTY</v>
      </c>
      <c r="D853" s="3" t="str">
        <f>IF(C853="SHOW",CONCATENATE(Temp!T849,Temp!U849,",",Temp!V849,",",Temp!W849,Temp!X849),"")</f>
        <v/>
      </c>
      <c r="E853" s="7"/>
      <c r="F853" s="8" t="str">
        <f t="shared" si="27"/>
        <v/>
      </c>
      <c r="BY853" s="4" t="s">
        <v>5</v>
      </c>
      <c r="BZ853" s="4" t="s">
        <v>5</v>
      </c>
    </row>
    <row r="854" spans="1:78" x14ac:dyDescent="0.25">
      <c r="A854" s="13" t="str">
        <f>IF(AND($E854="",MAX($A$8:$A853)=0),"",IF(AND($E854&lt;&gt;"",MAX($A$8:$A853)=0),1,IF(AND($E854&lt;&gt;"",MAX($A$8:$A853)&gt;0),MAX($A$8:$A853)+1,"")))</f>
        <v/>
      </c>
      <c r="B854" s="11">
        <v>847</v>
      </c>
      <c r="C854" s="19" t="str">
        <f t="shared" si="26"/>
        <v>EMPTY</v>
      </c>
      <c r="D854" s="3" t="str">
        <f>IF(C854="SHOW",CONCATENATE(Temp!T850,Temp!U850,",",Temp!V850,",",Temp!W850,Temp!X850),"")</f>
        <v/>
      </c>
      <c r="E854" s="7"/>
      <c r="F854" s="8" t="str">
        <f t="shared" si="27"/>
        <v/>
      </c>
      <c r="BY854" s="4" t="s">
        <v>5</v>
      </c>
      <c r="BZ854" s="4" t="s">
        <v>5</v>
      </c>
    </row>
    <row r="855" spans="1:78" x14ac:dyDescent="0.25">
      <c r="A855" s="13" t="str">
        <f>IF(AND($E855="",MAX($A$8:$A854)=0),"",IF(AND($E855&lt;&gt;"",MAX($A$8:$A854)=0),1,IF(AND($E855&lt;&gt;"",MAX($A$8:$A854)&gt;0),MAX($A$8:$A854)+1,"")))</f>
        <v/>
      </c>
      <c r="B855" s="11">
        <v>848</v>
      </c>
      <c r="C855" s="19" t="str">
        <f t="shared" si="26"/>
        <v>EMPTY</v>
      </c>
      <c r="D855" s="3" t="str">
        <f>IF(C855="SHOW",CONCATENATE(Temp!T851,Temp!U851,",",Temp!V851,",",Temp!W851,Temp!X851),"")</f>
        <v/>
      </c>
      <c r="E855" s="7"/>
      <c r="F855" s="8" t="str">
        <f t="shared" si="27"/>
        <v/>
      </c>
      <c r="BY855" s="4" t="s">
        <v>5</v>
      </c>
      <c r="BZ855" s="4" t="s">
        <v>5</v>
      </c>
    </row>
    <row r="856" spans="1:78" x14ac:dyDescent="0.25">
      <c r="A856" s="13" t="str">
        <f>IF(AND($E856="",MAX($A$8:$A855)=0),"",IF(AND($E856&lt;&gt;"",MAX($A$8:$A855)=0),1,IF(AND($E856&lt;&gt;"",MAX($A$8:$A855)&gt;0),MAX($A$8:$A855)+1,"")))</f>
        <v/>
      </c>
      <c r="B856" s="11">
        <v>849</v>
      </c>
      <c r="C856" s="19" t="str">
        <f t="shared" si="26"/>
        <v>EMPTY</v>
      </c>
      <c r="D856" s="3" t="str">
        <f>IF(C856="SHOW",CONCATENATE(Temp!T852,Temp!U852,",",Temp!V852,",",Temp!W852,Temp!X852),"")</f>
        <v/>
      </c>
      <c r="E856" s="7"/>
      <c r="F856" s="8" t="str">
        <f t="shared" si="27"/>
        <v/>
      </c>
      <c r="BY856" s="4" t="s">
        <v>5</v>
      </c>
      <c r="BZ856" s="4" t="s">
        <v>5</v>
      </c>
    </row>
    <row r="857" spans="1:78" x14ac:dyDescent="0.25">
      <c r="A857" s="13" t="str">
        <f>IF(AND($E857="",MAX($A$8:$A856)=0),"",IF(AND($E857&lt;&gt;"",MAX($A$8:$A856)=0),1,IF(AND($E857&lt;&gt;"",MAX($A$8:$A856)&gt;0),MAX($A$8:$A856)+1,"")))</f>
        <v/>
      </c>
      <c r="B857" s="11">
        <v>850</v>
      </c>
      <c r="C857" s="19" t="str">
        <f t="shared" si="26"/>
        <v>EMPTY</v>
      </c>
      <c r="D857" s="3" t="str">
        <f>IF(C857="SHOW",CONCATENATE(Temp!T853,Temp!U853,",",Temp!V853,",",Temp!W853,Temp!X853),"")</f>
        <v/>
      </c>
      <c r="E857" s="7"/>
      <c r="F857" s="8" t="str">
        <f t="shared" si="27"/>
        <v/>
      </c>
      <c r="BY857" s="4" t="s">
        <v>5</v>
      </c>
      <c r="BZ857" s="4" t="s">
        <v>5</v>
      </c>
    </row>
    <row r="858" spans="1:78" x14ac:dyDescent="0.25">
      <c r="A858" s="13" t="str">
        <f>IF(AND($E858="",MAX($A$8:$A857)=0),"",IF(AND($E858&lt;&gt;"",MAX($A$8:$A857)=0),1,IF(AND($E858&lt;&gt;"",MAX($A$8:$A857)&gt;0),MAX($A$8:$A857)+1,"")))</f>
        <v/>
      </c>
      <c r="B858" s="11">
        <v>851</v>
      </c>
      <c r="C858" s="19" t="str">
        <f t="shared" si="26"/>
        <v>EMPTY</v>
      </c>
      <c r="D858" s="3" t="str">
        <f>IF(C858="SHOW",CONCATENATE(Temp!T854,Temp!U854,",",Temp!V854,",",Temp!W854,Temp!X854),"")</f>
        <v/>
      </c>
      <c r="E858" s="7"/>
      <c r="F858" s="8" t="str">
        <f t="shared" si="27"/>
        <v/>
      </c>
      <c r="BY858" s="4" t="s">
        <v>5</v>
      </c>
      <c r="BZ858" s="4" t="s">
        <v>5</v>
      </c>
    </row>
    <row r="859" spans="1:78" x14ac:dyDescent="0.25">
      <c r="A859" s="13" t="str">
        <f>IF(AND($E859="",MAX($A$8:$A858)=0),"",IF(AND($E859&lt;&gt;"",MAX($A$8:$A858)=0),1,IF(AND($E859&lt;&gt;"",MAX($A$8:$A858)&gt;0),MAX($A$8:$A858)+1,"")))</f>
        <v/>
      </c>
      <c r="B859" s="11">
        <v>852</v>
      </c>
      <c r="C859" s="19" t="str">
        <f t="shared" si="26"/>
        <v>EMPTY</v>
      </c>
      <c r="D859" s="3" t="str">
        <f>IF(C859="SHOW",CONCATENATE(Temp!T855,Temp!U855,",",Temp!V855,",",Temp!W855,Temp!X855),"")</f>
        <v/>
      </c>
      <c r="E859" s="7"/>
      <c r="F859" s="8" t="str">
        <f t="shared" si="27"/>
        <v/>
      </c>
      <c r="BZ859" s="4" t="s">
        <v>5</v>
      </c>
    </row>
    <row r="860" spans="1:78" x14ac:dyDescent="0.25">
      <c r="A860" s="13" t="str">
        <f>IF(AND($E860="",MAX($A$8:$A859)=0),"",IF(AND($E860&lt;&gt;"",MAX($A$8:$A859)=0),1,IF(AND($E860&lt;&gt;"",MAX($A$8:$A859)&gt;0),MAX($A$8:$A859)+1,"")))</f>
        <v/>
      </c>
      <c r="B860" s="11">
        <v>853</v>
      </c>
      <c r="C860" s="19" t="str">
        <f t="shared" si="26"/>
        <v>EMPTY</v>
      </c>
      <c r="D860" s="3" t="str">
        <f>IF(C860="SHOW",CONCATENATE(Temp!T856,Temp!U856,",",Temp!V856,",",Temp!W856,Temp!X856),"")</f>
        <v/>
      </c>
      <c r="E860" s="7"/>
      <c r="F860" s="8" t="str">
        <f t="shared" si="27"/>
        <v/>
      </c>
    </row>
    <row r="861" spans="1:78" x14ac:dyDescent="0.25">
      <c r="A861" s="13" t="str">
        <f>IF(AND($E861="",MAX($A$8:$A860)=0),"",IF(AND($E861&lt;&gt;"",MAX($A$8:$A860)=0),1,IF(AND($E861&lt;&gt;"",MAX($A$8:$A860)&gt;0),MAX($A$8:$A860)+1,"")))</f>
        <v/>
      </c>
      <c r="B861" s="11">
        <v>854</v>
      </c>
      <c r="C861" s="19" t="str">
        <f t="shared" si="26"/>
        <v>EMPTY</v>
      </c>
      <c r="D861" s="3" t="str">
        <f>IF(C861="SHOW",CONCATENATE(Temp!T857,Temp!U857,",",Temp!V857,",",Temp!W857,Temp!X857),"")</f>
        <v/>
      </c>
      <c r="E861" s="7"/>
      <c r="F861" s="8" t="str">
        <f t="shared" si="27"/>
        <v/>
      </c>
    </row>
    <row r="862" spans="1:78" x14ac:dyDescent="0.25">
      <c r="A862" s="13" t="str">
        <f>IF(AND($E862="",MAX($A$8:$A861)=0),"",IF(AND($E862&lt;&gt;"",MAX($A$8:$A861)=0),1,IF(AND($E862&lt;&gt;"",MAX($A$8:$A861)&gt;0),MAX($A$8:$A861)+1,"")))</f>
        <v/>
      </c>
      <c r="B862" s="11">
        <v>855</v>
      </c>
      <c r="C862" s="19" t="str">
        <f t="shared" si="26"/>
        <v>EMPTY</v>
      </c>
      <c r="D862" s="3" t="str">
        <f>IF(C862="SHOW",CONCATENATE(Temp!T858,Temp!U858,",",Temp!V858,",",Temp!W858,Temp!X858),"")</f>
        <v/>
      </c>
      <c r="E862" s="7"/>
      <c r="F862" s="8" t="str">
        <f t="shared" si="27"/>
        <v/>
      </c>
    </row>
    <row r="863" spans="1:78" x14ac:dyDescent="0.25">
      <c r="A863" s="13" t="str">
        <f>IF(AND($E863="",MAX($A$8:$A862)=0),"",IF(AND($E863&lt;&gt;"",MAX($A$8:$A862)=0),1,IF(AND($E863&lt;&gt;"",MAX($A$8:$A862)&gt;0),MAX($A$8:$A862)+1,"")))</f>
        <v/>
      </c>
      <c r="B863" s="11">
        <v>856</v>
      </c>
      <c r="C863" s="19" t="str">
        <f t="shared" si="26"/>
        <v>EMPTY</v>
      </c>
      <c r="D863" s="3" t="str">
        <f>IF(C863="SHOW",CONCATENATE(Temp!T859,Temp!U859,",",Temp!V859,",",Temp!W859,Temp!X859),"")</f>
        <v/>
      </c>
      <c r="E863" s="7"/>
      <c r="F863" s="8" t="str">
        <f t="shared" si="27"/>
        <v/>
      </c>
    </row>
    <row r="864" spans="1:78" x14ac:dyDescent="0.25">
      <c r="A864" s="13" t="str">
        <f>IF(AND($E864="",MAX($A$8:$A863)=0),"",IF(AND($E864&lt;&gt;"",MAX($A$8:$A863)=0),1,IF(AND($E864&lt;&gt;"",MAX($A$8:$A863)&gt;0),MAX($A$8:$A863)+1,"")))</f>
        <v/>
      </c>
      <c r="B864" s="11">
        <v>857</v>
      </c>
      <c r="C864" s="19" t="str">
        <f t="shared" si="26"/>
        <v>EMPTY</v>
      </c>
      <c r="D864" s="3" t="str">
        <f>IF(C864="SHOW",CONCATENATE(Temp!T860,Temp!U860,",",Temp!V860,",",Temp!W860,Temp!X860),"")</f>
        <v/>
      </c>
      <c r="E864" s="7"/>
      <c r="F864" s="8" t="str">
        <f t="shared" si="27"/>
        <v/>
      </c>
    </row>
    <row r="865" spans="1:6" x14ac:dyDescent="0.25">
      <c r="A865" s="13" t="str">
        <f>IF(AND($E865="",MAX($A$8:$A864)=0),"",IF(AND($E865&lt;&gt;"",MAX($A$8:$A864)=0),1,IF(AND($E865&lt;&gt;"",MAX($A$8:$A864)&gt;0),MAX($A$8:$A864)+1,"")))</f>
        <v/>
      </c>
      <c r="B865" s="11">
        <v>858</v>
      </c>
      <c r="C865" s="19" t="str">
        <f t="shared" si="26"/>
        <v>EMPTY</v>
      </c>
      <c r="D865" s="3" t="str">
        <f>IF(C865="SHOW",CONCATENATE(Temp!T861,Temp!U861,",",Temp!V861,",",Temp!W861,Temp!X861),"")</f>
        <v/>
      </c>
      <c r="E865" s="7"/>
      <c r="F865" s="8" t="str">
        <f t="shared" si="27"/>
        <v/>
      </c>
    </row>
    <row r="866" spans="1:6" x14ac:dyDescent="0.25">
      <c r="A866" s="13" t="str">
        <f>IF(AND($E866="",MAX($A$8:$A865)=0),"",IF(AND($E866&lt;&gt;"",MAX($A$8:$A865)=0),1,IF(AND($E866&lt;&gt;"",MAX($A$8:$A865)&gt;0),MAX($A$8:$A865)+1,"")))</f>
        <v/>
      </c>
      <c r="B866" s="11">
        <v>859</v>
      </c>
      <c r="C866" s="19" t="str">
        <f t="shared" si="26"/>
        <v>EMPTY</v>
      </c>
      <c r="D866" s="3" t="str">
        <f>IF(C866="SHOW",CONCATENATE(Temp!T862,Temp!U862,",",Temp!V862,",",Temp!W862,Temp!X862),"")</f>
        <v/>
      </c>
      <c r="E866" s="7"/>
      <c r="F866" s="8" t="str">
        <f t="shared" si="27"/>
        <v/>
      </c>
    </row>
    <row r="867" spans="1:6" x14ac:dyDescent="0.25">
      <c r="A867" s="13" t="str">
        <f>IF(AND($E867="",MAX($A$8:$A866)=0),"",IF(AND($E867&lt;&gt;"",MAX($A$8:$A866)=0),1,IF(AND($E867&lt;&gt;"",MAX($A$8:$A866)&gt;0),MAX($A$8:$A866)+1,"")))</f>
        <v/>
      </c>
      <c r="B867" s="11">
        <v>860</v>
      </c>
      <c r="C867" s="19" t="str">
        <f t="shared" si="26"/>
        <v>EMPTY</v>
      </c>
      <c r="D867" s="3" t="str">
        <f>IF(C867="SHOW",CONCATENATE(Temp!T863,Temp!U863,",",Temp!V863,",",Temp!W863,Temp!X863),"")</f>
        <v/>
      </c>
      <c r="E867" s="7"/>
      <c r="F867" s="8" t="str">
        <f t="shared" si="27"/>
        <v/>
      </c>
    </row>
    <row r="868" spans="1:6" x14ac:dyDescent="0.25">
      <c r="A868" s="13" t="str">
        <f>IF(AND($E868="",MAX($A$8:$A867)=0),"",IF(AND($E868&lt;&gt;"",MAX($A$8:$A867)=0),1,IF(AND($E868&lt;&gt;"",MAX($A$8:$A867)&gt;0),MAX($A$8:$A867)+1,"")))</f>
        <v/>
      </c>
      <c r="B868" s="11">
        <v>861</v>
      </c>
      <c r="C868" s="19" t="str">
        <f t="shared" si="26"/>
        <v>EMPTY</v>
      </c>
      <c r="D868" s="3" t="str">
        <f>IF(C868="SHOW",CONCATENATE(Temp!T864,Temp!U864,",",Temp!V864,",",Temp!W864,Temp!X864),"")</f>
        <v/>
      </c>
      <c r="E868" s="7"/>
      <c r="F868" s="8" t="str">
        <f t="shared" si="27"/>
        <v/>
      </c>
    </row>
    <row r="869" spans="1:6" x14ac:dyDescent="0.25">
      <c r="A869" s="13" t="str">
        <f>IF(AND($E869="",MAX($A$8:$A868)=0),"",IF(AND($E869&lt;&gt;"",MAX($A$8:$A868)=0),1,IF(AND($E869&lt;&gt;"",MAX($A$8:$A868)&gt;0),MAX($A$8:$A868)+1,"")))</f>
        <v/>
      </c>
      <c r="B869" s="11">
        <v>862</v>
      </c>
      <c r="C869" s="19" t="str">
        <f t="shared" si="26"/>
        <v>EMPTY</v>
      </c>
      <c r="D869" s="3" t="str">
        <f>IF(C869="SHOW",CONCATENATE(Temp!T865,Temp!U865,",",Temp!V865,",",Temp!W865,Temp!X865),"")</f>
        <v/>
      </c>
      <c r="E869" s="7"/>
      <c r="F869" s="8" t="str">
        <f t="shared" si="27"/>
        <v/>
      </c>
    </row>
    <row r="870" spans="1:6" x14ac:dyDescent="0.25">
      <c r="A870" s="13" t="str">
        <f>IF(AND($E870="",MAX($A$8:$A869)=0),"",IF(AND($E870&lt;&gt;"",MAX($A$8:$A869)=0),1,IF(AND($E870&lt;&gt;"",MAX($A$8:$A869)&gt;0),MAX($A$8:$A869)+1,"")))</f>
        <v/>
      </c>
      <c r="B870" s="11">
        <v>863</v>
      </c>
      <c r="C870" s="19" t="str">
        <f t="shared" si="26"/>
        <v>EMPTY</v>
      </c>
      <c r="D870" s="3" t="str">
        <f>IF(C870="SHOW",CONCATENATE(Temp!T866,Temp!U866,",",Temp!V866,",",Temp!W866,Temp!X866),"")</f>
        <v/>
      </c>
      <c r="E870" s="7"/>
      <c r="F870" s="8" t="str">
        <f t="shared" si="27"/>
        <v/>
      </c>
    </row>
    <row r="871" spans="1:6" x14ac:dyDescent="0.25">
      <c r="A871" s="13" t="str">
        <f>IF(AND($E871="",MAX($A$8:$A870)=0),"",IF(AND($E871&lt;&gt;"",MAX($A$8:$A870)=0),1,IF(AND($E871&lt;&gt;"",MAX($A$8:$A870)&gt;0),MAX($A$8:$A870)+1,"")))</f>
        <v/>
      </c>
      <c r="B871" s="11">
        <v>864</v>
      </c>
      <c r="C871" s="19" t="str">
        <f t="shared" si="26"/>
        <v>EMPTY</v>
      </c>
      <c r="D871" s="3" t="str">
        <f>IF(C871="SHOW",CONCATENATE(Temp!T867,Temp!U867,",",Temp!V867,",",Temp!W867,Temp!X867),"")</f>
        <v/>
      </c>
      <c r="E871" s="7"/>
      <c r="F871" s="8" t="str">
        <f t="shared" si="27"/>
        <v/>
      </c>
    </row>
    <row r="872" spans="1:6" x14ac:dyDescent="0.25">
      <c r="A872" s="13" t="str">
        <f>IF(AND($E872="",MAX($A$8:$A871)=0),"",IF(AND($E872&lt;&gt;"",MAX($A$8:$A871)=0),1,IF(AND($E872&lt;&gt;"",MAX($A$8:$A871)&gt;0),MAX($A$8:$A871)+1,"")))</f>
        <v/>
      </c>
      <c r="B872" s="11">
        <v>865</v>
      </c>
      <c r="C872" s="19" t="str">
        <f t="shared" si="26"/>
        <v>EMPTY</v>
      </c>
      <c r="D872" s="3" t="str">
        <f>IF(C872="SHOW",CONCATENATE(Temp!T868,Temp!U868,",",Temp!V868,",",Temp!W868,Temp!X868),"")</f>
        <v/>
      </c>
      <c r="E872" s="7"/>
      <c r="F872" s="8" t="str">
        <f t="shared" si="27"/>
        <v/>
      </c>
    </row>
    <row r="873" spans="1:6" x14ac:dyDescent="0.25">
      <c r="A873" s="13" t="str">
        <f>IF(AND($E873="",MAX($A$8:$A872)=0),"",IF(AND($E873&lt;&gt;"",MAX($A$8:$A872)=0),1,IF(AND($E873&lt;&gt;"",MAX($A$8:$A872)&gt;0),MAX($A$8:$A872)+1,"")))</f>
        <v/>
      </c>
      <c r="B873" s="11">
        <v>866</v>
      </c>
      <c r="C873" s="19" t="str">
        <f t="shared" si="26"/>
        <v>EMPTY</v>
      </c>
      <c r="D873" s="3" t="str">
        <f>IF(C873="SHOW",CONCATENATE(Temp!T869,Temp!U869,",",Temp!V869,",",Temp!W869,Temp!X869),"")</f>
        <v/>
      </c>
      <c r="E873" s="7"/>
      <c r="F873" s="8" t="str">
        <f t="shared" si="27"/>
        <v/>
      </c>
    </row>
    <row r="874" spans="1:6" x14ac:dyDescent="0.25">
      <c r="A874" s="13" t="str">
        <f>IF(AND($E874="",MAX($A$8:$A873)=0),"",IF(AND($E874&lt;&gt;"",MAX($A$8:$A873)=0),1,IF(AND($E874&lt;&gt;"",MAX($A$8:$A873)&gt;0),MAX($A$8:$A873)+1,"")))</f>
        <v/>
      </c>
      <c r="B874" s="11">
        <v>867</v>
      </c>
      <c r="C874" s="19" t="str">
        <f t="shared" si="26"/>
        <v>EMPTY</v>
      </c>
      <c r="D874" s="3" t="str">
        <f>IF(C874="SHOW",CONCATENATE(Temp!T870,Temp!U870,",",Temp!V870,",",Temp!W870,Temp!X870),"")</f>
        <v/>
      </c>
      <c r="E874" s="7"/>
      <c r="F874" s="8" t="str">
        <f t="shared" si="27"/>
        <v/>
      </c>
    </row>
    <row r="875" spans="1:6" x14ac:dyDescent="0.25">
      <c r="A875" s="13" t="str">
        <f>IF(AND($E875="",MAX($A$8:$A874)=0),"",IF(AND($E875&lt;&gt;"",MAX($A$8:$A874)=0),1,IF(AND($E875&lt;&gt;"",MAX($A$8:$A874)&gt;0),MAX($A$8:$A874)+1,"")))</f>
        <v/>
      </c>
      <c r="B875" s="11">
        <v>868</v>
      </c>
      <c r="C875" s="19" t="str">
        <f t="shared" si="26"/>
        <v>EMPTY</v>
      </c>
      <c r="D875" s="3" t="str">
        <f>IF(C875="SHOW",CONCATENATE(Temp!T871,Temp!U871,",",Temp!V871,",",Temp!W871,Temp!X871),"")</f>
        <v/>
      </c>
      <c r="E875" s="7"/>
      <c r="F875" s="8" t="str">
        <f t="shared" si="27"/>
        <v/>
      </c>
    </row>
    <row r="876" spans="1:6" x14ac:dyDescent="0.25">
      <c r="A876" s="13" t="str">
        <f>IF(AND($E876="",MAX($A$8:$A875)=0),"",IF(AND($E876&lt;&gt;"",MAX($A$8:$A875)=0),1,IF(AND($E876&lt;&gt;"",MAX($A$8:$A875)&gt;0),MAX($A$8:$A875)+1,"")))</f>
        <v/>
      </c>
      <c r="B876" s="11">
        <v>869</v>
      </c>
      <c r="C876" s="19" t="str">
        <f t="shared" si="26"/>
        <v>EMPTY</v>
      </c>
      <c r="D876" s="3" t="str">
        <f>IF(C876="SHOW",CONCATENATE(Temp!T872,Temp!U872,",",Temp!V872,",",Temp!W872,Temp!X872),"")</f>
        <v/>
      </c>
      <c r="E876" s="7"/>
      <c r="F876" s="8" t="str">
        <f t="shared" si="27"/>
        <v/>
      </c>
    </row>
    <row r="877" spans="1:6" x14ac:dyDescent="0.25">
      <c r="A877" s="13" t="str">
        <f>IF(AND($E877="",MAX($A$8:$A876)=0),"",IF(AND($E877&lt;&gt;"",MAX($A$8:$A876)=0),1,IF(AND($E877&lt;&gt;"",MAX($A$8:$A876)&gt;0),MAX($A$8:$A876)+1,"")))</f>
        <v/>
      </c>
      <c r="B877" s="11">
        <v>870</v>
      </c>
      <c r="C877" s="19" t="str">
        <f t="shared" si="26"/>
        <v>EMPTY</v>
      </c>
      <c r="D877" s="3" t="str">
        <f>IF(C877="SHOW",CONCATENATE(Temp!T873,Temp!U873,",",Temp!V873,",",Temp!W873,Temp!X873),"")</f>
        <v/>
      </c>
      <c r="E877" s="7"/>
      <c r="F877" s="8" t="str">
        <f t="shared" si="27"/>
        <v/>
      </c>
    </row>
    <row r="878" spans="1:6" x14ac:dyDescent="0.25">
      <c r="A878" s="13" t="str">
        <f>IF(AND($E878="",MAX($A$8:$A877)=0),"",IF(AND($E878&lt;&gt;"",MAX($A$8:$A877)=0),1,IF(AND($E878&lt;&gt;"",MAX($A$8:$A877)&gt;0),MAX($A$8:$A877)+1,"")))</f>
        <v/>
      </c>
      <c r="B878" s="11">
        <v>871</v>
      </c>
      <c r="C878" s="19" t="str">
        <f t="shared" si="26"/>
        <v>EMPTY</v>
      </c>
      <c r="D878" s="3" t="str">
        <f>IF(C878="SHOW",CONCATENATE(Temp!T874,Temp!U874,",",Temp!V874,",",Temp!W874,Temp!X874),"")</f>
        <v/>
      </c>
      <c r="E878" s="7"/>
      <c r="F878" s="8" t="str">
        <f t="shared" si="27"/>
        <v/>
      </c>
    </row>
    <row r="879" spans="1:6" x14ac:dyDescent="0.25">
      <c r="A879" s="13" t="str">
        <f>IF(AND($E879="",MAX($A$8:$A878)=0),"",IF(AND($E879&lt;&gt;"",MAX($A$8:$A878)=0),1,IF(AND($E879&lt;&gt;"",MAX($A$8:$A878)&gt;0),MAX($A$8:$A878)+1,"")))</f>
        <v/>
      </c>
      <c r="B879" s="11">
        <v>872</v>
      </c>
      <c r="C879" s="19" t="str">
        <f t="shared" si="26"/>
        <v>EMPTY</v>
      </c>
      <c r="D879" s="3" t="str">
        <f>IF(C879="SHOW",CONCATENATE(Temp!T875,Temp!U875,",",Temp!V875,",",Temp!W875,Temp!X875),"")</f>
        <v/>
      </c>
      <c r="E879" s="7"/>
      <c r="F879" s="8" t="str">
        <f t="shared" si="27"/>
        <v/>
      </c>
    </row>
    <row r="880" spans="1:6" x14ac:dyDescent="0.25">
      <c r="A880" s="13" t="str">
        <f>IF(AND($E880="",MAX($A$8:$A879)=0),"",IF(AND($E880&lt;&gt;"",MAX($A$8:$A879)=0),1,IF(AND($E880&lt;&gt;"",MAX($A$8:$A879)&gt;0),MAX($A$8:$A879)+1,"")))</f>
        <v/>
      </c>
      <c r="B880" s="11">
        <v>873</v>
      </c>
      <c r="C880" s="19" t="str">
        <f t="shared" si="26"/>
        <v>EMPTY</v>
      </c>
      <c r="D880" s="3" t="str">
        <f>IF(C880="SHOW",CONCATENATE(Temp!T876,Temp!U876,",",Temp!V876,",",Temp!W876,Temp!X876),"")</f>
        <v/>
      </c>
      <c r="E880" s="7"/>
      <c r="F880" s="8" t="str">
        <f t="shared" si="27"/>
        <v/>
      </c>
    </row>
    <row r="881" spans="1:6" x14ac:dyDescent="0.25">
      <c r="A881" s="13" t="str">
        <f>IF(AND($E881="",MAX($A$8:$A880)=0),"",IF(AND($E881&lt;&gt;"",MAX($A$8:$A880)=0),1,IF(AND($E881&lt;&gt;"",MAX($A$8:$A880)&gt;0),MAX($A$8:$A880)+1,"")))</f>
        <v/>
      </c>
      <c r="B881" s="11">
        <v>874</v>
      </c>
      <c r="C881" s="19" t="str">
        <f t="shared" si="26"/>
        <v>EMPTY</v>
      </c>
      <c r="D881" s="3" t="str">
        <f>IF(C881="SHOW",CONCATENATE(Temp!T877,Temp!U877,",",Temp!V877,",",Temp!W877,Temp!X877),"")</f>
        <v/>
      </c>
      <c r="E881" s="7"/>
      <c r="F881" s="8" t="str">
        <f t="shared" si="27"/>
        <v/>
      </c>
    </row>
    <row r="882" spans="1:6" x14ac:dyDescent="0.25">
      <c r="A882" s="13" t="str">
        <f>IF(AND($E882="",MAX($A$8:$A881)=0),"",IF(AND($E882&lt;&gt;"",MAX($A$8:$A881)=0),1,IF(AND($E882&lt;&gt;"",MAX($A$8:$A881)&gt;0),MAX($A$8:$A881)+1,"")))</f>
        <v/>
      </c>
      <c r="B882" s="11">
        <v>875</v>
      </c>
      <c r="C882" s="19" t="str">
        <f t="shared" si="26"/>
        <v>EMPTY</v>
      </c>
      <c r="D882" s="3" t="str">
        <f>IF(C882="SHOW",CONCATENATE(Temp!T878,Temp!U878,",",Temp!V878,",",Temp!W878,Temp!X878),"")</f>
        <v/>
      </c>
      <c r="E882" s="7"/>
      <c r="F882" s="8" t="str">
        <f t="shared" si="27"/>
        <v/>
      </c>
    </row>
    <row r="883" spans="1:6" x14ac:dyDescent="0.25">
      <c r="A883" s="13" t="str">
        <f>IF(AND($E883="",MAX($A$8:$A882)=0),"",IF(AND($E883&lt;&gt;"",MAX($A$8:$A882)=0),1,IF(AND($E883&lt;&gt;"",MAX($A$8:$A882)&gt;0),MAX($A$8:$A882)+1,"")))</f>
        <v/>
      </c>
      <c r="B883" s="11">
        <v>876</v>
      </c>
      <c r="C883" s="19" t="str">
        <f t="shared" si="26"/>
        <v>EMPTY</v>
      </c>
      <c r="D883" s="3" t="str">
        <f>IF(C883="SHOW",CONCATENATE(Temp!T879,Temp!U879,",",Temp!V879,",",Temp!W879,Temp!X879),"")</f>
        <v/>
      </c>
      <c r="E883" s="7"/>
      <c r="F883" s="8" t="str">
        <f t="shared" si="27"/>
        <v/>
      </c>
    </row>
    <row r="884" spans="1:6" x14ac:dyDescent="0.25">
      <c r="A884" s="13" t="str">
        <f>IF(AND($E884="",MAX($A$8:$A883)=0),"",IF(AND($E884&lt;&gt;"",MAX($A$8:$A883)=0),1,IF(AND($E884&lt;&gt;"",MAX($A$8:$A883)&gt;0),MAX($A$8:$A883)+1,"")))</f>
        <v/>
      </c>
      <c r="B884" s="11">
        <v>877</v>
      </c>
      <c r="C884" s="19" t="str">
        <f t="shared" si="26"/>
        <v>EMPTY</v>
      </c>
      <c r="D884" s="3" t="str">
        <f>IF(C884="SHOW",CONCATENATE(Temp!T880,Temp!U880,",",Temp!V880,",",Temp!W880,Temp!X880),"")</f>
        <v/>
      </c>
      <c r="E884" s="7"/>
      <c r="F884" s="8" t="str">
        <f t="shared" si="27"/>
        <v/>
      </c>
    </row>
    <row r="885" spans="1:6" x14ac:dyDescent="0.25">
      <c r="A885" s="13" t="str">
        <f>IF(AND($E885="",MAX($A$8:$A884)=0),"",IF(AND($E885&lt;&gt;"",MAX($A$8:$A884)=0),1,IF(AND($E885&lt;&gt;"",MAX($A$8:$A884)&gt;0),MAX($A$8:$A884)+1,"")))</f>
        <v/>
      </c>
      <c r="B885" s="11">
        <v>878</v>
      </c>
      <c r="C885" s="19" t="str">
        <f t="shared" si="26"/>
        <v>EMPTY</v>
      </c>
      <c r="D885" s="3" t="str">
        <f>IF(C885="SHOW",CONCATENATE(Temp!T881,Temp!U881,",",Temp!V881,",",Temp!W881,Temp!X881),"")</f>
        <v/>
      </c>
      <c r="E885" s="7"/>
      <c r="F885" s="8" t="str">
        <f t="shared" si="27"/>
        <v/>
      </c>
    </row>
    <row r="886" spans="1:6" x14ac:dyDescent="0.25">
      <c r="A886" s="13" t="str">
        <f>IF(AND($E886="",MAX($A$8:$A885)=0),"",IF(AND($E886&lt;&gt;"",MAX($A$8:$A885)=0),1,IF(AND($E886&lt;&gt;"",MAX($A$8:$A885)&gt;0),MAX($A$8:$A885)+1,"")))</f>
        <v/>
      </c>
      <c r="B886" s="11">
        <v>879</v>
      </c>
      <c r="C886" s="19" t="str">
        <f t="shared" si="26"/>
        <v>EMPTY</v>
      </c>
      <c r="D886" s="3" t="str">
        <f>IF(C886="SHOW",CONCATENATE(Temp!T882,Temp!U882,",",Temp!V882,",",Temp!W882,Temp!X882),"")</f>
        <v/>
      </c>
      <c r="E886" s="7"/>
      <c r="F886" s="8" t="str">
        <f t="shared" si="27"/>
        <v/>
      </c>
    </row>
    <row r="887" spans="1:6" x14ac:dyDescent="0.25">
      <c r="A887" s="13" t="str">
        <f>IF(AND($E887="",MAX($A$8:$A886)=0),"",IF(AND($E887&lt;&gt;"",MAX($A$8:$A886)=0),1,IF(AND($E887&lt;&gt;"",MAX($A$8:$A886)&gt;0),MAX($A$8:$A886)+1,"")))</f>
        <v/>
      </c>
      <c r="B887" s="11">
        <v>880</v>
      </c>
      <c r="C887" s="19" t="str">
        <f t="shared" si="26"/>
        <v>EMPTY</v>
      </c>
      <c r="D887" s="3" t="str">
        <f>IF(C887="SHOW",CONCATENATE(Temp!T883,Temp!U883,",",Temp!V883,",",Temp!W883,Temp!X883),"")</f>
        <v/>
      </c>
      <c r="E887" s="7"/>
      <c r="F887" s="8" t="str">
        <f t="shared" si="27"/>
        <v/>
      </c>
    </row>
    <row r="888" spans="1:6" x14ac:dyDescent="0.25">
      <c r="A888" s="13" t="str">
        <f>IF(AND($E888="",MAX($A$8:$A887)=0),"",IF(AND($E888&lt;&gt;"",MAX($A$8:$A887)=0),1,IF(AND($E888&lt;&gt;"",MAX($A$8:$A887)&gt;0),MAX($A$8:$A887)+1,"")))</f>
        <v/>
      </c>
      <c r="B888" s="11">
        <v>881</v>
      </c>
      <c r="C888" s="19" t="str">
        <f t="shared" si="26"/>
        <v>EMPTY</v>
      </c>
      <c r="D888" s="3" t="str">
        <f>IF(C888="SHOW",CONCATENATE(Temp!T884,Temp!U884,",",Temp!V884,",",Temp!W884,Temp!X884),"")</f>
        <v/>
      </c>
      <c r="E888" s="7"/>
      <c r="F888" s="8" t="str">
        <f t="shared" si="27"/>
        <v/>
      </c>
    </row>
    <row r="889" spans="1:6" x14ac:dyDescent="0.25">
      <c r="A889" s="13" t="str">
        <f>IF(AND($E889="",MAX($A$8:$A888)=0),"",IF(AND($E889&lt;&gt;"",MAX($A$8:$A888)=0),1,IF(AND($E889&lt;&gt;"",MAX($A$8:$A888)&gt;0),MAX($A$8:$A888)+1,"")))</f>
        <v/>
      </c>
      <c r="B889" s="11">
        <v>882</v>
      </c>
      <c r="C889" s="19" t="str">
        <f t="shared" si="26"/>
        <v>EMPTY</v>
      </c>
      <c r="D889" s="3" t="str">
        <f>IF(C889="SHOW",CONCATENATE(Temp!T885,Temp!U885,",",Temp!V885,",",Temp!W885,Temp!X885),"")</f>
        <v/>
      </c>
      <c r="E889" s="7"/>
      <c r="F889" s="8" t="str">
        <f t="shared" si="27"/>
        <v/>
      </c>
    </row>
    <row r="890" spans="1:6" x14ac:dyDescent="0.25">
      <c r="A890" s="13" t="str">
        <f>IF(AND($E890="",MAX($A$8:$A889)=0),"",IF(AND($E890&lt;&gt;"",MAX($A$8:$A889)=0),1,IF(AND($E890&lt;&gt;"",MAX($A$8:$A889)&gt;0),MAX($A$8:$A889)+1,"")))</f>
        <v/>
      </c>
      <c r="B890" s="11">
        <v>883</v>
      </c>
      <c r="C890" s="19" t="str">
        <f t="shared" si="26"/>
        <v>EMPTY</v>
      </c>
      <c r="D890" s="3" t="str">
        <f>IF(C890="SHOW",CONCATENATE(Temp!T886,Temp!U886,",",Temp!V886,",",Temp!W886,Temp!X886),"")</f>
        <v/>
      </c>
      <c r="E890" s="7"/>
      <c r="F890" s="8" t="str">
        <f t="shared" si="27"/>
        <v/>
      </c>
    </row>
    <row r="891" spans="1:6" x14ac:dyDescent="0.25">
      <c r="A891" s="13" t="str">
        <f>IF(AND($E891="",MAX($A$8:$A890)=0),"",IF(AND($E891&lt;&gt;"",MAX($A$8:$A890)=0),1,IF(AND($E891&lt;&gt;"",MAX($A$8:$A890)&gt;0),MAX($A$8:$A890)+1,"")))</f>
        <v/>
      </c>
      <c r="B891" s="11">
        <v>884</v>
      </c>
      <c r="C891" s="19" t="str">
        <f t="shared" si="26"/>
        <v>EMPTY</v>
      </c>
      <c r="D891" s="3" t="str">
        <f>IF(C891="SHOW",CONCATENATE(Temp!T887,Temp!U887,",",Temp!V887,",",Temp!W887,Temp!X887),"")</f>
        <v/>
      </c>
      <c r="E891" s="7"/>
      <c r="F891" s="8" t="str">
        <f t="shared" si="27"/>
        <v/>
      </c>
    </row>
    <row r="892" spans="1:6" x14ac:dyDescent="0.25">
      <c r="A892" s="13" t="str">
        <f>IF(AND($E892="",MAX($A$8:$A891)=0),"",IF(AND($E892&lt;&gt;"",MAX($A$8:$A891)=0),1,IF(AND($E892&lt;&gt;"",MAX($A$8:$A891)&gt;0),MAX($A$8:$A891)+1,"")))</f>
        <v/>
      </c>
      <c r="B892" s="11">
        <v>885</v>
      </c>
      <c r="C892" s="19" t="str">
        <f t="shared" si="26"/>
        <v>EMPTY</v>
      </c>
      <c r="D892" s="3" t="str">
        <f>IF(C892="SHOW",CONCATENATE(Temp!T888,Temp!U888,",",Temp!V888,",",Temp!W888,Temp!X888),"")</f>
        <v/>
      </c>
      <c r="E892" s="7"/>
      <c r="F892" s="8" t="str">
        <f t="shared" si="27"/>
        <v/>
      </c>
    </row>
    <row r="893" spans="1:6" x14ac:dyDescent="0.25">
      <c r="A893" s="13" t="str">
        <f>IF(AND($E893="",MAX($A$8:$A892)=0),"",IF(AND($E893&lt;&gt;"",MAX($A$8:$A892)=0),1,IF(AND($E893&lt;&gt;"",MAX($A$8:$A892)&gt;0),MAX($A$8:$A892)+1,"")))</f>
        <v/>
      </c>
      <c r="B893" s="11">
        <v>886</v>
      </c>
      <c r="C893" s="19" t="str">
        <f t="shared" si="26"/>
        <v>EMPTY</v>
      </c>
      <c r="D893" s="3" t="str">
        <f>IF(C893="SHOW",CONCATENATE(Temp!T889,Temp!U889,",",Temp!V889,",",Temp!W889,Temp!X889),"")</f>
        <v/>
      </c>
      <c r="E893" s="7"/>
      <c r="F893" s="8" t="str">
        <f t="shared" si="27"/>
        <v/>
      </c>
    </row>
    <row r="894" spans="1:6" x14ac:dyDescent="0.25">
      <c r="A894" s="13" t="str">
        <f>IF(AND($E894="",MAX($A$8:$A893)=0),"",IF(AND($E894&lt;&gt;"",MAX($A$8:$A893)=0),1,IF(AND($E894&lt;&gt;"",MAX($A$8:$A893)&gt;0),MAX($A$8:$A893)+1,"")))</f>
        <v/>
      </c>
      <c r="B894" s="11">
        <v>887</v>
      </c>
      <c r="C894" s="19" t="str">
        <f t="shared" si="26"/>
        <v>EMPTY</v>
      </c>
      <c r="D894" s="3" t="str">
        <f>IF(C894="SHOW",CONCATENATE(Temp!T890,Temp!U890,",",Temp!V890,",",Temp!W890,Temp!X890),"")</f>
        <v/>
      </c>
      <c r="E894" s="7"/>
      <c r="F894" s="8" t="str">
        <f t="shared" si="27"/>
        <v/>
      </c>
    </row>
    <row r="895" spans="1:6" x14ac:dyDescent="0.25">
      <c r="A895" s="13" t="str">
        <f>IF(AND($E895="",MAX($A$8:$A894)=0),"",IF(AND($E895&lt;&gt;"",MAX($A$8:$A894)=0),1,IF(AND($E895&lt;&gt;"",MAX($A$8:$A894)&gt;0),MAX($A$8:$A894)+1,"")))</f>
        <v/>
      </c>
      <c r="B895" s="11">
        <v>888</v>
      </c>
      <c r="C895" s="19" t="str">
        <f t="shared" si="26"/>
        <v>EMPTY</v>
      </c>
      <c r="D895" s="3" t="str">
        <f>IF(C895="SHOW",CONCATENATE(Temp!T891,Temp!U891,",",Temp!V891,",",Temp!W891,Temp!X891),"")</f>
        <v/>
      </c>
      <c r="E895" s="7"/>
      <c r="F895" s="8" t="str">
        <f t="shared" si="27"/>
        <v/>
      </c>
    </row>
    <row r="896" spans="1:6" x14ac:dyDescent="0.25">
      <c r="A896" s="13" t="str">
        <f>IF(AND($E896="",MAX($A$8:$A895)=0),"",IF(AND($E896&lt;&gt;"",MAX($A$8:$A895)=0),1,IF(AND($E896&lt;&gt;"",MAX($A$8:$A895)&gt;0),MAX($A$8:$A895)+1,"")))</f>
        <v/>
      </c>
      <c r="B896" s="11">
        <v>889</v>
      </c>
      <c r="C896" s="19" t="str">
        <f t="shared" si="26"/>
        <v>EMPTY</v>
      </c>
      <c r="D896" s="3" t="str">
        <f>IF(C896="SHOW",CONCATENATE(Temp!T892,Temp!U892,",",Temp!V892,",",Temp!W892,Temp!X892),"")</f>
        <v/>
      </c>
      <c r="E896" s="7"/>
      <c r="F896" s="8" t="str">
        <f t="shared" si="27"/>
        <v/>
      </c>
    </row>
    <row r="897" spans="1:6" x14ac:dyDescent="0.25">
      <c r="A897" s="13" t="str">
        <f>IF(AND($E897="",MAX($A$8:$A896)=0),"",IF(AND($E897&lt;&gt;"",MAX($A$8:$A896)=0),1,IF(AND($E897&lt;&gt;"",MAX($A$8:$A896)&gt;0),MAX($A$8:$A896)+1,"")))</f>
        <v/>
      </c>
      <c r="B897" s="11">
        <v>890</v>
      </c>
      <c r="C897" s="19" t="str">
        <f t="shared" si="26"/>
        <v>EMPTY</v>
      </c>
      <c r="D897" s="3" t="str">
        <f>IF(C897="SHOW",CONCATENATE(Temp!T893,Temp!U893,",",Temp!V893,",",Temp!W893,Temp!X893),"")</f>
        <v/>
      </c>
      <c r="E897" s="7"/>
      <c r="F897" s="8" t="str">
        <f t="shared" si="27"/>
        <v/>
      </c>
    </row>
    <row r="898" spans="1:6" x14ac:dyDescent="0.25">
      <c r="A898" s="13" t="str">
        <f>IF(AND($E898="",MAX($A$8:$A897)=0),"",IF(AND($E898&lt;&gt;"",MAX($A$8:$A897)=0),1,IF(AND($E898&lt;&gt;"",MAX($A$8:$A897)&gt;0),MAX($A$8:$A897)+1,"")))</f>
        <v/>
      </c>
      <c r="B898" s="11">
        <v>891</v>
      </c>
      <c r="C898" s="19" t="str">
        <f t="shared" si="26"/>
        <v>EMPTY</v>
      </c>
      <c r="D898" s="3" t="str">
        <f>IF(C898="SHOW",CONCATENATE(Temp!T894,Temp!U894,",",Temp!V894,",",Temp!W894,Temp!X894),"")</f>
        <v/>
      </c>
      <c r="E898" s="7"/>
      <c r="F898" s="8" t="str">
        <f t="shared" si="27"/>
        <v/>
      </c>
    </row>
    <row r="899" spans="1:6" x14ac:dyDescent="0.25">
      <c r="A899" s="13" t="str">
        <f>IF(AND($E899="",MAX($A$8:$A898)=0),"",IF(AND($E899&lt;&gt;"",MAX($A$8:$A898)=0),1,IF(AND($E899&lt;&gt;"",MAX($A$8:$A898)&gt;0),MAX($A$8:$A898)+1,"")))</f>
        <v/>
      </c>
      <c r="B899" s="11">
        <v>892</v>
      </c>
      <c r="C899" s="19" t="str">
        <f t="shared" si="26"/>
        <v>EMPTY</v>
      </c>
      <c r="D899" s="3" t="str">
        <f>IF(C899="SHOW",CONCATENATE(Temp!T895,Temp!U895,",",Temp!V895,",",Temp!W895,Temp!X895),"")</f>
        <v/>
      </c>
      <c r="E899" s="7"/>
      <c r="F899" s="8" t="str">
        <f t="shared" si="27"/>
        <v/>
      </c>
    </row>
    <row r="900" spans="1:6" x14ac:dyDescent="0.25">
      <c r="A900" s="13" t="str">
        <f>IF(AND($E900="",MAX($A$8:$A899)=0),"",IF(AND($E900&lt;&gt;"",MAX($A$8:$A899)=0),1,IF(AND($E900&lt;&gt;"",MAX($A$8:$A899)&gt;0),MAX($A$8:$A899)+1,"")))</f>
        <v/>
      </c>
      <c r="B900" s="11">
        <v>893</v>
      </c>
      <c r="C900" s="19" t="str">
        <f t="shared" si="26"/>
        <v>EMPTY</v>
      </c>
      <c r="D900" s="3" t="str">
        <f>IF(C900="SHOW",CONCATENATE(Temp!T896,Temp!U896,",",Temp!V896,",",Temp!W896,Temp!X896),"")</f>
        <v/>
      </c>
      <c r="E900" s="7"/>
      <c r="F900" s="8" t="str">
        <f t="shared" si="27"/>
        <v/>
      </c>
    </row>
    <row r="901" spans="1:6" x14ac:dyDescent="0.25">
      <c r="A901" s="13" t="str">
        <f>IF(AND($E901="",MAX($A$8:$A900)=0),"",IF(AND($E901&lt;&gt;"",MAX($A$8:$A900)=0),1,IF(AND($E901&lt;&gt;"",MAX($A$8:$A900)&gt;0),MAX($A$8:$A900)+1,"")))</f>
        <v/>
      </c>
      <c r="B901" s="11">
        <v>894</v>
      </c>
      <c r="C901" s="19" t="str">
        <f t="shared" si="26"/>
        <v>EMPTY</v>
      </c>
      <c r="D901" s="3" t="str">
        <f>IF(C901="SHOW",CONCATENATE(Temp!T897,Temp!U897,",",Temp!V897,",",Temp!W897,Temp!X897),"")</f>
        <v/>
      </c>
      <c r="E901" s="7"/>
      <c r="F901" s="8" t="str">
        <f t="shared" si="27"/>
        <v/>
      </c>
    </row>
    <row r="902" spans="1:6" x14ac:dyDescent="0.25">
      <c r="A902" s="13" t="str">
        <f>IF(AND($E902="",MAX($A$8:$A901)=0),"",IF(AND($E902&lt;&gt;"",MAX($A$8:$A901)=0),1,IF(AND($E902&lt;&gt;"",MAX($A$8:$A901)&gt;0),MAX($A$8:$A901)+1,"")))</f>
        <v/>
      </c>
      <c r="B902" s="11">
        <v>895</v>
      </c>
      <c r="C902" s="19" t="str">
        <f t="shared" si="26"/>
        <v>EMPTY</v>
      </c>
      <c r="D902" s="3" t="str">
        <f>IF(C902="SHOW",CONCATENATE(Temp!T898,Temp!U898,",",Temp!V898,",",Temp!W898,Temp!X898),"")</f>
        <v/>
      </c>
      <c r="E902" s="7"/>
      <c r="F902" s="8" t="str">
        <f t="shared" si="27"/>
        <v/>
      </c>
    </row>
    <row r="903" spans="1:6" x14ac:dyDescent="0.25">
      <c r="A903" s="13" t="str">
        <f>IF(AND($E903="",MAX($A$8:$A902)=0),"",IF(AND($E903&lt;&gt;"",MAX($A$8:$A902)=0),1,IF(AND($E903&lt;&gt;"",MAX($A$8:$A902)&gt;0),MAX($A$8:$A902)+1,"")))</f>
        <v/>
      </c>
      <c r="B903" s="11">
        <v>896</v>
      </c>
      <c r="C903" s="19" t="str">
        <f t="shared" si="26"/>
        <v>EMPTY</v>
      </c>
      <c r="D903" s="3" t="str">
        <f>IF(C903="SHOW",CONCATENATE(Temp!T899,Temp!U899,",",Temp!V899,",",Temp!W899,Temp!X899),"")</f>
        <v/>
      </c>
      <c r="E903" s="7"/>
      <c r="F903" s="8" t="str">
        <f t="shared" si="27"/>
        <v/>
      </c>
    </row>
    <row r="904" spans="1:6" x14ac:dyDescent="0.25">
      <c r="A904" s="13" t="str">
        <f>IF(AND($E904="",MAX($A$8:$A903)=0),"",IF(AND($E904&lt;&gt;"",MAX($A$8:$A903)=0),1,IF(AND($E904&lt;&gt;"",MAX($A$8:$A903)&gt;0),MAX($A$8:$A903)+1,"")))</f>
        <v/>
      </c>
      <c r="B904" s="11">
        <v>897</v>
      </c>
      <c r="C904" s="19" t="str">
        <f t="shared" si="26"/>
        <v>EMPTY</v>
      </c>
      <c r="D904" s="3" t="str">
        <f>IF(C904="SHOW",CONCATENATE(Temp!T900,Temp!U900,",",Temp!V900,",",Temp!W900,Temp!X900),"")</f>
        <v/>
      </c>
      <c r="E904" s="7"/>
      <c r="F904" s="8" t="str">
        <f t="shared" si="27"/>
        <v/>
      </c>
    </row>
    <row r="905" spans="1:6" x14ac:dyDescent="0.25">
      <c r="A905" s="13" t="str">
        <f>IF(AND($E905="",MAX($A$8:$A904)=0),"",IF(AND($E905&lt;&gt;"",MAX($A$8:$A904)=0),1,IF(AND($E905&lt;&gt;"",MAX($A$8:$A904)&gt;0),MAX($A$8:$A904)+1,"")))</f>
        <v/>
      </c>
      <c r="B905" s="11">
        <v>898</v>
      </c>
      <c r="C905" s="19" t="str">
        <f t="shared" ref="C905:C968" si="28">IF(E905="","EMPTY",IF(MID(E905,1,9)&lt;&gt;"Dialogue:","HIDE",IF(MID(E905,1,9)="Dialogue:","SHOW","")))</f>
        <v>EMPTY</v>
      </c>
      <c r="D905" s="3" t="str">
        <f>IF(C905="SHOW",CONCATENATE(Temp!T901,Temp!U901,",",Temp!V901,",",Temp!W901,Temp!X901),"")</f>
        <v/>
      </c>
      <c r="E905" s="7"/>
      <c r="F905" s="8" t="str">
        <f t="shared" ref="F905:F968" si="29">$D905</f>
        <v/>
      </c>
    </row>
    <row r="906" spans="1:6" x14ac:dyDescent="0.25">
      <c r="A906" s="13" t="str">
        <f>IF(AND($E906="",MAX($A$8:$A905)=0),"",IF(AND($E906&lt;&gt;"",MAX($A$8:$A905)=0),1,IF(AND($E906&lt;&gt;"",MAX($A$8:$A905)&gt;0),MAX($A$8:$A905)+1,"")))</f>
        <v/>
      </c>
      <c r="B906" s="11">
        <v>899</v>
      </c>
      <c r="C906" s="19" t="str">
        <f t="shared" si="28"/>
        <v>EMPTY</v>
      </c>
      <c r="D906" s="3" t="str">
        <f>IF(C906="SHOW",CONCATENATE(Temp!T902,Temp!U902,",",Temp!V902,",",Temp!W902,Temp!X902),"")</f>
        <v/>
      </c>
      <c r="E906" s="7"/>
      <c r="F906" s="8" t="str">
        <f t="shared" si="29"/>
        <v/>
      </c>
    </row>
    <row r="907" spans="1:6" x14ac:dyDescent="0.25">
      <c r="A907" s="13" t="str">
        <f>IF(AND($E907="",MAX($A$8:$A906)=0),"",IF(AND($E907&lt;&gt;"",MAX($A$8:$A906)=0),1,IF(AND($E907&lt;&gt;"",MAX($A$8:$A906)&gt;0),MAX($A$8:$A906)+1,"")))</f>
        <v/>
      </c>
      <c r="B907" s="11">
        <v>900</v>
      </c>
      <c r="C907" s="19" t="str">
        <f t="shared" si="28"/>
        <v>EMPTY</v>
      </c>
      <c r="D907" s="3" t="str">
        <f>IF(C907="SHOW",CONCATENATE(Temp!T903,Temp!U903,",",Temp!V903,",",Temp!W903,Temp!X903),"")</f>
        <v/>
      </c>
      <c r="E907" s="7"/>
      <c r="F907" s="8" t="str">
        <f t="shared" si="29"/>
        <v/>
      </c>
    </row>
    <row r="908" spans="1:6" x14ac:dyDescent="0.25">
      <c r="A908" s="13" t="str">
        <f>IF(AND($E908="",MAX($A$8:$A907)=0),"",IF(AND($E908&lt;&gt;"",MAX($A$8:$A907)=0),1,IF(AND($E908&lt;&gt;"",MAX($A$8:$A907)&gt;0),MAX($A$8:$A907)+1,"")))</f>
        <v/>
      </c>
      <c r="B908" s="11">
        <v>901</v>
      </c>
      <c r="C908" s="19" t="str">
        <f t="shared" si="28"/>
        <v>EMPTY</v>
      </c>
      <c r="D908" s="3" t="str">
        <f>IF(C908="SHOW",CONCATENATE(Temp!T904,Temp!U904,",",Temp!V904,",",Temp!W904,Temp!X904),"")</f>
        <v/>
      </c>
      <c r="E908" s="7"/>
      <c r="F908" s="8" t="str">
        <f t="shared" si="29"/>
        <v/>
      </c>
    </row>
    <row r="909" spans="1:6" x14ac:dyDescent="0.25">
      <c r="A909" s="13" t="str">
        <f>IF(AND($E909="",MAX($A$8:$A908)=0),"",IF(AND($E909&lt;&gt;"",MAX($A$8:$A908)=0),1,IF(AND($E909&lt;&gt;"",MAX($A$8:$A908)&gt;0),MAX($A$8:$A908)+1,"")))</f>
        <v/>
      </c>
      <c r="B909" s="11">
        <v>902</v>
      </c>
      <c r="C909" s="19" t="str">
        <f t="shared" si="28"/>
        <v>EMPTY</v>
      </c>
      <c r="D909" s="3" t="str">
        <f>IF(C909="SHOW",CONCATENATE(Temp!T905,Temp!U905,",",Temp!V905,",",Temp!W905,Temp!X905),"")</f>
        <v/>
      </c>
      <c r="E909" s="7"/>
      <c r="F909" s="8" t="str">
        <f t="shared" si="29"/>
        <v/>
      </c>
    </row>
    <row r="910" spans="1:6" x14ac:dyDescent="0.25">
      <c r="A910" s="13" t="str">
        <f>IF(AND($E910="",MAX($A$8:$A909)=0),"",IF(AND($E910&lt;&gt;"",MAX($A$8:$A909)=0),1,IF(AND($E910&lt;&gt;"",MAX($A$8:$A909)&gt;0),MAX($A$8:$A909)+1,"")))</f>
        <v/>
      </c>
      <c r="B910" s="11">
        <v>903</v>
      </c>
      <c r="C910" s="19" t="str">
        <f t="shared" si="28"/>
        <v>EMPTY</v>
      </c>
      <c r="D910" s="3" t="str">
        <f>IF(C910="SHOW",CONCATENATE(Temp!T906,Temp!U906,",",Temp!V906,",",Temp!W906,Temp!X906),"")</f>
        <v/>
      </c>
      <c r="E910" s="7"/>
      <c r="F910" s="8" t="str">
        <f t="shared" si="29"/>
        <v/>
      </c>
    </row>
    <row r="911" spans="1:6" x14ac:dyDescent="0.25">
      <c r="A911" s="13" t="str">
        <f>IF(AND($E911="",MAX($A$8:$A910)=0),"",IF(AND($E911&lt;&gt;"",MAX($A$8:$A910)=0),1,IF(AND($E911&lt;&gt;"",MAX($A$8:$A910)&gt;0),MAX($A$8:$A910)+1,"")))</f>
        <v/>
      </c>
      <c r="B911" s="11">
        <v>904</v>
      </c>
      <c r="C911" s="19" t="str">
        <f t="shared" si="28"/>
        <v>EMPTY</v>
      </c>
      <c r="D911" s="3" t="str">
        <f>IF(C911="SHOW",CONCATENATE(Temp!T907,Temp!U907,",",Temp!V907,",",Temp!W907,Temp!X907),"")</f>
        <v/>
      </c>
      <c r="E911" s="7"/>
      <c r="F911" s="8" t="str">
        <f t="shared" si="29"/>
        <v/>
      </c>
    </row>
    <row r="912" spans="1:6" x14ac:dyDescent="0.25">
      <c r="A912" s="13" t="str">
        <f>IF(AND($E912="",MAX($A$8:$A911)=0),"",IF(AND($E912&lt;&gt;"",MAX($A$8:$A911)=0),1,IF(AND($E912&lt;&gt;"",MAX($A$8:$A911)&gt;0),MAX($A$8:$A911)+1,"")))</f>
        <v/>
      </c>
      <c r="B912" s="11">
        <v>905</v>
      </c>
      <c r="C912" s="19" t="str">
        <f t="shared" si="28"/>
        <v>EMPTY</v>
      </c>
      <c r="D912" s="3" t="str">
        <f>IF(C912="SHOW",CONCATENATE(Temp!T908,Temp!U908,",",Temp!V908,",",Temp!W908,Temp!X908),"")</f>
        <v/>
      </c>
      <c r="E912" s="7"/>
      <c r="F912" s="8" t="str">
        <f t="shared" si="29"/>
        <v/>
      </c>
    </row>
    <row r="913" spans="1:6" x14ac:dyDescent="0.25">
      <c r="A913" s="13" t="str">
        <f>IF(AND($E913="",MAX($A$8:$A912)=0),"",IF(AND($E913&lt;&gt;"",MAX($A$8:$A912)=0),1,IF(AND($E913&lt;&gt;"",MAX($A$8:$A912)&gt;0),MAX($A$8:$A912)+1,"")))</f>
        <v/>
      </c>
      <c r="B913" s="11">
        <v>906</v>
      </c>
      <c r="C913" s="19" t="str">
        <f t="shared" si="28"/>
        <v>EMPTY</v>
      </c>
      <c r="D913" s="3" t="str">
        <f>IF(C913="SHOW",CONCATENATE(Temp!T909,Temp!U909,",",Temp!V909,",",Temp!W909,Temp!X909),"")</f>
        <v/>
      </c>
      <c r="E913" s="7"/>
      <c r="F913" s="8" t="str">
        <f t="shared" si="29"/>
        <v/>
      </c>
    </row>
    <row r="914" spans="1:6" x14ac:dyDescent="0.25">
      <c r="A914" s="13" t="str">
        <f>IF(AND($E914="",MAX($A$8:$A913)=0),"",IF(AND($E914&lt;&gt;"",MAX($A$8:$A913)=0),1,IF(AND($E914&lt;&gt;"",MAX($A$8:$A913)&gt;0),MAX($A$8:$A913)+1,"")))</f>
        <v/>
      </c>
      <c r="B914" s="11">
        <v>907</v>
      </c>
      <c r="C914" s="19" t="str">
        <f t="shared" si="28"/>
        <v>EMPTY</v>
      </c>
      <c r="D914" s="3" t="str">
        <f>IF(C914="SHOW",CONCATENATE(Temp!T910,Temp!U910,",",Temp!V910,",",Temp!W910,Temp!X910),"")</f>
        <v/>
      </c>
      <c r="E914" s="7"/>
      <c r="F914" s="8" t="str">
        <f t="shared" si="29"/>
        <v/>
      </c>
    </row>
    <row r="915" spans="1:6" x14ac:dyDescent="0.25">
      <c r="A915" s="13" t="str">
        <f>IF(AND($E915="",MAX($A$8:$A914)=0),"",IF(AND($E915&lt;&gt;"",MAX($A$8:$A914)=0),1,IF(AND($E915&lt;&gt;"",MAX($A$8:$A914)&gt;0),MAX($A$8:$A914)+1,"")))</f>
        <v/>
      </c>
      <c r="B915" s="11">
        <v>908</v>
      </c>
      <c r="C915" s="19" t="str">
        <f t="shared" si="28"/>
        <v>EMPTY</v>
      </c>
      <c r="D915" s="3" t="str">
        <f>IF(C915="SHOW",CONCATENATE(Temp!T911,Temp!U911,",",Temp!V911,",",Temp!W911,Temp!X911),"")</f>
        <v/>
      </c>
      <c r="E915" s="7"/>
      <c r="F915" s="8" t="str">
        <f t="shared" si="29"/>
        <v/>
      </c>
    </row>
    <row r="916" spans="1:6" x14ac:dyDescent="0.25">
      <c r="A916" s="13" t="str">
        <f>IF(AND($E916="",MAX($A$8:$A915)=0),"",IF(AND($E916&lt;&gt;"",MAX($A$8:$A915)=0),1,IF(AND($E916&lt;&gt;"",MAX($A$8:$A915)&gt;0),MAX($A$8:$A915)+1,"")))</f>
        <v/>
      </c>
      <c r="B916" s="11">
        <v>909</v>
      </c>
      <c r="C916" s="19" t="str">
        <f t="shared" si="28"/>
        <v>EMPTY</v>
      </c>
      <c r="D916" s="3" t="str">
        <f>IF(C916="SHOW",CONCATENATE(Temp!T912,Temp!U912,",",Temp!V912,",",Temp!W912,Temp!X912),"")</f>
        <v/>
      </c>
      <c r="E916" s="7"/>
      <c r="F916" s="8" t="str">
        <f t="shared" si="29"/>
        <v/>
      </c>
    </row>
    <row r="917" spans="1:6" x14ac:dyDescent="0.25">
      <c r="A917" s="13" t="str">
        <f>IF(AND($E917="",MAX($A$8:$A916)=0),"",IF(AND($E917&lt;&gt;"",MAX($A$8:$A916)=0),1,IF(AND($E917&lt;&gt;"",MAX($A$8:$A916)&gt;0),MAX($A$8:$A916)+1,"")))</f>
        <v/>
      </c>
      <c r="B917" s="11">
        <v>910</v>
      </c>
      <c r="C917" s="19" t="str">
        <f t="shared" si="28"/>
        <v>EMPTY</v>
      </c>
      <c r="D917" s="3" t="str">
        <f>IF(C917="SHOW",CONCATENATE(Temp!T913,Temp!U913,",",Temp!V913,",",Temp!W913,Temp!X913),"")</f>
        <v/>
      </c>
      <c r="E917" s="7"/>
      <c r="F917" s="8" t="str">
        <f t="shared" si="29"/>
        <v/>
      </c>
    </row>
    <row r="918" spans="1:6" x14ac:dyDescent="0.25">
      <c r="A918" s="13" t="str">
        <f>IF(AND($E918="",MAX($A$8:$A917)=0),"",IF(AND($E918&lt;&gt;"",MAX($A$8:$A917)=0),1,IF(AND($E918&lt;&gt;"",MAX($A$8:$A917)&gt;0),MAX($A$8:$A917)+1,"")))</f>
        <v/>
      </c>
      <c r="B918" s="11">
        <v>911</v>
      </c>
      <c r="C918" s="19" t="str">
        <f t="shared" si="28"/>
        <v>EMPTY</v>
      </c>
      <c r="D918" s="3" t="str">
        <f>IF(C918="SHOW",CONCATENATE(Temp!T914,Temp!U914,",",Temp!V914,",",Temp!W914,Temp!X914),"")</f>
        <v/>
      </c>
      <c r="E918" s="7"/>
      <c r="F918" s="8" t="str">
        <f t="shared" si="29"/>
        <v/>
      </c>
    </row>
    <row r="919" spans="1:6" x14ac:dyDescent="0.25">
      <c r="A919" s="13" t="str">
        <f>IF(AND($E919="",MAX($A$8:$A918)=0),"",IF(AND($E919&lt;&gt;"",MAX($A$8:$A918)=0),1,IF(AND($E919&lt;&gt;"",MAX($A$8:$A918)&gt;0),MAX($A$8:$A918)+1,"")))</f>
        <v/>
      </c>
      <c r="B919" s="11">
        <v>912</v>
      </c>
      <c r="C919" s="19" t="str">
        <f t="shared" si="28"/>
        <v>EMPTY</v>
      </c>
      <c r="D919" s="3" t="str">
        <f>IF(C919="SHOW",CONCATENATE(Temp!T915,Temp!U915,",",Temp!V915,",",Temp!W915,Temp!X915),"")</f>
        <v/>
      </c>
      <c r="E919" s="7"/>
      <c r="F919" s="8" t="str">
        <f t="shared" si="29"/>
        <v/>
      </c>
    </row>
    <row r="920" spans="1:6" x14ac:dyDescent="0.25">
      <c r="A920" s="13" t="str">
        <f>IF(AND($E920="",MAX($A$8:$A919)=0),"",IF(AND($E920&lt;&gt;"",MAX($A$8:$A919)=0),1,IF(AND($E920&lt;&gt;"",MAX($A$8:$A919)&gt;0),MAX($A$8:$A919)+1,"")))</f>
        <v/>
      </c>
      <c r="B920" s="11">
        <v>913</v>
      </c>
      <c r="C920" s="19" t="str">
        <f t="shared" si="28"/>
        <v>EMPTY</v>
      </c>
      <c r="D920" s="3" t="str">
        <f>IF(C920="SHOW",CONCATENATE(Temp!T916,Temp!U916,",",Temp!V916,",",Temp!W916,Temp!X916),"")</f>
        <v/>
      </c>
      <c r="E920" s="7"/>
      <c r="F920" s="8" t="str">
        <f t="shared" si="29"/>
        <v/>
      </c>
    </row>
    <row r="921" spans="1:6" x14ac:dyDescent="0.25">
      <c r="A921" s="13" t="str">
        <f>IF(AND($E921="",MAX($A$8:$A920)=0),"",IF(AND($E921&lt;&gt;"",MAX($A$8:$A920)=0),1,IF(AND($E921&lt;&gt;"",MAX($A$8:$A920)&gt;0),MAX($A$8:$A920)+1,"")))</f>
        <v/>
      </c>
      <c r="B921" s="11">
        <v>914</v>
      </c>
      <c r="C921" s="19" t="str">
        <f t="shared" si="28"/>
        <v>EMPTY</v>
      </c>
      <c r="D921" s="3" t="str">
        <f>IF(C921="SHOW",CONCATENATE(Temp!T917,Temp!U917,",",Temp!V917,",",Temp!W917,Temp!X917),"")</f>
        <v/>
      </c>
      <c r="E921" s="7"/>
      <c r="F921" s="8" t="str">
        <f t="shared" si="29"/>
        <v/>
      </c>
    </row>
    <row r="922" spans="1:6" x14ac:dyDescent="0.25">
      <c r="A922" s="13" t="str">
        <f>IF(AND($E922="",MAX($A$8:$A921)=0),"",IF(AND($E922&lt;&gt;"",MAX($A$8:$A921)=0),1,IF(AND($E922&lt;&gt;"",MAX($A$8:$A921)&gt;0),MAX($A$8:$A921)+1,"")))</f>
        <v/>
      </c>
      <c r="B922" s="11">
        <v>915</v>
      </c>
      <c r="C922" s="19" t="str">
        <f t="shared" si="28"/>
        <v>EMPTY</v>
      </c>
      <c r="D922" s="3" t="str">
        <f>IF(C922="SHOW",CONCATENATE(Temp!T918,Temp!U918,",",Temp!V918,",",Temp!W918,Temp!X918),"")</f>
        <v/>
      </c>
      <c r="E922" s="7"/>
      <c r="F922" s="8" t="str">
        <f t="shared" si="29"/>
        <v/>
      </c>
    </row>
    <row r="923" spans="1:6" x14ac:dyDescent="0.25">
      <c r="A923" s="13" t="str">
        <f>IF(AND($E923="",MAX($A$8:$A922)=0),"",IF(AND($E923&lt;&gt;"",MAX($A$8:$A922)=0),1,IF(AND($E923&lt;&gt;"",MAX($A$8:$A922)&gt;0),MAX($A$8:$A922)+1,"")))</f>
        <v/>
      </c>
      <c r="B923" s="11">
        <v>916</v>
      </c>
      <c r="C923" s="19" t="str">
        <f t="shared" si="28"/>
        <v>EMPTY</v>
      </c>
      <c r="D923" s="3" t="str">
        <f>IF(C923="SHOW",CONCATENATE(Temp!T919,Temp!U919,",",Temp!V919,",",Temp!W919,Temp!X919),"")</f>
        <v/>
      </c>
      <c r="E923" s="7"/>
      <c r="F923" s="8" t="str">
        <f t="shared" si="29"/>
        <v/>
      </c>
    </row>
    <row r="924" spans="1:6" x14ac:dyDescent="0.25">
      <c r="A924" s="13" t="str">
        <f>IF(AND($E924="",MAX($A$8:$A923)=0),"",IF(AND($E924&lt;&gt;"",MAX($A$8:$A923)=0),1,IF(AND($E924&lt;&gt;"",MAX($A$8:$A923)&gt;0),MAX($A$8:$A923)+1,"")))</f>
        <v/>
      </c>
      <c r="B924" s="11">
        <v>917</v>
      </c>
      <c r="C924" s="19" t="str">
        <f t="shared" si="28"/>
        <v>EMPTY</v>
      </c>
      <c r="D924" s="3" t="str">
        <f>IF(C924="SHOW",CONCATENATE(Temp!T920,Temp!U920,",",Temp!V920,",",Temp!W920,Temp!X920),"")</f>
        <v/>
      </c>
      <c r="E924" s="7"/>
      <c r="F924" s="8" t="str">
        <f t="shared" si="29"/>
        <v/>
      </c>
    </row>
    <row r="925" spans="1:6" x14ac:dyDescent="0.25">
      <c r="A925" s="13" t="str">
        <f>IF(AND($E925="",MAX($A$8:$A924)=0),"",IF(AND($E925&lt;&gt;"",MAX($A$8:$A924)=0),1,IF(AND($E925&lt;&gt;"",MAX($A$8:$A924)&gt;0),MAX($A$8:$A924)+1,"")))</f>
        <v/>
      </c>
      <c r="B925" s="11">
        <v>918</v>
      </c>
      <c r="C925" s="19" t="str">
        <f t="shared" si="28"/>
        <v>EMPTY</v>
      </c>
      <c r="D925" s="3" t="str">
        <f>IF(C925="SHOW",CONCATENATE(Temp!T921,Temp!U921,",",Temp!V921,",",Temp!W921,Temp!X921),"")</f>
        <v/>
      </c>
      <c r="E925" s="7"/>
      <c r="F925" s="8" t="str">
        <f t="shared" si="29"/>
        <v/>
      </c>
    </row>
    <row r="926" spans="1:6" x14ac:dyDescent="0.25">
      <c r="A926" s="13" t="str">
        <f>IF(AND($E926="",MAX($A$8:$A925)=0),"",IF(AND($E926&lt;&gt;"",MAX($A$8:$A925)=0),1,IF(AND($E926&lt;&gt;"",MAX($A$8:$A925)&gt;0),MAX($A$8:$A925)+1,"")))</f>
        <v/>
      </c>
      <c r="B926" s="11">
        <v>919</v>
      </c>
      <c r="C926" s="19" t="str">
        <f t="shared" si="28"/>
        <v>EMPTY</v>
      </c>
      <c r="D926" s="3" t="str">
        <f>IF(C926="SHOW",CONCATENATE(Temp!T922,Temp!U922,",",Temp!V922,",",Temp!W922,Temp!X922),"")</f>
        <v/>
      </c>
      <c r="E926" s="7"/>
      <c r="F926" s="8" t="str">
        <f t="shared" si="29"/>
        <v/>
      </c>
    </row>
    <row r="927" spans="1:6" x14ac:dyDescent="0.25">
      <c r="A927" s="13" t="str">
        <f>IF(AND($E927="",MAX($A$8:$A926)=0),"",IF(AND($E927&lt;&gt;"",MAX($A$8:$A926)=0),1,IF(AND($E927&lt;&gt;"",MAX($A$8:$A926)&gt;0),MAX($A$8:$A926)+1,"")))</f>
        <v/>
      </c>
      <c r="B927" s="11">
        <v>920</v>
      </c>
      <c r="C927" s="19" t="str">
        <f t="shared" si="28"/>
        <v>EMPTY</v>
      </c>
      <c r="D927" s="3" t="str">
        <f>IF(C927="SHOW",CONCATENATE(Temp!T923,Temp!U923,",",Temp!V923,",",Temp!W923,Temp!X923),"")</f>
        <v/>
      </c>
      <c r="E927" s="7"/>
      <c r="F927" s="8" t="str">
        <f t="shared" si="29"/>
        <v/>
      </c>
    </row>
    <row r="928" spans="1:6" x14ac:dyDescent="0.25">
      <c r="A928" s="13" t="str">
        <f>IF(AND($E928="",MAX($A$8:$A927)=0),"",IF(AND($E928&lt;&gt;"",MAX($A$8:$A927)=0),1,IF(AND($E928&lt;&gt;"",MAX($A$8:$A927)&gt;0),MAX($A$8:$A927)+1,"")))</f>
        <v/>
      </c>
      <c r="B928" s="11">
        <v>921</v>
      </c>
      <c r="C928" s="19" t="str">
        <f t="shared" si="28"/>
        <v>EMPTY</v>
      </c>
      <c r="D928" s="3" t="str">
        <f>IF(C928="SHOW",CONCATENATE(Temp!T924,Temp!U924,",",Temp!V924,",",Temp!W924,Temp!X924),"")</f>
        <v/>
      </c>
      <c r="E928" s="7"/>
      <c r="F928" s="8" t="str">
        <f t="shared" si="29"/>
        <v/>
      </c>
    </row>
    <row r="929" spans="1:6" x14ac:dyDescent="0.25">
      <c r="A929" s="13" t="str">
        <f>IF(AND($E929="",MAX($A$8:$A928)=0),"",IF(AND($E929&lt;&gt;"",MAX($A$8:$A928)=0),1,IF(AND($E929&lt;&gt;"",MAX($A$8:$A928)&gt;0),MAX($A$8:$A928)+1,"")))</f>
        <v/>
      </c>
      <c r="B929" s="11">
        <v>922</v>
      </c>
      <c r="C929" s="19" t="str">
        <f t="shared" si="28"/>
        <v>EMPTY</v>
      </c>
      <c r="D929" s="3" t="str">
        <f>IF(C929="SHOW",CONCATENATE(Temp!T925,Temp!U925,",",Temp!V925,",",Temp!W925,Temp!X925),"")</f>
        <v/>
      </c>
      <c r="E929" s="7"/>
      <c r="F929" s="8" t="str">
        <f t="shared" si="29"/>
        <v/>
      </c>
    </row>
    <row r="930" spans="1:6" x14ac:dyDescent="0.25">
      <c r="A930" s="13" t="str">
        <f>IF(AND($E930="",MAX($A$8:$A929)=0),"",IF(AND($E930&lt;&gt;"",MAX($A$8:$A929)=0),1,IF(AND($E930&lt;&gt;"",MAX($A$8:$A929)&gt;0),MAX($A$8:$A929)+1,"")))</f>
        <v/>
      </c>
      <c r="B930" s="11">
        <v>923</v>
      </c>
      <c r="C930" s="19" t="str">
        <f t="shared" si="28"/>
        <v>EMPTY</v>
      </c>
      <c r="D930" s="3" t="str">
        <f>IF(C930="SHOW",CONCATENATE(Temp!T926,Temp!U926,",",Temp!V926,",",Temp!W926,Temp!X926),"")</f>
        <v/>
      </c>
      <c r="E930" s="7"/>
      <c r="F930" s="8" t="str">
        <f t="shared" si="29"/>
        <v/>
      </c>
    </row>
    <row r="931" spans="1:6" x14ac:dyDescent="0.25">
      <c r="A931" s="13" t="str">
        <f>IF(AND($E931="",MAX($A$8:$A930)=0),"",IF(AND($E931&lt;&gt;"",MAX($A$8:$A930)=0),1,IF(AND($E931&lt;&gt;"",MAX($A$8:$A930)&gt;0),MAX($A$8:$A930)+1,"")))</f>
        <v/>
      </c>
      <c r="B931" s="11">
        <v>924</v>
      </c>
      <c r="C931" s="19" t="str">
        <f t="shared" si="28"/>
        <v>EMPTY</v>
      </c>
      <c r="D931" s="3" t="str">
        <f>IF(C931="SHOW",CONCATENATE(Temp!T927,Temp!U927,",",Temp!V927,",",Temp!W927,Temp!X927),"")</f>
        <v/>
      </c>
      <c r="E931" s="7"/>
      <c r="F931" s="8" t="str">
        <f t="shared" si="29"/>
        <v/>
      </c>
    </row>
    <row r="932" spans="1:6" x14ac:dyDescent="0.25">
      <c r="A932" s="13" t="str">
        <f>IF(AND($E932="",MAX($A$8:$A931)=0),"",IF(AND($E932&lt;&gt;"",MAX($A$8:$A931)=0),1,IF(AND($E932&lt;&gt;"",MAX($A$8:$A931)&gt;0),MAX($A$8:$A931)+1,"")))</f>
        <v/>
      </c>
      <c r="B932" s="11">
        <v>925</v>
      </c>
      <c r="C932" s="19" t="str">
        <f t="shared" si="28"/>
        <v>EMPTY</v>
      </c>
      <c r="D932" s="3" t="str">
        <f>IF(C932="SHOW",CONCATENATE(Temp!T928,Temp!U928,",",Temp!V928,",",Temp!W928,Temp!X928),"")</f>
        <v/>
      </c>
      <c r="E932" s="7"/>
      <c r="F932" s="8" t="str">
        <f t="shared" si="29"/>
        <v/>
      </c>
    </row>
    <row r="933" spans="1:6" x14ac:dyDescent="0.25">
      <c r="A933" s="13" t="str">
        <f>IF(AND($E933="",MAX($A$8:$A932)=0),"",IF(AND($E933&lt;&gt;"",MAX($A$8:$A932)=0),1,IF(AND($E933&lt;&gt;"",MAX($A$8:$A932)&gt;0),MAX($A$8:$A932)+1,"")))</f>
        <v/>
      </c>
      <c r="B933" s="11">
        <v>926</v>
      </c>
      <c r="C933" s="19" t="str">
        <f t="shared" si="28"/>
        <v>EMPTY</v>
      </c>
      <c r="D933" s="3" t="str">
        <f>IF(C933="SHOW",CONCATENATE(Temp!T929,Temp!U929,",",Temp!V929,",",Temp!W929,Temp!X929),"")</f>
        <v/>
      </c>
      <c r="E933" s="7"/>
      <c r="F933" s="8" t="str">
        <f t="shared" si="29"/>
        <v/>
      </c>
    </row>
    <row r="934" spans="1:6" x14ac:dyDescent="0.25">
      <c r="A934" s="13" t="str">
        <f>IF(AND($E934="",MAX($A$8:$A933)=0),"",IF(AND($E934&lt;&gt;"",MAX($A$8:$A933)=0),1,IF(AND($E934&lt;&gt;"",MAX($A$8:$A933)&gt;0),MAX($A$8:$A933)+1,"")))</f>
        <v/>
      </c>
      <c r="B934" s="11">
        <v>927</v>
      </c>
      <c r="C934" s="19" t="str">
        <f t="shared" si="28"/>
        <v>EMPTY</v>
      </c>
      <c r="D934" s="3" t="str">
        <f>IF(C934="SHOW",CONCATENATE(Temp!T930,Temp!U930,",",Temp!V930,",",Temp!W930,Temp!X930),"")</f>
        <v/>
      </c>
      <c r="E934" s="7"/>
      <c r="F934" s="8" t="str">
        <f t="shared" si="29"/>
        <v/>
      </c>
    </row>
    <row r="935" spans="1:6" x14ac:dyDescent="0.25">
      <c r="A935" s="13" t="str">
        <f>IF(AND($E935="",MAX($A$8:$A934)=0),"",IF(AND($E935&lt;&gt;"",MAX($A$8:$A934)=0),1,IF(AND($E935&lt;&gt;"",MAX($A$8:$A934)&gt;0),MAX($A$8:$A934)+1,"")))</f>
        <v/>
      </c>
      <c r="B935" s="11">
        <v>928</v>
      </c>
      <c r="C935" s="19" t="str">
        <f t="shared" si="28"/>
        <v>EMPTY</v>
      </c>
      <c r="D935" s="3" t="str">
        <f>IF(C935="SHOW",CONCATENATE(Temp!T931,Temp!U931,",",Temp!V931,",",Temp!W931,Temp!X931),"")</f>
        <v/>
      </c>
      <c r="E935" s="7"/>
      <c r="F935" s="8" t="str">
        <f t="shared" si="29"/>
        <v/>
      </c>
    </row>
    <row r="936" spans="1:6" x14ac:dyDescent="0.25">
      <c r="A936" s="13" t="str">
        <f>IF(AND($E936="",MAX($A$8:$A935)=0),"",IF(AND($E936&lt;&gt;"",MAX($A$8:$A935)=0),1,IF(AND($E936&lt;&gt;"",MAX($A$8:$A935)&gt;0),MAX($A$8:$A935)+1,"")))</f>
        <v/>
      </c>
      <c r="B936" s="11">
        <v>929</v>
      </c>
      <c r="C936" s="19" t="str">
        <f t="shared" si="28"/>
        <v>EMPTY</v>
      </c>
      <c r="D936" s="3" t="str">
        <f>IF(C936="SHOW",CONCATENATE(Temp!T932,Temp!U932,",",Temp!V932,",",Temp!W932,Temp!X932),"")</f>
        <v/>
      </c>
      <c r="E936" s="7"/>
      <c r="F936" s="8" t="str">
        <f t="shared" si="29"/>
        <v/>
      </c>
    </row>
    <row r="937" spans="1:6" x14ac:dyDescent="0.25">
      <c r="A937" s="13" t="str">
        <f>IF(AND($E937="",MAX($A$8:$A936)=0),"",IF(AND($E937&lt;&gt;"",MAX($A$8:$A936)=0),1,IF(AND($E937&lt;&gt;"",MAX($A$8:$A936)&gt;0),MAX($A$8:$A936)+1,"")))</f>
        <v/>
      </c>
      <c r="B937" s="11">
        <v>930</v>
      </c>
      <c r="C937" s="19" t="str">
        <f t="shared" si="28"/>
        <v>EMPTY</v>
      </c>
      <c r="D937" s="3" t="str">
        <f>IF(C937="SHOW",CONCATENATE(Temp!T933,Temp!U933,",",Temp!V933,",",Temp!W933,Temp!X933),"")</f>
        <v/>
      </c>
      <c r="E937" s="7"/>
      <c r="F937" s="8" t="str">
        <f t="shared" si="29"/>
        <v/>
      </c>
    </row>
    <row r="938" spans="1:6" x14ac:dyDescent="0.25">
      <c r="A938" s="13" t="str">
        <f>IF(AND($E938="",MAX($A$8:$A937)=0),"",IF(AND($E938&lt;&gt;"",MAX($A$8:$A937)=0),1,IF(AND($E938&lt;&gt;"",MAX($A$8:$A937)&gt;0),MAX($A$8:$A937)+1,"")))</f>
        <v/>
      </c>
      <c r="B938" s="11">
        <v>931</v>
      </c>
      <c r="C938" s="19" t="str">
        <f t="shared" si="28"/>
        <v>EMPTY</v>
      </c>
      <c r="D938" s="3" t="str">
        <f>IF(C938="SHOW",CONCATENATE(Temp!T934,Temp!U934,",",Temp!V934,",",Temp!W934,Temp!X934),"")</f>
        <v/>
      </c>
      <c r="E938" s="7"/>
      <c r="F938" s="8" t="str">
        <f t="shared" si="29"/>
        <v/>
      </c>
    </row>
    <row r="939" spans="1:6" x14ac:dyDescent="0.25">
      <c r="A939" s="13" t="str">
        <f>IF(AND($E939="",MAX($A$8:$A938)=0),"",IF(AND($E939&lt;&gt;"",MAX($A$8:$A938)=0),1,IF(AND($E939&lt;&gt;"",MAX($A$8:$A938)&gt;0),MAX($A$8:$A938)+1,"")))</f>
        <v/>
      </c>
      <c r="B939" s="11">
        <v>932</v>
      </c>
      <c r="C939" s="19" t="str">
        <f t="shared" si="28"/>
        <v>EMPTY</v>
      </c>
      <c r="D939" s="3" t="str">
        <f>IF(C939="SHOW",CONCATENATE(Temp!T935,Temp!U935,",",Temp!V935,",",Temp!W935,Temp!X935),"")</f>
        <v/>
      </c>
      <c r="E939" s="7"/>
      <c r="F939" s="8" t="str">
        <f t="shared" si="29"/>
        <v/>
      </c>
    </row>
    <row r="940" spans="1:6" x14ac:dyDescent="0.25">
      <c r="A940" s="13" t="str">
        <f>IF(AND($E940="",MAX($A$8:$A939)=0),"",IF(AND($E940&lt;&gt;"",MAX($A$8:$A939)=0),1,IF(AND($E940&lt;&gt;"",MAX($A$8:$A939)&gt;0),MAX($A$8:$A939)+1,"")))</f>
        <v/>
      </c>
      <c r="B940" s="11">
        <v>933</v>
      </c>
      <c r="C940" s="19" t="str">
        <f t="shared" si="28"/>
        <v>EMPTY</v>
      </c>
      <c r="D940" s="3" t="str">
        <f>IF(C940="SHOW",CONCATENATE(Temp!T936,Temp!U936,",",Temp!V936,",",Temp!W936,Temp!X936),"")</f>
        <v/>
      </c>
      <c r="E940" s="7"/>
      <c r="F940" s="8" t="str">
        <f t="shared" si="29"/>
        <v/>
      </c>
    </row>
    <row r="941" spans="1:6" x14ac:dyDescent="0.25">
      <c r="A941" s="13" t="str">
        <f>IF(AND($E941="",MAX($A$8:$A940)=0),"",IF(AND($E941&lt;&gt;"",MAX($A$8:$A940)=0),1,IF(AND($E941&lt;&gt;"",MAX($A$8:$A940)&gt;0),MAX($A$8:$A940)+1,"")))</f>
        <v/>
      </c>
      <c r="B941" s="11">
        <v>934</v>
      </c>
      <c r="C941" s="19" t="str">
        <f t="shared" si="28"/>
        <v>EMPTY</v>
      </c>
      <c r="D941" s="3" t="str">
        <f>IF(C941="SHOW",CONCATENATE(Temp!T937,Temp!U937,",",Temp!V937,",",Temp!W937,Temp!X937),"")</f>
        <v/>
      </c>
      <c r="E941" s="7"/>
      <c r="F941" s="8" t="str">
        <f t="shared" si="29"/>
        <v/>
      </c>
    </row>
    <row r="942" spans="1:6" x14ac:dyDescent="0.25">
      <c r="A942" s="13" t="str">
        <f>IF(AND($E942="",MAX($A$8:$A941)=0),"",IF(AND($E942&lt;&gt;"",MAX($A$8:$A941)=0),1,IF(AND($E942&lt;&gt;"",MAX($A$8:$A941)&gt;0),MAX($A$8:$A941)+1,"")))</f>
        <v/>
      </c>
      <c r="B942" s="11">
        <v>935</v>
      </c>
      <c r="C942" s="19" t="str">
        <f t="shared" si="28"/>
        <v>EMPTY</v>
      </c>
      <c r="D942" s="3" t="str">
        <f>IF(C942="SHOW",CONCATENATE(Temp!T938,Temp!U938,",",Temp!V938,",",Temp!W938,Temp!X938),"")</f>
        <v/>
      </c>
      <c r="E942" s="7"/>
      <c r="F942" s="8" t="str">
        <f t="shared" si="29"/>
        <v/>
      </c>
    </row>
    <row r="943" spans="1:6" x14ac:dyDescent="0.25">
      <c r="A943" s="13" t="str">
        <f>IF(AND($E943="",MAX($A$8:$A942)=0),"",IF(AND($E943&lt;&gt;"",MAX($A$8:$A942)=0),1,IF(AND($E943&lt;&gt;"",MAX($A$8:$A942)&gt;0),MAX($A$8:$A942)+1,"")))</f>
        <v/>
      </c>
      <c r="B943" s="11">
        <v>936</v>
      </c>
      <c r="C943" s="19" t="str">
        <f t="shared" si="28"/>
        <v>EMPTY</v>
      </c>
      <c r="D943" s="3" t="str">
        <f>IF(C943="SHOW",CONCATENATE(Temp!T939,Temp!U939,",",Temp!V939,",",Temp!W939,Temp!X939),"")</f>
        <v/>
      </c>
      <c r="E943" s="7"/>
      <c r="F943" s="8" t="str">
        <f t="shared" si="29"/>
        <v/>
      </c>
    </row>
    <row r="944" spans="1:6" x14ac:dyDescent="0.25">
      <c r="A944" s="13" t="str">
        <f>IF(AND($E944="",MAX($A$8:$A943)=0),"",IF(AND($E944&lt;&gt;"",MAX($A$8:$A943)=0),1,IF(AND($E944&lt;&gt;"",MAX($A$8:$A943)&gt;0),MAX($A$8:$A943)+1,"")))</f>
        <v/>
      </c>
      <c r="B944" s="11">
        <v>937</v>
      </c>
      <c r="C944" s="19" t="str">
        <f t="shared" si="28"/>
        <v>EMPTY</v>
      </c>
      <c r="D944" s="3" t="str">
        <f>IF(C944="SHOW",CONCATENATE(Temp!T940,Temp!U940,",",Temp!V940,",",Temp!W940,Temp!X940),"")</f>
        <v/>
      </c>
      <c r="E944" s="7"/>
      <c r="F944" s="8" t="str">
        <f t="shared" si="29"/>
        <v/>
      </c>
    </row>
    <row r="945" spans="1:6" x14ac:dyDescent="0.25">
      <c r="A945" s="13" t="str">
        <f>IF(AND($E945="",MAX($A$8:$A944)=0),"",IF(AND($E945&lt;&gt;"",MAX($A$8:$A944)=0),1,IF(AND($E945&lt;&gt;"",MAX($A$8:$A944)&gt;0),MAX($A$8:$A944)+1,"")))</f>
        <v/>
      </c>
      <c r="B945" s="11">
        <v>938</v>
      </c>
      <c r="C945" s="19" t="str">
        <f t="shared" si="28"/>
        <v>EMPTY</v>
      </c>
      <c r="D945" s="3" t="str">
        <f>IF(C945="SHOW",CONCATENATE(Temp!T941,Temp!U941,",",Temp!V941,",",Temp!W941,Temp!X941),"")</f>
        <v/>
      </c>
      <c r="E945" s="7"/>
      <c r="F945" s="8" t="str">
        <f t="shared" si="29"/>
        <v/>
      </c>
    </row>
    <row r="946" spans="1:6" x14ac:dyDescent="0.25">
      <c r="A946" s="13" t="str">
        <f>IF(AND($E946="",MAX($A$8:$A945)=0),"",IF(AND($E946&lt;&gt;"",MAX($A$8:$A945)=0),1,IF(AND($E946&lt;&gt;"",MAX($A$8:$A945)&gt;0),MAX($A$8:$A945)+1,"")))</f>
        <v/>
      </c>
      <c r="B946" s="11">
        <v>939</v>
      </c>
      <c r="C946" s="19" t="str">
        <f t="shared" si="28"/>
        <v>EMPTY</v>
      </c>
      <c r="D946" s="3" t="str">
        <f>IF(C946="SHOW",CONCATENATE(Temp!T942,Temp!U942,",",Temp!V942,",",Temp!W942,Temp!X942),"")</f>
        <v/>
      </c>
      <c r="E946" s="7"/>
      <c r="F946" s="8" t="str">
        <f t="shared" si="29"/>
        <v/>
      </c>
    </row>
    <row r="947" spans="1:6" x14ac:dyDescent="0.25">
      <c r="A947" s="13" t="str">
        <f>IF(AND($E947="",MAX($A$8:$A946)=0),"",IF(AND($E947&lt;&gt;"",MAX($A$8:$A946)=0),1,IF(AND($E947&lt;&gt;"",MAX($A$8:$A946)&gt;0),MAX($A$8:$A946)+1,"")))</f>
        <v/>
      </c>
      <c r="B947" s="11">
        <v>940</v>
      </c>
      <c r="C947" s="19" t="str">
        <f t="shared" si="28"/>
        <v>EMPTY</v>
      </c>
      <c r="D947" s="3" t="str">
        <f>IF(C947="SHOW",CONCATENATE(Temp!T943,Temp!U943,",",Temp!V943,",",Temp!W943,Temp!X943),"")</f>
        <v/>
      </c>
      <c r="E947" s="7"/>
      <c r="F947" s="8" t="str">
        <f t="shared" si="29"/>
        <v/>
      </c>
    </row>
    <row r="948" spans="1:6" x14ac:dyDescent="0.25">
      <c r="A948" s="13" t="str">
        <f>IF(AND($E948="",MAX($A$8:$A947)=0),"",IF(AND($E948&lt;&gt;"",MAX($A$8:$A947)=0),1,IF(AND($E948&lt;&gt;"",MAX($A$8:$A947)&gt;0),MAX($A$8:$A947)+1,"")))</f>
        <v/>
      </c>
      <c r="B948" s="11">
        <v>941</v>
      </c>
      <c r="C948" s="19" t="str">
        <f t="shared" si="28"/>
        <v>EMPTY</v>
      </c>
      <c r="D948" s="3" t="str">
        <f>IF(C948="SHOW",CONCATENATE(Temp!T944,Temp!U944,",",Temp!V944,",",Temp!W944,Temp!X944),"")</f>
        <v/>
      </c>
      <c r="E948" s="7"/>
      <c r="F948" s="8" t="str">
        <f t="shared" si="29"/>
        <v/>
      </c>
    </row>
    <row r="949" spans="1:6" x14ac:dyDescent="0.25">
      <c r="A949" s="13" t="str">
        <f>IF(AND($E949="",MAX($A$8:$A948)=0),"",IF(AND($E949&lt;&gt;"",MAX($A$8:$A948)=0),1,IF(AND($E949&lt;&gt;"",MAX($A$8:$A948)&gt;0),MAX($A$8:$A948)+1,"")))</f>
        <v/>
      </c>
      <c r="B949" s="11">
        <v>942</v>
      </c>
      <c r="C949" s="19" t="str">
        <f t="shared" si="28"/>
        <v>EMPTY</v>
      </c>
      <c r="D949" s="3" t="str">
        <f>IF(C949="SHOW",CONCATENATE(Temp!T945,Temp!U945,",",Temp!V945,",",Temp!W945,Temp!X945),"")</f>
        <v/>
      </c>
      <c r="E949" s="7"/>
      <c r="F949" s="8" t="str">
        <f t="shared" si="29"/>
        <v/>
      </c>
    </row>
    <row r="950" spans="1:6" x14ac:dyDescent="0.25">
      <c r="A950" s="13" t="str">
        <f>IF(AND($E950="",MAX($A$8:$A949)=0),"",IF(AND($E950&lt;&gt;"",MAX($A$8:$A949)=0),1,IF(AND($E950&lt;&gt;"",MAX($A$8:$A949)&gt;0),MAX($A$8:$A949)+1,"")))</f>
        <v/>
      </c>
      <c r="B950" s="11">
        <v>943</v>
      </c>
      <c r="C950" s="19" t="str">
        <f t="shared" si="28"/>
        <v>EMPTY</v>
      </c>
      <c r="D950" s="3" t="str">
        <f>IF(C950="SHOW",CONCATENATE(Temp!T946,Temp!U946,",",Temp!V946,",",Temp!W946,Temp!X946),"")</f>
        <v/>
      </c>
      <c r="E950" s="7"/>
      <c r="F950" s="8" t="str">
        <f t="shared" si="29"/>
        <v/>
      </c>
    </row>
    <row r="951" spans="1:6" x14ac:dyDescent="0.25">
      <c r="A951" s="13" t="str">
        <f>IF(AND($E951="",MAX($A$8:$A950)=0),"",IF(AND($E951&lt;&gt;"",MAX($A$8:$A950)=0),1,IF(AND($E951&lt;&gt;"",MAX($A$8:$A950)&gt;0),MAX($A$8:$A950)+1,"")))</f>
        <v/>
      </c>
      <c r="B951" s="11">
        <v>944</v>
      </c>
      <c r="C951" s="19" t="str">
        <f t="shared" si="28"/>
        <v>EMPTY</v>
      </c>
      <c r="D951" s="3" t="str">
        <f>IF(C951="SHOW",CONCATENATE(Temp!T947,Temp!U947,",",Temp!V947,",",Temp!W947,Temp!X947),"")</f>
        <v/>
      </c>
      <c r="E951" s="7"/>
      <c r="F951" s="8" t="str">
        <f t="shared" si="29"/>
        <v/>
      </c>
    </row>
    <row r="952" spans="1:6" x14ac:dyDescent="0.25">
      <c r="A952" s="13" t="str">
        <f>IF(AND($E952="",MAX($A$8:$A951)=0),"",IF(AND($E952&lt;&gt;"",MAX($A$8:$A951)=0),1,IF(AND($E952&lt;&gt;"",MAX($A$8:$A951)&gt;0),MAX($A$8:$A951)+1,"")))</f>
        <v/>
      </c>
      <c r="B952" s="11">
        <v>945</v>
      </c>
      <c r="C952" s="19" t="str">
        <f t="shared" si="28"/>
        <v>EMPTY</v>
      </c>
      <c r="D952" s="3" t="str">
        <f>IF(C952="SHOW",CONCATENATE(Temp!T948,Temp!U948,",",Temp!V948,",",Temp!W948,Temp!X948),"")</f>
        <v/>
      </c>
      <c r="E952" s="7"/>
      <c r="F952" s="8" t="str">
        <f t="shared" si="29"/>
        <v/>
      </c>
    </row>
    <row r="953" spans="1:6" x14ac:dyDescent="0.25">
      <c r="A953" s="13" t="str">
        <f>IF(AND($E953="",MAX($A$8:$A952)=0),"",IF(AND($E953&lt;&gt;"",MAX($A$8:$A952)=0),1,IF(AND($E953&lt;&gt;"",MAX($A$8:$A952)&gt;0),MAX($A$8:$A952)+1,"")))</f>
        <v/>
      </c>
      <c r="B953" s="11">
        <v>946</v>
      </c>
      <c r="C953" s="19" t="str">
        <f t="shared" si="28"/>
        <v>EMPTY</v>
      </c>
      <c r="D953" s="3" t="str">
        <f>IF(C953="SHOW",CONCATENATE(Temp!T949,Temp!U949,",",Temp!V949,",",Temp!W949,Temp!X949),"")</f>
        <v/>
      </c>
      <c r="E953" s="7"/>
      <c r="F953" s="8" t="str">
        <f t="shared" si="29"/>
        <v/>
      </c>
    </row>
    <row r="954" spans="1:6" x14ac:dyDescent="0.25">
      <c r="A954" s="13" t="str">
        <f>IF(AND($E954="",MAX($A$8:$A953)=0),"",IF(AND($E954&lt;&gt;"",MAX($A$8:$A953)=0),1,IF(AND($E954&lt;&gt;"",MAX($A$8:$A953)&gt;0),MAX($A$8:$A953)+1,"")))</f>
        <v/>
      </c>
      <c r="B954" s="11">
        <v>947</v>
      </c>
      <c r="C954" s="19" t="str">
        <f t="shared" si="28"/>
        <v>EMPTY</v>
      </c>
      <c r="D954" s="3" t="str">
        <f>IF(C954="SHOW",CONCATENATE(Temp!T950,Temp!U950,",",Temp!V950,",",Temp!W950,Temp!X950),"")</f>
        <v/>
      </c>
      <c r="E954" s="7"/>
      <c r="F954" s="8" t="str">
        <f t="shared" si="29"/>
        <v/>
      </c>
    </row>
    <row r="955" spans="1:6" x14ac:dyDescent="0.25">
      <c r="A955" s="13" t="str">
        <f>IF(AND($E955="",MAX($A$8:$A954)=0),"",IF(AND($E955&lt;&gt;"",MAX($A$8:$A954)=0),1,IF(AND($E955&lt;&gt;"",MAX($A$8:$A954)&gt;0),MAX($A$8:$A954)+1,"")))</f>
        <v/>
      </c>
      <c r="B955" s="11">
        <v>948</v>
      </c>
      <c r="C955" s="19" t="str">
        <f t="shared" si="28"/>
        <v>EMPTY</v>
      </c>
      <c r="D955" s="3" t="str">
        <f>IF(C955="SHOW",CONCATENATE(Temp!T951,Temp!U951,",",Temp!V951,",",Temp!W951,Temp!X951),"")</f>
        <v/>
      </c>
      <c r="E955" s="7"/>
      <c r="F955" s="8" t="str">
        <f t="shared" si="29"/>
        <v/>
      </c>
    </row>
    <row r="956" spans="1:6" x14ac:dyDescent="0.25">
      <c r="A956" s="13" t="str">
        <f>IF(AND($E956="",MAX($A$8:$A955)=0),"",IF(AND($E956&lt;&gt;"",MAX($A$8:$A955)=0),1,IF(AND($E956&lt;&gt;"",MAX($A$8:$A955)&gt;0),MAX($A$8:$A955)+1,"")))</f>
        <v/>
      </c>
      <c r="B956" s="11">
        <v>949</v>
      </c>
      <c r="C956" s="19" t="str">
        <f t="shared" si="28"/>
        <v>EMPTY</v>
      </c>
      <c r="D956" s="3" t="str">
        <f>IF(C956="SHOW",CONCATENATE(Temp!T952,Temp!U952,",",Temp!V952,",",Temp!W952,Temp!X952),"")</f>
        <v/>
      </c>
      <c r="E956" s="7"/>
      <c r="F956" s="8" t="str">
        <f t="shared" si="29"/>
        <v/>
      </c>
    </row>
    <row r="957" spans="1:6" x14ac:dyDescent="0.25">
      <c r="A957" s="13" t="str">
        <f>IF(AND($E957="",MAX($A$8:$A956)=0),"",IF(AND($E957&lt;&gt;"",MAX($A$8:$A956)=0),1,IF(AND($E957&lt;&gt;"",MAX($A$8:$A956)&gt;0),MAX($A$8:$A956)+1,"")))</f>
        <v/>
      </c>
      <c r="B957" s="11">
        <v>950</v>
      </c>
      <c r="C957" s="19" t="str">
        <f t="shared" si="28"/>
        <v>EMPTY</v>
      </c>
      <c r="D957" s="3" t="str">
        <f>IF(C957="SHOW",CONCATENATE(Temp!T953,Temp!U953,",",Temp!V953,",",Temp!W953,Temp!X953),"")</f>
        <v/>
      </c>
      <c r="E957" s="7"/>
      <c r="F957" s="8" t="str">
        <f t="shared" si="29"/>
        <v/>
      </c>
    </row>
    <row r="958" spans="1:6" x14ac:dyDescent="0.25">
      <c r="A958" s="13" t="str">
        <f>IF(AND($E958="",MAX($A$8:$A957)=0),"",IF(AND($E958&lt;&gt;"",MAX($A$8:$A957)=0),1,IF(AND($E958&lt;&gt;"",MAX($A$8:$A957)&gt;0),MAX($A$8:$A957)+1,"")))</f>
        <v/>
      </c>
      <c r="B958" s="11">
        <v>951</v>
      </c>
      <c r="C958" s="19" t="str">
        <f t="shared" si="28"/>
        <v>EMPTY</v>
      </c>
      <c r="D958" s="3" t="str">
        <f>IF(C958="SHOW",CONCATENATE(Temp!T954,Temp!U954,",",Temp!V954,",",Temp!W954,Temp!X954),"")</f>
        <v/>
      </c>
      <c r="E958" s="7"/>
      <c r="F958" s="8" t="str">
        <f t="shared" si="29"/>
        <v/>
      </c>
    </row>
    <row r="959" spans="1:6" x14ac:dyDescent="0.25">
      <c r="A959" s="13" t="str">
        <f>IF(AND($E959="",MAX($A$8:$A958)=0),"",IF(AND($E959&lt;&gt;"",MAX($A$8:$A958)=0),1,IF(AND($E959&lt;&gt;"",MAX($A$8:$A958)&gt;0),MAX($A$8:$A958)+1,"")))</f>
        <v/>
      </c>
      <c r="B959" s="11">
        <v>952</v>
      </c>
      <c r="C959" s="19" t="str">
        <f t="shared" si="28"/>
        <v>EMPTY</v>
      </c>
      <c r="D959" s="3" t="str">
        <f>IF(C959="SHOW",CONCATENATE(Temp!T955,Temp!U955,",",Temp!V955,",",Temp!W955,Temp!X955),"")</f>
        <v/>
      </c>
      <c r="E959" s="7"/>
      <c r="F959" s="8" t="str">
        <f t="shared" si="29"/>
        <v/>
      </c>
    </row>
    <row r="960" spans="1:6" x14ac:dyDescent="0.25">
      <c r="A960" s="13" t="str">
        <f>IF(AND($E960="",MAX($A$8:$A959)=0),"",IF(AND($E960&lt;&gt;"",MAX($A$8:$A959)=0),1,IF(AND($E960&lt;&gt;"",MAX($A$8:$A959)&gt;0),MAX($A$8:$A959)+1,"")))</f>
        <v/>
      </c>
      <c r="B960" s="11">
        <v>953</v>
      </c>
      <c r="C960" s="19" t="str">
        <f t="shared" si="28"/>
        <v>EMPTY</v>
      </c>
      <c r="D960" s="3" t="str">
        <f>IF(C960="SHOW",CONCATENATE(Temp!T956,Temp!U956,",",Temp!V956,",",Temp!W956,Temp!X956),"")</f>
        <v/>
      </c>
      <c r="E960" s="7"/>
      <c r="F960" s="8" t="str">
        <f t="shared" si="29"/>
        <v/>
      </c>
    </row>
    <row r="961" spans="1:6" x14ac:dyDescent="0.25">
      <c r="A961" s="13" t="str">
        <f>IF(AND($E961="",MAX($A$8:$A960)=0),"",IF(AND($E961&lt;&gt;"",MAX($A$8:$A960)=0),1,IF(AND($E961&lt;&gt;"",MAX($A$8:$A960)&gt;0),MAX($A$8:$A960)+1,"")))</f>
        <v/>
      </c>
      <c r="B961" s="11">
        <v>954</v>
      </c>
      <c r="C961" s="19" t="str">
        <f t="shared" si="28"/>
        <v>EMPTY</v>
      </c>
      <c r="D961" s="3" t="str">
        <f>IF(C961="SHOW",CONCATENATE(Temp!T957,Temp!U957,",",Temp!V957,",",Temp!W957,Temp!X957),"")</f>
        <v/>
      </c>
      <c r="E961" s="7"/>
      <c r="F961" s="8" t="str">
        <f t="shared" si="29"/>
        <v/>
      </c>
    </row>
    <row r="962" spans="1:6" x14ac:dyDescent="0.25">
      <c r="A962" s="13" t="str">
        <f>IF(AND($E962="",MAX($A$8:$A961)=0),"",IF(AND($E962&lt;&gt;"",MAX($A$8:$A961)=0),1,IF(AND($E962&lt;&gt;"",MAX($A$8:$A961)&gt;0),MAX($A$8:$A961)+1,"")))</f>
        <v/>
      </c>
      <c r="B962" s="11">
        <v>955</v>
      </c>
      <c r="C962" s="19" t="str">
        <f t="shared" si="28"/>
        <v>EMPTY</v>
      </c>
      <c r="D962" s="3" t="str">
        <f>IF(C962="SHOW",CONCATENATE(Temp!T958,Temp!U958,",",Temp!V958,",",Temp!W958,Temp!X958),"")</f>
        <v/>
      </c>
      <c r="E962" s="7"/>
      <c r="F962" s="8" t="str">
        <f t="shared" si="29"/>
        <v/>
      </c>
    </row>
    <row r="963" spans="1:6" x14ac:dyDescent="0.25">
      <c r="A963" s="13" t="str">
        <f>IF(AND($E963="",MAX($A$8:$A962)=0),"",IF(AND($E963&lt;&gt;"",MAX($A$8:$A962)=0),1,IF(AND($E963&lt;&gt;"",MAX($A$8:$A962)&gt;0),MAX($A$8:$A962)+1,"")))</f>
        <v/>
      </c>
      <c r="B963" s="11">
        <v>956</v>
      </c>
      <c r="C963" s="19" t="str">
        <f t="shared" si="28"/>
        <v>EMPTY</v>
      </c>
      <c r="D963" s="3" t="str">
        <f>IF(C963="SHOW",CONCATENATE(Temp!T959,Temp!U959,",",Temp!V959,",",Temp!W959,Temp!X959),"")</f>
        <v/>
      </c>
      <c r="E963" s="7"/>
      <c r="F963" s="8" t="str">
        <f t="shared" si="29"/>
        <v/>
      </c>
    </row>
    <row r="964" spans="1:6" x14ac:dyDescent="0.25">
      <c r="A964" s="13" t="str">
        <f>IF(AND($E964="",MAX($A$8:$A963)=0),"",IF(AND($E964&lt;&gt;"",MAX($A$8:$A963)=0),1,IF(AND($E964&lt;&gt;"",MAX($A$8:$A963)&gt;0),MAX($A$8:$A963)+1,"")))</f>
        <v/>
      </c>
      <c r="B964" s="11">
        <v>957</v>
      </c>
      <c r="C964" s="19" t="str">
        <f t="shared" si="28"/>
        <v>EMPTY</v>
      </c>
      <c r="D964" s="3" t="str">
        <f>IF(C964="SHOW",CONCATENATE(Temp!T960,Temp!U960,",",Temp!V960,",",Temp!W960,Temp!X960),"")</f>
        <v/>
      </c>
      <c r="E964" s="7"/>
      <c r="F964" s="8" t="str">
        <f t="shared" si="29"/>
        <v/>
      </c>
    </row>
    <row r="965" spans="1:6" x14ac:dyDescent="0.25">
      <c r="A965" s="13" t="str">
        <f>IF(AND($E965="",MAX($A$8:$A964)=0),"",IF(AND($E965&lt;&gt;"",MAX($A$8:$A964)=0),1,IF(AND($E965&lt;&gt;"",MAX($A$8:$A964)&gt;0),MAX($A$8:$A964)+1,"")))</f>
        <v/>
      </c>
      <c r="B965" s="11">
        <v>958</v>
      </c>
      <c r="C965" s="19" t="str">
        <f t="shared" si="28"/>
        <v>EMPTY</v>
      </c>
      <c r="D965" s="3" t="str">
        <f>IF(C965="SHOW",CONCATENATE(Temp!T961,Temp!U961,",",Temp!V961,",",Temp!W961,Temp!X961),"")</f>
        <v/>
      </c>
      <c r="E965" s="7"/>
      <c r="F965" s="8" t="str">
        <f t="shared" si="29"/>
        <v/>
      </c>
    </row>
    <row r="966" spans="1:6" x14ac:dyDescent="0.25">
      <c r="A966" s="13" t="str">
        <f>IF(AND($E966="",MAX($A$8:$A965)=0),"",IF(AND($E966&lt;&gt;"",MAX($A$8:$A965)=0),1,IF(AND($E966&lt;&gt;"",MAX($A$8:$A965)&gt;0),MAX($A$8:$A965)+1,"")))</f>
        <v/>
      </c>
      <c r="B966" s="11">
        <v>959</v>
      </c>
      <c r="C966" s="19" t="str">
        <f t="shared" si="28"/>
        <v>EMPTY</v>
      </c>
      <c r="D966" s="3" t="str">
        <f>IF(C966="SHOW",CONCATENATE(Temp!T962,Temp!U962,",",Temp!V962,",",Temp!W962,Temp!X962),"")</f>
        <v/>
      </c>
      <c r="E966" s="7"/>
      <c r="F966" s="8" t="str">
        <f t="shared" si="29"/>
        <v/>
      </c>
    </row>
    <row r="967" spans="1:6" x14ac:dyDescent="0.25">
      <c r="A967" s="13" t="str">
        <f>IF(AND($E967="",MAX($A$8:$A966)=0),"",IF(AND($E967&lt;&gt;"",MAX($A$8:$A966)=0),1,IF(AND($E967&lt;&gt;"",MAX($A$8:$A966)&gt;0),MAX($A$8:$A966)+1,"")))</f>
        <v/>
      </c>
      <c r="B967" s="11">
        <v>960</v>
      </c>
      <c r="C967" s="19" t="str">
        <f t="shared" si="28"/>
        <v>EMPTY</v>
      </c>
      <c r="D967" s="3" t="str">
        <f>IF(C967="SHOW",CONCATENATE(Temp!T963,Temp!U963,",",Temp!V963,",",Temp!W963,Temp!X963),"")</f>
        <v/>
      </c>
      <c r="E967" s="7"/>
      <c r="F967" s="8" t="str">
        <f t="shared" si="29"/>
        <v/>
      </c>
    </row>
    <row r="968" spans="1:6" x14ac:dyDescent="0.25">
      <c r="A968" s="13" t="str">
        <f>IF(AND($E968="",MAX($A$8:$A967)=0),"",IF(AND($E968&lt;&gt;"",MAX($A$8:$A967)=0),1,IF(AND($E968&lt;&gt;"",MAX($A$8:$A967)&gt;0),MAX($A$8:$A967)+1,"")))</f>
        <v/>
      </c>
      <c r="B968" s="11">
        <v>961</v>
      </c>
      <c r="C968" s="19" t="str">
        <f t="shared" si="28"/>
        <v>EMPTY</v>
      </c>
      <c r="D968" s="3" t="str">
        <f>IF(C968="SHOW",CONCATENATE(Temp!T964,Temp!U964,",",Temp!V964,",",Temp!W964,Temp!X964),"")</f>
        <v/>
      </c>
      <c r="E968" s="7"/>
      <c r="F968" s="8" t="str">
        <f t="shared" si="29"/>
        <v/>
      </c>
    </row>
    <row r="969" spans="1:6" x14ac:dyDescent="0.25">
      <c r="A969" s="13" t="str">
        <f>IF(AND($E969="",MAX($A$8:$A968)=0),"",IF(AND($E969&lt;&gt;"",MAX($A$8:$A968)=0),1,IF(AND($E969&lt;&gt;"",MAX($A$8:$A968)&gt;0),MAX($A$8:$A968)+1,"")))</f>
        <v/>
      </c>
      <c r="B969" s="11">
        <v>962</v>
      </c>
      <c r="C969" s="19" t="str">
        <f t="shared" ref="C969:C1007" si="30">IF(E969="","EMPTY",IF(MID(E969,1,9)&lt;&gt;"Dialogue:","HIDE",IF(MID(E969,1,9)="Dialogue:","SHOW","")))</f>
        <v>EMPTY</v>
      </c>
      <c r="D969" s="3" t="str">
        <f>IF(C969="SHOW",CONCATENATE(Temp!T965,Temp!U965,",",Temp!V965,",",Temp!W965,Temp!X965),"")</f>
        <v/>
      </c>
      <c r="E969" s="7"/>
      <c r="F969" s="8" t="str">
        <f t="shared" ref="F969:F1007" si="31">$D969</f>
        <v/>
      </c>
    </row>
    <row r="970" spans="1:6" x14ac:dyDescent="0.25">
      <c r="A970" s="13" t="str">
        <f>IF(AND($E970="",MAX($A$8:$A969)=0),"",IF(AND($E970&lt;&gt;"",MAX($A$8:$A969)=0),1,IF(AND($E970&lt;&gt;"",MAX($A$8:$A969)&gt;0),MAX($A$8:$A969)+1,"")))</f>
        <v/>
      </c>
      <c r="B970" s="11">
        <v>963</v>
      </c>
      <c r="C970" s="19" t="str">
        <f t="shared" si="30"/>
        <v>EMPTY</v>
      </c>
      <c r="D970" s="3" t="str">
        <f>IF(C970="SHOW",CONCATENATE(Temp!T966,Temp!U966,",",Temp!V966,",",Temp!W966,Temp!X966),"")</f>
        <v/>
      </c>
      <c r="E970" s="7"/>
      <c r="F970" s="8" t="str">
        <f t="shared" si="31"/>
        <v/>
      </c>
    </row>
    <row r="971" spans="1:6" x14ac:dyDescent="0.25">
      <c r="A971" s="13" t="str">
        <f>IF(AND($E971="",MAX($A$8:$A970)=0),"",IF(AND($E971&lt;&gt;"",MAX($A$8:$A970)=0),1,IF(AND($E971&lt;&gt;"",MAX($A$8:$A970)&gt;0),MAX($A$8:$A970)+1,"")))</f>
        <v/>
      </c>
      <c r="B971" s="11">
        <v>964</v>
      </c>
      <c r="C971" s="19" t="str">
        <f t="shared" si="30"/>
        <v>EMPTY</v>
      </c>
      <c r="D971" s="3" t="str">
        <f>IF(C971="SHOW",CONCATENATE(Temp!T967,Temp!U967,",",Temp!V967,",",Temp!W967,Temp!X967),"")</f>
        <v/>
      </c>
      <c r="E971" s="7"/>
      <c r="F971" s="8" t="str">
        <f t="shared" si="31"/>
        <v/>
      </c>
    </row>
    <row r="972" spans="1:6" x14ac:dyDescent="0.25">
      <c r="A972" s="13" t="str">
        <f>IF(AND($E972="",MAX($A$8:$A971)=0),"",IF(AND($E972&lt;&gt;"",MAX($A$8:$A971)=0),1,IF(AND($E972&lt;&gt;"",MAX($A$8:$A971)&gt;0),MAX($A$8:$A971)+1,"")))</f>
        <v/>
      </c>
      <c r="B972" s="11">
        <v>965</v>
      </c>
      <c r="C972" s="19" t="str">
        <f t="shared" si="30"/>
        <v>EMPTY</v>
      </c>
      <c r="D972" s="3" t="str">
        <f>IF(C972="SHOW",CONCATENATE(Temp!T968,Temp!U968,",",Temp!V968,",",Temp!W968,Temp!X968),"")</f>
        <v/>
      </c>
      <c r="E972" s="7"/>
      <c r="F972" s="8" t="str">
        <f t="shared" si="31"/>
        <v/>
      </c>
    </row>
    <row r="973" spans="1:6" x14ac:dyDescent="0.25">
      <c r="A973" s="13" t="str">
        <f>IF(AND($E973="",MAX($A$8:$A972)=0),"",IF(AND($E973&lt;&gt;"",MAX($A$8:$A972)=0),1,IF(AND($E973&lt;&gt;"",MAX($A$8:$A972)&gt;0),MAX($A$8:$A972)+1,"")))</f>
        <v/>
      </c>
      <c r="B973" s="11">
        <v>966</v>
      </c>
      <c r="C973" s="19" t="str">
        <f t="shared" si="30"/>
        <v>EMPTY</v>
      </c>
      <c r="D973" s="3" t="str">
        <f>IF(C973="SHOW",CONCATENATE(Temp!T969,Temp!U969,",",Temp!V969,",",Temp!W969,Temp!X969),"")</f>
        <v/>
      </c>
      <c r="E973" s="7"/>
      <c r="F973" s="8" t="str">
        <f t="shared" si="31"/>
        <v/>
      </c>
    </row>
    <row r="974" spans="1:6" x14ac:dyDescent="0.25">
      <c r="A974" s="13" t="str">
        <f>IF(AND($E974="",MAX($A$8:$A973)=0),"",IF(AND($E974&lt;&gt;"",MAX($A$8:$A973)=0),1,IF(AND($E974&lt;&gt;"",MAX($A$8:$A973)&gt;0),MAX($A$8:$A973)+1,"")))</f>
        <v/>
      </c>
      <c r="B974" s="11">
        <v>967</v>
      </c>
      <c r="C974" s="19" t="str">
        <f t="shared" si="30"/>
        <v>EMPTY</v>
      </c>
      <c r="D974" s="3" t="str">
        <f>IF(C974="SHOW",CONCATENATE(Temp!T970,Temp!U970,",",Temp!V970,",",Temp!W970,Temp!X970),"")</f>
        <v/>
      </c>
      <c r="E974" s="7"/>
      <c r="F974" s="8" t="str">
        <f t="shared" si="31"/>
        <v/>
      </c>
    </row>
    <row r="975" spans="1:6" x14ac:dyDescent="0.25">
      <c r="A975" s="13" t="str">
        <f>IF(AND($E975="",MAX($A$8:$A974)=0),"",IF(AND($E975&lt;&gt;"",MAX($A$8:$A974)=0),1,IF(AND($E975&lt;&gt;"",MAX($A$8:$A974)&gt;0),MAX($A$8:$A974)+1,"")))</f>
        <v/>
      </c>
      <c r="B975" s="11">
        <v>968</v>
      </c>
      <c r="C975" s="19" t="str">
        <f t="shared" si="30"/>
        <v>EMPTY</v>
      </c>
      <c r="D975" s="3" t="str">
        <f>IF(C975="SHOW",CONCATENATE(Temp!T971,Temp!U971,",",Temp!V971,",",Temp!W971,Temp!X971),"")</f>
        <v/>
      </c>
      <c r="E975" s="7"/>
      <c r="F975" s="8" t="str">
        <f t="shared" si="31"/>
        <v/>
      </c>
    </row>
    <row r="976" spans="1:6" x14ac:dyDescent="0.25">
      <c r="A976" s="13" t="str">
        <f>IF(AND($E976="",MAX($A$8:$A975)=0),"",IF(AND($E976&lt;&gt;"",MAX($A$8:$A975)=0),1,IF(AND($E976&lt;&gt;"",MAX($A$8:$A975)&gt;0),MAX($A$8:$A975)+1,"")))</f>
        <v/>
      </c>
      <c r="B976" s="11">
        <v>969</v>
      </c>
      <c r="C976" s="19" t="str">
        <f t="shared" si="30"/>
        <v>EMPTY</v>
      </c>
      <c r="D976" s="3" t="str">
        <f>IF(C976="SHOW",CONCATENATE(Temp!T972,Temp!U972,",",Temp!V972,",",Temp!W972,Temp!X972),"")</f>
        <v/>
      </c>
      <c r="E976" s="7"/>
      <c r="F976" s="8" t="str">
        <f t="shared" si="31"/>
        <v/>
      </c>
    </row>
    <row r="977" spans="1:6" x14ac:dyDescent="0.25">
      <c r="A977" s="13" t="str">
        <f>IF(AND($E977="",MAX($A$8:$A976)=0),"",IF(AND($E977&lt;&gt;"",MAX($A$8:$A976)=0),1,IF(AND($E977&lt;&gt;"",MAX($A$8:$A976)&gt;0),MAX($A$8:$A976)+1,"")))</f>
        <v/>
      </c>
      <c r="B977" s="11">
        <v>970</v>
      </c>
      <c r="C977" s="19" t="str">
        <f t="shared" si="30"/>
        <v>EMPTY</v>
      </c>
      <c r="D977" s="3" t="str">
        <f>IF(C977="SHOW",CONCATENATE(Temp!T973,Temp!U973,",",Temp!V973,",",Temp!W973,Temp!X973),"")</f>
        <v/>
      </c>
      <c r="E977" s="7"/>
      <c r="F977" s="8" t="str">
        <f t="shared" si="31"/>
        <v/>
      </c>
    </row>
    <row r="978" spans="1:6" x14ac:dyDescent="0.25">
      <c r="A978" s="13" t="str">
        <f>IF(AND($E978="",MAX($A$8:$A977)=0),"",IF(AND($E978&lt;&gt;"",MAX($A$8:$A977)=0),1,IF(AND($E978&lt;&gt;"",MAX($A$8:$A977)&gt;0),MAX($A$8:$A977)+1,"")))</f>
        <v/>
      </c>
      <c r="B978" s="11">
        <v>971</v>
      </c>
      <c r="C978" s="19" t="str">
        <f t="shared" si="30"/>
        <v>EMPTY</v>
      </c>
      <c r="D978" s="3" t="str">
        <f>IF(C978="SHOW",CONCATENATE(Temp!T974,Temp!U974,",",Temp!V974,",",Temp!W974,Temp!X974),"")</f>
        <v/>
      </c>
      <c r="E978" s="7"/>
      <c r="F978" s="8" t="str">
        <f t="shared" si="31"/>
        <v/>
      </c>
    </row>
    <row r="979" spans="1:6" x14ac:dyDescent="0.25">
      <c r="A979" s="13" t="str">
        <f>IF(AND($E979="",MAX($A$8:$A978)=0),"",IF(AND($E979&lt;&gt;"",MAX($A$8:$A978)=0),1,IF(AND($E979&lt;&gt;"",MAX($A$8:$A978)&gt;0),MAX($A$8:$A978)+1,"")))</f>
        <v/>
      </c>
      <c r="B979" s="11">
        <v>972</v>
      </c>
      <c r="C979" s="19" t="str">
        <f t="shared" si="30"/>
        <v>EMPTY</v>
      </c>
      <c r="D979" s="3" t="str">
        <f>IF(C979="SHOW",CONCATENATE(Temp!T975,Temp!U975,",",Temp!V975,",",Temp!W975,Temp!X975),"")</f>
        <v/>
      </c>
      <c r="E979" s="7"/>
      <c r="F979" s="8" t="str">
        <f t="shared" si="31"/>
        <v/>
      </c>
    </row>
    <row r="980" spans="1:6" x14ac:dyDescent="0.25">
      <c r="A980" s="13" t="str">
        <f>IF(AND($E980="",MAX($A$8:$A979)=0),"",IF(AND($E980&lt;&gt;"",MAX($A$8:$A979)=0),1,IF(AND($E980&lt;&gt;"",MAX($A$8:$A979)&gt;0),MAX($A$8:$A979)+1,"")))</f>
        <v/>
      </c>
      <c r="B980" s="11">
        <v>973</v>
      </c>
      <c r="C980" s="19" t="str">
        <f t="shared" si="30"/>
        <v>EMPTY</v>
      </c>
      <c r="D980" s="3" t="str">
        <f>IF(C980="SHOW",CONCATENATE(Temp!T976,Temp!U976,",",Temp!V976,",",Temp!W976,Temp!X976),"")</f>
        <v/>
      </c>
      <c r="E980" s="7"/>
      <c r="F980" s="8" t="str">
        <f t="shared" si="31"/>
        <v/>
      </c>
    </row>
    <row r="981" spans="1:6" x14ac:dyDescent="0.25">
      <c r="A981" s="13" t="str">
        <f>IF(AND($E981="",MAX($A$8:$A980)=0),"",IF(AND($E981&lt;&gt;"",MAX($A$8:$A980)=0),1,IF(AND($E981&lt;&gt;"",MAX($A$8:$A980)&gt;0),MAX($A$8:$A980)+1,"")))</f>
        <v/>
      </c>
      <c r="B981" s="11">
        <v>974</v>
      </c>
      <c r="C981" s="19" t="str">
        <f t="shared" si="30"/>
        <v>EMPTY</v>
      </c>
      <c r="D981" s="3" t="str">
        <f>IF(C981="SHOW",CONCATENATE(Temp!T977,Temp!U977,",",Temp!V977,",",Temp!W977,Temp!X977),"")</f>
        <v/>
      </c>
      <c r="E981" s="7"/>
      <c r="F981" s="8" t="str">
        <f t="shared" si="31"/>
        <v/>
      </c>
    </row>
    <row r="982" spans="1:6" x14ac:dyDescent="0.25">
      <c r="A982" s="13" t="str">
        <f>IF(AND($E982="",MAX($A$8:$A981)=0),"",IF(AND($E982&lt;&gt;"",MAX($A$8:$A981)=0),1,IF(AND($E982&lt;&gt;"",MAX($A$8:$A981)&gt;0),MAX($A$8:$A981)+1,"")))</f>
        <v/>
      </c>
      <c r="B982" s="11">
        <v>975</v>
      </c>
      <c r="C982" s="19" t="str">
        <f t="shared" si="30"/>
        <v>EMPTY</v>
      </c>
      <c r="D982" s="3" t="str">
        <f>IF(C982="SHOW",CONCATENATE(Temp!T978,Temp!U978,",",Temp!V978,",",Temp!W978,Temp!X978),"")</f>
        <v/>
      </c>
      <c r="E982" s="7"/>
      <c r="F982" s="8" t="str">
        <f t="shared" si="31"/>
        <v/>
      </c>
    </row>
    <row r="983" spans="1:6" x14ac:dyDescent="0.25">
      <c r="A983" s="13" t="str">
        <f>IF(AND($E983="",MAX($A$8:$A982)=0),"",IF(AND($E983&lt;&gt;"",MAX($A$8:$A982)=0),1,IF(AND($E983&lt;&gt;"",MAX($A$8:$A982)&gt;0),MAX($A$8:$A982)+1,"")))</f>
        <v/>
      </c>
      <c r="B983" s="11">
        <v>976</v>
      </c>
      <c r="C983" s="19" t="str">
        <f t="shared" si="30"/>
        <v>EMPTY</v>
      </c>
      <c r="D983" s="3" t="str">
        <f>IF(C983="SHOW",CONCATENATE(Temp!T979,Temp!U979,",",Temp!V979,",",Temp!W979,Temp!X979),"")</f>
        <v/>
      </c>
      <c r="E983" s="7"/>
      <c r="F983" s="8" t="str">
        <f t="shared" si="31"/>
        <v/>
      </c>
    </row>
    <row r="984" spans="1:6" x14ac:dyDescent="0.25">
      <c r="A984" s="13" t="str">
        <f>IF(AND($E984="",MAX($A$8:$A983)=0),"",IF(AND($E984&lt;&gt;"",MAX($A$8:$A983)=0),1,IF(AND($E984&lt;&gt;"",MAX($A$8:$A983)&gt;0),MAX($A$8:$A983)+1,"")))</f>
        <v/>
      </c>
      <c r="B984" s="11">
        <v>977</v>
      </c>
      <c r="C984" s="19" t="str">
        <f t="shared" si="30"/>
        <v>EMPTY</v>
      </c>
      <c r="D984" s="3" t="str">
        <f>IF(C984="SHOW",CONCATENATE(Temp!T980,Temp!U980,",",Temp!V980,",",Temp!W980,Temp!X980),"")</f>
        <v/>
      </c>
      <c r="E984" s="7"/>
      <c r="F984" s="8" t="str">
        <f t="shared" si="31"/>
        <v/>
      </c>
    </row>
    <row r="985" spans="1:6" x14ac:dyDescent="0.25">
      <c r="A985" s="13" t="str">
        <f>IF(AND($E985="",MAX($A$8:$A984)=0),"",IF(AND($E985&lt;&gt;"",MAX($A$8:$A984)=0),1,IF(AND($E985&lt;&gt;"",MAX($A$8:$A984)&gt;0),MAX($A$8:$A984)+1,"")))</f>
        <v/>
      </c>
      <c r="B985" s="11">
        <v>978</v>
      </c>
      <c r="C985" s="19" t="str">
        <f t="shared" si="30"/>
        <v>EMPTY</v>
      </c>
      <c r="D985" s="3" t="str">
        <f>IF(C985="SHOW",CONCATENATE(Temp!T981,Temp!U981,",",Temp!V981,",",Temp!W981,Temp!X981),"")</f>
        <v/>
      </c>
      <c r="E985" s="7"/>
      <c r="F985" s="8" t="str">
        <f t="shared" si="31"/>
        <v/>
      </c>
    </row>
    <row r="986" spans="1:6" x14ac:dyDescent="0.25">
      <c r="A986" s="13" t="str">
        <f>IF(AND($E986="",MAX($A$8:$A985)=0),"",IF(AND($E986&lt;&gt;"",MAX($A$8:$A985)=0),1,IF(AND($E986&lt;&gt;"",MAX($A$8:$A985)&gt;0),MAX($A$8:$A985)+1,"")))</f>
        <v/>
      </c>
      <c r="B986" s="11">
        <v>979</v>
      </c>
      <c r="C986" s="19" t="str">
        <f t="shared" si="30"/>
        <v>EMPTY</v>
      </c>
      <c r="D986" s="3" t="str">
        <f>IF(C986="SHOW",CONCATENATE(Temp!T982,Temp!U982,",",Temp!V982,",",Temp!W982,Temp!X982),"")</f>
        <v/>
      </c>
      <c r="E986" s="7"/>
      <c r="F986" s="8" t="str">
        <f t="shared" si="31"/>
        <v/>
      </c>
    </row>
    <row r="987" spans="1:6" x14ac:dyDescent="0.25">
      <c r="A987" s="13" t="str">
        <f>IF(AND($E987="",MAX($A$8:$A986)=0),"",IF(AND($E987&lt;&gt;"",MAX($A$8:$A986)=0),1,IF(AND($E987&lt;&gt;"",MAX($A$8:$A986)&gt;0),MAX($A$8:$A986)+1,"")))</f>
        <v/>
      </c>
      <c r="B987" s="11">
        <v>980</v>
      </c>
      <c r="C987" s="19" t="str">
        <f t="shared" si="30"/>
        <v>EMPTY</v>
      </c>
      <c r="D987" s="3" t="str">
        <f>IF(C987="SHOW",CONCATENATE(Temp!T983,Temp!U983,",",Temp!V983,",",Temp!W983,Temp!X983),"")</f>
        <v/>
      </c>
      <c r="E987" s="7"/>
      <c r="F987" s="8" t="str">
        <f t="shared" si="31"/>
        <v/>
      </c>
    </row>
    <row r="988" spans="1:6" x14ac:dyDescent="0.25">
      <c r="A988" s="13" t="str">
        <f>IF(AND($E988="",MAX($A$8:$A987)=0),"",IF(AND($E988&lt;&gt;"",MAX($A$8:$A987)=0),1,IF(AND($E988&lt;&gt;"",MAX($A$8:$A987)&gt;0),MAX($A$8:$A987)+1,"")))</f>
        <v/>
      </c>
      <c r="B988" s="11">
        <v>981</v>
      </c>
      <c r="C988" s="19" t="str">
        <f t="shared" si="30"/>
        <v>EMPTY</v>
      </c>
      <c r="D988" s="3" t="str">
        <f>IF(C988="SHOW",CONCATENATE(Temp!T984,Temp!U984,",",Temp!V984,",",Temp!W984,Temp!X984),"")</f>
        <v/>
      </c>
      <c r="E988" s="7"/>
      <c r="F988" s="8" t="str">
        <f t="shared" si="31"/>
        <v/>
      </c>
    </row>
    <row r="989" spans="1:6" x14ac:dyDescent="0.25">
      <c r="A989" s="13" t="str">
        <f>IF(AND($E989="",MAX($A$8:$A988)=0),"",IF(AND($E989&lt;&gt;"",MAX($A$8:$A988)=0),1,IF(AND($E989&lt;&gt;"",MAX($A$8:$A988)&gt;0),MAX($A$8:$A988)+1,"")))</f>
        <v/>
      </c>
      <c r="B989" s="11">
        <v>982</v>
      </c>
      <c r="C989" s="19" t="str">
        <f t="shared" si="30"/>
        <v>EMPTY</v>
      </c>
      <c r="D989" s="3" t="str">
        <f>IF(C989="SHOW",CONCATENATE(Temp!T985,Temp!U985,",",Temp!V985,",",Temp!W985,Temp!X985),"")</f>
        <v/>
      </c>
      <c r="E989" s="7"/>
      <c r="F989" s="8" t="str">
        <f t="shared" si="31"/>
        <v/>
      </c>
    </row>
    <row r="990" spans="1:6" x14ac:dyDescent="0.25">
      <c r="A990" s="13" t="str">
        <f>IF(AND($E990="",MAX($A$8:$A989)=0),"",IF(AND($E990&lt;&gt;"",MAX($A$8:$A989)=0),1,IF(AND($E990&lt;&gt;"",MAX($A$8:$A989)&gt;0),MAX($A$8:$A989)+1,"")))</f>
        <v/>
      </c>
      <c r="B990" s="11">
        <v>983</v>
      </c>
      <c r="C990" s="19" t="str">
        <f t="shared" si="30"/>
        <v>EMPTY</v>
      </c>
      <c r="D990" s="3" t="str">
        <f>IF(C990="SHOW",CONCATENATE(Temp!T986,Temp!U986,",",Temp!V986,",",Temp!W986,Temp!X986),"")</f>
        <v/>
      </c>
      <c r="E990" s="7"/>
      <c r="F990" s="8" t="str">
        <f t="shared" si="31"/>
        <v/>
      </c>
    </row>
    <row r="991" spans="1:6" x14ac:dyDescent="0.25">
      <c r="A991" s="13" t="str">
        <f>IF(AND($E991="",MAX($A$8:$A990)=0),"",IF(AND($E991&lt;&gt;"",MAX($A$8:$A990)=0),1,IF(AND($E991&lt;&gt;"",MAX($A$8:$A990)&gt;0),MAX($A$8:$A990)+1,"")))</f>
        <v/>
      </c>
      <c r="B991" s="11">
        <v>984</v>
      </c>
      <c r="C991" s="19" t="str">
        <f t="shared" si="30"/>
        <v>EMPTY</v>
      </c>
      <c r="D991" s="3" t="str">
        <f>IF(C991="SHOW",CONCATENATE(Temp!T987,Temp!U987,",",Temp!V987,",",Temp!W987,Temp!X987),"")</f>
        <v/>
      </c>
      <c r="E991" s="7"/>
      <c r="F991" s="8" t="str">
        <f t="shared" si="31"/>
        <v/>
      </c>
    </row>
    <row r="992" spans="1:6" x14ac:dyDescent="0.25">
      <c r="A992" s="13" t="str">
        <f>IF(AND($E992="",MAX($A$8:$A991)=0),"",IF(AND($E992&lt;&gt;"",MAX($A$8:$A991)=0),1,IF(AND($E992&lt;&gt;"",MAX($A$8:$A991)&gt;0),MAX($A$8:$A991)+1,"")))</f>
        <v/>
      </c>
      <c r="B992" s="11">
        <v>985</v>
      </c>
      <c r="C992" s="19" t="str">
        <f t="shared" si="30"/>
        <v>EMPTY</v>
      </c>
      <c r="D992" s="3" t="str">
        <f>IF(C992="SHOW",CONCATENATE(Temp!T988,Temp!U988,",",Temp!V988,",",Temp!W988,Temp!X988),"")</f>
        <v/>
      </c>
      <c r="E992" s="7"/>
      <c r="F992" s="8" t="str">
        <f t="shared" si="31"/>
        <v/>
      </c>
    </row>
    <row r="993" spans="1:6" x14ac:dyDescent="0.25">
      <c r="A993" s="13" t="str">
        <f>IF(AND($E993="",MAX($A$8:$A992)=0),"",IF(AND($E993&lt;&gt;"",MAX($A$8:$A992)=0),1,IF(AND($E993&lt;&gt;"",MAX($A$8:$A992)&gt;0),MAX($A$8:$A992)+1,"")))</f>
        <v/>
      </c>
      <c r="B993" s="11">
        <v>986</v>
      </c>
      <c r="C993" s="19" t="str">
        <f t="shared" si="30"/>
        <v>EMPTY</v>
      </c>
      <c r="D993" s="3" t="str">
        <f>IF(C993="SHOW",CONCATENATE(Temp!T989,Temp!U989,",",Temp!V989,",",Temp!W989,Temp!X989),"")</f>
        <v/>
      </c>
      <c r="E993" s="7"/>
      <c r="F993" s="8" t="str">
        <f t="shared" si="31"/>
        <v/>
      </c>
    </row>
    <row r="994" spans="1:6" x14ac:dyDescent="0.25">
      <c r="A994" s="13" t="str">
        <f>IF(AND($E994="",MAX($A$8:$A993)=0),"",IF(AND($E994&lt;&gt;"",MAX($A$8:$A993)=0),1,IF(AND($E994&lt;&gt;"",MAX($A$8:$A993)&gt;0),MAX($A$8:$A993)+1,"")))</f>
        <v/>
      </c>
      <c r="B994" s="11">
        <v>987</v>
      </c>
      <c r="C994" s="19" t="str">
        <f t="shared" si="30"/>
        <v>EMPTY</v>
      </c>
      <c r="D994" s="3" t="str">
        <f>IF(C994="SHOW",CONCATENATE(Temp!T990,Temp!U990,",",Temp!V990,",",Temp!W990,Temp!X990),"")</f>
        <v/>
      </c>
      <c r="E994" s="7"/>
      <c r="F994" s="8" t="str">
        <f t="shared" si="31"/>
        <v/>
      </c>
    </row>
    <row r="995" spans="1:6" x14ac:dyDescent="0.25">
      <c r="A995" s="13" t="str">
        <f>IF(AND($E995="",MAX($A$8:$A994)=0),"",IF(AND($E995&lt;&gt;"",MAX($A$8:$A994)=0),1,IF(AND($E995&lt;&gt;"",MAX($A$8:$A994)&gt;0),MAX($A$8:$A994)+1,"")))</f>
        <v/>
      </c>
      <c r="B995" s="11">
        <v>988</v>
      </c>
      <c r="C995" s="19" t="str">
        <f t="shared" si="30"/>
        <v>EMPTY</v>
      </c>
      <c r="D995" s="3" t="str">
        <f>IF(C995="SHOW",CONCATENATE(Temp!T991,Temp!U991,",",Temp!V991,",",Temp!W991,Temp!X991),"")</f>
        <v/>
      </c>
      <c r="E995" s="7"/>
      <c r="F995" s="8" t="str">
        <f t="shared" si="31"/>
        <v/>
      </c>
    </row>
    <row r="996" spans="1:6" x14ac:dyDescent="0.25">
      <c r="A996" s="13" t="str">
        <f>IF(AND($E996="",MAX($A$8:$A995)=0),"",IF(AND($E996&lt;&gt;"",MAX($A$8:$A995)=0),1,IF(AND($E996&lt;&gt;"",MAX($A$8:$A995)&gt;0),MAX($A$8:$A995)+1,"")))</f>
        <v/>
      </c>
      <c r="B996" s="11">
        <v>989</v>
      </c>
      <c r="C996" s="19" t="str">
        <f t="shared" si="30"/>
        <v>EMPTY</v>
      </c>
      <c r="D996" s="3" t="str">
        <f>IF(C996="SHOW",CONCATENATE(Temp!T992,Temp!U992,",",Temp!V992,",",Temp!W992,Temp!X992),"")</f>
        <v/>
      </c>
      <c r="E996" s="7"/>
      <c r="F996" s="8" t="str">
        <f t="shared" si="31"/>
        <v/>
      </c>
    </row>
    <row r="997" spans="1:6" x14ac:dyDescent="0.25">
      <c r="A997" s="13" t="str">
        <f>IF(AND($E997="",MAX($A$8:$A996)=0),"",IF(AND($E997&lt;&gt;"",MAX($A$8:$A996)=0),1,IF(AND($E997&lt;&gt;"",MAX($A$8:$A996)&gt;0),MAX($A$8:$A996)+1,"")))</f>
        <v/>
      </c>
      <c r="B997" s="11">
        <v>990</v>
      </c>
      <c r="C997" s="19" t="str">
        <f t="shared" si="30"/>
        <v>EMPTY</v>
      </c>
      <c r="D997" s="3" t="str">
        <f>IF(C997="SHOW",CONCATENATE(Temp!T993,Temp!U993,",",Temp!V993,",",Temp!W993,Temp!X993),"")</f>
        <v/>
      </c>
      <c r="E997" s="7"/>
      <c r="F997" s="8" t="str">
        <f t="shared" si="31"/>
        <v/>
      </c>
    </row>
    <row r="998" spans="1:6" x14ac:dyDescent="0.25">
      <c r="A998" s="13" t="str">
        <f>IF(AND($E998="",MAX($A$8:$A997)=0),"",IF(AND($E998&lt;&gt;"",MAX($A$8:$A997)=0),1,IF(AND($E998&lt;&gt;"",MAX($A$8:$A997)&gt;0),MAX($A$8:$A997)+1,"")))</f>
        <v/>
      </c>
      <c r="B998" s="11">
        <v>991</v>
      </c>
      <c r="C998" s="19" t="str">
        <f t="shared" si="30"/>
        <v>EMPTY</v>
      </c>
      <c r="D998" s="3" t="str">
        <f>IF(C998="SHOW",CONCATENATE(Temp!T994,Temp!U994,",",Temp!V994,",",Temp!W994,Temp!X994),"")</f>
        <v/>
      </c>
      <c r="E998" s="7"/>
      <c r="F998" s="8" t="str">
        <f t="shared" si="31"/>
        <v/>
      </c>
    </row>
    <row r="999" spans="1:6" x14ac:dyDescent="0.25">
      <c r="A999" s="13" t="str">
        <f>IF(AND($E999="",MAX($A$8:$A998)=0),"",IF(AND($E999&lt;&gt;"",MAX($A$8:$A998)=0),1,IF(AND($E999&lt;&gt;"",MAX($A$8:$A998)&gt;0),MAX($A$8:$A998)+1,"")))</f>
        <v/>
      </c>
      <c r="B999" s="11">
        <v>992</v>
      </c>
      <c r="C999" s="19" t="str">
        <f t="shared" si="30"/>
        <v>EMPTY</v>
      </c>
      <c r="D999" s="3" t="str">
        <f>IF(C999="SHOW",CONCATENATE(Temp!T995,Temp!U995,",",Temp!V995,",",Temp!W995,Temp!X995),"")</f>
        <v/>
      </c>
      <c r="E999" s="7"/>
      <c r="F999" s="8" t="str">
        <f t="shared" si="31"/>
        <v/>
      </c>
    </row>
    <row r="1000" spans="1:6" x14ac:dyDescent="0.25">
      <c r="A1000" s="13" t="str">
        <f>IF(AND($E1000="",MAX($A$8:$A999)=0),"",IF(AND($E1000&lt;&gt;"",MAX($A$8:$A999)=0),1,IF(AND($E1000&lt;&gt;"",MAX($A$8:$A999)&gt;0),MAX($A$8:$A999)+1,"")))</f>
        <v/>
      </c>
      <c r="B1000" s="11">
        <v>993</v>
      </c>
      <c r="C1000" s="19" t="str">
        <f t="shared" si="30"/>
        <v>EMPTY</v>
      </c>
      <c r="D1000" s="3" t="str">
        <f>IF(C1000="SHOW",CONCATENATE(Temp!T996,Temp!U996,",",Temp!V996,",",Temp!W996,Temp!X996),"")</f>
        <v/>
      </c>
      <c r="E1000" s="7"/>
      <c r="F1000" s="8" t="str">
        <f t="shared" si="31"/>
        <v/>
      </c>
    </row>
    <row r="1001" spans="1:6" x14ac:dyDescent="0.25">
      <c r="A1001" s="13" t="str">
        <f>IF(AND($E1001="",MAX($A$8:$A1000)=0),"",IF(AND($E1001&lt;&gt;"",MAX($A$8:$A1000)=0),1,IF(AND($E1001&lt;&gt;"",MAX($A$8:$A1000)&gt;0),MAX($A$8:$A1000)+1,"")))</f>
        <v/>
      </c>
      <c r="B1001" s="11">
        <v>994</v>
      </c>
      <c r="C1001" s="19" t="str">
        <f t="shared" si="30"/>
        <v>EMPTY</v>
      </c>
      <c r="D1001" s="3" t="str">
        <f>IF(C1001="SHOW",CONCATENATE(Temp!T997,Temp!U997,",",Temp!V997,",",Temp!W997,Temp!X997),"")</f>
        <v/>
      </c>
      <c r="E1001" s="7"/>
      <c r="F1001" s="8" t="str">
        <f t="shared" si="31"/>
        <v/>
      </c>
    </row>
    <row r="1002" spans="1:6" x14ac:dyDescent="0.25">
      <c r="A1002" s="13" t="str">
        <f>IF(AND($E1002="",MAX($A$8:$A1001)=0),"",IF(AND($E1002&lt;&gt;"",MAX($A$8:$A1001)=0),1,IF(AND($E1002&lt;&gt;"",MAX($A$8:$A1001)&gt;0),MAX($A$8:$A1001)+1,"")))</f>
        <v/>
      </c>
      <c r="B1002" s="11">
        <v>995</v>
      </c>
      <c r="C1002" s="19" t="str">
        <f t="shared" si="30"/>
        <v>EMPTY</v>
      </c>
      <c r="D1002" s="3" t="str">
        <f>IF(C1002="SHOW",CONCATENATE(Temp!T998,Temp!U998,",",Temp!V998,",",Temp!W998,Temp!X998),"")</f>
        <v/>
      </c>
      <c r="E1002" s="7"/>
      <c r="F1002" s="8" t="str">
        <f t="shared" si="31"/>
        <v/>
      </c>
    </row>
    <row r="1003" spans="1:6" x14ac:dyDescent="0.25">
      <c r="A1003" s="13" t="str">
        <f>IF(AND($E1003="",MAX($A$8:$A1002)=0),"",IF(AND($E1003&lt;&gt;"",MAX($A$8:$A1002)=0),1,IF(AND($E1003&lt;&gt;"",MAX($A$8:$A1002)&gt;0),MAX($A$8:$A1002)+1,"")))</f>
        <v/>
      </c>
      <c r="B1003" s="11">
        <v>996</v>
      </c>
      <c r="C1003" s="19" t="str">
        <f t="shared" si="30"/>
        <v>EMPTY</v>
      </c>
      <c r="D1003" s="3" t="str">
        <f>IF(C1003="SHOW",CONCATENATE(Temp!T999,Temp!U999,",",Temp!V999,",",Temp!W999,Temp!X999),"")</f>
        <v/>
      </c>
      <c r="E1003" s="7"/>
      <c r="F1003" s="8" t="str">
        <f t="shared" si="31"/>
        <v/>
      </c>
    </row>
    <row r="1004" spans="1:6" x14ac:dyDescent="0.25">
      <c r="A1004" s="13" t="str">
        <f>IF(AND($E1004="",MAX($A$8:$A1003)=0),"",IF(AND($E1004&lt;&gt;"",MAX($A$8:$A1003)=0),1,IF(AND($E1004&lt;&gt;"",MAX($A$8:$A1003)&gt;0),MAX($A$8:$A1003)+1,"")))</f>
        <v/>
      </c>
      <c r="B1004" s="11">
        <v>997</v>
      </c>
      <c r="C1004" s="19" t="str">
        <f t="shared" si="30"/>
        <v>EMPTY</v>
      </c>
      <c r="D1004" s="3" t="str">
        <f>IF(C1004="SHOW",CONCATENATE(Temp!T1000,Temp!U1000,",",Temp!V1000,",",Temp!W1000,Temp!X1000),"")</f>
        <v/>
      </c>
      <c r="E1004" s="7"/>
      <c r="F1004" s="8" t="str">
        <f t="shared" si="31"/>
        <v/>
      </c>
    </row>
    <row r="1005" spans="1:6" x14ac:dyDescent="0.25">
      <c r="A1005" s="13" t="str">
        <f>IF(AND($E1005="",MAX($A$8:$A1004)=0),"",IF(AND($E1005&lt;&gt;"",MAX($A$8:$A1004)=0),1,IF(AND($E1005&lt;&gt;"",MAX($A$8:$A1004)&gt;0),MAX($A$8:$A1004)+1,"")))</f>
        <v/>
      </c>
      <c r="B1005" s="11">
        <v>998</v>
      </c>
      <c r="C1005" s="19" t="str">
        <f t="shared" si="30"/>
        <v>EMPTY</v>
      </c>
      <c r="D1005" s="3" t="str">
        <f>IF(C1005="SHOW",CONCATENATE(Temp!T1001,Temp!U1001,",",Temp!V1001,",",Temp!W1001,Temp!X1001),"")</f>
        <v/>
      </c>
      <c r="E1005" s="7"/>
      <c r="F1005" s="8" t="str">
        <f t="shared" si="31"/>
        <v/>
      </c>
    </row>
    <row r="1006" spans="1:6" x14ac:dyDescent="0.25">
      <c r="A1006" s="13" t="str">
        <f>IF(AND($E1006="",MAX($A$8:$A1005)=0),"",IF(AND($E1006&lt;&gt;"",MAX($A$8:$A1005)=0),1,IF(AND($E1006&lt;&gt;"",MAX($A$8:$A1005)&gt;0),MAX($A$8:$A1005)+1,"")))</f>
        <v/>
      </c>
      <c r="B1006" s="11">
        <v>999</v>
      </c>
      <c r="C1006" s="19" t="str">
        <f t="shared" si="30"/>
        <v>EMPTY</v>
      </c>
      <c r="D1006" s="3" t="str">
        <f>IF(C1006="SHOW",CONCATENATE(Temp!T1002,Temp!U1002,",",Temp!V1002,",",Temp!W1002,Temp!X1002),"")</f>
        <v/>
      </c>
      <c r="E1006" s="7"/>
      <c r="F1006" s="8" t="str">
        <f t="shared" si="31"/>
        <v/>
      </c>
    </row>
    <row r="1007" spans="1:6" x14ac:dyDescent="0.25">
      <c r="A1007" s="13" t="str">
        <f>IF(AND($E1007="",MAX($A$8:$A1006)=0),"",IF(AND($E1007&lt;&gt;"",MAX($A$8:$A1006)=0),1,IF(AND($E1007&lt;&gt;"",MAX($A$8:$A1006)&gt;0),MAX($A$8:$A1006)+1,"")))</f>
        <v/>
      </c>
      <c r="B1007" s="11">
        <v>1000</v>
      </c>
      <c r="C1007" s="19" t="str">
        <f t="shared" si="30"/>
        <v>EMPTY</v>
      </c>
      <c r="D1007" s="3" t="str">
        <f>IF(C1007="SHOW",CONCATENATE(Temp!T1003,Temp!U1003,",",Temp!V1003,",",Temp!W1003,Temp!X1003),"")</f>
        <v/>
      </c>
      <c r="E1007" s="7"/>
      <c r="F1007" s="8" t="str">
        <f t="shared" si="31"/>
        <v/>
      </c>
    </row>
    <row r="1008" spans="1:6" x14ac:dyDescent="0.25">
      <c r="A1008" s="52" t="s">
        <v>18</v>
      </c>
      <c r="B1008" s="52"/>
      <c r="C1008" s="52"/>
      <c r="D1008" s="52"/>
      <c r="E1008" s="52"/>
      <c r="F1008" s="52"/>
    </row>
    <row r="1009" spans="1:6" x14ac:dyDescent="0.25">
      <c r="A1009" s="52"/>
      <c r="B1009" s="52"/>
      <c r="C1009" s="52"/>
      <c r="D1009" s="52"/>
      <c r="E1009" s="52"/>
      <c r="F1009" s="52"/>
    </row>
    <row r="1010" spans="1:6" hidden="1" x14ac:dyDescent="0.25">
      <c r="A1010" s="10"/>
      <c r="B1010" s="10"/>
      <c r="C1010" s="21"/>
      <c r="D1010" s="6"/>
      <c r="E1010" s="6"/>
    </row>
    <row r="1011" spans="1:6" hidden="1" x14ac:dyDescent="0.25">
      <c r="A1011" s="10"/>
      <c r="B1011" s="10"/>
      <c r="C1011" s="21"/>
      <c r="D1011" s="6"/>
      <c r="E1011" s="6"/>
    </row>
    <row r="1012" spans="1:6" hidden="1" x14ac:dyDescent="0.25">
      <c r="A1012" s="10"/>
      <c r="B1012" s="10"/>
      <c r="C1012" s="21"/>
      <c r="D1012" s="6"/>
      <c r="E1012" s="6"/>
    </row>
    <row r="1013" spans="1:6" hidden="1" x14ac:dyDescent="0.25">
      <c r="A1013" s="10"/>
      <c r="B1013" s="10"/>
      <c r="C1013" s="21"/>
      <c r="D1013" s="6"/>
      <c r="E1013" s="6"/>
    </row>
    <row r="1014" spans="1:6" hidden="1" x14ac:dyDescent="0.25">
      <c r="A1014" s="10"/>
      <c r="B1014" s="10"/>
      <c r="C1014" s="21"/>
      <c r="D1014" s="6"/>
      <c r="E1014" s="6"/>
    </row>
    <row r="1015" spans="1:6" hidden="1" x14ac:dyDescent="0.25">
      <c r="A1015" s="10"/>
      <c r="B1015" s="10"/>
      <c r="C1015" s="21"/>
      <c r="D1015" s="6"/>
      <c r="E1015" s="6"/>
    </row>
  </sheetData>
  <mergeCells count="2">
    <mergeCell ref="A6:F6"/>
    <mergeCell ref="A1008:F1009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N1004"/>
  <sheetViews>
    <sheetView workbookViewId="0">
      <pane xSplit="1" ySplit="3" topLeftCell="B52" activePane="bottomRight" state="frozen"/>
      <selection pane="topRight" activeCell="B1" sqref="B1"/>
      <selection pane="bottomLeft" activeCell="A4" sqref="A4"/>
      <selection pane="bottomRight" activeCell="D9" sqref="D9"/>
    </sheetView>
  </sheetViews>
  <sheetFormatPr defaultColWidth="0" defaultRowHeight="15" zeroHeight="1" x14ac:dyDescent="0.25"/>
  <cols>
    <col min="1" max="6" width="9.140625" style="25" customWidth="1"/>
    <col min="7" max="7" width="11.42578125" style="23" bestFit="1" customWidth="1"/>
    <col min="8" max="8" width="11.140625" style="24" bestFit="1" customWidth="1"/>
    <col min="9" max="9" width="13" style="24" customWidth="1"/>
    <col min="10" max="10" width="13.5703125" style="23" bestFit="1" customWidth="1"/>
    <col min="11" max="13" width="9.140625" style="23" customWidth="1"/>
    <col min="14" max="19" width="9.140625" style="25" customWidth="1"/>
    <col min="20" max="20" width="11.42578125" style="23" bestFit="1" customWidth="1"/>
    <col min="21" max="21" width="11.140625" style="24" bestFit="1" customWidth="1"/>
    <col min="22" max="22" width="13" style="24" customWidth="1"/>
    <col min="23" max="23" width="13.5703125" style="23" bestFit="1" customWidth="1"/>
    <col min="24" max="26" width="9.140625" style="23" customWidth="1"/>
    <col min="27" max="40" width="0" style="23" hidden="1" customWidth="1"/>
    <col min="41" max="16384" width="9.140625" style="23" hidden="1"/>
  </cols>
  <sheetData>
    <row r="1" spans="1:26" ht="15" customHeight="1" x14ac:dyDescent="0.25">
      <c r="A1" s="53" t="s">
        <v>7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 t="s">
        <v>8</v>
      </c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26" ht="15" customHeight="1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1:26" x14ac:dyDescent="0.25">
      <c r="A3" s="26" t="s">
        <v>6</v>
      </c>
      <c r="B3" s="26" t="s">
        <v>14</v>
      </c>
      <c r="C3" s="26" t="s">
        <v>15</v>
      </c>
      <c r="D3" s="26" t="s">
        <v>16</v>
      </c>
      <c r="E3" s="26" t="s">
        <v>9</v>
      </c>
      <c r="F3" s="26" t="s">
        <v>17</v>
      </c>
      <c r="G3" s="26" t="s">
        <v>12</v>
      </c>
      <c r="H3" s="26" t="s">
        <v>10</v>
      </c>
      <c r="I3" s="26" t="s">
        <v>11</v>
      </c>
      <c r="J3" s="26" t="s">
        <v>13</v>
      </c>
      <c r="K3" s="26" t="s">
        <v>1</v>
      </c>
      <c r="L3" s="27"/>
      <c r="M3" s="26"/>
      <c r="N3" s="26" t="s">
        <v>6</v>
      </c>
      <c r="O3" s="26" t="s">
        <v>14</v>
      </c>
      <c r="P3" s="26" t="s">
        <v>15</v>
      </c>
      <c r="Q3" s="26" t="s">
        <v>16</v>
      </c>
      <c r="R3" s="26" t="s">
        <v>9</v>
      </c>
      <c r="S3" s="26" t="s">
        <v>17</v>
      </c>
      <c r="T3" s="26" t="s">
        <v>12</v>
      </c>
      <c r="U3" s="26" t="s">
        <v>10</v>
      </c>
      <c r="V3" s="26" t="s">
        <v>11</v>
      </c>
      <c r="W3" s="26" t="s">
        <v>13</v>
      </c>
      <c r="X3" s="26" t="s">
        <v>1</v>
      </c>
      <c r="Y3" s="27"/>
      <c r="Z3" s="26"/>
    </row>
    <row r="4" spans="1:26" x14ac:dyDescent="0.25">
      <c r="A4" s="26">
        <v>1</v>
      </c>
      <c r="B4" s="24" t="str">
        <f>IF('ASS START SYNC'!C8="SHOW",FIND(",",'ASS START SYNC'!E8,1),"")</f>
        <v/>
      </c>
      <c r="C4" s="24" t="str">
        <f>IF('ASS START SYNC'!C8="SHOW",FIND(",",'ASS START SYNC'!E8,B4+1),"")</f>
        <v/>
      </c>
      <c r="D4" s="24" t="str">
        <f>IF('ASS START SYNC'!C8="SHOW",FIND(",",'ASS START SYNC'!E8,C4+1),"")</f>
        <v/>
      </c>
      <c r="E4" s="25" t="str">
        <f>IF('ASS START SYNC'!C8="SHOW",FIND(",,",'ASS START SYNC'!E8,1),"")</f>
        <v/>
      </c>
      <c r="F4" s="25" t="str">
        <f>IF('ASS START SYNC'!C8="SHOW",FIND(",,",'ASS START SYNC'!E8,E4+1),"")</f>
        <v/>
      </c>
      <c r="G4" s="23" t="str">
        <f>IF('ASS START SYNC'!C8="SHOW",LEFT('ASS START SYNC'!E8,B4),"")</f>
        <v/>
      </c>
      <c r="H4" s="24" t="str">
        <f>IF('ASS START SYNC'!C8="SHOW",MID('ASS START SYNC'!E8,B4+1,10),"")</f>
        <v/>
      </c>
      <c r="I4" s="24" t="str">
        <f>IF('ASS START SYNC'!C8="SHOW",MID('ASS START SYNC'!E8,C4+1,D4-(C4+1)),"")</f>
        <v/>
      </c>
      <c r="J4" s="23" t="str">
        <f>IF('ASS START SYNC'!C8="SHOW",MID('ASS START SYNC'!E8,D4+1,F4-D4+1),"")</f>
        <v/>
      </c>
      <c r="K4" s="23" t="str">
        <f>IF('ASS START SYNC'!C8="SHOW",MID('ASS START SYNC'!E8,F4+2,1000),"")</f>
        <v/>
      </c>
      <c r="M4" s="24"/>
      <c r="N4" s="26">
        <v>1</v>
      </c>
      <c r="O4" s="24" t="str">
        <f>IF('ASS END SYNC'!C8="SHOW",FIND(",",'ASS END SYNC'!E8,1),"")</f>
        <v/>
      </c>
      <c r="P4" s="24" t="str">
        <f>IF('ASS END SYNC'!C8="SHOW",FIND(",",'ASS END SYNC'!E8,O4+1),"")</f>
        <v/>
      </c>
      <c r="Q4" s="24" t="str">
        <f>IF('ASS END SYNC'!C8="SHOW",FIND(",",'ASS END SYNC'!E8,P4+1),"")</f>
        <v/>
      </c>
      <c r="R4" s="25" t="str">
        <f>IF('ASS END SYNC'!C8="SHOW",FIND(",,",'ASS END SYNC'!E8,1),"")</f>
        <v/>
      </c>
      <c r="S4" s="25" t="str">
        <f>IF('ASS END SYNC'!C8="SHOW",FIND(",,",'ASS END SYNC'!E8,R4+1),"")</f>
        <v/>
      </c>
      <c r="T4" s="23" t="str">
        <f>IF('ASS END SYNC'!C8="SHOW",LEFT('ASS END SYNC'!E8,O4),"")</f>
        <v/>
      </c>
      <c r="U4" s="24" t="str">
        <f>IF('ASS END SYNC'!C8="SHOW",MID('ASS END SYNC'!E8,O4+1,10),"")</f>
        <v/>
      </c>
      <c r="V4" s="24" t="str">
        <f>IF(AND('ASS END SYNC'!C8="SHOW",'ASS END SYNC'!C9="SHOW"),U5,IF(AND('ASS END SYNC'!C8="SHOW",'ASS END SYNC'!C9&lt;&gt;"SHOW"),MID('ASS END SYNC'!E8,O4+1,P4-O4-1),""))</f>
        <v/>
      </c>
      <c r="W4" s="23" t="str">
        <f>IF('ASS END SYNC'!C8="SHOW",MID('ASS END SYNC'!E8,Q4+1,S4-Q4+1),"")</f>
        <v/>
      </c>
      <c r="X4" s="23" t="str">
        <f>IF('ASS END SYNC'!C8="SHOW",MID('ASS END SYNC'!E8,S4+2,1000),"")</f>
        <v/>
      </c>
      <c r="Z4" s="24"/>
    </row>
    <row r="5" spans="1:26" x14ac:dyDescent="0.25">
      <c r="A5" s="26">
        <v>2</v>
      </c>
      <c r="B5" s="24" t="str">
        <f>IF('ASS START SYNC'!C9="SHOW",FIND(",",'ASS START SYNC'!E9,1),"")</f>
        <v/>
      </c>
      <c r="C5" s="24" t="str">
        <f>IF('ASS START SYNC'!C9="SHOW",FIND(",",'ASS START SYNC'!E9,B5+1),"")</f>
        <v/>
      </c>
      <c r="D5" s="24" t="str">
        <f>IF('ASS START SYNC'!C9="SHOW",FIND(",",'ASS START SYNC'!E9,C5+1),"")</f>
        <v/>
      </c>
      <c r="E5" s="25" t="str">
        <f>IF('ASS START SYNC'!C9="SHOW",FIND(",,",'ASS START SYNC'!E9,1),"")</f>
        <v/>
      </c>
      <c r="F5" s="25" t="str">
        <f>IF('ASS START SYNC'!C9="SHOW",FIND(",,",'ASS START SYNC'!E9,E5+1),"")</f>
        <v/>
      </c>
      <c r="G5" s="23" t="str">
        <f>IF('ASS START SYNC'!C9="SHOW",LEFT('ASS START SYNC'!E9,B5),"")</f>
        <v/>
      </c>
      <c r="H5" s="24" t="str">
        <f>IF(AND('ASS START SYNC'!C9="SHOW",COUNTA('ASS START SYNC'!$E$8:'ASS START SYNC'!E8)=0),MID('ASS START SYNC'!E9,B5+1,C5-B5-1),IF(AND('ASS START SYNC'!C9="SHOW",COUNTA('ASS START SYNC'!$E$8:'ASS START SYNC'!E8)&lt;&gt;0),I4,""))</f>
        <v/>
      </c>
      <c r="I5" s="24" t="str">
        <f>IF('ASS START SYNC'!C9="SHOW",MID('ASS START SYNC'!E9,C5+1,D5-C5-1),I4)</f>
        <v/>
      </c>
      <c r="J5" s="23" t="str">
        <f>IF('ASS START SYNC'!C9="SHOW",MID('ASS START SYNC'!E9,D5+1,F5-D5+1),"")</f>
        <v/>
      </c>
      <c r="K5" s="23" t="str">
        <f>IF('ASS START SYNC'!C9="SHOW",MID('ASS START SYNC'!E9,F5+2,1000),"")</f>
        <v/>
      </c>
      <c r="M5" s="24"/>
      <c r="N5" s="26">
        <v>2</v>
      </c>
      <c r="O5" s="24" t="str">
        <f>IF('ASS END SYNC'!C9="SHOW",FIND(",",'ASS END SYNC'!E9,1),"")</f>
        <v/>
      </c>
      <c r="P5" s="24" t="str">
        <f>IF('ASS END SYNC'!C9="SHOW",FIND(",",'ASS END SYNC'!E9,O5+1),"")</f>
        <v/>
      </c>
      <c r="Q5" s="24" t="str">
        <f>IF('ASS END SYNC'!C9="SHOW",FIND(",",'ASS END SYNC'!E9,P5+1),"")</f>
        <v/>
      </c>
      <c r="R5" s="25" t="str">
        <f>IF('ASS END SYNC'!C9="SHOW",FIND(",,",'ASS END SYNC'!E9,1),"")</f>
        <v/>
      </c>
      <c r="S5" s="25" t="str">
        <f>IF('ASS END SYNC'!C9="SHOW",FIND(",,",'ASS END SYNC'!E9,R5+1),"")</f>
        <v/>
      </c>
      <c r="T5" s="23" t="str">
        <f>IF('ASS END SYNC'!C9="SHOW",LEFT('ASS END SYNC'!E9,O5),"")</f>
        <v/>
      </c>
      <c r="U5" s="24" t="str">
        <f>IF('ASS END SYNC'!C9="SHOW",MID('ASS END SYNC'!E9,O5+1,P5-O5-1),"")</f>
        <v/>
      </c>
      <c r="V5" s="24" t="str">
        <f>IF(AND('ASS END SYNC'!C9="SHOW",'ASS END SYNC'!C10="SHOW"),U6,IF(AND('ASS END SYNC'!C9="SHOW",'ASS END SYNC'!C10&lt;&gt;"SHOW"),MID('ASS END SYNC'!E9,O5+1,P5-O5-1),""))</f>
        <v/>
      </c>
      <c r="W5" s="23" t="str">
        <f>IF('ASS END SYNC'!C9="SHOW",MID('ASS END SYNC'!E9,Q5+1,S5-Q5+1),"")</f>
        <v/>
      </c>
      <c r="X5" s="23" t="str">
        <f>IF('ASS END SYNC'!C9="SHOW",MID('ASS END SYNC'!E9,S5+2,1000),"")</f>
        <v/>
      </c>
      <c r="Z5" s="24"/>
    </row>
    <row r="6" spans="1:26" x14ac:dyDescent="0.25">
      <c r="A6" s="26">
        <v>3</v>
      </c>
      <c r="B6" s="24" t="str">
        <f>IF('ASS START SYNC'!C10="SHOW",FIND(",",'ASS START SYNC'!E10,1),"")</f>
        <v/>
      </c>
      <c r="C6" s="24" t="str">
        <f>IF('ASS START SYNC'!C10="SHOW",FIND(",",'ASS START SYNC'!E10,B6+1),"")</f>
        <v/>
      </c>
      <c r="D6" s="24" t="str">
        <f>IF('ASS START SYNC'!C10="SHOW",FIND(",",'ASS START SYNC'!E10,C6+1),"")</f>
        <v/>
      </c>
      <c r="E6" s="25" t="str">
        <f>IF('ASS START SYNC'!C10="SHOW",FIND(",,",'ASS START SYNC'!E10,1),"")</f>
        <v/>
      </c>
      <c r="F6" s="25" t="str">
        <f>IF('ASS START SYNC'!C10="SHOW",FIND(",,",'ASS START SYNC'!E10,E6+1),"")</f>
        <v/>
      </c>
      <c r="G6" s="23" t="str">
        <f>IF('ASS START SYNC'!C10="SHOW",LEFT('ASS START SYNC'!E10,B6),"")</f>
        <v/>
      </c>
      <c r="H6" s="24" t="str">
        <f>IF(AND('ASS START SYNC'!C10="SHOW",COUNTA('ASS START SYNC'!$E$8:'ASS START SYNC'!E9)=0),MID('ASS START SYNC'!E10,B6+1,C6-B6-1),IF(AND('ASS START SYNC'!C10="SHOW",COUNTA('ASS START SYNC'!$E$8:'ASS START SYNC'!E9)&lt;&gt;0),I5,""))</f>
        <v/>
      </c>
      <c r="I6" s="24" t="str">
        <f>IF('ASS START SYNC'!C10="SHOW",MID('ASS START SYNC'!E10,C6+1,D6-C6-1),I5)</f>
        <v/>
      </c>
      <c r="J6" s="23" t="str">
        <f>IF('ASS START SYNC'!C10="SHOW",MID('ASS START SYNC'!E10,D6+1,F6-D6+1),"")</f>
        <v/>
      </c>
      <c r="K6" s="23" t="str">
        <f>IF('ASS START SYNC'!C10="SHOW",MID('ASS START SYNC'!E10,F6+2,1000),"")</f>
        <v/>
      </c>
      <c r="M6" s="24"/>
      <c r="N6" s="26">
        <v>3</v>
      </c>
      <c r="O6" s="24" t="str">
        <f>IF('ASS END SYNC'!C10="SHOW",FIND(",",'ASS END SYNC'!E10,1),"")</f>
        <v/>
      </c>
      <c r="P6" s="24" t="str">
        <f>IF('ASS END SYNC'!C10="SHOW",FIND(",",'ASS END SYNC'!E10,O6+1),"")</f>
        <v/>
      </c>
      <c r="Q6" s="24" t="str">
        <f>IF('ASS END SYNC'!C10="SHOW",FIND(",",'ASS END SYNC'!E10,P6+1),"")</f>
        <v/>
      </c>
      <c r="R6" s="25" t="str">
        <f>IF('ASS END SYNC'!C10="SHOW",FIND(",,",'ASS END SYNC'!E10,1),"")</f>
        <v/>
      </c>
      <c r="S6" s="25" t="str">
        <f>IF('ASS END SYNC'!C10="SHOW",FIND(",,",'ASS END SYNC'!E10,R6+1),"")</f>
        <v/>
      </c>
      <c r="T6" s="23" t="str">
        <f>IF('ASS END SYNC'!C10="SHOW",LEFT('ASS END SYNC'!E10,O6),"")</f>
        <v/>
      </c>
      <c r="U6" s="24" t="str">
        <f>IF('ASS END SYNC'!C10="SHOW",MID('ASS END SYNC'!E10,O6+1,P6-O6-1),"")</f>
        <v/>
      </c>
      <c r="V6" s="24" t="str">
        <f>IF(AND('ASS END SYNC'!C10="SHOW",'ASS END SYNC'!C11="SHOW"),U7,IF(AND('ASS END SYNC'!C10="SHOW",'ASS END SYNC'!C11&lt;&gt;"SHOW"),MID('ASS END SYNC'!E10,O6+1,P6-O6-1),""))</f>
        <v/>
      </c>
      <c r="W6" s="23" t="str">
        <f>IF('ASS END SYNC'!C10="SHOW",MID('ASS END SYNC'!E10,Q6+1,S6-Q6+1),"")</f>
        <v/>
      </c>
      <c r="X6" s="23" t="str">
        <f>IF('ASS END SYNC'!C10="SHOW",MID('ASS END SYNC'!E10,S6+2,1000),"")</f>
        <v/>
      </c>
      <c r="Z6" s="24"/>
    </row>
    <row r="7" spans="1:26" x14ac:dyDescent="0.25">
      <c r="A7" s="26">
        <v>4</v>
      </c>
      <c r="B7" s="24" t="str">
        <f>IF('ASS START SYNC'!C11="SHOW",FIND(",",'ASS START SYNC'!E11,1),"")</f>
        <v/>
      </c>
      <c r="C7" s="24" t="str">
        <f>IF('ASS START SYNC'!C11="SHOW",FIND(",",'ASS START SYNC'!E11,B7+1),"")</f>
        <v/>
      </c>
      <c r="D7" s="24" t="str">
        <f>IF('ASS START SYNC'!C11="SHOW",FIND(",",'ASS START SYNC'!E11,C7+1),"")</f>
        <v/>
      </c>
      <c r="E7" s="25" t="str">
        <f>IF('ASS START SYNC'!C11="SHOW",FIND(",,",'ASS START SYNC'!E11,1),"")</f>
        <v/>
      </c>
      <c r="F7" s="25" t="str">
        <f>IF('ASS START SYNC'!C11="SHOW",FIND(",,",'ASS START SYNC'!E11,E7+1),"")</f>
        <v/>
      </c>
      <c r="G7" s="23" t="str">
        <f>IF('ASS START SYNC'!C11="SHOW",LEFT('ASS START SYNC'!E11,B7),"")</f>
        <v/>
      </c>
      <c r="H7" s="24" t="str">
        <f>IF(AND('ASS START SYNC'!C11="SHOW",COUNTA('ASS START SYNC'!$E$8:'ASS START SYNC'!E10)=0),MID('ASS START SYNC'!E11,B7+1,C7-B7-1),IF(AND('ASS START SYNC'!C11="SHOW",COUNTA('ASS START SYNC'!$E$8:'ASS START SYNC'!E10)&lt;&gt;0),I6,""))</f>
        <v/>
      </c>
      <c r="I7" s="24" t="str">
        <f>IF('ASS START SYNC'!C11="SHOW",MID('ASS START SYNC'!E11,C7+1,D7-C7-1),I6)</f>
        <v/>
      </c>
      <c r="J7" s="23" t="str">
        <f>IF('ASS START SYNC'!C11="SHOW",MID('ASS START SYNC'!E11,D7+1,F7-D7+1),"")</f>
        <v/>
      </c>
      <c r="K7" s="23" t="str">
        <f>IF('ASS START SYNC'!C11="SHOW",MID('ASS START SYNC'!E11,F7+2,1000),"")</f>
        <v/>
      </c>
      <c r="M7" s="24"/>
      <c r="N7" s="26">
        <v>4</v>
      </c>
      <c r="O7" s="24" t="str">
        <f>IF('ASS END SYNC'!C11="SHOW",FIND(",",'ASS END SYNC'!E11,1),"")</f>
        <v/>
      </c>
      <c r="P7" s="24" t="str">
        <f>IF('ASS END SYNC'!C11="SHOW",FIND(",",'ASS END SYNC'!E11,O7+1),"")</f>
        <v/>
      </c>
      <c r="Q7" s="24" t="str">
        <f>IF('ASS END SYNC'!C11="SHOW",FIND(",",'ASS END SYNC'!E11,P7+1),"")</f>
        <v/>
      </c>
      <c r="R7" s="25" t="str">
        <f>IF('ASS END SYNC'!C11="SHOW",FIND(",,",'ASS END SYNC'!E11,1),"")</f>
        <v/>
      </c>
      <c r="S7" s="25" t="str">
        <f>IF('ASS END SYNC'!C11="SHOW",FIND(",,",'ASS END SYNC'!E11,R7+1),"")</f>
        <v/>
      </c>
      <c r="T7" s="23" t="str">
        <f>IF('ASS END SYNC'!C11="SHOW",LEFT('ASS END SYNC'!E11,O7),"")</f>
        <v/>
      </c>
      <c r="U7" s="24" t="str">
        <f>IF('ASS END SYNC'!C11="SHOW",MID('ASS END SYNC'!E11,O7+1,P7-O7-1),"")</f>
        <v/>
      </c>
      <c r="V7" s="24" t="str">
        <f>IF(AND('ASS END SYNC'!C11="SHOW",'ASS END SYNC'!C12="SHOW"),U8,IF(AND('ASS END SYNC'!C11="SHOW",'ASS END SYNC'!C12&lt;&gt;"SHOW"),MID('ASS END SYNC'!E11,O7+1,P7-O7-1),""))</f>
        <v/>
      </c>
      <c r="W7" s="23" t="str">
        <f>IF('ASS END SYNC'!C11="SHOW",MID('ASS END SYNC'!E11,Q7+1,S7-Q7+1),"")</f>
        <v/>
      </c>
      <c r="X7" s="23" t="str">
        <f>IF('ASS END SYNC'!C11="SHOW",MID('ASS END SYNC'!E11,S7+2,1000),"")</f>
        <v/>
      </c>
      <c r="Z7" s="24"/>
    </row>
    <row r="8" spans="1:26" x14ac:dyDescent="0.25">
      <c r="A8" s="26">
        <v>5</v>
      </c>
      <c r="B8" s="24" t="str">
        <f>IF('ASS START SYNC'!C12="SHOW",FIND(",",'ASS START SYNC'!E12,1),"")</f>
        <v/>
      </c>
      <c r="C8" s="24" t="str">
        <f>IF('ASS START SYNC'!C12="SHOW",FIND(",",'ASS START SYNC'!E12,B8+1),"")</f>
        <v/>
      </c>
      <c r="D8" s="24" t="str">
        <f>IF('ASS START SYNC'!C12="SHOW",FIND(",",'ASS START SYNC'!E12,C8+1),"")</f>
        <v/>
      </c>
      <c r="E8" s="25" t="str">
        <f>IF('ASS START SYNC'!C12="SHOW",FIND(",,",'ASS START SYNC'!E12,1),"")</f>
        <v/>
      </c>
      <c r="F8" s="25" t="str">
        <f>IF('ASS START SYNC'!C12="SHOW",FIND(",,",'ASS START SYNC'!E12,E8+1),"")</f>
        <v/>
      </c>
      <c r="G8" s="23" t="str">
        <f>IF('ASS START SYNC'!C12="SHOW",LEFT('ASS START SYNC'!E12,B8),"")</f>
        <v/>
      </c>
      <c r="H8" s="24" t="str">
        <f>IF(AND('ASS START SYNC'!C12="SHOW",COUNTA('ASS START SYNC'!$E$8:'ASS START SYNC'!E11)=0),MID('ASS START SYNC'!E12,B8+1,C8-B8-1),IF(AND('ASS START SYNC'!C12="SHOW",COUNTA('ASS START SYNC'!$E$8:'ASS START SYNC'!E11)&lt;&gt;0),I7,""))</f>
        <v/>
      </c>
      <c r="I8" s="24" t="str">
        <f>IF('ASS START SYNC'!C12="SHOW",MID('ASS START SYNC'!E12,C8+1,D8-C8-1),I7)</f>
        <v/>
      </c>
      <c r="J8" s="23" t="str">
        <f>IF('ASS START SYNC'!C12="SHOW",MID('ASS START SYNC'!E12,D8+1,F8-D8+1),"")</f>
        <v/>
      </c>
      <c r="K8" s="23" t="str">
        <f>IF('ASS START SYNC'!C12="SHOW",MID('ASS START SYNC'!E12,F8+2,1000),"")</f>
        <v/>
      </c>
      <c r="M8" s="24"/>
      <c r="N8" s="26">
        <v>5</v>
      </c>
      <c r="O8" s="24" t="str">
        <f>IF('ASS END SYNC'!C12="SHOW",FIND(",",'ASS END SYNC'!E12,1),"")</f>
        <v/>
      </c>
      <c r="P8" s="24" t="str">
        <f>IF('ASS END SYNC'!C12="SHOW",FIND(",",'ASS END SYNC'!E12,O8+1),"")</f>
        <v/>
      </c>
      <c r="Q8" s="24" t="str">
        <f>IF('ASS END SYNC'!C12="SHOW",FIND(",",'ASS END SYNC'!E12,P8+1),"")</f>
        <v/>
      </c>
      <c r="R8" s="25" t="str">
        <f>IF('ASS END SYNC'!C12="SHOW",FIND(",,",'ASS END SYNC'!E12,1),"")</f>
        <v/>
      </c>
      <c r="S8" s="25" t="str">
        <f>IF('ASS END SYNC'!C12="SHOW",FIND(",,",'ASS END SYNC'!E12,R8+1),"")</f>
        <v/>
      </c>
      <c r="T8" s="23" t="str">
        <f>IF('ASS END SYNC'!C12="SHOW",LEFT('ASS END SYNC'!E12,O8),"")</f>
        <v/>
      </c>
      <c r="U8" s="24" t="str">
        <f>IF('ASS END SYNC'!C12="SHOW",MID('ASS END SYNC'!E12,O8+1,P8-O8-1),"")</f>
        <v/>
      </c>
      <c r="V8" s="24" t="str">
        <f>IF(AND('ASS END SYNC'!C12="SHOW",'ASS END SYNC'!C13="SHOW"),U9,IF(AND('ASS END SYNC'!C12="SHOW",'ASS END SYNC'!C13&lt;&gt;"SHOW"),MID('ASS END SYNC'!E12,O8+1,P8-O8-1),""))</f>
        <v/>
      </c>
      <c r="W8" s="23" t="str">
        <f>IF('ASS END SYNC'!C12="SHOW",MID('ASS END SYNC'!E12,Q8+1,S8-Q8+1),"")</f>
        <v/>
      </c>
      <c r="X8" s="23" t="str">
        <f>IF('ASS END SYNC'!C12="SHOW",MID('ASS END SYNC'!E12,S8+2,1000),"")</f>
        <v/>
      </c>
      <c r="Z8" s="24"/>
    </row>
    <row r="9" spans="1:26" x14ac:dyDescent="0.25">
      <c r="A9" s="26">
        <v>6</v>
      </c>
      <c r="B9" s="24" t="str">
        <f>IF('ASS START SYNC'!C13="SHOW",FIND(",",'ASS START SYNC'!E13,1),"")</f>
        <v/>
      </c>
      <c r="C9" s="24" t="str">
        <f>IF('ASS START SYNC'!C13="SHOW",FIND(",",'ASS START SYNC'!E13,B9+1),"")</f>
        <v/>
      </c>
      <c r="D9" s="24" t="str">
        <f>IF('ASS START SYNC'!C13="SHOW",FIND(",",'ASS START SYNC'!E13,C9+1),"")</f>
        <v/>
      </c>
      <c r="E9" s="25" t="str">
        <f>IF('ASS START SYNC'!C13="SHOW",FIND(",,",'ASS START SYNC'!E13,1),"")</f>
        <v/>
      </c>
      <c r="F9" s="25" t="str">
        <f>IF('ASS START SYNC'!C13="SHOW",FIND(",,",'ASS START SYNC'!E13,E9+1),"")</f>
        <v/>
      </c>
      <c r="G9" s="23" t="str">
        <f>IF('ASS START SYNC'!C13="SHOW",LEFT('ASS START SYNC'!E13,B9),"")</f>
        <v/>
      </c>
      <c r="H9" s="24" t="str">
        <f>IF(AND('ASS START SYNC'!C13="SHOW",COUNTA('ASS START SYNC'!$E$8:'ASS START SYNC'!E12)=0),MID('ASS START SYNC'!E13,B9+1,C9-B9-1),IF(AND('ASS START SYNC'!C13="SHOW",COUNTA('ASS START SYNC'!$E$8:'ASS START SYNC'!E12)&lt;&gt;0),I8,""))</f>
        <v/>
      </c>
      <c r="I9" s="24" t="str">
        <f>IF('ASS START SYNC'!C13="SHOW",MID('ASS START SYNC'!E13,C9+1,D9-C9-1),I8)</f>
        <v/>
      </c>
      <c r="J9" s="23" t="str">
        <f>IF('ASS START SYNC'!C13="SHOW",MID('ASS START SYNC'!E13,D9+1,F9-D9+1),"")</f>
        <v/>
      </c>
      <c r="K9" s="23" t="str">
        <f>IF('ASS START SYNC'!C13="SHOW",MID('ASS START SYNC'!E13,F9+2,1000),"")</f>
        <v/>
      </c>
      <c r="M9" s="24"/>
      <c r="N9" s="26">
        <v>6</v>
      </c>
      <c r="O9" s="24" t="str">
        <f>IF('ASS END SYNC'!C13="SHOW",FIND(",",'ASS END SYNC'!E13,1),"")</f>
        <v/>
      </c>
      <c r="P9" s="24" t="str">
        <f>IF('ASS END SYNC'!C13="SHOW",FIND(",",'ASS END SYNC'!E13,O9+1),"")</f>
        <v/>
      </c>
      <c r="Q9" s="24" t="str">
        <f>IF('ASS END SYNC'!C13="SHOW",FIND(",",'ASS END SYNC'!E13,P9+1),"")</f>
        <v/>
      </c>
      <c r="R9" s="25" t="str">
        <f>IF('ASS END SYNC'!C13="SHOW",FIND(",,",'ASS END SYNC'!E13,1),"")</f>
        <v/>
      </c>
      <c r="S9" s="25" t="str">
        <f>IF('ASS END SYNC'!C13="SHOW",FIND(",,",'ASS END SYNC'!E13,R9+1),"")</f>
        <v/>
      </c>
      <c r="T9" s="23" t="str">
        <f>IF('ASS END SYNC'!C13="SHOW",LEFT('ASS END SYNC'!E13,O9),"")</f>
        <v/>
      </c>
      <c r="U9" s="24" t="str">
        <f>IF('ASS END SYNC'!C13="SHOW",MID('ASS END SYNC'!E13,O9+1,P9-O9-1),"")</f>
        <v/>
      </c>
      <c r="V9" s="24" t="str">
        <f>IF(AND('ASS END SYNC'!C13="SHOW",'ASS END SYNC'!C14="SHOW"),U10,IF(AND('ASS END SYNC'!C13="SHOW",'ASS END SYNC'!C14&lt;&gt;"SHOW"),MID('ASS END SYNC'!E13,O9+1,P9-O9-1),""))</f>
        <v/>
      </c>
      <c r="W9" s="23" t="str">
        <f>IF('ASS END SYNC'!C13="SHOW",MID('ASS END SYNC'!E13,Q9+1,S9-Q9+1),"")</f>
        <v/>
      </c>
      <c r="X9" s="23" t="str">
        <f>IF('ASS END SYNC'!C13="SHOW",MID('ASS END SYNC'!E13,S9+2,1000),"")</f>
        <v/>
      </c>
      <c r="Z9" s="24"/>
    </row>
    <row r="10" spans="1:26" x14ac:dyDescent="0.25">
      <c r="A10" s="26">
        <v>7</v>
      </c>
      <c r="B10" s="24" t="str">
        <f>IF('ASS START SYNC'!C14="SHOW",FIND(",",'ASS START SYNC'!E14,1),"")</f>
        <v/>
      </c>
      <c r="C10" s="24" t="str">
        <f>IF('ASS START SYNC'!C14="SHOW",FIND(",",'ASS START SYNC'!E14,B10+1),"")</f>
        <v/>
      </c>
      <c r="D10" s="24" t="str">
        <f>IF('ASS START SYNC'!C14="SHOW",FIND(",",'ASS START SYNC'!E14,C10+1),"")</f>
        <v/>
      </c>
      <c r="E10" s="25" t="str">
        <f>IF('ASS START SYNC'!C14="SHOW",FIND(",,",'ASS START SYNC'!E14,1),"")</f>
        <v/>
      </c>
      <c r="F10" s="25" t="str">
        <f>IF('ASS START SYNC'!C14="SHOW",FIND(",,",'ASS START SYNC'!E14,E10+1),"")</f>
        <v/>
      </c>
      <c r="G10" s="23" t="str">
        <f>IF('ASS START SYNC'!C14="SHOW",LEFT('ASS START SYNC'!E14,B10),"")</f>
        <v/>
      </c>
      <c r="H10" s="24" t="str">
        <f>IF(AND('ASS START SYNC'!C14="SHOW",COUNTA('ASS START SYNC'!$E$8:'ASS START SYNC'!E13)=0),MID('ASS START SYNC'!E14,B10+1,C10-B10-1),IF(AND('ASS START SYNC'!C14="SHOW",COUNTA('ASS START SYNC'!$E$8:'ASS START SYNC'!E13)&lt;&gt;0),I9,""))</f>
        <v/>
      </c>
      <c r="I10" s="24" t="str">
        <f>IF('ASS START SYNC'!C14="SHOW",MID('ASS START SYNC'!E14,C10+1,D10-C10-1),I9)</f>
        <v/>
      </c>
      <c r="J10" s="23" t="str">
        <f>IF('ASS START SYNC'!C14="SHOW",MID('ASS START SYNC'!E14,D10+1,F10-D10+1),"")</f>
        <v/>
      </c>
      <c r="K10" s="23" t="str">
        <f>IF('ASS START SYNC'!C14="SHOW",MID('ASS START SYNC'!E14,F10+2,1000),"")</f>
        <v/>
      </c>
      <c r="M10" s="24"/>
      <c r="N10" s="26">
        <v>7</v>
      </c>
      <c r="O10" s="24" t="str">
        <f>IF('ASS END SYNC'!C14="SHOW",FIND(",",'ASS END SYNC'!E14,1),"")</f>
        <v/>
      </c>
      <c r="P10" s="24" t="str">
        <f>IF('ASS END SYNC'!C14="SHOW",FIND(",",'ASS END SYNC'!E14,O10+1),"")</f>
        <v/>
      </c>
      <c r="Q10" s="24" t="str">
        <f>IF('ASS END SYNC'!C14="SHOW",FIND(",",'ASS END SYNC'!E14,P10+1),"")</f>
        <v/>
      </c>
      <c r="R10" s="25" t="str">
        <f>IF('ASS END SYNC'!C14="SHOW",FIND(",,",'ASS END SYNC'!E14,1),"")</f>
        <v/>
      </c>
      <c r="S10" s="25" t="str">
        <f>IF('ASS END SYNC'!C14="SHOW",FIND(",,",'ASS END SYNC'!E14,R10+1),"")</f>
        <v/>
      </c>
      <c r="T10" s="23" t="str">
        <f>IF('ASS END SYNC'!C14="SHOW",LEFT('ASS END SYNC'!E14,O10),"")</f>
        <v/>
      </c>
      <c r="U10" s="24" t="str">
        <f>IF('ASS END SYNC'!C14="SHOW",MID('ASS END SYNC'!E14,O10+1,P10-O10-1),"")</f>
        <v/>
      </c>
      <c r="V10" s="24" t="str">
        <f>IF(AND('ASS END SYNC'!C14="SHOW",'ASS END SYNC'!C15="SHOW"),U11,IF(AND('ASS END SYNC'!C14="SHOW",'ASS END SYNC'!C15&lt;&gt;"SHOW"),MID('ASS END SYNC'!E14,O10+1,P10-O10-1),""))</f>
        <v/>
      </c>
      <c r="W10" s="23" t="str">
        <f>IF('ASS END SYNC'!C14="SHOW",MID('ASS END SYNC'!E14,Q10+1,S10-Q10+1),"")</f>
        <v/>
      </c>
      <c r="X10" s="23" t="str">
        <f>IF('ASS END SYNC'!C14="SHOW",MID('ASS END SYNC'!E14,S10+2,1000),"")</f>
        <v/>
      </c>
      <c r="Z10" s="24"/>
    </row>
    <row r="11" spans="1:26" x14ac:dyDescent="0.25">
      <c r="A11" s="26">
        <v>8</v>
      </c>
      <c r="B11" s="24" t="str">
        <f>IF('ASS START SYNC'!C15="SHOW",FIND(",",'ASS START SYNC'!E15,1),"")</f>
        <v/>
      </c>
      <c r="C11" s="24" t="str">
        <f>IF('ASS START SYNC'!C15="SHOW",FIND(",",'ASS START SYNC'!E15,B11+1),"")</f>
        <v/>
      </c>
      <c r="D11" s="24" t="str">
        <f>IF('ASS START SYNC'!C15="SHOW",FIND(",",'ASS START SYNC'!E15,C11+1),"")</f>
        <v/>
      </c>
      <c r="E11" s="25" t="str">
        <f>IF('ASS START SYNC'!C15="SHOW",FIND(",,",'ASS START SYNC'!E15,1),"")</f>
        <v/>
      </c>
      <c r="F11" s="25" t="str">
        <f>IF('ASS START SYNC'!C15="SHOW",FIND(",,",'ASS START SYNC'!E15,E11+1),"")</f>
        <v/>
      </c>
      <c r="G11" s="23" t="str">
        <f>IF('ASS START SYNC'!C15="SHOW",LEFT('ASS START SYNC'!E15,B11),"")</f>
        <v/>
      </c>
      <c r="H11" s="24" t="str">
        <f>IF(AND('ASS START SYNC'!C15="SHOW",COUNTA('ASS START SYNC'!$E$8:'ASS START SYNC'!E14)=0),MID('ASS START SYNC'!E15,B11+1,C11-B11-1),IF(AND('ASS START SYNC'!C15="SHOW",COUNTA('ASS START SYNC'!$E$8:'ASS START SYNC'!E14)&lt;&gt;0),I10,""))</f>
        <v/>
      </c>
      <c r="I11" s="24" t="str">
        <f>IF('ASS START SYNC'!C15="SHOW",MID('ASS START SYNC'!E15,C11+1,D11-C11-1),I10)</f>
        <v/>
      </c>
      <c r="J11" s="23" t="str">
        <f>IF('ASS START SYNC'!C15="SHOW",MID('ASS START SYNC'!E15,D11+1,F11-D11+1),"")</f>
        <v/>
      </c>
      <c r="K11" s="23" t="str">
        <f>IF('ASS START SYNC'!C15="SHOW",MID('ASS START SYNC'!E15,F11+2,1000),"")</f>
        <v/>
      </c>
      <c r="M11" s="24"/>
      <c r="N11" s="26">
        <v>8</v>
      </c>
      <c r="O11" s="24" t="str">
        <f>IF('ASS END SYNC'!C15="SHOW",FIND(",",'ASS END SYNC'!E15,1),"")</f>
        <v/>
      </c>
      <c r="P11" s="24" t="str">
        <f>IF('ASS END SYNC'!C15="SHOW",FIND(",",'ASS END SYNC'!E15,O11+1),"")</f>
        <v/>
      </c>
      <c r="Q11" s="24" t="str">
        <f>IF('ASS END SYNC'!C15="SHOW",FIND(",",'ASS END SYNC'!E15,P11+1),"")</f>
        <v/>
      </c>
      <c r="R11" s="25" t="str">
        <f>IF('ASS END SYNC'!C15="SHOW",FIND(",,",'ASS END SYNC'!E15,1),"")</f>
        <v/>
      </c>
      <c r="S11" s="25" t="str">
        <f>IF('ASS END SYNC'!C15="SHOW",FIND(",,",'ASS END SYNC'!E15,R11+1),"")</f>
        <v/>
      </c>
      <c r="T11" s="23" t="str">
        <f>IF('ASS END SYNC'!C15="SHOW",LEFT('ASS END SYNC'!E15,O11),"")</f>
        <v/>
      </c>
      <c r="U11" s="24" t="str">
        <f>IF('ASS END SYNC'!C15="SHOW",MID('ASS END SYNC'!E15,O11+1,P11-O11-1),"")</f>
        <v/>
      </c>
      <c r="V11" s="24" t="str">
        <f>IF(AND('ASS END SYNC'!C15="SHOW",'ASS END SYNC'!C16="SHOW"),U12,IF(AND('ASS END SYNC'!C15="SHOW",'ASS END SYNC'!C16&lt;&gt;"SHOW"),MID('ASS END SYNC'!E15,O11+1,P11-O11-1),""))</f>
        <v/>
      </c>
      <c r="W11" s="23" t="str">
        <f>IF('ASS END SYNC'!C15="SHOW",MID('ASS END SYNC'!E15,Q11+1,S11-Q11+1),"")</f>
        <v/>
      </c>
      <c r="X11" s="23" t="str">
        <f>IF('ASS END SYNC'!C15="SHOW",MID('ASS END SYNC'!E15,S11+2,1000),"")</f>
        <v/>
      </c>
      <c r="Z11" s="24"/>
    </row>
    <row r="12" spans="1:26" x14ac:dyDescent="0.25">
      <c r="A12" s="26">
        <v>9</v>
      </c>
      <c r="B12" s="24" t="str">
        <f>IF('ASS START SYNC'!C16="SHOW",FIND(",",'ASS START SYNC'!E16,1),"")</f>
        <v/>
      </c>
      <c r="C12" s="24" t="str">
        <f>IF('ASS START SYNC'!C16="SHOW",FIND(",",'ASS START SYNC'!E16,B12+1),"")</f>
        <v/>
      </c>
      <c r="D12" s="24" t="str">
        <f>IF('ASS START SYNC'!C16="SHOW",FIND(",",'ASS START SYNC'!E16,C12+1),"")</f>
        <v/>
      </c>
      <c r="E12" s="25" t="str">
        <f>IF('ASS START SYNC'!C16="SHOW",FIND(",,",'ASS START SYNC'!E16,1),"")</f>
        <v/>
      </c>
      <c r="F12" s="25" t="str">
        <f>IF('ASS START SYNC'!C16="SHOW",FIND(",,",'ASS START SYNC'!E16,E12+1),"")</f>
        <v/>
      </c>
      <c r="G12" s="23" t="str">
        <f>IF('ASS START SYNC'!C16="SHOW",LEFT('ASS START SYNC'!E16,B12),"")</f>
        <v/>
      </c>
      <c r="H12" s="24" t="str">
        <f>IF(AND('ASS START SYNC'!C16="SHOW",COUNTA('ASS START SYNC'!$E$8:'ASS START SYNC'!E15)=0),MID('ASS START SYNC'!E16,B12+1,C12-B12-1),IF(AND('ASS START SYNC'!C16="SHOW",COUNTA('ASS START SYNC'!$E$8:'ASS START SYNC'!E15)&lt;&gt;0),I11,""))</f>
        <v/>
      </c>
      <c r="I12" s="24" t="str">
        <f>IF('ASS START SYNC'!C16="SHOW",MID('ASS START SYNC'!E16,C12+1,D12-C12-1),I11)</f>
        <v/>
      </c>
      <c r="J12" s="23" t="str">
        <f>IF('ASS START SYNC'!C16="SHOW",MID('ASS START SYNC'!E16,D12+1,F12-D12+1),"")</f>
        <v/>
      </c>
      <c r="K12" s="23" t="str">
        <f>IF('ASS START SYNC'!C16="SHOW",MID('ASS START SYNC'!E16,F12+2,1000),"")</f>
        <v/>
      </c>
      <c r="M12" s="24"/>
      <c r="N12" s="26">
        <v>9</v>
      </c>
      <c r="O12" s="24" t="str">
        <f>IF('ASS END SYNC'!C16="SHOW",FIND(",",'ASS END SYNC'!E16,1),"")</f>
        <v/>
      </c>
      <c r="P12" s="24" t="str">
        <f>IF('ASS END SYNC'!C16="SHOW",FIND(",",'ASS END SYNC'!E16,O12+1),"")</f>
        <v/>
      </c>
      <c r="Q12" s="24" t="str">
        <f>IF('ASS END SYNC'!C16="SHOW",FIND(",",'ASS END SYNC'!E16,P12+1),"")</f>
        <v/>
      </c>
      <c r="R12" s="25" t="str">
        <f>IF('ASS END SYNC'!C16="SHOW",FIND(",,",'ASS END SYNC'!E16,1),"")</f>
        <v/>
      </c>
      <c r="S12" s="25" t="str">
        <f>IF('ASS END SYNC'!C16="SHOW",FIND(",,",'ASS END SYNC'!E16,R12+1),"")</f>
        <v/>
      </c>
      <c r="T12" s="23" t="str">
        <f>IF('ASS END SYNC'!C16="SHOW",LEFT('ASS END SYNC'!E16,O12),"")</f>
        <v/>
      </c>
      <c r="U12" s="24" t="str">
        <f>IF('ASS END SYNC'!C16="SHOW",MID('ASS END SYNC'!E16,O12+1,P12-O12-1),"")</f>
        <v/>
      </c>
      <c r="V12" s="24" t="str">
        <f>IF(AND('ASS END SYNC'!C16="SHOW",'ASS END SYNC'!C17="SHOW"),U13,IF(AND('ASS END SYNC'!C16="SHOW",'ASS END SYNC'!C17&lt;&gt;"SHOW"),MID('ASS END SYNC'!E16,O12+1,P12-O12-1),""))</f>
        <v/>
      </c>
      <c r="W12" s="23" t="str">
        <f>IF('ASS END SYNC'!C16="SHOW",MID('ASS END SYNC'!E16,Q12+1,S12-Q12+1),"")</f>
        <v/>
      </c>
      <c r="X12" s="23" t="str">
        <f>IF('ASS END SYNC'!C16="SHOW",MID('ASS END SYNC'!E16,S12+2,1000),"")</f>
        <v/>
      </c>
      <c r="Z12" s="24"/>
    </row>
    <row r="13" spans="1:26" x14ac:dyDescent="0.25">
      <c r="A13" s="26">
        <v>10</v>
      </c>
      <c r="B13" s="24" t="str">
        <f>IF('ASS START SYNC'!C17="SHOW",FIND(",",'ASS START SYNC'!E17,1),"")</f>
        <v/>
      </c>
      <c r="C13" s="24" t="str">
        <f>IF('ASS START SYNC'!C17="SHOW",FIND(",",'ASS START SYNC'!E17,B13+1),"")</f>
        <v/>
      </c>
      <c r="D13" s="24" t="str">
        <f>IF('ASS START SYNC'!C17="SHOW",FIND(",",'ASS START SYNC'!E17,C13+1),"")</f>
        <v/>
      </c>
      <c r="E13" s="25" t="str">
        <f>IF('ASS START SYNC'!C17="SHOW",FIND(",,",'ASS START SYNC'!E17,1),"")</f>
        <v/>
      </c>
      <c r="F13" s="25" t="str">
        <f>IF('ASS START SYNC'!C17="SHOW",FIND(",,",'ASS START SYNC'!E17,E13+1),"")</f>
        <v/>
      </c>
      <c r="G13" s="23" t="str">
        <f>IF('ASS START SYNC'!C17="SHOW",LEFT('ASS START SYNC'!E17,B13),"")</f>
        <v/>
      </c>
      <c r="H13" s="24" t="str">
        <f>IF(AND('ASS START SYNC'!C17="SHOW",COUNTA('ASS START SYNC'!$E$8:'ASS START SYNC'!E16)=0),MID('ASS START SYNC'!E17,B13+1,C13-B13-1),IF(AND('ASS START SYNC'!C17="SHOW",COUNTA('ASS START SYNC'!$E$8:'ASS START SYNC'!E16)&lt;&gt;0),I12,""))</f>
        <v/>
      </c>
      <c r="I13" s="24" t="str">
        <f>IF('ASS START SYNC'!C17="SHOW",MID('ASS START SYNC'!E17,C13+1,D13-C13-1),I12)</f>
        <v/>
      </c>
      <c r="J13" s="23" t="str">
        <f>IF('ASS START SYNC'!C17="SHOW",MID('ASS START SYNC'!E17,D13+1,F13-D13+1),"")</f>
        <v/>
      </c>
      <c r="K13" s="23" t="str">
        <f>IF('ASS START SYNC'!C17="SHOW",MID('ASS START SYNC'!E17,F13+2,1000),"")</f>
        <v/>
      </c>
      <c r="M13" s="24"/>
      <c r="N13" s="26">
        <v>10</v>
      </c>
      <c r="O13" s="24" t="str">
        <f>IF('ASS END SYNC'!C17="SHOW",FIND(",",'ASS END SYNC'!E17,1),"")</f>
        <v/>
      </c>
      <c r="P13" s="24" t="str">
        <f>IF('ASS END SYNC'!C17="SHOW",FIND(",",'ASS END SYNC'!E17,O13+1),"")</f>
        <v/>
      </c>
      <c r="Q13" s="24" t="str">
        <f>IF('ASS END SYNC'!C17="SHOW",FIND(",",'ASS END SYNC'!E17,P13+1),"")</f>
        <v/>
      </c>
      <c r="R13" s="25" t="str">
        <f>IF('ASS END SYNC'!C17="SHOW",FIND(",,",'ASS END SYNC'!E17,1),"")</f>
        <v/>
      </c>
      <c r="S13" s="25" t="str">
        <f>IF('ASS END SYNC'!C17="SHOW",FIND(",,",'ASS END SYNC'!E17,R13+1),"")</f>
        <v/>
      </c>
      <c r="T13" s="23" t="str">
        <f>IF('ASS END SYNC'!C17="SHOW",LEFT('ASS END SYNC'!E17,O13),"")</f>
        <v/>
      </c>
      <c r="U13" s="24" t="str">
        <f>IF('ASS END SYNC'!C17="SHOW",MID('ASS END SYNC'!E17,O13+1,P13-O13-1),"")</f>
        <v/>
      </c>
      <c r="V13" s="24" t="str">
        <f>IF(AND('ASS END SYNC'!C17="SHOW",'ASS END SYNC'!C18="SHOW"),U14,IF(AND('ASS END SYNC'!C17="SHOW",'ASS END SYNC'!C18&lt;&gt;"SHOW"),MID('ASS END SYNC'!E17,O13+1,P13-O13-1),""))</f>
        <v/>
      </c>
      <c r="W13" s="23" t="str">
        <f>IF('ASS END SYNC'!C17="SHOW",MID('ASS END SYNC'!E17,Q13+1,S13-Q13+1),"")</f>
        <v/>
      </c>
      <c r="X13" s="23" t="str">
        <f>IF('ASS END SYNC'!C17="SHOW",MID('ASS END SYNC'!E17,S13+2,1000),"")</f>
        <v/>
      </c>
      <c r="Z13" s="24"/>
    </row>
    <row r="14" spans="1:26" x14ac:dyDescent="0.25">
      <c r="A14" s="26">
        <v>11</v>
      </c>
      <c r="B14" s="24" t="str">
        <f>IF('ASS START SYNC'!C18="SHOW",FIND(",",'ASS START SYNC'!E18,1),"")</f>
        <v/>
      </c>
      <c r="C14" s="24" t="str">
        <f>IF('ASS START SYNC'!C18="SHOW",FIND(",",'ASS START SYNC'!E18,B14+1),"")</f>
        <v/>
      </c>
      <c r="D14" s="24" t="str">
        <f>IF('ASS START SYNC'!C18="SHOW",FIND(",",'ASS START SYNC'!E18,C14+1),"")</f>
        <v/>
      </c>
      <c r="E14" s="25" t="str">
        <f>IF('ASS START SYNC'!C18="SHOW",FIND(",,",'ASS START SYNC'!E18,1),"")</f>
        <v/>
      </c>
      <c r="F14" s="25" t="str">
        <f>IF('ASS START SYNC'!C18="SHOW",FIND(",,",'ASS START SYNC'!E18,E14+1),"")</f>
        <v/>
      </c>
      <c r="G14" s="23" t="str">
        <f>IF('ASS START SYNC'!C18="SHOW",LEFT('ASS START SYNC'!E18,B14),"")</f>
        <v/>
      </c>
      <c r="H14" s="24" t="str">
        <f>IF(AND('ASS START SYNC'!C18="SHOW",COUNTA('ASS START SYNC'!$E$8:'ASS START SYNC'!E17)=0),MID('ASS START SYNC'!E18,B14+1,C14-B14-1),IF(AND('ASS START SYNC'!C18="SHOW",COUNTA('ASS START SYNC'!$E$8:'ASS START SYNC'!E17)&lt;&gt;0),I13,""))</f>
        <v/>
      </c>
      <c r="I14" s="24" t="str">
        <f>IF('ASS START SYNC'!C18="SHOW",MID('ASS START SYNC'!E18,C14+1,D14-C14-1),I13)</f>
        <v/>
      </c>
      <c r="J14" s="23" t="str">
        <f>IF('ASS START SYNC'!C18="SHOW",MID('ASS START SYNC'!E18,D14+1,F14-D14+1),"")</f>
        <v/>
      </c>
      <c r="K14" s="23" t="str">
        <f>IF('ASS START SYNC'!C18="SHOW",MID('ASS START SYNC'!E18,F14+2,1000),"")</f>
        <v/>
      </c>
      <c r="M14" s="24"/>
      <c r="N14" s="26">
        <v>11</v>
      </c>
      <c r="O14" s="24" t="str">
        <f>IF('ASS END SYNC'!C18="SHOW",FIND(",",'ASS END SYNC'!E18,1),"")</f>
        <v/>
      </c>
      <c r="P14" s="24" t="str">
        <f>IF('ASS END SYNC'!C18="SHOW",FIND(",",'ASS END SYNC'!E18,O14+1),"")</f>
        <v/>
      </c>
      <c r="Q14" s="24" t="str">
        <f>IF('ASS END SYNC'!C18="SHOW",FIND(",",'ASS END SYNC'!E18,P14+1),"")</f>
        <v/>
      </c>
      <c r="R14" s="25" t="str">
        <f>IF('ASS END SYNC'!C18="SHOW",FIND(",,",'ASS END SYNC'!E18,1),"")</f>
        <v/>
      </c>
      <c r="S14" s="25" t="str">
        <f>IF('ASS END SYNC'!C18="SHOW",FIND(",,",'ASS END SYNC'!E18,R14+1),"")</f>
        <v/>
      </c>
      <c r="T14" s="23" t="str">
        <f>IF('ASS END SYNC'!C18="SHOW",LEFT('ASS END SYNC'!E18,O14),"")</f>
        <v/>
      </c>
      <c r="U14" s="24" t="str">
        <f>IF('ASS END SYNC'!C18="SHOW",MID('ASS END SYNC'!E18,O14+1,P14-O14-1),"")</f>
        <v/>
      </c>
      <c r="V14" s="24" t="str">
        <f>IF(AND('ASS END SYNC'!C18="SHOW",'ASS END SYNC'!C19="SHOW"),U15,IF(AND('ASS END SYNC'!C18="SHOW",'ASS END SYNC'!C19&lt;&gt;"SHOW"),MID('ASS END SYNC'!E18,O14+1,P14-O14-1),""))</f>
        <v/>
      </c>
      <c r="W14" s="23" t="str">
        <f>IF('ASS END SYNC'!C18="SHOW",MID('ASS END SYNC'!E18,Q14+1,S14-Q14+1),"")</f>
        <v/>
      </c>
      <c r="X14" s="23" t="str">
        <f>IF('ASS END SYNC'!C18="SHOW",MID('ASS END SYNC'!E18,S14+2,1000),"")</f>
        <v/>
      </c>
      <c r="Z14" s="24"/>
    </row>
    <row r="15" spans="1:26" x14ac:dyDescent="0.25">
      <c r="A15" s="26">
        <v>12</v>
      </c>
      <c r="B15" s="24" t="str">
        <f>IF('ASS START SYNC'!C19="SHOW",FIND(",",'ASS START SYNC'!E19,1),"")</f>
        <v/>
      </c>
      <c r="C15" s="24" t="str">
        <f>IF('ASS START SYNC'!C19="SHOW",FIND(",",'ASS START SYNC'!E19,B15+1),"")</f>
        <v/>
      </c>
      <c r="D15" s="24" t="str">
        <f>IF('ASS START SYNC'!C19="SHOW",FIND(",",'ASS START SYNC'!E19,C15+1),"")</f>
        <v/>
      </c>
      <c r="E15" s="25" t="str">
        <f>IF('ASS START SYNC'!C19="SHOW",FIND(",,",'ASS START SYNC'!E19,1),"")</f>
        <v/>
      </c>
      <c r="F15" s="25" t="str">
        <f>IF('ASS START SYNC'!C19="SHOW",FIND(",,",'ASS START SYNC'!E19,E15+1),"")</f>
        <v/>
      </c>
      <c r="G15" s="23" t="str">
        <f>IF('ASS START SYNC'!C19="SHOW",LEFT('ASS START SYNC'!E19,B15),"")</f>
        <v/>
      </c>
      <c r="H15" s="24" t="str">
        <f>IF(AND('ASS START SYNC'!C19="SHOW",COUNTA('ASS START SYNC'!$E$8:'ASS START SYNC'!E18)=0),MID('ASS START SYNC'!E19,B15+1,C15-B15-1),IF(AND('ASS START SYNC'!C19="SHOW",COUNTA('ASS START SYNC'!$E$8:'ASS START SYNC'!E18)&lt;&gt;0),I14,""))</f>
        <v/>
      </c>
      <c r="I15" s="24" t="str">
        <f>IF('ASS START SYNC'!C19="SHOW",MID('ASS START SYNC'!E19,C15+1,D15-C15-1),I14)</f>
        <v/>
      </c>
      <c r="J15" s="23" t="str">
        <f>IF('ASS START SYNC'!C19="SHOW",MID('ASS START SYNC'!E19,D15+1,F15-D15+1),"")</f>
        <v/>
      </c>
      <c r="K15" s="23" t="str">
        <f>IF('ASS START SYNC'!C19="SHOW",MID('ASS START SYNC'!E19,F15+2,1000),"")</f>
        <v/>
      </c>
      <c r="M15" s="24"/>
      <c r="N15" s="26">
        <v>12</v>
      </c>
      <c r="O15" s="24" t="str">
        <f>IF('ASS END SYNC'!C19="SHOW",FIND(",",'ASS END SYNC'!E19,1),"")</f>
        <v/>
      </c>
      <c r="P15" s="24" t="str">
        <f>IF('ASS END SYNC'!C19="SHOW",FIND(",",'ASS END SYNC'!E19,O15+1),"")</f>
        <v/>
      </c>
      <c r="Q15" s="24" t="str">
        <f>IF('ASS END SYNC'!C19="SHOW",FIND(",",'ASS END SYNC'!E19,P15+1),"")</f>
        <v/>
      </c>
      <c r="R15" s="25" t="str">
        <f>IF('ASS END SYNC'!C19="SHOW",FIND(",,",'ASS END SYNC'!E19,1),"")</f>
        <v/>
      </c>
      <c r="S15" s="25" t="str">
        <f>IF('ASS END SYNC'!C19="SHOW",FIND(",,",'ASS END SYNC'!E19,R15+1),"")</f>
        <v/>
      </c>
      <c r="T15" s="23" t="str">
        <f>IF('ASS END SYNC'!C19="SHOW",LEFT('ASS END SYNC'!E19,O15),"")</f>
        <v/>
      </c>
      <c r="U15" s="24" t="str">
        <f>IF('ASS END SYNC'!C19="SHOW",MID('ASS END SYNC'!E19,O15+1,P15-O15-1),"")</f>
        <v/>
      </c>
      <c r="V15" s="24" t="str">
        <f>IF(AND('ASS END SYNC'!C19="SHOW",'ASS END SYNC'!C20="SHOW"),U16,IF(AND('ASS END SYNC'!C19="SHOW",'ASS END SYNC'!C20&lt;&gt;"SHOW"),MID('ASS END SYNC'!E19,O15+1,P15-O15-1),""))</f>
        <v/>
      </c>
      <c r="W15" s="23" t="str">
        <f>IF('ASS END SYNC'!C19="SHOW",MID('ASS END SYNC'!E19,Q15+1,S15-Q15+1),"")</f>
        <v/>
      </c>
      <c r="X15" s="23" t="str">
        <f>IF('ASS END SYNC'!C19="SHOW",MID('ASS END SYNC'!E19,S15+2,1000),"")</f>
        <v/>
      </c>
      <c r="Z15" s="24"/>
    </row>
    <row r="16" spans="1:26" x14ac:dyDescent="0.25">
      <c r="A16" s="26">
        <v>13</v>
      </c>
      <c r="B16" s="24" t="str">
        <f>IF('ASS START SYNC'!C20="SHOW",FIND(",",'ASS START SYNC'!E20,1),"")</f>
        <v/>
      </c>
      <c r="C16" s="24" t="str">
        <f>IF('ASS START SYNC'!C20="SHOW",FIND(",",'ASS START SYNC'!E20,B16+1),"")</f>
        <v/>
      </c>
      <c r="D16" s="24" t="str">
        <f>IF('ASS START SYNC'!C20="SHOW",FIND(",",'ASS START SYNC'!E20,C16+1),"")</f>
        <v/>
      </c>
      <c r="E16" s="25" t="str">
        <f>IF('ASS START SYNC'!C20="SHOW",FIND(",,",'ASS START SYNC'!E20,1),"")</f>
        <v/>
      </c>
      <c r="F16" s="25" t="str">
        <f>IF('ASS START SYNC'!C20="SHOW",FIND(",,",'ASS START SYNC'!E20,E16+1),"")</f>
        <v/>
      </c>
      <c r="G16" s="23" t="str">
        <f>IF('ASS START SYNC'!C20="SHOW",LEFT('ASS START SYNC'!E20,B16),"")</f>
        <v/>
      </c>
      <c r="H16" s="24" t="str">
        <f>IF(AND('ASS START SYNC'!C20="SHOW",COUNTA('ASS START SYNC'!$E$8:'ASS START SYNC'!E19)=0),MID('ASS START SYNC'!E20,B16+1,C16-B16-1),IF(AND('ASS START SYNC'!C20="SHOW",COUNTA('ASS START SYNC'!$E$8:'ASS START SYNC'!E19)&lt;&gt;0),I15,""))</f>
        <v/>
      </c>
      <c r="I16" s="24" t="str">
        <f>IF('ASS START SYNC'!C20="SHOW",MID('ASS START SYNC'!E20,C16+1,D16-C16-1),I15)</f>
        <v/>
      </c>
      <c r="J16" s="23" t="str">
        <f>IF('ASS START SYNC'!C20="SHOW",MID('ASS START SYNC'!E20,D16+1,F16-D16+1),"")</f>
        <v/>
      </c>
      <c r="K16" s="23" t="str">
        <f>IF('ASS START SYNC'!C20="SHOW",MID('ASS START SYNC'!E20,F16+2,1000),"")</f>
        <v/>
      </c>
      <c r="M16" s="24"/>
      <c r="N16" s="26">
        <v>13</v>
      </c>
      <c r="O16" s="24" t="str">
        <f>IF('ASS END SYNC'!C20="SHOW",FIND(",",'ASS END SYNC'!E20,1),"")</f>
        <v/>
      </c>
      <c r="P16" s="24" t="str">
        <f>IF('ASS END SYNC'!C20="SHOW",FIND(",",'ASS END SYNC'!E20,O16+1),"")</f>
        <v/>
      </c>
      <c r="Q16" s="24" t="str">
        <f>IF('ASS END SYNC'!C20="SHOW",FIND(",",'ASS END SYNC'!E20,P16+1),"")</f>
        <v/>
      </c>
      <c r="R16" s="25" t="str">
        <f>IF('ASS END SYNC'!C20="SHOW",FIND(",,",'ASS END SYNC'!E20,1),"")</f>
        <v/>
      </c>
      <c r="S16" s="25" t="str">
        <f>IF('ASS END SYNC'!C20="SHOW",FIND(",,",'ASS END SYNC'!E20,R16+1),"")</f>
        <v/>
      </c>
      <c r="T16" s="23" t="str">
        <f>IF('ASS END SYNC'!C20="SHOW",LEFT('ASS END SYNC'!E20,O16),"")</f>
        <v/>
      </c>
      <c r="U16" s="24" t="str">
        <f>IF('ASS END SYNC'!C20="SHOW",MID('ASS END SYNC'!E20,O16+1,P16-O16-1),"")</f>
        <v/>
      </c>
      <c r="V16" s="24" t="str">
        <f>IF(AND('ASS END SYNC'!C20="SHOW",'ASS END SYNC'!C21="SHOW"),U17,IF(AND('ASS END SYNC'!C20="SHOW",'ASS END SYNC'!C21&lt;&gt;"SHOW"),MID('ASS END SYNC'!E20,O16+1,P16-O16-1),""))</f>
        <v/>
      </c>
      <c r="W16" s="23" t="str">
        <f>IF('ASS END SYNC'!C20="SHOW",MID('ASS END SYNC'!E20,Q16+1,S16-Q16+1),"")</f>
        <v/>
      </c>
      <c r="X16" s="23" t="str">
        <f>IF('ASS END SYNC'!C20="SHOW",MID('ASS END SYNC'!E20,S16+2,1000),"")</f>
        <v/>
      </c>
      <c r="Z16" s="24"/>
    </row>
    <row r="17" spans="1:26" x14ac:dyDescent="0.25">
      <c r="A17" s="26">
        <v>14</v>
      </c>
      <c r="B17" s="24" t="str">
        <f>IF('ASS START SYNC'!C21="SHOW",FIND(",",'ASS START SYNC'!E21,1),"")</f>
        <v/>
      </c>
      <c r="C17" s="24" t="str">
        <f>IF('ASS START SYNC'!C21="SHOW",FIND(",",'ASS START SYNC'!E21,B17+1),"")</f>
        <v/>
      </c>
      <c r="D17" s="24" t="str">
        <f>IF('ASS START SYNC'!C21="SHOW",FIND(",",'ASS START SYNC'!E21,C17+1),"")</f>
        <v/>
      </c>
      <c r="E17" s="25" t="str">
        <f>IF('ASS START SYNC'!C21="SHOW",FIND(",,",'ASS START SYNC'!E21,1),"")</f>
        <v/>
      </c>
      <c r="F17" s="25" t="str">
        <f>IF('ASS START SYNC'!C21="SHOW",FIND(",,",'ASS START SYNC'!E21,E17+1),"")</f>
        <v/>
      </c>
      <c r="G17" s="23" t="str">
        <f>IF('ASS START SYNC'!C21="SHOW",LEFT('ASS START SYNC'!E21,B17),"")</f>
        <v/>
      </c>
      <c r="H17" s="24" t="str">
        <f>IF(AND('ASS START SYNC'!C21="SHOW",COUNTA('ASS START SYNC'!$E$8:'ASS START SYNC'!E20)=0),MID('ASS START SYNC'!E21,B17+1,C17-B17-1),IF(AND('ASS START SYNC'!C21="SHOW",COUNTA('ASS START SYNC'!$E$8:'ASS START SYNC'!E20)&lt;&gt;0),I16,""))</f>
        <v/>
      </c>
      <c r="I17" s="24" t="str">
        <f>IF('ASS START SYNC'!C21="SHOW",MID('ASS START SYNC'!E21,C17+1,D17-C17-1),I16)</f>
        <v/>
      </c>
      <c r="J17" s="23" t="str">
        <f>IF('ASS START SYNC'!C21="SHOW",MID('ASS START SYNC'!E21,D17+1,F17-D17+1),"")</f>
        <v/>
      </c>
      <c r="K17" s="23" t="str">
        <f>IF('ASS START SYNC'!C21="SHOW",MID('ASS START SYNC'!E21,F17+2,1000),"")</f>
        <v/>
      </c>
      <c r="M17" s="24"/>
      <c r="N17" s="26">
        <v>14</v>
      </c>
      <c r="O17" s="24" t="str">
        <f>IF('ASS END SYNC'!C21="SHOW",FIND(",",'ASS END SYNC'!E21,1),"")</f>
        <v/>
      </c>
      <c r="P17" s="24" t="str">
        <f>IF('ASS END SYNC'!C21="SHOW",FIND(",",'ASS END SYNC'!E21,O17+1),"")</f>
        <v/>
      </c>
      <c r="Q17" s="24" t="str">
        <f>IF('ASS END SYNC'!C21="SHOW",FIND(",",'ASS END SYNC'!E21,P17+1),"")</f>
        <v/>
      </c>
      <c r="R17" s="25" t="str">
        <f>IF('ASS END SYNC'!C21="SHOW",FIND(",,",'ASS END SYNC'!E21,1),"")</f>
        <v/>
      </c>
      <c r="S17" s="25" t="str">
        <f>IF('ASS END SYNC'!C21="SHOW",FIND(",,",'ASS END SYNC'!E21,R17+1),"")</f>
        <v/>
      </c>
      <c r="T17" s="23" t="str">
        <f>IF('ASS END SYNC'!C21="SHOW",LEFT('ASS END SYNC'!E21,O17),"")</f>
        <v/>
      </c>
      <c r="U17" s="24" t="str">
        <f>IF('ASS END SYNC'!C21="SHOW",MID('ASS END SYNC'!E21,O17+1,P17-O17-1),"")</f>
        <v/>
      </c>
      <c r="V17" s="24" t="str">
        <f>IF(AND('ASS END SYNC'!C21="SHOW",'ASS END SYNC'!C22="SHOW"),U18,IF(AND('ASS END SYNC'!C21="SHOW",'ASS END SYNC'!C22&lt;&gt;"SHOW"),MID('ASS END SYNC'!E21,O17+1,P17-O17-1),""))</f>
        <v/>
      </c>
      <c r="W17" s="23" t="str">
        <f>IF('ASS END SYNC'!C21="SHOW",MID('ASS END SYNC'!E21,Q17+1,S17-Q17+1),"")</f>
        <v/>
      </c>
      <c r="X17" s="23" t="str">
        <f>IF('ASS END SYNC'!C21="SHOW",MID('ASS END SYNC'!E21,S17+2,1000),"")</f>
        <v/>
      </c>
      <c r="Z17" s="24"/>
    </row>
    <row r="18" spans="1:26" x14ac:dyDescent="0.25">
      <c r="A18" s="26">
        <v>15</v>
      </c>
      <c r="B18" s="24" t="str">
        <f>IF('ASS START SYNC'!C22="SHOW",FIND(",",'ASS START SYNC'!E22,1),"")</f>
        <v/>
      </c>
      <c r="C18" s="24" t="str">
        <f>IF('ASS START SYNC'!C22="SHOW",FIND(",",'ASS START SYNC'!E22,B18+1),"")</f>
        <v/>
      </c>
      <c r="D18" s="24" t="str">
        <f>IF('ASS START SYNC'!C22="SHOW",FIND(",",'ASS START SYNC'!E22,C18+1),"")</f>
        <v/>
      </c>
      <c r="E18" s="25" t="str">
        <f>IF('ASS START SYNC'!C22="SHOW",FIND(",,",'ASS START SYNC'!E22,1),"")</f>
        <v/>
      </c>
      <c r="F18" s="25" t="str">
        <f>IF('ASS START SYNC'!C22="SHOW",FIND(",,",'ASS START SYNC'!E22,E18+1),"")</f>
        <v/>
      </c>
      <c r="G18" s="23" t="str">
        <f>IF('ASS START SYNC'!C22="SHOW",LEFT('ASS START SYNC'!E22,B18),"")</f>
        <v/>
      </c>
      <c r="H18" s="24" t="str">
        <f>IF(AND('ASS START SYNC'!C22="SHOW",COUNTA('ASS START SYNC'!$E$8:'ASS START SYNC'!E21)=0),MID('ASS START SYNC'!E22,B18+1,C18-B18-1),IF(AND('ASS START SYNC'!C22="SHOW",COUNTA('ASS START SYNC'!$E$8:'ASS START SYNC'!E21)&lt;&gt;0),I17,""))</f>
        <v/>
      </c>
      <c r="I18" s="24" t="str">
        <f>IF('ASS START SYNC'!C22="SHOW",MID('ASS START SYNC'!E22,C18+1,D18-C18-1),I17)</f>
        <v/>
      </c>
      <c r="J18" s="23" t="str">
        <f>IF('ASS START SYNC'!C22="SHOW",MID('ASS START SYNC'!E22,D18+1,F18-D18+1),"")</f>
        <v/>
      </c>
      <c r="K18" s="23" t="str">
        <f>IF('ASS START SYNC'!C22="SHOW",MID('ASS START SYNC'!E22,F18+2,1000),"")</f>
        <v/>
      </c>
      <c r="M18" s="24"/>
      <c r="N18" s="26">
        <v>15</v>
      </c>
      <c r="O18" s="24" t="str">
        <f>IF('ASS END SYNC'!C22="SHOW",FIND(",",'ASS END SYNC'!E22,1),"")</f>
        <v/>
      </c>
      <c r="P18" s="24" t="str">
        <f>IF('ASS END SYNC'!C22="SHOW",FIND(",",'ASS END SYNC'!E22,O18+1),"")</f>
        <v/>
      </c>
      <c r="Q18" s="24" t="str">
        <f>IF('ASS END SYNC'!C22="SHOW",FIND(",",'ASS END SYNC'!E22,P18+1),"")</f>
        <v/>
      </c>
      <c r="R18" s="25" t="str">
        <f>IF('ASS END SYNC'!C22="SHOW",FIND(",,",'ASS END SYNC'!E22,1),"")</f>
        <v/>
      </c>
      <c r="S18" s="25" t="str">
        <f>IF('ASS END SYNC'!C22="SHOW",FIND(",,",'ASS END SYNC'!E22,R18+1),"")</f>
        <v/>
      </c>
      <c r="T18" s="23" t="str">
        <f>IF('ASS END SYNC'!C22="SHOW",LEFT('ASS END SYNC'!E22,O18),"")</f>
        <v/>
      </c>
      <c r="U18" s="24" t="str">
        <f>IF('ASS END SYNC'!C22="SHOW",MID('ASS END SYNC'!E22,O18+1,P18-O18-1),"")</f>
        <v/>
      </c>
      <c r="V18" s="24" t="str">
        <f>IF(AND('ASS END SYNC'!C22="SHOW",'ASS END SYNC'!C23="SHOW"),U19,IF(AND('ASS END SYNC'!C22="SHOW",'ASS END SYNC'!C23&lt;&gt;"SHOW"),MID('ASS END SYNC'!E22,O18+1,P18-O18-1),""))</f>
        <v/>
      </c>
      <c r="W18" s="23" t="str">
        <f>IF('ASS END SYNC'!C22="SHOW",MID('ASS END SYNC'!E22,Q18+1,S18-Q18+1),"")</f>
        <v/>
      </c>
      <c r="X18" s="23" t="str">
        <f>IF('ASS END SYNC'!C22="SHOW",MID('ASS END SYNC'!E22,S18+2,1000),"")</f>
        <v/>
      </c>
      <c r="Z18" s="24"/>
    </row>
    <row r="19" spans="1:26" x14ac:dyDescent="0.25">
      <c r="A19" s="26">
        <v>16</v>
      </c>
      <c r="B19" s="24" t="str">
        <f>IF('ASS START SYNC'!C23="SHOW",FIND(",",'ASS START SYNC'!E23,1),"")</f>
        <v/>
      </c>
      <c r="C19" s="24" t="str">
        <f>IF('ASS START SYNC'!C23="SHOW",FIND(",",'ASS START SYNC'!E23,B19+1),"")</f>
        <v/>
      </c>
      <c r="D19" s="24" t="str">
        <f>IF('ASS START SYNC'!C23="SHOW",FIND(",",'ASS START SYNC'!E23,C19+1),"")</f>
        <v/>
      </c>
      <c r="E19" s="25" t="str">
        <f>IF('ASS START SYNC'!C23="SHOW",FIND(",,",'ASS START SYNC'!E23,1),"")</f>
        <v/>
      </c>
      <c r="F19" s="25" t="str">
        <f>IF('ASS START SYNC'!C23="SHOW",FIND(",,",'ASS START SYNC'!E23,E19+1),"")</f>
        <v/>
      </c>
      <c r="G19" s="23" t="str">
        <f>IF('ASS START SYNC'!C23="SHOW",LEFT('ASS START SYNC'!E23,B19),"")</f>
        <v/>
      </c>
      <c r="H19" s="24" t="str">
        <f>IF(AND('ASS START SYNC'!C23="SHOW",COUNTA('ASS START SYNC'!$E$8:'ASS START SYNC'!E22)=0),MID('ASS START SYNC'!E23,B19+1,C19-B19-1),IF(AND('ASS START SYNC'!C23="SHOW",COUNTA('ASS START SYNC'!$E$8:'ASS START SYNC'!E22)&lt;&gt;0),I18,""))</f>
        <v/>
      </c>
      <c r="I19" s="24" t="str">
        <f>IF('ASS START SYNC'!C23="SHOW",MID('ASS START SYNC'!E23,C19+1,D19-C19-1),I18)</f>
        <v/>
      </c>
      <c r="J19" s="23" t="str">
        <f>IF('ASS START SYNC'!C23="SHOW",MID('ASS START SYNC'!E23,D19+1,F19-D19+1),"")</f>
        <v/>
      </c>
      <c r="K19" s="23" t="str">
        <f>IF('ASS START SYNC'!C23="SHOW",MID('ASS START SYNC'!E23,F19+2,1000),"")</f>
        <v/>
      </c>
      <c r="M19" s="24"/>
      <c r="N19" s="26">
        <v>16</v>
      </c>
      <c r="O19" s="24" t="str">
        <f>IF('ASS END SYNC'!C23="SHOW",FIND(",",'ASS END SYNC'!E23,1),"")</f>
        <v/>
      </c>
      <c r="P19" s="24" t="str">
        <f>IF('ASS END SYNC'!C23="SHOW",FIND(",",'ASS END SYNC'!E23,O19+1),"")</f>
        <v/>
      </c>
      <c r="Q19" s="24" t="str">
        <f>IF('ASS END SYNC'!C23="SHOW",FIND(",",'ASS END SYNC'!E23,P19+1),"")</f>
        <v/>
      </c>
      <c r="R19" s="25" t="str">
        <f>IF('ASS END SYNC'!C23="SHOW",FIND(",,",'ASS END SYNC'!E23,1),"")</f>
        <v/>
      </c>
      <c r="S19" s="25" t="str">
        <f>IF('ASS END SYNC'!C23="SHOW",FIND(",,",'ASS END SYNC'!E23,R19+1),"")</f>
        <v/>
      </c>
      <c r="T19" s="23" t="str">
        <f>IF('ASS END SYNC'!C23="SHOW",LEFT('ASS END SYNC'!E23,O19),"")</f>
        <v/>
      </c>
      <c r="U19" s="24" t="str">
        <f>IF('ASS END SYNC'!C23="SHOW",MID('ASS END SYNC'!E23,O19+1,P19-O19-1),"")</f>
        <v/>
      </c>
      <c r="V19" s="24" t="str">
        <f>IF(AND('ASS END SYNC'!C23="SHOW",'ASS END SYNC'!C24="SHOW"),U20,IF(AND('ASS END SYNC'!C23="SHOW",'ASS END SYNC'!C24&lt;&gt;"SHOW"),MID('ASS END SYNC'!E23,O19+1,P19-O19-1),""))</f>
        <v/>
      </c>
      <c r="W19" s="23" t="str">
        <f>IF('ASS END SYNC'!C23="SHOW",MID('ASS END SYNC'!E23,Q19+1,S19-Q19+1),"")</f>
        <v/>
      </c>
      <c r="X19" s="23" t="str">
        <f>IF('ASS END SYNC'!C23="SHOW",MID('ASS END SYNC'!E23,S19+2,1000),"")</f>
        <v/>
      </c>
      <c r="Z19" s="24"/>
    </row>
    <row r="20" spans="1:26" x14ac:dyDescent="0.25">
      <c r="A20" s="26">
        <v>17</v>
      </c>
      <c r="B20" s="24" t="str">
        <f>IF('ASS START SYNC'!C24="SHOW",FIND(",",'ASS START SYNC'!E24,1),"")</f>
        <v/>
      </c>
      <c r="C20" s="24" t="str">
        <f>IF('ASS START SYNC'!C24="SHOW",FIND(",",'ASS START SYNC'!E24,B20+1),"")</f>
        <v/>
      </c>
      <c r="D20" s="24" t="str">
        <f>IF('ASS START SYNC'!C24="SHOW",FIND(",",'ASS START SYNC'!E24,C20+1),"")</f>
        <v/>
      </c>
      <c r="E20" s="25" t="str">
        <f>IF('ASS START SYNC'!C24="SHOW",FIND(",,",'ASS START SYNC'!E24,1),"")</f>
        <v/>
      </c>
      <c r="F20" s="25" t="str">
        <f>IF('ASS START SYNC'!C24="SHOW",FIND(",,",'ASS START SYNC'!E24,E20+1),"")</f>
        <v/>
      </c>
      <c r="G20" s="23" t="str">
        <f>IF('ASS START SYNC'!C24="SHOW",LEFT('ASS START SYNC'!E24,B20),"")</f>
        <v/>
      </c>
      <c r="H20" s="24" t="str">
        <f>IF(AND('ASS START SYNC'!C24="SHOW",COUNTA('ASS START SYNC'!$E$8:'ASS START SYNC'!E23)=0),MID('ASS START SYNC'!E24,B20+1,C20-B20-1),IF(AND('ASS START SYNC'!C24="SHOW",COUNTA('ASS START SYNC'!$E$8:'ASS START SYNC'!E23)&lt;&gt;0),I19,""))</f>
        <v/>
      </c>
      <c r="I20" s="24" t="str">
        <f>IF('ASS START SYNC'!C24="SHOW",MID('ASS START SYNC'!E24,C20+1,D20-C20-1),I19)</f>
        <v/>
      </c>
      <c r="J20" s="23" t="str">
        <f>IF('ASS START SYNC'!C24="SHOW",MID('ASS START SYNC'!E24,D20+1,F20-D20+1),"")</f>
        <v/>
      </c>
      <c r="K20" s="23" t="str">
        <f>IF('ASS START SYNC'!C24="SHOW",MID('ASS START SYNC'!E24,F20+2,1000),"")</f>
        <v/>
      </c>
      <c r="M20" s="24"/>
      <c r="N20" s="26">
        <v>17</v>
      </c>
      <c r="O20" s="24" t="str">
        <f>IF('ASS END SYNC'!C24="SHOW",FIND(",",'ASS END SYNC'!E24,1),"")</f>
        <v/>
      </c>
      <c r="P20" s="24" t="str">
        <f>IF('ASS END SYNC'!C24="SHOW",FIND(",",'ASS END SYNC'!E24,O20+1),"")</f>
        <v/>
      </c>
      <c r="Q20" s="24" t="str">
        <f>IF('ASS END SYNC'!C24="SHOW",FIND(",",'ASS END SYNC'!E24,P20+1),"")</f>
        <v/>
      </c>
      <c r="R20" s="25" t="str">
        <f>IF('ASS END SYNC'!C24="SHOW",FIND(",,",'ASS END SYNC'!E24,1),"")</f>
        <v/>
      </c>
      <c r="S20" s="25" t="str">
        <f>IF('ASS END SYNC'!C24="SHOW",FIND(",,",'ASS END SYNC'!E24,R20+1),"")</f>
        <v/>
      </c>
      <c r="T20" s="23" t="str">
        <f>IF('ASS END SYNC'!C24="SHOW",LEFT('ASS END SYNC'!E24,O20),"")</f>
        <v/>
      </c>
      <c r="U20" s="24" t="str">
        <f>IF('ASS END SYNC'!C24="SHOW",MID('ASS END SYNC'!E24,O20+1,P20-O20-1),"")</f>
        <v/>
      </c>
      <c r="V20" s="24" t="str">
        <f>IF(AND('ASS END SYNC'!C24="SHOW",'ASS END SYNC'!C25="SHOW"),U21,IF(AND('ASS END SYNC'!C24="SHOW",'ASS END SYNC'!C25&lt;&gt;"SHOW"),MID('ASS END SYNC'!E24,O20+1,P20-O20-1),""))</f>
        <v/>
      </c>
      <c r="W20" s="23" t="str">
        <f>IF('ASS END SYNC'!C24="SHOW",MID('ASS END SYNC'!E24,Q20+1,S20-Q20+1),"")</f>
        <v/>
      </c>
      <c r="X20" s="23" t="str">
        <f>IF('ASS END SYNC'!C24="SHOW",MID('ASS END SYNC'!E24,S20+2,1000),"")</f>
        <v/>
      </c>
      <c r="Z20" s="24"/>
    </row>
    <row r="21" spans="1:26" x14ac:dyDescent="0.25">
      <c r="A21" s="26">
        <v>18</v>
      </c>
      <c r="B21" s="24" t="str">
        <f>IF('ASS START SYNC'!C25="SHOW",FIND(",",'ASS START SYNC'!E25,1),"")</f>
        <v/>
      </c>
      <c r="C21" s="24" t="str">
        <f>IF('ASS START SYNC'!C25="SHOW",FIND(",",'ASS START SYNC'!E25,B21+1),"")</f>
        <v/>
      </c>
      <c r="D21" s="24" t="str">
        <f>IF('ASS START SYNC'!C25="SHOW",FIND(",",'ASS START SYNC'!E25,C21+1),"")</f>
        <v/>
      </c>
      <c r="E21" s="25" t="str">
        <f>IF('ASS START SYNC'!C25="SHOW",FIND(",,",'ASS START SYNC'!E25,1),"")</f>
        <v/>
      </c>
      <c r="F21" s="25" t="str">
        <f>IF('ASS START SYNC'!C25="SHOW",FIND(",,",'ASS START SYNC'!E25,E21+1),"")</f>
        <v/>
      </c>
      <c r="G21" s="23" t="str">
        <f>IF('ASS START SYNC'!C25="SHOW",LEFT('ASS START SYNC'!E25,B21),"")</f>
        <v/>
      </c>
      <c r="H21" s="24" t="str">
        <f>IF(AND('ASS START SYNC'!C25="SHOW",COUNTA('ASS START SYNC'!$E$8:'ASS START SYNC'!E24)=0),MID('ASS START SYNC'!E25,B21+1,C21-B21-1),IF(AND('ASS START SYNC'!C25="SHOW",COUNTA('ASS START SYNC'!$E$8:'ASS START SYNC'!E24)&lt;&gt;0),I20,""))</f>
        <v/>
      </c>
      <c r="I21" s="24" t="str">
        <f>IF('ASS START SYNC'!C25="SHOW",MID('ASS START SYNC'!E25,C21+1,D21-C21-1),I20)</f>
        <v/>
      </c>
      <c r="J21" s="23" t="str">
        <f>IF('ASS START SYNC'!C25="SHOW",MID('ASS START SYNC'!E25,D21+1,F21-D21+1),"")</f>
        <v/>
      </c>
      <c r="K21" s="23" t="str">
        <f>IF('ASS START SYNC'!C25="SHOW",MID('ASS START SYNC'!E25,F21+2,1000),"")</f>
        <v/>
      </c>
      <c r="M21" s="24"/>
      <c r="N21" s="26">
        <v>18</v>
      </c>
      <c r="O21" s="24" t="str">
        <f>IF('ASS END SYNC'!C25="SHOW",FIND(",",'ASS END SYNC'!E25,1),"")</f>
        <v/>
      </c>
      <c r="P21" s="24" t="str">
        <f>IF('ASS END SYNC'!C25="SHOW",FIND(",",'ASS END SYNC'!E25,O21+1),"")</f>
        <v/>
      </c>
      <c r="Q21" s="24" t="str">
        <f>IF('ASS END SYNC'!C25="SHOW",FIND(",",'ASS END SYNC'!E25,P21+1),"")</f>
        <v/>
      </c>
      <c r="R21" s="25" t="str">
        <f>IF('ASS END SYNC'!C25="SHOW",FIND(",,",'ASS END SYNC'!E25,1),"")</f>
        <v/>
      </c>
      <c r="S21" s="25" t="str">
        <f>IF('ASS END SYNC'!C25="SHOW",FIND(",,",'ASS END SYNC'!E25,R21+1),"")</f>
        <v/>
      </c>
      <c r="T21" s="23" t="str">
        <f>IF('ASS END SYNC'!C25="SHOW",LEFT('ASS END SYNC'!E25,O21),"")</f>
        <v/>
      </c>
      <c r="U21" s="24" t="str">
        <f>IF('ASS END SYNC'!C25="SHOW",MID('ASS END SYNC'!E25,O21+1,P21-O21-1),"")</f>
        <v/>
      </c>
      <c r="V21" s="24" t="str">
        <f>IF(AND('ASS END SYNC'!C25="SHOW",'ASS END SYNC'!C26="SHOW"),U22,IF(AND('ASS END SYNC'!C25="SHOW",'ASS END SYNC'!C26&lt;&gt;"SHOW"),MID('ASS END SYNC'!E25,O21+1,P21-O21-1),""))</f>
        <v/>
      </c>
      <c r="W21" s="23" t="str">
        <f>IF('ASS END SYNC'!C25="SHOW",MID('ASS END SYNC'!E25,Q21+1,S21-Q21+1),"")</f>
        <v/>
      </c>
      <c r="X21" s="23" t="str">
        <f>IF('ASS END SYNC'!C25="SHOW",MID('ASS END SYNC'!E25,S21+2,1000),"")</f>
        <v/>
      </c>
      <c r="Z21" s="24"/>
    </row>
    <row r="22" spans="1:26" x14ac:dyDescent="0.25">
      <c r="A22" s="26">
        <v>19</v>
      </c>
      <c r="B22" s="24" t="str">
        <f>IF('ASS START SYNC'!C26="SHOW",FIND(",",'ASS START SYNC'!E26,1),"")</f>
        <v/>
      </c>
      <c r="C22" s="24" t="str">
        <f>IF('ASS START SYNC'!C26="SHOW",FIND(",",'ASS START SYNC'!E26,B22+1),"")</f>
        <v/>
      </c>
      <c r="D22" s="24" t="str">
        <f>IF('ASS START SYNC'!C26="SHOW",FIND(",",'ASS START SYNC'!E26,C22+1),"")</f>
        <v/>
      </c>
      <c r="E22" s="25" t="str">
        <f>IF('ASS START SYNC'!C26="SHOW",FIND(",,",'ASS START SYNC'!E26,1),"")</f>
        <v/>
      </c>
      <c r="F22" s="25" t="str">
        <f>IF('ASS START SYNC'!C26="SHOW",FIND(",,",'ASS START SYNC'!E26,E22+1),"")</f>
        <v/>
      </c>
      <c r="G22" s="23" t="str">
        <f>IF('ASS START SYNC'!C26="SHOW",LEFT('ASS START SYNC'!E26,B22),"")</f>
        <v/>
      </c>
      <c r="H22" s="24" t="str">
        <f>IF(AND('ASS START SYNC'!C26="SHOW",COUNTA('ASS START SYNC'!$E$8:'ASS START SYNC'!E25)=0),MID('ASS START SYNC'!E26,B22+1,C22-B22-1),IF(AND('ASS START SYNC'!C26="SHOW",COUNTA('ASS START SYNC'!$E$8:'ASS START SYNC'!E25)&lt;&gt;0),I21,""))</f>
        <v/>
      </c>
      <c r="I22" s="24" t="str">
        <f>IF('ASS START SYNC'!C26="SHOW",MID('ASS START SYNC'!E26,C22+1,D22-C22-1),I21)</f>
        <v/>
      </c>
      <c r="J22" s="23" t="str">
        <f>IF('ASS START SYNC'!C26="SHOW",MID('ASS START SYNC'!E26,D22+1,F22-D22+1),"")</f>
        <v/>
      </c>
      <c r="K22" s="23" t="str">
        <f>IF('ASS START SYNC'!C26="SHOW",MID('ASS START SYNC'!E26,F22+2,1000),"")</f>
        <v/>
      </c>
      <c r="M22" s="24"/>
      <c r="N22" s="26">
        <v>19</v>
      </c>
      <c r="O22" s="24" t="str">
        <f>IF('ASS END SYNC'!C26="SHOW",FIND(",",'ASS END SYNC'!E26,1),"")</f>
        <v/>
      </c>
      <c r="P22" s="24" t="str">
        <f>IF('ASS END SYNC'!C26="SHOW",FIND(",",'ASS END SYNC'!E26,O22+1),"")</f>
        <v/>
      </c>
      <c r="Q22" s="24" t="str">
        <f>IF('ASS END SYNC'!C26="SHOW",FIND(",",'ASS END SYNC'!E26,P22+1),"")</f>
        <v/>
      </c>
      <c r="R22" s="25" t="str">
        <f>IF('ASS END SYNC'!C26="SHOW",FIND(",,",'ASS END SYNC'!E26,1),"")</f>
        <v/>
      </c>
      <c r="S22" s="25" t="str">
        <f>IF('ASS END SYNC'!C26="SHOW",FIND(",,",'ASS END SYNC'!E26,R22+1),"")</f>
        <v/>
      </c>
      <c r="T22" s="23" t="str">
        <f>IF('ASS END SYNC'!C26="SHOW",LEFT('ASS END SYNC'!E26,O22),"")</f>
        <v/>
      </c>
      <c r="U22" s="24" t="str">
        <f>IF('ASS END SYNC'!C26="SHOW",MID('ASS END SYNC'!E26,O22+1,P22-O22-1),"")</f>
        <v/>
      </c>
      <c r="V22" s="24" t="str">
        <f>IF(AND('ASS END SYNC'!C26="SHOW",'ASS END SYNC'!C27="SHOW"),U23,IF(AND('ASS END SYNC'!C26="SHOW",'ASS END SYNC'!C27&lt;&gt;"SHOW"),MID('ASS END SYNC'!E26,O22+1,P22-O22-1),""))</f>
        <v/>
      </c>
      <c r="W22" s="23" t="str">
        <f>IF('ASS END SYNC'!C26="SHOW",MID('ASS END SYNC'!E26,Q22+1,S22-Q22+1),"")</f>
        <v/>
      </c>
      <c r="X22" s="23" t="str">
        <f>IF('ASS END SYNC'!C26="SHOW",MID('ASS END SYNC'!E26,S22+2,1000),"")</f>
        <v/>
      </c>
      <c r="Z22" s="24"/>
    </row>
    <row r="23" spans="1:26" x14ac:dyDescent="0.25">
      <c r="A23" s="26">
        <v>20</v>
      </c>
      <c r="B23" s="24" t="str">
        <f>IF('ASS START SYNC'!C27="SHOW",FIND(",",'ASS START SYNC'!E27,1),"")</f>
        <v/>
      </c>
      <c r="C23" s="24" t="str">
        <f>IF('ASS START SYNC'!C27="SHOW",FIND(",",'ASS START SYNC'!E27,B23+1),"")</f>
        <v/>
      </c>
      <c r="D23" s="24" t="str">
        <f>IF('ASS START SYNC'!C27="SHOW",FIND(",",'ASS START SYNC'!E27,C23+1),"")</f>
        <v/>
      </c>
      <c r="E23" s="25" t="str">
        <f>IF('ASS START SYNC'!C27="SHOW",FIND(",,",'ASS START SYNC'!E27,1),"")</f>
        <v/>
      </c>
      <c r="F23" s="25" t="str">
        <f>IF('ASS START SYNC'!C27="SHOW",FIND(",,",'ASS START SYNC'!E27,E23+1),"")</f>
        <v/>
      </c>
      <c r="G23" s="23" t="str">
        <f>IF('ASS START SYNC'!C27="SHOW",LEFT('ASS START SYNC'!E27,B23),"")</f>
        <v/>
      </c>
      <c r="H23" s="24" t="str">
        <f>IF(AND('ASS START SYNC'!C27="SHOW",COUNTA('ASS START SYNC'!$E$8:'ASS START SYNC'!E26)=0),MID('ASS START SYNC'!E27,B23+1,C23-B23-1),IF(AND('ASS START SYNC'!C27="SHOW",COUNTA('ASS START SYNC'!$E$8:'ASS START SYNC'!E26)&lt;&gt;0),I22,""))</f>
        <v/>
      </c>
      <c r="I23" s="24" t="str">
        <f>IF('ASS START SYNC'!C27="SHOW",MID('ASS START SYNC'!E27,C23+1,D23-C23-1),I22)</f>
        <v/>
      </c>
      <c r="J23" s="23" t="str">
        <f>IF('ASS START SYNC'!C27="SHOW",MID('ASS START SYNC'!E27,D23+1,F23-D23+1),"")</f>
        <v/>
      </c>
      <c r="K23" s="23" t="str">
        <f>IF('ASS START SYNC'!C27="SHOW",MID('ASS START SYNC'!E27,F23+2,1000),"")</f>
        <v/>
      </c>
      <c r="M23" s="24"/>
      <c r="N23" s="26">
        <v>20</v>
      </c>
      <c r="O23" s="24" t="str">
        <f>IF('ASS END SYNC'!C27="SHOW",FIND(",",'ASS END SYNC'!E27,1),"")</f>
        <v/>
      </c>
      <c r="P23" s="24" t="str">
        <f>IF('ASS END SYNC'!C27="SHOW",FIND(",",'ASS END SYNC'!E27,O23+1),"")</f>
        <v/>
      </c>
      <c r="Q23" s="24" t="str">
        <f>IF('ASS END SYNC'!C27="SHOW",FIND(",",'ASS END SYNC'!E27,P23+1),"")</f>
        <v/>
      </c>
      <c r="R23" s="25" t="str">
        <f>IF('ASS END SYNC'!C27="SHOW",FIND(",,",'ASS END SYNC'!E27,1),"")</f>
        <v/>
      </c>
      <c r="S23" s="25" t="str">
        <f>IF('ASS END SYNC'!C27="SHOW",FIND(",,",'ASS END SYNC'!E27,R23+1),"")</f>
        <v/>
      </c>
      <c r="T23" s="23" t="str">
        <f>IF('ASS END SYNC'!C27="SHOW",LEFT('ASS END SYNC'!E27,O23),"")</f>
        <v/>
      </c>
      <c r="U23" s="24" t="str">
        <f>IF('ASS END SYNC'!C27="SHOW",MID('ASS END SYNC'!E27,O23+1,P23-O23-1),"")</f>
        <v/>
      </c>
      <c r="V23" s="24" t="str">
        <f>IF(AND('ASS END SYNC'!C27="SHOW",'ASS END SYNC'!C28="SHOW"),U24,IF(AND('ASS END SYNC'!C27="SHOW",'ASS END SYNC'!C28&lt;&gt;"SHOW"),MID('ASS END SYNC'!E27,O23+1,P23-O23-1),""))</f>
        <v/>
      </c>
      <c r="W23" s="23" t="str">
        <f>IF('ASS END SYNC'!C27="SHOW",MID('ASS END SYNC'!E27,Q23+1,S23-Q23+1),"")</f>
        <v/>
      </c>
      <c r="X23" s="23" t="str">
        <f>IF('ASS END SYNC'!C27="SHOW",MID('ASS END SYNC'!E27,S23+2,1000),"")</f>
        <v/>
      </c>
      <c r="Z23" s="24"/>
    </row>
    <row r="24" spans="1:26" x14ac:dyDescent="0.25">
      <c r="A24" s="26">
        <v>21</v>
      </c>
      <c r="B24" s="24" t="str">
        <f>IF('ASS START SYNC'!C28="SHOW",FIND(",",'ASS START SYNC'!E28,1),"")</f>
        <v/>
      </c>
      <c r="C24" s="24" t="str">
        <f>IF('ASS START SYNC'!C28="SHOW",FIND(",",'ASS START SYNC'!E28,B24+1),"")</f>
        <v/>
      </c>
      <c r="D24" s="24" t="str">
        <f>IF('ASS START SYNC'!C28="SHOW",FIND(",",'ASS START SYNC'!E28,C24+1),"")</f>
        <v/>
      </c>
      <c r="E24" s="25" t="str">
        <f>IF('ASS START SYNC'!C28="SHOW",FIND(",,",'ASS START SYNC'!E28,1),"")</f>
        <v/>
      </c>
      <c r="F24" s="25" t="str">
        <f>IF('ASS START SYNC'!C28="SHOW",FIND(",,",'ASS START SYNC'!E28,E24+1),"")</f>
        <v/>
      </c>
      <c r="G24" s="23" t="str">
        <f>IF('ASS START SYNC'!C28="SHOW",LEFT('ASS START SYNC'!E28,B24),"")</f>
        <v/>
      </c>
      <c r="H24" s="24" t="str">
        <f>IF(AND('ASS START SYNC'!C28="SHOW",COUNTA('ASS START SYNC'!$E$8:'ASS START SYNC'!E27)=0),MID('ASS START SYNC'!E28,B24+1,C24-B24-1),IF(AND('ASS START SYNC'!C28="SHOW",COUNTA('ASS START SYNC'!$E$8:'ASS START SYNC'!E27)&lt;&gt;0),I23,""))</f>
        <v/>
      </c>
      <c r="I24" s="24" t="str">
        <f>IF('ASS START SYNC'!C28="SHOW",MID('ASS START SYNC'!E28,C24+1,D24-C24-1),I23)</f>
        <v/>
      </c>
      <c r="J24" s="23" t="str">
        <f>IF('ASS START SYNC'!C28="SHOW",MID('ASS START SYNC'!E28,D24+1,F24-D24+1),"")</f>
        <v/>
      </c>
      <c r="K24" s="23" t="str">
        <f>IF('ASS START SYNC'!C28="SHOW",MID('ASS START SYNC'!E28,F24+2,1000),"")</f>
        <v/>
      </c>
      <c r="M24" s="24"/>
      <c r="N24" s="26">
        <v>21</v>
      </c>
      <c r="O24" s="24" t="str">
        <f>IF('ASS END SYNC'!C28="SHOW",FIND(",",'ASS END SYNC'!E28,1),"")</f>
        <v/>
      </c>
      <c r="P24" s="24" t="str">
        <f>IF('ASS END SYNC'!C28="SHOW",FIND(",",'ASS END SYNC'!E28,O24+1),"")</f>
        <v/>
      </c>
      <c r="Q24" s="24" t="str">
        <f>IF('ASS END SYNC'!C28="SHOW",FIND(",",'ASS END SYNC'!E28,P24+1),"")</f>
        <v/>
      </c>
      <c r="R24" s="25" t="str">
        <f>IF('ASS END SYNC'!C28="SHOW",FIND(",,",'ASS END SYNC'!E28,1),"")</f>
        <v/>
      </c>
      <c r="S24" s="25" t="str">
        <f>IF('ASS END SYNC'!C28="SHOW",FIND(",,",'ASS END SYNC'!E28,R24+1),"")</f>
        <v/>
      </c>
      <c r="T24" s="23" t="str">
        <f>IF('ASS END SYNC'!C28="SHOW",LEFT('ASS END SYNC'!E28,O24),"")</f>
        <v/>
      </c>
      <c r="U24" s="24" t="str">
        <f>IF('ASS END SYNC'!C28="SHOW",MID('ASS END SYNC'!E28,O24+1,P24-O24-1),"")</f>
        <v/>
      </c>
      <c r="V24" s="24" t="str">
        <f>IF(AND('ASS END SYNC'!C28="SHOW",'ASS END SYNC'!C29="SHOW"),U25,IF(AND('ASS END SYNC'!C28="SHOW",'ASS END SYNC'!C29&lt;&gt;"SHOW"),MID('ASS END SYNC'!E28,O24+1,P24-O24-1),""))</f>
        <v/>
      </c>
      <c r="W24" s="23" t="str">
        <f>IF('ASS END SYNC'!C28="SHOW",MID('ASS END SYNC'!E28,Q24+1,S24-Q24+1),"")</f>
        <v/>
      </c>
      <c r="X24" s="23" t="str">
        <f>IF('ASS END SYNC'!C28="SHOW",MID('ASS END SYNC'!E28,S24+2,1000),"")</f>
        <v/>
      </c>
      <c r="Z24" s="24"/>
    </row>
    <row r="25" spans="1:26" x14ac:dyDescent="0.25">
      <c r="A25" s="26">
        <v>22</v>
      </c>
      <c r="B25" s="24" t="str">
        <f>IF('ASS START SYNC'!C29="SHOW",FIND(",",'ASS START SYNC'!E29,1),"")</f>
        <v/>
      </c>
      <c r="C25" s="24" t="str">
        <f>IF('ASS START SYNC'!C29="SHOW",FIND(",",'ASS START SYNC'!E29,B25+1),"")</f>
        <v/>
      </c>
      <c r="D25" s="24" t="str">
        <f>IF('ASS START SYNC'!C29="SHOW",FIND(",",'ASS START SYNC'!E29,C25+1),"")</f>
        <v/>
      </c>
      <c r="E25" s="25" t="str">
        <f>IF('ASS START SYNC'!C29="SHOW",FIND(",,",'ASS START SYNC'!E29,1),"")</f>
        <v/>
      </c>
      <c r="F25" s="25" t="str">
        <f>IF('ASS START SYNC'!C29="SHOW",FIND(",,",'ASS START SYNC'!E29,E25+1),"")</f>
        <v/>
      </c>
      <c r="G25" s="23" t="str">
        <f>IF('ASS START SYNC'!C29="SHOW",LEFT('ASS START SYNC'!E29,B25),"")</f>
        <v/>
      </c>
      <c r="H25" s="24" t="str">
        <f>IF(AND('ASS START SYNC'!C29="SHOW",COUNTA('ASS START SYNC'!$E$8:'ASS START SYNC'!E28)=0),MID('ASS START SYNC'!E29,B25+1,C25-B25-1),IF(AND('ASS START SYNC'!C29="SHOW",COUNTA('ASS START SYNC'!$E$8:'ASS START SYNC'!E28)&lt;&gt;0),I24,""))</f>
        <v/>
      </c>
      <c r="I25" s="24" t="str">
        <f>IF('ASS START SYNC'!C29="SHOW",MID('ASS START SYNC'!E29,C25+1,D25-C25-1),I24)</f>
        <v/>
      </c>
      <c r="J25" s="23" t="str">
        <f>IF('ASS START SYNC'!C29="SHOW",MID('ASS START SYNC'!E29,D25+1,F25-D25+1),"")</f>
        <v/>
      </c>
      <c r="K25" s="23" t="str">
        <f>IF('ASS START SYNC'!C29="SHOW",MID('ASS START SYNC'!E29,F25+2,1000),"")</f>
        <v/>
      </c>
      <c r="M25" s="24"/>
      <c r="N25" s="26">
        <v>22</v>
      </c>
      <c r="O25" s="24" t="str">
        <f>IF('ASS END SYNC'!C29="SHOW",FIND(",",'ASS END SYNC'!E29,1),"")</f>
        <v/>
      </c>
      <c r="P25" s="24" t="str">
        <f>IF('ASS END SYNC'!C29="SHOW",FIND(",",'ASS END SYNC'!E29,O25+1),"")</f>
        <v/>
      </c>
      <c r="Q25" s="24" t="str">
        <f>IF('ASS END SYNC'!C29="SHOW",FIND(",",'ASS END SYNC'!E29,P25+1),"")</f>
        <v/>
      </c>
      <c r="R25" s="25" t="str">
        <f>IF('ASS END SYNC'!C29="SHOW",FIND(",,",'ASS END SYNC'!E29,1),"")</f>
        <v/>
      </c>
      <c r="S25" s="25" t="str">
        <f>IF('ASS END SYNC'!C29="SHOW",FIND(",,",'ASS END SYNC'!E29,R25+1),"")</f>
        <v/>
      </c>
      <c r="T25" s="23" t="str">
        <f>IF('ASS END SYNC'!C29="SHOW",LEFT('ASS END SYNC'!E29,O25),"")</f>
        <v/>
      </c>
      <c r="U25" s="24" t="str">
        <f>IF('ASS END SYNC'!C29="SHOW",MID('ASS END SYNC'!E29,O25+1,P25-O25-1),"")</f>
        <v/>
      </c>
      <c r="V25" s="24" t="str">
        <f>IF(AND('ASS END SYNC'!C29="SHOW",'ASS END SYNC'!C30="SHOW"),U26,IF(AND('ASS END SYNC'!C29="SHOW",'ASS END SYNC'!C30&lt;&gt;"SHOW"),MID('ASS END SYNC'!E29,O25+1,P25-O25-1),""))</f>
        <v/>
      </c>
      <c r="W25" s="23" t="str">
        <f>IF('ASS END SYNC'!C29="SHOW",MID('ASS END SYNC'!E29,Q25+1,S25-Q25+1),"")</f>
        <v/>
      </c>
      <c r="X25" s="23" t="str">
        <f>IF('ASS END SYNC'!C29="SHOW",MID('ASS END SYNC'!E29,S25+2,1000),"")</f>
        <v/>
      </c>
      <c r="Z25" s="24"/>
    </row>
    <row r="26" spans="1:26" x14ac:dyDescent="0.25">
      <c r="A26" s="26">
        <v>23</v>
      </c>
      <c r="B26" s="24" t="str">
        <f>IF('ASS START SYNC'!C30="SHOW",FIND(",",'ASS START SYNC'!E30,1),"")</f>
        <v/>
      </c>
      <c r="C26" s="24" t="str">
        <f>IF('ASS START SYNC'!C30="SHOW",FIND(",",'ASS START SYNC'!E30,B26+1),"")</f>
        <v/>
      </c>
      <c r="D26" s="24" t="str">
        <f>IF('ASS START SYNC'!C30="SHOW",FIND(",",'ASS START SYNC'!E30,C26+1),"")</f>
        <v/>
      </c>
      <c r="E26" s="25" t="str">
        <f>IF('ASS START SYNC'!C30="SHOW",FIND(",,",'ASS START SYNC'!E30,1),"")</f>
        <v/>
      </c>
      <c r="F26" s="25" t="str">
        <f>IF('ASS START SYNC'!C30="SHOW",FIND(",,",'ASS START SYNC'!E30,E26+1),"")</f>
        <v/>
      </c>
      <c r="G26" s="23" t="str">
        <f>IF('ASS START SYNC'!C30="SHOW",LEFT('ASS START SYNC'!E30,B26),"")</f>
        <v/>
      </c>
      <c r="H26" s="24" t="str">
        <f>IF(AND('ASS START SYNC'!C30="SHOW",COUNTA('ASS START SYNC'!$E$8:'ASS START SYNC'!E29)=0),MID('ASS START SYNC'!E30,B26+1,C26-B26-1),IF(AND('ASS START SYNC'!C30="SHOW",COUNTA('ASS START SYNC'!$E$8:'ASS START SYNC'!E29)&lt;&gt;0),I25,""))</f>
        <v/>
      </c>
      <c r="I26" s="24" t="str">
        <f>IF('ASS START SYNC'!C30="SHOW",MID('ASS START SYNC'!E30,C26+1,D26-C26-1),I25)</f>
        <v/>
      </c>
      <c r="J26" s="23" t="str">
        <f>IF('ASS START SYNC'!C30="SHOW",MID('ASS START SYNC'!E30,D26+1,F26-D26+1),"")</f>
        <v/>
      </c>
      <c r="K26" s="23" t="str">
        <f>IF('ASS START SYNC'!C30="SHOW",MID('ASS START SYNC'!E30,F26+2,1000),"")</f>
        <v/>
      </c>
      <c r="M26" s="24"/>
      <c r="N26" s="26">
        <v>23</v>
      </c>
      <c r="O26" s="24" t="str">
        <f>IF('ASS END SYNC'!C30="SHOW",FIND(",",'ASS END SYNC'!E30,1),"")</f>
        <v/>
      </c>
      <c r="P26" s="24" t="str">
        <f>IF('ASS END SYNC'!C30="SHOW",FIND(",",'ASS END SYNC'!E30,O26+1),"")</f>
        <v/>
      </c>
      <c r="Q26" s="24" t="str">
        <f>IF('ASS END SYNC'!C30="SHOW",FIND(",",'ASS END SYNC'!E30,P26+1),"")</f>
        <v/>
      </c>
      <c r="R26" s="25" t="str">
        <f>IF('ASS END SYNC'!C30="SHOW",FIND(",,",'ASS END SYNC'!E30,1),"")</f>
        <v/>
      </c>
      <c r="S26" s="25" t="str">
        <f>IF('ASS END SYNC'!C30="SHOW",FIND(",,",'ASS END SYNC'!E30,R26+1),"")</f>
        <v/>
      </c>
      <c r="T26" s="23" t="str">
        <f>IF('ASS END SYNC'!C30="SHOW",LEFT('ASS END SYNC'!E30,O26),"")</f>
        <v/>
      </c>
      <c r="U26" s="24" t="str">
        <f>IF('ASS END SYNC'!C30="SHOW",MID('ASS END SYNC'!E30,O26+1,P26-O26-1),"")</f>
        <v/>
      </c>
      <c r="V26" s="24" t="str">
        <f>IF(AND('ASS END SYNC'!C30="SHOW",'ASS END SYNC'!C31="SHOW"),U27,IF(AND('ASS END SYNC'!C30="SHOW",'ASS END SYNC'!C31&lt;&gt;"SHOW"),MID('ASS END SYNC'!E30,O26+1,P26-O26-1),""))</f>
        <v/>
      </c>
      <c r="W26" s="23" t="str">
        <f>IF('ASS END SYNC'!C30="SHOW",MID('ASS END SYNC'!E30,Q26+1,S26-Q26+1),"")</f>
        <v/>
      </c>
      <c r="X26" s="23" t="str">
        <f>IF('ASS END SYNC'!C30="SHOW",MID('ASS END SYNC'!E30,S26+2,1000),"")</f>
        <v/>
      </c>
      <c r="Z26" s="24"/>
    </row>
    <row r="27" spans="1:26" x14ac:dyDescent="0.25">
      <c r="A27" s="26">
        <v>24</v>
      </c>
      <c r="B27" s="24" t="str">
        <f>IF('ASS START SYNC'!C31="SHOW",FIND(",",'ASS START SYNC'!E31,1),"")</f>
        <v/>
      </c>
      <c r="C27" s="24" t="str">
        <f>IF('ASS START SYNC'!C31="SHOW",FIND(",",'ASS START SYNC'!E31,B27+1),"")</f>
        <v/>
      </c>
      <c r="D27" s="24" t="str">
        <f>IF('ASS START SYNC'!C31="SHOW",FIND(",",'ASS START SYNC'!E31,C27+1),"")</f>
        <v/>
      </c>
      <c r="E27" s="25" t="str">
        <f>IF('ASS START SYNC'!C31="SHOW",FIND(",,",'ASS START SYNC'!E31,1),"")</f>
        <v/>
      </c>
      <c r="F27" s="25" t="str">
        <f>IF('ASS START SYNC'!C31="SHOW",FIND(",,",'ASS START SYNC'!E31,E27+1),"")</f>
        <v/>
      </c>
      <c r="G27" s="23" t="str">
        <f>IF('ASS START SYNC'!C31="SHOW",LEFT('ASS START SYNC'!E31,B27),"")</f>
        <v/>
      </c>
      <c r="H27" s="24" t="str">
        <f>IF(AND('ASS START SYNC'!C31="SHOW",COUNTA('ASS START SYNC'!$E$8:'ASS START SYNC'!E30)=0),MID('ASS START SYNC'!E31,B27+1,C27-B27-1),IF(AND('ASS START SYNC'!C31="SHOW",COUNTA('ASS START SYNC'!$E$8:'ASS START SYNC'!E30)&lt;&gt;0),I26,""))</f>
        <v/>
      </c>
      <c r="I27" s="24" t="str">
        <f>IF('ASS START SYNC'!C31="SHOW",MID('ASS START SYNC'!E31,C27+1,D27-C27-1),I26)</f>
        <v/>
      </c>
      <c r="J27" s="23" t="str">
        <f>IF('ASS START SYNC'!C31="SHOW",MID('ASS START SYNC'!E31,D27+1,F27-D27+1),"")</f>
        <v/>
      </c>
      <c r="K27" s="23" t="str">
        <f>IF('ASS START SYNC'!C31="SHOW",MID('ASS START SYNC'!E31,F27+2,1000),"")</f>
        <v/>
      </c>
      <c r="M27" s="24"/>
      <c r="N27" s="26">
        <v>24</v>
      </c>
      <c r="O27" s="24" t="str">
        <f>IF('ASS END SYNC'!C31="SHOW",FIND(",",'ASS END SYNC'!E31,1),"")</f>
        <v/>
      </c>
      <c r="P27" s="24" t="str">
        <f>IF('ASS END SYNC'!C31="SHOW",FIND(",",'ASS END SYNC'!E31,O27+1),"")</f>
        <v/>
      </c>
      <c r="Q27" s="24" t="str">
        <f>IF('ASS END SYNC'!C31="SHOW",FIND(",",'ASS END SYNC'!E31,P27+1),"")</f>
        <v/>
      </c>
      <c r="R27" s="25" t="str">
        <f>IF('ASS END SYNC'!C31="SHOW",FIND(",,",'ASS END SYNC'!E31,1),"")</f>
        <v/>
      </c>
      <c r="S27" s="25" t="str">
        <f>IF('ASS END SYNC'!C31="SHOW",FIND(",,",'ASS END SYNC'!E31,R27+1),"")</f>
        <v/>
      </c>
      <c r="T27" s="23" t="str">
        <f>IF('ASS END SYNC'!C31="SHOW",LEFT('ASS END SYNC'!E31,O27),"")</f>
        <v/>
      </c>
      <c r="U27" s="24" t="str">
        <f>IF('ASS END SYNC'!C31="SHOW",MID('ASS END SYNC'!E31,O27+1,P27-O27-1),"")</f>
        <v/>
      </c>
      <c r="V27" s="24" t="str">
        <f>IF(AND('ASS END SYNC'!C31="SHOW",'ASS END SYNC'!C32="SHOW"),U28,IF(AND('ASS END SYNC'!C31="SHOW",'ASS END SYNC'!C32&lt;&gt;"SHOW"),MID('ASS END SYNC'!E31,O27+1,P27-O27-1),""))</f>
        <v/>
      </c>
      <c r="W27" s="23" t="str">
        <f>IF('ASS END SYNC'!C31="SHOW",MID('ASS END SYNC'!E31,Q27+1,S27-Q27+1),"")</f>
        <v/>
      </c>
      <c r="X27" s="23" t="str">
        <f>IF('ASS END SYNC'!C31="SHOW",MID('ASS END SYNC'!E31,S27+2,1000),"")</f>
        <v/>
      </c>
      <c r="Z27" s="24"/>
    </row>
    <row r="28" spans="1:26" x14ac:dyDescent="0.25">
      <c r="A28" s="26">
        <v>25</v>
      </c>
      <c r="B28" s="24" t="str">
        <f>IF('ASS START SYNC'!C32="SHOW",FIND(",",'ASS START SYNC'!E32,1),"")</f>
        <v/>
      </c>
      <c r="C28" s="24" t="str">
        <f>IF('ASS START SYNC'!C32="SHOW",FIND(",",'ASS START SYNC'!E32,B28+1),"")</f>
        <v/>
      </c>
      <c r="D28" s="24" t="str">
        <f>IF('ASS START SYNC'!C32="SHOW",FIND(",",'ASS START SYNC'!E32,C28+1),"")</f>
        <v/>
      </c>
      <c r="E28" s="25" t="str">
        <f>IF('ASS START SYNC'!C32="SHOW",FIND(",,",'ASS START SYNC'!E32,1),"")</f>
        <v/>
      </c>
      <c r="F28" s="25" t="str">
        <f>IF('ASS START SYNC'!C32="SHOW",FIND(",,",'ASS START SYNC'!E32,E28+1),"")</f>
        <v/>
      </c>
      <c r="G28" s="23" t="str">
        <f>IF('ASS START SYNC'!C32="SHOW",LEFT('ASS START SYNC'!E32,B28),"")</f>
        <v/>
      </c>
      <c r="H28" s="24" t="str">
        <f>IF(AND('ASS START SYNC'!C32="SHOW",COUNTA('ASS START SYNC'!$E$8:'ASS START SYNC'!E31)=0),MID('ASS START SYNC'!E32,B28+1,C28-B28-1),IF(AND('ASS START SYNC'!C32="SHOW",COUNTA('ASS START SYNC'!$E$8:'ASS START SYNC'!E31)&lt;&gt;0),I27,""))</f>
        <v/>
      </c>
      <c r="I28" s="24" t="str">
        <f>IF('ASS START SYNC'!C32="SHOW",MID('ASS START SYNC'!E32,C28+1,D28-C28-1),I27)</f>
        <v/>
      </c>
      <c r="J28" s="23" t="str">
        <f>IF('ASS START SYNC'!C32="SHOW",MID('ASS START SYNC'!E32,D28+1,F28-D28+1),"")</f>
        <v/>
      </c>
      <c r="K28" s="23" t="str">
        <f>IF('ASS START SYNC'!C32="SHOW",MID('ASS START SYNC'!E32,F28+2,1000),"")</f>
        <v/>
      </c>
      <c r="M28" s="24"/>
      <c r="N28" s="26">
        <v>25</v>
      </c>
      <c r="O28" s="24" t="str">
        <f>IF('ASS END SYNC'!C32="SHOW",FIND(",",'ASS END SYNC'!E32,1),"")</f>
        <v/>
      </c>
      <c r="P28" s="24" t="str">
        <f>IF('ASS END SYNC'!C32="SHOW",FIND(",",'ASS END SYNC'!E32,O28+1),"")</f>
        <v/>
      </c>
      <c r="Q28" s="24" t="str">
        <f>IF('ASS END SYNC'!C32="SHOW",FIND(",",'ASS END SYNC'!E32,P28+1),"")</f>
        <v/>
      </c>
      <c r="R28" s="25" t="str">
        <f>IF('ASS END SYNC'!C32="SHOW",FIND(",,",'ASS END SYNC'!E32,1),"")</f>
        <v/>
      </c>
      <c r="S28" s="25" t="str">
        <f>IF('ASS END SYNC'!C32="SHOW",FIND(",,",'ASS END SYNC'!E32,R28+1),"")</f>
        <v/>
      </c>
      <c r="T28" s="23" t="str">
        <f>IF('ASS END SYNC'!C32="SHOW",LEFT('ASS END SYNC'!E32,O28),"")</f>
        <v/>
      </c>
      <c r="U28" s="24" t="str">
        <f>IF('ASS END SYNC'!C32="SHOW",MID('ASS END SYNC'!E32,O28+1,P28-O28-1),"")</f>
        <v/>
      </c>
      <c r="V28" s="24" t="str">
        <f>IF(AND('ASS END SYNC'!C32="SHOW",'ASS END SYNC'!C33="SHOW"),U29,IF(AND('ASS END SYNC'!C32="SHOW",'ASS END SYNC'!C33&lt;&gt;"SHOW"),MID('ASS END SYNC'!E32,O28+1,P28-O28-1),""))</f>
        <v/>
      </c>
      <c r="W28" s="23" t="str">
        <f>IF('ASS END SYNC'!C32="SHOW",MID('ASS END SYNC'!E32,Q28+1,S28-Q28+1),"")</f>
        <v/>
      </c>
      <c r="X28" s="23" t="str">
        <f>IF('ASS END SYNC'!C32="SHOW",MID('ASS END SYNC'!E32,S28+2,1000),"")</f>
        <v/>
      </c>
      <c r="Z28" s="24"/>
    </row>
    <row r="29" spans="1:26" x14ac:dyDescent="0.25">
      <c r="A29" s="26">
        <v>26</v>
      </c>
      <c r="B29" s="24" t="str">
        <f>IF('ASS START SYNC'!C33="SHOW",FIND(",",'ASS START SYNC'!E33,1),"")</f>
        <v/>
      </c>
      <c r="C29" s="24" t="str">
        <f>IF('ASS START SYNC'!C33="SHOW",FIND(",",'ASS START SYNC'!E33,B29+1),"")</f>
        <v/>
      </c>
      <c r="D29" s="24" t="str">
        <f>IF('ASS START SYNC'!C33="SHOW",FIND(",",'ASS START SYNC'!E33,C29+1),"")</f>
        <v/>
      </c>
      <c r="E29" s="25" t="str">
        <f>IF('ASS START SYNC'!C33="SHOW",FIND(",,",'ASS START SYNC'!E33,1),"")</f>
        <v/>
      </c>
      <c r="F29" s="25" t="str">
        <f>IF('ASS START SYNC'!C33="SHOW",FIND(",,",'ASS START SYNC'!E33,E29+1),"")</f>
        <v/>
      </c>
      <c r="G29" s="23" t="str">
        <f>IF('ASS START SYNC'!C33="SHOW",LEFT('ASS START SYNC'!E33,B29),"")</f>
        <v/>
      </c>
      <c r="H29" s="24" t="str">
        <f>IF(AND('ASS START SYNC'!C33="SHOW",COUNTA('ASS START SYNC'!$E$8:'ASS START SYNC'!E32)=0),MID('ASS START SYNC'!E33,B29+1,C29-B29-1),IF(AND('ASS START SYNC'!C33="SHOW",COUNTA('ASS START SYNC'!$E$8:'ASS START SYNC'!E32)&lt;&gt;0),I28,""))</f>
        <v/>
      </c>
      <c r="I29" s="24" t="str">
        <f>IF('ASS START SYNC'!C33="SHOW",MID('ASS START SYNC'!E33,C29+1,D29-C29-1),I28)</f>
        <v/>
      </c>
      <c r="J29" s="23" t="str">
        <f>IF('ASS START SYNC'!C33="SHOW",MID('ASS START SYNC'!E33,D29+1,F29-D29+1),"")</f>
        <v/>
      </c>
      <c r="K29" s="23" t="str">
        <f>IF('ASS START SYNC'!C33="SHOW",MID('ASS START SYNC'!E33,F29+2,1000),"")</f>
        <v/>
      </c>
      <c r="M29" s="24"/>
      <c r="N29" s="26">
        <v>26</v>
      </c>
      <c r="O29" s="24" t="str">
        <f>IF('ASS END SYNC'!C33="SHOW",FIND(",",'ASS END SYNC'!E33,1),"")</f>
        <v/>
      </c>
      <c r="P29" s="24" t="str">
        <f>IF('ASS END SYNC'!C33="SHOW",FIND(",",'ASS END SYNC'!E33,O29+1),"")</f>
        <v/>
      </c>
      <c r="Q29" s="24" t="str">
        <f>IF('ASS END SYNC'!C33="SHOW",FIND(",",'ASS END SYNC'!E33,P29+1),"")</f>
        <v/>
      </c>
      <c r="R29" s="25" t="str">
        <f>IF('ASS END SYNC'!C33="SHOW",FIND(",,",'ASS END SYNC'!E33,1),"")</f>
        <v/>
      </c>
      <c r="S29" s="25" t="str">
        <f>IF('ASS END SYNC'!C33="SHOW",FIND(",,",'ASS END SYNC'!E33,R29+1),"")</f>
        <v/>
      </c>
      <c r="T29" s="23" t="str">
        <f>IF('ASS END SYNC'!C33="SHOW",LEFT('ASS END SYNC'!E33,O29),"")</f>
        <v/>
      </c>
      <c r="U29" s="24" t="str">
        <f>IF('ASS END SYNC'!C33="SHOW",MID('ASS END SYNC'!E33,O29+1,P29-O29-1),"")</f>
        <v/>
      </c>
      <c r="V29" s="24" t="str">
        <f>IF(AND('ASS END SYNC'!C33="SHOW",'ASS END SYNC'!C34="SHOW"),U30,IF(AND('ASS END SYNC'!C33="SHOW",'ASS END SYNC'!C34&lt;&gt;"SHOW"),MID('ASS END SYNC'!E33,O29+1,P29-O29-1),""))</f>
        <v/>
      </c>
      <c r="W29" s="23" t="str">
        <f>IF('ASS END SYNC'!C33="SHOW",MID('ASS END SYNC'!E33,Q29+1,S29-Q29+1),"")</f>
        <v/>
      </c>
      <c r="X29" s="23" t="str">
        <f>IF('ASS END SYNC'!C33="SHOW",MID('ASS END SYNC'!E33,S29+2,1000),"")</f>
        <v/>
      </c>
      <c r="Z29" s="24"/>
    </row>
    <row r="30" spans="1:26" x14ac:dyDescent="0.25">
      <c r="A30" s="26">
        <v>27</v>
      </c>
      <c r="B30" s="24" t="str">
        <f>IF('ASS START SYNC'!C34="SHOW",FIND(",",'ASS START SYNC'!E34,1),"")</f>
        <v/>
      </c>
      <c r="C30" s="24" t="str">
        <f>IF('ASS START SYNC'!C34="SHOW",FIND(",",'ASS START SYNC'!E34,B30+1),"")</f>
        <v/>
      </c>
      <c r="D30" s="24" t="str">
        <f>IF('ASS START SYNC'!C34="SHOW",FIND(",",'ASS START SYNC'!E34,C30+1),"")</f>
        <v/>
      </c>
      <c r="E30" s="25" t="str">
        <f>IF('ASS START SYNC'!C34="SHOW",FIND(",,",'ASS START SYNC'!E34,1),"")</f>
        <v/>
      </c>
      <c r="F30" s="25" t="str">
        <f>IF('ASS START SYNC'!C34="SHOW",FIND(",,",'ASS START SYNC'!E34,E30+1),"")</f>
        <v/>
      </c>
      <c r="G30" s="23" t="str">
        <f>IF('ASS START SYNC'!C34="SHOW",LEFT('ASS START SYNC'!E34,B30),"")</f>
        <v/>
      </c>
      <c r="H30" s="24" t="str">
        <f>IF(AND('ASS START SYNC'!C34="SHOW",COUNTA('ASS START SYNC'!$E$8:'ASS START SYNC'!E33)=0),MID('ASS START SYNC'!E34,B30+1,C30-B30-1),IF(AND('ASS START SYNC'!C34="SHOW",COUNTA('ASS START SYNC'!$E$8:'ASS START SYNC'!E33)&lt;&gt;0),I29,""))</f>
        <v/>
      </c>
      <c r="I30" s="24" t="str">
        <f>IF('ASS START SYNC'!C34="SHOW",MID('ASS START SYNC'!E34,C30+1,D30-C30-1),I29)</f>
        <v/>
      </c>
      <c r="J30" s="23" t="str">
        <f>IF('ASS START SYNC'!C34="SHOW",MID('ASS START SYNC'!E34,D30+1,F30-D30+1),"")</f>
        <v/>
      </c>
      <c r="K30" s="23" t="str">
        <f>IF('ASS START SYNC'!C34="SHOW",MID('ASS START SYNC'!E34,F30+2,1000),"")</f>
        <v/>
      </c>
      <c r="M30" s="24"/>
      <c r="N30" s="26">
        <v>27</v>
      </c>
      <c r="O30" s="24" t="str">
        <f>IF('ASS END SYNC'!C34="SHOW",FIND(",",'ASS END SYNC'!E34,1),"")</f>
        <v/>
      </c>
      <c r="P30" s="24" t="str">
        <f>IF('ASS END SYNC'!C34="SHOW",FIND(",",'ASS END SYNC'!E34,O30+1),"")</f>
        <v/>
      </c>
      <c r="Q30" s="24" t="str">
        <f>IF('ASS END SYNC'!C34="SHOW",FIND(",",'ASS END SYNC'!E34,P30+1),"")</f>
        <v/>
      </c>
      <c r="R30" s="25" t="str">
        <f>IF('ASS END SYNC'!C34="SHOW",FIND(",,",'ASS END SYNC'!E34,1),"")</f>
        <v/>
      </c>
      <c r="S30" s="25" t="str">
        <f>IF('ASS END SYNC'!C34="SHOW",FIND(",,",'ASS END SYNC'!E34,R30+1),"")</f>
        <v/>
      </c>
      <c r="T30" s="23" t="str">
        <f>IF('ASS END SYNC'!C34="SHOW",LEFT('ASS END SYNC'!E34,O30),"")</f>
        <v/>
      </c>
      <c r="U30" s="24" t="str">
        <f>IF('ASS END SYNC'!C34="SHOW",MID('ASS END SYNC'!E34,O30+1,P30-O30-1),"")</f>
        <v/>
      </c>
      <c r="V30" s="24" t="str">
        <f>IF(AND('ASS END SYNC'!C34="SHOW",'ASS END SYNC'!C35="SHOW"),U31,IF(AND('ASS END SYNC'!C34="SHOW",'ASS END SYNC'!C35&lt;&gt;"SHOW"),MID('ASS END SYNC'!E34,O30+1,P30-O30-1),""))</f>
        <v/>
      </c>
      <c r="W30" s="23" t="str">
        <f>IF('ASS END SYNC'!C34="SHOW",MID('ASS END SYNC'!E34,Q30+1,S30-Q30+1),"")</f>
        <v/>
      </c>
      <c r="X30" s="23" t="str">
        <f>IF('ASS END SYNC'!C34="SHOW",MID('ASS END SYNC'!E34,S30+2,1000),"")</f>
        <v/>
      </c>
      <c r="Z30" s="24"/>
    </row>
    <row r="31" spans="1:26" x14ac:dyDescent="0.25">
      <c r="A31" s="26">
        <v>28</v>
      </c>
      <c r="B31" s="24" t="str">
        <f>IF('ASS START SYNC'!C35="SHOW",FIND(",",'ASS START SYNC'!E35,1),"")</f>
        <v/>
      </c>
      <c r="C31" s="24" t="str">
        <f>IF('ASS START SYNC'!C35="SHOW",FIND(",",'ASS START SYNC'!E35,B31+1),"")</f>
        <v/>
      </c>
      <c r="D31" s="24" t="str">
        <f>IF('ASS START SYNC'!C35="SHOW",FIND(",",'ASS START SYNC'!E35,C31+1),"")</f>
        <v/>
      </c>
      <c r="E31" s="25" t="str">
        <f>IF('ASS START SYNC'!C35="SHOW",FIND(",,",'ASS START SYNC'!E35,1),"")</f>
        <v/>
      </c>
      <c r="F31" s="25" t="str">
        <f>IF('ASS START SYNC'!C35="SHOW",FIND(",,",'ASS START SYNC'!E35,E31+1),"")</f>
        <v/>
      </c>
      <c r="G31" s="23" t="str">
        <f>IF('ASS START SYNC'!C35="SHOW",LEFT('ASS START SYNC'!E35,B31),"")</f>
        <v/>
      </c>
      <c r="H31" s="24" t="str">
        <f>IF(AND('ASS START SYNC'!C35="SHOW",COUNTA('ASS START SYNC'!$E$8:'ASS START SYNC'!E34)=0),MID('ASS START SYNC'!E35,B31+1,C31-B31-1),IF(AND('ASS START SYNC'!C35="SHOW",COUNTA('ASS START SYNC'!$E$8:'ASS START SYNC'!E34)&lt;&gt;0),I30,""))</f>
        <v/>
      </c>
      <c r="I31" s="24" t="str">
        <f>IF('ASS START SYNC'!C35="SHOW",MID('ASS START SYNC'!E35,C31+1,D31-C31-1),I30)</f>
        <v/>
      </c>
      <c r="J31" s="23" t="str">
        <f>IF('ASS START SYNC'!C35="SHOW",MID('ASS START SYNC'!E35,D31+1,F31-D31+1),"")</f>
        <v/>
      </c>
      <c r="K31" s="23" t="str">
        <f>IF('ASS START SYNC'!C35="SHOW",MID('ASS START SYNC'!E35,F31+2,1000),"")</f>
        <v/>
      </c>
      <c r="M31" s="24"/>
      <c r="N31" s="26">
        <v>28</v>
      </c>
      <c r="O31" s="24" t="str">
        <f>IF('ASS END SYNC'!C35="SHOW",FIND(",",'ASS END SYNC'!E35,1),"")</f>
        <v/>
      </c>
      <c r="P31" s="24" t="str">
        <f>IF('ASS END SYNC'!C35="SHOW",FIND(",",'ASS END SYNC'!E35,O31+1),"")</f>
        <v/>
      </c>
      <c r="Q31" s="24" t="str">
        <f>IF('ASS END SYNC'!C35="SHOW",FIND(",",'ASS END SYNC'!E35,P31+1),"")</f>
        <v/>
      </c>
      <c r="R31" s="25" t="str">
        <f>IF('ASS END SYNC'!C35="SHOW",FIND(",,",'ASS END SYNC'!E35,1),"")</f>
        <v/>
      </c>
      <c r="S31" s="25" t="str">
        <f>IF('ASS END SYNC'!C35="SHOW",FIND(",,",'ASS END SYNC'!E35,R31+1),"")</f>
        <v/>
      </c>
      <c r="T31" s="23" t="str">
        <f>IF('ASS END SYNC'!C35="SHOW",LEFT('ASS END SYNC'!E35,O31),"")</f>
        <v/>
      </c>
      <c r="U31" s="24" t="str">
        <f>IF('ASS END SYNC'!C35="SHOW",MID('ASS END SYNC'!E35,O31+1,P31-O31-1),"")</f>
        <v/>
      </c>
      <c r="V31" s="24" t="str">
        <f>IF(AND('ASS END SYNC'!C35="SHOW",'ASS END SYNC'!C36="SHOW"),U32,IF(AND('ASS END SYNC'!C35="SHOW",'ASS END SYNC'!C36&lt;&gt;"SHOW"),MID('ASS END SYNC'!E35,O31+1,P31-O31-1),""))</f>
        <v/>
      </c>
      <c r="W31" s="23" t="str">
        <f>IF('ASS END SYNC'!C35="SHOW",MID('ASS END SYNC'!E35,Q31+1,S31-Q31+1),"")</f>
        <v/>
      </c>
      <c r="X31" s="23" t="str">
        <f>IF('ASS END SYNC'!C35="SHOW",MID('ASS END SYNC'!E35,S31+2,1000),"")</f>
        <v/>
      </c>
      <c r="Z31" s="24"/>
    </row>
    <row r="32" spans="1:26" x14ac:dyDescent="0.25">
      <c r="A32" s="26">
        <v>29</v>
      </c>
      <c r="B32" s="24" t="str">
        <f>IF('ASS START SYNC'!C36="SHOW",FIND(",",'ASS START SYNC'!E36,1),"")</f>
        <v/>
      </c>
      <c r="C32" s="24" t="str">
        <f>IF('ASS START SYNC'!C36="SHOW",FIND(",",'ASS START SYNC'!E36,B32+1),"")</f>
        <v/>
      </c>
      <c r="D32" s="24" t="str">
        <f>IF('ASS START SYNC'!C36="SHOW",FIND(",",'ASS START SYNC'!E36,C32+1),"")</f>
        <v/>
      </c>
      <c r="E32" s="25" t="str">
        <f>IF('ASS START SYNC'!C36="SHOW",FIND(",,",'ASS START SYNC'!E36,1),"")</f>
        <v/>
      </c>
      <c r="F32" s="25" t="str">
        <f>IF('ASS START SYNC'!C36="SHOW",FIND(",,",'ASS START SYNC'!E36,E32+1),"")</f>
        <v/>
      </c>
      <c r="G32" s="23" t="str">
        <f>IF('ASS START SYNC'!C36="SHOW",LEFT('ASS START SYNC'!E36,B32),"")</f>
        <v/>
      </c>
      <c r="H32" s="24" t="str">
        <f>IF(AND('ASS START SYNC'!C36="SHOW",COUNTA('ASS START SYNC'!$E$8:'ASS START SYNC'!E35)=0),MID('ASS START SYNC'!E36,B32+1,C32-B32-1),IF(AND('ASS START SYNC'!C36="SHOW",COUNTA('ASS START SYNC'!$E$8:'ASS START SYNC'!E35)&lt;&gt;0),I31,""))</f>
        <v/>
      </c>
      <c r="I32" s="24" t="str">
        <f>IF('ASS START SYNC'!C36="SHOW",MID('ASS START SYNC'!E36,C32+1,D32-C32-1),I31)</f>
        <v/>
      </c>
      <c r="J32" s="23" t="str">
        <f>IF('ASS START SYNC'!C36="SHOW",MID('ASS START SYNC'!E36,D32+1,F32-D32+1),"")</f>
        <v/>
      </c>
      <c r="K32" s="23" t="str">
        <f>IF('ASS START SYNC'!C36="SHOW",MID('ASS START SYNC'!E36,F32+2,1000),"")</f>
        <v/>
      </c>
      <c r="M32" s="24"/>
      <c r="N32" s="26">
        <v>29</v>
      </c>
      <c r="O32" s="24" t="str">
        <f>IF('ASS END SYNC'!C36="SHOW",FIND(",",'ASS END SYNC'!E36,1),"")</f>
        <v/>
      </c>
      <c r="P32" s="24" t="str">
        <f>IF('ASS END SYNC'!C36="SHOW",FIND(",",'ASS END SYNC'!E36,O32+1),"")</f>
        <v/>
      </c>
      <c r="Q32" s="24" t="str">
        <f>IF('ASS END SYNC'!C36="SHOW",FIND(",",'ASS END SYNC'!E36,P32+1),"")</f>
        <v/>
      </c>
      <c r="R32" s="25" t="str">
        <f>IF('ASS END SYNC'!C36="SHOW",FIND(",,",'ASS END SYNC'!E36,1),"")</f>
        <v/>
      </c>
      <c r="S32" s="25" t="str">
        <f>IF('ASS END SYNC'!C36="SHOW",FIND(",,",'ASS END SYNC'!E36,R32+1),"")</f>
        <v/>
      </c>
      <c r="T32" s="23" t="str">
        <f>IF('ASS END SYNC'!C36="SHOW",LEFT('ASS END SYNC'!E36,O32),"")</f>
        <v/>
      </c>
      <c r="U32" s="24" t="str">
        <f>IF('ASS END SYNC'!C36="SHOW",MID('ASS END SYNC'!E36,O32+1,P32-O32-1),"")</f>
        <v/>
      </c>
      <c r="V32" s="24" t="str">
        <f>IF(AND('ASS END SYNC'!C36="SHOW",'ASS END SYNC'!C37="SHOW"),U33,IF(AND('ASS END SYNC'!C36="SHOW",'ASS END SYNC'!C37&lt;&gt;"SHOW"),MID('ASS END SYNC'!E36,O32+1,P32-O32-1),""))</f>
        <v/>
      </c>
      <c r="W32" s="23" t="str">
        <f>IF('ASS END SYNC'!C36="SHOW",MID('ASS END SYNC'!E36,Q32+1,S32-Q32+1),"")</f>
        <v/>
      </c>
      <c r="X32" s="23" t="str">
        <f>IF('ASS END SYNC'!C36="SHOW",MID('ASS END SYNC'!E36,S32+2,1000),"")</f>
        <v/>
      </c>
      <c r="Z32" s="24"/>
    </row>
    <row r="33" spans="1:26" x14ac:dyDescent="0.25">
      <c r="A33" s="26">
        <v>30</v>
      </c>
      <c r="B33" s="24" t="str">
        <f>IF('ASS START SYNC'!C37="SHOW",FIND(",",'ASS START SYNC'!E37,1),"")</f>
        <v/>
      </c>
      <c r="C33" s="24" t="str">
        <f>IF('ASS START SYNC'!C37="SHOW",FIND(",",'ASS START SYNC'!E37,B33+1),"")</f>
        <v/>
      </c>
      <c r="D33" s="24" t="str">
        <f>IF('ASS START SYNC'!C37="SHOW",FIND(",",'ASS START SYNC'!E37,C33+1),"")</f>
        <v/>
      </c>
      <c r="E33" s="25" t="str">
        <f>IF('ASS START SYNC'!C37="SHOW",FIND(",,",'ASS START SYNC'!E37,1),"")</f>
        <v/>
      </c>
      <c r="F33" s="25" t="str">
        <f>IF('ASS START SYNC'!C37="SHOW",FIND(",,",'ASS START SYNC'!E37,E33+1),"")</f>
        <v/>
      </c>
      <c r="G33" s="23" t="str">
        <f>IF('ASS START SYNC'!C37="SHOW",LEFT('ASS START SYNC'!E37,B33),"")</f>
        <v/>
      </c>
      <c r="H33" s="24" t="str">
        <f>IF(AND('ASS START SYNC'!C37="SHOW",COUNTA('ASS START SYNC'!$E$8:'ASS START SYNC'!E36)=0),MID('ASS START SYNC'!E37,B33+1,C33-B33-1),IF(AND('ASS START SYNC'!C37="SHOW",COUNTA('ASS START SYNC'!$E$8:'ASS START SYNC'!E36)&lt;&gt;0),I32,""))</f>
        <v/>
      </c>
      <c r="I33" s="24" t="str">
        <f>IF('ASS START SYNC'!C37="SHOW",MID('ASS START SYNC'!E37,C33+1,D33-C33-1),I32)</f>
        <v/>
      </c>
      <c r="J33" s="23" t="str">
        <f>IF('ASS START SYNC'!C37="SHOW",MID('ASS START SYNC'!E37,D33+1,F33-D33+1),"")</f>
        <v/>
      </c>
      <c r="K33" s="23" t="str">
        <f>IF('ASS START SYNC'!C37="SHOW",MID('ASS START SYNC'!E37,F33+2,1000),"")</f>
        <v/>
      </c>
      <c r="M33" s="24"/>
      <c r="N33" s="26">
        <v>30</v>
      </c>
      <c r="O33" s="24" t="str">
        <f>IF('ASS END SYNC'!C37="SHOW",FIND(",",'ASS END SYNC'!E37,1),"")</f>
        <v/>
      </c>
      <c r="P33" s="24" t="str">
        <f>IF('ASS END SYNC'!C37="SHOW",FIND(",",'ASS END SYNC'!E37,O33+1),"")</f>
        <v/>
      </c>
      <c r="Q33" s="24" t="str">
        <f>IF('ASS END SYNC'!C37="SHOW",FIND(",",'ASS END SYNC'!E37,P33+1),"")</f>
        <v/>
      </c>
      <c r="R33" s="25" t="str">
        <f>IF('ASS END SYNC'!C37="SHOW",FIND(",,",'ASS END SYNC'!E37,1),"")</f>
        <v/>
      </c>
      <c r="S33" s="25" t="str">
        <f>IF('ASS END SYNC'!C37="SHOW",FIND(",,",'ASS END SYNC'!E37,R33+1),"")</f>
        <v/>
      </c>
      <c r="T33" s="23" t="str">
        <f>IF('ASS END SYNC'!C37="SHOW",LEFT('ASS END SYNC'!E37,O33),"")</f>
        <v/>
      </c>
      <c r="U33" s="24" t="str">
        <f>IF('ASS END SYNC'!C37="SHOW",MID('ASS END SYNC'!E37,O33+1,P33-O33-1),"")</f>
        <v/>
      </c>
      <c r="V33" s="24" t="str">
        <f>IF(AND('ASS END SYNC'!C37="SHOW",'ASS END SYNC'!C38="SHOW"),U34,IF(AND('ASS END SYNC'!C37="SHOW",'ASS END SYNC'!C38&lt;&gt;"SHOW"),MID('ASS END SYNC'!E37,O33+1,P33-O33-1),""))</f>
        <v/>
      </c>
      <c r="W33" s="23" t="str">
        <f>IF('ASS END SYNC'!C37="SHOW",MID('ASS END SYNC'!E37,Q33+1,S33-Q33+1),"")</f>
        <v/>
      </c>
      <c r="X33" s="23" t="str">
        <f>IF('ASS END SYNC'!C37="SHOW",MID('ASS END SYNC'!E37,S33+2,1000),"")</f>
        <v/>
      </c>
      <c r="Z33" s="24"/>
    </row>
    <row r="34" spans="1:26" x14ac:dyDescent="0.25">
      <c r="A34" s="26">
        <v>31</v>
      </c>
      <c r="B34" s="24" t="str">
        <f>IF('ASS START SYNC'!C38="SHOW",FIND(",",'ASS START SYNC'!E38,1),"")</f>
        <v/>
      </c>
      <c r="C34" s="24" t="str">
        <f>IF('ASS START SYNC'!C38="SHOW",FIND(",",'ASS START SYNC'!E38,B34+1),"")</f>
        <v/>
      </c>
      <c r="D34" s="24" t="str">
        <f>IF('ASS START SYNC'!C38="SHOW",FIND(",",'ASS START SYNC'!E38,C34+1),"")</f>
        <v/>
      </c>
      <c r="E34" s="25" t="str">
        <f>IF('ASS START SYNC'!C38="SHOW",FIND(",,",'ASS START SYNC'!E38,1),"")</f>
        <v/>
      </c>
      <c r="F34" s="25" t="str">
        <f>IF('ASS START SYNC'!C38="SHOW",FIND(",,",'ASS START SYNC'!E38,E34+1),"")</f>
        <v/>
      </c>
      <c r="G34" s="23" t="str">
        <f>IF('ASS START SYNC'!C38="SHOW",LEFT('ASS START SYNC'!E38,B34),"")</f>
        <v/>
      </c>
      <c r="H34" s="24" t="str">
        <f>IF(AND('ASS START SYNC'!C38="SHOW",COUNTA('ASS START SYNC'!$E$8:'ASS START SYNC'!E37)=0),MID('ASS START SYNC'!E38,B34+1,C34-B34-1),IF(AND('ASS START SYNC'!C38="SHOW",COUNTA('ASS START SYNC'!$E$8:'ASS START SYNC'!E37)&lt;&gt;0),I33,""))</f>
        <v/>
      </c>
      <c r="I34" s="24" t="str">
        <f>IF('ASS START SYNC'!C38="SHOW",MID('ASS START SYNC'!E38,C34+1,D34-C34-1),I33)</f>
        <v/>
      </c>
      <c r="J34" s="23" t="str">
        <f>IF('ASS START SYNC'!C38="SHOW",MID('ASS START SYNC'!E38,D34+1,F34-D34+1),"")</f>
        <v/>
      </c>
      <c r="K34" s="23" t="str">
        <f>IF('ASS START SYNC'!C38="SHOW",MID('ASS START SYNC'!E38,F34+2,1000),"")</f>
        <v/>
      </c>
      <c r="M34" s="24"/>
      <c r="N34" s="26">
        <v>31</v>
      </c>
      <c r="O34" s="24" t="str">
        <f>IF('ASS END SYNC'!C38="SHOW",FIND(",",'ASS END SYNC'!E38,1),"")</f>
        <v/>
      </c>
      <c r="P34" s="24" t="str">
        <f>IF('ASS END SYNC'!C38="SHOW",FIND(",",'ASS END SYNC'!E38,O34+1),"")</f>
        <v/>
      </c>
      <c r="Q34" s="24" t="str">
        <f>IF('ASS END SYNC'!C38="SHOW",FIND(",",'ASS END SYNC'!E38,P34+1),"")</f>
        <v/>
      </c>
      <c r="R34" s="25" t="str">
        <f>IF('ASS END SYNC'!C38="SHOW",FIND(",,",'ASS END SYNC'!E38,1),"")</f>
        <v/>
      </c>
      <c r="S34" s="25" t="str">
        <f>IF('ASS END SYNC'!C38="SHOW",FIND(",,",'ASS END SYNC'!E38,R34+1),"")</f>
        <v/>
      </c>
      <c r="T34" s="23" t="str">
        <f>IF('ASS END SYNC'!C38="SHOW",LEFT('ASS END SYNC'!E38,O34),"")</f>
        <v/>
      </c>
      <c r="U34" s="24" t="str">
        <f>IF('ASS END SYNC'!C38="SHOW",MID('ASS END SYNC'!E38,O34+1,P34-O34-1),"")</f>
        <v/>
      </c>
      <c r="V34" s="24" t="str">
        <f>IF(AND('ASS END SYNC'!C38="SHOW",'ASS END SYNC'!C39="SHOW"),U35,IF(AND('ASS END SYNC'!C38="SHOW",'ASS END SYNC'!C39&lt;&gt;"SHOW"),MID('ASS END SYNC'!E38,O34+1,P34-O34-1),""))</f>
        <v/>
      </c>
      <c r="W34" s="23" t="str">
        <f>IF('ASS END SYNC'!C38="SHOW",MID('ASS END SYNC'!E38,Q34+1,S34-Q34+1),"")</f>
        <v/>
      </c>
      <c r="X34" s="23" t="str">
        <f>IF('ASS END SYNC'!C38="SHOW",MID('ASS END SYNC'!E38,S34+2,1000),"")</f>
        <v/>
      </c>
      <c r="Z34" s="24"/>
    </row>
    <row r="35" spans="1:26" x14ac:dyDescent="0.25">
      <c r="A35" s="26">
        <v>32</v>
      </c>
      <c r="B35" s="24" t="str">
        <f>IF('ASS START SYNC'!C39="SHOW",FIND(",",'ASS START SYNC'!E39,1),"")</f>
        <v/>
      </c>
      <c r="C35" s="24" t="str">
        <f>IF('ASS START SYNC'!C39="SHOW",FIND(",",'ASS START SYNC'!E39,B35+1),"")</f>
        <v/>
      </c>
      <c r="D35" s="24" t="str">
        <f>IF('ASS START SYNC'!C39="SHOW",FIND(",",'ASS START SYNC'!E39,C35+1),"")</f>
        <v/>
      </c>
      <c r="E35" s="25" t="str">
        <f>IF('ASS START SYNC'!C39="SHOW",FIND(",,",'ASS START SYNC'!E39,1),"")</f>
        <v/>
      </c>
      <c r="F35" s="25" t="str">
        <f>IF('ASS START SYNC'!C39="SHOW",FIND(",,",'ASS START SYNC'!E39,E35+1),"")</f>
        <v/>
      </c>
      <c r="G35" s="23" t="str">
        <f>IF('ASS START SYNC'!C39="SHOW",LEFT('ASS START SYNC'!E39,B35),"")</f>
        <v/>
      </c>
      <c r="H35" s="24" t="str">
        <f>IF(AND('ASS START SYNC'!C39="SHOW",COUNTA('ASS START SYNC'!$E$8:'ASS START SYNC'!E38)=0),MID('ASS START SYNC'!E39,B35+1,C35-B35-1),IF(AND('ASS START SYNC'!C39="SHOW",COUNTA('ASS START SYNC'!$E$8:'ASS START SYNC'!E38)&lt;&gt;0),I34,""))</f>
        <v/>
      </c>
      <c r="I35" s="24" t="str">
        <f>IF('ASS START SYNC'!C39="SHOW",MID('ASS START SYNC'!E39,C35+1,D35-C35-1),I34)</f>
        <v/>
      </c>
      <c r="J35" s="23" t="str">
        <f>IF('ASS START SYNC'!C39="SHOW",MID('ASS START SYNC'!E39,D35+1,F35-D35+1),"")</f>
        <v/>
      </c>
      <c r="K35" s="23" t="str">
        <f>IF('ASS START SYNC'!C39="SHOW",MID('ASS START SYNC'!E39,F35+2,1000),"")</f>
        <v/>
      </c>
      <c r="M35" s="24"/>
      <c r="N35" s="26">
        <v>32</v>
      </c>
      <c r="O35" s="24" t="str">
        <f>IF('ASS END SYNC'!C39="SHOW",FIND(",",'ASS END SYNC'!E39,1),"")</f>
        <v/>
      </c>
      <c r="P35" s="24" t="str">
        <f>IF('ASS END SYNC'!C39="SHOW",FIND(",",'ASS END SYNC'!E39,O35+1),"")</f>
        <v/>
      </c>
      <c r="Q35" s="24" t="str">
        <f>IF('ASS END SYNC'!C39="SHOW",FIND(",",'ASS END SYNC'!E39,P35+1),"")</f>
        <v/>
      </c>
      <c r="R35" s="25" t="str">
        <f>IF('ASS END SYNC'!C39="SHOW",FIND(",,",'ASS END SYNC'!E39,1),"")</f>
        <v/>
      </c>
      <c r="S35" s="25" t="str">
        <f>IF('ASS END SYNC'!C39="SHOW",FIND(",,",'ASS END SYNC'!E39,R35+1),"")</f>
        <v/>
      </c>
      <c r="T35" s="23" t="str">
        <f>IF('ASS END SYNC'!C39="SHOW",LEFT('ASS END SYNC'!E39,O35),"")</f>
        <v/>
      </c>
      <c r="U35" s="24" t="str">
        <f>IF('ASS END SYNC'!C39="SHOW",MID('ASS END SYNC'!E39,O35+1,P35-O35-1),"")</f>
        <v/>
      </c>
      <c r="V35" s="24" t="str">
        <f>IF(AND('ASS END SYNC'!C39="SHOW",'ASS END SYNC'!C40="SHOW"),U36,IF(AND('ASS END SYNC'!C39="SHOW",'ASS END SYNC'!C40&lt;&gt;"SHOW"),MID('ASS END SYNC'!E39,O35+1,P35-O35-1),""))</f>
        <v/>
      </c>
      <c r="W35" s="23" t="str">
        <f>IF('ASS END SYNC'!C39="SHOW",MID('ASS END SYNC'!E39,Q35+1,S35-Q35+1),"")</f>
        <v/>
      </c>
      <c r="X35" s="23" t="str">
        <f>IF('ASS END SYNC'!C39="SHOW",MID('ASS END SYNC'!E39,S35+2,1000),"")</f>
        <v/>
      </c>
      <c r="Z35" s="24"/>
    </row>
    <row r="36" spans="1:26" x14ac:dyDescent="0.25">
      <c r="A36" s="26">
        <v>33</v>
      </c>
      <c r="B36" s="24" t="str">
        <f>IF('ASS START SYNC'!C40="SHOW",FIND(",",'ASS START SYNC'!E40,1),"")</f>
        <v/>
      </c>
      <c r="C36" s="24" t="str">
        <f>IF('ASS START SYNC'!C40="SHOW",FIND(",",'ASS START SYNC'!E40,B36+1),"")</f>
        <v/>
      </c>
      <c r="D36" s="24" t="str">
        <f>IF('ASS START SYNC'!C40="SHOW",FIND(",",'ASS START SYNC'!E40,C36+1),"")</f>
        <v/>
      </c>
      <c r="E36" s="25" t="str">
        <f>IF('ASS START SYNC'!C40="SHOW",FIND(",,",'ASS START SYNC'!E40,1),"")</f>
        <v/>
      </c>
      <c r="F36" s="25" t="str">
        <f>IF('ASS START SYNC'!C40="SHOW",FIND(",,",'ASS START SYNC'!E40,E36+1),"")</f>
        <v/>
      </c>
      <c r="G36" s="23" t="str">
        <f>IF('ASS START SYNC'!C40="SHOW",LEFT('ASS START SYNC'!E40,B36),"")</f>
        <v/>
      </c>
      <c r="H36" s="24" t="str">
        <f>IF(AND('ASS START SYNC'!C40="SHOW",COUNTA('ASS START SYNC'!$E$8:'ASS START SYNC'!E39)=0),MID('ASS START SYNC'!E40,B36+1,C36-B36-1),IF(AND('ASS START SYNC'!C40="SHOW",COUNTA('ASS START SYNC'!$E$8:'ASS START SYNC'!E39)&lt;&gt;0),I35,""))</f>
        <v/>
      </c>
      <c r="I36" s="24" t="str">
        <f>IF('ASS START SYNC'!C40="SHOW",MID('ASS START SYNC'!E40,C36+1,D36-C36-1),I35)</f>
        <v/>
      </c>
      <c r="J36" s="23" t="str">
        <f>IF('ASS START SYNC'!C40="SHOW",MID('ASS START SYNC'!E40,D36+1,F36-D36+1),"")</f>
        <v/>
      </c>
      <c r="K36" s="23" t="str">
        <f>IF('ASS START SYNC'!C40="SHOW",MID('ASS START SYNC'!E40,F36+2,1000),"")</f>
        <v/>
      </c>
      <c r="M36" s="24"/>
      <c r="N36" s="26">
        <v>33</v>
      </c>
      <c r="O36" s="24" t="str">
        <f>IF('ASS END SYNC'!C40="SHOW",FIND(",",'ASS END SYNC'!E40,1),"")</f>
        <v/>
      </c>
      <c r="P36" s="24" t="str">
        <f>IF('ASS END SYNC'!C40="SHOW",FIND(",",'ASS END SYNC'!E40,O36+1),"")</f>
        <v/>
      </c>
      <c r="Q36" s="24" t="str">
        <f>IF('ASS END SYNC'!C40="SHOW",FIND(",",'ASS END SYNC'!E40,P36+1),"")</f>
        <v/>
      </c>
      <c r="R36" s="25" t="str">
        <f>IF('ASS END SYNC'!C40="SHOW",FIND(",,",'ASS END SYNC'!E40,1),"")</f>
        <v/>
      </c>
      <c r="S36" s="25" t="str">
        <f>IF('ASS END SYNC'!C40="SHOW",FIND(",,",'ASS END SYNC'!E40,R36+1),"")</f>
        <v/>
      </c>
      <c r="T36" s="23" t="str">
        <f>IF('ASS END SYNC'!C40="SHOW",LEFT('ASS END SYNC'!E40,O36),"")</f>
        <v/>
      </c>
      <c r="U36" s="24" t="str">
        <f>IF('ASS END SYNC'!C40="SHOW",MID('ASS END SYNC'!E40,O36+1,P36-O36-1),"")</f>
        <v/>
      </c>
      <c r="V36" s="24" t="str">
        <f>IF(AND('ASS END SYNC'!C40="SHOW",'ASS END SYNC'!C41="SHOW"),U37,IF(AND('ASS END SYNC'!C40="SHOW",'ASS END SYNC'!C41&lt;&gt;"SHOW"),MID('ASS END SYNC'!E40,O36+1,P36-O36-1),""))</f>
        <v/>
      </c>
      <c r="W36" s="23" t="str">
        <f>IF('ASS END SYNC'!C40="SHOW",MID('ASS END SYNC'!E40,Q36+1,S36-Q36+1),"")</f>
        <v/>
      </c>
      <c r="X36" s="23" t="str">
        <f>IF('ASS END SYNC'!C40="SHOW",MID('ASS END SYNC'!E40,S36+2,1000),"")</f>
        <v/>
      </c>
      <c r="Z36" s="24"/>
    </row>
    <row r="37" spans="1:26" x14ac:dyDescent="0.25">
      <c r="A37" s="26">
        <v>34</v>
      </c>
      <c r="B37" s="24" t="str">
        <f>IF('ASS START SYNC'!C41="SHOW",FIND(",",'ASS START SYNC'!E41,1),"")</f>
        <v/>
      </c>
      <c r="C37" s="24" t="str">
        <f>IF('ASS START SYNC'!C41="SHOW",FIND(",",'ASS START SYNC'!E41,B37+1),"")</f>
        <v/>
      </c>
      <c r="D37" s="24" t="str">
        <f>IF('ASS START SYNC'!C41="SHOW",FIND(",",'ASS START SYNC'!E41,C37+1),"")</f>
        <v/>
      </c>
      <c r="E37" s="25" t="str">
        <f>IF('ASS START SYNC'!C41="SHOW",FIND(",,",'ASS START SYNC'!E41,1),"")</f>
        <v/>
      </c>
      <c r="F37" s="25" t="str">
        <f>IF('ASS START SYNC'!C41="SHOW",FIND(",,",'ASS START SYNC'!E41,E37+1),"")</f>
        <v/>
      </c>
      <c r="G37" s="23" t="str">
        <f>IF('ASS START SYNC'!C41="SHOW",LEFT('ASS START SYNC'!E41,B37),"")</f>
        <v/>
      </c>
      <c r="H37" s="24" t="str">
        <f>IF(AND('ASS START SYNC'!C41="SHOW",COUNTA('ASS START SYNC'!$E$8:'ASS START SYNC'!E40)=0),MID('ASS START SYNC'!E41,B37+1,C37-B37-1),IF(AND('ASS START SYNC'!C41="SHOW",COUNTA('ASS START SYNC'!$E$8:'ASS START SYNC'!E40)&lt;&gt;0),I36,""))</f>
        <v/>
      </c>
      <c r="I37" s="24" t="str">
        <f>IF('ASS START SYNC'!C41="SHOW",MID('ASS START SYNC'!E41,C37+1,D37-C37-1),I36)</f>
        <v/>
      </c>
      <c r="J37" s="23" t="str">
        <f>IF('ASS START SYNC'!C41="SHOW",MID('ASS START SYNC'!E41,D37+1,F37-D37+1),"")</f>
        <v/>
      </c>
      <c r="K37" s="23" t="str">
        <f>IF('ASS START SYNC'!C41="SHOW",MID('ASS START SYNC'!E41,F37+2,1000),"")</f>
        <v/>
      </c>
      <c r="M37" s="24"/>
      <c r="N37" s="26">
        <v>34</v>
      </c>
      <c r="O37" s="24" t="str">
        <f>IF('ASS END SYNC'!C41="SHOW",FIND(",",'ASS END SYNC'!E41,1),"")</f>
        <v/>
      </c>
      <c r="P37" s="24" t="str">
        <f>IF('ASS END SYNC'!C41="SHOW",FIND(",",'ASS END SYNC'!E41,O37+1),"")</f>
        <v/>
      </c>
      <c r="Q37" s="24" t="str">
        <f>IF('ASS END SYNC'!C41="SHOW",FIND(",",'ASS END SYNC'!E41,P37+1),"")</f>
        <v/>
      </c>
      <c r="R37" s="25" t="str">
        <f>IF('ASS END SYNC'!C41="SHOW",FIND(",,",'ASS END SYNC'!E41,1),"")</f>
        <v/>
      </c>
      <c r="S37" s="25" t="str">
        <f>IF('ASS END SYNC'!C41="SHOW",FIND(",,",'ASS END SYNC'!E41,R37+1),"")</f>
        <v/>
      </c>
      <c r="T37" s="23" t="str">
        <f>IF('ASS END SYNC'!C41="SHOW",LEFT('ASS END SYNC'!E41,O37),"")</f>
        <v/>
      </c>
      <c r="U37" s="24" t="str">
        <f>IF('ASS END SYNC'!C41="SHOW",MID('ASS END SYNC'!E41,O37+1,P37-O37-1),"")</f>
        <v/>
      </c>
      <c r="V37" s="24" t="str">
        <f>IF(AND('ASS END SYNC'!C41="SHOW",'ASS END SYNC'!C42="SHOW"),U38,IF(AND('ASS END SYNC'!C41="SHOW",'ASS END SYNC'!C42&lt;&gt;"SHOW"),MID('ASS END SYNC'!E41,O37+1,P37-O37-1),""))</f>
        <v/>
      </c>
      <c r="W37" s="23" t="str">
        <f>IF('ASS END SYNC'!C41="SHOW",MID('ASS END SYNC'!E41,Q37+1,S37-Q37+1),"")</f>
        <v/>
      </c>
      <c r="X37" s="23" t="str">
        <f>IF('ASS END SYNC'!C41="SHOW",MID('ASS END SYNC'!E41,S37+2,1000),"")</f>
        <v/>
      </c>
      <c r="Z37" s="24"/>
    </row>
    <row r="38" spans="1:26" x14ac:dyDescent="0.25">
      <c r="A38" s="26">
        <v>35</v>
      </c>
      <c r="B38" s="24" t="str">
        <f>IF('ASS START SYNC'!C42="SHOW",FIND(",",'ASS START SYNC'!E42,1),"")</f>
        <v/>
      </c>
      <c r="C38" s="24" t="str">
        <f>IF('ASS START SYNC'!C42="SHOW",FIND(",",'ASS START SYNC'!E42,B38+1),"")</f>
        <v/>
      </c>
      <c r="D38" s="24" t="str">
        <f>IF('ASS START SYNC'!C42="SHOW",FIND(",",'ASS START SYNC'!E42,C38+1),"")</f>
        <v/>
      </c>
      <c r="E38" s="25" t="str">
        <f>IF('ASS START SYNC'!C42="SHOW",FIND(",,",'ASS START SYNC'!E42,1),"")</f>
        <v/>
      </c>
      <c r="F38" s="25" t="str">
        <f>IF('ASS START SYNC'!C42="SHOW",FIND(",,",'ASS START SYNC'!E42,E38+1),"")</f>
        <v/>
      </c>
      <c r="G38" s="23" t="str">
        <f>IF('ASS START SYNC'!C42="SHOW",LEFT('ASS START SYNC'!E42,B38),"")</f>
        <v/>
      </c>
      <c r="H38" s="24" t="str">
        <f>IF(AND('ASS START SYNC'!C42="SHOW",COUNTA('ASS START SYNC'!$E$8:'ASS START SYNC'!E41)=0),MID('ASS START SYNC'!E42,B38+1,C38-B38-1),IF(AND('ASS START SYNC'!C42="SHOW",COUNTA('ASS START SYNC'!$E$8:'ASS START SYNC'!E41)&lt;&gt;0),I37,""))</f>
        <v/>
      </c>
      <c r="I38" s="24" t="str">
        <f>IF('ASS START SYNC'!C42="SHOW",MID('ASS START SYNC'!E42,C38+1,D38-C38-1),I37)</f>
        <v/>
      </c>
      <c r="J38" s="23" t="str">
        <f>IF('ASS START SYNC'!C42="SHOW",MID('ASS START SYNC'!E42,D38+1,F38-D38+1),"")</f>
        <v/>
      </c>
      <c r="K38" s="23" t="str">
        <f>IF('ASS START SYNC'!C42="SHOW",MID('ASS START SYNC'!E42,F38+2,1000),"")</f>
        <v/>
      </c>
      <c r="M38" s="24"/>
      <c r="N38" s="26">
        <v>35</v>
      </c>
      <c r="O38" s="24" t="str">
        <f>IF('ASS END SYNC'!C42="SHOW",FIND(",",'ASS END SYNC'!E42,1),"")</f>
        <v/>
      </c>
      <c r="P38" s="24" t="str">
        <f>IF('ASS END SYNC'!C42="SHOW",FIND(",",'ASS END SYNC'!E42,O38+1),"")</f>
        <v/>
      </c>
      <c r="Q38" s="24" t="str">
        <f>IF('ASS END SYNC'!C42="SHOW",FIND(",",'ASS END SYNC'!E42,P38+1),"")</f>
        <v/>
      </c>
      <c r="R38" s="25" t="str">
        <f>IF('ASS END SYNC'!C42="SHOW",FIND(",,",'ASS END SYNC'!E42,1),"")</f>
        <v/>
      </c>
      <c r="S38" s="25" t="str">
        <f>IF('ASS END SYNC'!C42="SHOW",FIND(",,",'ASS END SYNC'!E42,R38+1),"")</f>
        <v/>
      </c>
      <c r="T38" s="23" t="str">
        <f>IF('ASS END SYNC'!C42="SHOW",LEFT('ASS END SYNC'!E42,O38),"")</f>
        <v/>
      </c>
      <c r="U38" s="24" t="str">
        <f>IF('ASS END SYNC'!C42="SHOW",MID('ASS END SYNC'!E42,O38+1,P38-O38-1),"")</f>
        <v/>
      </c>
      <c r="V38" s="24" t="str">
        <f>IF(AND('ASS END SYNC'!C42="SHOW",'ASS END SYNC'!C43="SHOW"),U39,IF(AND('ASS END SYNC'!C42="SHOW",'ASS END SYNC'!C43&lt;&gt;"SHOW"),MID('ASS END SYNC'!E42,O38+1,P38-O38-1),""))</f>
        <v/>
      </c>
      <c r="W38" s="23" t="str">
        <f>IF('ASS END SYNC'!C42="SHOW",MID('ASS END SYNC'!E42,Q38+1,S38-Q38+1),"")</f>
        <v/>
      </c>
      <c r="X38" s="23" t="str">
        <f>IF('ASS END SYNC'!C42="SHOW",MID('ASS END SYNC'!E42,S38+2,1000),"")</f>
        <v/>
      </c>
      <c r="Z38" s="24"/>
    </row>
    <row r="39" spans="1:26" x14ac:dyDescent="0.25">
      <c r="A39" s="26">
        <v>36</v>
      </c>
      <c r="B39" s="24" t="str">
        <f>IF('ASS START SYNC'!C43="SHOW",FIND(",",'ASS START SYNC'!E43,1),"")</f>
        <v/>
      </c>
      <c r="C39" s="24" t="str">
        <f>IF('ASS START SYNC'!C43="SHOW",FIND(",",'ASS START SYNC'!E43,B39+1),"")</f>
        <v/>
      </c>
      <c r="D39" s="24" t="str">
        <f>IF('ASS START SYNC'!C43="SHOW",FIND(",",'ASS START SYNC'!E43,C39+1),"")</f>
        <v/>
      </c>
      <c r="E39" s="25" t="str">
        <f>IF('ASS START SYNC'!C43="SHOW",FIND(",,",'ASS START SYNC'!E43,1),"")</f>
        <v/>
      </c>
      <c r="F39" s="25" t="str">
        <f>IF('ASS START SYNC'!C43="SHOW",FIND(",,",'ASS START SYNC'!E43,E39+1),"")</f>
        <v/>
      </c>
      <c r="G39" s="23" t="str">
        <f>IF('ASS START SYNC'!C43="SHOW",LEFT('ASS START SYNC'!E43,B39),"")</f>
        <v/>
      </c>
      <c r="H39" s="24" t="str">
        <f>IF(AND('ASS START SYNC'!C43="SHOW",COUNTA('ASS START SYNC'!$E$8:'ASS START SYNC'!E42)=0),MID('ASS START SYNC'!E43,B39+1,C39-B39-1),IF(AND('ASS START SYNC'!C43="SHOW",COUNTA('ASS START SYNC'!$E$8:'ASS START SYNC'!E42)&lt;&gt;0),I38,""))</f>
        <v/>
      </c>
      <c r="I39" s="24" t="str">
        <f>IF('ASS START SYNC'!C43="SHOW",MID('ASS START SYNC'!E43,C39+1,D39-C39-1),I38)</f>
        <v/>
      </c>
      <c r="J39" s="23" t="str">
        <f>IF('ASS START SYNC'!C43="SHOW",MID('ASS START SYNC'!E43,D39+1,F39-D39+1),"")</f>
        <v/>
      </c>
      <c r="K39" s="23" t="str">
        <f>IF('ASS START SYNC'!C43="SHOW",MID('ASS START SYNC'!E43,F39+2,1000),"")</f>
        <v/>
      </c>
      <c r="M39" s="24"/>
      <c r="N39" s="26">
        <v>36</v>
      </c>
      <c r="O39" s="24" t="str">
        <f>IF('ASS END SYNC'!C43="SHOW",FIND(",",'ASS END SYNC'!E43,1),"")</f>
        <v/>
      </c>
      <c r="P39" s="24" t="str">
        <f>IF('ASS END SYNC'!C43="SHOW",FIND(",",'ASS END SYNC'!E43,O39+1),"")</f>
        <v/>
      </c>
      <c r="Q39" s="24" t="str">
        <f>IF('ASS END SYNC'!C43="SHOW",FIND(",",'ASS END SYNC'!E43,P39+1),"")</f>
        <v/>
      </c>
      <c r="R39" s="25" t="str">
        <f>IF('ASS END SYNC'!C43="SHOW",FIND(",,",'ASS END SYNC'!E43,1),"")</f>
        <v/>
      </c>
      <c r="S39" s="25" t="str">
        <f>IF('ASS END SYNC'!C43="SHOW",FIND(",,",'ASS END SYNC'!E43,R39+1),"")</f>
        <v/>
      </c>
      <c r="T39" s="23" t="str">
        <f>IF('ASS END SYNC'!C43="SHOW",LEFT('ASS END SYNC'!E43,O39),"")</f>
        <v/>
      </c>
      <c r="U39" s="24" t="str">
        <f>IF('ASS END SYNC'!C43="SHOW",MID('ASS END SYNC'!E43,O39+1,P39-O39-1),"")</f>
        <v/>
      </c>
      <c r="V39" s="24" t="str">
        <f>IF(AND('ASS END SYNC'!C43="SHOW",'ASS END SYNC'!C44="SHOW"),U40,IF(AND('ASS END SYNC'!C43="SHOW",'ASS END SYNC'!C44&lt;&gt;"SHOW"),MID('ASS END SYNC'!E43,O39+1,P39-O39-1),""))</f>
        <v/>
      </c>
      <c r="W39" s="23" t="str">
        <f>IF('ASS END SYNC'!C43="SHOW",MID('ASS END SYNC'!E43,Q39+1,S39-Q39+1),"")</f>
        <v/>
      </c>
      <c r="X39" s="23" t="str">
        <f>IF('ASS END SYNC'!C43="SHOW",MID('ASS END SYNC'!E43,S39+2,1000),"")</f>
        <v/>
      </c>
      <c r="Z39" s="24"/>
    </row>
    <row r="40" spans="1:26" x14ac:dyDescent="0.25">
      <c r="A40" s="26">
        <v>37</v>
      </c>
      <c r="B40" s="24" t="str">
        <f>IF('ASS START SYNC'!C44="SHOW",FIND(",",'ASS START SYNC'!E44,1),"")</f>
        <v/>
      </c>
      <c r="C40" s="24" t="str">
        <f>IF('ASS START SYNC'!C44="SHOW",FIND(",",'ASS START SYNC'!E44,B40+1),"")</f>
        <v/>
      </c>
      <c r="D40" s="24" t="str">
        <f>IF('ASS START SYNC'!C44="SHOW",FIND(",",'ASS START SYNC'!E44,C40+1),"")</f>
        <v/>
      </c>
      <c r="E40" s="25" t="str">
        <f>IF('ASS START SYNC'!C44="SHOW",FIND(",,",'ASS START SYNC'!E44,1),"")</f>
        <v/>
      </c>
      <c r="F40" s="25" t="str">
        <f>IF('ASS START SYNC'!C44="SHOW",FIND(",,",'ASS START SYNC'!E44,E40+1),"")</f>
        <v/>
      </c>
      <c r="G40" s="23" t="str">
        <f>IF('ASS START SYNC'!C44="SHOW",LEFT('ASS START SYNC'!E44,B40),"")</f>
        <v/>
      </c>
      <c r="H40" s="24" t="str">
        <f>IF(AND('ASS START SYNC'!C44="SHOW",COUNTA('ASS START SYNC'!$E$8:'ASS START SYNC'!E43)=0),MID('ASS START SYNC'!E44,B40+1,C40-B40-1),IF(AND('ASS START SYNC'!C44="SHOW",COUNTA('ASS START SYNC'!$E$8:'ASS START SYNC'!E43)&lt;&gt;0),I39,""))</f>
        <v/>
      </c>
      <c r="I40" s="24" t="str">
        <f>IF('ASS START SYNC'!C44="SHOW",MID('ASS START SYNC'!E44,C40+1,D40-C40-1),I39)</f>
        <v/>
      </c>
      <c r="J40" s="23" t="str">
        <f>IF('ASS START SYNC'!C44="SHOW",MID('ASS START SYNC'!E44,D40+1,F40-D40+1),"")</f>
        <v/>
      </c>
      <c r="K40" s="23" t="str">
        <f>IF('ASS START SYNC'!C44="SHOW",MID('ASS START SYNC'!E44,F40+2,1000),"")</f>
        <v/>
      </c>
      <c r="M40" s="24"/>
      <c r="N40" s="26">
        <v>37</v>
      </c>
      <c r="O40" s="24" t="str">
        <f>IF('ASS END SYNC'!C44="SHOW",FIND(",",'ASS END SYNC'!E44,1),"")</f>
        <v/>
      </c>
      <c r="P40" s="24" t="str">
        <f>IF('ASS END SYNC'!C44="SHOW",FIND(",",'ASS END SYNC'!E44,O40+1),"")</f>
        <v/>
      </c>
      <c r="Q40" s="24" t="str">
        <f>IF('ASS END SYNC'!C44="SHOW",FIND(",",'ASS END SYNC'!E44,P40+1),"")</f>
        <v/>
      </c>
      <c r="R40" s="25" t="str">
        <f>IF('ASS END SYNC'!C44="SHOW",FIND(",,",'ASS END SYNC'!E44,1),"")</f>
        <v/>
      </c>
      <c r="S40" s="25" t="str">
        <f>IF('ASS END SYNC'!C44="SHOW",FIND(",,",'ASS END SYNC'!E44,R40+1),"")</f>
        <v/>
      </c>
      <c r="T40" s="23" t="str">
        <f>IF('ASS END SYNC'!C44="SHOW",LEFT('ASS END SYNC'!E44,O40),"")</f>
        <v/>
      </c>
      <c r="U40" s="24" t="str">
        <f>IF('ASS END SYNC'!C44="SHOW",MID('ASS END SYNC'!E44,O40+1,P40-O40-1),"")</f>
        <v/>
      </c>
      <c r="V40" s="24" t="str">
        <f>IF(AND('ASS END SYNC'!C44="SHOW",'ASS END SYNC'!C45="SHOW"),U41,IF(AND('ASS END SYNC'!C44="SHOW",'ASS END SYNC'!C45&lt;&gt;"SHOW"),MID('ASS END SYNC'!E44,O40+1,P40-O40-1),""))</f>
        <v/>
      </c>
      <c r="W40" s="23" t="str">
        <f>IF('ASS END SYNC'!C44="SHOW",MID('ASS END SYNC'!E44,Q40+1,S40-Q40+1),"")</f>
        <v/>
      </c>
      <c r="X40" s="23" t="str">
        <f>IF('ASS END SYNC'!C44="SHOW",MID('ASS END SYNC'!E44,S40+2,1000),"")</f>
        <v/>
      </c>
      <c r="Z40" s="24"/>
    </row>
    <row r="41" spans="1:26" x14ac:dyDescent="0.25">
      <c r="A41" s="26">
        <v>38</v>
      </c>
      <c r="B41" s="24" t="str">
        <f>IF('ASS START SYNC'!C45="SHOW",FIND(",",'ASS START SYNC'!E45,1),"")</f>
        <v/>
      </c>
      <c r="C41" s="24" t="str">
        <f>IF('ASS START SYNC'!C45="SHOW",FIND(",",'ASS START SYNC'!E45,B41+1),"")</f>
        <v/>
      </c>
      <c r="D41" s="24" t="str">
        <f>IF('ASS START SYNC'!C45="SHOW",FIND(",",'ASS START SYNC'!E45,C41+1),"")</f>
        <v/>
      </c>
      <c r="E41" s="25" t="str">
        <f>IF('ASS START SYNC'!C45="SHOW",FIND(",,",'ASS START SYNC'!E45,1),"")</f>
        <v/>
      </c>
      <c r="F41" s="25" t="str">
        <f>IF('ASS START SYNC'!C45="SHOW",FIND(",,",'ASS START SYNC'!E45,E41+1),"")</f>
        <v/>
      </c>
      <c r="G41" s="23" t="str">
        <f>IF('ASS START SYNC'!C45="SHOW",LEFT('ASS START SYNC'!E45,B41),"")</f>
        <v/>
      </c>
      <c r="H41" s="24" t="str">
        <f>IF(AND('ASS START SYNC'!C45="SHOW",COUNTA('ASS START SYNC'!$E$8:'ASS START SYNC'!E44)=0),MID('ASS START SYNC'!E45,B41+1,C41-B41-1),IF(AND('ASS START SYNC'!C45="SHOW",COUNTA('ASS START SYNC'!$E$8:'ASS START SYNC'!E44)&lt;&gt;0),I40,""))</f>
        <v/>
      </c>
      <c r="I41" s="24" t="str">
        <f>IF('ASS START SYNC'!C45="SHOW",MID('ASS START SYNC'!E45,C41+1,D41-C41-1),I40)</f>
        <v/>
      </c>
      <c r="J41" s="23" t="str">
        <f>IF('ASS START SYNC'!C45="SHOW",MID('ASS START SYNC'!E45,D41+1,F41-D41+1),"")</f>
        <v/>
      </c>
      <c r="K41" s="23" t="str">
        <f>IF('ASS START SYNC'!C45="SHOW",MID('ASS START SYNC'!E45,F41+2,1000),"")</f>
        <v/>
      </c>
      <c r="M41" s="24"/>
      <c r="N41" s="26">
        <v>38</v>
      </c>
      <c r="O41" s="24" t="str">
        <f>IF('ASS END SYNC'!C45="SHOW",FIND(",",'ASS END SYNC'!E45,1),"")</f>
        <v/>
      </c>
      <c r="P41" s="24" t="str">
        <f>IF('ASS END SYNC'!C45="SHOW",FIND(",",'ASS END SYNC'!E45,O41+1),"")</f>
        <v/>
      </c>
      <c r="Q41" s="24" t="str">
        <f>IF('ASS END SYNC'!C45="SHOW",FIND(",",'ASS END SYNC'!E45,P41+1),"")</f>
        <v/>
      </c>
      <c r="R41" s="25" t="str">
        <f>IF('ASS END SYNC'!C45="SHOW",FIND(",,",'ASS END SYNC'!E45,1),"")</f>
        <v/>
      </c>
      <c r="S41" s="25" t="str">
        <f>IF('ASS END SYNC'!C45="SHOW",FIND(",,",'ASS END SYNC'!E45,R41+1),"")</f>
        <v/>
      </c>
      <c r="T41" s="23" t="str">
        <f>IF('ASS END SYNC'!C45="SHOW",LEFT('ASS END SYNC'!E45,O41),"")</f>
        <v/>
      </c>
      <c r="U41" s="24" t="str">
        <f>IF('ASS END SYNC'!C45="SHOW",MID('ASS END SYNC'!E45,O41+1,P41-O41-1),"")</f>
        <v/>
      </c>
      <c r="V41" s="24" t="str">
        <f>IF(AND('ASS END SYNC'!C45="SHOW",'ASS END SYNC'!C46="SHOW"),U42,IF(AND('ASS END SYNC'!C45="SHOW",'ASS END SYNC'!C46&lt;&gt;"SHOW"),MID('ASS END SYNC'!E45,O41+1,P41-O41-1),""))</f>
        <v/>
      </c>
      <c r="W41" s="23" t="str">
        <f>IF('ASS END SYNC'!C45="SHOW",MID('ASS END SYNC'!E45,Q41+1,S41-Q41+1),"")</f>
        <v/>
      </c>
      <c r="X41" s="23" t="str">
        <f>IF('ASS END SYNC'!C45="SHOW",MID('ASS END SYNC'!E45,S41+2,1000),"")</f>
        <v/>
      </c>
      <c r="Z41" s="24"/>
    </row>
    <row r="42" spans="1:26" x14ac:dyDescent="0.25">
      <c r="A42" s="26">
        <v>39</v>
      </c>
      <c r="B42" s="24" t="str">
        <f>IF('ASS START SYNC'!C46="SHOW",FIND(",",'ASS START SYNC'!E46,1),"")</f>
        <v/>
      </c>
      <c r="C42" s="24" t="str">
        <f>IF('ASS START SYNC'!C46="SHOW",FIND(",",'ASS START SYNC'!E46,B42+1),"")</f>
        <v/>
      </c>
      <c r="D42" s="24" t="str">
        <f>IF('ASS START SYNC'!C46="SHOW",FIND(",",'ASS START SYNC'!E46,C42+1),"")</f>
        <v/>
      </c>
      <c r="E42" s="25" t="str">
        <f>IF('ASS START SYNC'!C46="SHOW",FIND(",,",'ASS START SYNC'!E46,1),"")</f>
        <v/>
      </c>
      <c r="F42" s="25" t="str">
        <f>IF('ASS START SYNC'!C46="SHOW",FIND(",,",'ASS START SYNC'!E46,E42+1),"")</f>
        <v/>
      </c>
      <c r="G42" s="23" t="str">
        <f>IF('ASS START SYNC'!C46="SHOW",LEFT('ASS START SYNC'!E46,B42),"")</f>
        <v/>
      </c>
      <c r="H42" s="24" t="str">
        <f>IF(AND('ASS START SYNC'!C46="SHOW",COUNTA('ASS START SYNC'!$E$8:'ASS START SYNC'!E45)=0),MID('ASS START SYNC'!E46,B42+1,C42-B42-1),IF(AND('ASS START SYNC'!C46="SHOW",COUNTA('ASS START SYNC'!$E$8:'ASS START SYNC'!E45)&lt;&gt;0),I41,""))</f>
        <v/>
      </c>
      <c r="I42" s="24" t="str">
        <f>IF('ASS START SYNC'!C46="SHOW",MID('ASS START SYNC'!E46,C42+1,D42-C42-1),I41)</f>
        <v/>
      </c>
      <c r="J42" s="23" t="str">
        <f>IF('ASS START SYNC'!C46="SHOW",MID('ASS START SYNC'!E46,D42+1,F42-D42+1),"")</f>
        <v/>
      </c>
      <c r="K42" s="23" t="str">
        <f>IF('ASS START SYNC'!C46="SHOW",MID('ASS START SYNC'!E46,F42+2,1000),"")</f>
        <v/>
      </c>
      <c r="M42" s="24"/>
      <c r="N42" s="26">
        <v>39</v>
      </c>
      <c r="O42" s="24" t="str">
        <f>IF('ASS END SYNC'!C46="SHOW",FIND(",",'ASS END SYNC'!E46,1),"")</f>
        <v/>
      </c>
      <c r="P42" s="24" t="str">
        <f>IF('ASS END SYNC'!C46="SHOW",FIND(",",'ASS END SYNC'!E46,O42+1),"")</f>
        <v/>
      </c>
      <c r="Q42" s="24" t="str">
        <f>IF('ASS END SYNC'!C46="SHOW",FIND(",",'ASS END SYNC'!E46,P42+1),"")</f>
        <v/>
      </c>
      <c r="R42" s="25" t="str">
        <f>IF('ASS END SYNC'!C46="SHOW",FIND(",,",'ASS END SYNC'!E46,1),"")</f>
        <v/>
      </c>
      <c r="S42" s="25" t="str">
        <f>IF('ASS END SYNC'!C46="SHOW",FIND(",,",'ASS END SYNC'!E46,R42+1),"")</f>
        <v/>
      </c>
      <c r="T42" s="23" t="str">
        <f>IF('ASS END SYNC'!C46="SHOW",LEFT('ASS END SYNC'!E46,O42),"")</f>
        <v/>
      </c>
      <c r="U42" s="24" t="str">
        <f>IF('ASS END SYNC'!C46="SHOW",MID('ASS END SYNC'!E46,O42+1,P42-O42-1),"")</f>
        <v/>
      </c>
      <c r="V42" s="24" t="str">
        <f>IF(AND('ASS END SYNC'!C46="SHOW",'ASS END SYNC'!C47="SHOW"),U43,IF(AND('ASS END SYNC'!C46="SHOW",'ASS END SYNC'!C47&lt;&gt;"SHOW"),MID('ASS END SYNC'!E46,O42+1,P42-O42-1),""))</f>
        <v/>
      </c>
      <c r="W42" s="23" t="str">
        <f>IF('ASS END SYNC'!C46="SHOW",MID('ASS END SYNC'!E46,Q42+1,S42-Q42+1),"")</f>
        <v/>
      </c>
      <c r="X42" s="23" t="str">
        <f>IF('ASS END SYNC'!C46="SHOW",MID('ASS END SYNC'!E46,S42+2,1000),"")</f>
        <v/>
      </c>
      <c r="Z42" s="24"/>
    </row>
    <row r="43" spans="1:26" x14ac:dyDescent="0.25">
      <c r="A43" s="26">
        <v>40</v>
      </c>
      <c r="B43" s="24" t="str">
        <f>IF('ASS START SYNC'!C47="SHOW",FIND(",",'ASS START SYNC'!E47,1),"")</f>
        <v/>
      </c>
      <c r="C43" s="24" t="str">
        <f>IF('ASS START SYNC'!C47="SHOW",FIND(",",'ASS START SYNC'!E47,B43+1),"")</f>
        <v/>
      </c>
      <c r="D43" s="24" t="str">
        <f>IF('ASS START SYNC'!C47="SHOW",FIND(",",'ASS START SYNC'!E47,C43+1),"")</f>
        <v/>
      </c>
      <c r="E43" s="25" t="str">
        <f>IF('ASS START SYNC'!C47="SHOW",FIND(",,",'ASS START SYNC'!E47,1),"")</f>
        <v/>
      </c>
      <c r="F43" s="25" t="str">
        <f>IF('ASS START SYNC'!C47="SHOW",FIND(",,",'ASS START SYNC'!E47,E43+1),"")</f>
        <v/>
      </c>
      <c r="G43" s="23" t="str">
        <f>IF('ASS START SYNC'!C47="SHOW",LEFT('ASS START SYNC'!E47,B43),"")</f>
        <v/>
      </c>
      <c r="H43" s="24" t="str">
        <f>IF(AND('ASS START SYNC'!C47="SHOW",COUNTA('ASS START SYNC'!$E$8:'ASS START SYNC'!E46)=0),MID('ASS START SYNC'!E47,B43+1,C43-B43-1),IF(AND('ASS START SYNC'!C47="SHOW",COUNTA('ASS START SYNC'!$E$8:'ASS START SYNC'!E46)&lt;&gt;0),I42,""))</f>
        <v/>
      </c>
      <c r="I43" s="24" t="str">
        <f>IF('ASS START SYNC'!C47="SHOW",MID('ASS START SYNC'!E47,C43+1,D43-C43-1),I42)</f>
        <v/>
      </c>
      <c r="J43" s="23" t="str">
        <f>IF('ASS START SYNC'!C47="SHOW",MID('ASS START SYNC'!E47,D43+1,F43-D43+1),"")</f>
        <v/>
      </c>
      <c r="K43" s="23" t="str">
        <f>IF('ASS START SYNC'!C47="SHOW",MID('ASS START SYNC'!E47,F43+2,1000),"")</f>
        <v/>
      </c>
      <c r="M43" s="24"/>
      <c r="N43" s="26">
        <v>40</v>
      </c>
      <c r="O43" s="24" t="str">
        <f>IF('ASS END SYNC'!C47="SHOW",FIND(",",'ASS END SYNC'!E47,1),"")</f>
        <v/>
      </c>
      <c r="P43" s="24" t="str">
        <f>IF('ASS END SYNC'!C47="SHOW",FIND(",",'ASS END SYNC'!E47,O43+1),"")</f>
        <v/>
      </c>
      <c r="Q43" s="24" t="str">
        <f>IF('ASS END SYNC'!C47="SHOW",FIND(",",'ASS END SYNC'!E47,P43+1),"")</f>
        <v/>
      </c>
      <c r="R43" s="25" t="str">
        <f>IF('ASS END SYNC'!C47="SHOW",FIND(",,",'ASS END SYNC'!E47,1),"")</f>
        <v/>
      </c>
      <c r="S43" s="25" t="str">
        <f>IF('ASS END SYNC'!C47="SHOW",FIND(",,",'ASS END SYNC'!E47,R43+1),"")</f>
        <v/>
      </c>
      <c r="T43" s="23" t="str">
        <f>IF('ASS END SYNC'!C47="SHOW",LEFT('ASS END SYNC'!E47,O43),"")</f>
        <v/>
      </c>
      <c r="U43" s="24" t="str">
        <f>IF('ASS END SYNC'!C47="SHOW",MID('ASS END SYNC'!E47,O43+1,P43-O43-1),"")</f>
        <v/>
      </c>
      <c r="V43" s="24" t="str">
        <f>IF(AND('ASS END SYNC'!C47="SHOW",'ASS END SYNC'!C48="SHOW"),U44,IF(AND('ASS END SYNC'!C47="SHOW",'ASS END SYNC'!C48&lt;&gt;"SHOW"),MID('ASS END SYNC'!E47,O43+1,P43-O43-1),""))</f>
        <v/>
      </c>
      <c r="W43" s="23" t="str">
        <f>IF('ASS END SYNC'!C47="SHOW",MID('ASS END SYNC'!E47,Q43+1,S43-Q43+1),"")</f>
        <v/>
      </c>
      <c r="X43" s="23" t="str">
        <f>IF('ASS END SYNC'!C47="SHOW",MID('ASS END SYNC'!E47,S43+2,1000),"")</f>
        <v/>
      </c>
      <c r="Z43" s="24"/>
    </row>
    <row r="44" spans="1:26" x14ac:dyDescent="0.25">
      <c r="A44" s="26">
        <v>41</v>
      </c>
      <c r="B44" s="24" t="str">
        <f>IF('ASS START SYNC'!C48="SHOW",FIND(",",'ASS START SYNC'!E48,1),"")</f>
        <v/>
      </c>
      <c r="C44" s="24" t="str">
        <f>IF('ASS START SYNC'!C48="SHOW",FIND(",",'ASS START SYNC'!E48,B44+1),"")</f>
        <v/>
      </c>
      <c r="D44" s="24" t="str">
        <f>IF('ASS START SYNC'!C48="SHOW",FIND(",",'ASS START SYNC'!E48,C44+1),"")</f>
        <v/>
      </c>
      <c r="E44" s="25" t="str">
        <f>IF('ASS START SYNC'!C48="SHOW",FIND(",,",'ASS START SYNC'!E48,1),"")</f>
        <v/>
      </c>
      <c r="F44" s="25" t="str">
        <f>IF('ASS START SYNC'!C48="SHOW",FIND(",,",'ASS START SYNC'!E48,E44+1),"")</f>
        <v/>
      </c>
      <c r="G44" s="23" t="str">
        <f>IF('ASS START SYNC'!C48="SHOW",LEFT('ASS START SYNC'!E48,B44),"")</f>
        <v/>
      </c>
      <c r="H44" s="24" t="str">
        <f>IF(AND('ASS START SYNC'!C48="SHOW",COUNTA('ASS START SYNC'!$E$8:'ASS START SYNC'!E47)=0),MID('ASS START SYNC'!E48,B44+1,C44-B44-1),IF(AND('ASS START SYNC'!C48="SHOW",COUNTA('ASS START SYNC'!$E$8:'ASS START SYNC'!E47)&lt;&gt;0),I43,""))</f>
        <v/>
      </c>
      <c r="I44" s="24" t="str">
        <f>IF('ASS START SYNC'!C48="SHOW",MID('ASS START SYNC'!E48,C44+1,D44-C44-1),I43)</f>
        <v/>
      </c>
      <c r="J44" s="23" t="str">
        <f>IF('ASS START SYNC'!C48="SHOW",MID('ASS START SYNC'!E48,D44+1,F44-D44+1),"")</f>
        <v/>
      </c>
      <c r="K44" s="23" t="str">
        <f>IF('ASS START SYNC'!C48="SHOW",MID('ASS START SYNC'!E48,F44+2,1000),"")</f>
        <v/>
      </c>
      <c r="M44" s="24"/>
      <c r="N44" s="26">
        <v>41</v>
      </c>
      <c r="O44" s="24" t="str">
        <f>IF('ASS END SYNC'!C48="SHOW",FIND(",",'ASS END SYNC'!E48,1),"")</f>
        <v/>
      </c>
      <c r="P44" s="24" t="str">
        <f>IF('ASS END SYNC'!C48="SHOW",FIND(",",'ASS END SYNC'!E48,O44+1),"")</f>
        <v/>
      </c>
      <c r="Q44" s="24" t="str">
        <f>IF('ASS END SYNC'!C48="SHOW",FIND(",",'ASS END SYNC'!E48,P44+1),"")</f>
        <v/>
      </c>
      <c r="R44" s="25" t="str">
        <f>IF('ASS END SYNC'!C48="SHOW",FIND(",,",'ASS END SYNC'!E48,1),"")</f>
        <v/>
      </c>
      <c r="S44" s="25" t="str">
        <f>IF('ASS END SYNC'!C48="SHOW",FIND(",,",'ASS END SYNC'!E48,R44+1),"")</f>
        <v/>
      </c>
      <c r="T44" s="23" t="str">
        <f>IF('ASS END SYNC'!C48="SHOW",LEFT('ASS END SYNC'!E48,O44),"")</f>
        <v/>
      </c>
      <c r="U44" s="24" t="str">
        <f>IF('ASS END SYNC'!C48="SHOW",MID('ASS END SYNC'!E48,O44+1,P44-O44-1),"")</f>
        <v/>
      </c>
      <c r="V44" s="24" t="str">
        <f>IF(AND('ASS END SYNC'!C48="SHOW",'ASS END SYNC'!C49="SHOW"),U45,IF(AND('ASS END SYNC'!C48="SHOW",'ASS END SYNC'!C49&lt;&gt;"SHOW"),MID('ASS END SYNC'!E48,O44+1,P44-O44-1),""))</f>
        <v/>
      </c>
      <c r="W44" s="23" t="str">
        <f>IF('ASS END SYNC'!C48="SHOW",MID('ASS END SYNC'!E48,Q44+1,S44-Q44+1),"")</f>
        <v/>
      </c>
      <c r="X44" s="23" t="str">
        <f>IF('ASS END SYNC'!C48="SHOW",MID('ASS END SYNC'!E48,S44+2,1000),"")</f>
        <v/>
      </c>
      <c r="Z44" s="24"/>
    </row>
    <row r="45" spans="1:26" x14ac:dyDescent="0.25">
      <c r="A45" s="26">
        <v>42</v>
      </c>
      <c r="B45" s="24" t="str">
        <f>IF('ASS START SYNC'!C49="SHOW",FIND(",",'ASS START SYNC'!E49,1),"")</f>
        <v/>
      </c>
      <c r="C45" s="24" t="str">
        <f>IF('ASS START SYNC'!C49="SHOW",FIND(",",'ASS START SYNC'!E49,B45+1),"")</f>
        <v/>
      </c>
      <c r="D45" s="24" t="str">
        <f>IF('ASS START SYNC'!C49="SHOW",FIND(",",'ASS START SYNC'!E49,C45+1),"")</f>
        <v/>
      </c>
      <c r="E45" s="25" t="str">
        <f>IF('ASS START SYNC'!C49="SHOW",FIND(",,",'ASS START SYNC'!E49,1),"")</f>
        <v/>
      </c>
      <c r="F45" s="25" t="str">
        <f>IF('ASS START SYNC'!C49="SHOW",FIND(",,",'ASS START SYNC'!E49,E45+1),"")</f>
        <v/>
      </c>
      <c r="G45" s="23" t="str">
        <f>IF('ASS START SYNC'!C49="SHOW",LEFT('ASS START SYNC'!E49,B45),"")</f>
        <v/>
      </c>
      <c r="H45" s="24" t="str">
        <f>IF(AND('ASS START SYNC'!C49="SHOW",COUNTA('ASS START SYNC'!$E$8:'ASS START SYNC'!E48)=0),MID('ASS START SYNC'!E49,B45+1,C45-B45-1),IF(AND('ASS START SYNC'!C49="SHOW",COUNTA('ASS START SYNC'!$E$8:'ASS START SYNC'!E48)&lt;&gt;0),I44,""))</f>
        <v/>
      </c>
      <c r="I45" s="24" t="str">
        <f>IF('ASS START SYNC'!C49="SHOW",MID('ASS START SYNC'!E49,C45+1,D45-C45-1),I44)</f>
        <v/>
      </c>
      <c r="J45" s="23" t="str">
        <f>IF('ASS START SYNC'!C49="SHOW",MID('ASS START SYNC'!E49,D45+1,F45-D45+1),"")</f>
        <v/>
      </c>
      <c r="K45" s="23" t="str">
        <f>IF('ASS START SYNC'!C49="SHOW",MID('ASS START SYNC'!E49,F45+2,1000),"")</f>
        <v/>
      </c>
      <c r="M45" s="24"/>
      <c r="N45" s="26">
        <v>42</v>
      </c>
      <c r="O45" s="24" t="str">
        <f>IF('ASS END SYNC'!C49="SHOW",FIND(",",'ASS END SYNC'!E49,1),"")</f>
        <v/>
      </c>
      <c r="P45" s="24" t="str">
        <f>IF('ASS END SYNC'!C49="SHOW",FIND(",",'ASS END SYNC'!E49,O45+1),"")</f>
        <v/>
      </c>
      <c r="Q45" s="24" t="str">
        <f>IF('ASS END SYNC'!C49="SHOW",FIND(",",'ASS END SYNC'!E49,P45+1),"")</f>
        <v/>
      </c>
      <c r="R45" s="25" t="str">
        <f>IF('ASS END SYNC'!C49="SHOW",FIND(",,",'ASS END SYNC'!E49,1),"")</f>
        <v/>
      </c>
      <c r="S45" s="25" t="str">
        <f>IF('ASS END SYNC'!C49="SHOW",FIND(",,",'ASS END SYNC'!E49,R45+1),"")</f>
        <v/>
      </c>
      <c r="T45" s="23" t="str">
        <f>IF('ASS END SYNC'!C49="SHOW",LEFT('ASS END SYNC'!E49,O45),"")</f>
        <v/>
      </c>
      <c r="U45" s="24" t="str">
        <f>IF('ASS END SYNC'!C49="SHOW",MID('ASS END SYNC'!E49,O45+1,P45-O45-1),"")</f>
        <v/>
      </c>
      <c r="V45" s="24" t="str">
        <f>IF(AND('ASS END SYNC'!C49="SHOW",'ASS END SYNC'!C50="SHOW"),U46,IF(AND('ASS END SYNC'!C49="SHOW",'ASS END SYNC'!C50&lt;&gt;"SHOW"),MID('ASS END SYNC'!E49,O45+1,P45-O45-1),""))</f>
        <v/>
      </c>
      <c r="W45" s="23" t="str">
        <f>IF('ASS END SYNC'!C49="SHOW",MID('ASS END SYNC'!E49,Q45+1,S45-Q45+1),"")</f>
        <v/>
      </c>
      <c r="X45" s="23" t="str">
        <f>IF('ASS END SYNC'!C49="SHOW",MID('ASS END SYNC'!E49,S45+2,1000),"")</f>
        <v/>
      </c>
      <c r="Z45" s="24"/>
    </row>
    <row r="46" spans="1:26" x14ac:dyDescent="0.25">
      <c r="A46" s="26">
        <v>43</v>
      </c>
      <c r="B46" s="24" t="str">
        <f>IF('ASS START SYNC'!C50="SHOW",FIND(",",'ASS START SYNC'!E50,1),"")</f>
        <v/>
      </c>
      <c r="C46" s="24" t="str">
        <f>IF('ASS START SYNC'!C50="SHOW",FIND(",",'ASS START SYNC'!E50,B46+1),"")</f>
        <v/>
      </c>
      <c r="D46" s="24" t="str">
        <f>IF('ASS START SYNC'!C50="SHOW",FIND(",",'ASS START SYNC'!E50,C46+1),"")</f>
        <v/>
      </c>
      <c r="E46" s="25" t="str">
        <f>IF('ASS START SYNC'!C50="SHOW",FIND(",,",'ASS START SYNC'!E50,1),"")</f>
        <v/>
      </c>
      <c r="F46" s="25" t="str">
        <f>IF('ASS START SYNC'!C50="SHOW",FIND(",,",'ASS START SYNC'!E50,E46+1),"")</f>
        <v/>
      </c>
      <c r="G46" s="23" t="str">
        <f>IF('ASS START SYNC'!C50="SHOW",LEFT('ASS START SYNC'!E50,B46),"")</f>
        <v/>
      </c>
      <c r="H46" s="24" t="str">
        <f>IF(AND('ASS START SYNC'!C50="SHOW",COUNTA('ASS START SYNC'!$E$8:'ASS START SYNC'!E49)=0),MID('ASS START SYNC'!E50,B46+1,C46-B46-1),IF(AND('ASS START SYNC'!C50="SHOW",COUNTA('ASS START SYNC'!$E$8:'ASS START SYNC'!E49)&lt;&gt;0),I45,""))</f>
        <v/>
      </c>
      <c r="I46" s="24" t="str">
        <f>IF('ASS START SYNC'!C50="SHOW",MID('ASS START SYNC'!E50,C46+1,D46-C46-1),I45)</f>
        <v/>
      </c>
      <c r="J46" s="23" t="str">
        <f>IF('ASS START SYNC'!C50="SHOW",MID('ASS START SYNC'!E50,D46+1,F46-D46+1),"")</f>
        <v/>
      </c>
      <c r="K46" s="23" t="str">
        <f>IF('ASS START SYNC'!C50="SHOW",MID('ASS START SYNC'!E50,F46+2,1000),"")</f>
        <v/>
      </c>
      <c r="M46" s="24"/>
      <c r="N46" s="26">
        <v>43</v>
      </c>
      <c r="O46" s="24" t="str">
        <f>IF('ASS END SYNC'!C50="SHOW",FIND(",",'ASS END SYNC'!E50,1),"")</f>
        <v/>
      </c>
      <c r="P46" s="24" t="str">
        <f>IF('ASS END SYNC'!C50="SHOW",FIND(",",'ASS END SYNC'!E50,O46+1),"")</f>
        <v/>
      </c>
      <c r="Q46" s="24" t="str">
        <f>IF('ASS END SYNC'!C50="SHOW",FIND(",",'ASS END SYNC'!E50,P46+1),"")</f>
        <v/>
      </c>
      <c r="R46" s="25" t="str">
        <f>IF('ASS END SYNC'!C50="SHOW",FIND(",,",'ASS END SYNC'!E50,1),"")</f>
        <v/>
      </c>
      <c r="S46" s="25" t="str">
        <f>IF('ASS END SYNC'!C50="SHOW",FIND(",,",'ASS END SYNC'!E50,R46+1),"")</f>
        <v/>
      </c>
      <c r="T46" s="23" t="str">
        <f>IF('ASS END SYNC'!C50="SHOW",LEFT('ASS END SYNC'!E50,O46),"")</f>
        <v/>
      </c>
      <c r="U46" s="24" t="str">
        <f>IF('ASS END SYNC'!C50="SHOW",MID('ASS END SYNC'!E50,O46+1,P46-O46-1),"")</f>
        <v/>
      </c>
      <c r="V46" s="24" t="str">
        <f>IF(AND('ASS END SYNC'!C50="SHOW",'ASS END SYNC'!C51="SHOW"),U47,IF(AND('ASS END SYNC'!C50="SHOW",'ASS END SYNC'!C51&lt;&gt;"SHOW"),MID('ASS END SYNC'!E50,O46+1,P46-O46-1),""))</f>
        <v/>
      </c>
      <c r="W46" s="23" t="str">
        <f>IF('ASS END SYNC'!C50="SHOW",MID('ASS END SYNC'!E50,Q46+1,S46-Q46+1),"")</f>
        <v/>
      </c>
      <c r="X46" s="23" t="str">
        <f>IF('ASS END SYNC'!C50="SHOW",MID('ASS END SYNC'!E50,S46+2,1000),"")</f>
        <v/>
      </c>
      <c r="Z46" s="24"/>
    </row>
    <row r="47" spans="1:26" x14ac:dyDescent="0.25">
      <c r="A47" s="26">
        <v>44</v>
      </c>
      <c r="B47" s="24" t="str">
        <f>IF('ASS START SYNC'!C51="SHOW",FIND(",",'ASS START SYNC'!E51,1),"")</f>
        <v/>
      </c>
      <c r="C47" s="24" t="str">
        <f>IF('ASS START SYNC'!C51="SHOW",FIND(",",'ASS START SYNC'!E51,B47+1),"")</f>
        <v/>
      </c>
      <c r="D47" s="24" t="str">
        <f>IF('ASS START SYNC'!C51="SHOW",FIND(",",'ASS START SYNC'!E51,C47+1),"")</f>
        <v/>
      </c>
      <c r="E47" s="25" t="str">
        <f>IF('ASS START SYNC'!C51="SHOW",FIND(",,",'ASS START SYNC'!E51,1),"")</f>
        <v/>
      </c>
      <c r="F47" s="25" t="str">
        <f>IF('ASS START SYNC'!C51="SHOW",FIND(",,",'ASS START SYNC'!E51,E47+1),"")</f>
        <v/>
      </c>
      <c r="G47" s="23" t="str">
        <f>IF('ASS START SYNC'!C51="SHOW",LEFT('ASS START SYNC'!E51,B47),"")</f>
        <v/>
      </c>
      <c r="H47" s="24" t="str">
        <f>IF(AND('ASS START SYNC'!C51="SHOW",COUNTA('ASS START SYNC'!$E$8:'ASS START SYNC'!E50)=0),MID('ASS START SYNC'!E51,B47+1,C47-B47-1),IF(AND('ASS START SYNC'!C51="SHOW",COUNTA('ASS START SYNC'!$E$8:'ASS START SYNC'!E50)&lt;&gt;0),I46,""))</f>
        <v/>
      </c>
      <c r="I47" s="24" t="str">
        <f>IF('ASS START SYNC'!C51="SHOW",MID('ASS START SYNC'!E51,C47+1,D47-C47-1),I46)</f>
        <v/>
      </c>
      <c r="J47" s="23" t="str">
        <f>IF('ASS START SYNC'!C51="SHOW",MID('ASS START SYNC'!E51,D47+1,F47-D47+1),"")</f>
        <v/>
      </c>
      <c r="K47" s="23" t="str">
        <f>IF('ASS START SYNC'!C51="SHOW",MID('ASS START SYNC'!E51,F47+2,1000),"")</f>
        <v/>
      </c>
      <c r="M47" s="24"/>
      <c r="N47" s="26">
        <v>44</v>
      </c>
      <c r="O47" s="24" t="str">
        <f>IF('ASS END SYNC'!C51="SHOW",FIND(",",'ASS END SYNC'!E51,1),"")</f>
        <v/>
      </c>
      <c r="P47" s="24" t="str">
        <f>IF('ASS END SYNC'!C51="SHOW",FIND(",",'ASS END SYNC'!E51,O47+1),"")</f>
        <v/>
      </c>
      <c r="Q47" s="24" t="str">
        <f>IF('ASS END SYNC'!C51="SHOW",FIND(",",'ASS END SYNC'!E51,P47+1),"")</f>
        <v/>
      </c>
      <c r="R47" s="25" t="str">
        <f>IF('ASS END SYNC'!C51="SHOW",FIND(",,",'ASS END SYNC'!E51,1),"")</f>
        <v/>
      </c>
      <c r="S47" s="25" t="str">
        <f>IF('ASS END SYNC'!C51="SHOW",FIND(",,",'ASS END SYNC'!E51,R47+1),"")</f>
        <v/>
      </c>
      <c r="T47" s="23" t="str">
        <f>IF('ASS END SYNC'!C51="SHOW",LEFT('ASS END SYNC'!E51,O47),"")</f>
        <v/>
      </c>
      <c r="U47" s="24" t="str">
        <f>IF('ASS END SYNC'!C51="SHOW",MID('ASS END SYNC'!E51,O47+1,P47-O47-1),"")</f>
        <v/>
      </c>
      <c r="V47" s="24" t="str">
        <f>IF(AND('ASS END SYNC'!C51="SHOW",'ASS END SYNC'!C52="SHOW"),U48,IF(AND('ASS END SYNC'!C51="SHOW",'ASS END SYNC'!C52&lt;&gt;"SHOW"),MID('ASS END SYNC'!E51,O47+1,P47-O47-1),""))</f>
        <v/>
      </c>
      <c r="W47" s="23" t="str">
        <f>IF('ASS END SYNC'!C51="SHOW",MID('ASS END SYNC'!E51,Q47+1,S47-Q47+1),"")</f>
        <v/>
      </c>
      <c r="X47" s="23" t="str">
        <f>IF('ASS END SYNC'!C51="SHOW",MID('ASS END SYNC'!E51,S47+2,1000),"")</f>
        <v/>
      </c>
      <c r="Z47" s="24"/>
    </row>
    <row r="48" spans="1:26" x14ac:dyDescent="0.25">
      <c r="A48" s="26">
        <v>45</v>
      </c>
      <c r="B48" s="24" t="str">
        <f>IF('ASS START SYNC'!C52="SHOW",FIND(",",'ASS START SYNC'!E52,1),"")</f>
        <v/>
      </c>
      <c r="C48" s="24" t="str">
        <f>IF('ASS START SYNC'!C52="SHOW",FIND(",",'ASS START SYNC'!E52,B48+1),"")</f>
        <v/>
      </c>
      <c r="D48" s="24" t="str">
        <f>IF('ASS START SYNC'!C52="SHOW",FIND(",",'ASS START SYNC'!E52,C48+1),"")</f>
        <v/>
      </c>
      <c r="E48" s="25" t="str">
        <f>IF('ASS START SYNC'!C52="SHOW",FIND(",,",'ASS START SYNC'!E52,1),"")</f>
        <v/>
      </c>
      <c r="F48" s="25" t="str">
        <f>IF('ASS START SYNC'!C52="SHOW",FIND(",,",'ASS START SYNC'!E52,E48+1),"")</f>
        <v/>
      </c>
      <c r="G48" s="23" t="str">
        <f>IF('ASS START SYNC'!C52="SHOW",LEFT('ASS START SYNC'!E52,B48),"")</f>
        <v/>
      </c>
      <c r="H48" s="24" t="str">
        <f>IF(AND('ASS START SYNC'!C52="SHOW",COUNTA('ASS START SYNC'!$E$8:'ASS START SYNC'!E51)=0),MID('ASS START SYNC'!E52,B48+1,C48-B48-1),IF(AND('ASS START SYNC'!C52="SHOW",COUNTA('ASS START SYNC'!$E$8:'ASS START SYNC'!E51)&lt;&gt;0),I47,""))</f>
        <v/>
      </c>
      <c r="I48" s="24" t="str">
        <f>IF('ASS START SYNC'!C52="SHOW",MID('ASS START SYNC'!E52,C48+1,D48-C48-1),I47)</f>
        <v/>
      </c>
      <c r="J48" s="23" t="str">
        <f>IF('ASS START SYNC'!C52="SHOW",MID('ASS START SYNC'!E52,D48+1,F48-D48+1),"")</f>
        <v/>
      </c>
      <c r="K48" s="23" t="str">
        <f>IF('ASS START SYNC'!C52="SHOW",MID('ASS START SYNC'!E52,F48+2,1000),"")</f>
        <v/>
      </c>
      <c r="M48" s="24"/>
      <c r="N48" s="26">
        <v>45</v>
      </c>
      <c r="O48" s="24" t="str">
        <f>IF('ASS END SYNC'!C52="SHOW",FIND(",",'ASS END SYNC'!E52,1),"")</f>
        <v/>
      </c>
      <c r="P48" s="24" t="str">
        <f>IF('ASS END SYNC'!C52="SHOW",FIND(",",'ASS END SYNC'!E52,O48+1),"")</f>
        <v/>
      </c>
      <c r="Q48" s="24" t="str">
        <f>IF('ASS END SYNC'!C52="SHOW",FIND(",",'ASS END SYNC'!E52,P48+1),"")</f>
        <v/>
      </c>
      <c r="R48" s="25" t="str">
        <f>IF('ASS END SYNC'!C52="SHOW",FIND(",,",'ASS END SYNC'!E52,1),"")</f>
        <v/>
      </c>
      <c r="S48" s="25" t="str">
        <f>IF('ASS END SYNC'!C52="SHOW",FIND(",,",'ASS END SYNC'!E52,R48+1),"")</f>
        <v/>
      </c>
      <c r="T48" s="23" t="str">
        <f>IF('ASS END SYNC'!C52="SHOW",LEFT('ASS END SYNC'!E52,O48),"")</f>
        <v/>
      </c>
      <c r="U48" s="24" t="str">
        <f>IF('ASS END SYNC'!C52="SHOW",MID('ASS END SYNC'!E52,O48+1,P48-O48-1),"")</f>
        <v/>
      </c>
      <c r="V48" s="24" t="str">
        <f>IF(AND('ASS END SYNC'!C52="SHOW",'ASS END SYNC'!C53="SHOW"),U49,IF(AND('ASS END SYNC'!C52="SHOW",'ASS END SYNC'!C53&lt;&gt;"SHOW"),MID('ASS END SYNC'!E52,O48+1,P48-O48-1),""))</f>
        <v/>
      </c>
      <c r="W48" s="23" t="str">
        <f>IF('ASS END SYNC'!C52="SHOW",MID('ASS END SYNC'!E52,Q48+1,S48-Q48+1),"")</f>
        <v/>
      </c>
      <c r="X48" s="23" t="str">
        <f>IF('ASS END SYNC'!C52="SHOW",MID('ASS END SYNC'!E52,S48+2,1000),"")</f>
        <v/>
      </c>
      <c r="Z48" s="24"/>
    </row>
    <row r="49" spans="1:26" x14ac:dyDescent="0.25">
      <c r="A49" s="26">
        <v>46</v>
      </c>
      <c r="B49" s="24" t="str">
        <f>IF('ASS START SYNC'!C53="SHOW",FIND(",",'ASS START SYNC'!E53,1),"")</f>
        <v/>
      </c>
      <c r="C49" s="24" t="str">
        <f>IF('ASS START SYNC'!C53="SHOW",FIND(",",'ASS START SYNC'!E53,B49+1),"")</f>
        <v/>
      </c>
      <c r="D49" s="24" t="str">
        <f>IF('ASS START SYNC'!C53="SHOW",FIND(",",'ASS START SYNC'!E53,C49+1),"")</f>
        <v/>
      </c>
      <c r="E49" s="25" t="str">
        <f>IF('ASS START SYNC'!C53="SHOW",FIND(",,",'ASS START SYNC'!E53,1),"")</f>
        <v/>
      </c>
      <c r="F49" s="25" t="str">
        <f>IF('ASS START SYNC'!C53="SHOW",FIND(",,",'ASS START SYNC'!E53,E49+1),"")</f>
        <v/>
      </c>
      <c r="G49" s="23" t="str">
        <f>IF('ASS START SYNC'!C53="SHOW",LEFT('ASS START SYNC'!E53,B49),"")</f>
        <v/>
      </c>
      <c r="H49" s="24" t="str">
        <f>IF(AND('ASS START SYNC'!C53="SHOW",COUNTA('ASS START SYNC'!$E$8:'ASS START SYNC'!E52)=0),MID('ASS START SYNC'!E53,B49+1,C49-B49-1),IF(AND('ASS START SYNC'!C53="SHOW",COUNTA('ASS START SYNC'!$E$8:'ASS START SYNC'!E52)&lt;&gt;0),I48,""))</f>
        <v/>
      </c>
      <c r="I49" s="24" t="str">
        <f>IF('ASS START SYNC'!C53="SHOW",MID('ASS START SYNC'!E53,C49+1,D49-C49-1),I48)</f>
        <v/>
      </c>
      <c r="J49" s="23" t="str">
        <f>IF('ASS START SYNC'!C53="SHOW",MID('ASS START SYNC'!E53,D49+1,F49-D49+1),"")</f>
        <v/>
      </c>
      <c r="K49" s="23" t="str">
        <f>IF('ASS START SYNC'!C53="SHOW",MID('ASS START SYNC'!E53,F49+2,1000),"")</f>
        <v/>
      </c>
      <c r="M49" s="24"/>
      <c r="N49" s="26">
        <v>46</v>
      </c>
      <c r="O49" s="24" t="str">
        <f>IF('ASS END SYNC'!C53="SHOW",FIND(",",'ASS END SYNC'!E53,1),"")</f>
        <v/>
      </c>
      <c r="P49" s="24" t="str">
        <f>IF('ASS END SYNC'!C53="SHOW",FIND(",",'ASS END SYNC'!E53,O49+1),"")</f>
        <v/>
      </c>
      <c r="Q49" s="24" t="str">
        <f>IF('ASS END SYNC'!C53="SHOW",FIND(",",'ASS END SYNC'!E53,P49+1),"")</f>
        <v/>
      </c>
      <c r="R49" s="25" t="str">
        <f>IF('ASS END SYNC'!C53="SHOW",FIND(",,",'ASS END SYNC'!E53,1),"")</f>
        <v/>
      </c>
      <c r="S49" s="25" t="str">
        <f>IF('ASS END SYNC'!C53="SHOW",FIND(",,",'ASS END SYNC'!E53,R49+1),"")</f>
        <v/>
      </c>
      <c r="T49" s="23" t="str">
        <f>IF('ASS END SYNC'!C53="SHOW",LEFT('ASS END SYNC'!E53,O49),"")</f>
        <v/>
      </c>
      <c r="U49" s="24" t="str">
        <f>IF('ASS END SYNC'!C53="SHOW",MID('ASS END SYNC'!E53,O49+1,P49-O49-1),"")</f>
        <v/>
      </c>
      <c r="V49" s="24" t="str">
        <f>IF(AND('ASS END SYNC'!C53="SHOW",'ASS END SYNC'!C54="SHOW"),U50,IF(AND('ASS END SYNC'!C53="SHOW",'ASS END SYNC'!C54&lt;&gt;"SHOW"),MID('ASS END SYNC'!E53,O49+1,P49-O49-1),""))</f>
        <v/>
      </c>
      <c r="W49" s="23" t="str">
        <f>IF('ASS END SYNC'!C53="SHOW",MID('ASS END SYNC'!E53,Q49+1,S49-Q49+1),"")</f>
        <v/>
      </c>
      <c r="X49" s="23" t="str">
        <f>IF('ASS END SYNC'!C53="SHOW",MID('ASS END SYNC'!E53,S49+2,1000),"")</f>
        <v/>
      </c>
      <c r="Z49" s="24"/>
    </row>
    <row r="50" spans="1:26" x14ac:dyDescent="0.25">
      <c r="A50" s="26">
        <v>47</v>
      </c>
      <c r="B50" s="24" t="str">
        <f>IF('ASS START SYNC'!C54="SHOW",FIND(",",'ASS START SYNC'!E54,1),"")</f>
        <v/>
      </c>
      <c r="C50" s="24" t="str">
        <f>IF('ASS START SYNC'!C54="SHOW",FIND(",",'ASS START SYNC'!E54,B50+1),"")</f>
        <v/>
      </c>
      <c r="D50" s="24" t="str">
        <f>IF('ASS START SYNC'!C54="SHOW",FIND(",",'ASS START SYNC'!E54,C50+1),"")</f>
        <v/>
      </c>
      <c r="E50" s="25" t="str">
        <f>IF('ASS START SYNC'!C54="SHOW",FIND(",,",'ASS START SYNC'!E54,1),"")</f>
        <v/>
      </c>
      <c r="F50" s="25" t="str">
        <f>IF('ASS START SYNC'!C54="SHOW",FIND(",,",'ASS START SYNC'!E54,E50+1),"")</f>
        <v/>
      </c>
      <c r="G50" s="23" t="str">
        <f>IF('ASS START SYNC'!C54="SHOW",LEFT('ASS START SYNC'!E54,B50),"")</f>
        <v/>
      </c>
      <c r="H50" s="24" t="str">
        <f>IF(AND('ASS START SYNC'!C54="SHOW",COUNTA('ASS START SYNC'!$E$8:'ASS START SYNC'!E53)=0),MID('ASS START SYNC'!E54,B50+1,C50-B50-1),IF(AND('ASS START SYNC'!C54="SHOW",COUNTA('ASS START SYNC'!$E$8:'ASS START SYNC'!E53)&lt;&gt;0),I49,""))</f>
        <v/>
      </c>
      <c r="I50" s="24" t="str">
        <f>IF('ASS START SYNC'!C54="SHOW",MID('ASS START SYNC'!E54,C50+1,D50-C50-1),I49)</f>
        <v/>
      </c>
      <c r="J50" s="23" t="str">
        <f>IF('ASS START SYNC'!C54="SHOW",MID('ASS START SYNC'!E54,D50+1,F50-D50+1),"")</f>
        <v/>
      </c>
      <c r="K50" s="23" t="str">
        <f>IF('ASS START SYNC'!C54="SHOW",MID('ASS START SYNC'!E54,F50+2,1000),"")</f>
        <v/>
      </c>
      <c r="M50" s="24"/>
      <c r="N50" s="26">
        <v>47</v>
      </c>
      <c r="O50" s="24" t="str">
        <f>IF('ASS END SYNC'!C54="SHOW",FIND(",",'ASS END SYNC'!E54,1),"")</f>
        <v/>
      </c>
      <c r="P50" s="24" t="str">
        <f>IF('ASS END SYNC'!C54="SHOW",FIND(",",'ASS END SYNC'!E54,O50+1),"")</f>
        <v/>
      </c>
      <c r="Q50" s="24" t="str">
        <f>IF('ASS END SYNC'!C54="SHOW",FIND(",",'ASS END SYNC'!E54,P50+1),"")</f>
        <v/>
      </c>
      <c r="R50" s="25" t="str">
        <f>IF('ASS END SYNC'!C54="SHOW",FIND(",,",'ASS END SYNC'!E54,1),"")</f>
        <v/>
      </c>
      <c r="S50" s="25" t="str">
        <f>IF('ASS END SYNC'!C54="SHOW",FIND(",,",'ASS END SYNC'!E54,R50+1),"")</f>
        <v/>
      </c>
      <c r="T50" s="23" t="str">
        <f>IF('ASS END SYNC'!C54="SHOW",LEFT('ASS END SYNC'!E54,O50),"")</f>
        <v/>
      </c>
      <c r="U50" s="24" t="str">
        <f>IF('ASS END SYNC'!C54="SHOW",MID('ASS END SYNC'!E54,O50+1,P50-O50-1),"")</f>
        <v/>
      </c>
      <c r="V50" s="24" t="str">
        <f>IF(AND('ASS END SYNC'!C54="SHOW",'ASS END SYNC'!C55="SHOW"),U51,IF(AND('ASS END SYNC'!C54="SHOW",'ASS END SYNC'!C55&lt;&gt;"SHOW"),MID('ASS END SYNC'!E54,O50+1,P50-O50-1),""))</f>
        <v/>
      </c>
      <c r="W50" s="23" t="str">
        <f>IF('ASS END SYNC'!C54="SHOW",MID('ASS END SYNC'!E54,Q50+1,S50-Q50+1),"")</f>
        <v/>
      </c>
      <c r="X50" s="23" t="str">
        <f>IF('ASS END SYNC'!C54="SHOW",MID('ASS END SYNC'!E54,S50+2,1000),"")</f>
        <v/>
      </c>
      <c r="Z50" s="24"/>
    </row>
    <row r="51" spans="1:26" x14ac:dyDescent="0.25">
      <c r="A51" s="26">
        <v>48</v>
      </c>
      <c r="B51" s="24" t="str">
        <f>IF('ASS START SYNC'!C55="SHOW",FIND(",",'ASS START SYNC'!E55,1),"")</f>
        <v/>
      </c>
      <c r="C51" s="24" t="str">
        <f>IF('ASS START SYNC'!C55="SHOW",FIND(",",'ASS START SYNC'!E55,B51+1),"")</f>
        <v/>
      </c>
      <c r="D51" s="24" t="str">
        <f>IF('ASS START SYNC'!C55="SHOW",FIND(",",'ASS START SYNC'!E55,C51+1),"")</f>
        <v/>
      </c>
      <c r="E51" s="25" t="str">
        <f>IF('ASS START SYNC'!C55="SHOW",FIND(",,",'ASS START SYNC'!E55,1),"")</f>
        <v/>
      </c>
      <c r="F51" s="25" t="str">
        <f>IF('ASS START SYNC'!C55="SHOW",FIND(",,",'ASS START SYNC'!E55,E51+1),"")</f>
        <v/>
      </c>
      <c r="G51" s="23" t="str">
        <f>IF('ASS START SYNC'!C55="SHOW",LEFT('ASS START SYNC'!E55,B51),"")</f>
        <v/>
      </c>
      <c r="H51" s="24" t="str">
        <f>IF(AND('ASS START SYNC'!C55="SHOW",COUNTA('ASS START SYNC'!$E$8:'ASS START SYNC'!E54)=0),MID('ASS START SYNC'!E55,B51+1,C51-B51-1),IF(AND('ASS START SYNC'!C55="SHOW",COUNTA('ASS START SYNC'!$E$8:'ASS START SYNC'!E54)&lt;&gt;0),I50,""))</f>
        <v/>
      </c>
      <c r="I51" s="24" t="str">
        <f>IF('ASS START SYNC'!C55="SHOW",MID('ASS START SYNC'!E55,C51+1,D51-C51-1),I50)</f>
        <v/>
      </c>
      <c r="J51" s="23" t="str">
        <f>IF('ASS START SYNC'!C55="SHOW",MID('ASS START SYNC'!E55,D51+1,F51-D51+1),"")</f>
        <v/>
      </c>
      <c r="K51" s="23" t="str">
        <f>IF('ASS START SYNC'!C55="SHOW",MID('ASS START SYNC'!E55,F51+2,1000),"")</f>
        <v/>
      </c>
      <c r="M51" s="24"/>
      <c r="N51" s="26">
        <v>48</v>
      </c>
      <c r="O51" s="24" t="str">
        <f>IF('ASS END SYNC'!C55="SHOW",FIND(",",'ASS END SYNC'!E55,1),"")</f>
        <v/>
      </c>
      <c r="P51" s="24" t="str">
        <f>IF('ASS END SYNC'!C55="SHOW",FIND(",",'ASS END SYNC'!E55,O51+1),"")</f>
        <v/>
      </c>
      <c r="Q51" s="24" t="str">
        <f>IF('ASS END SYNC'!C55="SHOW",FIND(",",'ASS END SYNC'!E55,P51+1),"")</f>
        <v/>
      </c>
      <c r="R51" s="25" t="str">
        <f>IF('ASS END SYNC'!C55="SHOW",FIND(",,",'ASS END SYNC'!E55,1),"")</f>
        <v/>
      </c>
      <c r="S51" s="25" t="str">
        <f>IF('ASS END SYNC'!C55="SHOW",FIND(",,",'ASS END SYNC'!E55,R51+1),"")</f>
        <v/>
      </c>
      <c r="T51" s="23" t="str">
        <f>IF('ASS END SYNC'!C55="SHOW",LEFT('ASS END SYNC'!E55,O51),"")</f>
        <v/>
      </c>
      <c r="U51" s="24" t="str">
        <f>IF('ASS END SYNC'!C55="SHOW",MID('ASS END SYNC'!E55,O51+1,P51-O51-1),"")</f>
        <v/>
      </c>
      <c r="V51" s="24" t="str">
        <f>IF(AND('ASS END SYNC'!C55="SHOW",'ASS END SYNC'!C56="SHOW"),U52,IF(AND('ASS END SYNC'!C55="SHOW",'ASS END SYNC'!C56&lt;&gt;"SHOW"),MID('ASS END SYNC'!E55,O51+1,P51-O51-1),""))</f>
        <v/>
      </c>
      <c r="W51" s="23" t="str">
        <f>IF('ASS END SYNC'!C55="SHOW",MID('ASS END SYNC'!E55,Q51+1,S51-Q51+1),"")</f>
        <v/>
      </c>
      <c r="X51" s="23" t="str">
        <f>IF('ASS END SYNC'!C55="SHOW",MID('ASS END SYNC'!E55,S51+2,1000),"")</f>
        <v/>
      </c>
      <c r="Z51" s="24"/>
    </row>
    <row r="52" spans="1:26" x14ac:dyDescent="0.25">
      <c r="A52" s="26">
        <v>49</v>
      </c>
      <c r="B52" s="24" t="str">
        <f>IF('ASS START SYNC'!C56="SHOW",FIND(",",'ASS START SYNC'!E56,1),"")</f>
        <v/>
      </c>
      <c r="C52" s="24" t="str">
        <f>IF('ASS START SYNC'!C56="SHOW",FIND(",",'ASS START SYNC'!E56,B52+1),"")</f>
        <v/>
      </c>
      <c r="D52" s="24" t="str">
        <f>IF('ASS START SYNC'!C56="SHOW",FIND(",",'ASS START SYNC'!E56,C52+1),"")</f>
        <v/>
      </c>
      <c r="E52" s="25" t="str">
        <f>IF('ASS START SYNC'!C56="SHOW",FIND(",,",'ASS START SYNC'!E56,1),"")</f>
        <v/>
      </c>
      <c r="F52" s="25" t="str">
        <f>IF('ASS START SYNC'!C56="SHOW",FIND(",,",'ASS START SYNC'!E56,E52+1),"")</f>
        <v/>
      </c>
      <c r="G52" s="23" t="str">
        <f>IF('ASS START SYNC'!C56="SHOW",LEFT('ASS START SYNC'!E56,B52),"")</f>
        <v/>
      </c>
      <c r="H52" s="24" t="str">
        <f>IF(AND('ASS START SYNC'!C56="SHOW",COUNTA('ASS START SYNC'!$E$8:'ASS START SYNC'!E55)=0),MID('ASS START SYNC'!E56,B52+1,C52-B52-1),IF(AND('ASS START SYNC'!C56="SHOW",COUNTA('ASS START SYNC'!$E$8:'ASS START SYNC'!E55)&lt;&gt;0),I51,""))</f>
        <v/>
      </c>
      <c r="I52" s="24" t="str">
        <f>IF('ASS START SYNC'!C56="SHOW",MID('ASS START SYNC'!E56,C52+1,D52-C52-1),I51)</f>
        <v/>
      </c>
      <c r="J52" s="23" t="str">
        <f>IF('ASS START SYNC'!C56="SHOW",MID('ASS START SYNC'!E56,D52+1,F52-D52+1),"")</f>
        <v/>
      </c>
      <c r="K52" s="23" t="str">
        <f>IF('ASS START SYNC'!C56="SHOW",MID('ASS START SYNC'!E56,F52+2,1000),"")</f>
        <v/>
      </c>
      <c r="M52" s="24"/>
      <c r="N52" s="26">
        <v>49</v>
      </c>
      <c r="O52" s="24" t="str">
        <f>IF('ASS END SYNC'!C56="SHOW",FIND(",",'ASS END SYNC'!E56,1),"")</f>
        <v/>
      </c>
      <c r="P52" s="24" t="str">
        <f>IF('ASS END SYNC'!C56="SHOW",FIND(",",'ASS END SYNC'!E56,O52+1),"")</f>
        <v/>
      </c>
      <c r="Q52" s="24" t="str">
        <f>IF('ASS END SYNC'!C56="SHOW",FIND(",",'ASS END SYNC'!E56,P52+1),"")</f>
        <v/>
      </c>
      <c r="R52" s="25" t="str">
        <f>IF('ASS END SYNC'!C56="SHOW",FIND(",,",'ASS END SYNC'!E56,1),"")</f>
        <v/>
      </c>
      <c r="S52" s="25" t="str">
        <f>IF('ASS END SYNC'!C56="SHOW",FIND(",,",'ASS END SYNC'!E56,R52+1),"")</f>
        <v/>
      </c>
      <c r="T52" s="23" t="str">
        <f>IF('ASS END SYNC'!C56="SHOW",LEFT('ASS END SYNC'!E56,O52),"")</f>
        <v/>
      </c>
      <c r="U52" s="24" t="str">
        <f>IF('ASS END SYNC'!C56="SHOW",MID('ASS END SYNC'!E56,O52+1,P52-O52-1),"")</f>
        <v/>
      </c>
      <c r="V52" s="24" t="str">
        <f>IF(AND('ASS END SYNC'!C56="SHOW",'ASS END SYNC'!C57="SHOW"),U53,IF(AND('ASS END SYNC'!C56="SHOW",'ASS END SYNC'!C57&lt;&gt;"SHOW"),MID('ASS END SYNC'!E56,O52+1,P52-O52-1),""))</f>
        <v/>
      </c>
      <c r="W52" s="23" t="str">
        <f>IF('ASS END SYNC'!C56="SHOW",MID('ASS END SYNC'!E56,Q52+1,S52-Q52+1),"")</f>
        <v/>
      </c>
      <c r="X52" s="23" t="str">
        <f>IF('ASS END SYNC'!C56="SHOW",MID('ASS END SYNC'!E56,S52+2,1000),"")</f>
        <v/>
      </c>
      <c r="Z52" s="24"/>
    </row>
    <row r="53" spans="1:26" x14ac:dyDescent="0.25">
      <c r="A53" s="26">
        <v>50</v>
      </c>
      <c r="B53" s="24" t="str">
        <f>IF('ASS START SYNC'!C57="SHOW",FIND(",",'ASS START SYNC'!E57,1),"")</f>
        <v/>
      </c>
      <c r="C53" s="24" t="str">
        <f>IF('ASS START SYNC'!C57="SHOW",FIND(",",'ASS START SYNC'!E57,B53+1),"")</f>
        <v/>
      </c>
      <c r="D53" s="24" t="str">
        <f>IF('ASS START SYNC'!C57="SHOW",FIND(",",'ASS START SYNC'!E57,C53+1),"")</f>
        <v/>
      </c>
      <c r="E53" s="25" t="str">
        <f>IF('ASS START SYNC'!C57="SHOW",FIND(",,",'ASS START SYNC'!E57,1),"")</f>
        <v/>
      </c>
      <c r="F53" s="25" t="str">
        <f>IF('ASS START SYNC'!C57="SHOW",FIND(",,",'ASS START SYNC'!E57,E53+1),"")</f>
        <v/>
      </c>
      <c r="G53" s="23" t="str">
        <f>IF('ASS START SYNC'!C57="SHOW",LEFT('ASS START SYNC'!E57,B53),"")</f>
        <v/>
      </c>
      <c r="H53" s="24" t="str">
        <f>IF(AND('ASS START SYNC'!C57="SHOW",COUNTA('ASS START SYNC'!$E$8:'ASS START SYNC'!E56)=0),MID('ASS START SYNC'!E57,B53+1,C53-B53-1),IF(AND('ASS START SYNC'!C57="SHOW",COUNTA('ASS START SYNC'!$E$8:'ASS START SYNC'!E56)&lt;&gt;0),I52,""))</f>
        <v/>
      </c>
      <c r="I53" s="24" t="str">
        <f>IF('ASS START SYNC'!C57="SHOW",MID('ASS START SYNC'!E57,C53+1,D53-C53-1),I52)</f>
        <v/>
      </c>
      <c r="J53" s="23" t="str">
        <f>IF('ASS START SYNC'!C57="SHOW",MID('ASS START SYNC'!E57,D53+1,F53-D53+1),"")</f>
        <v/>
      </c>
      <c r="K53" s="23" t="str">
        <f>IF('ASS START SYNC'!C57="SHOW",MID('ASS START SYNC'!E57,F53+2,1000),"")</f>
        <v/>
      </c>
      <c r="M53" s="24"/>
      <c r="N53" s="26">
        <v>50</v>
      </c>
      <c r="O53" s="24" t="str">
        <f>IF('ASS END SYNC'!C57="SHOW",FIND(",",'ASS END SYNC'!E57,1),"")</f>
        <v/>
      </c>
      <c r="P53" s="24" t="str">
        <f>IF('ASS END SYNC'!C57="SHOW",FIND(",",'ASS END SYNC'!E57,O53+1),"")</f>
        <v/>
      </c>
      <c r="Q53" s="24" t="str">
        <f>IF('ASS END SYNC'!C57="SHOW",FIND(",",'ASS END SYNC'!E57,P53+1),"")</f>
        <v/>
      </c>
      <c r="R53" s="25" t="str">
        <f>IF('ASS END SYNC'!C57="SHOW",FIND(",,",'ASS END SYNC'!E57,1),"")</f>
        <v/>
      </c>
      <c r="S53" s="25" t="str">
        <f>IF('ASS END SYNC'!C57="SHOW",FIND(",,",'ASS END SYNC'!E57,R53+1),"")</f>
        <v/>
      </c>
      <c r="T53" s="23" t="str">
        <f>IF('ASS END SYNC'!C57="SHOW",LEFT('ASS END SYNC'!E57,O53),"")</f>
        <v/>
      </c>
      <c r="U53" s="24" t="str">
        <f>IF('ASS END SYNC'!C57="SHOW",MID('ASS END SYNC'!E57,O53+1,P53-O53-1),"")</f>
        <v/>
      </c>
      <c r="V53" s="24" t="str">
        <f>IF(AND('ASS END SYNC'!C57="SHOW",'ASS END SYNC'!C58="SHOW"),U54,IF(AND('ASS END SYNC'!C57="SHOW",'ASS END SYNC'!C58&lt;&gt;"SHOW"),MID('ASS END SYNC'!E57,O53+1,P53-O53-1),""))</f>
        <v/>
      </c>
      <c r="W53" s="23" t="str">
        <f>IF('ASS END SYNC'!C57="SHOW",MID('ASS END SYNC'!E57,Q53+1,S53-Q53+1),"")</f>
        <v/>
      </c>
      <c r="X53" s="23" t="str">
        <f>IF('ASS END SYNC'!C57="SHOW",MID('ASS END SYNC'!E57,S53+2,1000),"")</f>
        <v/>
      </c>
      <c r="Z53" s="24"/>
    </row>
    <row r="54" spans="1:26" x14ac:dyDescent="0.25">
      <c r="A54" s="26">
        <v>51</v>
      </c>
      <c r="B54" s="24" t="str">
        <f>IF('ASS START SYNC'!C58="SHOW",FIND(",",'ASS START SYNC'!E58,1),"")</f>
        <v/>
      </c>
      <c r="C54" s="24" t="str">
        <f>IF('ASS START SYNC'!C58="SHOW",FIND(",",'ASS START SYNC'!E58,B54+1),"")</f>
        <v/>
      </c>
      <c r="D54" s="24" t="str">
        <f>IF('ASS START SYNC'!C58="SHOW",FIND(",",'ASS START SYNC'!E58,C54+1),"")</f>
        <v/>
      </c>
      <c r="E54" s="25" t="str">
        <f>IF('ASS START SYNC'!C58="SHOW",FIND(",,",'ASS START SYNC'!E58,1),"")</f>
        <v/>
      </c>
      <c r="F54" s="25" t="str">
        <f>IF('ASS START SYNC'!C58="SHOW",FIND(",,",'ASS START SYNC'!E58,E54+1),"")</f>
        <v/>
      </c>
      <c r="G54" s="23" t="str">
        <f>IF('ASS START SYNC'!C58="SHOW",LEFT('ASS START SYNC'!E58,B54),"")</f>
        <v/>
      </c>
      <c r="H54" s="24" t="str">
        <f>IF(AND('ASS START SYNC'!C58="SHOW",COUNTA('ASS START SYNC'!$E$8:'ASS START SYNC'!E57)=0),MID('ASS START SYNC'!E58,B54+1,C54-B54-1),IF(AND('ASS START SYNC'!C58="SHOW",COUNTA('ASS START SYNC'!$E$8:'ASS START SYNC'!E57)&lt;&gt;0),I53,""))</f>
        <v/>
      </c>
      <c r="I54" s="24" t="str">
        <f>IF('ASS START SYNC'!C58="SHOW",MID('ASS START SYNC'!E58,C54+1,D54-C54-1),I53)</f>
        <v/>
      </c>
      <c r="J54" s="23" t="str">
        <f>IF('ASS START SYNC'!C58="SHOW",MID('ASS START SYNC'!E58,D54+1,F54-D54+1),"")</f>
        <v/>
      </c>
      <c r="K54" s="23" t="str">
        <f>IF('ASS START SYNC'!C58="SHOW",MID('ASS START SYNC'!E58,F54+2,1000),"")</f>
        <v/>
      </c>
      <c r="M54" s="24"/>
      <c r="N54" s="26">
        <v>51</v>
      </c>
      <c r="O54" s="24" t="str">
        <f>IF('ASS END SYNC'!C58="SHOW",FIND(",",'ASS END SYNC'!E58,1),"")</f>
        <v/>
      </c>
      <c r="P54" s="24" t="str">
        <f>IF('ASS END SYNC'!C58="SHOW",FIND(",",'ASS END SYNC'!E58,O54+1),"")</f>
        <v/>
      </c>
      <c r="Q54" s="24" t="str">
        <f>IF('ASS END SYNC'!C58="SHOW",FIND(",",'ASS END SYNC'!E58,P54+1),"")</f>
        <v/>
      </c>
      <c r="R54" s="25" t="str">
        <f>IF('ASS END SYNC'!C58="SHOW",FIND(",,",'ASS END SYNC'!E58,1),"")</f>
        <v/>
      </c>
      <c r="S54" s="25" t="str">
        <f>IF('ASS END SYNC'!C58="SHOW",FIND(",,",'ASS END SYNC'!E58,R54+1),"")</f>
        <v/>
      </c>
      <c r="T54" s="23" t="str">
        <f>IF('ASS END SYNC'!C58="SHOW",LEFT('ASS END SYNC'!E58,O54),"")</f>
        <v/>
      </c>
      <c r="U54" s="24" t="str">
        <f>IF('ASS END SYNC'!C58="SHOW",MID('ASS END SYNC'!E58,O54+1,P54-O54-1),"")</f>
        <v/>
      </c>
      <c r="V54" s="24" t="str">
        <f>IF(AND('ASS END SYNC'!C58="SHOW",'ASS END SYNC'!C59="SHOW"),U55,IF(AND('ASS END SYNC'!C58="SHOW",'ASS END SYNC'!C59&lt;&gt;"SHOW"),MID('ASS END SYNC'!E58,O54+1,P54-O54-1),""))</f>
        <v/>
      </c>
      <c r="W54" s="23" t="str">
        <f>IF('ASS END SYNC'!C58="SHOW",MID('ASS END SYNC'!E58,Q54+1,S54-Q54+1),"")</f>
        <v/>
      </c>
      <c r="X54" s="23" t="str">
        <f>IF('ASS END SYNC'!C58="SHOW",MID('ASS END SYNC'!E58,S54+2,1000),"")</f>
        <v/>
      </c>
      <c r="Z54" s="24"/>
    </row>
    <row r="55" spans="1:26" x14ac:dyDescent="0.25">
      <c r="A55" s="26">
        <v>52</v>
      </c>
      <c r="B55" s="24" t="str">
        <f>IF('ASS START SYNC'!C59="SHOW",FIND(",",'ASS START SYNC'!E59,1),"")</f>
        <v/>
      </c>
      <c r="C55" s="24" t="str">
        <f>IF('ASS START SYNC'!C59="SHOW",FIND(",",'ASS START SYNC'!E59,B55+1),"")</f>
        <v/>
      </c>
      <c r="D55" s="24" t="str">
        <f>IF('ASS START SYNC'!C59="SHOW",FIND(",",'ASS START SYNC'!E59,C55+1),"")</f>
        <v/>
      </c>
      <c r="E55" s="25" t="str">
        <f>IF('ASS START SYNC'!C59="SHOW",FIND(",,",'ASS START SYNC'!E59,1),"")</f>
        <v/>
      </c>
      <c r="F55" s="25" t="str">
        <f>IF('ASS START SYNC'!C59="SHOW",FIND(",,",'ASS START SYNC'!E59,E55+1),"")</f>
        <v/>
      </c>
      <c r="G55" s="23" t="str">
        <f>IF('ASS START SYNC'!C59="SHOW",LEFT('ASS START SYNC'!E59,B55),"")</f>
        <v/>
      </c>
      <c r="H55" s="24" t="str">
        <f>IF(AND('ASS START SYNC'!C59="SHOW",COUNTA('ASS START SYNC'!$E$8:'ASS START SYNC'!E58)=0),MID('ASS START SYNC'!E59,B55+1,C55-B55-1),IF(AND('ASS START SYNC'!C59="SHOW",COUNTA('ASS START SYNC'!$E$8:'ASS START SYNC'!E58)&lt;&gt;0),I54,""))</f>
        <v/>
      </c>
      <c r="I55" s="24" t="str">
        <f>IF('ASS START SYNC'!C59="SHOW",MID('ASS START SYNC'!E59,C55+1,D55-C55-1),I54)</f>
        <v/>
      </c>
      <c r="J55" s="23" t="str">
        <f>IF('ASS START SYNC'!C59="SHOW",MID('ASS START SYNC'!E59,D55+1,F55-D55+1),"")</f>
        <v/>
      </c>
      <c r="K55" s="23" t="str">
        <f>IF('ASS START SYNC'!C59="SHOW",MID('ASS START SYNC'!E59,F55+2,1000),"")</f>
        <v/>
      </c>
      <c r="M55" s="24"/>
      <c r="N55" s="26">
        <v>52</v>
      </c>
      <c r="O55" s="24" t="str">
        <f>IF('ASS END SYNC'!C59="SHOW",FIND(",",'ASS END SYNC'!E59,1),"")</f>
        <v/>
      </c>
      <c r="P55" s="24" t="str">
        <f>IF('ASS END SYNC'!C59="SHOW",FIND(",",'ASS END SYNC'!E59,O55+1),"")</f>
        <v/>
      </c>
      <c r="Q55" s="24" t="str">
        <f>IF('ASS END SYNC'!C59="SHOW",FIND(",",'ASS END SYNC'!E59,P55+1),"")</f>
        <v/>
      </c>
      <c r="R55" s="25" t="str">
        <f>IF('ASS END SYNC'!C59="SHOW",FIND(",,",'ASS END SYNC'!E59,1),"")</f>
        <v/>
      </c>
      <c r="S55" s="25" t="str">
        <f>IF('ASS END SYNC'!C59="SHOW",FIND(",,",'ASS END SYNC'!E59,R55+1),"")</f>
        <v/>
      </c>
      <c r="T55" s="23" t="str">
        <f>IF('ASS END SYNC'!C59="SHOW",LEFT('ASS END SYNC'!E59,O55),"")</f>
        <v/>
      </c>
      <c r="U55" s="24" t="str">
        <f>IF('ASS END SYNC'!C59="SHOW",MID('ASS END SYNC'!E59,O55+1,P55-O55-1),"")</f>
        <v/>
      </c>
      <c r="V55" s="24" t="str">
        <f>IF(AND('ASS END SYNC'!C59="SHOW",'ASS END SYNC'!C60="SHOW"),U56,IF(AND('ASS END SYNC'!C59="SHOW",'ASS END SYNC'!C60&lt;&gt;"SHOW"),MID('ASS END SYNC'!E59,O55+1,P55-O55-1),""))</f>
        <v/>
      </c>
      <c r="W55" s="23" t="str">
        <f>IF('ASS END SYNC'!C59="SHOW",MID('ASS END SYNC'!E59,Q55+1,S55-Q55+1),"")</f>
        <v/>
      </c>
      <c r="X55" s="23" t="str">
        <f>IF('ASS END SYNC'!C59="SHOW",MID('ASS END SYNC'!E59,S55+2,1000),"")</f>
        <v/>
      </c>
      <c r="Z55" s="24"/>
    </row>
    <row r="56" spans="1:26" x14ac:dyDescent="0.25">
      <c r="A56" s="26">
        <v>53</v>
      </c>
      <c r="B56" s="24" t="str">
        <f>IF('ASS START SYNC'!C60="SHOW",FIND(",",'ASS START SYNC'!E60,1),"")</f>
        <v/>
      </c>
      <c r="C56" s="24" t="str">
        <f>IF('ASS START SYNC'!C60="SHOW",FIND(",",'ASS START SYNC'!E60,B56+1),"")</f>
        <v/>
      </c>
      <c r="D56" s="24" t="str">
        <f>IF('ASS START SYNC'!C60="SHOW",FIND(",",'ASS START SYNC'!E60,C56+1),"")</f>
        <v/>
      </c>
      <c r="E56" s="25" t="str">
        <f>IF('ASS START SYNC'!C60="SHOW",FIND(",,",'ASS START SYNC'!E60,1),"")</f>
        <v/>
      </c>
      <c r="F56" s="25" t="str">
        <f>IF('ASS START SYNC'!C60="SHOW",FIND(",,",'ASS START SYNC'!E60,E56+1),"")</f>
        <v/>
      </c>
      <c r="G56" s="23" t="str">
        <f>IF('ASS START SYNC'!C60="SHOW",LEFT('ASS START SYNC'!E60,B56),"")</f>
        <v/>
      </c>
      <c r="H56" s="24" t="str">
        <f>IF(AND('ASS START SYNC'!C60="SHOW",COUNTA('ASS START SYNC'!$E$8:'ASS START SYNC'!E59)=0),MID('ASS START SYNC'!E60,B56+1,C56-B56-1),IF(AND('ASS START SYNC'!C60="SHOW",COUNTA('ASS START SYNC'!$E$8:'ASS START SYNC'!E59)&lt;&gt;0),I55,""))</f>
        <v/>
      </c>
      <c r="I56" s="24" t="str">
        <f>IF('ASS START SYNC'!C60="SHOW",MID('ASS START SYNC'!E60,C56+1,D56-C56-1),I55)</f>
        <v/>
      </c>
      <c r="J56" s="23" t="str">
        <f>IF('ASS START SYNC'!C60="SHOW",MID('ASS START SYNC'!E60,D56+1,F56-D56+1),"")</f>
        <v/>
      </c>
      <c r="K56" s="23" t="str">
        <f>IF('ASS START SYNC'!C60="SHOW",MID('ASS START SYNC'!E60,F56+2,1000),"")</f>
        <v/>
      </c>
      <c r="M56" s="24"/>
      <c r="N56" s="26">
        <v>53</v>
      </c>
      <c r="O56" s="24" t="str">
        <f>IF('ASS END SYNC'!C60="SHOW",FIND(",",'ASS END SYNC'!E60,1),"")</f>
        <v/>
      </c>
      <c r="P56" s="24" t="str">
        <f>IF('ASS END SYNC'!C60="SHOW",FIND(",",'ASS END SYNC'!E60,O56+1),"")</f>
        <v/>
      </c>
      <c r="Q56" s="24" t="str">
        <f>IF('ASS END SYNC'!C60="SHOW",FIND(",",'ASS END SYNC'!E60,P56+1),"")</f>
        <v/>
      </c>
      <c r="R56" s="25" t="str">
        <f>IF('ASS END SYNC'!C60="SHOW",FIND(",,",'ASS END SYNC'!E60,1),"")</f>
        <v/>
      </c>
      <c r="S56" s="25" t="str">
        <f>IF('ASS END SYNC'!C60="SHOW",FIND(",,",'ASS END SYNC'!E60,R56+1),"")</f>
        <v/>
      </c>
      <c r="T56" s="23" t="str">
        <f>IF('ASS END SYNC'!C60="SHOW",LEFT('ASS END SYNC'!E60,O56),"")</f>
        <v/>
      </c>
      <c r="U56" s="24" t="str">
        <f>IF('ASS END SYNC'!C60="SHOW",MID('ASS END SYNC'!E60,O56+1,P56-O56-1),"")</f>
        <v/>
      </c>
      <c r="V56" s="24" t="str">
        <f>IF(AND('ASS END SYNC'!C60="SHOW",'ASS END SYNC'!C61="SHOW"),U57,IF(AND('ASS END SYNC'!C60="SHOW",'ASS END SYNC'!C61&lt;&gt;"SHOW"),MID('ASS END SYNC'!E60,O56+1,P56-O56-1),""))</f>
        <v/>
      </c>
      <c r="W56" s="23" t="str">
        <f>IF('ASS END SYNC'!C60="SHOW",MID('ASS END SYNC'!E60,Q56+1,S56-Q56+1),"")</f>
        <v/>
      </c>
      <c r="X56" s="23" t="str">
        <f>IF('ASS END SYNC'!C60="SHOW",MID('ASS END SYNC'!E60,S56+2,1000),"")</f>
        <v/>
      </c>
      <c r="Z56" s="24"/>
    </row>
    <row r="57" spans="1:26" x14ac:dyDescent="0.25">
      <c r="A57" s="26">
        <v>54</v>
      </c>
      <c r="B57" s="24" t="str">
        <f>IF('ASS START SYNC'!C61="SHOW",FIND(",",'ASS START SYNC'!E61,1),"")</f>
        <v/>
      </c>
      <c r="C57" s="24" t="str">
        <f>IF('ASS START SYNC'!C61="SHOW",FIND(",",'ASS START SYNC'!E61,B57+1),"")</f>
        <v/>
      </c>
      <c r="D57" s="24" t="str">
        <f>IF('ASS START SYNC'!C61="SHOW",FIND(",",'ASS START SYNC'!E61,C57+1),"")</f>
        <v/>
      </c>
      <c r="E57" s="25" t="str">
        <f>IF('ASS START SYNC'!C61="SHOW",FIND(",,",'ASS START SYNC'!E61,1),"")</f>
        <v/>
      </c>
      <c r="F57" s="25" t="str">
        <f>IF('ASS START SYNC'!C61="SHOW",FIND(",,",'ASS START SYNC'!E61,E57+1),"")</f>
        <v/>
      </c>
      <c r="G57" s="23" t="str">
        <f>IF('ASS START SYNC'!C61="SHOW",LEFT('ASS START SYNC'!E61,B57),"")</f>
        <v/>
      </c>
      <c r="H57" s="24" t="str">
        <f>IF(AND('ASS START SYNC'!C61="SHOW",COUNTA('ASS START SYNC'!$E$8:'ASS START SYNC'!E60)=0),MID('ASS START SYNC'!E61,B57+1,C57-B57-1),IF(AND('ASS START SYNC'!C61="SHOW",COUNTA('ASS START SYNC'!$E$8:'ASS START SYNC'!E60)&lt;&gt;0),I56,""))</f>
        <v/>
      </c>
      <c r="I57" s="24" t="str">
        <f>IF('ASS START SYNC'!C61="SHOW",MID('ASS START SYNC'!E61,C57+1,D57-C57-1),I56)</f>
        <v/>
      </c>
      <c r="J57" s="23" t="str">
        <f>IF('ASS START SYNC'!C61="SHOW",MID('ASS START SYNC'!E61,D57+1,F57-D57+1),"")</f>
        <v/>
      </c>
      <c r="K57" s="23" t="str">
        <f>IF('ASS START SYNC'!C61="SHOW",MID('ASS START SYNC'!E61,F57+2,1000),"")</f>
        <v/>
      </c>
      <c r="M57" s="24"/>
      <c r="N57" s="26">
        <v>54</v>
      </c>
      <c r="O57" s="24" t="str">
        <f>IF('ASS END SYNC'!C61="SHOW",FIND(",",'ASS END SYNC'!E61,1),"")</f>
        <v/>
      </c>
      <c r="P57" s="24" t="str">
        <f>IF('ASS END SYNC'!C61="SHOW",FIND(",",'ASS END SYNC'!E61,O57+1),"")</f>
        <v/>
      </c>
      <c r="Q57" s="24" t="str">
        <f>IF('ASS END SYNC'!C61="SHOW",FIND(",",'ASS END SYNC'!E61,P57+1),"")</f>
        <v/>
      </c>
      <c r="R57" s="25" t="str">
        <f>IF('ASS END SYNC'!C61="SHOW",FIND(",,",'ASS END SYNC'!E61,1),"")</f>
        <v/>
      </c>
      <c r="S57" s="25" t="str">
        <f>IF('ASS END SYNC'!C61="SHOW",FIND(",,",'ASS END SYNC'!E61,R57+1),"")</f>
        <v/>
      </c>
      <c r="T57" s="23" t="str">
        <f>IF('ASS END SYNC'!C61="SHOW",LEFT('ASS END SYNC'!E61,O57),"")</f>
        <v/>
      </c>
      <c r="U57" s="24" t="str">
        <f>IF('ASS END SYNC'!C61="SHOW",MID('ASS END SYNC'!E61,O57+1,P57-O57-1),"")</f>
        <v/>
      </c>
      <c r="V57" s="24" t="str">
        <f>IF(AND('ASS END SYNC'!C61="SHOW",'ASS END SYNC'!C62="SHOW"),U58,IF(AND('ASS END SYNC'!C61="SHOW",'ASS END SYNC'!C62&lt;&gt;"SHOW"),MID('ASS END SYNC'!E61,O57+1,P57-O57-1),""))</f>
        <v/>
      </c>
      <c r="W57" s="23" t="str">
        <f>IF('ASS END SYNC'!C61="SHOW",MID('ASS END SYNC'!E61,Q57+1,S57-Q57+1),"")</f>
        <v/>
      </c>
      <c r="X57" s="23" t="str">
        <f>IF('ASS END SYNC'!C61="SHOW",MID('ASS END SYNC'!E61,S57+2,1000),"")</f>
        <v/>
      </c>
      <c r="Z57" s="24"/>
    </row>
    <row r="58" spans="1:26" x14ac:dyDescent="0.25">
      <c r="A58" s="26">
        <v>55</v>
      </c>
      <c r="B58" s="24" t="str">
        <f>IF('ASS START SYNC'!C62="SHOW",FIND(",",'ASS START SYNC'!E62,1),"")</f>
        <v/>
      </c>
      <c r="C58" s="24" t="str">
        <f>IF('ASS START SYNC'!C62="SHOW",FIND(",",'ASS START SYNC'!E62,B58+1),"")</f>
        <v/>
      </c>
      <c r="D58" s="24" t="str">
        <f>IF('ASS START SYNC'!C62="SHOW",FIND(",",'ASS START SYNC'!E62,C58+1),"")</f>
        <v/>
      </c>
      <c r="E58" s="25" t="str">
        <f>IF('ASS START SYNC'!C62="SHOW",FIND(",,",'ASS START SYNC'!E62,1),"")</f>
        <v/>
      </c>
      <c r="F58" s="25" t="str">
        <f>IF('ASS START SYNC'!C62="SHOW",FIND(",,",'ASS START SYNC'!E62,E58+1),"")</f>
        <v/>
      </c>
      <c r="G58" s="23" t="str">
        <f>IF('ASS START SYNC'!C62="SHOW",LEFT('ASS START SYNC'!E62,B58),"")</f>
        <v/>
      </c>
      <c r="H58" s="24" t="str">
        <f>IF(AND('ASS START SYNC'!C62="SHOW",COUNTA('ASS START SYNC'!$E$8:'ASS START SYNC'!E61)=0),MID('ASS START SYNC'!E62,B58+1,C58-B58-1),IF(AND('ASS START SYNC'!C62="SHOW",COUNTA('ASS START SYNC'!$E$8:'ASS START SYNC'!E61)&lt;&gt;0),I57,""))</f>
        <v/>
      </c>
      <c r="I58" s="24" t="str">
        <f>IF('ASS START SYNC'!C62="SHOW",MID('ASS START SYNC'!E62,C58+1,D58-C58-1),I57)</f>
        <v/>
      </c>
      <c r="J58" s="23" t="str">
        <f>IF('ASS START SYNC'!C62="SHOW",MID('ASS START SYNC'!E62,D58+1,F58-D58+1),"")</f>
        <v/>
      </c>
      <c r="K58" s="23" t="str">
        <f>IF('ASS START SYNC'!C62="SHOW",MID('ASS START SYNC'!E62,F58+2,1000),"")</f>
        <v/>
      </c>
      <c r="M58" s="24"/>
      <c r="N58" s="26">
        <v>55</v>
      </c>
      <c r="O58" s="24" t="str">
        <f>IF('ASS END SYNC'!C62="SHOW",FIND(",",'ASS END SYNC'!E62,1),"")</f>
        <v/>
      </c>
      <c r="P58" s="24" t="str">
        <f>IF('ASS END SYNC'!C62="SHOW",FIND(",",'ASS END SYNC'!E62,O58+1),"")</f>
        <v/>
      </c>
      <c r="Q58" s="24" t="str">
        <f>IF('ASS END SYNC'!C62="SHOW",FIND(",",'ASS END SYNC'!E62,P58+1),"")</f>
        <v/>
      </c>
      <c r="R58" s="25" t="str">
        <f>IF('ASS END SYNC'!C62="SHOW",FIND(",,",'ASS END SYNC'!E62,1),"")</f>
        <v/>
      </c>
      <c r="S58" s="25" t="str">
        <f>IF('ASS END SYNC'!C62="SHOW",FIND(",,",'ASS END SYNC'!E62,R58+1),"")</f>
        <v/>
      </c>
      <c r="T58" s="23" t="str">
        <f>IF('ASS END SYNC'!C62="SHOW",LEFT('ASS END SYNC'!E62,O58),"")</f>
        <v/>
      </c>
      <c r="U58" s="24" t="str">
        <f>IF('ASS END SYNC'!C62="SHOW",MID('ASS END SYNC'!E62,O58+1,P58-O58-1),"")</f>
        <v/>
      </c>
      <c r="V58" s="24" t="str">
        <f>IF(AND('ASS END SYNC'!C62="SHOW",'ASS END SYNC'!C63="SHOW"),U59,IF(AND('ASS END SYNC'!C62="SHOW",'ASS END SYNC'!C63&lt;&gt;"SHOW"),MID('ASS END SYNC'!E62,O58+1,P58-O58-1),""))</f>
        <v/>
      </c>
      <c r="W58" s="23" t="str">
        <f>IF('ASS END SYNC'!C62="SHOW",MID('ASS END SYNC'!E62,Q58+1,S58-Q58+1),"")</f>
        <v/>
      </c>
      <c r="X58" s="23" t="str">
        <f>IF('ASS END SYNC'!C62="SHOW",MID('ASS END SYNC'!E62,S58+2,1000),"")</f>
        <v/>
      </c>
      <c r="Z58" s="24"/>
    </row>
    <row r="59" spans="1:26" x14ac:dyDescent="0.25">
      <c r="A59" s="26">
        <v>56</v>
      </c>
      <c r="B59" s="24" t="str">
        <f>IF('ASS START SYNC'!C63="SHOW",FIND(",",'ASS START SYNC'!E63,1),"")</f>
        <v/>
      </c>
      <c r="C59" s="24" t="str">
        <f>IF('ASS START SYNC'!C63="SHOW",FIND(",",'ASS START SYNC'!E63,B59+1),"")</f>
        <v/>
      </c>
      <c r="D59" s="24" t="str">
        <f>IF('ASS START SYNC'!C63="SHOW",FIND(",",'ASS START SYNC'!E63,C59+1),"")</f>
        <v/>
      </c>
      <c r="E59" s="25" t="str">
        <f>IF('ASS START SYNC'!C63="SHOW",FIND(",,",'ASS START SYNC'!E63,1),"")</f>
        <v/>
      </c>
      <c r="F59" s="25" t="str">
        <f>IF('ASS START SYNC'!C63="SHOW",FIND(",,",'ASS START SYNC'!E63,E59+1),"")</f>
        <v/>
      </c>
      <c r="G59" s="23" t="str">
        <f>IF('ASS START SYNC'!C63="SHOW",LEFT('ASS START SYNC'!E63,B59),"")</f>
        <v/>
      </c>
      <c r="H59" s="24" t="str">
        <f>IF(AND('ASS START SYNC'!C63="SHOW",COUNTA('ASS START SYNC'!$E$8:'ASS START SYNC'!E62)=0),MID('ASS START SYNC'!E63,B59+1,C59-B59-1),IF(AND('ASS START SYNC'!C63="SHOW",COUNTA('ASS START SYNC'!$E$8:'ASS START SYNC'!E62)&lt;&gt;0),I58,""))</f>
        <v/>
      </c>
      <c r="I59" s="24" t="str">
        <f>IF('ASS START SYNC'!C63="SHOW",MID('ASS START SYNC'!E63,C59+1,D59-C59-1),I58)</f>
        <v/>
      </c>
      <c r="J59" s="23" t="str">
        <f>IF('ASS START SYNC'!C63="SHOW",MID('ASS START SYNC'!E63,D59+1,F59-D59+1),"")</f>
        <v/>
      </c>
      <c r="K59" s="23" t="str">
        <f>IF('ASS START SYNC'!C63="SHOW",MID('ASS START SYNC'!E63,F59+2,1000),"")</f>
        <v/>
      </c>
      <c r="M59" s="24"/>
      <c r="N59" s="26">
        <v>56</v>
      </c>
      <c r="O59" s="24" t="str">
        <f>IF('ASS END SYNC'!C63="SHOW",FIND(",",'ASS END SYNC'!E63,1),"")</f>
        <v/>
      </c>
      <c r="P59" s="24" t="str">
        <f>IF('ASS END SYNC'!C63="SHOW",FIND(",",'ASS END SYNC'!E63,O59+1),"")</f>
        <v/>
      </c>
      <c r="Q59" s="24" t="str">
        <f>IF('ASS END SYNC'!C63="SHOW",FIND(",",'ASS END SYNC'!E63,P59+1),"")</f>
        <v/>
      </c>
      <c r="R59" s="25" t="str">
        <f>IF('ASS END SYNC'!C63="SHOW",FIND(",,",'ASS END SYNC'!E63,1),"")</f>
        <v/>
      </c>
      <c r="S59" s="25" t="str">
        <f>IF('ASS END SYNC'!C63="SHOW",FIND(",,",'ASS END SYNC'!E63,R59+1),"")</f>
        <v/>
      </c>
      <c r="T59" s="23" t="str">
        <f>IF('ASS END SYNC'!C63="SHOW",LEFT('ASS END SYNC'!E63,O59),"")</f>
        <v/>
      </c>
      <c r="U59" s="24" t="str">
        <f>IF('ASS END SYNC'!C63="SHOW",MID('ASS END SYNC'!E63,O59+1,P59-O59-1),"")</f>
        <v/>
      </c>
      <c r="V59" s="24" t="str">
        <f>IF(AND('ASS END SYNC'!C63="SHOW",'ASS END SYNC'!C64="SHOW"),U60,IF(AND('ASS END SYNC'!C63="SHOW",'ASS END SYNC'!C64&lt;&gt;"SHOW"),MID('ASS END SYNC'!E63,O59+1,P59-O59-1),""))</f>
        <v/>
      </c>
      <c r="W59" s="23" t="str">
        <f>IF('ASS END SYNC'!C63="SHOW",MID('ASS END SYNC'!E63,Q59+1,S59-Q59+1),"")</f>
        <v/>
      </c>
      <c r="X59" s="23" t="str">
        <f>IF('ASS END SYNC'!C63="SHOW",MID('ASS END SYNC'!E63,S59+2,1000),"")</f>
        <v/>
      </c>
      <c r="Z59" s="24"/>
    </row>
    <row r="60" spans="1:26" x14ac:dyDescent="0.25">
      <c r="A60" s="26">
        <v>57</v>
      </c>
      <c r="B60" s="24" t="str">
        <f>IF('ASS START SYNC'!C64="SHOW",FIND(",",'ASS START SYNC'!E64,1),"")</f>
        <v/>
      </c>
      <c r="C60" s="24" t="str">
        <f>IF('ASS START SYNC'!C64="SHOW",FIND(",",'ASS START SYNC'!E64,B60+1),"")</f>
        <v/>
      </c>
      <c r="D60" s="24" t="str">
        <f>IF('ASS START SYNC'!C64="SHOW",FIND(",",'ASS START SYNC'!E64,C60+1),"")</f>
        <v/>
      </c>
      <c r="E60" s="25" t="str">
        <f>IF('ASS START SYNC'!C64="SHOW",FIND(",,",'ASS START SYNC'!E64,1),"")</f>
        <v/>
      </c>
      <c r="F60" s="25" t="str">
        <f>IF('ASS START SYNC'!C64="SHOW",FIND(",,",'ASS START SYNC'!E64,E60+1),"")</f>
        <v/>
      </c>
      <c r="G60" s="23" t="str">
        <f>IF('ASS START SYNC'!C64="SHOW",LEFT('ASS START SYNC'!E64,B60),"")</f>
        <v/>
      </c>
      <c r="H60" s="24" t="str">
        <f>IF(AND('ASS START SYNC'!C64="SHOW",COUNTA('ASS START SYNC'!$E$8:'ASS START SYNC'!E63)=0),MID('ASS START SYNC'!E64,B60+1,C60-B60-1),IF(AND('ASS START SYNC'!C64="SHOW",COUNTA('ASS START SYNC'!$E$8:'ASS START SYNC'!E63)&lt;&gt;0),I59,""))</f>
        <v/>
      </c>
      <c r="I60" s="24" t="str">
        <f>IF('ASS START SYNC'!C64="SHOW",MID('ASS START SYNC'!E64,C60+1,D60-C60-1),I59)</f>
        <v/>
      </c>
      <c r="J60" s="23" t="str">
        <f>IF('ASS START SYNC'!C64="SHOW",MID('ASS START SYNC'!E64,D60+1,F60-D60+1),"")</f>
        <v/>
      </c>
      <c r="K60" s="23" t="str">
        <f>IF('ASS START SYNC'!C64="SHOW",MID('ASS START SYNC'!E64,F60+2,1000),"")</f>
        <v/>
      </c>
      <c r="M60" s="24"/>
      <c r="N60" s="26">
        <v>57</v>
      </c>
      <c r="O60" s="24" t="str">
        <f>IF('ASS END SYNC'!C64="SHOW",FIND(",",'ASS END SYNC'!E64,1),"")</f>
        <v/>
      </c>
      <c r="P60" s="24" t="str">
        <f>IF('ASS END SYNC'!C64="SHOW",FIND(",",'ASS END SYNC'!E64,O60+1),"")</f>
        <v/>
      </c>
      <c r="Q60" s="24" t="str">
        <f>IF('ASS END SYNC'!C64="SHOW",FIND(",",'ASS END SYNC'!E64,P60+1),"")</f>
        <v/>
      </c>
      <c r="R60" s="25" t="str">
        <f>IF('ASS END SYNC'!C64="SHOW",FIND(",,",'ASS END SYNC'!E64,1),"")</f>
        <v/>
      </c>
      <c r="S60" s="25" t="str">
        <f>IF('ASS END SYNC'!C64="SHOW",FIND(",,",'ASS END SYNC'!E64,R60+1),"")</f>
        <v/>
      </c>
      <c r="T60" s="23" t="str">
        <f>IF('ASS END SYNC'!C64="SHOW",LEFT('ASS END SYNC'!E64,O60),"")</f>
        <v/>
      </c>
      <c r="U60" s="24" t="str">
        <f>IF('ASS END SYNC'!C64="SHOW",MID('ASS END SYNC'!E64,O60+1,P60-O60-1),"")</f>
        <v/>
      </c>
      <c r="V60" s="24" t="str">
        <f>IF(AND('ASS END SYNC'!C64="SHOW",'ASS END SYNC'!C65="SHOW"),U61,IF(AND('ASS END SYNC'!C64="SHOW",'ASS END SYNC'!C65&lt;&gt;"SHOW"),MID('ASS END SYNC'!E64,O60+1,P60-O60-1),""))</f>
        <v/>
      </c>
      <c r="W60" s="23" t="str">
        <f>IF('ASS END SYNC'!C64="SHOW",MID('ASS END SYNC'!E64,Q60+1,S60-Q60+1),"")</f>
        <v/>
      </c>
      <c r="X60" s="23" t="str">
        <f>IF('ASS END SYNC'!C64="SHOW",MID('ASS END SYNC'!E64,S60+2,1000),"")</f>
        <v/>
      </c>
      <c r="Z60" s="24"/>
    </row>
    <row r="61" spans="1:26" x14ac:dyDescent="0.25">
      <c r="A61" s="26">
        <v>58</v>
      </c>
      <c r="B61" s="24" t="str">
        <f>IF('ASS START SYNC'!C65="SHOW",FIND(",",'ASS START SYNC'!E65,1),"")</f>
        <v/>
      </c>
      <c r="C61" s="24" t="str">
        <f>IF('ASS START SYNC'!C65="SHOW",FIND(",",'ASS START SYNC'!E65,B61+1),"")</f>
        <v/>
      </c>
      <c r="D61" s="24" t="str">
        <f>IF('ASS START SYNC'!C65="SHOW",FIND(",",'ASS START SYNC'!E65,C61+1),"")</f>
        <v/>
      </c>
      <c r="E61" s="25" t="str">
        <f>IF('ASS START SYNC'!C65="SHOW",FIND(",,",'ASS START SYNC'!E65,1),"")</f>
        <v/>
      </c>
      <c r="F61" s="25" t="str">
        <f>IF('ASS START SYNC'!C65="SHOW",FIND(",,",'ASS START SYNC'!E65,E61+1),"")</f>
        <v/>
      </c>
      <c r="G61" s="23" t="str">
        <f>IF('ASS START SYNC'!C65="SHOW",LEFT('ASS START SYNC'!E65,B61),"")</f>
        <v/>
      </c>
      <c r="H61" s="24" t="str">
        <f>IF(AND('ASS START SYNC'!C65="SHOW",COUNTA('ASS START SYNC'!$E$8:'ASS START SYNC'!E64)=0),MID('ASS START SYNC'!E65,B61+1,C61-B61-1),IF(AND('ASS START SYNC'!C65="SHOW",COUNTA('ASS START SYNC'!$E$8:'ASS START SYNC'!E64)&lt;&gt;0),I60,""))</f>
        <v/>
      </c>
      <c r="I61" s="24" t="str">
        <f>IF('ASS START SYNC'!C65="SHOW",MID('ASS START SYNC'!E65,C61+1,D61-C61-1),I60)</f>
        <v/>
      </c>
      <c r="J61" s="23" t="str">
        <f>IF('ASS START SYNC'!C65="SHOW",MID('ASS START SYNC'!E65,D61+1,F61-D61+1),"")</f>
        <v/>
      </c>
      <c r="K61" s="23" t="str">
        <f>IF('ASS START SYNC'!C65="SHOW",MID('ASS START SYNC'!E65,F61+2,1000),"")</f>
        <v/>
      </c>
      <c r="M61" s="24"/>
      <c r="N61" s="26">
        <v>58</v>
      </c>
      <c r="O61" s="24" t="str">
        <f>IF('ASS END SYNC'!C65="SHOW",FIND(",",'ASS END SYNC'!E65,1),"")</f>
        <v/>
      </c>
      <c r="P61" s="24" t="str">
        <f>IF('ASS END SYNC'!C65="SHOW",FIND(",",'ASS END SYNC'!E65,O61+1),"")</f>
        <v/>
      </c>
      <c r="Q61" s="24" t="str">
        <f>IF('ASS END SYNC'!C65="SHOW",FIND(",",'ASS END SYNC'!E65,P61+1),"")</f>
        <v/>
      </c>
      <c r="R61" s="25" t="str">
        <f>IF('ASS END SYNC'!C65="SHOW",FIND(",,",'ASS END SYNC'!E65,1),"")</f>
        <v/>
      </c>
      <c r="S61" s="25" t="str">
        <f>IF('ASS END SYNC'!C65="SHOW",FIND(",,",'ASS END SYNC'!E65,R61+1),"")</f>
        <v/>
      </c>
      <c r="T61" s="23" t="str">
        <f>IF('ASS END SYNC'!C65="SHOW",LEFT('ASS END SYNC'!E65,O61),"")</f>
        <v/>
      </c>
      <c r="U61" s="24" t="str">
        <f>IF('ASS END SYNC'!C65="SHOW",MID('ASS END SYNC'!E65,O61+1,P61-O61-1),"")</f>
        <v/>
      </c>
      <c r="V61" s="24" t="str">
        <f>IF(AND('ASS END SYNC'!C65="SHOW",'ASS END SYNC'!C66="SHOW"),U62,IF(AND('ASS END SYNC'!C65="SHOW",'ASS END SYNC'!C66&lt;&gt;"SHOW"),MID('ASS END SYNC'!E65,O61+1,P61-O61-1),""))</f>
        <v/>
      </c>
      <c r="W61" s="23" t="str">
        <f>IF('ASS END SYNC'!C65="SHOW",MID('ASS END SYNC'!E65,Q61+1,S61-Q61+1),"")</f>
        <v/>
      </c>
      <c r="X61" s="23" t="str">
        <f>IF('ASS END SYNC'!C65="SHOW",MID('ASS END SYNC'!E65,S61+2,1000),"")</f>
        <v/>
      </c>
      <c r="Z61" s="24"/>
    </row>
    <row r="62" spans="1:26" x14ac:dyDescent="0.25">
      <c r="A62" s="26">
        <v>59</v>
      </c>
      <c r="B62" s="24" t="str">
        <f>IF('ASS START SYNC'!C66="SHOW",FIND(",",'ASS START SYNC'!E66,1),"")</f>
        <v/>
      </c>
      <c r="C62" s="24" t="str">
        <f>IF('ASS START SYNC'!C66="SHOW",FIND(",",'ASS START SYNC'!E66,B62+1),"")</f>
        <v/>
      </c>
      <c r="D62" s="24" t="str">
        <f>IF('ASS START SYNC'!C66="SHOW",FIND(",",'ASS START SYNC'!E66,C62+1),"")</f>
        <v/>
      </c>
      <c r="E62" s="25" t="str">
        <f>IF('ASS START SYNC'!C66="SHOW",FIND(",,",'ASS START SYNC'!E66,1),"")</f>
        <v/>
      </c>
      <c r="F62" s="25" t="str">
        <f>IF('ASS START SYNC'!C66="SHOW",FIND(",,",'ASS START SYNC'!E66,E62+1),"")</f>
        <v/>
      </c>
      <c r="G62" s="23" t="str">
        <f>IF('ASS START SYNC'!C66="SHOW",LEFT('ASS START SYNC'!E66,B62),"")</f>
        <v/>
      </c>
      <c r="H62" s="24" t="str">
        <f>IF(AND('ASS START SYNC'!C66="SHOW",COUNTA('ASS START SYNC'!$E$8:'ASS START SYNC'!E65)=0),MID('ASS START SYNC'!E66,B62+1,C62-B62-1),IF(AND('ASS START SYNC'!C66="SHOW",COUNTA('ASS START SYNC'!$E$8:'ASS START SYNC'!E65)&lt;&gt;0),I61,""))</f>
        <v/>
      </c>
      <c r="I62" s="24" t="str">
        <f>IF('ASS START SYNC'!C66="SHOW",MID('ASS START SYNC'!E66,C62+1,D62-C62-1),I61)</f>
        <v/>
      </c>
      <c r="J62" s="23" t="str">
        <f>IF('ASS START SYNC'!C66="SHOW",MID('ASS START SYNC'!E66,D62+1,F62-D62+1),"")</f>
        <v/>
      </c>
      <c r="K62" s="23" t="str">
        <f>IF('ASS START SYNC'!C66="SHOW",MID('ASS START SYNC'!E66,F62+2,1000),"")</f>
        <v/>
      </c>
      <c r="M62" s="24"/>
      <c r="N62" s="26">
        <v>59</v>
      </c>
      <c r="O62" s="24" t="str">
        <f>IF('ASS END SYNC'!C66="SHOW",FIND(",",'ASS END SYNC'!E66,1),"")</f>
        <v/>
      </c>
      <c r="P62" s="24" t="str">
        <f>IF('ASS END SYNC'!C66="SHOW",FIND(",",'ASS END SYNC'!E66,O62+1),"")</f>
        <v/>
      </c>
      <c r="Q62" s="24" t="str">
        <f>IF('ASS END SYNC'!C66="SHOW",FIND(",",'ASS END SYNC'!E66,P62+1),"")</f>
        <v/>
      </c>
      <c r="R62" s="25" t="str">
        <f>IF('ASS END SYNC'!C66="SHOW",FIND(",,",'ASS END SYNC'!E66,1),"")</f>
        <v/>
      </c>
      <c r="S62" s="25" t="str">
        <f>IF('ASS END SYNC'!C66="SHOW",FIND(",,",'ASS END SYNC'!E66,R62+1),"")</f>
        <v/>
      </c>
      <c r="T62" s="23" t="str">
        <f>IF('ASS END SYNC'!C66="SHOW",LEFT('ASS END SYNC'!E66,O62),"")</f>
        <v/>
      </c>
      <c r="U62" s="24" t="str">
        <f>IF('ASS END SYNC'!C66="SHOW",MID('ASS END SYNC'!E66,O62+1,P62-O62-1),"")</f>
        <v/>
      </c>
      <c r="V62" s="24" t="str">
        <f>IF(AND('ASS END SYNC'!C66="SHOW",'ASS END SYNC'!C67="SHOW"),U63,IF(AND('ASS END SYNC'!C66="SHOW",'ASS END SYNC'!C67&lt;&gt;"SHOW"),MID('ASS END SYNC'!E66,O62+1,P62-O62-1),""))</f>
        <v/>
      </c>
      <c r="W62" s="23" t="str">
        <f>IF('ASS END SYNC'!C66="SHOW",MID('ASS END SYNC'!E66,Q62+1,S62-Q62+1),"")</f>
        <v/>
      </c>
      <c r="X62" s="23" t="str">
        <f>IF('ASS END SYNC'!C66="SHOW",MID('ASS END SYNC'!E66,S62+2,1000),"")</f>
        <v/>
      </c>
      <c r="Z62" s="24"/>
    </row>
    <row r="63" spans="1:26" x14ac:dyDescent="0.25">
      <c r="A63" s="26">
        <v>60</v>
      </c>
      <c r="B63" s="24" t="str">
        <f>IF('ASS START SYNC'!C67="SHOW",FIND(",",'ASS START SYNC'!E67,1),"")</f>
        <v/>
      </c>
      <c r="C63" s="24" t="str">
        <f>IF('ASS START SYNC'!C67="SHOW",FIND(",",'ASS START SYNC'!E67,B63+1),"")</f>
        <v/>
      </c>
      <c r="D63" s="24" t="str">
        <f>IF('ASS START SYNC'!C67="SHOW",FIND(",",'ASS START SYNC'!E67,C63+1),"")</f>
        <v/>
      </c>
      <c r="E63" s="25" t="str">
        <f>IF('ASS START SYNC'!C67="SHOW",FIND(",,",'ASS START SYNC'!E67,1),"")</f>
        <v/>
      </c>
      <c r="F63" s="25" t="str">
        <f>IF('ASS START SYNC'!C67="SHOW",FIND(",,",'ASS START SYNC'!E67,E63+1),"")</f>
        <v/>
      </c>
      <c r="G63" s="23" t="str">
        <f>IF('ASS START SYNC'!C67="SHOW",LEFT('ASS START SYNC'!E67,B63),"")</f>
        <v/>
      </c>
      <c r="H63" s="24" t="str">
        <f>IF(AND('ASS START SYNC'!C67="SHOW",COUNTA('ASS START SYNC'!$E$8:'ASS START SYNC'!E66)=0),MID('ASS START SYNC'!E67,B63+1,C63-B63-1),IF(AND('ASS START SYNC'!C67="SHOW",COUNTA('ASS START SYNC'!$E$8:'ASS START SYNC'!E66)&lt;&gt;0),I62,""))</f>
        <v/>
      </c>
      <c r="I63" s="24" t="str">
        <f>IF('ASS START SYNC'!C67="SHOW",MID('ASS START SYNC'!E67,C63+1,D63-C63-1),I62)</f>
        <v/>
      </c>
      <c r="J63" s="23" t="str">
        <f>IF('ASS START SYNC'!C67="SHOW",MID('ASS START SYNC'!E67,D63+1,F63-D63+1),"")</f>
        <v/>
      </c>
      <c r="K63" s="23" t="str">
        <f>IF('ASS START SYNC'!C67="SHOW",MID('ASS START SYNC'!E67,F63+2,1000),"")</f>
        <v/>
      </c>
      <c r="M63" s="24"/>
      <c r="N63" s="26">
        <v>60</v>
      </c>
      <c r="O63" s="24" t="str">
        <f>IF('ASS END SYNC'!C67="SHOW",FIND(",",'ASS END SYNC'!E67,1),"")</f>
        <v/>
      </c>
      <c r="P63" s="24" t="str">
        <f>IF('ASS END SYNC'!C67="SHOW",FIND(",",'ASS END SYNC'!E67,O63+1),"")</f>
        <v/>
      </c>
      <c r="Q63" s="24" t="str">
        <f>IF('ASS END SYNC'!C67="SHOW",FIND(",",'ASS END SYNC'!E67,P63+1),"")</f>
        <v/>
      </c>
      <c r="R63" s="25" t="str">
        <f>IF('ASS END SYNC'!C67="SHOW",FIND(",,",'ASS END SYNC'!E67,1),"")</f>
        <v/>
      </c>
      <c r="S63" s="25" t="str">
        <f>IF('ASS END SYNC'!C67="SHOW",FIND(",,",'ASS END SYNC'!E67,R63+1),"")</f>
        <v/>
      </c>
      <c r="T63" s="23" t="str">
        <f>IF('ASS END SYNC'!C67="SHOW",LEFT('ASS END SYNC'!E67,O63),"")</f>
        <v/>
      </c>
      <c r="U63" s="24" t="str">
        <f>IF('ASS END SYNC'!C67="SHOW",MID('ASS END SYNC'!E67,O63+1,P63-O63-1),"")</f>
        <v/>
      </c>
      <c r="V63" s="24" t="str">
        <f>IF(AND('ASS END SYNC'!C67="SHOW",'ASS END SYNC'!C68="SHOW"),U64,IF(AND('ASS END SYNC'!C67="SHOW",'ASS END SYNC'!C68&lt;&gt;"SHOW"),MID('ASS END SYNC'!E67,O63+1,P63-O63-1),""))</f>
        <v/>
      </c>
      <c r="W63" s="23" t="str">
        <f>IF('ASS END SYNC'!C67="SHOW",MID('ASS END SYNC'!E67,Q63+1,S63-Q63+1),"")</f>
        <v/>
      </c>
      <c r="X63" s="23" t="str">
        <f>IF('ASS END SYNC'!C67="SHOW",MID('ASS END SYNC'!E67,S63+2,1000),"")</f>
        <v/>
      </c>
      <c r="Z63" s="24"/>
    </row>
    <row r="64" spans="1:26" x14ac:dyDescent="0.25">
      <c r="A64" s="26">
        <v>61</v>
      </c>
      <c r="B64" s="24" t="str">
        <f>IF('ASS START SYNC'!C68="SHOW",FIND(",",'ASS START SYNC'!E68,1),"")</f>
        <v/>
      </c>
      <c r="C64" s="24" t="str">
        <f>IF('ASS START SYNC'!C68="SHOW",FIND(",",'ASS START SYNC'!E68,B64+1),"")</f>
        <v/>
      </c>
      <c r="D64" s="24" t="str">
        <f>IF('ASS START SYNC'!C68="SHOW",FIND(",",'ASS START SYNC'!E68,C64+1),"")</f>
        <v/>
      </c>
      <c r="E64" s="25" t="str">
        <f>IF('ASS START SYNC'!C68="SHOW",FIND(",,",'ASS START SYNC'!E68,1),"")</f>
        <v/>
      </c>
      <c r="F64" s="25" t="str">
        <f>IF('ASS START SYNC'!C68="SHOW",FIND(",,",'ASS START SYNC'!E68,E64+1),"")</f>
        <v/>
      </c>
      <c r="G64" s="23" t="str">
        <f>IF('ASS START SYNC'!C68="SHOW",LEFT('ASS START SYNC'!E68,B64),"")</f>
        <v/>
      </c>
      <c r="H64" s="24" t="str">
        <f>IF(AND('ASS START SYNC'!C68="SHOW",COUNTA('ASS START SYNC'!$E$8:'ASS START SYNC'!E67)=0),MID('ASS START SYNC'!E68,B64+1,C64-B64-1),IF(AND('ASS START SYNC'!C68="SHOW",COUNTA('ASS START SYNC'!$E$8:'ASS START SYNC'!E67)&lt;&gt;0),I63,""))</f>
        <v/>
      </c>
      <c r="I64" s="24" t="str">
        <f>IF('ASS START SYNC'!C68="SHOW",MID('ASS START SYNC'!E68,C64+1,D64-C64-1),I63)</f>
        <v/>
      </c>
      <c r="J64" s="23" t="str">
        <f>IF('ASS START SYNC'!C68="SHOW",MID('ASS START SYNC'!E68,D64+1,F64-D64+1),"")</f>
        <v/>
      </c>
      <c r="K64" s="23" t="str">
        <f>IF('ASS START SYNC'!C68="SHOW",MID('ASS START SYNC'!E68,F64+2,1000),"")</f>
        <v/>
      </c>
      <c r="M64" s="24"/>
      <c r="N64" s="26">
        <v>61</v>
      </c>
      <c r="O64" s="24" t="str">
        <f>IF('ASS END SYNC'!C68="SHOW",FIND(",",'ASS END SYNC'!E68,1),"")</f>
        <v/>
      </c>
      <c r="P64" s="24" t="str">
        <f>IF('ASS END SYNC'!C68="SHOW",FIND(",",'ASS END SYNC'!E68,O64+1),"")</f>
        <v/>
      </c>
      <c r="Q64" s="24" t="str">
        <f>IF('ASS END SYNC'!C68="SHOW",FIND(",",'ASS END SYNC'!E68,P64+1),"")</f>
        <v/>
      </c>
      <c r="R64" s="25" t="str">
        <f>IF('ASS END SYNC'!C68="SHOW",FIND(",,",'ASS END SYNC'!E68,1),"")</f>
        <v/>
      </c>
      <c r="S64" s="25" t="str">
        <f>IF('ASS END SYNC'!C68="SHOW",FIND(",,",'ASS END SYNC'!E68,R64+1),"")</f>
        <v/>
      </c>
      <c r="T64" s="23" t="str">
        <f>IF('ASS END SYNC'!C68="SHOW",LEFT('ASS END SYNC'!E68,O64),"")</f>
        <v/>
      </c>
      <c r="U64" s="24" t="str">
        <f>IF('ASS END SYNC'!C68="SHOW",MID('ASS END SYNC'!E68,O64+1,P64-O64-1),"")</f>
        <v/>
      </c>
      <c r="V64" s="24" t="str">
        <f>IF(AND('ASS END SYNC'!C68="SHOW",'ASS END SYNC'!C69="SHOW"),U65,IF(AND('ASS END SYNC'!C68="SHOW",'ASS END SYNC'!C69&lt;&gt;"SHOW"),MID('ASS END SYNC'!E68,O64+1,P64-O64-1),""))</f>
        <v/>
      </c>
      <c r="W64" s="23" t="str">
        <f>IF('ASS END SYNC'!C68="SHOW",MID('ASS END SYNC'!E68,Q64+1,S64-Q64+1),"")</f>
        <v/>
      </c>
      <c r="X64" s="23" t="str">
        <f>IF('ASS END SYNC'!C68="SHOW",MID('ASS END SYNC'!E68,S64+2,1000),"")</f>
        <v/>
      </c>
      <c r="Z64" s="24"/>
    </row>
    <row r="65" spans="1:26" x14ac:dyDescent="0.25">
      <c r="A65" s="26">
        <v>62</v>
      </c>
      <c r="B65" s="24" t="str">
        <f>IF('ASS START SYNC'!C69="SHOW",FIND(",",'ASS START SYNC'!E69,1),"")</f>
        <v/>
      </c>
      <c r="C65" s="24" t="str">
        <f>IF('ASS START SYNC'!C69="SHOW",FIND(",",'ASS START SYNC'!E69,B65+1),"")</f>
        <v/>
      </c>
      <c r="D65" s="24" t="str">
        <f>IF('ASS START SYNC'!C69="SHOW",FIND(",",'ASS START SYNC'!E69,C65+1),"")</f>
        <v/>
      </c>
      <c r="E65" s="25" t="str">
        <f>IF('ASS START SYNC'!C69="SHOW",FIND(",,",'ASS START SYNC'!E69,1),"")</f>
        <v/>
      </c>
      <c r="F65" s="25" t="str">
        <f>IF('ASS START SYNC'!C69="SHOW",FIND(",,",'ASS START SYNC'!E69,E65+1),"")</f>
        <v/>
      </c>
      <c r="G65" s="23" t="str">
        <f>IF('ASS START SYNC'!C69="SHOW",LEFT('ASS START SYNC'!E69,B65),"")</f>
        <v/>
      </c>
      <c r="H65" s="24" t="str">
        <f>IF(AND('ASS START SYNC'!C69="SHOW",COUNTA('ASS START SYNC'!$E$8:'ASS START SYNC'!E68)=0),MID('ASS START SYNC'!E69,B65+1,C65-B65-1),IF(AND('ASS START SYNC'!C69="SHOW",COUNTA('ASS START SYNC'!$E$8:'ASS START SYNC'!E68)&lt;&gt;0),I64,""))</f>
        <v/>
      </c>
      <c r="I65" s="24" t="str">
        <f>IF('ASS START SYNC'!C69="SHOW",MID('ASS START SYNC'!E69,C65+1,D65-C65-1),I64)</f>
        <v/>
      </c>
      <c r="J65" s="23" t="str">
        <f>IF('ASS START SYNC'!C69="SHOW",MID('ASS START SYNC'!E69,D65+1,F65-D65+1),"")</f>
        <v/>
      </c>
      <c r="K65" s="23" t="str">
        <f>IF('ASS START SYNC'!C69="SHOW",MID('ASS START SYNC'!E69,F65+2,1000),"")</f>
        <v/>
      </c>
      <c r="M65" s="24"/>
      <c r="N65" s="26">
        <v>62</v>
      </c>
      <c r="O65" s="24" t="str">
        <f>IF('ASS END SYNC'!C69="SHOW",FIND(",",'ASS END SYNC'!E69,1),"")</f>
        <v/>
      </c>
      <c r="P65" s="24" t="str">
        <f>IF('ASS END SYNC'!C69="SHOW",FIND(",",'ASS END SYNC'!E69,O65+1),"")</f>
        <v/>
      </c>
      <c r="Q65" s="24" t="str">
        <f>IF('ASS END SYNC'!C69="SHOW",FIND(",",'ASS END SYNC'!E69,P65+1),"")</f>
        <v/>
      </c>
      <c r="R65" s="25" t="str">
        <f>IF('ASS END SYNC'!C69="SHOW",FIND(",,",'ASS END SYNC'!E69,1),"")</f>
        <v/>
      </c>
      <c r="S65" s="25" t="str">
        <f>IF('ASS END SYNC'!C69="SHOW",FIND(",,",'ASS END SYNC'!E69,R65+1),"")</f>
        <v/>
      </c>
      <c r="T65" s="23" t="str">
        <f>IF('ASS END SYNC'!C69="SHOW",LEFT('ASS END SYNC'!E69,O65),"")</f>
        <v/>
      </c>
      <c r="U65" s="24" t="str">
        <f>IF('ASS END SYNC'!C69="SHOW",MID('ASS END SYNC'!E69,O65+1,P65-O65-1),"")</f>
        <v/>
      </c>
      <c r="V65" s="24" t="str">
        <f>IF(AND('ASS END SYNC'!C69="SHOW",'ASS END SYNC'!C70="SHOW"),U66,IF(AND('ASS END SYNC'!C69="SHOW",'ASS END SYNC'!C70&lt;&gt;"SHOW"),MID('ASS END SYNC'!E69,O65+1,P65-O65-1),""))</f>
        <v/>
      </c>
      <c r="W65" s="23" t="str">
        <f>IF('ASS END SYNC'!C69="SHOW",MID('ASS END SYNC'!E69,Q65+1,S65-Q65+1),"")</f>
        <v/>
      </c>
      <c r="X65" s="23" t="str">
        <f>IF('ASS END SYNC'!C69="SHOW",MID('ASS END SYNC'!E69,S65+2,1000),"")</f>
        <v/>
      </c>
      <c r="Z65" s="24"/>
    </row>
    <row r="66" spans="1:26" x14ac:dyDescent="0.25">
      <c r="A66" s="26">
        <v>63</v>
      </c>
      <c r="B66" s="24" t="str">
        <f>IF('ASS START SYNC'!C70="SHOW",FIND(",",'ASS START SYNC'!E70,1),"")</f>
        <v/>
      </c>
      <c r="C66" s="24" t="str">
        <f>IF('ASS START SYNC'!C70="SHOW",FIND(",",'ASS START SYNC'!E70,B66+1),"")</f>
        <v/>
      </c>
      <c r="D66" s="24" t="str">
        <f>IF('ASS START SYNC'!C70="SHOW",FIND(",",'ASS START SYNC'!E70,C66+1),"")</f>
        <v/>
      </c>
      <c r="E66" s="25" t="str">
        <f>IF('ASS START SYNC'!C70="SHOW",FIND(",,",'ASS START SYNC'!E70,1),"")</f>
        <v/>
      </c>
      <c r="F66" s="25" t="str">
        <f>IF('ASS START SYNC'!C70="SHOW",FIND(",,",'ASS START SYNC'!E70,E66+1),"")</f>
        <v/>
      </c>
      <c r="G66" s="23" t="str">
        <f>IF('ASS START SYNC'!C70="SHOW",LEFT('ASS START SYNC'!E70,B66),"")</f>
        <v/>
      </c>
      <c r="H66" s="24" t="str">
        <f>IF(AND('ASS START SYNC'!C70="SHOW",COUNTA('ASS START SYNC'!$E$8:'ASS START SYNC'!E69)=0),MID('ASS START SYNC'!E70,B66+1,C66-B66-1),IF(AND('ASS START SYNC'!C70="SHOW",COUNTA('ASS START SYNC'!$E$8:'ASS START SYNC'!E69)&lt;&gt;0),I65,""))</f>
        <v/>
      </c>
      <c r="I66" s="24" t="str">
        <f>IF('ASS START SYNC'!C70="SHOW",MID('ASS START SYNC'!E70,C66+1,D66-C66-1),I65)</f>
        <v/>
      </c>
      <c r="J66" s="23" t="str">
        <f>IF('ASS START SYNC'!C70="SHOW",MID('ASS START SYNC'!E70,D66+1,F66-D66+1),"")</f>
        <v/>
      </c>
      <c r="K66" s="23" t="str">
        <f>IF('ASS START SYNC'!C70="SHOW",MID('ASS START SYNC'!E70,F66+2,1000),"")</f>
        <v/>
      </c>
      <c r="M66" s="24"/>
      <c r="N66" s="26">
        <v>63</v>
      </c>
      <c r="O66" s="24" t="str">
        <f>IF('ASS END SYNC'!C70="SHOW",FIND(",",'ASS END SYNC'!E70,1),"")</f>
        <v/>
      </c>
      <c r="P66" s="24" t="str">
        <f>IF('ASS END SYNC'!C70="SHOW",FIND(",",'ASS END SYNC'!E70,O66+1),"")</f>
        <v/>
      </c>
      <c r="Q66" s="24" t="str">
        <f>IF('ASS END SYNC'!C70="SHOW",FIND(",",'ASS END SYNC'!E70,P66+1),"")</f>
        <v/>
      </c>
      <c r="R66" s="25" t="str">
        <f>IF('ASS END SYNC'!C70="SHOW",FIND(",,",'ASS END SYNC'!E70,1),"")</f>
        <v/>
      </c>
      <c r="S66" s="25" t="str">
        <f>IF('ASS END SYNC'!C70="SHOW",FIND(",,",'ASS END SYNC'!E70,R66+1),"")</f>
        <v/>
      </c>
      <c r="T66" s="23" t="str">
        <f>IF('ASS END SYNC'!C70="SHOW",LEFT('ASS END SYNC'!E70,O66),"")</f>
        <v/>
      </c>
      <c r="U66" s="24" t="str">
        <f>IF('ASS END SYNC'!C70="SHOW",MID('ASS END SYNC'!E70,O66+1,P66-O66-1),"")</f>
        <v/>
      </c>
      <c r="V66" s="24" t="str">
        <f>IF(AND('ASS END SYNC'!C70="SHOW",'ASS END SYNC'!C71="SHOW"),U67,IF(AND('ASS END SYNC'!C70="SHOW",'ASS END SYNC'!C71&lt;&gt;"SHOW"),MID('ASS END SYNC'!E70,O66+1,P66-O66-1),""))</f>
        <v/>
      </c>
      <c r="W66" s="23" t="str">
        <f>IF('ASS END SYNC'!C70="SHOW",MID('ASS END SYNC'!E70,Q66+1,S66-Q66+1),"")</f>
        <v/>
      </c>
      <c r="X66" s="23" t="str">
        <f>IF('ASS END SYNC'!C70="SHOW",MID('ASS END SYNC'!E70,S66+2,1000),"")</f>
        <v/>
      </c>
      <c r="Z66" s="24"/>
    </row>
    <row r="67" spans="1:26" x14ac:dyDescent="0.25">
      <c r="A67" s="26">
        <v>64</v>
      </c>
      <c r="B67" s="24" t="str">
        <f>IF('ASS START SYNC'!C71="SHOW",FIND(",",'ASS START SYNC'!E71,1),"")</f>
        <v/>
      </c>
      <c r="C67" s="24" t="str">
        <f>IF('ASS START SYNC'!C71="SHOW",FIND(",",'ASS START SYNC'!E71,B67+1),"")</f>
        <v/>
      </c>
      <c r="D67" s="24" t="str">
        <f>IF('ASS START SYNC'!C71="SHOW",FIND(",",'ASS START SYNC'!E71,C67+1),"")</f>
        <v/>
      </c>
      <c r="E67" s="25" t="str">
        <f>IF('ASS START SYNC'!C71="SHOW",FIND(",,",'ASS START SYNC'!E71,1),"")</f>
        <v/>
      </c>
      <c r="F67" s="25" t="str">
        <f>IF('ASS START SYNC'!C71="SHOW",FIND(",,",'ASS START SYNC'!E71,E67+1),"")</f>
        <v/>
      </c>
      <c r="G67" s="23" t="str">
        <f>IF('ASS START SYNC'!C71="SHOW",LEFT('ASS START SYNC'!E71,B67),"")</f>
        <v/>
      </c>
      <c r="H67" s="24" t="str">
        <f>IF(AND('ASS START SYNC'!C71="SHOW",COUNTA('ASS START SYNC'!$E$8:'ASS START SYNC'!E70)=0),MID('ASS START SYNC'!E71,B67+1,C67-B67-1),IF(AND('ASS START SYNC'!C71="SHOW",COUNTA('ASS START SYNC'!$E$8:'ASS START SYNC'!E70)&lt;&gt;0),I66,""))</f>
        <v/>
      </c>
      <c r="I67" s="24" t="str">
        <f>IF('ASS START SYNC'!C71="SHOW",MID('ASS START SYNC'!E71,C67+1,D67-C67-1),I66)</f>
        <v/>
      </c>
      <c r="J67" s="23" t="str">
        <f>IF('ASS START SYNC'!C71="SHOW",MID('ASS START SYNC'!E71,D67+1,F67-D67+1),"")</f>
        <v/>
      </c>
      <c r="K67" s="23" t="str">
        <f>IF('ASS START SYNC'!C71="SHOW",MID('ASS START SYNC'!E71,F67+2,1000),"")</f>
        <v/>
      </c>
      <c r="M67" s="24"/>
      <c r="N67" s="26">
        <v>64</v>
      </c>
      <c r="O67" s="24" t="str">
        <f>IF('ASS END SYNC'!C71="SHOW",FIND(",",'ASS END SYNC'!E71,1),"")</f>
        <v/>
      </c>
      <c r="P67" s="24" t="str">
        <f>IF('ASS END SYNC'!C71="SHOW",FIND(",",'ASS END SYNC'!E71,O67+1),"")</f>
        <v/>
      </c>
      <c r="Q67" s="24" t="str">
        <f>IF('ASS END SYNC'!C71="SHOW",FIND(",",'ASS END SYNC'!E71,P67+1),"")</f>
        <v/>
      </c>
      <c r="R67" s="25" t="str">
        <f>IF('ASS END SYNC'!C71="SHOW",FIND(",,",'ASS END SYNC'!E71,1),"")</f>
        <v/>
      </c>
      <c r="S67" s="25" t="str">
        <f>IF('ASS END SYNC'!C71="SHOW",FIND(",,",'ASS END SYNC'!E71,R67+1),"")</f>
        <v/>
      </c>
      <c r="T67" s="23" t="str">
        <f>IF('ASS END SYNC'!C71="SHOW",LEFT('ASS END SYNC'!E71,O67),"")</f>
        <v/>
      </c>
      <c r="U67" s="24" t="str">
        <f>IF('ASS END SYNC'!C71="SHOW",MID('ASS END SYNC'!E71,O67+1,P67-O67-1),"")</f>
        <v/>
      </c>
      <c r="V67" s="24" t="str">
        <f>IF(AND('ASS END SYNC'!C71="SHOW",'ASS END SYNC'!C72="SHOW"),U68,IF(AND('ASS END SYNC'!C71="SHOW",'ASS END SYNC'!C72&lt;&gt;"SHOW"),MID('ASS END SYNC'!E71,O67+1,P67-O67-1),""))</f>
        <v/>
      </c>
      <c r="W67" s="23" t="str">
        <f>IF('ASS END SYNC'!C71="SHOW",MID('ASS END SYNC'!E71,Q67+1,S67-Q67+1),"")</f>
        <v/>
      </c>
      <c r="X67" s="23" t="str">
        <f>IF('ASS END SYNC'!C71="SHOW",MID('ASS END SYNC'!E71,S67+2,1000),"")</f>
        <v/>
      </c>
      <c r="Z67" s="24"/>
    </row>
    <row r="68" spans="1:26" x14ac:dyDescent="0.25">
      <c r="A68" s="26">
        <v>65</v>
      </c>
      <c r="B68" s="24" t="str">
        <f>IF('ASS START SYNC'!C72="SHOW",FIND(",",'ASS START SYNC'!E72,1),"")</f>
        <v/>
      </c>
      <c r="C68" s="24" t="str">
        <f>IF('ASS START SYNC'!C72="SHOW",FIND(",",'ASS START SYNC'!E72,B68+1),"")</f>
        <v/>
      </c>
      <c r="D68" s="24" t="str">
        <f>IF('ASS START SYNC'!C72="SHOW",FIND(",",'ASS START SYNC'!E72,C68+1),"")</f>
        <v/>
      </c>
      <c r="E68" s="25" t="str">
        <f>IF('ASS START SYNC'!C72="SHOW",FIND(",,",'ASS START SYNC'!E72,1),"")</f>
        <v/>
      </c>
      <c r="F68" s="25" t="str">
        <f>IF('ASS START SYNC'!C72="SHOW",FIND(",,",'ASS START SYNC'!E72,E68+1),"")</f>
        <v/>
      </c>
      <c r="G68" s="23" t="str">
        <f>IF('ASS START SYNC'!C72="SHOW",LEFT('ASS START SYNC'!E72,B68),"")</f>
        <v/>
      </c>
      <c r="H68" s="24" t="str">
        <f>IF(AND('ASS START SYNC'!C72="SHOW",COUNTA('ASS START SYNC'!$E$8:'ASS START SYNC'!E71)=0),MID('ASS START SYNC'!E72,B68+1,C68-B68-1),IF(AND('ASS START SYNC'!C72="SHOW",COUNTA('ASS START SYNC'!$E$8:'ASS START SYNC'!E71)&lt;&gt;0),I67,""))</f>
        <v/>
      </c>
      <c r="I68" s="24" t="str">
        <f>IF('ASS START SYNC'!C72="SHOW",MID('ASS START SYNC'!E72,C68+1,D68-C68-1),I67)</f>
        <v/>
      </c>
      <c r="J68" s="23" t="str">
        <f>IF('ASS START SYNC'!C72="SHOW",MID('ASS START SYNC'!E72,D68+1,F68-D68+1),"")</f>
        <v/>
      </c>
      <c r="K68" s="23" t="str">
        <f>IF('ASS START SYNC'!C72="SHOW",MID('ASS START SYNC'!E72,F68+2,1000),"")</f>
        <v/>
      </c>
      <c r="M68" s="24"/>
      <c r="N68" s="26">
        <v>65</v>
      </c>
      <c r="O68" s="24" t="str">
        <f>IF('ASS END SYNC'!C72="SHOW",FIND(",",'ASS END SYNC'!E72,1),"")</f>
        <v/>
      </c>
      <c r="P68" s="24" t="str">
        <f>IF('ASS END SYNC'!C72="SHOW",FIND(",",'ASS END SYNC'!E72,O68+1),"")</f>
        <v/>
      </c>
      <c r="Q68" s="24" t="str">
        <f>IF('ASS END SYNC'!C72="SHOW",FIND(",",'ASS END SYNC'!E72,P68+1),"")</f>
        <v/>
      </c>
      <c r="R68" s="25" t="str">
        <f>IF('ASS END SYNC'!C72="SHOW",FIND(",,",'ASS END SYNC'!E72,1),"")</f>
        <v/>
      </c>
      <c r="S68" s="25" t="str">
        <f>IF('ASS END SYNC'!C72="SHOW",FIND(",,",'ASS END SYNC'!E72,R68+1),"")</f>
        <v/>
      </c>
      <c r="T68" s="23" t="str">
        <f>IF('ASS END SYNC'!C72="SHOW",LEFT('ASS END SYNC'!E72,O68),"")</f>
        <v/>
      </c>
      <c r="U68" s="24" t="str">
        <f>IF('ASS END SYNC'!C72="SHOW",MID('ASS END SYNC'!E72,O68+1,P68-O68-1),"")</f>
        <v/>
      </c>
      <c r="V68" s="24" t="str">
        <f>IF(AND('ASS END SYNC'!C72="SHOW",'ASS END SYNC'!C73="SHOW"),U69,IF(AND('ASS END SYNC'!C72="SHOW",'ASS END SYNC'!C73&lt;&gt;"SHOW"),MID('ASS END SYNC'!E72,O68+1,P68-O68-1),""))</f>
        <v/>
      </c>
      <c r="W68" s="23" t="str">
        <f>IF('ASS END SYNC'!C72="SHOW",MID('ASS END SYNC'!E72,Q68+1,S68-Q68+1),"")</f>
        <v/>
      </c>
      <c r="X68" s="23" t="str">
        <f>IF('ASS END SYNC'!C72="SHOW",MID('ASS END SYNC'!E72,S68+2,1000),"")</f>
        <v/>
      </c>
      <c r="Z68" s="24"/>
    </row>
    <row r="69" spans="1:26" x14ac:dyDescent="0.25">
      <c r="A69" s="26">
        <v>66</v>
      </c>
      <c r="B69" s="24" t="str">
        <f>IF('ASS START SYNC'!C73="SHOW",FIND(",",'ASS START SYNC'!E73,1),"")</f>
        <v/>
      </c>
      <c r="C69" s="24" t="str">
        <f>IF('ASS START SYNC'!C73="SHOW",FIND(",",'ASS START SYNC'!E73,B69+1),"")</f>
        <v/>
      </c>
      <c r="D69" s="24" t="str">
        <f>IF('ASS START SYNC'!C73="SHOW",FIND(",",'ASS START SYNC'!E73,C69+1),"")</f>
        <v/>
      </c>
      <c r="E69" s="25" t="str">
        <f>IF('ASS START SYNC'!C73="SHOW",FIND(",,",'ASS START SYNC'!E73,1),"")</f>
        <v/>
      </c>
      <c r="F69" s="25" t="str">
        <f>IF('ASS START SYNC'!C73="SHOW",FIND(",,",'ASS START SYNC'!E73,E69+1),"")</f>
        <v/>
      </c>
      <c r="G69" s="23" t="str">
        <f>IF('ASS START SYNC'!C73="SHOW",LEFT('ASS START SYNC'!E73,B69),"")</f>
        <v/>
      </c>
      <c r="H69" s="24" t="str">
        <f>IF(AND('ASS START SYNC'!C73="SHOW",COUNTA('ASS START SYNC'!$E$8:'ASS START SYNC'!E72)=0),MID('ASS START SYNC'!E73,B69+1,C69-B69-1),IF(AND('ASS START SYNC'!C73="SHOW",COUNTA('ASS START SYNC'!$E$8:'ASS START SYNC'!E72)&lt;&gt;0),I68,""))</f>
        <v/>
      </c>
      <c r="I69" s="24" t="str">
        <f>IF('ASS START SYNC'!C73="SHOW",MID('ASS START SYNC'!E73,C69+1,D69-C69-1),I68)</f>
        <v/>
      </c>
      <c r="J69" s="23" t="str">
        <f>IF('ASS START SYNC'!C73="SHOW",MID('ASS START SYNC'!E73,D69+1,F69-D69+1),"")</f>
        <v/>
      </c>
      <c r="K69" s="23" t="str">
        <f>IF('ASS START SYNC'!C73="SHOW",MID('ASS START SYNC'!E73,F69+2,1000),"")</f>
        <v/>
      </c>
      <c r="M69" s="24"/>
      <c r="N69" s="26">
        <v>66</v>
      </c>
      <c r="O69" s="24" t="str">
        <f>IF('ASS END SYNC'!C73="SHOW",FIND(",",'ASS END SYNC'!E73,1),"")</f>
        <v/>
      </c>
      <c r="P69" s="24" t="str">
        <f>IF('ASS END SYNC'!C73="SHOW",FIND(",",'ASS END SYNC'!E73,O69+1),"")</f>
        <v/>
      </c>
      <c r="Q69" s="24" t="str">
        <f>IF('ASS END SYNC'!C73="SHOW",FIND(",",'ASS END SYNC'!E73,P69+1),"")</f>
        <v/>
      </c>
      <c r="R69" s="25" t="str">
        <f>IF('ASS END SYNC'!C73="SHOW",FIND(",,",'ASS END SYNC'!E73,1),"")</f>
        <v/>
      </c>
      <c r="S69" s="25" t="str">
        <f>IF('ASS END SYNC'!C73="SHOW",FIND(",,",'ASS END SYNC'!E73,R69+1),"")</f>
        <v/>
      </c>
      <c r="T69" s="23" t="str">
        <f>IF('ASS END SYNC'!C73="SHOW",LEFT('ASS END SYNC'!E73,O69),"")</f>
        <v/>
      </c>
      <c r="U69" s="24" t="str">
        <f>IF('ASS END SYNC'!C73="SHOW",MID('ASS END SYNC'!E73,O69+1,P69-O69-1),"")</f>
        <v/>
      </c>
      <c r="V69" s="24" t="str">
        <f>IF(AND('ASS END SYNC'!C73="SHOW",'ASS END SYNC'!C74="SHOW"),U70,IF(AND('ASS END SYNC'!C73="SHOW",'ASS END SYNC'!C74&lt;&gt;"SHOW"),MID('ASS END SYNC'!E73,O69+1,P69-O69-1),""))</f>
        <v/>
      </c>
      <c r="W69" s="23" t="str">
        <f>IF('ASS END SYNC'!C73="SHOW",MID('ASS END SYNC'!E73,Q69+1,S69-Q69+1),"")</f>
        <v/>
      </c>
      <c r="X69" s="23" t="str">
        <f>IF('ASS END SYNC'!C73="SHOW",MID('ASS END SYNC'!E73,S69+2,1000),"")</f>
        <v/>
      </c>
      <c r="Z69" s="24"/>
    </row>
    <row r="70" spans="1:26" x14ac:dyDescent="0.25">
      <c r="A70" s="26">
        <v>67</v>
      </c>
      <c r="B70" s="24" t="str">
        <f>IF('ASS START SYNC'!C74="SHOW",FIND(",",'ASS START SYNC'!E74,1),"")</f>
        <v/>
      </c>
      <c r="C70" s="24" t="str">
        <f>IF('ASS START SYNC'!C74="SHOW",FIND(",",'ASS START SYNC'!E74,B70+1),"")</f>
        <v/>
      </c>
      <c r="D70" s="24" t="str">
        <f>IF('ASS START SYNC'!C74="SHOW",FIND(",",'ASS START SYNC'!E74,C70+1),"")</f>
        <v/>
      </c>
      <c r="E70" s="25" t="str">
        <f>IF('ASS START SYNC'!C74="SHOW",FIND(",,",'ASS START SYNC'!E74,1),"")</f>
        <v/>
      </c>
      <c r="F70" s="25" t="str">
        <f>IF('ASS START SYNC'!C74="SHOW",FIND(",,",'ASS START SYNC'!E74,E70+1),"")</f>
        <v/>
      </c>
      <c r="G70" s="23" t="str">
        <f>IF('ASS START SYNC'!C74="SHOW",LEFT('ASS START SYNC'!E74,B70),"")</f>
        <v/>
      </c>
      <c r="H70" s="24" t="str">
        <f>IF(AND('ASS START SYNC'!C74="SHOW",COUNTA('ASS START SYNC'!$E$8:'ASS START SYNC'!E73)=0),MID('ASS START SYNC'!E74,B70+1,C70-B70-1),IF(AND('ASS START SYNC'!C74="SHOW",COUNTA('ASS START SYNC'!$E$8:'ASS START SYNC'!E73)&lt;&gt;0),I69,""))</f>
        <v/>
      </c>
      <c r="I70" s="24" t="str">
        <f>IF('ASS START SYNC'!C74="SHOW",MID('ASS START SYNC'!E74,C70+1,D70-C70-1),I69)</f>
        <v/>
      </c>
      <c r="J70" s="23" t="str">
        <f>IF('ASS START SYNC'!C74="SHOW",MID('ASS START SYNC'!E74,D70+1,F70-D70+1),"")</f>
        <v/>
      </c>
      <c r="K70" s="23" t="str">
        <f>IF('ASS START SYNC'!C74="SHOW",MID('ASS START SYNC'!E74,F70+2,1000),"")</f>
        <v/>
      </c>
      <c r="M70" s="24"/>
      <c r="N70" s="26">
        <v>67</v>
      </c>
      <c r="O70" s="24" t="str">
        <f>IF('ASS END SYNC'!C74="SHOW",FIND(",",'ASS END SYNC'!E74,1),"")</f>
        <v/>
      </c>
      <c r="P70" s="24" t="str">
        <f>IF('ASS END SYNC'!C74="SHOW",FIND(",",'ASS END SYNC'!E74,O70+1),"")</f>
        <v/>
      </c>
      <c r="Q70" s="24" t="str">
        <f>IF('ASS END SYNC'!C74="SHOW",FIND(",",'ASS END SYNC'!E74,P70+1),"")</f>
        <v/>
      </c>
      <c r="R70" s="25" t="str">
        <f>IF('ASS END SYNC'!C74="SHOW",FIND(",,",'ASS END SYNC'!E74,1),"")</f>
        <v/>
      </c>
      <c r="S70" s="25" t="str">
        <f>IF('ASS END SYNC'!C74="SHOW",FIND(",,",'ASS END SYNC'!E74,R70+1),"")</f>
        <v/>
      </c>
      <c r="T70" s="23" t="str">
        <f>IF('ASS END SYNC'!C74="SHOW",LEFT('ASS END SYNC'!E74,O70),"")</f>
        <v/>
      </c>
      <c r="U70" s="24" t="str">
        <f>IF('ASS END SYNC'!C74="SHOW",MID('ASS END SYNC'!E74,O70+1,P70-O70-1),"")</f>
        <v/>
      </c>
      <c r="V70" s="24" t="str">
        <f>IF(AND('ASS END SYNC'!C74="SHOW",'ASS END SYNC'!C75="SHOW"),U71,IF(AND('ASS END SYNC'!C74="SHOW",'ASS END SYNC'!C75&lt;&gt;"SHOW"),MID('ASS END SYNC'!E74,O70+1,P70-O70-1),""))</f>
        <v/>
      </c>
      <c r="W70" s="23" t="str">
        <f>IF('ASS END SYNC'!C74="SHOW",MID('ASS END SYNC'!E74,Q70+1,S70-Q70+1),"")</f>
        <v/>
      </c>
      <c r="X70" s="23" t="str">
        <f>IF('ASS END SYNC'!C74="SHOW",MID('ASS END SYNC'!E74,S70+2,1000),"")</f>
        <v/>
      </c>
      <c r="Z70" s="24"/>
    </row>
    <row r="71" spans="1:26" x14ac:dyDescent="0.25">
      <c r="A71" s="26">
        <v>68</v>
      </c>
      <c r="B71" s="24" t="str">
        <f>IF('ASS START SYNC'!C75="SHOW",FIND(",",'ASS START SYNC'!E75,1),"")</f>
        <v/>
      </c>
      <c r="C71" s="24" t="str">
        <f>IF('ASS START SYNC'!C75="SHOW",FIND(",",'ASS START SYNC'!E75,B71+1),"")</f>
        <v/>
      </c>
      <c r="D71" s="24" t="str">
        <f>IF('ASS START SYNC'!C75="SHOW",FIND(",",'ASS START SYNC'!E75,C71+1),"")</f>
        <v/>
      </c>
      <c r="E71" s="25" t="str">
        <f>IF('ASS START SYNC'!C75="SHOW",FIND(",,",'ASS START SYNC'!E75,1),"")</f>
        <v/>
      </c>
      <c r="F71" s="25" t="str">
        <f>IF('ASS START SYNC'!C75="SHOW",FIND(",,",'ASS START SYNC'!E75,E71+1),"")</f>
        <v/>
      </c>
      <c r="G71" s="23" t="str">
        <f>IF('ASS START SYNC'!C75="SHOW",LEFT('ASS START SYNC'!E75,B71),"")</f>
        <v/>
      </c>
      <c r="H71" s="24" t="str">
        <f>IF(AND('ASS START SYNC'!C75="SHOW",COUNTA('ASS START SYNC'!$E$8:'ASS START SYNC'!E74)=0),MID('ASS START SYNC'!E75,B71+1,C71-B71-1),IF(AND('ASS START SYNC'!C75="SHOW",COUNTA('ASS START SYNC'!$E$8:'ASS START SYNC'!E74)&lt;&gt;0),I70,""))</f>
        <v/>
      </c>
      <c r="I71" s="24" t="str">
        <f>IF('ASS START SYNC'!C75="SHOW",MID('ASS START SYNC'!E75,C71+1,D71-C71-1),I70)</f>
        <v/>
      </c>
      <c r="J71" s="23" t="str">
        <f>IF('ASS START SYNC'!C75="SHOW",MID('ASS START SYNC'!E75,D71+1,F71-D71+1),"")</f>
        <v/>
      </c>
      <c r="K71" s="23" t="str">
        <f>IF('ASS START SYNC'!C75="SHOW",MID('ASS START SYNC'!E75,F71+2,1000),"")</f>
        <v/>
      </c>
      <c r="M71" s="24"/>
      <c r="N71" s="26">
        <v>68</v>
      </c>
      <c r="O71" s="24" t="str">
        <f>IF('ASS END SYNC'!C75="SHOW",FIND(",",'ASS END SYNC'!E75,1),"")</f>
        <v/>
      </c>
      <c r="P71" s="24" t="str">
        <f>IF('ASS END SYNC'!C75="SHOW",FIND(",",'ASS END SYNC'!E75,O71+1),"")</f>
        <v/>
      </c>
      <c r="Q71" s="24" t="str">
        <f>IF('ASS END SYNC'!C75="SHOW",FIND(",",'ASS END SYNC'!E75,P71+1),"")</f>
        <v/>
      </c>
      <c r="R71" s="25" t="str">
        <f>IF('ASS END SYNC'!C75="SHOW",FIND(",,",'ASS END SYNC'!E75,1),"")</f>
        <v/>
      </c>
      <c r="S71" s="25" t="str">
        <f>IF('ASS END SYNC'!C75="SHOW",FIND(",,",'ASS END SYNC'!E75,R71+1),"")</f>
        <v/>
      </c>
      <c r="T71" s="23" t="str">
        <f>IF('ASS END SYNC'!C75="SHOW",LEFT('ASS END SYNC'!E75,O71),"")</f>
        <v/>
      </c>
      <c r="U71" s="24" t="str">
        <f>IF('ASS END SYNC'!C75="SHOW",MID('ASS END SYNC'!E75,O71+1,P71-O71-1),"")</f>
        <v/>
      </c>
      <c r="V71" s="24" t="str">
        <f>IF(AND('ASS END SYNC'!C75="SHOW",'ASS END SYNC'!C76="SHOW"),U72,IF(AND('ASS END SYNC'!C75="SHOW",'ASS END SYNC'!C76&lt;&gt;"SHOW"),MID('ASS END SYNC'!E75,O71+1,P71-O71-1),""))</f>
        <v/>
      </c>
      <c r="W71" s="23" t="str">
        <f>IF('ASS END SYNC'!C75="SHOW",MID('ASS END SYNC'!E75,Q71+1,S71-Q71+1),"")</f>
        <v/>
      </c>
      <c r="X71" s="23" t="str">
        <f>IF('ASS END SYNC'!C75="SHOW",MID('ASS END SYNC'!E75,S71+2,1000),"")</f>
        <v/>
      </c>
      <c r="Z71" s="24"/>
    </row>
    <row r="72" spans="1:26" x14ac:dyDescent="0.25">
      <c r="A72" s="26">
        <v>69</v>
      </c>
      <c r="B72" s="24" t="str">
        <f>IF('ASS START SYNC'!C76="SHOW",FIND(",",'ASS START SYNC'!E76,1),"")</f>
        <v/>
      </c>
      <c r="C72" s="24" t="str">
        <f>IF('ASS START SYNC'!C76="SHOW",FIND(",",'ASS START SYNC'!E76,B72+1),"")</f>
        <v/>
      </c>
      <c r="D72" s="24" t="str">
        <f>IF('ASS START SYNC'!C76="SHOW",FIND(",",'ASS START SYNC'!E76,C72+1),"")</f>
        <v/>
      </c>
      <c r="E72" s="25" t="str">
        <f>IF('ASS START SYNC'!C76="SHOW",FIND(",,",'ASS START SYNC'!E76,1),"")</f>
        <v/>
      </c>
      <c r="F72" s="25" t="str">
        <f>IF('ASS START SYNC'!C76="SHOW",FIND(",,",'ASS START SYNC'!E76,E72+1),"")</f>
        <v/>
      </c>
      <c r="G72" s="23" t="str">
        <f>IF('ASS START SYNC'!C76="SHOW",LEFT('ASS START SYNC'!E76,B72),"")</f>
        <v/>
      </c>
      <c r="H72" s="24" t="str">
        <f>IF(AND('ASS START SYNC'!C76="SHOW",COUNTA('ASS START SYNC'!$E$8:'ASS START SYNC'!E75)=0),MID('ASS START SYNC'!E76,B72+1,C72-B72-1),IF(AND('ASS START SYNC'!C76="SHOW",COUNTA('ASS START SYNC'!$E$8:'ASS START SYNC'!E75)&lt;&gt;0),I71,""))</f>
        <v/>
      </c>
      <c r="I72" s="24" t="str">
        <f>IF('ASS START SYNC'!C76="SHOW",MID('ASS START SYNC'!E76,C72+1,D72-C72-1),I71)</f>
        <v/>
      </c>
      <c r="J72" s="23" t="str">
        <f>IF('ASS START SYNC'!C76="SHOW",MID('ASS START SYNC'!E76,D72+1,F72-D72+1),"")</f>
        <v/>
      </c>
      <c r="K72" s="23" t="str">
        <f>IF('ASS START SYNC'!C76="SHOW",MID('ASS START SYNC'!E76,F72+2,1000),"")</f>
        <v/>
      </c>
      <c r="M72" s="24"/>
      <c r="N72" s="26">
        <v>69</v>
      </c>
      <c r="O72" s="24" t="str">
        <f>IF('ASS END SYNC'!C76="SHOW",FIND(",",'ASS END SYNC'!E76,1),"")</f>
        <v/>
      </c>
      <c r="P72" s="24" t="str">
        <f>IF('ASS END SYNC'!C76="SHOW",FIND(",",'ASS END SYNC'!E76,O72+1),"")</f>
        <v/>
      </c>
      <c r="Q72" s="24" t="str">
        <f>IF('ASS END SYNC'!C76="SHOW",FIND(",",'ASS END SYNC'!E76,P72+1),"")</f>
        <v/>
      </c>
      <c r="R72" s="25" t="str">
        <f>IF('ASS END SYNC'!C76="SHOW",FIND(",,",'ASS END SYNC'!E76,1),"")</f>
        <v/>
      </c>
      <c r="S72" s="25" t="str">
        <f>IF('ASS END SYNC'!C76="SHOW",FIND(",,",'ASS END SYNC'!E76,R72+1),"")</f>
        <v/>
      </c>
      <c r="T72" s="23" t="str">
        <f>IF('ASS END SYNC'!C76="SHOW",LEFT('ASS END SYNC'!E76,O72),"")</f>
        <v/>
      </c>
      <c r="U72" s="24" t="str">
        <f>IF('ASS END SYNC'!C76="SHOW",MID('ASS END SYNC'!E76,O72+1,P72-O72-1),"")</f>
        <v/>
      </c>
      <c r="V72" s="24" t="str">
        <f>IF(AND('ASS END SYNC'!C76="SHOW",'ASS END SYNC'!C77="SHOW"),U73,IF(AND('ASS END SYNC'!C76="SHOW",'ASS END SYNC'!C77&lt;&gt;"SHOW"),MID('ASS END SYNC'!E76,O72+1,P72-O72-1),""))</f>
        <v/>
      </c>
      <c r="W72" s="23" t="str">
        <f>IF('ASS END SYNC'!C76="SHOW",MID('ASS END SYNC'!E76,Q72+1,S72-Q72+1),"")</f>
        <v/>
      </c>
      <c r="X72" s="23" t="str">
        <f>IF('ASS END SYNC'!C76="SHOW",MID('ASS END SYNC'!E76,S72+2,1000),"")</f>
        <v/>
      </c>
      <c r="Z72" s="24"/>
    </row>
    <row r="73" spans="1:26" x14ac:dyDescent="0.25">
      <c r="A73" s="26">
        <v>70</v>
      </c>
      <c r="B73" s="24" t="str">
        <f>IF('ASS START SYNC'!C77="SHOW",FIND(",",'ASS START SYNC'!E77,1),"")</f>
        <v/>
      </c>
      <c r="C73" s="24" t="str">
        <f>IF('ASS START SYNC'!C77="SHOW",FIND(",",'ASS START SYNC'!E77,B73+1),"")</f>
        <v/>
      </c>
      <c r="D73" s="24" t="str">
        <f>IF('ASS START SYNC'!C77="SHOW",FIND(",",'ASS START SYNC'!E77,C73+1),"")</f>
        <v/>
      </c>
      <c r="E73" s="25" t="str">
        <f>IF('ASS START SYNC'!C77="SHOW",FIND(",,",'ASS START SYNC'!E77,1),"")</f>
        <v/>
      </c>
      <c r="F73" s="25" t="str">
        <f>IF('ASS START SYNC'!C77="SHOW",FIND(",,",'ASS START SYNC'!E77,E73+1),"")</f>
        <v/>
      </c>
      <c r="G73" s="23" t="str">
        <f>IF('ASS START SYNC'!C77="SHOW",LEFT('ASS START SYNC'!E77,B73),"")</f>
        <v/>
      </c>
      <c r="H73" s="24" t="str">
        <f>IF(AND('ASS START SYNC'!C77="SHOW",COUNTA('ASS START SYNC'!$E$8:'ASS START SYNC'!E76)=0),MID('ASS START SYNC'!E77,B73+1,C73-B73-1),IF(AND('ASS START SYNC'!C77="SHOW",COUNTA('ASS START SYNC'!$E$8:'ASS START SYNC'!E76)&lt;&gt;0),I72,""))</f>
        <v/>
      </c>
      <c r="I73" s="24" t="str">
        <f>IF('ASS START SYNC'!C77="SHOW",MID('ASS START SYNC'!E77,C73+1,D73-C73-1),I72)</f>
        <v/>
      </c>
      <c r="J73" s="23" t="str">
        <f>IF('ASS START SYNC'!C77="SHOW",MID('ASS START SYNC'!E77,D73+1,F73-D73+1),"")</f>
        <v/>
      </c>
      <c r="K73" s="23" t="str">
        <f>IF('ASS START SYNC'!C77="SHOW",MID('ASS START SYNC'!E77,F73+2,1000),"")</f>
        <v/>
      </c>
      <c r="M73" s="24"/>
      <c r="N73" s="26">
        <v>70</v>
      </c>
      <c r="O73" s="24" t="str">
        <f>IF('ASS END SYNC'!C77="SHOW",FIND(",",'ASS END SYNC'!E77,1),"")</f>
        <v/>
      </c>
      <c r="P73" s="24" t="str">
        <f>IF('ASS END SYNC'!C77="SHOW",FIND(",",'ASS END SYNC'!E77,O73+1),"")</f>
        <v/>
      </c>
      <c r="Q73" s="24" t="str">
        <f>IF('ASS END SYNC'!C77="SHOW",FIND(",",'ASS END SYNC'!E77,P73+1),"")</f>
        <v/>
      </c>
      <c r="R73" s="25" t="str">
        <f>IF('ASS END SYNC'!C77="SHOW",FIND(",,",'ASS END SYNC'!E77,1),"")</f>
        <v/>
      </c>
      <c r="S73" s="25" t="str">
        <f>IF('ASS END SYNC'!C77="SHOW",FIND(",,",'ASS END SYNC'!E77,R73+1),"")</f>
        <v/>
      </c>
      <c r="T73" s="23" t="str">
        <f>IF('ASS END SYNC'!C77="SHOW",LEFT('ASS END SYNC'!E77,O73),"")</f>
        <v/>
      </c>
      <c r="U73" s="24" t="str">
        <f>IF('ASS END SYNC'!C77="SHOW",MID('ASS END SYNC'!E77,O73+1,P73-O73-1),"")</f>
        <v/>
      </c>
      <c r="V73" s="24" t="str">
        <f>IF(AND('ASS END SYNC'!C77="SHOW",'ASS END SYNC'!C78="SHOW"),U74,IF(AND('ASS END SYNC'!C77="SHOW",'ASS END SYNC'!C78&lt;&gt;"SHOW"),MID('ASS END SYNC'!E77,O73+1,P73-O73-1),""))</f>
        <v/>
      </c>
      <c r="W73" s="23" t="str">
        <f>IF('ASS END SYNC'!C77="SHOW",MID('ASS END SYNC'!E77,Q73+1,S73-Q73+1),"")</f>
        <v/>
      </c>
      <c r="X73" s="23" t="str">
        <f>IF('ASS END SYNC'!C77="SHOW",MID('ASS END SYNC'!E77,S73+2,1000),"")</f>
        <v/>
      </c>
      <c r="Z73" s="24"/>
    </row>
    <row r="74" spans="1:26" x14ac:dyDescent="0.25">
      <c r="A74" s="26">
        <v>71</v>
      </c>
      <c r="B74" s="24" t="str">
        <f>IF('ASS START SYNC'!C78="SHOW",FIND(",",'ASS START SYNC'!E78,1),"")</f>
        <v/>
      </c>
      <c r="C74" s="24" t="str">
        <f>IF('ASS START SYNC'!C78="SHOW",FIND(",",'ASS START SYNC'!E78,B74+1),"")</f>
        <v/>
      </c>
      <c r="D74" s="24" t="str">
        <f>IF('ASS START SYNC'!C78="SHOW",FIND(",",'ASS START SYNC'!E78,C74+1),"")</f>
        <v/>
      </c>
      <c r="E74" s="25" t="str">
        <f>IF('ASS START SYNC'!C78="SHOW",FIND(",,",'ASS START SYNC'!E78,1),"")</f>
        <v/>
      </c>
      <c r="F74" s="25" t="str">
        <f>IF('ASS START SYNC'!C78="SHOW",FIND(",,",'ASS START SYNC'!E78,E74+1),"")</f>
        <v/>
      </c>
      <c r="G74" s="23" t="str">
        <f>IF('ASS START SYNC'!C78="SHOW",LEFT('ASS START SYNC'!E78,B74),"")</f>
        <v/>
      </c>
      <c r="H74" s="24" t="str">
        <f>IF(AND('ASS START SYNC'!C78="SHOW",COUNTA('ASS START SYNC'!$E$8:'ASS START SYNC'!E77)=0),MID('ASS START SYNC'!E78,B74+1,C74-B74-1),IF(AND('ASS START SYNC'!C78="SHOW",COUNTA('ASS START SYNC'!$E$8:'ASS START SYNC'!E77)&lt;&gt;0),I73,""))</f>
        <v/>
      </c>
      <c r="I74" s="24" t="str">
        <f>IF('ASS START SYNC'!C78="SHOW",MID('ASS START SYNC'!E78,C74+1,D74-C74-1),I73)</f>
        <v/>
      </c>
      <c r="J74" s="23" t="str">
        <f>IF('ASS START SYNC'!C78="SHOW",MID('ASS START SYNC'!E78,D74+1,F74-D74+1),"")</f>
        <v/>
      </c>
      <c r="K74" s="23" t="str">
        <f>IF('ASS START SYNC'!C78="SHOW",MID('ASS START SYNC'!E78,F74+2,1000),"")</f>
        <v/>
      </c>
      <c r="M74" s="24"/>
      <c r="N74" s="26">
        <v>71</v>
      </c>
      <c r="O74" s="24" t="str">
        <f>IF('ASS END SYNC'!C78="SHOW",FIND(",",'ASS END SYNC'!E78,1),"")</f>
        <v/>
      </c>
      <c r="P74" s="24" t="str">
        <f>IF('ASS END SYNC'!C78="SHOW",FIND(",",'ASS END SYNC'!E78,O74+1),"")</f>
        <v/>
      </c>
      <c r="Q74" s="24" t="str">
        <f>IF('ASS END SYNC'!C78="SHOW",FIND(",",'ASS END SYNC'!E78,P74+1),"")</f>
        <v/>
      </c>
      <c r="R74" s="25" t="str">
        <f>IF('ASS END SYNC'!C78="SHOW",FIND(",,",'ASS END SYNC'!E78,1),"")</f>
        <v/>
      </c>
      <c r="S74" s="25" t="str">
        <f>IF('ASS END SYNC'!C78="SHOW",FIND(",,",'ASS END SYNC'!E78,R74+1),"")</f>
        <v/>
      </c>
      <c r="T74" s="23" t="str">
        <f>IF('ASS END SYNC'!C78="SHOW",LEFT('ASS END SYNC'!E78,O74),"")</f>
        <v/>
      </c>
      <c r="U74" s="24" t="str">
        <f>IF('ASS END SYNC'!C78="SHOW",MID('ASS END SYNC'!E78,O74+1,P74-O74-1),"")</f>
        <v/>
      </c>
      <c r="V74" s="24" t="str">
        <f>IF(AND('ASS END SYNC'!C78="SHOW",'ASS END SYNC'!C79="SHOW"),U75,IF(AND('ASS END SYNC'!C78="SHOW",'ASS END SYNC'!C79&lt;&gt;"SHOW"),MID('ASS END SYNC'!E78,O74+1,P74-O74-1),""))</f>
        <v/>
      </c>
      <c r="W74" s="23" t="str">
        <f>IF('ASS END SYNC'!C78="SHOW",MID('ASS END SYNC'!E78,Q74+1,S74-Q74+1),"")</f>
        <v/>
      </c>
      <c r="X74" s="23" t="str">
        <f>IF('ASS END SYNC'!C78="SHOW",MID('ASS END SYNC'!E78,S74+2,1000),"")</f>
        <v/>
      </c>
      <c r="Z74" s="24"/>
    </row>
    <row r="75" spans="1:26" x14ac:dyDescent="0.25">
      <c r="A75" s="26">
        <v>72</v>
      </c>
      <c r="B75" s="24" t="str">
        <f>IF('ASS START SYNC'!C79="SHOW",FIND(",",'ASS START SYNC'!E79,1),"")</f>
        <v/>
      </c>
      <c r="C75" s="24" t="str">
        <f>IF('ASS START SYNC'!C79="SHOW",FIND(",",'ASS START SYNC'!E79,B75+1),"")</f>
        <v/>
      </c>
      <c r="D75" s="24" t="str">
        <f>IF('ASS START SYNC'!C79="SHOW",FIND(",",'ASS START SYNC'!E79,C75+1),"")</f>
        <v/>
      </c>
      <c r="E75" s="25" t="str">
        <f>IF('ASS START SYNC'!C79="SHOW",FIND(",,",'ASS START SYNC'!E79,1),"")</f>
        <v/>
      </c>
      <c r="F75" s="25" t="str">
        <f>IF('ASS START SYNC'!C79="SHOW",FIND(",,",'ASS START SYNC'!E79,E75+1),"")</f>
        <v/>
      </c>
      <c r="G75" s="23" t="str">
        <f>IF('ASS START SYNC'!C79="SHOW",LEFT('ASS START SYNC'!E79,B75),"")</f>
        <v/>
      </c>
      <c r="H75" s="24" t="str">
        <f>IF(AND('ASS START SYNC'!C79="SHOW",COUNTA('ASS START SYNC'!$E$8:'ASS START SYNC'!E78)=0),MID('ASS START SYNC'!E79,B75+1,C75-B75-1),IF(AND('ASS START SYNC'!C79="SHOW",COUNTA('ASS START SYNC'!$E$8:'ASS START SYNC'!E78)&lt;&gt;0),I74,""))</f>
        <v/>
      </c>
      <c r="I75" s="24" t="str">
        <f>IF('ASS START SYNC'!C79="SHOW",MID('ASS START SYNC'!E79,C75+1,D75-C75-1),I74)</f>
        <v/>
      </c>
      <c r="J75" s="23" t="str">
        <f>IF('ASS START SYNC'!C79="SHOW",MID('ASS START SYNC'!E79,D75+1,F75-D75+1),"")</f>
        <v/>
      </c>
      <c r="K75" s="23" t="str">
        <f>IF('ASS START SYNC'!C79="SHOW",MID('ASS START SYNC'!E79,F75+2,1000),"")</f>
        <v/>
      </c>
      <c r="M75" s="24"/>
      <c r="N75" s="26">
        <v>72</v>
      </c>
      <c r="O75" s="24" t="str">
        <f>IF('ASS END SYNC'!C79="SHOW",FIND(",",'ASS END SYNC'!E79,1),"")</f>
        <v/>
      </c>
      <c r="P75" s="24" t="str">
        <f>IF('ASS END SYNC'!C79="SHOW",FIND(",",'ASS END SYNC'!E79,O75+1),"")</f>
        <v/>
      </c>
      <c r="Q75" s="24" t="str">
        <f>IF('ASS END SYNC'!C79="SHOW",FIND(",",'ASS END SYNC'!E79,P75+1),"")</f>
        <v/>
      </c>
      <c r="R75" s="25" t="str">
        <f>IF('ASS END SYNC'!C79="SHOW",FIND(",,",'ASS END SYNC'!E79,1),"")</f>
        <v/>
      </c>
      <c r="S75" s="25" t="str">
        <f>IF('ASS END SYNC'!C79="SHOW",FIND(",,",'ASS END SYNC'!E79,R75+1),"")</f>
        <v/>
      </c>
      <c r="T75" s="23" t="str">
        <f>IF('ASS END SYNC'!C79="SHOW",LEFT('ASS END SYNC'!E79,O75),"")</f>
        <v/>
      </c>
      <c r="U75" s="24" t="str">
        <f>IF('ASS END SYNC'!C79="SHOW",MID('ASS END SYNC'!E79,O75+1,P75-O75-1),"")</f>
        <v/>
      </c>
      <c r="V75" s="24" t="str">
        <f>IF(AND('ASS END SYNC'!C79="SHOW",'ASS END SYNC'!C80="SHOW"),U76,IF(AND('ASS END SYNC'!C79="SHOW",'ASS END SYNC'!C80&lt;&gt;"SHOW"),MID('ASS END SYNC'!E79,O75+1,P75-O75-1),""))</f>
        <v/>
      </c>
      <c r="W75" s="23" t="str">
        <f>IF('ASS END SYNC'!C79="SHOW",MID('ASS END SYNC'!E79,Q75+1,S75-Q75+1),"")</f>
        <v/>
      </c>
      <c r="X75" s="23" t="str">
        <f>IF('ASS END SYNC'!C79="SHOW",MID('ASS END SYNC'!E79,S75+2,1000),"")</f>
        <v/>
      </c>
      <c r="Z75" s="24"/>
    </row>
    <row r="76" spans="1:26" x14ac:dyDescent="0.25">
      <c r="A76" s="26">
        <v>73</v>
      </c>
      <c r="B76" s="24" t="str">
        <f>IF('ASS START SYNC'!C80="SHOW",FIND(",",'ASS START SYNC'!E80,1),"")</f>
        <v/>
      </c>
      <c r="C76" s="24" t="str">
        <f>IF('ASS START SYNC'!C80="SHOW",FIND(",",'ASS START SYNC'!E80,B76+1),"")</f>
        <v/>
      </c>
      <c r="D76" s="24" t="str">
        <f>IF('ASS START SYNC'!C80="SHOW",FIND(",",'ASS START SYNC'!E80,C76+1),"")</f>
        <v/>
      </c>
      <c r="E76" s="25" t="str">
        <f>IF('ASS START SYNC'!C80="SHOW",FIND(",,",'ASS START SYNC'!E80,1),"")</f>
        <v/>
      </c>
      <c r="F76" s="25" t="str">
        <f>IF('ASS START SYNC'!C80="SHOW",FIND(",,",'ASS START SYNC'!E80,E76+1),"")</f>
        <v/>
      </c>
      <c r="G76" s="23" t="str">
        <f>IF('ASS START SYNC'!C80="SHOW",LEFT('ASS START SYNC'!E80,B76),"")</f>
        <v/>
      </c>
      <c r="H76" s="24" t="str">
        <f>IF(AND('ASS START SYNC'!C80="SHOW",COUNTA('ASS START SYNC'!$E$8:'ASS START SYNC'!E79)=0),MID('ASS START SYNC'!E80,B76+1,C76-B76-1),IF(AND('ASS START SYNC'!C80="SHOW",COUNTA('ASS START SYNC'!$E$8:'ASS START SYNC'!E79)&lt;&gt;0),I75,""))</f>
        <v/>
      </c>
      <c r="I76" s="24" t="str">
        <f>IF('ASS START SYNC'!C80="SHOW",MID('ASS START SYNC'!E80,C76+1,D76-C76-1),I75)</f>
        <v/>
      </c>
      <c r="J76" s="23" t="str">
        <f>IF('ASS START SYNC'!C80="SHOW",MID('ASS START SYNC'!E80,D76+1,F76-D76+1),"")</f>
        <v/>
      </c>
      <c r="K76" s="23" t="str">
        <f>IF('ASS START SYNC'!C80="SHOW",MID('ASS START SYNC'!E80,F76+2,1000),"")</f>
        <v/>
      </c>
      <c r="M76" s="24"/>
      <c r="N76" s="26">
        <v>73</v>
      </c>
      <c r="O76" s="24" t="str">
        <f>IF('ASS END SYNC'!C80="SHOW",FIND(",",'ASS END SYNC'!E80,1),"")</f>
        <v/>
      </c>
      <c r="P76" s="24" t="str">
        <f>IF('ASS END SYNC'!C80="SHOW",FIND(",",'ASS END SYNC'!E80,O76+1),"")</f>
        <v/>
      </c>
      <c r="Q76" s="24" t="str">
        <f>IF('ASS END SYNC'!C80="SHOW",FIND(",",'ASS END SYNC'!E80,P76+1),"")</f>
        <v/>
      </c>
      <c r="R76" s="25" t="str">
        <f>IF('ASS END SYNC'!C80="SHOW",FIND(",,",'ASS END SYNC'!E80,1),"")</f>
        <v/>
      </c>
      <c r="S76" s="25" t="str">
        <f>IF('ASS END SYNC'!C80="SHOW",FIND(",,",'ASS END SYNC'!E80,R76+1),"")</f>
        <v/>
      </c>
      <c r="T76" s="23" t="str">
        <f>IF('ASS END SYNC'!C80="SHOW",LEFT('ASS END SYNC'!E80,O76),"")</f>
        <v/>
      </c>
      <c r="U76" s="24" t="str">
        <f>IF('ASS END SYNC'!C80="SHOW",MID('ASS END SYNC'!E80,O76+1,P76-O76-1),"")</f>
        <v/>
      </c>
      <c r="V76" s="24" t="str">
        <f>IF(AND('ASS END SYNC'!C80="SHOW",'ASS END SYNC'!C81="SHOW"),U77,IF(AND('ASS END SYNC'!C80="SHOW",'ASS END SYNC'!C81&lt;&gt;"SHOW"),MID('ASS END SYNC'!E80,O76+1,P76-O76-1),""))</f>
        <v/>
      </c>
      <c r="W76" s="23" t="str">
        <f>IF('ASS END SYNC'!C80="SHOW",MID('ASS END SYNC'!E80,Q76+1,S76-Q76+1),"")</f>
        <v/>
      </c>
      <c r="X76" s="23" t="str">
        <f>IF('ASS END SYNC'!C80="SHOW",MID('ASS END SYNC'!E80,S76+2,1000),"")</f>
        <v/>
      </c>
      <c r="Z76" s="24"/>
    </row>
    <row r="77" spans="1:26" x14ac:dyDescent="0.25">
      <c r="A77" s="26">
        <v>74</v>
      </c>
      <c r="B77" s="24" t="str">
        <f>IF('ASS START SYNC'!C81="SHOW",FIND(",",'ASS START SYNC'!E81,1),"")</f>
        <v/>
      </c>
      <c r="C77" s="24" t="str">
        <f>IF('ASS START SYNC'!C81="SHOW",FIND(",",'ASS START SYNC'!E81,B77+1),"")</f>
        <v/>
      </c>
      <c r="D77" s="24" t="str">
        <f>IF('ASS START SYNC'!C81="SHOW",FIND(",",'ASS START SYNC'!E81,C77+1),"")</f>
        <v/>
      </c>
      <c r="E77" s="25" t="str">
        <f>IF('ASS START SYNC'!C81="SHOW",FIND(",,",'ASS START SYNC'!E81,1),"")</f>
        <v/>
      </c>
      <c r="F77" s="25" t="str">
        <f>IF('ASS START SYNC'!C81="SHOW",FIND(",,",'ASS START SYNC'!E81,E77+1),"")</f>
        <v/>
      </c>
      <c r="G77" s="23" t="str">
        <f>IF('ASS START SYNC'!C81="SHOW",LEFT('ASS START SYNC'!E81,B77),"")</f>
        <v/>
      </c>
      <c r="H77" s="24" t="str">
        <f>IF(AND('ASS START SYNC'!C81="SHOW",COUNTA('ASS START SYNC'!$E$8:'ASS START SYNC'!E80)=0),MID('ASS START SYNC'!E81,B77+1,C77-B77-1),IF(AND('ASS START SYNC'!C81="SHOW",COUNTA('ASS START SYNC'!$E$8:'ASS START SYNC'!E80)&lt;&gt;0),I76,""))</f>
        <v/>
      </c>
      <c r="I77" s="24" t="str">
        <f>IF('ASS START SYNC'!C81="SHOW",MID('ASS START SYNC'!E81,C77+1,D77-C77-1),I76)</f>
        <v/>
      </c>
      <c r="J77" s="23" t="str">
        <f>IF('ASS START SYNC'!C81="SHOW",MID('ASS START SYNC'!E81,D77+1,F77-D77+1),"")</f>
        <v/>
      </c>
      <c r="K77" s="23" t="str">
        <f>IF('ASS START SYNC'!C81="SHOW",MID('ASS START SYNC'!E81,F77+2,1000),"")</f>
        <v/>
      </c>
      <c r="M77" s="24"/>
      <c r="N77" s="26">
        <v>74</v>
      </c>
      <c r="O77" s="24" t="str">
        <f>IF('ASS END SYNC'!C81="SHOW",FIND(",",'ASS END SYNC'!E81,1),"")</f>
        <v/>
      </c>
      <c r="P77" s="24" t="str">
        <f>IF('ASS END SYNC'!C81="SHOW",FIND(",",'ASS END SYNC'!E81,O77+1),"")</f>
        <v/>
      </c>
      <c r="Q77" s="24" t="str">
        <f>IF('ASS END SYNC'!C81="SHOW",FIND(",",'ASS END SYNC'!E81,P77+1),"")</f>
        <v/>
      </c>
      <c r="R77" s="25" t="str">
        <f>IF('ASS END SYNC'!C81="SHOW",FIND(",,",'ASS END SYNC'!E81,1),"")</f>
        <v/>
      </c>
      <c r="S77" s="25" t="str">
        <f>IF('ASS END SYNC'!C81="SHOW",FIND(",,",'ASS END SYNC'!E81,R77+1),"")</f>
        <v/>
      </c>
      <c r="T77" s="23" t="str">
        <f>IF('ASS END SYNC'!C81="SHOW",LEFT('ASS END SYNC'!E81,O77),"")</f>
        <v/>
      </c>
      <c r="U77" s="24" t="str">
        <f>IF('ASS END SYNC'!C81="SHOW",MID('ASS END SYNC'!E81,O77+1,P77-O77-1),"")</f>
        <v/>
      </c>
      <c r="V77" s="24" t="str">
        <f>IF(AND('ASS END SYNC'!C81="SHOW",'ASS END SYNC'!C82="SHOW"),U78,IF(AND('ASS END SYNC'!C81="SHOW",'ASS END SYNC'!C82&lt;&gt;"SHOW"),MID('ASS END SYNC'!E81,O77+1,P77-O77-1),""))</f>
        <v/>
      </c>
      <c r="W77" s="23" t="str">
        <f>IF('ASS END SYNC'!C81="SHOW",MID('ASS END SYNC'!E81,Q77+1,S77-Q77+1),"")</f>
        <v/>
      </c>
      <c r="X77" s="23" t="str">
        <f>IF('ASS END SYNC'!C81="SHOW",MID('ASS END SYNC'!E81,S77+2,1000),"")</f>
        <v/>
      </c>
      <c r="Z77" s="24"/>
    </row>
    <row r="78" spans="1:26" x14ac:dyDescent="0.25">
      <c r="A78" s="26">
        <v>75</v>
      </c>
      <c r="B78" s="24" t="str">
        <f>IF('ASS START SYNC'!C82="SHOW",FIND(",",'ASS START SYNC'!E82,1),"")</f>
        <v/>
      </c>
      <c r="C78" s="24" t="str">
        <f>IF('ASS START SYNC'!C82="SHOW",FIND(",",'ASS START SYNC'!E82,B78+1),"")</f>
        <v/>
      </c>
      <c r="D78" s="24" t="str">
        <f>IF('ASS START SYNC'!C82="SHOW",FIND(",",'ASS START SYNC'!E82,C78+1),"")</f>
        <v/>
      </c>
      <c r="E78" s="25" t="str">
        <f>IF('ASS START SYNC'!C82="SHOW",FIND(",,",'ASS START SYNC'!E82,1),"")</f>
        <v/>
      </c>
      <c r="F78" s="25" t="str">
        <f>IF('ASS START SYNC'!C82="SHOW",FIND(",,",'ASS START SYNC'!E82,E78+1),"")</f>
        <v/>
      </c>
      <c r="G78" s="23" t="str">
        <f>IF('ASS START SYNC'!C82="SHOW",LEFT('ASS START SYNC'!E82,B78),"")</f>
        <v/>
      </c>
      <c r="H78" s="24" t="str">
        <f>IF(AND('ASS START SYNC'!C82="SHOW",COUNTA('ASS START SYNC'!$E$8:'ASS START SYNC'!E81)=0),MID('ASS START SYNC'!E82,B78+1,C78-B78-1),IF(AND('ASS START SYNC'!C82="SHOW",COUNTA('ASS START SYNC'!$E$8:'ASS START SYNC'!E81)&lt;&gt;0),I77,""))</f>
        <v/>
      </c>
      <c r="I78" s="24" t="str">
        <f>IF('ASS START SYNC'!C82="SHOW",MID('ASS START SYNC'!E82,C78+1,D78-C78-1),I77)</f>
        <v/>
      </c>
      <c r="J78" s="23" t="str">
        <f>IF('ASS START SYNC'!C82="SHOW",MID('ASS START SYNC'!E82,D78+1,F78-D78+1),"")</f>
        <v/>
      </c>
      <c r="K78" s="23" t="str">
        <f>IF('ASS START SYNC'!C82="SHOW",MID('ASS START SYNC'!E82,F78+2,1000),"")</f>
        <v/>
      </c>
      <c r="M78" s="24"/>
      <c r="N78" s="26">
        <v>75</v>
      </c>
      <c r="O78" s="24" t="str">
        <f>IF('ASS END SYNC'!C82="SHOW",FIND(",",'ASS END SYNC'!E82,1),"")</f>
        <v/>
      </c>
      <c r="P78" s="24" t="str">
        <f>IF('ASS END SYNC'!C82="SHOW",FIND(",",'ASS END SYNC'!E82,O78+1),"")</f>
        <v/>
      </c>
      <c r="Q78" s="24" t="str">
        <f>IF('ASS END SYNC'!C82="SHOW",FIND(",",'ASS END SYNC'!E82,P78+1),"")</f>
        <v/>
      </c>
      <c r="R78" s="25" t="str">
        <f>IF('ASS END SYNC'!C82="SHOW",FIND(",,",'ASS END SYNC'!E82,1),"")</f>
        <v/>
      </c>
      <c r="S78" s="25" t="str">
        <f>IF('ASS END SYNC'!C82="SHOW",FIND(",,",'ASS END SYNC'!E82,R78+1),"")</f>
        <v/>
      </c>
      <c r="T78" s="23" t="str">
        <f>IF('ASS END SYNC'!C82="SHOW",LEFT('ASS END SYNC'!E82,O78),"")</f>
        <v/>
      </c>
      <c r="U78" s="24" t="str">
        <f>IF('ASS END SYNC'!C82="SHOW",MID('ASS END SYNC'!E82,O78+1,P78-O78-1),"")</f>
        <v/>
      </c>
      <c r="V78" s="24" t="str">
        <f>IF(AND('ASS END SYNC'!C82="SHOW",'ASS END SYNC'!C83="SHOW"),U79,IF(AND('ASS END SYNC'!C82="SHOW",'ASS END SYNC'!C83&lt;&gt;"SHOW"),MID('ASS END SYNC'!E82,O78+1,P78-O78-1),""))</f>
        <v/>
      </c>
      <c r="W78" s="23" t="str">
        <f>IF('ASS END SYNC'!C82="SHOW",MID('ASS END SYNC'!E82,Q78+1,S78-Q78+1),"")</f>
        <v/>
      </c>
      <c r="X78" s="23" t="str">
        <f>IF('ASS END SYNC'!C82="SHOW",MID('ASS END SYNC'!E82,S78+2,1000),"")</f>
        <v/>
      </c>
      <c r="Z78" s="24"/>
    </row>
    <row r="79" spans="1:26" x14ac:dyDescent="0.25">
      <c r="A79" s="26">
        <v>76</v>
      </c>
      <c r="B79" s="24" t="str">
        <f>IF('ASS START SYNC'!C83="SHOW",FIND(",",'ASS START SYNC'!E83,1),"")</f>
        <v/>
      </c>
      <c r="C79" s="24" t="str">
        <f>IF('ASS START SYNC'!C83="SHOW",FIND(",",'ASS START SYNC'!E83,B79+1),"")</f>
        <v/>
      </c>
      <c r="D79" s="24" t="str">
        <f>IF('ASS START SYNC'!C83="SHOW",FIND(",",'ASS START SYNC'!E83,C79+1),"")</f>
        <v/>
      </c>
      <c r="E79" s="25" t="str">
        <f>IF('ASS START SYNC'!C83="SHOW",FIND(",,",'ASS START SYNC'!E83,1),"")</f>
        <v/>
      </c>
      <c r="F79" s="25" t="str">
        <f>IF('ASS START SYNC'!C83="SHOW",FIND(",,",'ASS START SYNC'!E83,E79+1),"")</f>
        <v/>
      </c>
      <c r="G79" s="23" t="str">
        <f>IF('ASS START SYNC'!C83="SHOW",LEFT('ASS START SYNC'!E83,B79),"")</f>
        <v/>
      </c>
      <c r="H79" s="24" t="str">
        <f>IF(AND('ASS START SYNC'!C83="SHOW",COUNTA('ASS START SYNC'!$E$8:'ASS START SYNC'!E82)=0),MID('ASS START SYNC'!E83,B79+1,C79-B79-1),IF(AND('ASS START SYNC'!C83="SHOW",COUNTA('ASS START SYNC'!$E$8:'ASS START SYNC'!E82)&lt;&gt;0),I78,""))</f>
        <v/>
      </c>
      <c r="I79" s="24" t="str">
        <f>IF('ASS START SYNC'!C83="SHOW",MID('ASS START SYNC'!E83,C79+1,D79-C79-1),I78)</f>
        <v/>
      </c>
      <c r="J79" s="23" t="str">
        <f>IF('ASS START SYNC'!C83="SHOW",MID('ASS START SYNC'!E83,D79+1,F79-D79+1),"")</f>
        <v/>
      </c>
      <c r="K79" s="23" t="str">
        <f>IF('ASS START SYNC'!C83="SHOW",MID('ASS START SYNC'!E83,F79+2,1000),"")</f>
        <v/>
      </c>
      <c r="M79" s="24"/>
      <c r="N79" s="26">
        <v>76</v>
      </c>
      <c r="O79" s="24" t="str">
        <f>IF('ASS END SYNC'!C83="SHOW",FIND(",",'ASS END SYNC'!E83,1),"")</f>
        <v/>
      </c>
      <c r="P79" s="24" t="str">
        <f>IF('ASS END SYNC'!C83="SHOW",FIND(",",'ASS END SYNC'!E83,O79+1),"")</f>
        <v/>
      </c>
      <c r="Q79" s="24" t="str">
        <f>IF('ASS END SYNC'!C83="SHOW",FIND(",",'ASS END SYNC'!E83,P79+1),"")</f>
        <v/>
      </c>
      <c r="R79" s="25" t="str">
        <f>IF('ASS END SYNC'!C83="SHOW",FIND(",,",'ASS END SYNC'!E83,1),"")</f>
        <v/>
      </c>
      <c r="S79" s="25" t="str">
        <f>IF('ASS END SYNC'!C83="SHOW",FIND(",,",'ASS END SYNC'!E83,R79+1),"")</f>
        <v/>
      </c>
      <c r="T79" s="23" t="str">
        <f>IF('ASS END SYNC'!C83="SHOW",LEFT('ASS END SYNC'!E83,O79),"")</f>
        <v/>
      </c>
      <c r="U79" s="24" t="str">
        <f>IF('ASS END SYNC'!C83="SHOW",MID('ASS END SYNC'!E83,O79+1,P79-O79-1),"")</f>
        <v/>
      </c>
      <c r="V79" s="24" t="str">
        <f>IF(AND('ASS END SYNC'!C83="SHOW",'ASS END SYNC'!C84="SHOW"),U80,IF(AND('ASS END SYNC'!C83="SHOW",'ASS END SYNC'!C84&lt;&gt;"SHOW"),MID('ASS END SYNC'!E83,O79+1,P79-O79-1),""))</f>
        <v/>
      </c>
      <c r="W79" s="23" t="str">
        <f>IF('ASS END SYNC'!C83="SHOW",MID('ASS END SYNC'!E83,Q79+1,S79-Q79+1),"")</f>
        <v/>
      </c>
      <c r="X79" s="23" t="str">
        <f>IF('ASS END SYNC'!C83="SHOW",MID('ASS END SYNC'!E83,S79+2,1000),"")</f>
        <v/>
      </c>
      <c r="Z79" s="24"/>
    </row>
    <row r="80" spans="1:26" x14ac:dyDescent="0.25">
      <c r="A80" s="26">
        <v>77</v>
      </c>
      <c r="B80" s="24" t="str">
        <f>IF('ASS START SYNC'!C84="SHOW",FIND(",",'ASS START SYNC'!E84,1),"")</f>
        <v/>
      </c>
      <c r="C80" s="24" t="str">
        <f>IF('ASS START SYNC'!C84="SHOW",FIND(",",'ASS START SYNC'!E84,B80+1),"")</f>
        <v/>
      </c>
      <c r="D80" s="24" t="str">
        <f>IF('ASS START SYNC'!C84="SHOW",FIND(",",'ASS START SYNC'!E84,C80+1),"")</f>
        <v/>
      </c>
      <c r="E80" s="25" t="str">
        <f>IF('ASS START SYNC'!C84="SHOW",FIND(",,",'ASS START SYNC'!E84,1),"")</f>
        <v/>
      </c>
      <c r="F80" s="25" t="str">
        <f>IF('ASS START SYNC'!C84="SHOW",FIND(",,",'ASS START SYNC'!E84,E80+1),"")</f>
        <v/>
      </c>
      <c r="G80" s="23" t="str">
        <f>IF('ASS START SYNC'!C84="SHOW",LEFT('ASS START SYNC'!E84,B80),"")</f>
        <v/>
      </c>
      <c r="H80" s="24" t="str">
        <f>IF(AND('ASS START SYNC'!C84="SHOW",COUNTA('ASS START SYNC'!$E$8:'ASS START SYNC'!E83)=0),MID('ASS START SYNC'!E84,B80+1,C80-B80-1),IF(AND('ASS START SYNC'!C84="SHOW",COUNTA('ASS START SYNC'!$E$8:'ASS START SYNC'!E83)&lt;&gt;0),I79,""))</f>
        <v/>
      </c>
      <c r="I80" s="24" t="str">
        <f>IF('ASS START SYNC'!C84="SHOW",MID('ASS START SYNC'!E84,C80+1,D80-C80-1),I79)</f>
        <v/>
      </c>
      <c r="J80" s="23" t="str">
        <f>IF('ASS START SYNC'!C84="SHOW",MID('ASS START SYNC'!E84,D80+1,F80-D80+1),"")</f>
        <v/>
      </c>
      <c r="K80" s="23" t="str">
        <f>IF('ASS START SYNC'!C84="SHOW",MID('ASS START SYNC'!E84,F80+2,1000),"")</f>
        <v/>
      </c>
      <c r="M80" s="24"/>
      <c r="N80" s="26">
        <v>77</v>
      </c>
      <c r="O80" s="24" t="str">
        <f>IF('ASS END SYNC'!C84="SHOW",FIND(",",'ASS END SYNC'!E84,1),"")</f>
        <v/>
      </c>
      <c r="P80" s="24" t="str">
        <f>IF('ASS END SYNC'!C84="SHOW",FIND(",",'ASS END SYNC'!E84,O80+1),"")</f>
        <v/>
      </c>
      <c r="Q80" s="24" t="str">
        <f>IF('ASS END SYNC'!C84="SHOW",FIND(",",'ASS END SYNC'!E84,P80+1),"")</f>
        <v/>
      </c>
      <c r="R80" s="25" t="str">
        <f>IF('ASS END SYNC'!C84="SHOW",FIND(",,",'ASS END SYNC'!E84,1),"")</f>
        <v/>
      </c>
      <c r="S80" s="25" t="str">
        <f>IF('ASS END SYNC'!C84="SHOW",FIND(",,",'ASS END SYNC'!E84,R80+1),"")</f>
        <v/>
      </c>
      <c r="T80" s="23" t="str">
        <f>IF('ASS END SYNC'!C84="SHOW",LEFT('ASS END SYNC'!E84,O80),"")</f>
        <v/>
      </c>
      <c r="U80" s="24" t="str">
        <f>IF('ASS END SYNC'!C84="SHOW",MID('ASS END SYNC'!E84,O80+1,P80-O80-1),"")</f>
        <v/>
      </c>
      <c r="V80" s="24" t="str">
        <f>IF(AND('ASS END SYNC'!C84="SHOW",'ASS END SYNC'!C85="SHOW"),U81,IF(AND('ASS END SYNC'!C84="SHOW",'ASS END SYNC'!C85&lt;&gt;"SHOW"),MID('ASS END SYNC'!E84,O80+1,P80-O80-1),""))</f>
        <v/>
      </c>
      <c r="W80" s="23" t="str">
        <f>IF('ASS END SYNC'!C84="SHOW",MID('ASS END SYNC'!E84,Q80+1,S80-Q80+1),"")</f>
        <v/>
      </c>
      <c r="X80" s="23" t="str">
        <f>IF('ASS END SYNC'!C84="SHOW",MID('ASS END SYNC'!E84,S80+2,1000),"")</f>
        <v/>
      </c>
      <c r="Z80" s="24"/>
    </row>
    <row r="81" spans="1:26" x14ac:dyDescent="0.25">
      <c r="A81" s="26">
        <v>78</v>
      </c>
      <c r="B81" s="24" t="str">
        <f>IF('ASS START SYNC'!C85="SHOW",FIND(",",'ASS START SYNC'!E85,1),"")</f>
        <v/>
      </c>
      <c r="C81" s="24" t="str">
        <f>IF('ASS START SYNC'!C85="SHOW",FIND(",",'ASS START SYNC'!E85,B81+1),"")</f>
        <v/>
      </c>
      <c r="D81" s="24" t="str">
        <f>IF('ASS START SYNC'!C85="SHOW",FIND(",",'ASS START SYNC'!E85,C81+1),"")</f>
        <v/>
      </c>
      <c r="E81" s="25" t="str">
        <f>IF('ASS START SYNC'!C85="SHOW",FIND(",,",'ASS START SYNC'!E85,1),"")</f>
        <v/>
      </c>
      <c r="F81" s="25" t="str">
        <f>IF('ASS START SYNC'!C85="SHOW",FIND(",,",'ASS START SYNC'!E85,E81+1),"")</f>
        <v/>
      </c>
      <c r="G81" s="23" t="str">
        <f>IF('ASS START SYNC'!C85="SHOW",LEFT('ASS START SYNC'!E85,B81),"")</f>
        <v/>
      </c>
      <c r="H81" s="24" t="str">
        <f>IF(AND('ASS START SYNC'!C85="SHOW",COUNTA('ASS START SYNC'!$E$8:'ASS START SYNC'!E84)=0),MID('ASS START SYNC'!E85,B81+1,C81-B81-1),IF(AND('ASS START SYNC'!C85="SHOW",COUNTA('ASS START SYNC'!$E$8:'ASS START SYNC'!E84)&lt;&gt;0),I80,""))</f>
        <v/>
      </c>
      <c r="I81" s="24" t="str">
        <f>IF('ASS START SYNC'!C85="SHOW",MID('ASS START SYNC'!E85,C81+1,D81-C81-1),I80)</f>
        <v/>
      </c>
      <c r="J81" s="23" t="str">
        <f>IF('ASS START SYNC'!C85="SHOW",MID('ASS START SYNC'!E85,D81+1,F81-D81+1),"")</f>
        <v/>
      </c>
      <c r="K81" s="23" t="str">
        <f>IF('ASS START SYNC'!C85="SHOW",MID('ASS START SYNC'!E85,F81+2,1000),"")</f>
        <v/>
      </c>
      <c r="M81" s="24"/>
      <c r="N81" s="26">
        <v>78</v>
      </c>
      <c r="O81" s="24" t="str">
        <f>IF('ASS END SYNC'!C85="SHOW",FIND(",",'ASS END SYNC'!E85,1),"")</f>
        <v/>
      </c>
      <c r="P81" s="24" t="str">
        <f>IF('ASS END SYNC'!C85="SHOW",FIND(",",'ASS END SYNC'!E85,O81+1),"")</f>
        <v/>
      </c>
      <c r="Q81" s="24" t="str">
        <f>IF('ASS END SYNC'!C85="SHOW",FIND(",",'ASS END SYNC'!E85,P81+1),"")</f>
        <v/>
      </c>
      <c r="R81" s="25" t="str">
        <f>IF('ASS END SYNC'!C85="SHOW",FIND(",,",'ASS END SYNC'!E85,1),"")</f>
        <v/>
      </c>
      <c r="S81" s="25" t="str">
        <f>IF('ASS END SYNC'!C85="SHOW",FIND(",,",'ASS END SYNC'!E85,R81+1),"")</f>
        <v/>
      </c>
      <c r="T81" s="23" t="str">
        <f>IF('ASS END SYNC'!C85="SHOW",LEFT('ASS END SYNC'!E85,O81),"")</f>
        <v/>
      </c>
      <c r="U81" s="24" t="str">
        <f>IF('ASS END SYNC'!C85="SHOW",MID('ASS END SYNC'!E85,O81+1,P81-O81-1),"")</f>
        <v/>
      </c>
      <c r="V81" s="24" t="str">
        <f>IF(AND('ASS END SYNC'!C85="SHOW",'ASS END SYNC'!C86="SHOW"),U82,IF(AND('ASS END SYNC'!C85="SHOW",'ASS END SYNC'!C86&lt;&gt;"SHOW"),MID('ASS END SYNC'!E85,O81+1,P81-O81-1),""))</f>
        <v/>
      </c>
      <c r="W81" s="23" t="str">
        <f>IF('ASS END SYNC'!C85="SHOW",MID('ASS END SYNC'!E85,Q81+1,S81-Q81+1),"")</f>
        <v/>
      </c>
      <c r="X81" s="23" t="str">
        <f>IF('ASS END SYNC'!C85="SHOW",MID('ASS END SYNC'!E85,S81+2,1000),"")</f>
        <v/>
      </c>
      <c r="Z81" s="24"/>
    </row>
    <row r="82" spans="1:26" x14ac:dyDescent="0.25">
      <c r="A82" s="26">
        <v>79</v>
      </c>
      <c r="B82" s="24" t="str">
        <f>IF('ASS START SYNC'!C86="SHOW",FIND(",",'ASS START SYNC'!E86,1),"")</f>
        <v/>
      </c>
      <c r="C82" s="24" t="str">
        <f>IF('ASS START SYNC'!C86="SHOW",FIND(",",'ASS START SYNC'!E86,B82+1),"")</f>
        <v/>
      </c>
      <c r="D82" s="24" t="str">
        <f>IF('ASS START SYNC'!C86="SHOW",FIND(",",'ASS START SYNC'!E86,C82+1),"")</f>
        <v/>
      </c>
      <c r="E82" s="25" t="str">
        <f>IF('ASS START SYNC'!C86="SHOW",FIND(",,",'ASS START SYNC'!E86,1),"")</f>
        <v/>
      </c>
      <c r="F82" s="25" t="str">
        <f>IF('ASS START SYNC'!C86="SHOW",FIND(",,",'ASS START SYNC'!E86,E82+1),"")</f>
        <v/>
      </c>
      <c r="G82" s="23" t="str">
        <f>IF('ASS START SYNC'!C86="SHOW",LEFT('ASS START SYNC'!E86,B82),"")</f>
        <v/>
      </c>
      <c r="H82" s="24" t="str">
        <f>IF(AND('ASS START SYNC'!C86="SHOW",COUNTA('ASS START SYNC'!$E$8:'ASS START SYNC'!E85)=0),MID('ASS START SYNC'!E86,B82+1,C82-B82-1),IF(AND('ASS START SYNC'!C86="SHOW",COUNTA('ASS START SYNC'!$E$8:'ASS START SYNC'!E85)&lt;&gt;0),I81,""))</f>
        <v/>
      </c>
      <c r="I82" s="24" t="str">
        <f>IF('ASS START SYNC'!C86="SHOW",MID('ASS START SYNC'!E86,C82+1,D82-C82-1),I81)</f>
        <v/>
      </c>
      <c r="J82" s="23" t="str">
        <f>IF('ASS START SYNC'!C86="SHOW",MID('ASS START SYNC'!E86,D82+1,F82-D82+1),"")</f>
        <v/>
      </c>
      <c r="K82" s="23" t="str">
        <f>IF('ASS START SYNC'!C86="SHOW",MID('ASS START SYNC'!E86,F82+2,1000),"")</f>
        <v/>
      </c>
      <c r="M82" s="24"/>
      <c r="N82" s="26">
        <v>79</v>
      </c>
      <c r="O82" s="24" t="str">
        <f>IF('ASS END SYNC'!C86="SHOW",FIND(",",'ASS END SYNC'!E86,1),"")</f>
        <v/>
      </c>
      <c r="P82" s="24" t="str">
        <f>IF('ASS END SYNC'!C86="SHOW",FIND(",",'ASS END SYNC'!E86,O82+1),"")</f>
        <v/>
      </c>
      <c r="Q82" s="24" t="str">
        <f>IF('ASS END SYNC'!C86="SHOW",FIND(",",'ASS END SYNC'!E86,P82+1),"")</f>
        <v/>
      </c>
      <c r="R82" s="25" t="str">
        <f>IF('ASS END SYNC'!C86="SHOW",FIND(",,",'ASS END SYNC'!E86,1),"")</f>
        <v/>
      </c>
      <c r="S82" s="25" t="str">
        <f>IF('ASS END SYNC'!C86="SHOW",FIND(",,",'ASS END SYNC'!E86,R82+1),"")</f>
        <v/>
      </c>
      <c r="T82" s="23" t="str">
        <f>IF('ASS END SYNC'!C86="SHOW",LEFT('ASS END SYNC'!E86,O82),"")</f>
        <v/>
      </c>
      <c r="U82" s="24" t="str">
        <f>IF('ASS END SYNC'!C86="SHOW",MID('ASS END SYNC'!E86,O82+1,P82-O82-1),"")</f>
        <v/>
      </c>
      <c r="V82" s="24" t="str">
        <f>IF(AND('ASS END SYNC'!C86="SHOW",'ASS END SYNC'!C87="SHOW"),U83,IF(AND('ASS END SYNC'!C86="SHOW",'ASS END SYNC'!C87&lt;&gt;"SHOW"),MID('ASS END SYNC'!E86,O82+1,P82-O82-1),""))</f>
        <v/>
      </c>
      <c r="W82" s="23" t="str">
        <f>IF('ASS END SYNC'!C86="SHOW",MID('ASS END SYNC'!E86,Q82+1,S82-Q82+1),"")</f>
        <v/>
      </c>
      <c r="X82" s="23" t="str">
        <f>IF('ASS END SYNC'!C86="SHOW",MID('ASS END SYNC'!E86,S82+2,1000),"")</f>
        <v/>
      </c>
      <c r="Z82" s="24"/>
    </row>
    <row r="83" spans="1:26" x14ac:dyDescent="0.25">
      <c r="A83" s="26">
        <v>80</v>
      </c>
      <c r="B83" s="24" t="str">
        <f>IF('ASS START SYNC'!C87="SHOW",FIND(",",'ASS START SYNC'!E87,1),"")</f>
        <v/>
      </c>
      <c r="C83" s="24" t="str">
        <f>IF('ASS START SYNC'!C87="SHOW",FIND(",",'ASS START SYNC'!E87,B83+1),"")</f>
        <v/>
      </c>
      <c r="D83" s="24" t="str">
        <f>IF('ASS START SYNC'!C87="SHOW",FIND(",",'ASS START SYNC'!E87,C83+1),"")</f>
        <v/>
      </c>
      <c r="E83" s="25" t="str">
        <f>IF('ASS START SYNC'!C87="SHOW",FIND(",,",'ASS START SYNC'!E87,1),"")</f>
        <v/>
      </c>
      <c r="F83" s="25" t="str">
        <f>IF('ASS START SYNC'!C87="SHOW",FIND(",,",'ASS START SYNC'!E87,E83+1),"")</f>
        <v/>
      </c>
      <c r="G83" s="23" t="str">
        <f>IF('ASS START SYNC'!C87="SHOW",LEFT('ASS START SYNC'!E87,B83),"")</f>
        <v/>
      </c>
      <c r="H83" s="24" t="str">
        <f>IF(AND('ASS START SYNC'!C87="SHOW",COUNTA('ASS START SYNC'!$E$8:'ASS START SYNC'!E86)=0),MID('ASS START SYNC'!E87,B83+1,C83-B83-1),IF(AND('ASS START SYNC'!C87="SHOW",COUNTA('ASS START SYNC'!$E$8:'ASS START SYNC'!E86)&lt;&gt;0),I82,""))</f>
        <v/>
      </c>
      <c r="I83" s="24" t="str">
        <f>IF('ASS START SYNC'!C87="SHOW",MID('ASS START SYNC'!E87,C83+1,D83-C83-1),I82)</f>
        <v/>
      </c>
      <c r="J83" s="23" t="str">
        <f>IF('ASS START SYNC'!C87="SHOW",MID('ASS START SYNC'!E87,D83+1,F83-D83+1),"")</f>
        <v/>
      </c>
      <c r="K83" s="23" t="str">
        <f>IF('ASS START SYNC'!C87="SHOW",MID('ASS START SYNC'!E87,F83+2,1000),"")</f>
        <v/>
      </c>
      <c r="M83" s="24"/>
      <c r="N83" s="26">
        <v>80</v>
      </c>
      <c r="O83" s="24" t="str">
        <f>IF('ASS END SYNC'!C87="SHOW",FIND(",",'ASS END SYNC'!E87,1),"")</f>
        <v/>
      </c>
      <c r="P83" s="24" t="str">
        <f>IF('ASS END SYNC'!C87="SHOW",FIND(",",'ASS END SYNC'!E87,O83+1),"")</f>
        <v/>
      </c>
      <c r="Q83" s="24" t="str">
        <f>IF('ASS END SYNC'!C87="SHOW",FIND(",",'ASS END SYNC'!E87,P83+1),"")</f>
        <v/>
      </c>
      <c r="R83" s="25" t="str">
        <f>IF('ASS END SYNC'!C87="SHOW",FIND(",,",'ASS END SYNC'!E87,1),"")</f>
        <v/>
      </c>
      <c r="S83" s="25" t="str">
        <f>IF('ASS END SYNC'!C87="SHOW",FIND(",,",'ASS END SYNC'!E87,R83+1),"")</f>
        <v/>
      </c>
      <c r="T83" s="23" t="str">
        <f>IF('ASS END SYNC'!C87="SHOW",LEFT('ASS END SYNC'!E87,O83),"")</f>
        <v/>
      </c>
      <c r="U83" s="24" t="str">
        <f>IF('ASS END SYNC'!C87="SHOW",MID('ASS END SYNC'!E87,O83+1,P83-O83-1),"")</f>
        <v/>
      </c>
      <c r="V83" s="24" t="str">
        <f>IF(AND('ASS END SYNC'!C87="SHOW",'ASS END SYNC'!C88="SHOW"),U84,IF(AND('ASS END SYNC'!C87="SHOW",'ASS END SYNC'!C88&lt;&gt;"SHOW"),MID('ASS END SYNC'!E87,O83+1,P83-O83-1),""))</f>
        <v/>
      </c>
      <c r="W83" s="23" t="str">
        <f>IF('ASS END SYNC'!C87="SHOW",MID('ASS END SYNC'!E87,Q83+1,S83-Q83+1),"")</f>
        <v/>
      </c>
      <c r="X83" s="23" t="str">
        <f>IF('ASS END SYNC'!C87="SHOW",MID('ASS END SYNC'!E87,S83+2,1000),"")</f>
        <v/>
      </c>
      <c r="Z83" s="24"/>
    </row>
    <row r="84" spans="1:26" x14ac:dyDescent="0.25">
      <c r="A84" s="26">
        <v>81</v>
      </c>
      <c r="B84" s="24" t="str">
        <f>IF('ASS START SYNC'!C88="SHOW",FIND(",",'ASS START SYNC'!E88,1),"")</f>
        <v/>
      </c>
      <c r="C84" s="24" t="str">
        <f>IF('ASS START SYNC'!C88="SHOW",FIND(",",'ASS START SYNC'!E88,B84+1),"")</f>
        <v/>
      </c>
      <c r="D84" s="24" t="str">
        <f>IF('ASS START SYNC'!C88="SHOW",FIND(",",'ASS START SYNC'!E88,C84+1),"")</f>
        <v/>
      </c>
      <c r="E84" s="25" t="str">
        <f>IF('ASS START SYNC'!C88="SHOW",FIND(",,",'ASS START SYNC'!E88,1),"")</f>
        <v/>
      </c>
      <c r="F84" s="25" t="str">
        <f>IF('ASS START SYNC'!C88="SHOW",FIND(",,",'ASS START SYNC'!E88,E84+1),"")</f>
        <v/>
      </c>
      <c r="G84" s="23" t="str">
        <f>IF('ASS START SYNC'!C88="SHOW",LEFT('ASS START SYNC'!E88,B84),"")</f>
        <v/>
      </c>
      <c r="H84" s="24" t="str">
        <f>IF(AND('ASS START SYNC'!C88="SHOW",COUNTA('ASS START SYNC'!$E$8:'ASS START SYNC'!E87)=0),MID('ASS START SYNC'!E88,B84+1,C84-B84-1),IF(AND('ASS START SYNC'!C88="SHOW",COUNTA('ASS START SYNC'!$E$8:'ASS START SYNC'!E87)&lt;&gt;0),I83,""))</f>
        <v/>
      </c>
      <c r="I84" s="24" t="str">
        <f>IF('ASS START SYNC'!C88="SHOW",MID('ASS START SYNC'!E88,C84+1,D84-C84-1),I83)</f>
        <v/>
      </c>
      <c r="J84" s="23" t="str">
        <f>IF('ASS START SYNC'!C88="SHOW",MID('ASS START SYNC'!E88,D84+1,F84-D84+1),"")</f>
        <v/>
      </c>
      <c r="K84" s="23" t="str">
        <f>IF('ASS START SYNC'!C88="SHOW",MID('ASS START SYNC'!E88,F84+2,1000),"")</f>
        <v/>
      </c>
      <c r="M84" s="24"/>
      <c r="N84" s="26">
        <v>81</v>
      </c>
      <c r="O84" s="24" t="str">
        <f>IF('ASS END SYNC'!C88="SHOW",FIND(",",'ASS END SYNC'!E88,1),"")</f>
        <v/>
      </c>
      <c r="P84" s="24" t="str">
        <f>IF('ASS END SYNC'!C88="SHOW",FIND(",",'ASS END SYNC'!E88,O84+1),"")</f>
        <v/>
      </c>
      <c r="Q84" s="24" t="str">
        <f>IF('ASS END SYNC'!C88="SHOW",FIND(",",'ASS END SYNC'!E88,P84+1),"")</f>
        <v/>
      </c>
      <c r="R84" s="25" t="str">
        <f>IF('ASS END SYNC'!C88="SHOW",FIND(",,",'ASS END SYNC'!E88,1),"")</f>
        <v/>
      </c>
      <c r="S84" s="25" t="str">
        <f>IF('ASS END SYNC'!C88="SHOW",FIND(",,",'ASS END SYNC'!E88,R84+1),"")</f>
        <v/>
      </c>
      <c r="T84" s="23" t="str">
        <f>IF('ASS END SYNC'!C88="SHOW",LEFT('ASS END SYNC'!E88,O84),"")</f>
        <v/>
      </c>
      <c r="U84" s="24" t="str">
        <f>IF('ASS END SYNC'!C88="SHOW",MID('ASS END SYNC'!E88,O84+1,P84-O84-1),"")</f>
        <v/>
      </c>
      <c r="V84" s="24" t="str">
        <f>IF(AND('ASS END SYNC'!C88="SHOW",'ASS END SYNC'!C89="SHOW"),U85,IF(AND('ASS END SYNC'!C88="SHOW",'ASS END SYNC'!C89&lt;&gt;"SHOW"),MID('ASS END SYNC'!E88,O84+1,P84-O84-1),""))</f>
        <v/>
      </c>
      <c r="W84" s="23" t="str">
        <f>IF('ASS END SYNC'!C88="SHOW",MID('ASS END SYNC'!E88,Q84+1,S84-Q84+1),"")</f>
        <v/>
      </c>
      <c r="X84" s="23" t="str">
        <f>IF('ASS END SYNC'!C88="SHOW",MID('ASS END SYNC'!E88,S84+2,1000),"")</f>
        <v/>
      </c>
      <c r="Z84" s="24"/>
    </row>
    <row r="85" spans="1:26" x14ac:dyDescent="0.25">
      <c r="A85" s="26">
        <v>82</v>
      </c>
      <c r="B85" s="24" t="str">
        <f>IF('ASS START SYNC'!C89="SHOW",FIND(",",'ASS START SYNC'!E89,1),"")</f>
        <v/>
      </c>
      <c r="C85" s="24" t="str">
        <f>IF('ASS START SYNC'!C89="SHOW",FIND(",",'ASS START SYNC'!E89,B85+1),"")</f>
        <v/>
      </c>
      <c r="D85" s="24" t="str">
        <f>IF('ASS START SYNC'!C89="SHOW",FIND(",",'ASS START SYNC'!E89,C85+1),"")</f>
        <v/>
      </c>
      <c r="E85" s="25" t="str">
        <f>IF('ASS START SYNC'!C89="SHOW",FIND(",,",'ASS START SYNC'!E89,1),"")</f>
        <v/>
      </c>
      <c r="F85" s="25" t="str">
        <f>IF('ASS START SYNC'!C89="SHOW",FIND(",,",'ASS START SYNC'!E89,E85+1),"")</f>
        <v/>
      </c>
      <c r="G85" s="23" t="str">
        <f>IF('ASS START SYNC'!C89="SHOW",LEFT('ASS START SYNC'!E89,B85),"")</f>
        <v/>
      </c>
      <c r="H85" s="24" t="str">
        <f>IF(AND('ASS START SYNC'!C89="SHOW",COUNTA('ASS START SYNC'!$E$8:'ASS START SYNC'!E88)=0),MID('ASS START SYNC'!E89,B85+1,C85-B85-1),IF(AND('ASS START SYNC'!C89="SHOW",COUNTA('ASS START SYNC'!$E$8:'ASS START SYNC'!E88)&lt;&gt;0),I84,""))</f>
        <v/>
      </c>
      <c r="I85" s="24" t="str">
        <f>IF('ASS START SYNC'!C89="SHOW",MID('ASS START SYNC'!E89,C85+1,D85-C85-1),I84)</f>
        <v/>
      </c>
      <c r="J85" s="23" t="str">
        <f>IF('ASS START SYNC'!C89="SHOW",MID('ASS START SYNC'!E89,D85+1,F85-D85+1),"")</f>
        <v/>
      </c>
      <c r="K85" s="23" t="str">
        <f>IF('ASS START SYNC'!C89="SHOW",MID('ASS START SYNC'!E89,F85+2,1000),"")</f>
        <v/>
      </c>
      <c r="M85" s="24"/>
      <c r="N85" s="26">
        <v>82</v>
      </c>
      <c r="O85" s="24" t="str">
        <f>IF('ASS END SYNC'!C89="SHOW",FIND(",",'ASS END SYNC'!E89,1),"")</f>
        <v/>
      </c>
      <c r="P85" s="24" t="str">
        <f>IF('ASS END SYNC'!C89="SHOW",FIND(",",'ASS END SYNC'!E89,O85+1),"")</f>
        <v/>
      </c>
      <c r="Q85" s="24" t="str">
        <f>IF('ASS END SYNC'!C89="SHOW",FIND(",",'ASS END SYNC'!E89,P85+1),"")</f>
        <v/>
      </c>
      <c r="R85" s="25" t="str">
        <f>IF('ASS END SYNC'!C89="SHOW",FIND(",,",'ASS END SYNC'!E89,1),"")</f>
        <v/>
      </c>
      <c r="S85" s="25" t="str">
        <f>IF('ASS END SYNC'!C89="SHOW",FIND(",,",'ASS END SYNC'!E89,R85+1),"")</f>
        <v/>
      </c>
      <c r="T85" s="23" t="str">
        <f>IF('ASS END SYNC'!C89="SHOW",LEFT('ASS END SYNC'!E89,O85),"")</f>
        <v/>
      </c>
      <c r="U85" s="24" t="str">
        <f>IF('ASS END SYNC'!C89="SHOW",MID('ASS END SYNC'!E89,O85+1,P85-O85-1),"")</f>
        <v/>
      </c>
      <c r="V85" s="24" t="str">
        <f>IF(AND('ASS END SYNC'!C89="SHOW",'ASS END SYNC'!C90="SHOW"),U86,IF(AND('ASS END SYNC'!C89="SHOW",'ASS END SYNC'!C90&lt;&gt;"SHOW"),MID('ASS END SYNC'!E89,O85+1,P85-O85-1),""))</f>
        <v/>
      </c>
      <c r="W85" s="23" t="str">
        <f>IF('ASS END SYNC'!C89="SHOW",MID('ASS END SYNC'!E89,Q85+1,S85-Q85+1),"")</f>
        <v/>
      </c>
      <c r="X85" s="23" t="str">
        <f>IF('ASS END SYNC'!C89="SHOW",MID('ASS END SYNC'!E89,S85+2,1000),"")</f>
        <v/>
      </c>
      <c r="Z85" s="24"/>
    </row>
    <row r="86" spans="1:26" x14ac:dyDescent="0.25">
      <c r="A86" s="26">
        <v>83</v>
      </c>
      <c r="B86" s="24" t="str">
        <f>IF('ASS START SYNC'!C90="SHOW",FIND(",",'ASS START SYNC'!E90,1),"")</f>
        <v/>
      </c>
      <c r="C86" s="24" t="str">
        <f>IF('ASS START SYNC'!C90="SHOW",FIND(",",'ASS START SYNC'!E90,B86+1),"")</f>
        <v/>
      </c>
      <c r="D86" s="24" t="str">
        <f>IF('ASS START SYNC'!C90="SHOW",FIND(",",'ASS START SYNC'!E90,C86+1),"")</f>
        <v/>
      </c>
      <c r="E86" s="25" t="str">
        <f>IF('ASS START SYNC'!C90="SHOW",FIND(",,",'ASS START SYNC'!E90,1),"")</f>
        <v/>
      </c>
      <c r="F86" s="25" t="str">
        <f>IF('ASS START SYNC'!C90="SHOW",FIND(",,",'ASS START SYNC'!E90,E86+1),"")</f>
        <v/>
      </c>
      <c r="G86" s="23" t="str">
        <f>IF('ASS START SYNC'!C90="SHOW",LEFT('ASS START SYNC'!E90,B86),"")</f>
        <v/>
      </c>
      <c r="H86" s="24" t="str">
        <f>IF(AND('ASS START SYNC'!C90="SHOW",COUNTA('ASS START SYNC'!$E$8:'ASS START SYNC'!E89)=0),MID('ASS START SYNC'!E90,B86+1,C86-B86-1),IF(AND('ASS START SYNC'!C90="SHOW",COUNTA('ASS START SYNC'!$E$8:'ASS START SYNC'!E89)&lt;&gt;0),I85,""))</f>
        <v/>
      </c>
      <c r="I86" s="24" t="str">
        <f>IF('ASS START SYNC'!C90="SHOW",MID('ASS START SYNC'!E90,C86+1,D86-C86-1),I85)</f>
        <v/>
      </c>
      <c r="J86" s="23" t="str">
        <f>IF('ASS START SYNC'!C90="SHOW",MID('ASS START SYNC'!E90,D86+1,F86-D86+1),"")</f>
        <v/>
      </c>
      <c r="K86" s="23" t="str">
        <f>IF('ASS START SYNC'!C90="SHOW",MID('ASS START SYNC'!E90,F86+2,1000),"")</f>
        <v/>
      </c>
      <c r="M86" s="24"/>
      <c r="N86" s="26">
        <v>83</v>
      </c>
      <c r="O86" s="24" t="str">
        <f>IF('ASS END SYNC'!C90="SHOW",FIND(",",'ASS END SYNC'!E90,1),"")</f>
        <v/>
      </c>
      <c r="P86" s="24" t="str">
        <f>IF('ASS END SYNC'!C90="SHOW",FIND(",",'ASS END SYNC'!E90,O86+1),"")</f>
        <v/>
      </c>
      <c r="Q86" s="24" t="str">
        <f>IF('ASS END SYNC'!C90="SHOW",FIND(",",'ASS END SYNC'!E90,P86+1),"")</f>
        <v/>
      </c>
      <c r="R86" s="25" t="str">
        <f>IF('ASS END SYNC'!C90="SHOW",FIND(",,",'ASS END SYNC'!E90,1),"")</f>
        <v/>
      </c>
      <c r="S86" s="25" t="str">
        <f>IF('ASS END SYNC'!C90="SHOW",FIND(",,",'ASS END SYNC'!E90,R86+1),"")</f>
        <v/>
      </c>
      <c r="T86" s="23" t="str">
        <f>IF('ASS END SYNC'!C90="SHOW",LEFT('ASS END SYNC'!E90,O86),"")</f>
        <v/>
      </c>
      <c r="U86" s="24" t="str">
        <f>IF('ASS END SYNC'!C90="SHOW",MID('ASS END SYNC'!E90,O86+1,P86-O86-1),"")</f>
        <v/>
      </c>
      <c r="V86" s="24" t="str">
        <f>IF(AND('ASS END SYNC'!C90="SHOW",'ASS END SYNC'!C91="SHOW"),U87,IF(AND('ASS END SYNC'!C90="SHOW",'ASS END SYNC'!C91&lt;&gt;"SHOW"),MID('ASS END SYNC'!E90,O86+1,P86-O86-1),""))</f>
        <v/>
      </c>
      <c r="W86" s="23" t="str">
        <f>IF('ASS END SYNC'!C90="SHOW",MID('ASS END SYNC'!E90,Q86+1,S86-Q86+1),"")</f>
        <v/>
      </c>
      <c r="X86" s="23" t="str">
        <f>IF('ASS END SYNC'!C90="SHOW",MID('ASS END SYNC'!E90,S86+2,1000),"")</f>
        <v/>
      </c>
      <c r="Z86" s="24"/>
    </row>
    <row r="87" spans="1:26" x14ac:dyDescent="0.25">
      <c r="A87" s="26">
        <v>84</v>
      </c>
      <c r="B87" s="24" t="str">
        <f>IF('ASS START SYNC'!C91="SHOW",FIND(",",'ASS START SYNC'!E91,1),"")</f>
        <v/>
      </c>
      <c r="C87" s="24" t="str">
        <f>IF('ASS START SYNC'!C91="SHOW",FIND(",",'ASS START SYNC'!E91,B87+1),"")</f>
        <v/>
      </c>
      <c r="D87" s="24" t="str">
        <f>IF('ASS START SYNC'!C91="SHOW",FIND(",",'ASS START SYNC'!E91,C87+1),"")</f>
        <v/>
      </c>
      <c r="E87" s="25" t="str">
        <f>IF('ASS START SYNC'!C91="SHOW",FIND(",,",'ASS START SYNC'!E91,1),"")</f>
        <v/>
      </c>
      <c r="F87" s="25" t="str">
        <f>IF('ASS START SYNC'!C91="SHOW",FIND(",,",'ASS START SYNC'!E91,E87+1),"")</f>
        <v/>
      </c>
      <c r="G87" s="23" t="str">
        <f>IF('ASS START SYNC'!C91="SHOW",LEFT('ASS START SYNC'!E91,B87),"")</f>
        <v/>
      </c>
      <c r="H87" s="24" t="str">
        <f>IF(AND('ASS START SYNC'!C91="SHOW",COUNTA('ASS START SYNC'!$E$8:'ASS START SYNC'!E90)=0),MID('ASS START SYNC'!E91,B87+1,C87-B87-1),IF(AND('ASS START SYNC'!C91="SHOW",COUNTA('ASS START SYNC'!$E$8:'ASS START SYNC'!E90)&lt;&gt;0),I86,""))</f>
        <v/>
      </c>
      <c r="I87" s="24" t="str">
        <f>IF('ASS START SYNC'!C91="SHOW",MID('ASS START SYNC'!E91,C87+1,D87-C87-1),I86)</f>
        <v/>
      </c>
      <c r="J87" s="23" t="str">
        <f>IF('ASS START SYNC'!C91="SHOW",MID('ASS START SYNC'!E91,D87+1,F87-D87+1),"")</f>
        <v/>
      </c>
      <c r="K87" s="23" t="str">
        <f>IF('ASS START SYNC'!C91="SHOW",MID('ASS START SYNC'!E91,F87+2,1000),"")</f>
        <v/>
      </c>
      <c r="M87" s="24"/>
      <c r="N87" s="26">
        <v>84</v>
      </c>
      <c r="O87" s="24" t="str">
        <f>IF('ASS END SYNC'!C91="SHOW",FIND(",",'ASS END SYNC'!E91,1),"")</f>
        <v/>
      </c>
      <c r="P87" s="24" t="str">
        <f>IF('ASS END SYNC'!C91="SHOW",FIND(",",'ASS END SYNC'!E91,O87+1),"")</f>
        <v/>
      </c>
      <c r="Q87" s="24" t="str">
        <f>IF('ASS END SYNC'!C91="SHOW",FIND(",",'ASS END SYNC'!E91,P87+1),"")</f>
        <v/>
      </c>
      <c r="R87" s="25" t="str">
        <f>IF('ASS END SYNC'!C91="SHOW",FIND(",,",'ASS END SYNC'!E91,1),"")</f>
        <v/>
      </c>
      <c r="S87" s="25" t="str">
        <f>IF('ASS END SYNC'!C91="SHOW",FIND(",,",'ASS END SYNC'!E91,R87+1),"")</f>
        <v/>
      </c>
      <c r="T87" s="23" t="str">
        <f>IF('ASS END SYNC'!C91="SHOW",LEFT('ASS END SYNC'!E91,O87),"")</f>
        <v/>
      </c>
      <c r="U87" s="24" t="str">
        <f>IF('ASS END SYNC'!C91="SHOW",MID('ASS END SYNC'!E91,O87+1,P87-O87-1),"")</f>
        <v/>
      </c>
      <c r="V87" s="24" t="str">
        <f>IF(AND('ASS END SYNC'!C91="SHOW",'ASS END SYNC'!C92="SHOW"),U88,IF(AND('ASS END SYNC'!C91="SHOW",'ASS END SYNC'!C92&lt;&gt;"SHOW"),MID('ASS END SYNC'!E91,O87+1,P87-O87-1),""))</f>
        <v/>
      </c>
      <c r="W87" s="23" t="str">
        <f>IF('ASS END SYNC'!C91="SHOW",MID('ASS END SYNC'!E91,Q87+1,S87-Q87+1),"")</f>
        <v/>
      </c>
      <c r="X87" s="23" t="str">
        <f>IF('ASS END SYNC'!C91="SHOW",MID('ASS END SYNC'!E91,S87+2,1000),"")</f>
        <v/>
      </c>
      <c r="Z87" s="24"/>
    </row>
    <row r="88" spans="1:26" x14ac:dyDescent="0.25">
      <c r="A88" s="26">
        <v>85</v>
      </c>
      <c r="B88" s="24" t="str">
        <f>IF('ASS START SYNC'!C92="SHOW",FIND(",",'ASS START SYNC'!E92,1),"")</f>
        <v/>
      </c>
      <c r="C88" s="24" t="str">
        <f>IF('ASS START SYNC'!C92="SHOW",FIND(",",'ASS START SYNC'!E92,B88+1),"")</f>
        <v/>
      </c>
      <c r="D88" s="24" t="str">
        <f>IF('ASS START SYNC'!C92="SHOW",FIND(",",'ASS START SYNC'!E92,C88+1),"")</f>
        <v/>
      </c>
      <c r="E88" s="25" t="str">
        <f>IF('ASS START SYNC'!C92="SHOW",FIND(",,",'ASS START SYNC'!E92,1),"")</f>
        <v/>
      </c>
      <c r="F88" s="25" t="str">
        <f>IF('ASS START SYNC'!C92="SHOW",FIND(",,",'ASS START SYNC'!E92,E88+1),"")</f>
        <v/>
      </c>
      <c r="G88" s="23" t="str">
        <f>IF('ASS START SYNC'!C92="SHOW",LEFT('ASS START SYNC'!E92,B88),"")</f>
        <v/>
      </c>
      <c r="H88" s="24" t="str">
        <f>IF(AND('ASS START SYNC'!C92="SHOW",COUNTA('ASS START SYNC'!$E$8:'ASS START SYNC'!E91)=0),MID('ASS START SYNC'!E92,B88+1,C88-B88-1),IF(AND('ASS START SYNC'!C92="SHOW",COUNTA('ASS START SYNC'!$E$8:'ASS START SYNC'!E91)&lt;&gt;0),I87,""))</f>
        <v/>
      </c>
      <c r="I88" s="24" t="str">
        <f>IF('ASS START SYNC'!C92="SHOW",MID('ASS START SYNC'!E92,C88+1,D88-C88-1),I87)</f>
        <v/>
      </c>
      <c r="J88" s="23" t="str">
        <f>IF('ASS START SYNC'!C92="SHOW",MID('ASS START SYNC'!E92,D88+1,F88-D88+1),"")</f>
        <v/>
      </c>
      <c r="K88" s="23" t="str">
        <f>IF('ASS START SYNC'!C92="SHOW",MID('ASS START SYNC'!E92,F88+2,1000),"")</f>
        <v/>
      </c>
      <c r="M88" s="24"/>
      <c r="N88" s="26">
        <v>85</v>
      </c>
      <c r="O88" s="24" t="str">
        <f>IF('ASS END SYNC'!C92="SHOW",FIND(",",'ASS END SYNC'!E92,1),"")</f>
        <v/>
      </c>
      <c r="P88" s="24" t="str">
        <f>IF('ASS END SYNC'!C92="SHOW",FIND(",",'ASS END SYNC'!E92,O88+1),"")</f>
        <v/>
      </c>
      <c r="Q88" s="24" t="str">
        <f>IF('ASS END SYNC'!C92="SHOW",FIND(",",'ASS END SYNC'!E92,P88+1),"")</f>
        <v/>
      </c>
      <c r="R88" s="25" t="str">
        <f>IF('ASS END SYNC'!C92="SHOW",FIND(",,",'ASS END SYNC'!E92,1),"")</f>
        <v/>
      </c>
      <c r="S88" s="25" t="str">
        <f>IF('ASS END SYNC'!C92="SHOW",FIND(",,",'ASS END SYNC'!E92,R88+1),"")</f>
        <v/>
      </c>
      <c r="T88" s="23" t="str">
        <f>IF('ASS END SYNC'!C92="SHOW",LEFT('ASS END SYNC'!E92,O88),"")</f>
        <v/>
      </c>
      <c r="U88" s="24" t="str">
        <f>IF('ASS END SYNC'!C92="SHOW",MID('ASS END SYNC'!E92,O88+1,P88-O88-1),"")</f>
        <v/>
      </c>
      <c r="V88" s="24" t="str">
        <f>IF(AND('ASS END SYNC'!C92="SHOW",'ASS END SYNC'!C93="SHOW"),U89,IF(AND('ASS END SYNC'!C92="SHOW",'ASS END SYNC'!C93&lt;&gt;"SHOW"),MID('ASS END SYNC'!E92,O88+1,P88-O88-1),""))</f>
        <v/>
      </c>
      <c r="W88" s="23" t="str">
        <f>IF('ASS END SYNC'!C92="SHOW",MID('ASS END SYNC'!E92,Q88+1,S88-Q88+1),"")</f>
        <v/>
      </c>
      <c r="X88" s="23" t="str">
        <f>IF('ASS END SYNC'!C92="SHOW",MID('ASS END SYNC'!E92,S88+2,1000),"")</f>
        <v/>
      </c>
      <c r="Z88" s="24"/>
    </row>
    <row r="89" spans="1:26" x14ac:dyDescent="0.25">
      <c r="A89" s="26">
        <v>86</v>
      </c>
      <c r="B89" s="24" t="str">
        <f>IF('ASS START SYNC'!C93="SHOW",FIND(",",'ASS START SYNC'!E93,1),"")</f>
        <v/>
      </c>
      <c r="C89" s="24" t="str">
        <f>IF('ASS START SYNC'!C93="SHOW",FIND(",",'ASS START SYNC'!E93,B89+1),"")</f>
        <v/>
      </c>
      <c r="D89" s="24" t="str">
        <f>IF('ASS START SYNC'!C93="SHOW",FIND(",",'ASS START SYNC'!E93,C89+1),"")</f>
        <v/>
      </c>
      <c r="E89" s="25" t="str">
        <f>IF('ASS START SYNC'!C93="SHOW",FIND(",,",'ASS START SYNC'!E93,1),"")</f>
        <v/>
      </c>
      <c r="F89" s="25" t="str">
        <f>IF('ASS START SYNC'!C93="SHOW",FIND(",,",'ASS START SYNC'!E93,E89+1),"")</f>
        <v/>
      </c>
      <c r="G89" s="23" t="str">
        <f>IF('ASS START SYNC'!C93="SHOW",LEFT('ASS START SYNC'!E93,B89),"")</f>
        <v/>
      </c>
      <c r="H89" s="24" t="str">
        <f>IF(AND('ASS START SYNC'!C93="SHOW",COUNTA('ASS START SYNC'!$E$8:'ASS START SYNC'!E92)=0),MID('ASS START SYNC'!E93,B89+1,C89-B89-1),IF(AND('ASS START SYNC'!C93="SHOW",COUNTA('ASS START SYNC'!$E$8:'ASS START SYNC'!E92)&lt;&gt;0),I88,""))</f>
        <v/>
      </c>
      <c r="I89" s="24" t="str">
        <f>IF('ASS START SYNC'!C93="SHOW",MID('ASS START SYNC'!E93,C89+1,D89-C89-1),I88)</f>
        <v/>
      </c>
      <c r="J89" s="23" t="str">
        <f>IF('ASS START SYNC'!C93="SHOW",MID('ASS START SYNC'!E93,D89+1,F89-D89+1),"")</f>
        <v/>
      </c>
      <c r="K89" s="23" t="str">
        <f>IF('ASS START SYNC'!C93="SHOW",MID('ASS START SYNC'!E93,F89+2,1000),"")</f>
        <v/>
      </c>
      <c r="M89" s="24"/>
      <c r="N89" s="26">
        <v>86</v>
      </c>
      <c r="O89" s="24" t="str">
        <f>IF('ASS END SYNC'!C93="SHOW",FIND(",",'ASS END SYNC'!E93,1),"")</f>
        <v/>
      </c>
      <c r="P89" s="24" t="str">
        <f>IF('ASS END SYNC'!C93="SHOW",FIND(",",'ASS END SYNC'!E93,O89+1),"")</f>
        <v/>
      </c>
      <c r="Q89" s="24" t="str">
        <f>IF('ASS END SYNC'!C93="SHOW",FIND(",",'ASS END SYNC'!E93,P89+1),"")</f>
        <v/>
      </c>
      <c r="R89" s="25" t="str">
        <f>IF('ASS END SYNC'!C93="SHOW",FIND(",,",'ASS END SYNC'!E93,1),"")</f>
        <v/>
      </c>
      <c r="S89" s="25" t="str">
        <f>IF('ASS END SYNC'!C93="SHOW",FIND(",,",'ASS END SYNC'!E93,R89+1),"")</f>
        <v/>
      </c>
      <c r="T89" s="23" t="str">
        <f>IF('ASS END SYNC'!C93="SHOW",LEFT('ASS END SYNC'!E93,O89),"")</f>
        <v/>
      </c>
      <c r="U89" s="24" t="str">
        <f>IF('ASS END SYNC'!C93="SHOW",MID('ASS END SYNC'!E93,O89+1,P89-O89-1),"")</f>
        <v/>
      </c>
      <c r="V89" s="24" t="str">
        <f>IF(AND('ASS END SYNC'!C93="SHOW",'ASS END SYNC'!C94="SHOW"),U90,IF(AND('ASS END SYNC'!C93="SHOW",'ASS END SYNC'!C94&lt;&gt;"SHOW"),MID('ASS END SYNC'!E93,O89+1,P89-O89-1),""))</f>
        <v/>
      </c>
      <c r="W89" s="23" t="str">
        <f>IF('ASS END SYNC'!C93="SHOW",MID('ASS END SYNC'!E93,Q89+1,S89-Q89+1),"")</f>
        <v/>
      </c>
      <c r="X89" s="23" t="str">
        <f>IF('ASS END SYNC'!C93="SHOW",MID('ASS END SYNC'!E93,S89+2,1000),"")</f>
        <v/>
      </c>
      <c r="Z89" s="24"/>
    </row>
    <row r="90" spans="1:26" x14ac:dyDescent="0.25">
      <c r="A90" s="26">
        <v>87</v>
      </c>
      <c r="B90" s="24" t="str">
        <f>IF('ASS START SYNC'!C94="SHOW",FIND(",",'ASS START SYNC'!E94,1),"")</f>
        <v/>
      </c>
      <c r="C90" s="24" t="str">
        <f>IF('ASS START SYNC'!C94="SHOW",FIND(",",'ASS START SYNC'!E94,B90+1),"")</f>
        <v/>
      </c>
      <c r="D90" s="24" t="str">
        <f>IF('ASS START SYNC'!C94="SHOW",FIND(",",'ASS START SYNC'!E94,C90+1),"")</f>
        <v/>
      </c>
      <c r="E90" s="25" t="str">
        <f>IF('ASS START SYNC'!C94="SHOW",FIND(",,",'ASS START SYNC'!E94,1),"")</f>
        <v/>
      </c>
      <c r="F90" s="25" t="str">
        <f>IF('ASS START SYNC'!C94="SHOW",FIND(",,",'ASS START SYNC'!E94,E90+1),"")</f>
        <v/>
      </c>
      <c r="G90" s="23" t="str">
        <f>IF('ASS START SYNC'!C94="SHOW",LEFT('ASS START SYNC'!E94,B90),"")</f>
        <v/>
      </c>
      <c r="H90" s="24" t="str">
        <f>IF(AND('ASS START SYNC'!C94="SHOW",COUNTA('ASS START SYNC'!$E$8:'ASS START SYNC'!E93)=0),MID('ASS START SYNC'!E94,B90+1,C90-B90-1),IF(AND('ASS START SYNC'!C94="SHOW",COUNTA('ASS START SYNC'!$E$8:'ASS START SYNC'!E93)&lt;&gt;0),I89,""))</f>
        <v/>
      </c>
      <c r="I90" s="24" t="str">
        <f>IF('ASS START SYNC'!C94="SHOW",MID('ASS START SYNC'!E94,C90+1,D90-C90-1),I89)</f>
        <v/>
      </c>
      <c r="J90" s="23" t="str">
        <f>IF('ASS START SYNC'!C94="SHOW",MID('ASS START SYNC'!E94,D90+1,F90-D90+1),"")</f>
        <v/>
      </c>
      <c r="K90" s="23" t="str">
        <f>IF('ASS START SYNC'!C94="SHOW",MID('ASS START SYNC'!E94,F90+2,1000),"")</f>
        <v/>
      </c>
      <c r="M90" s="24"/>
      <c r="N90" s="26">
        <v>87</v>
      </c>
      <c r="O90" s="24" t="str">
        <f>IF('ASS END SYNC'!C94="SHOW",FIND(",",'ASS END SYNC'!E94,1),"")</f>
        <v/>
      </c>
      <c r="P90" s="24" t="str">
        <f>IF('ASS END SYNC'!C94="SHOW",FIND(",",'ASS END SYNC'!E94,O90+1),"")</f>
        <v/>
      </c>
      <c r="Q90" s="24" t="str">
        <f>IF('ASS END SYNC'!C94="SHOW",FIND(",",'ASS END SYNC'!E94,P90+1),"")</f>
        <v/>
      </c>
      <c r="R90" s="25" t="str">
        <f>IF('ASS END SYNC'!C94="SHOW",FIND(",,",'ASS END SYNC'!E94,1),"")</f>
        <v/>
      </c>
      <c r="S90" s="25" t="str">
        <f>IF('ASS END SYNC'!C94="SHOW",FIND(",,",'ASS END SYNC'!E94,R90+1),"")</f>
        <v/>
      </c>
      <c r="T90" s="23" t="str">
        <f>IF('ASS END SYNC'!C94="SHOW",LEFT('ASS END SYNC'!E94,O90),"")</f>
        <v/>
      </c>
      <c r="U90" s="24" t="str">
        <f>IF('ASS END SYNC'!C94="SHOW",MID('ASS END SYNC'!E94,O90+1,P90-O90-1),"")</f>
        <v/>
      </c>
      <c r="V90" s="24" t="str">
        <f>IF(AND('ASS END SYNC'!C94="SHOW",'ASS END SYNC'!C95="SHOW"),U91,IF(AND('ASS END SYNC'!C94="SHOW",'ASS END SYNC'!C95&lt;&gt;"SHOW"),MID('ASS END SYNC'!E94,O90+1,P90-O90-1),""))</f>
        <v/>
      </c>
      <c r="W90" s="23" t="str">
        <f>IF('ASS END SYNC'!C94="SHOW",MID('ASS END SYNC'!E94,Q90+1,S90-Q90+1),"")</f>
        <v/>
      </c>
      <c r="X90" s="23" t="str">
        <f>IF('ASS END SYNC'!C94="SHOW",MID('ASS END SYNC'!E94,S90+2,1000),"")</f>
        <v/>
      </c>
      <c r="Z90" s="24"/>
    </row>
    <row r="91" spans="1:26" x14ac:dyDescent="0.25">
      <c r="A91" s="26">
        <v>88</v>
      </c>
      <c r="B91" s="24" t="str">
        <f>IF('ASS START SYNC'!C95="SHOW",FIND(",",'ASS START SYNC'!E95,1),"")</f>
        <v/>
      </c>
      <c r="C91" s="24" t="str">
        <f>IF('ASS START SYNC'!C95="SHOW",FIND(",",'ASS START SYNC'!E95,B91+1),"")</f>
        <v/>
      </c>
      <c r="D91" s="24" t="str">
        <f>IF('ASS START SYNC'!C95="SHOW",FIND(",",'ASS START SYNC'!E95,C91+1),"")</f>
        <v/>
      </c>
      <c r="E91" s="25" t="str">
        <f>IF('ASS START SYNC'!C95="SHOW",FIND(",,",'ASS START SYNC'!E95,1),"")</f>
        <v/>
      </c>
      <c r="F91" s="25" t="str">
        <f>IF('ASS START SYNC'!C95="SHOW",FIND(",,",'ASS START SYNC'!E95,E91+1),"")</f>
        <v/>
      </c>
      <c r="G91" s="23" t="str">
        <f>IF('ASS START SYNC'!C95="SHOW",LEFT('ASS START SYNC'!E95,B91),"")</f>
        <v/>
      </c>
      <c r="H91" s="24" t="str">
        <f>IF(AND('ASS START SYNC'!C95="SHOW",COUNTA('ASS START SYNC'!$E$8:'ASS START SYNC'!E94)=0),MID('ASS START SYNC'!E95,B91+1,C91-B91-1),IF(AND('ASS START SYNC'!C95="SHOW",COUNTA('ASS START SYNC'!$E$8:'ASS START SYNC'!E94)&lt;&gt;0),I90,""))</f>
        <v/>
      </c>
      <c r="I91" s="24" t="str">
        <f>IF('ASS START SYNC'!C95="SHOW",MID('ASS START SYNC'!E95,C91+1,D91-C91-1),I90)</f>
        <v/>
      </c>
      <c r="J91" s="23" t="str">
        <f>IF('ASS START SYNC'!C95="SHOW",MID('ASS START SYNC'!E95,D91+1,F91-D91+1),"")</f>
        <v/>
      </c>
      <c r="K91" s="23" t="str">
        <f>IF('ASS START SYNC'!C95="SHOW",MID('ASS START SYNC'!E95,F91+2,1000),"")</f>
        <v/>
      </c>
      <c r="M91" s="24"/>
      <c r="N91" s="26">
        <v>88</v>
      </c>
      <c r="O91" s="24" t="str">
        <f>IF('ASS END SYNC'!C95="SHOW",FIND(",",'ASS END SYNC'!E95,1),"")</f>
        <v/>
      </c>
      <c r="P91" s="24" t="str">
        <f>IF('ASS END SYNC'!C95="SHOW",FIND(",",'ASS END SYNC'!E95,O91+1),"")</f>
        <v/>
      </c>
      <c r="Q91" s="24" t="str">
        <f>IF('ASS END SYNC'!C95="SHOW",FIND(",",'ASS END SYNC'!E95,P91+1),"")</f>
        <v/>
      </c>
      <c r="R91" s="25" t="str">
        <f>IF('ASS END SYNC'!C95="SHOW",FIND(",,",'ASS END SYNC'!E95,1),"")</f>
        <v/>
      </c>
      <c r="S91" s="25" t="str">
        <f>IF('ASS END SYNC'!C95="SHOW",FIND(",,",'ASS END SYNC'!E95,R91+1),"")</f>
        <v/>
      </c>
      <c r="T91" s="23" t="str">
        <f>IF('ASS END SYNC'!C95="SHOW",LEFT('ASS END SYNC'!E95,O91),"")</f>
        <v/>
      </c>
      <c r="U91" s="24" t="str">
        <f>IF('ASS END SYNC'!C95="SHOW",MID('ASS END SYNC'!E95,O91+1,P91-O91-1),"")</f>
        <v/>
      </c>
      <c r="V91" s="24" t="str">
        <f>IF(AND('ASS END SYNC'!C95="SHOW",'ASS END SYNC'!C96="SHOW"),U92,IF(AND('ASS END SYNC'!C95="SHOW",'ASS END SYNC'!C96&lt;&gt;"SHOW"),MID('ASS END SYNC'!E95,O91+1,P91-O91-1),""))</f>
        <v/>
      </c>
      <c r="W91" s="23" t="str">
        <f>IF('ASS END SYNC'!C95="SHOW",MID('ASS END SYNC'!E95,Q91+1,S91-Q91+1),"")</f>
        <v/>
      </c>
      <c r="X91" s="23" t="str">
        <f>IF('ASS END SYNC'!C95="SHOW",MID('ASS END SYNC'!E95,S91+2,1000),"")</f>
        <v/>
      </c>
      <c r="Z91" s="24"/>
    </row>
    <row r="92" spans="1:26" x14ac:dyDescent="0.25">
      <c r="A92" s="26">
        <v>89</v>
      </c>
      <c r="B92" s="24" t="str">
        <f>IF('ASS START SYNC'!C96="SHOW",FIND(",",'ASS START SYNC'!E96,1),"")</f>
        <v/>
      </c>
      <c r="C92" s="24" t="str">
        <f>IF('ASS START SYNC'!C96="SHOW",FIND(",",'ASS START SYNC'!E96,B92+1),"")</f>
        <v/>
      </c>
      <c r="D92" s="24" t="str">
        <f>IF('ASS START SYNC'!C96="SHOW",FIND(",",'ASS START SYNC'!E96,C92+1),"")</f>
        <v/>
      </c>
      <c r="E92" s="25" t="str">
        <f>IF('ASS START SYNC'!C96="SHOW",FIND(",,",'ASS START SYNC'!E96,1),"")</f>
        <v/>
      </c>
      <c r="F92" s="25" t="str">
        <f>IF('ASS START SYNC'!C96="SHOW",FIND(",,",'ASS START SYNC'!E96,E92+1),"")</f>
        <v/>
      </c>
      <c r="G92" s="23" t="str">
        <f>IF('ASS START SYNC'!C96="SHOW",LEFT('ASS START SYNC'!E96,B92),"")</f>
        <v/>
      </c>
      <c r="H92" s="24" t="str">
        <f>IF(AND('ASS START SYNC'!C96="SHOW",COUNTA('ASS START SYNC'!$E$8:'ASS START SYNC'!E95)=0),MID('ASS START SYNC'!E96,B92+1,C92-B92-1),IF(AND('ASS START SYNC'!C96="SHOW",COUNTA('ASS START SYNC'!$E$8:'ASS START SYNC'!E95)&lt;&gt;0),I91,""))</f>
        <v/>
      </c>
      <c r="I92" s="24" t="str">
        <f>IF('ASS START SYNC'!C96="SHOW",MID('ASS START SYNC'!E96,C92+1,D92-C92-1),I91)</f>
        <v/>
      </c>
      <c r="J92" s="23" t="str">
        <f>IF('ASS START SYNC'!C96="SHOW",MID('ASS START SYNC'!E96,D92+1,F92-D92+1),"")</f>
        <v/>
      </c>
      <c r="K92" s="23" t="str">
        <f>IF('ASS START SYNC'!C96="SHOW",MID('ASS START SYNC'!E96,F92+2,1000),"")</f>
        <v/>
      </c>
      <c r="M92" s="24"/>
      <c r="N92" s="26">
        <v>89</v>
      </c>
      <c r="O92" s="24" t="str">
        <f>IF('ASS END SYNC'!C96="SHOW",FIND(",",'ASS END SYNC'!E96,1),"")</f>
        <v/>
      </c>
      <c r="P92" s="24" t="str">
        <f>IF('ASS END SYNC'!C96="SHOW",FIND(",",'ASS END SYNC'!E96,O92+1),"")</f>
        <v/>
      </c>
      <c r="Q92" s="24" t="str">
        <f>IF('ASS END SYNC'!C96="SHOW",FIND(",",'ASS END SYNC'!E96,P92+1),"")</f>
        <v/>
      </c>
      <c r="R92" s="25" t="str">
        <f>IF('ASS END SYNC'!C96="SHOW",FIND(",,",'ASS END SYNC'!E96,1),"")</f>
        <v/>
      </c>
      <c r="S92" s="25" t="str">
        <f>IF('ASS END SYNC'!C96="SHOW",FIND(",,",'ASS END SYNC'!E96,R92+1),"")</f>
        <v/>
      </c>
      <c r="T92" s="23" t="str">
        <f>IF('ASS END SYNC'!C96="SHOW",LEFT('ASS END SYNC'!E96,O92),"")</f>
        <v/>
      </c>
      <c r="U92" s="24" t="str">
        <f>IF('ASS END SYNC'!C96="SHOW",MID('ASS END SYNC'!E96,O92+1,P92-O92-1),"")</f>
        <v/>
      </c>
      <c r="V92" s="24" t="str">
        <f>IF(AND('ASS END SYNC'!C96="SHOW",'ASS END SYNC'!C97="SHOW"),U93,IF(AND('ASS END SYNC'!C96="SHOW",'ASS END SYNC'!C97&lt;&gt;"SHOW"),MID('ASS END SYNC'!E96,O92+1,P92-O92-1),""))</f>
        <v/>
      </c>
      <c r="W92" s="23" t="str">
        <f>IF('ASS END SYNC'!C96="SHOW",MID('ASS END SYNC'!E96,Q92+1,S92-Q92+1),"")</f>
        <v/>
      </c>
      <c r="X92" s="23" t="str">
        <f>IF('ASS END SYNC'!C96="SHOW",MID('ASS END SYNC'!E96,S92+2,1000),"")</f>
        <v/>
      </c>
      <c r="Z92" s="24"/>
    </row>
    <row r="93" spans="1:26" x14ac:dyDescent="0.25">
      <c r="A93" s="26">
        <v>90</v>
      </c>
      <c r="B93" s="24" t="str">
        <f>IF('ASS START SYNC'!C97="SHOW",FIND(",",'ASS START SYNC'!E97,1),"")</f>
        <v/>
      </c>
      <c r="C93" s="24" t="str">
        <f>IF('ASS START SYNC'!C97="SHOW",FIND(",",'ASS START SYNC'!E97,B93+1),"")</f>
        <v/>
      </c>
      <c r="D93" s="24" t="str">
        <f>IF('ASS START SYNC'!C97="SHOW",FIND(",",'ASS START SYNC'!E97,C93+1),"")</f>
        <v/>
      </c>
      <c r="E93" s="25" t="str">
        <f>IF('ASS START SYNC'!C97="SHOW",FIND(",,",'ASS START SYNC'!E97,1),"")</f>
        <v/>
      </c>
      <c r="F93" s="25" t="str">
        <f>IF('ASS START SYNC'!C97="SHOW",FIND(",,",'ASS START SYNC'!E97,E93+1),"")</f>
        <v/>
      </c>
      <c r="G93" s="23" t="str">
        <f>IF('ASS START SYNC'!C97="SHOW",LEFT('ASS START SYNC'!E97,B93),"")</f>
        <v/>
      </c>
      <c r="H93" s="24" t="str">
        <f>IF(AND('ASS START SYNC'!C97="SHOW",COUNTA('ASS START SYNC'!$E$8:'ASS START SYNC'!E96)=0),MID('ASS START SYNC'!E97,B93+1,C93-B93-1),IF(AND('ASS START SYNC'!C97="SHOW",COUNTA('ASS START SYNC'!$E$8:'ASS START SYNC'!E96)&lt;&gt;0),I92,""))</f>
        <v/>
      </c>
      <c r="I93" s="24" t="str">
        <f>IF('ASS START SYNC'!C97="SHOW",MID('ASS START SYNC'!E97,C93+1,D93-C93-1),I92)</f>
        <v/>
      </c>
      <c r="J93" s="23" t="str">
        <f>IF('ASS START SYNC'!C97="SHOW",MID('ASS START SYNC'!E97,D93+1,F93-D93+1),"")</f>
        <v/>
      </c>
      <c r="K93" s="23" t="str">
        <f>IF('ASS START SYNC'!C97="SHOW",MID('ASS START SYNC'!E97,F93+2,1000),"")</f>
        <v/>
      </c>
      <c r="M93" s="24"/>
      <c r="N93" s="26">
        <v>90</v>
      </c>
      <c r="O93" s="24" t="str">
        <f>IF('ASS END SYNC'!C97="SHOW",FIND(",",'ASS END SYNC'!E97,1),"")</f>
        <v/>
      </c>
      <c r="P93" s="24" t="str">
        <f>IF('ASS END SYNC'!C97="SHOW",FIND(",",'ASS END SYNC'!E97,O93+1),"")</f>
        <v/>
      </c>
      <c r="Q93" s="24" t="str">
        <f>IF('ASS END SYNC'!C97="SHOW",FIND(",",'ASS END SYNC'!E97,P93+1),"")</f>
        <v/>
      </c>
      <c r="R93" s="25" t="str">
        <f>IF('ASS END SYNC'!C97="SHOW",FIND(",,",'ASS END SYNC'!E97,1),"")</f>
        <v/>
      </c>
      <c r="S93" s="25" t="str">
        <f>IF('ASS END SYNC'!C97="SHOW",FIND(",,",'ASS END SYNC'!E97,R93+1),"")</f>
        <v/>
      </c>
      <c r="T93" s="23" t="str">
        <f>IF('ASS END SYNC'!C97="SHOW",LEFT('ASS END SYNC'!E97,O93),"")</f>
        <v/>
      </c>
      <c r="U93" s="24" t="str">
        <f>IF('ASS END SYNC'!C97="SHOW",MID('ASS END SYNC'!E97,O93+1,P93-O93-1),"")</f>
        <v/>
      </c>
      <c r="V93" s="24" t="str">
        <f>IF(AND('ASS END SYNC'!C97="SHOW",'ASS END SYNC'!C98="SHOW"),U94,IF(AND('ASS END SYNC'!C97="SHOW",'ASS END SYNC'!C98&lt;&gt;"SHOW"),MID('ASS END SYNC'!E97,O93+1,P93-O93-1),""))</f>
        <v/>
      </c>
      <c r="W93" s="23" t="str">
        <f>IF('ASS END SYNC'!C97="SHOW",MID('ASS END SYNC'!E97,Q93+1,S93-Q93+1),"")</f>
        <v/>
      </c>
      <c r="X93" s="23" t="str">
        <f>IF('ASS END SYNC'!C97="SHOW",MID('ASS END SYNC'!E97,S93+2,1000),"")</f>
        <v/>
      </c>
      <c r="Z93" s="24"/>
    </row>
    <row r="94" spans="1:26" x14ac:dyDescent="0.25">
      <c r="A94" s="26">
        <v>91</v>
      </c>
      <c r="B94" s="24" t="str">
        <f>IF('ASS START SYNC'!C98="SHOW",FIND(",",'ASS START SYNC'!E98,1),"")</f>
        <v/>
      </c>
      <c r="C94" s="24" t="str">
        <f>IF('ASS START SYNC'!C98="SHOW",FIND(",",'ASS START SYNC'!E98,B94+1),"")</f>
        <v/>
      </c>
      <c r="D94" s="24" t="str">
        <f>IF('ASS START SYNC'!C98="SHOW",FIND(",",'ASS START SYNC'!E98,C94+1),"")</f>
        <v/>
      </c>
      <c r="E94" s="25" t="str">
        <f>IF('ASS START SYNC'!C98="SHOW",FIND(",,",'ASS START SYNC'!E98,1),"")</f>
        <v/>
      </c>
      <c r="F94" s="25" t="str">
        <f>IF('ASS START SYNC'!C98="SHOW",FIND(",,",'ASS START SYNC'!E98,E94+1),"")</f>
        <v/>
      </c>
      <c r="G94" s="23" t="str">
        <f>IF('ASS START SYNC'!C98="SHOW",LEFT('ASS START SYNC'!E98,B94),"")</f>
        <v/>
      </c>
      <c r="H94" s="24" t="str">
        <f>IF(AND('ASS START SYNC'!C98="SHOW",COUNTA('ASS START SYNC'!$E$8:'ASS START SYNC'!E97)=0),MID('ASS START SYNC'!E98,B94+1,C94-B94-1),IF(AND('ASS START SYNC'!C98="SHOW",COUNTA('ASS START SYNC'!$E$8:'ASS START SYNC'!E97)&lt;&gt;0),I93,""))</f>
        <v/>
      </c>
      <c r="I94" s="24" t="str">
        <f>IF('ASS START SYNC'!C98="SHOW",MID('ASS START SYNC'!E98,C94+1,D94-C94-1),I93)</f>
        <v/>
      </c>
      <c r="J94" s="23" t="str">
        <f>IF('ASS START SYNC'!C98="SHOW",MID('ASS START SYNC'!E98,D94+1,F94-D94+1),"")</f>
        <v/>
      </c>
      <c r="K94" s="23" t="str">
        <f>IF('ASS START SYNC'!C98="SHOW",MID('ASS START SYNC'!E98,F94+2,1000),"")</f>
        <v/>
      </c>
      <c r="M94" s="24"/>
      <c r="N94" s="26">
        <v>91</v>
      </c>
      <c r="O94" s="24" t="str">
        <f>IF('ASS END SYNC'!C98="SHOW",FIND(",",'ASS END SYNC'!E98,1),"")</f>
        <v/>
      </c>
      <c r="P94" s="24" t="str">
        <f>IF('ASS END SYNC'!C98="SHOW",FIND(",",'ASS END SYNC'!E98,O94+1),"")</f>
        <v/>
      </c>
      <c r="Q94" s="24" t="str">
        <f>IF('ASS END SYNC'!C98="SHOW",FIND(",",'ASS END SYNC'!E98,P94+1),"")</f>
        <v/>
      </c>
      <c r="R94" s="25" t="str">
        <f>IF('ASS END SYNC'!C98="SHOW",FIND(",,",'ASS END SYNC'!E98,1),"")</f>
        <v/>
      </c>
      <c r="S94" s="25" t="str">
        <f>IF('ASS END SYNC'!C98="SHOW",FIND(",,",'ASS END SYNC'!E98,R94+1),"")</f>
        <v/>
      </c>
      <c r="T94" s="23" t="str">
        <f>IF('ASS END SYNC'!C98="SHOW",LEFT('ASS END SYNC'!E98,O94),"")</f>
        <v/>
      </c>
      <c r="U94" s="24" t="str">
        <f>IF('ASS END SYNC'!C98="SHOW",MID('ASS END SYNC'!E98,O94+1,P94-O94-1),"")</f>
        <v/>
      </c>
      <c r="V94" s="24" t="str">
        <f>IF(AND('ASS END SYNC'!C98="SHOW",'ASS END SYNC'!C99="SHOW"),U95,IF(AND('ASS END SYNC'!C98="SHOW",'ASS END SYNC'!C99&lt;&gt;"SHOW"),MID('ASS END SYNC'!E98,O94+1,P94-O94-1),""))</f>
        <v/>
      </c>
      <c r="W94" s="23" t="str">
        <f>IF('ASS END SYNC'!C98="SHOW",MID('ASS END SYNC'!E98,Q94+1,S94-Q94+1),"")</f>
        <v/>
      </c>
      <c r="X94" s="23" t="str">
        <f>IF('ASS END SYNC'!C98="SHOW",MID('ASS END SYNC'!E98,S94+2,1000),"")</f>
        <v/>
      </c>
      <c r="Z94" s="24"/>
    </row>
    <row r="95" spans="1:26" x14ac:dyDescent="0.25">
      <c r="A95" s="26">
        <v>92</v>
      </c>
      <c r="B95" s="24" t="str">
        <f>IF('ASS START SYNC'!C99="SHOW",FIND(",",'ASS START SYNC'!E99,1),"")</f>
        <v/>
      </c>
      <c r="C95" s="24" t="str">
        <f>IF('ASS START SYNC'!C99="SHOW",FIND(",",'ASS START SYNC'!E99,B95+1),"")</f>
        <v/>
      </c>
      <c r="D95" s="24" t="str">
        <f>IF('ASS START SYNC'!C99="SHOW",FIND(",",'ASS START SYNC'!E99,C95+1),"")</f>
        <v/>
      </c>
      <c r="E95" s="25" t="str">
        <f>IF('ASS START SYNC'!C99="SHOW",FIND(",,",'ASS START SYNC'!E99,1),"")</f>
        <v/>
      </c>
      <c r="F95" s="25" t="str">
        <f>IF('ASS START SYNC'!C99="SHOW",FIND(",,",'ASS START SYNC'!E99,E95+1),"")</f>
        <v/>
      </c>
      <c r="G95" s="23" t="str">
        <f>IF('ASS START SYNC'!C99="SHOW",LEFT('ASS START SYNC'!E99,B95),"")</f>
        <v/>
      </c>
      <c r="H95" s="24" t="str">
        <f>IF(AND('ASS START SYNC'!C99="SHOW",COUNTA('ASS START SYNC'!$E$8:'ASS START SYNC'!E98)=0),MID('ASS START SYNC'!E99,B95+1,C95-B95-1),IF(AND('ASS START SYNC'!C99="SHOW",COUNTA('ASS START SYNC'!$E$8:'ASS START SYNC'!E98)&lt;&gt;0),I94,""))</f>
        <v/>
      </c>
      <c r="I95" s="24" t="str">
        <f>IF('ASS START SYNC'!C99="SHOW",MID('ASS START SYNC'!E99,C95+1,D95-C95-1),I94)</f>
        <v/>
      </c>
      <c r="J95" s="23" t="str">
        <f>IF('ASS START SYNC'!C99="SHOW",MID('ASS START SYNC'!E99,D95+1,F95-D95+1),"")</f>
        <v/>
      </c>
      <c r="K95" s="23" t="str">
        <f>IF('ASS START SYNC'!C99="SHOW",MID('ASS START SYNC'!E99,F95+2,1000),"")</f>
        <v/>
      </c>
      <c r="M95" s="24"/>
      <c r="N95" s="26">
        <v>92</v>
      </c>
      <c r="O95" s="24" t="str">
        <f>IF('ASS END SYNC'!C99="SHOW",FIND(",",'ASS END SYNC'!E99,1),"")</f>
        <v/>
      </c>
      <c r="P95" s="24" t="str">
        <f>IF('ASS END SYNC'!C99="SHOW",FIND(",",'ASS END SYNC'!E99,O95+1),"")</f>
        <v/>
      </c>
      <c r="Q95" s="24" t="str">
        <f>IF('ASS END SYNC'!C99="SHOW",FIND(",",'ASS END SYNC'!E99,P95+1),"")</f>
        <v/>
      </c>
      <c r="R95" s="25" t="str">
        <f>IF('ASS END SYNC'!C99="SHOW",FIND(",,",'ASS END SYNC'!E99,1),"")</f>
        <v/>
      </c>
      <c r="S95" s="25" t="str">
        <f>IF('ASS END SYNC'!C99="SHOW",FIND(",,",'ASS END SYNC'!E99,R95+1),"")</f>
        <v/>
      </c>
      <c r="T95" s="23" t="str">
        <f>IF('ASS END SYNC'!C99="SHOW",LEFT('ASS END SYNC'!E99,O95),"")</f>
        <v/>
      </c>
      <c r="U95" s="24" t="str">
        <f>IF('ASS END SYNC'!C99="SHOW",MID('ASS END SYNC'!E99,O95+1,P95-O95-1),"")</f>
        <v/>
      </c>
      <c r="V95" s="24" t="str">
        <f>IF(AND('ASS END SYNC'!C99="SHOW",'ASS END SYNC'!C100="SHOW"),U96,IF(AND('ASS END SYNC'!C99="SHOW",'ASS END SYNC'!C100&lt;&gt;"SHOW"),MID('ASS END SYNC'!E99,O95+1,P95-O95-1),""))</f>
        <v/>
      </c>
      <c r="W95" s="23" t="str">
        <f>IF('ASS END SYNC'!C99="SHOW",MID('ASS END SYNC'!E99,Q95+1,S95-Q95+1),"")</f>
        <v/>
      </c>
      <c r="X95" s="23" t="str">
        <f>IF('ASS END SYNC'!C99="SHOW",MID('ASS END SYNC'!E99,S95+2,1000),"")</f>
        <v/>
      </c>
      <c r="Z95" s="24"/>
    </row>
    <row r="96" spans="1:26" x14ac:dyDescent="0.25">
      <c r="A96" s="26">
        <v>93</v>
      </c>
      <c r="B96" s="24" t="str">
        <f>IF('ASS START SYNC'!C100="SHOW",FIND(",",'ASS START SYNC'!E100,1),"")</f>
        <v/>
      </c>
      <c r="C96" s="24" t="str">
        <f>IF('ASS START SYNC'!C100="SHOW",FIND(",",'ASS START SYNC'!E100,B96+1),"")</f>
        <v/>
      </c>
      <c r="D96" s="24" t="str">
        <f>IF('ASS START SYNC'!C100="SHOW",FIND(",",'ASS START SYNC'!E100,C96+1),"")</f>
        <v/>
      </c>
      <c r="E96" s="25" t="str">
        <f>IF('ASS START SYNC'!C100="SHOW",FIND(",,",'ASS START SYNC'!E100,1),"")</f>
        <v/>
      </c>
      <c r="F96" s="25" t="str">
        <f>IF('ASS START SYNC'!C100="SHOW",FIND(",,",'ASS START SYNC'!E100,E96+1),"")</f>
        <v/>
      </c>
      <c r="G96" s="23" t="str">
        <f>IF('ASS START SYNC'!C100="SHOW",LEFT('ASS START SYNC'!E100,B96),"")</f>
        <v/>
      </c>
      <c r="H96" s="24" t="str">
        <f>IF(AND('ASS START SYNC'!C100="SHOW",COUNTA('ASS START SYNC'!$E$8:'ASS START SYNC'!E99)=0),MID('ASS START SYNC'!E100,B96+1,C96-B96-1),IF(AND('ASS START SYNC'!C100="SHOW",COUNTA('ASS START SYNC'!$E$8:'ASS START SYNC'!E99)&lt;&gt;0),I95,""))</f>
        <v/>
      </c>
      <c r="I96" s="24" t="str">
        <f>IF('ASS START SYNC'!C100="SHOW",MID('ASS START SYNC'!E100,C96+1,D96-C96-1),I95)</f>
        <v/>
      </c>
      <c r="J96" s="23" t="str">
        <f>IF('ASS START SYNC'!C100="SHOW",MID('ASS START SYNC'!E100,D96+1,F96-D96+1),"")</f>
        <v/>
      </c>
      <c r="K96" s="23" t="str">
        <f>IF('ASS START SYNC'!C100="SHOW",MID('ASS START SYNC'!E100,F96+2,1000),"")</f>
        <v/>
      </c>
      <c r="M96" s="24"/>
      <c r="N96" s="26">
        <v>93</v>
      </c>
      <c r="O96" s="24" t="str">
        <f>IF('ASS END SYNC'!C100="SHOW",FIND(",",'ASS END SYNC'!E100,1),"")</f>
        <v/>
      </c>
      <c r="P96" s="24" t="str">
        <f>IF('ASS END SYNC'!C100="SHOW",FIND(",",'ASS END SYNC'!E100,O96+1),"")</f>
        <v/>
      </c>
      <c r="Q96" s="24" t="str">
        <f>IF('ASS END SYNC'!C100="SHOW",FIND(",",'ASS END SYNC'!E100,P96+1),"")</f>
        <v/>
      </c>
      <c r="R96" s="25" t="str">
        <f>IF('ASS END SYNC'!C100="SHOW",FIND(",,",'ASS END SYNC'!E100,1),"")</f>
        <v/>
      </c>
      <c r="S96" s="25" t="str">
        <f>IF('ASS END SYNC'!C100="SHOW",FIND(",,",'ASS END SYNC'!E100,R96+1),"")</f>
        <v/>
      </c>
      <c r="T96" s="23" t="str">
        <f>IF('ASS END SYNC'!C100="SHOW",LEFT('ASS END SYNC'!E100,O96),"")</f>
        <v/>
      </c>
      <c r="U96" s="24" t="str">
        <f>IF('ASS END SYNC'!C100="SHOW",MID('ASS END SYNC'!E100,O96+1,P96-O96-1),"")</f>
        <v/>
      </c>
      <c r="V96" s="24" t="str">
        <f>IF(AND('ASS END SYNC'!C100="SHOW",'ASS END SYNC'!C101="SHOW"),U97,IF(AND('ASS END SYNC'!C100="SHOW",'ASS END SYNC'!C101&lt;&gt;"SHOW"),MID('ASS END SYNC'!E100,O96+1,P96-O96-1),""))</f>
        <v/>
      </c>
      <c r="W96" s="23" t="str">
        <f>IF('ASS END SYNC'!C100="SHOW",MID('ASS END SYNC'!E100,Q96+1,S96-Q96+1),"")</f>
        <v/>
      </c>
      <c r="X96" s="23" t="str">
        <f>IF('ASS END SYNC'!C100="SHOW",MID('ASS END SYNC'!E100,S96+2,1000),"")</f>
        <v/>
      </c>
      <c r="Z96" s="24"/>
    </row>
    <row r="97" spans="1:26" x14ac:dyDescent="0.25">
      <c r="A97" s="26">
        <v>94</v>
      </c>
      <c r="B97" s="24" t="str">
        <f>IF('ASS START SYNC'!C101="SHOW",FIND(",",'ASS START SYNC'!E101,1),"")</f>
        <v/>
      </c>
      <c r="C97" s="24" t="str">
        <f>IF('ASS START SYNC'!C101="SHOW",FIND(",",'ASS START SYNC'!E101,B97+1),"")</f>
        <v/>
      </c>
      <c r="D97" s="24" t="str">
        <f>IF('ASS START SYNC'!C101="SHOW",FIND(",",'ASS START SYNC'!E101,C97+1),"")</f>
        <v/>
      </c>
      <c r="E97" s="25" t="str">
        <f>IF('ASS START SYNC'!C101="SHOW",FIND(",,",'ASS START SYNC'!E101,1),"")</f>
        <v/>
      </c>
      <c r="F97" s="25" t="str">
        <f>IF('ASS START SYNC'!C101="SHOW",FIND(",,",'ASS START SYNC'!E101,E97+1),"")</f>
        <v/>
      </c>
      <c r="G97" s="23" t="str">
        <f>IF('ASS START SYNC'!C101="SHOW",LEFT('ASS START SYNC'!E101,B97),"")</f>
        <v/>
      </c>
      <c r="H97" s="24" t="str">
        <f>IF(AND('ASS START SYNC'!C101="SHOW",COUNTA('ASS START SYNC'!$E$8:'ASS START SYNC'!E100)=0),MID('ASS START SYNC'!E101,B97+1,C97-B97-1),IF(AND('ASS START SYNC'!C101="SHOW",COUNTA('ASS START SYNC'!$E$8:'ASS START SYNC'!E100)&lt;&gt;0),I96,""))</f>
        <v/>
      </c>
      <c r="I97" s="24" t="str">
        <f>IF('ASS START SYNC'!C101="SHOW",MID('ASS START SYNC'!E101,C97+1,D97-C97-1),I96)</f>
        <v/>
      </c>
      <c r="J97" s="23" t="str">
        <f>IF('ASS START SYNC'!C101="SHOW",MID('ASS START SYNC'!E101,D97+1,F97-D97+1),"")</f>
        <v/>
      </c>
      <c r="K97" s="23" t="str">
        <f>IF('ASS START SYNC'!C101="SHOW",MID('ASS START SYNC'!E101,F97+2,1000),"")</f>
        <v/>
      </c>
      <c r="M97" s="24"/>
      <c r="N97" s="26">
        <v>94</v>
      </c>
      <c r="O97" s="24" t="str">
        <f>IF('ASS END SYNC'!C101="SHOW",FIND(",",'ASS END SYNC'!E101,1),"")</f>
        <v/>
      </c>
      <c r="P97" s="24" t="str">
        <f>IF('ASS END SYNC'!C101="SHOW",FIND(",",'ASS END SYNC'!E101,O97+1),"")</f>
        <v/>
      </c>
      <c r="Q97" s="24" t="str">
        <f>IF('ASS END SYNC'!C101="SHOW",FIND(",",'ASS END SYNC'!E101,P97+1),"")</f>
        <v/>
      </c>
      <c r="R97" s="25" t="str">
        <f>IF('ASS END SYNC'!C101="SHOW",FIND(",,",'ASS END SYNC'!E101,1),"")</f>
        <v/>
      </c>
      <c r="S97" s="25" t="str">
        <f>IF('ASS END SYNC'!C101="SHOW",FIND(",,",'ASS END SYNC'!E101,R97+1),"")</f>
        <v/>
      </c>
      <c r="T97" s="23" t="str">
        <f>IF('ASS END SYNC'!C101="SHOW",LEFT('ASS END SYNC'!E101,O97),"")</f>
        <v/>
      </c>
      <c r="U97" s="24" t="str">
        <f>IF('ASS END SYNC'!C101="SHOW",MID('ASS END SYNC'!E101,O97+1,P97-O97-1),"")</f>
        <v/>
      </c>
      <c r="V97" s="24" t="str">
        <f>IF(AND('ASS END SYNC'!C101="SHOW",'ASS END SYNC'!C102="SHOW"),U98,IF(AND('ASS END SYNC'!C101="SHOW",'ASS END SYNC'!C102&lt;&gt;"SHOW"),MID('ASS END SYNC'!E101,O97+1,P97-O97-1),""))</f>
        <v/>
      </c>
      <c r="W97" s="23" t="str">
        <f>IF('ASS END SYNC'!C101="SHOW",MID('ASS END SYNC'!E101,Q97+1,S97-Q97+1),"")</f>
        <v/>
      </c>
      <c r="X97" s="23" t="str">
        <f>IF('ASS END SYNC'!C101="SHOW",MID('ASS END SYNC'!E101,S97+2,1000),"")</f>
        <v/>
      </c>
      <c r="Z97" s="24"/>
    </row>
    <row r="98" spans="1:26" x14ac:dyDescent="0.25">
      <c r="A98" s="26">
        <v>95</v>
      </c>
      <c r="B98" s="24" t="str">
        <f>IF('ASS START SYNC'!C102="SHOW",FIND(",",'ASS START SYNC'!E102,1),"")</f>
        <v/>
      </c>
      <c r="C98" s="24" t="str">
        <f>IF('ASS START SYNC'!C102="SHOW",FIND(",",'ASS START SYNC'!E102,B98+1),"")</f>
        <v/>
      </c>
      <c r="D98" s="24" t="str">
        <f>IF('ASS START SYNC'!C102="SHOW",FIND(",",'ASS START SYNC'!E102,C98+1),"")</f>
        <v/>
      </c>
      <c r="E98" s="25" t="str">
        <f>IF('ASS START SYNC'!C102="SHOW",FIND(",,",'ASS START SYNC'!E102,1),"")</f>
        <v/>
      </c>
      <c r="F98" s="25" t="str">
        <f>IF('ASS START SYNC'!C102="SHOW",FIND(",,",'ASS START SYNC'!E102,E98+1),"")</f>
        <v/>
      </c>
      <c r="G98" s="23" t="str">
        <f>IF('ASS START SYNC'!C102="SHOW",LEFT('ASS START SYNC'!E102,B98),"")</f>
        <v/>
      </c>
      <c r="H98" s="24" t="str">
        <f>IF(AND('ASS START SYNC'!C102="SHOW",COUNTA('ASS START SYNC'!$E$8:'ASS START SYNC'!E101)=0),MID('ASS START SYNC'!E102,B98+1,C98-B98-1),IF(AND('ASS START SYNC'!C102="SHOW",COUNTA('ASS START SYNC'!$E$8:'ASS START SYNC'!E101)&lt;&gt;0),I97,""))</f>
        <v/>
      </c>
      <c r="I98" s="24" t="str">
        <f>IF('ASS START SYNC'!C102="SHOW",MID('ASS START SYNC'!E102,C98+1,D98-C98-1),I97)</f>
        <v/>
      </c>
      <c r="J98" s="23" t="str">
        <f>IF('ASS START SYNC'!C102="SHOW",MID('ASS START SYNC'!E102,D98+1,F98-D98+1),"")</f>
        <v/>
      </c>
      <c r="K98" s="23" t="str">
        <f>IF('ASS START SYNC'!C102="SHOW",MID('ASS START SYNC'!E102,F98+2,1000),"")</f>
        <v/>
      </c>
      <c r="M98" s="24"/>
      <c r="N98" s="26">
        <v>95</v>
      </c>
      <c r="O98" s="24" t="str">
        <f>IF('ASS END SYNC'!C102="SHOW",FIND(",",'ASS END SYNC'!E102,1),"")</f>
        <v/>
      </c>
      <c r="P98" s="24" t="str">
        <f>IF('ASS END SYNC'!C102="SHOW",FIND(",",'ASS END SYNC'!E102,O98+1),"")</f>
        <v/>
      </c>
      <c r="Q98" s="24" t="str">
        <f>IF('ASS END SYNC'!C102="SHOW",FIND(",",'ASS END SYNC'!E102,P98+1),"")</f>
        <v/>
      </c>
      <c r="R98" s="25" t="str">
        <f>IF('ASS END SYNC'!C102="SHOW",FIND(",,",'ASS END SYNC'!E102,1),"")</f>
        <v/>
      </c>
      <c r="S98" s="25" t="str">
        <f>IF('ASS END SYNC'!C102="SHOW",FIND(",,",'ASS END SYNC'!E102,R98+1),"")</f>
        <v/>
      </c>
      <c r="T98" s="23" t="str">
        <f>IF('ASS END SYNC'!C102="SHOW",LEFT('ASS END SYNC'!E102,O98),"")</f>
        <v/>
      </c>
      <c r="U98" s="24" t="str">
        <f>IF('ASS END SYNC'!C102="SHOW",MID('ASS END SYNC'!E102,O98+1,P98-O98-1),"")</f>
        <v/>
      </c>
      <c r="V98" s="24" t="str">
        <f>IF(AND('ASS END SYNC'!C102="SHOW",'ASS END SYNC'!C103="SHOW"),U99,IF(AND('ASS END SYNC'!C102="SHOW",'ASS END SYNC'!C103&lt;&gt;"SHOW"),MID('ASS END SYNC'!E102,O98+1,P98-O98-1),""))</f>
        <v/>
      </c>
      <c r="W98" s="23" t="str">
        <f>IF('ASS END SYNC'!C102="SHOW",MID('ASS END SYNC'!E102,Q98+1,S98-Q98+1),"")</f>
        <v/>
      </c>
      <c r="X98" s="23" t="str">
        <f>IF('ASS END SYNC'!C102="SHOW",MID('ASS END SYNC'!E102,S98+2,1000),"")</f>
        <v/>
      </c>
      <c r="Z98" s="24"/>
    </row>
    <row r="99" spans="1:26" x14ac:dyDescent="0.25">
      <c r="A99" s="26">
        <v>96</v>
      </c>
      <c r="B99" s="24" t="str">
        <f>IF('ASS START SYNC'!C103="SHOW",FIND(",",'ASS START SYNC'!E103,1),"")</f>
        <v/>
      </c>
      <c r="C99" s="24" t="str">
        <f>IF('ASS START SYNC'!C103="SHOW",FIND(",",'ASS START SYNC'!E103,B99+1),"")</f>
        <v/>
      </c>
      <c r="D99" s="24" t="str">
        <f>IF('ASS START SYNC'!C103="SHOW",FIND(",",'ASS START SYNC'!E103,C99+1),"")</f>
        <v/>
      </c>
      <c r="E99" s="25" t="str">
        <f>IF('ASS START SYNC'!C103="SHOW",FIND(",,",'ASS START SYNC'!E103,1),"")</f>
        <v/>
      </c>
      <c r="F99" s="25" t="str">
        <f>IF('ASS START SYNC'!C103="SHOW",FIND(",,",'ASS START SYNC'!E103,E99+1),"")</f>
        <v/>
      </c>
      <c r="G99" s="23" t="str">
        <f>IF('ASS START SYNC'!C103="SHOW",LEFT('ASS START SYNC'!E103,B99),"")</f>
        <v/>
      </c>
      <c r="H99" s="24" t="str">
        <f>IF(AND('ASS START SYNC'!C103="SHOW",COUNTA('ASS START SYNC'!$E$8:'ASS START SYNC'!E102)=0),MID('ASS START SYNC'!E103,B99+1,C99-B99-1),IF(AND('ASS START SYNC'!C103="SHOW",COUNTA('ASS START SYNC'!$E$8:'ASS START SYNC'!E102)&lt;&gt;0),I98,""))</f>
        <v/>
      </c>
      <c r="I99" s="24" t="str">
        <f>IF('ASS START SYNC'!C103="SHOW",MID('ASS START SYNC'!E103,C99+1,D99-C99-1),I98)</f>
        <v/>
      </c>
      <c r="J99" s="23" t="str">
        <f>IF('ASS START SYNC'!C103="SHOW",MID('ASS START SYNC'!E103,D99+1,F99-D99+1),"")</f>
        <v/>
      </c>
      <c r="K99" s="23" t="str">
        <f>IF('ASS START SYNC'!C103="SHOW",MID('ASS START SYNC'!E103,F99+2,1000),"")</f>
        <v/>
      </c>
      <c r="M99" s="24"/>
      <c r="N99" s="26">
        <v>96</v>
      </c>
      <c r="O99" s="24" t="str">
        <f>IF('ASS END SYNC'!C103="SHOW",FIND(",",'ASS END SYNC'!E103,1),"")</f>
        <v/>
      </c>
      <c r="P99" s="24" t="str">
        <f>IF('ASS END SYNC'!C103="SHOW",FIND(",",'ASS END SYNC'!E103,O99+1),"")</f>
        <v/>
      </c>
      <c r="Q99" s="24" t="str">
        <f>IF('ASS END SYNC'!C103="SHOW",FIND(",",'ASS END SYNC'!E103,P99+1),"")</f>
        <v/>
      </c>
      <c r="R99" s="25" t="str">
        <f>IF('ASS END SYNC'!C103="SHOW",FIND(",,",'ASS END SYNC'!E103,1),"")</f>
        <v/>
      </c>
      <c r="S99" s="25" t="str">
        <f>IF('ASS END SYNC'!C103="SHOW",FIND(",,",'ASS END SYNC'!E103,R99+1),"")</f>
        <v/>
      </c>
      <c r="T99" s="23" t="str">
        <f>IF('ASS END SYNC'!C103="SHOW",LEFT('ASS END SYNC'!E103,O99),"")</f>
        <v/>
      </c>
      <c r="U99" s="24" t="str">
        <f>IF('ASS END SYNC'!C103="SHOW",MID('ASS END SYNC'!E103,O99+1,P99-O99-1),"")</f>
        <v/>
      </c>
      <c r="V99" s="24" t="str">
        <f>IF(AND('ASS END SYNC'!C103="SHOW",'ASS END SYNC'!C104="SHOW"),U100,IF(AND('ASS END SYNC'!C103="SHOW",'ASS END SYNC'!C104&lt;&gt;"SHOW"),MID('ASS END SYNC'!E103,O99+1,P99-O99-1),""))</f>
        <v/>
      </c>
      <c r="W99" s="23" t="str">
        <f>IF('ASS END SYNC'!C103="SHOW",MID('ASS END SYNC'!E103,Q99+1,S99-Q99+1),"")</f>
        <v/>
      </c>
      <c r="X99" s="23" t="str">
        <f>IF('ASS END SYNC'!C103="SHOW",MID('ASS END SYNC'!E103,S99+2,1000),"")</f>
        <v/>
      </c>
      <c r="Z99" s="24"/>
    </row>
    <row r="100" spans="1:26" x14ac:dyDescent="0.25">
      <c r="A100" s="26">
        <v>97</v>
      </c>
      <c r="B100" s="24" t="str">
        <f>IF('ASS START SYNC'!C104="SHOW",FIND(",",'ASS START SYNC'!E104,1),"")</f>
        <v/>
      </c>
      <c r="C100" s="24" t="str">
        <f>IF('ASS START SYNC'!C104="SHOW",FIND(",",'ASS START SYNC'!E104,B100+1),"")</f>
        <v/>
      </c>
      <c r="D100" s="24" t="str">
        <f>IF('ASS START SYNC'!C104="SHOW",FIND(",",'ASS START SYNC'!E104,C100+1),"")</f>
        <v/>
      </c>
      <c r="E100" s="25" t="str">
        <f>IF('ASS START SYNC'!C104="SHOW",FIND(",,",'ASS START SYNC'!E104,1),"")</f>
        <v/>
      </c>
      <c r="F100" s="25" t="str">
        <f>IF('ASS START SYNC'!C104="SHOW",FIND(",,",'ASS START SYNC'!E104,E100+1),"")</f>
        <v/>
      </c>
      <c r="G100" s="23" t="str">
        <f>IF('ASS START SYNC'!C104="SHOW",LEFT('ASS START SYNC'!E104,B100),"")</f>
        <v/>
      </c>
      <c r="H100" s="24" t="str">
        <f>IF(AND('ASS START SYNC'!C104="SHOW",COUNTA('ASS START SYNC'!$E$8:'ASS START SYNC'!E103)=0),MID('ASS START SYNC'!E104,B100+1,C100-B100-1),IF(AND('ASS START SYNC'!C104="SHOW",COUNTA('ASS START SYNC'!$E$8:'ASS START SYNC'!E103)&lt;&gt;0),I99,""))</f>
        <v/>
      </c>
      <c r="I100" s="24" t="str">
        <f>IF('ASS START SYNC'!C104="SHOW",MID('ASS START SYNC'!E104,C100+1,D100-C100-1),I99)</f>
        <v/>
      </c>
      <c r="J100" s="23" t="str">
        <f>IF('ASS START SYNC'!C104="SHOW",MID('ASS START SYNC'!E104,D100+1,F100-D100+1),"")</f>
        <v/>
      </c>
      <c r="K100" s="23" t="str">
        <f>IF('ASS START SYNC'!C104="SHOW",MID('ASS START SYNC'!E104,F100+2,1000),"")</f>
        <v/>
      </c>
      <c r="M100" s="24"/>
      <c r="N100" s="26">
        <v>97</v>
      </c>
      <c r="O100" s="24" t="str">
        <f>IF('ASS END SYNC'!C104="SHOW",FIND(",",'ASS END SYNC'!E104,1),"")</f>
        <v/>
      </c>
      <c r="P100" s="24" t="str">
        <f>IF('ASS END SYNC'!C104="SHOW",FIND(",",'ASS END SYNC'!E104,O100+1),"")</f>
        <v/>
      </c>
      <c r="Q100" s="24" t="str">
        <f>IF('ASS END SYNC'!C104="SHOW",FIND(",",'ASS END SYNC'!E104,P100+1),"")</f>
        <v/>
      </c>
      <c r="R100" s="25" t="str">
        <f>IF('ASS END SYNC'!C104="SHOW",FIND(",,",'ASS END SYNC'!E104,1),"")</f>
        <v/>
      </c>
      <c r="S100" s="25" t="str">
        <f>IF('ASS END SYNC'!C104="SHOW",FIND(",,",'ASS END SYNC'!E104,R100+1),"")</f>
        <v/>
      </c>
      <c r="T100" s="23" t="str">
        <f>IF('ASS END SYNC'!C104="SHOW",LEFT('ASS END SYNC'!E104,O100),"")</f>
        <v/>
      </c>
      <c r="U100" s="24" t="str">
        <f>IF('ASS END SYNC'!C104="SHOW",MID('ASS END SYNC'!E104,O100+1,P100-O100-1),"")</f>
        <v/>
      </c>
      <c r="V100" s="24" t="str">
        <f>IF(AND('ASS END SYNC'!C104="SHOW",'ASS END SYNC'!C105="SHOW"),U101,IF(AND('ASS END SYNC'!C104="SHOW",'ASS END SYNC'!C105&lt;&gt;"SHOW"),MID('ASS END SYNC'!E104,O100+1,P100-O100-1),""))</f>
        <v/>
      </c>
      <c r="W100" s="23" t="str">
        <f>IF('ASS END SYNC'!C104="SHOW",MID('ASS END SYNC'!E104,Q100+1,S100-Q100+1),"")</f>
        <v/>
      </c>
      <c r="X100" s="23" t="str">
        <f>IF('ASS END SYNC'!C104="SHOW",MID('ASS END SYNC'!E104,S100+2,1000),"")</f>
        <v/>
      </c>
      <c r="Z100" s="24"/>
    </row>
    <row r="101" spans="1:26" x14ac:dyDescent="0.25">
      <c r="A101" s="26">
        <v>98</v>
      </c>
      <c r="B101" s="24" t="str">
        <f>IF('ASS START SYNC'!C105="SHOW",FIND(",",'ASS START SYNC'!E105,1),"")</f>
        <v/>
      </c>
      <c r="C101" s="24" t="str">
        <f>IF('ASS START SYNC'!C105="SHOW",FIND(",",'ASS START SYNC'!E105,B101+1),"")</f>
        <v/>
      </c>
      <c r="D101" s="24" t="str">
        <f>IF('ASS START SYNC'!C105="SHOW",FIND(",",'ASS START SYNC'!E105,C101+1),"")</f>
        <v/>
      </c>
      <c r="E101" s="25" t="str">
        <f>IF('ASS START SYNC'!C105="SHOW",FIND(",,",'ASS START SYNC'!E105,1),"")</f>
        <v/>
      </c>
      <c r="F101" s="25" t="str">
        <f>IF('ASS START SYNC'!C105="SHOW",FIND(",,",'ASS START SYNC'!E105,E101+1),"")</f>
        <v/>
      </c>
      <c r="G101" s="23" t="str">
        <f>IF('ASS START SYNC'!C105="SHOW",LEFT('ASS START SYNC'!E105,B101),"")</f>
        <v/>
      </c>
      <c r="H101" s="24" t="str">
        <f>IF(AND('ASS START SYNC'!C105="SHOW",COUNTA('ASS START SYNC'!$E$8:'ASS START SYNC'!E104)=0),MID('ASS START SYNC'!E105,B101+1,C101-B101-1),IF(AND('ASS START SYNC'!C105="SHOW",COUNTA('ASS START SYNC'!$E$8:'ASS START SYNC'!E104)&lt;&gt;0),I100,""))</f>
        <v/>
      </c>
      <c r="I101" s="24" t="str">
        <f>IF('ASS START SYNC'!C105="SHOW",MID('ASS START SYNC'!E105,C101+1,D101-C101-1),I100)</f>
        <v/>
      </c>
      <c r="J101" s="23" t="str">
        <f>IF('ASS START SYNC'!C105="SHOW",MID('ASS START SYNC'!E105,D101+1,F101-D101+1),"")</f>
        <v/>
      </c>
      <c r="K101" s="23" t="str">
        <f>IF('ASS START SYNC'!C105="SHOW",MID('ASS START SYNC'!E105,F101+2,1000),"")</f>
        <v/>
      </c>
      <c r="M101" s="24"/>
      <c r="N101" s="26">
        <v>98</v>
      </c>
      <c r="O101" s="24" t="str">
        <f>IF('ASS END SYNC'!C105="SHOW",FIND(",",'ASS END SYNC'!E105,1),"")</f>
        <v/>
      </c>
      <c r="P101" s="24" t="str">
        <f>IF('ASS END SYNC'!C105="SHOW",FIND(",",'ASS END SYNC'!E105,O101+1),"")</f>
        <v/>
      </c>
      <c r="Q101" s="24" t="str">
        <f>IF('ASS END SYNC'!C105="SHOW",FIND(",",'ASS END SYNC'!E105,P101+1),"")</f>
        <v/>
      </c>
      <c r="R101" s="25" t="str">
        <f>IF('ASS END SYNC'!C105="SHOW",FIND(",,",'ASS END SYNC'!E105,1),"")</f>
        <v/>
      </c>
      <c r="S101" s="25" t="str">
        <f>IF('ASS END SYNC'!C105="SHOW",FIND(",,",'ASS END SYNC'!E105,R101+1),"")</f>
        <v/>
      </c>
      <c r="T101" s="23" t="str">
        <f>IF('ASS END SYNC'!C105="SHOW",LEFT('ASS END SYNC'!E105,O101),"")</f>
        <v/>
      </c>
      <c r="U101" s="24" t="str">
        <f>IF('ASS END SYNC'!C105="SHOW",MID('ASS END SYNC'!E105,O101+1,P101-O101-1),"")</f>
        <v/>
      </c>
      <c r="V101" s="24" t="str">
        <f>IF(AND('ASS END SYNC'!C105="SHOW",'ASS END SYNC'!C106="SHOW"),U102,IF(AND('ASS END SYNC'!C105="SHOW",'ASS END SYNC'!C106&lt;&gt;"SHOW"),MID('ASS END SYNC'!E105,O101+1,P101-O101-1),""))</f>
        <v/>
      </c>
      <c r="W101" s="23" t="str">
        <f>IF('ASS END SYNC'!C105="SHOW",MID('ASS END SYNC'!E105,Q101+1,S101-Q101+1),"")</f>
        <v/>
      </c>
      <c r="X101" s="23" t="str">
        <f>IF('ASS END SYNC'!C105="SHOW",MID('ASS END SYNC'!E105,S101+2,1000),"")</f>
        <v/>
      </c>
      <c r="Z101" s="24"/>
    </row>
    <row r="102" spans="1:26" x14ac:dyDescent="0.25">
      <c r="A102" s="26">
        <v>99</v>
      </c>
      <c r="B102" s="24" t="str">
        <f>IF('ASS START SYNC'!C106="SHOW",FIND(",",'ASS START SYNC'!E106,1),"")</f>
        <v/>
      </c>
      <c r="C102" s="24" t="str">
        <f>IF('ASS START SYNC'!C106="SHOW",FIND(",",'ASS START SYNC'!E106,B102+1),"")</f>
        <v/>
      </c>
      <c r="D102" s="24" t="str">
        <f>IF('ASS START SYNC'!C106="SHOW",FIND(",",'ASS START SYNC'!E106,C102+1),"")</f>
        <v/>
      </c>
      <c r="E102" s="25" t="str">
        <f>IF('ASS START SYNC'!C106="SHOW",FIND(",,",'ASS START SYNC'!E106,1),"")</f>
        <v/>
      </c>
      <c r="F102" s="25" t="str">
        <f>IF('ASS START SYNC'!C106="SHOW",FIND(",,",'ASS START SYNC'!E106,E102+1),"")</f>
        <v/>
      </c>
      <c r="G102" s="23" t="str">
        <f>IF('ASS START SYNC'!C106="SHOW",LEFT('ASS START SYNC'!E106,B102),"")</f>
        <v/>
      </c>
      <c r="H102" s="24" t="str">
        <f>IF(AND('ASS START SYNC'!C106="SHOW",COUNTA('ASS START SYNC'!$E$8:'ASS START SYNC'!E105)=0),MID('ASS START SYNC'!E106,B102+1,C102-B102-1),IF(AND('ASS START SYNC'!C106="SHOW",COUNTA('ASS START SYNC'!$E$8:'ASS START SYNC'!E105)&lt;&gt;0),I101,""))</f>
        <v/>
      </c>
      <c r="I102" s="24" t="str">
        <f>IF('ASS START SYNC'!C106="SHOW",MID('ASS START SYNC'!E106,C102+1,D102-C102-1),I101)</f>
        <v/>
      </c>
      <c r="J102" s="23" t="str">
        <f>IF('ASS START SYNC'!C106="SHOW",MID('ASS START SYNC'!E106,D102+1,F102-D102+1),"")</f>
        <v/>
      </c>
      <c r="K102" s="23" t="str">
        <f>IF('ASS START SYNC'!C106="SHOW",MID('ASS START SYNC'!E106,F102+2,1000),"")</f>
        <v/>
      </c>
      <c r="M102" s="24"/>
      <c r="N102" s="26">
        <v>99</v>
      </c>
      <c r="O102" s="24" t="str">
        <f>IF('ASS END SYNC'!C106="SHOW",FIND(",",'ASS END SYNC'!E106,1),"")</f>
        <v/>
      </c>
      <c r="P102" s="24" t="str">
        <f>IF('ASS END SYNC'!C106="SHOW",FIND(",",'ASS END SYNC'!E106,O102+1),"")</f>
        <v/>
      </c>
      <c r="Q102" s="24" t="str">
        <f>IF('ASS END SYNC'!C106="SHOW",FIND(",",'ASS END SYNC'!E106,P102+1),"")</f>
        <v/>
      </c>
      <c r="R102" s="25" t="str">
        <f>IF('ASS END SYNC'!C106="SHOW",FIND(",,",'ASS END SYNC'!E106,1),"")</f>
        <v/>
      </c>
      <c r="S102" s="25" t="str">
        <f>IF('ASS END SYNC'!C106="SHOW",FIND(",,",'ASS END SYNC'!E106,R102+1),"")</f>
        <v/>
      </c>
      <c r="T102" s="23" t="str">
        <f>IF('ASS END SYNC'!C106="SHOW",LEFT('ASS END SYNC'!E106,O102),"")</f>
        <v/>
      </c>
      <c r="U102" s="24" t="str">
        <f>IF('ASS END SYNC'!C106="SHOW",MID('ASS END SYNC'!E106,O102+1,P102-O102-1),"")</f>
        <v/>
      </c>
      <c r="V102" s="24" t="str">
        <f>IF(AND('ASS END SYNC'!C106="SHOW",'ASS END SYNC'!C107="SHOW"),U103,IF(AND('ASS END SYNC'!C106="SHOW",'ASS END SYNC'!C107&lt;&gt;"SHOW"),MID('ASS END SYNC'!E106,O102+1,P102-O102-1),""))</f>
        <v/>
      </c>
      <c r="W102" s="23" t="str">
        <f>IF('ASS END SYNC'!C106="SHOW",MID('ASS END SYNC'!E106,Q102+1,S102-Q102+1),"")</f>
        <v/>
      </c>
      <c r="X102" s="23" t="str">
        <f>IF('ASS END SYNC'!C106="SHOW",MID('ASS END SYNC'!E106,S102+2,1000),"")</f>
        <v/>
      </c>
      <c r="Z102" s="24"/>
    </row>
    <row r="103" spans="1:26" x14ac:dyDescent="0.25">
      <c r="A103" s="26">
        <v>100</v>
      </c>
      <c r="B103" s="24" t="str">
        <f>IF('ASS START SYNC'!C107="SHOW",FIND(",",'ASS START SYNC'!E107,1),"")</f>
        <v/>
      </c>
      <c r="C103" s="24" t="str">
        <f>IF('ASS START SYNC'!C107="SHOW",FIND(",",'ASS START SYNC'!E107,B103+1),"")</f>
        <v/>
      </c>
      <c r="D103" s="24" t="str">
        <f>IF('ASS START SYNC'!C107="SHOW",FIND(",",'ASS START SYNC'!E107,C103+1),"")</f>
        <v/>
      </c>
      <c r="E103" s="25" t="str">
        <f>IF('ASS START SYNC'!C107="SHOW",FIND(",,",'ASS START SYNC'!E107,1),"")</f>
        <v/>
      </c>
      <c r="F103" s="25" t="str">
        <f>IF('ASS START SYNC'!C107="SHOW",FIND(",,",'ASS START SYNC'!E107,E103+1),"")</f>
        <v/>
      </c>
      <c r="G103" s="23" t="str">
        <f>IF('ASS START SYNC'!C107="SHOW",LEFT('ASS START SYNC'!E107,B103),"")</f>
        <v/>
      </c>
      <c r="H103" s="24" t="str">
        <f>IF(AND('ASS START SYNC'!C107="SHOW",COUNTA('ASS START SYNC'!$E$8:'ASS START SYNC'!E106)=0),MID('ASS START SYNC'!E107,B103+1,C103-B103-1),IF(AND('ASS START SYNC'!C107="SHOW",COUNTA('ASS START SYNC'!$E$8:'ASS START SYNC'!E106)&lt;&gt;0),I102,""))</f>
        <v/>
      </c>
      <c r="I103" s="24" t="str">
        <f>IF('ASS START SYNC'!C107="SHOW",MID('ASS START SYNC'!E107,C103+1,D103-C103-1),I102)</f>
        <v/>
      </c>
      <c r="J103" s="23" t="str">
        <f>IF('ASS START SYNC'!C107="SHOW",MID('ASS START SYNC'!E107,D103+1,F103-D103+1),"")</f>
        <v/>
      </c>
      <c r="K103" s="23" t="str">
        <f>IF('ASS START SYNC'!C107="SHOW",MID('ASS START SYNC'!E107,F103+2,1000),"")</f>
        <v/>
      </c>
      <c r="M103" s="24"/>
      <c r="N103" s="26">
        <v>100</v>
      </c>
      <c r="O103" s="24" t="str">
        <f>IF('ASS END SYNC'!C107="SHOW",FIND(",",'ASS END SYNC'!E107,1),"")</f>
        <v/>
      </c>
      <c r="P103" s="24" t="str">
        <f>IF('ASS END SYNC'!C107="SHOW",FIND(",",'ASS END SYNC'!E107,O103+1),"")</f>
        <v/>
      </c>
      <c r="Q103" s="24" t="str">
        <f>IF('ASS END SYNC'!C107="SHOW",FIND(",",'ASS END SYNC'!E107,P103+1),"")</f>
        <v/>
      </c>
      <c r="R103" s="25" t="str">
        <f>IF('ASS END SYNC'!C107="SHOW",FIND(",,",'ASS END SYNC'!E107,1),"")</f>
        <v/>
      </c>
      <c r="S103" s="25" t="str">
        <f>IF('ASS END SYNC'!C107="SHOW",FIND(",,",'ASS END SYNC'!E107,R103+1),"")</f>
        <v/>
      </c>
      <c r="T103" s="23" t="str">
        <f>IF('ASS END SYNC'!C107="SHOW",LEFT('ASS END SYNC'!E107,O103),"")</f>
        <v/>
      </c>
      <c r="U103" s="24" t="str">
        <f>IF('ASS END SYNC'!C107="SHOW",MID('ASS END SYNC'!E107,O103+1,P103-O103-1),"")</f>
        <v/>
      </c>
      <c r="V103" s="24" t="str">
        <f>IF(AND('ASS END SYNC'!C107="SHOW",'ASS END SYNC'!C108="SHOW"),U104,IF(AND('ASS END SYNC'!C107="SHOW",'ASS END SYNC'!C108&lt;&gt;"SHOW"),MID('ASS END SYNC'!E107,O103+1,P103-O103-1),""))</f>
        <v/>
      </c>
      <c r="W103" s="23" t="str">
        <f>IF('ASS END SYNC'!C107="SHOW",MID('ASS END SYNC'!E107,Q103+1,S103-Q103+1),"")</f>
        <v/>
      </c>
      <c r="X103" s="23" t="str">
        <f>IF('ASS END SYNC'!C107="SHOW",MID('ASS END SYNC'!E107,S103+2,1000),"")</f>
        <v/>
      </c>
      <c r="Z103" s="24"/>
    </row>
    <row r="104" spans="1:26" x14ac:dyDescent="0.25">
      <c r="A104" s="26">
        <v>101</v>
      </c>
      <c r="B104" s="24" t="str">
        <f>IF('ASS START SYNC'!C108="SHOW",FIND(",",'ASS START SYNC'!E108,1),"")</f>
        <v/>
      </c>
      <c r="C104" s="24" t="str">
        <f>IF('ASS START SYNC'!C108="SHOW",FIND(",",'ASS START SYNC'!E108,B104+1),"")</f>
        <v/>
      </c>
      <c r="D104" s="24" t="str">
        <f>IF('ASS START SYNC'!C108="SHOW",FIND(",",'ASS START SYNC'!E108,C104+1),"")</f>
        <v/>
      </c>
      <c r="E104" s="25" t="str">
        <f>IF('ASS START SYNC'!C108="SHOW",FIND(",,",'ASS START SYNC'!E108,1),"")</f>
        <v/>
      </c>
      <c r="F104" s="25" t="str">
        <f>IF('ASS START SYNC'!C108="SHOW",FIND(",,",'ASS START SYNC'!E108,E104+1),"")</f>
        <v/>
      </c>
      <c r="G104" s="23" t="str">
        <f>IF('ASS START SYNC'!C108="SHOW",LEFT('ASS START SYNC'!E108,B104),"")</f>
        <v/>
      </c>
      <c r="H104" s="24" t="str">
        <f>IF(AND('ASS START SYNC'!C108="SHOW",COUNTA('ASS START SYNC'!$E$8:'ASS START SYNC'!E107)=0),MID('ASS START SYNC'!E108,B104+1,C104-B104-1),IF(AND('ASS START SYNC'!C108="SHOW",COUNTA('ASS START SYNC'!$E$8:'ASS START SYNC'!E107)&lt;&gt;0),I103,""))</f>
        <v/>
      </c>
      <c r="I104" s="24" t="str">
        <f>IF('ASS START SYNC'!C108="SHOW",MID('ASS START SYNC'!E108,C104+1,D104-C104-1),I103)</f>
        <v/>
      </c>
      <c r="J104" s="23" t="str">
        <f>IF('ASS START SYNC'!C108="SHOW",MID('ASS START SYNC'!E108,D104+1,F104-D104+1),"")</f>
        <v/>
      </c>
      <c r="K104" s="23" t="str">
        <f>IF('ASS START SYNC'!C108="SHOW",MID('ASS START SYNC'!E108,F104+2,1000),"")</f>
        <v/>
      </c>
      <c r="M104" s="24"/>
      <c r="N104" s="26">
        <v>101</v>
      </c>
      <c r="O104" s="24" t="str">
        <f>IF('ASS END SYNC'!C108="SHOW",FIND(",",'ASS END SYNC'!E108,1),"")</f>
        <v/>
      </c>
      <c r="P104" s="24" t="str">
        <f>IF('ASS END SYNC'!C108="SHOW",FIND(",",'ASS END SYNC'!E108,O104+1),"")</f>
        <v/>
      </c>
      <c r="Q104" s="24" t="str">
        <f>IF('ASS END SYNC'!C108="SHOW",FIND(",",'ASS END SYNC'!E108,P104+1),"")</f>
        <v/>
      </c>
      <c r="R104" s="25" t="str">
        <f>IF('ASS END SYNC'!C108="SHOW",FIND(",,",'ASS END SYNC'!E108,1),"")</f>
        <v/>
      </c>
      <c r="S104" s="25" t="str">
        <f>IF('ASS END SYNC'!C108="SHOW",FIND(",,",'ASS END SYNC'!E108,R104+1),"")</f>
        <v/>
      </c>
      <c r="T104" s="23" t="str">
        <f>IF('ASS END SYNC'!C108="SHOW",LEFT('ASS END SYNC'!E108,O104),"")</f>
        <v/>
      </c>
      <c r="U104" s="24" t="str">
        <f>IF('ASS END SYNC'!C108="SHOW",MID('ASS END SYNC'!E108,O104+1,P104-O104-1),"")</f>
        <v/>
      </c>
      <c r="V104" s="24" t="str">
        <f>IF(AND('ASS END SYNC'!C108="SHOW",'ASS END SYNC'!C109="SHOW"),U105,IF(AND('ASS END SYNC'!C108="SHOW",'ASS END SYNC'!C109&lt;&gt;"SHOW"),MID('ASS END SYNC'!E108,O104+1,P104-O104-1),""))</f>
        <v/>
      </c>
      <c r="W104" s="23" t="str">
        <f>IF('ASS END SYNC'!C108="SHOW",MID('ASS END SYNC'!E108,Q104+1,S104-Q104+1),"")</f>
        <v/>
      </c>
      <c r="X104" s="23" t="str">
        <f>IF('ASS END SYNC'!C108="SHOW",MID('ASS END SYNC'!E108,S104+2,1000),"")</f>
        <v/>
      </c>
      <c r="Z104" s="24"/>
    </row>
    <row r="105" spans="1:26" x14ac:dyDescent="0.25">
      <c r="A105" s="26">
        <v>102</v>
      </c>
      <c r="B105" s="24" t="str">
        <f>IF('ASS START SYNC'!C109="SHOW",FIND(",",'ASS START SYNC'!E109,1),"")</f>
        <v/>
      </c>
      <c r="C105" s="24" t="str">
        <f>IF('ASS START SYNC'!C109="SHOW",FIND(",",'ASS START SYNC'!E109,B105+1),"")</f>
        <v/>
      </c>
      <c r="D105" s="24" t="str">
        <f>IF('ASS START SYNC'!C109="SHOW",FIND(",",'ASS START SYNC'!E109,C105+1),"")</f>
        <v/>
      </c>
      <c r="E105" s="25" t="str">
        <f>IF('ASS START SYNC'!C109="SHOW",FIND(",,",'ASS START SYNC'!E109,1),"")</f>
        <v/>
      </c>
      <c r="F105" s="25" t="str">
        <f>IF('ASS START SYNC'!C109="SHOW",FIND(",,",'ASS START SYNC'!E109,E105+1),"")</f>
        <v/>
      </c>
      <c r="G105" s="23" t="str">
        <f>IF('ASS START SYNC'!C109="SHOW",LEFT('ASS START SYNC'!E109,B105),"")</f>
        <v/>
      </c>
      <c r="H105" s="24" t="str">
        <f>IF(AND('ASS START SYNC'!C109="SHOW",COUNTA('ASS START SYNC'!$E$8:'ASS START SYNC'!E108)=0),MID('ASS START SYNC'!E109,B105+1,C105-B105-1),IF(AND('ASS START SYNC'!C109="SHOW",COUNTA('ASS START SYNC'!$E$8:'ASS START SYNC'!E108)&lt;&gt;0),I104,""))</f>
        <v/>
      </c>
      <c r="I105" s="24" t="str">
        <f>IF('ASS START SYNC'!C109="SHOW",MID('ASS START SYNC'!E109,C105+1,D105-C105-1),I104)</f>
        <v/>
      </c>
      <c r="J105" s="23" t="str">
        <f>IF('ASS START SYNC'!C109="SHOW",MID('ASS START SYNC'!E109,D105+1,F105-D105+1),"")</f>
        <v/>
      </c>
      <c r="K105" s="23" t="str">
        <f>IF('ASS START SYNC'!C109="SHOW",MID('ASS START SYNC'!E109,F105+2,1000),"")</f>
        <v/>
      </c>
      <c r="M105" s="24"/>
      <c r="N105" s="26">
        <v>102</v>
      </c>
      <c r="O105" s="24" t="str">
        <f>IF('ASS END SYNC'!C109="SHOW",FIND(",",'ASS END SYNC'!E109,1),"")</f>
        <v/>
      </c>
      <c r="P105" s="24" t="str">
        <f>IF('ASS END SYNC'!C109="SHOW",FIND(",",'ASS END SYNC'!E109,O105+1),"")</f>
        <v/>
      </c>
      <c r="Q105" s="24" t="str">
        <f>IF('ASS END SYNC'!C109="SHOW",FIND(",",'ASS END SYNC'!E109,P105+1),"")</f>
        <v/>
      </c>
      <c r="R105" s="25" t="str">
        <f>IF('ASS END SYNC'!C109="SHOW",FIND(",,",'ASS END SYNC'!E109,1),"")</f>
        <v/>
      </c>
      <c r="S105" s="25" t="str">
        <f>IF('ASS END SYNC'!C109="SHOW",FIND(",,",'ASS END SYNC'!E109,R105+1),"")</f>
        <v/>
      </c>
      <c r="T105" s="23" t="str">
        <f>IF('ASS END SYNC'!C109="SHOW",LEFT('ASS END SYNC'!E109,O105),"")</f>
        <v/>
      </c>
      <c r="U105" s="24" t="str">
        <f>IF('ASS END SYNC'!C109="SHOW",MID('ASS END SYNC'!E109,O105+1,P105-O105-1),"")</f>
        <v/>
      </c>
      <c r="V105" s="24" t="str">
        <f>IF(AND('ASS END SYNC'!C109="SHOW",'ASS END SYNC'!C110="SHOW"),U106,IF(AND('ASS END SYNC'!C109="SHOW",'ASS END SYNC'!C110&lt;&gt;"SHOW"),MID('ASS END SYNC'!E109,O105+1,P105-O105-1),""))</f>
        <v/>
      </c>
      <c r="W105" s="23" t="str">
        <f>IF('ASS END SYNC'!C109="SHOW",MID('ASS END SYNC'!E109,Q105+1,S105-Q105+1),"")</f>
        <v/>
      </c>
      <c r="X105" s="23" t="str">
        <f>IF('ASS END SYNC'!C109="SHOW",MID('ASS END SYNC'!E109,S105+2,1000),"")</f>
        <v/>
      </c>
      <c r="Z105" s="24"/>
    </row>
    <row r="106" spans="1:26" x14ac:dyDescent="0.25">
      <c r="A106" s="26">
        <v>103</v>
      </c>
      <c r="B106" s="24" t="str">
        <f>IF('ASS START SYNC'!C110="SHOW",FIND(",",'ASS START SYNC'!E110,1),"")</f>
        <v/>
      </c>
      <c r="C106" s="24" t="str">
        <f>IF('ASS START SYNC'!C110="SHOW",FIND(",",'ASS START SYNC'!E110,B106+1),"")</f>
        <v/>
      </c>
      <c r="D106" s="24" t="str">
        <f>IF('ASS START SYNC'!C110="SHOW",FIND(",",'ASS START SYNC'!E110,C106+1),"")</f>
        <v/>
      </c>
      <c r="E106" s="25" t="str">
        <f>IF('ASS START SYNC'!C110="SHOW",FIND(",,",'ASS START SYNC'!E110,1),"")</f>
        <v/>
      </c>
      <c r="F106" s="25" t="str">
        <f>IF('ASS START SYNC'!C110="SHOW",FIND(",,",'ASS START SYNC'!E110,E106+1),"")</f>
        <v/>
      </c>
      <c r="G106" s="23" t="str">
        <f>IF('ASS START SYNC'!C110="SHOW",LEFT('ASS START SYNC'!E110,B106),"")</f>
        <v/>
      </c>
      <c r="H106" s="24" t="str">
        <f>IF(AND('ASS START SYNC'!C110="SHOW",COUNTA('ASS START SYNC'!$E$8:'ASS START SYNC'!E109)=0),MID('ASS START SYNC'!E110,B106+1,C106-B106-1),IF(AND('ASS START SYNC'!C110="SHOW",COUNTA('ASS START SYNC'!$E$8:'ASS START SYNC'!E109)&lt;&gt;0),I105,""))</f>
        <v/>
      </c>
      <c r="I106" s="24" t="str">
        <f>IF('ASS START SYNC'!C110="SHOW",MID('ASS START SYNC'!E110,C106+1,D106-C106-1),I105)</f>
        <v/>
      </c>
      <c r="J106" s="23" t="str">
        <f>IF('ASS START SYNC'!C110="SHOW",MID('ASS START SYNC'!E110,D106+1,F106-D106+1),"")</f>
        <v/>
      </c>
      <c r="K106" s="23" t="str">
        <f>IF('ASS START SYNC'!C110="SHOW",MID('ASS START SYNC'!E110,F106+2,1000),"")</f>
        <v/>
      </c>
      <c r="M106" s="24"/>
      <c r="N106" s="26">
        <v>103</v>
      </c>
      <c r="O106" s="24" t="str">
        <f>IF('ASS END SYNC'!C110="SHOW",FIND(",",'ASS END SYNC'!E110,1),"")</f>
        <v/>
      </c>
      <c r="P106" s="24" t="str">
        <f>IF('ASS END SYNC'!C110="SHOW",FIND(",",'ASS END SYNC'!E110,O106+1),"")</f>
        <v/>
      </c>
      <c r="Q106" s="24" t="str">
        <f>IF('ASS END SYNC'!C110="SHOW",FIND(",",'ASS END SYNC'!E110,P106+1),"")</f>
        <v/>
      </c>
      <c r="R106" s="25" t="str">
        <f>IF('ASS END SYNC'!C110="SHOW",FIND(",,",'ASS END SYNC'!E110,1),"")</f>
        <v/>
      </c>
      <c r="S106" s="25" t="str">
        <f>IF('ASS END SYNC'!C110="SHOW",FIND(",,",'ASS END SYNC'!E110,R106+1),"")</f>
        <v/>
      </c>
      <c r="T106" s="23" t="str">
        <f>IF('ASS END SYNC'!C110="SHOW",LEFT('ASS END SYNC'!E110,O106),"")</f>
        <v/>
      </c>
      <c r="U106" s="24" t="str">
        <f>IF('ASS END SYNC'!C110="SHOW",MID('ASS END SYNC'!E110,O106+1,P106-O106-1),"")</f>
        <v/>
      </c>
      <c r="V106" s="24" t="str">
        <f>IF(AND('ASS END SYNC'!C110="SHOW",'ASS END SYNC'!C111="SHOW"),U107,IF(AND('ASS END SYNC'!C110="SHOW",'ASS END SYNC'!C111&lt;&gt;"SHOW"),MID('ASS END SYNC'!E110,O106+1,P106-O106-1),""))</f>
        <v/>
      </c>
      <c r="W106" s="23" t="str">
        <f>IF('ASS END SYNC'!C110="SHOW",MID('ASS END SYNC'!E110,Q106+1,S106-Q106+1),"")</f>
        <v/>
      </c>
      <c r="X106" s="23" t="str">
        <f>IF('ASS END SYNC'!C110="SHOW",MID('ASS END SYNC'!E110,S106+2,1000),"")</f>
        <v/>
      </c>
      <c r="Z106" s="24"/>
    </row>
    <row r="107" spans="1:26" x14ac:dyDescent="0.25">
      <c r="A107" s="26">
        <v>104</v>
      </c>
      <c r="B107" s="24" t="str">
        <f>IF('ASS START SYNC'!C111="SHOW",FIND(",",'ASS START SYNC'!E111,1),"")</f>
        <v/>
      </c>
      <c r="C107" s="24" t="str">
        <f>IF('ASS START SYNC'!C111="SHOW",FIND(",",'ASS START SYNC'!E111,B107+1),"")</f>
        <v/>
      </c>
      <c r="D107" s="24" t="str">
        <f>IF('ASS START SYNC'!C111="SHOW",FIND(",",'ASS START SYNC'!E111,C107+1),"")</f>
        <v/>
      </c>
      <c r="E107" s="25" t="str">
        <f>IF('ASS START SYNC'!C111="SHOW",FIND(",,",'ASS START SYNC'!E111,1),"")</f>
        <v/>
      </c>
      <c r="F107" s="25" t="str">
        <f>IF('ASS START SYNC'!C111="SHOW",FIND(",,",'ASS START SYNC'!E111,E107+1),"")</f>
        <v/>
      </c>
      <c r="G107" s="23" t="str">
        <f>IF('ASS START SYNC'!C111="SHOW",LEFT('ASS START SYNC'!E111,B107),"")</f>
        <v/>
      </c>
      <c r="H107" s="24" t="str">
        <f>IF(AND('ASS START SYNC'!C111="SHOW",COUNTA('ASS START SYNC'!$E$8:'ASS START SYNC'!E110)=0),MID('ASS START SYNC'!E111,B107+1,C107-B107-1),IF(AND('ASS START SYNC'!C111="SHOW",COUNTA('ASS START SYNC'!$E$8:'ASS START SYNC'!E110)&lt;&gt;0),I106,""))</f>
        <v/>
      </c>
      <c r="I107" s="24" t="str">
        <f>IF('ASS START SYNC'!C111="SHOW",MID('ASS START SYNC'!E111,C107+1,D107-C107-1),I106)</f>
        <v/>
      </c>
      <c r="J107" s="23" t="str">
        <f>IF('ASS START SYNC'!C111="SHOW",MID('ASS START SYNC'!E111,D107+1,F107-D107+1),"")</f>
        <v/>
      </c>
      <c r="K107" s="23" t="str">
        <f>IF('ASS START SYNC'!C111="SHOW",MID('ASS START SYNC'!E111,F107+2,1000),"")</f>
        <v/>
      </c>
      <c r="M107" s="24"/>
      <c r="N107" s="26">
        <v>104</v>
      </c>
      <c r="O107" s="24" t="str">
        <f>IF('ASS END SYNC'!C111="SHOW",FIND(",",'ASS END SYNC'!E111,1),"")</f>
        <v/>
      </c>
      <c r="P107" s="24" t="str">
        <f>IF('ASS END SYNC'!C111="SHOW",FIND(",",'ASS END SYNC'!E111,O107+1),"")</f>
        <v/>
      </c>
      <c r="Q107" s="24" t="str">
        <f>IF('ASS END SYNC'!C111="SHOW",FIND(",",'ASS END SYNC'!E111,P107+1),"")</f>
        <v/>
      </c>
      <c r="R107" s="25" t="str">
        <f>IF('ASS END SYNC'!C111="SHOW",FIND(",,",'ASS END SYNC'!E111,1),"")</f>
        <v/>
      </c>
      <c r="S107" s="25" t="str">
        <f>IF('ASS END SYNC'!C111="SHOW",FIND(",,",'ASS END SYNC'!E111,R107+1),"")</f>
        <v/>
      </c>
      <c r="T107" s="23" t="str">
        <f>IF('ASS END SYNC'!C111="SHOW",LEFT('ASS END SYNC'!E111,O107),"")</f>
        <v/>
      </c>
      <c r="U107" s="24" t="str">
        <f>IF('ASS END SYNC'!C111="SHOW",MID('ASS END SYNC'!E111,O107+1,P107-O107-1),"")</f>
        <v/>
      </c>
      <c r="V107" s="24" t="str">
        <f>IF(AND('ASS END SYNC'!C111="SHOW",'ASS END SYNC'!C112="SHOW"),U108,IF(AND('ASS END SYNC'!C111="SHOW",'ASS END SYNC'!C112&lt;&gt;"SHOW"),MID('ASS END SYNC'!E111,O107+1,P107-O107-1),""))</f>
        <v/>
      </c>
      <c r="W107" s="23" t="str">
        <f>IF('ASS END SYNC'!C111="SHOW",MID('ASS END SYNC'!E111,Q107+1,S107-Q107+1),"")</f>
        <v/>
      </c>
      <c r="X107" s="23" t="str">
        <f>IF('ASS END SYNC'!C111="SHOW",MID('ASS END SYNC'!E111,S107+2,1000),"")</f>
        <v/>
      </c>
      <c r="Z107" s="24"/>
    </row>
    <row r="108" spans="1:26" x14ac:dyDescent="0.25">
      <c r="A108" s="26">
        <v>105</v>
      </c>
      <c r="B108" s="24" t="str">
        <f>IF('ASS START SYNC'!C112="SHOW",FIND(",",'ASS START SYNC'!E112,1),"")</f>
        <v/>
      </c>
      <c r="C108" s="24" t="str">
        <f>IF('ASS START SYNC'!C112="SHOW",FIND(",",'ASS START SYNC'!E112,B108+1),"")</f>
        <v/>
      </c>
      <c r="D108" s="24" t="str">
        <f>IF('ASS START SYNC'!C112="SHOW",FIND(",",'ASS START SYNC'!E112,C108+1),"")</f>
        <v/>
      </c>
      <c r="E108" s="25" t="str">
        <f>IF('ASS START SYNC'!C112="SHOW",FIND(",,",'ASS START SYNC'!E112,1),"")</f>
        <v/>
      </c>
      <c r="F108" s="25" t="str">
        <f>IF('ASS START SYNC'!C112="SHOW",FIND(",,",'ASS START SYNC'!E112,E108+1),"")</f>
        <v/>
      </c>
      <c r="G108" s="23" t="str">
        <f>IF('ASS START SYNC'!C112="SHOW",LEFT('ASS START SYNC'!E112,B108),"")</f>
        <v/>
      </c>
      <c r="H108" s="24" t="str">
        <f>IF(AND('ASS START SYNC'!C112="SHOW",COUNTA('ASS START SYNC'!$E$8:'ASS START SYNC'!E111)=0),MID('ASS START SYNC'!E112,B108+1,C108-B108-1),IF(AND('ASS START SYNC'!C112="SHOW",COUNTA('ASS START SYNC'!$E$8:'ASS START SYNC'!E111)&lt;&gt;0),I107,""))</f>
        <v/>
      </c>
      <c r="I108" s="24" t="str">
        <f>IF('ASS START SYNC'!C112="SHOW",MID('ASS START SYNC'!E112,C108+1,D108-C108-1),I107)</f>
        <v/>
      </c>
      <c r="J108" s="23" t="str">
        <f>IF('ASS START SYNC'!C112="SHOW",MID('ASS START SYNC'!E112,D108+1,F108-D108+1),"")</f>
        <v/>
      </c>
      <c r="K108" s="23" t="str">
        <f>IF('ASS START SYNC'!C112="SHOW",MID('ASS START SYNC'!E112,F108+2,1000),"")</f>
        <v/>
      </c>
      <c r="M108" s="24"/>
      <c r="N108" s="26">
        <v>105</v>
      </c>
      <c r="O108" s="24" t="str">
        <f>IF('ASS END SYNC'!C112="SHOW",FIND(",",'ASS END SYNC'!E112,1),"")</f>
        <v/>
      </c>
      <c r="P108" s="24" t="str">
        <f>IF('ASS END SYNC'!C112="SHOW",FIND(",",'ASS END SYNC'!E112,O108+1),"")</f>
        <v/>
      </c>
      <c r="Q108" s="24" t="str">
        <f>IF('ASS END SYNC'!C112="SHOW",FIND(",",'ASS END SYNC'!E112,P108+1),"")</f>
        <v/>
      </c>
      <c r="R108" s="25" t="str">
        <f>IF('ASS END SYNC'!C112="SHOW",FIND(",,",'ASS END SYNC'!E112,1),"")</f>
        <v/>
      </c>
      <c r="S108" s="25" t="str">
        <f>IF('ASS END SYNC'!C112="SHOW",FIND(",,",'ASS END SYNC'!E112,R108+1),"")</f>
        <v/>
      </c>
      <c r="T108" s="23" t="str">
        <f>IF('ASS END SYNC'!C112="SHOW",LEFT('ASS END SYNC'!E112,O108),"")</f>
        <v/>
      </c>
      <c r="U108" s="24" t="str">
        <f>IF('ASS END SYNC'!C112="SHOW",MID('ASS END SYNC'!E112,O108+1,P108-O108-1),"")</f>
        <v/>
      </c>
      <c r="V108" s="24" t="str">
        <f>IF(AND('ASS END SYNC'!C112="SHOW",'ASS END SYNC'!C113="SHOW"),U109,IF(AND('ASS END SYNC'!C112="SHOW",'ASS END SYNC'!C113&lt;&gt;"SHOW"),MID('ASS END SYNC'!E112,O108+1,P108-O108-1),""))</f>
        <v/>
      </c>
      <c r="W108" s="23" t="str">
        <f>IF('ASS END SYNC'!C112="SHOW",MID('ASS END SYNC'!E112,Q108+1,S108-Q108+1),"")</f>
        <v/>
      </c>
      <c r="X108" s="23" t="str">
        <f>IF('ASS END SYNC'!C112="SHOW",MID('ASS END SYNC'!E112,S108+2,1000),"")</f>
        <v/>
      </c>
      <c r="Z108" s="24"/>
    </row>
    <row r="109" spans="1:26" x14ac:dyDescent="0.25">
      <c r="A109" s="26">
        <v>106</v>
      </c>
      <c r="B109" s="24" t="str">
        <f>IF('ASS START SYNC'!C113="SHOW",FIND(",",'ASS START SYNC'!E113,1),"")</f>
        <v/>
      </c>
      <c r="C109" s="24" t="str">
        <f>IF('ASS START SYNC'!C113="SHOW",FIND(",",'ASS START SYNC'!E113,B109+1),"")</f>
        <v/>
      </c>
      <c r="D109" s="24" t="str">
        <f>IF('ASS START SYNC'!C113="SHOW",FIND(",",'ASS START SYNC'!E113,C109+1),"")</f>
        <v/>
      </c>
      <c r="E109" s="25" t="str">
        <f>IF('ASS START SYNC'!C113="SHOW",FIND(",,",'ASS START SYNC'!E113,1),"")</f>
        <v/>
      </c>
      <c r="F109" s="25" t="str">
        <f>IF('ASS START SYNC'!C113="SHOW",FIND(",,",'ASS START SYNC'!E113,E109+1),"")</f>
        <v/>
      </c>
      <c r="G109" s="23" t="str">
        <f>IF('ASS START SYNC'!C113="SHOW",LEFT('ASS START SYNC'!E113,B109),"")</f>
        <v/>
      </c>
      <c r="H109" s="24" t="str">
        <f>IF(AND('ASS START SYNC'!C113="SHOW",COUNTA('ASS START SYNC'!$E$8:'ASS START SYNC'!E112)=0),MID('ASS START SYNC'!E113,B109+1,C109-B109-1),IF(AND('ASS START SYNC'!C113="SHOW",COUNTA('ASS START SYNC'!$E$8:'ASS START SYNC'!E112)&lt;&gt;0),I108,""))</f>
        <v/>
      </c>
      <c r="I109" s="24" t="str">
        <f>IF('ASS START SYNC'!C113="SHOW",MID('ASS START SYNC'!E113,C109+1,D109-C109-1),I108)</f>
        <v/>
      </c>
      <c r="J109" s="23" t="str">
        <f>IF('ASS START SYNC'!C113="SHOW",MID('ASS START SYNC'!E113,D109+1,F109-D109+1),"")</f>
        <v/>
      </c>
      <c r="K109" s="23" t="str">
        <f>IF('ASS START SYNC'!C113="SHOW",MID('ASS START SYNC'!E113,F109+2,1000),"")</f>
        <v/>
      </c>
      <c r="M109" s="24"/>
      <c r="N109" s="26">
        <v>106</v>
      </c>
      <c r="O109" s="24" t="str">
        <f>IF('ASS END SYNC'!C113="SHOW",FIND(",",'ASS END SYNC'!E113,1),"")</f>
        <v/>
      </c>
      <c r="P109" s="24" t="str">
        <f>IF('ASS END SYNC'!C113="SHOW",FIND(",",'ASS END SYNC'!E113,O109+1),"")</f>
        <v/>
      </c>
      <c r="Q109" s="24" t="str">
        <f>IF('ASS END SYNC'!C113="SHOW",FIND(",",'ASS END SYNC'!E113,P109+1),"")</f>
        <v/>
      </c>
      <c r="R109" s="25" t="str">
        <f>IF('ASS END SYNC'!C113="SHOW",FIND(",,",'ASS END SYNC'!E113,1),"")</f>
        <v/>
      </c>
      <c r="S109" s="25" t="str">
        <f>IF('ASS END SYNC'!C113="SHOW",FIND(",,",'ASS END SYNC'!E113,R109+1),"")</f>
        <v/>
      </c>
      <c r="T109" s="23" t="str">
        <f>IF('ASS END SYNC'!C113="SHOW",LEFT('ASS END SYNC'!E113,O109),"")</f>
        <v/>
      </c>
      <c r="U109" s="24" t="str">
        <f>IF('ASS END SYNC'!C113="SHOW",MID('ASS END SYNC'!E113,O109+1,P109-O109-1),"")</f>
        <v/>
      </c>
      <c r="V109" s="24" t="str">
        <f>IF(AND('ASS END SYNC'!C113="SHOW",'ASS END SYNC'!C114="SHOW"),U110,IF(AND('ASS END SYNC'!C113="SHOW",'ASS END SYNC'!C114&lt;&gt;"SHOW"),MID('ASS END SYNC'!E113,O109+1,P109-O109-1),""))</f>
        <v/>
      </c>
      <c r="W109" s="23" t="str">
        <f>IF('ASS END SYNC'!C113="SHOW",MID('ASS END SYNC'!E113,Q109+1,S109-Q109+1),"")</f>
        <v/>
      </c>
      <c r="X109" s="23" t="str">
        <f>IF('ASS END SYNC'!C113="SHOW",MID('ASS END SYNC'!E113,S109+2,1000),"")</f>
        <v/>
      </c>
      <c r="Z109" s="24"/>
    </row>
    <row r="110" spans="1:26" x14ac:dyDescent="0.25">
      <c r="A110" s="26">
        <v>107</v>
      </c>
      <c r="B110" s="24" t="str">
        <f>IF('ASS START SYNC'!C114="SHOW",FIND(",",'ASS START SYNC'!E114,1),"")</f>
        <v/>
      </c>
      <c r="C110" s="24" t="str">
        <f>IF('ASS START SYNC'!C114="SHOW",FIND(",",'ASS START SYNC'!E114,B110+1),"")</f>
        <v/>
      </c>
      <c r="D110" s="24" t="str">
        <f>IF('ASS START SYNC'!C114="SHOW",FIND(",",'ASS START SYNC'!E114,C110+1),"")</f>
        <v/>
      </c>
      <c r="E110" s="25" t="str">
        <f>IF('ASS START SYNC'!C114="SHOW",FIND(",,",'ASS START SYNC'!E114,1),"")</f>
        <v/>
      </c>
      <c r="F110" s="25" t="str">
        <f>IF('ASS START SYNC'!C114="SHOW",FIND(",,",'ASS START SYNC'!E114,E110+1),"")</f>
        <v/>
      </c>
      <c r="G110" s="23" t="str">
        <f>IF('ASS START SYNC'!C114="SHOW",LEFT('ASS START SYNC'!E114,B110),"")</f>
        <v/>
      </c>
      <c r="H110" s="24" t="str">
        <f>IF(AND('ASS START SYNC'!C114="SHOW",COUNTA('ASS START SYNC'!$E$8:'ASS START SYNC'!E113)=0),MID('ASS START SYNC'!E114,B110+1,C110-B110-1),IF(AND('ASS START SYNC'!C114="SHOW",COUNTA('ASS START SYNC'!$E$8:'ASS START SYNC'!E113)&lt;&gt;0),I109,""))</f>
        <v/>
      </c>
      <c r="I110" s="24" t="str">
        <f>IF('ASS START SYNC'!C114="SHOW",MID('ASS START SYNC'!E114,C110+1,D110-C110-1),I109)</f>
        <v/>
      </c>
      <c r="J110" s="23" t="str">
        <f>IF('ASS START SYNC'!C114="SHOW",MID('ASS START SYNC'!E114,D110+1,F110-D110+1),"")</f>
        <v/>
      </c>
      <c r="K110" s="23" t="str">
        <f>IF('ASS START SYNC'!C114="SHOW",MID('ASS START SYNC'!E114,F110+2,1000),"")</f>
        <v/>
      </c>
      <c r="M110" s="24"/>
      <c r="N110" s="26">
        <v>107</v>
      </c>
      <c r="O110" s="24" t="str">
        <f>IF('ASS END SYNC'!C114="SHOW",FIND(",",'ASS END SYNC'!E114,1),"")</f>
        <v/>
      </c>
      <c r="P110" s="24" t="str">
        <f>IF('ASS END SYNC'!C114="SHOW",FIND(",",'ASS END SYNC'!E114,O110+1),"")</f>
        <v/>
      </c>
      <c r="Q110" s="24" t="str">
        <f>IF('ASS END SYNC'!C114="SHOW",FIND(",",'ASS END SYNC'!E114,P110+1),"")</f>
        <v/>
      </c>
      <c r="R110" s="25" t="str">
        <f>IF('ASS END SYNC'!C114="SHOW",FIND(",,",'ASS END SYNC'!E114,1),"")</f>
        <v/>
      </c>
      <c r="S110" s="25" t="str">
        <f>IF('ASS END SYNC'!C114="SHOW",FIND(",,",'ASS END SYNC'!E114,R110+1),"")</f>
        <v/>
      </c>
      <c r="T110" s="23" t="str">
        <f>IF('ASS END SYNC'!C114="SHOW",LEFT('ASS END SYNC'!E114,O110),"")</f>
        <v/>
      </c>
      <c r="U110" s="24" t="str">
        <f>IF('ASS END SYNC'!C114="SHOW",MID('ASS END SYNC'!E114,O110+1,P110-O110-1),"")</f>
        <v/>
      </c>
      <c r="V110" s="24" t="str">
        <f>IF(AND('ASS END SYNC'!C114="SHOW",'ASS END SYNC'!C115="SHOW"),U111,IF(AND('ASS END SYNC'!C114="SHOW",'ASS END SYNC'!C115&lt;&gt;"SHOW"),MID('ASS END SYNC'!E114,O110+1,P110-O110-1),""))</f>
        <v/>
      </c>
      <c r="W110" s="23" t="str">
        <f>IF('ASS END SYNC'!C114="SHOW",MID('ASS END SYNC'!E114,Q110+1,S110-Q110+1),"")</f>
        <v/>
      </c>
      <c r="X110" s="23" t="str">
        <f>IF('ASS END SYNC'!C114="SHOW",MID('ASS END SYNC'!E114,S110+2,1000),"")</f>
        <v/>
      </c>
      <c r="Z110" s="24"/>
    </row>
    <row r="111" spans="1:26" x14ac:dyDescent="0.25">
      <c r="A111" s="26">
        <v>108</v>
      </c>
      <c r="B111" s="24" t="str">
        <f>IF('ASS START SYNC'!C115="SHOW",FIND(",",'ASS START SYNC'!E115,1),"")</f>
        <v/>
      </c>
      <c r="C111" s="24" t="str">
        <f>IF('ASS START SYNC'!C115="SHOW",FIND(",",'ASS START SYNC'!E115,B111+1),"")</f>
        <v/>
      </c>
      <c r="D111" s="24" t="str">
        <f>IF('ASS START SYNC'!C115="SHOW",FIND(",",'ASS START SYNC'!E115,C111+1),"")</f>
        <v/>
      </c>
      <c r="E111" s="25" t="str">
        <f>IF('ASS START SYNC'!C115="SHOW",FIND(",,",'ASS START SYNC'!E115,1),"")</f>
        <v/>
      </c>
      <c r="F111" s="25" t="str">
        <f>IF('ASS START SYNC'!C115="SHOW",FIND(",,",'ASS START SYNC'!E115,E111+1),"")</f>
        <v/>
      </c>
      <c r="G111" s="23" t="str">
        <f>IF('ASS START SYNC'!C115="SHOW",LEFT('ASS START SYNC'!E115,B111),"")</f>
        <v/>
      </c>
      <c r="H111" s="24" t="str">
        <f>IF(AND('ASS START SYNC'!C115="SHOW",COUNTA('ASS START SYNC'!$E$8:'ASS START SYNC'!E114)=0),MID('ASS START SYNC'!E115,B111+1,C111-B111-1),IF(AND('ASS START SYNC'!C115="SHOW",COUNTA('ASS START SYNC'!$E$8:'ASS START SYNC'!E114)&lt;&gt;0),I110,""))</f>
        <v/>
      </c>
      <c r="I111" s="24" t="str">
        <f>IF('ASS START SYNC'!C115="SHOW",MID('ASS START SYNC'!E115,C111+1,D111-C111-1),I110)</f>
        <v/>
      </c>
      <c r="J111" s="23" t="str">
        <f>IF('ASS START SYNC'!C115="SHOW",MID('ASS START SYNC'!E115,D111+1,F111-D111+1),"")</f>
        <v/>
      </c>
      <c r="K111" s="23" t="str">
        <f>IF('ASS START SYNC'!C115="SHOW",MID('ASS START SYNC'!E115,F111+2,1000),"")</f>
        <v/>
      </c>
      <c r="M111" s="24"/>
      <c r="N111" s="26">
        <v>108</v>
      </c>
      <c r="O111" s="24" t="str">
        <f>IF('ASS END SYNC'!C115="SHOW",FIND(",",'ASS END SYNC'!E115,1),"")</f>
        <v/>
      </c>
      <c r="P111" s="24" t="str">
        <f>IF('ASS END SYNC'!C115="SHOW",FIND(",",'ASS END SYNC'!E115,O111+1),"")</f>
        <v/>
      </c>
      <c r="Q111" s="24" t="str">
        <f>IF('ASS END SYNC'!C115="SHOW",FIND(",",'ASS END SYNC'!E115,P111+1),"")</f>
        <v/>
      </c>
      <c r="R111" s="25" t="str">
        <f>IF('ASS END SYNC'!C115="SHOW",FIND(",,",'ASS END SYNC'!E115,1),"")</f>
        <v/>
      </c>
      <c r="S111" s="25" t="str">
        <f>IF('ASS END SYNC'!C115="SHOW",FIND(",,",'ASS END SYNC'!E115,R111+1),"")</f>
        <v/>
      </c>
      <c r="T111" s="23" t="str">
        <f>IF('ASS END SYNC'!C115="SHOW",LEFT('ASS END SYNC'!E115,O111),"")</f>
        <v/>
      </c>
      <c r="U111" s="24" t="str">
        <f>IF('ASS END SYNC'!C115="SHOW",MID('ASS END SYNC'!E115,O111+1,P111-O111-1),"")</f>
        <v/>
      </c>
      <c r="V111" s="24" t="str">
        <f>IF(AND('ASS END SYNC'!C115="SHOW",'ASS END SYNC'!C116="SHOW"),U112,IF(AND('ASS END SYNC'!C115="SHOW",'ASS END SYNC'!C116&lt;&gt;"SHOW"),MID('ASS END SYNC'!E115,O111+1,P111-O111-1),""))</f>
        <v/>
      </c>
      <c r="W111" s="23" t="str">
        <f>IF('ASS END SYNC'!C115="SHOW",MID('ASS END SYNC'!E115,Q111+1,S111-Q111+1),"")</f>
        <v/>
      </c>
      <c r="X111" s="23" t="str">
        <f>IF('ASS END SYNC'!C115="SHOW",MID('ASS END SYNC'!E115,S111+2,1000),"")</f>
        <v/>
      </c>
      <c r="Z111" s="24"/>
    </row>
    <row r="112" spans="1:26" x14ac:dyDescent="0.25">
      <c r="A112" s="26">
        <v>109</v>
      </c>
      <c r="B112" s="24" t="str">
        <f>IF('ASS START SYNC'!C116="SHOW",FIND(",",'ASS START SYNC'!E116,1),"")</f>
        <v/>
      </c>
      <c r="C112" s="24" t="str">
        <f>IF('ASS START SYNC'!C116="SHOW",FIND(",",'ASS START SYNC'!E116,B112+1),"")</f>
        <v/>
      </c>
      <c r="D112" s="24" t="str">
        <f>IF('ASS START SYNC'!C116="SHOW",FIND(",",'ASS START SYNC'!E116,C112+1),"")</f>
        <v/>
      </c>
      <c r="E112" s="25" t="str">
        <f>IF('ASS START SYNC'!C116="SHOW",FIND(",,",'ASS START SYNC'!E116,1),"")</f>
        <v/>
      </c>
      <c r="F112" s="25" t="str">
        <f>IF('ASS START SYNC'!C116="SHOW",FIND(",,",'ASS START SYNC'!E116,E112+1),"")</f>
        <v/>
      </c>
      <c r="G112" s="23" t="str">
        <f>IF('ASS START SYNC'!C116="SHOW",LEFT('ASS START SYNC'!E116,B112),"")</f>
        <v/>
      </c>
      <c r="H112" s="24" t="str">
        <f>IF(AND('ASS START SYNC'!C116="SHOW",COUNTA('ASS START SYNC'!$E$8:'ASS START SYNC'!E115)=0),MID('ASS START SYNC'!E116,B112+1,C112-B112-1),IF(AND('ASS START SYNC'!C116="SHOW",COUNTA('ASS START SYNC'!$E$8:'ASS START SYNC'!E115)&lt;&gt;0),I111,""))</f>
        <v/>
      </c>
      <c r="I112" s="24" t="str">
        <f>IF('ASS START SYNC'!C116="SHOW",MID('ASS START SYNC'!E116,C112+1,D112-C112-1),I111)</f>
        <v/>
      </c>
      <c r="J112" s="23" t="str">
        <f>IF('ASS START SYNC'!C116="SHOW",MID('ASS START SYNC'!E116,D112+1,F112-D112+1),"")</f>
        <v/>
      </c>
      <c r="K112" s="23" t="str">
        <f>IF('ASS START SYNC'!C116="SHOW",MID('ASS START SYNC'!E116,F112+2,1000),"")</f>
        <v/>
      </c>
      <c r="M112" s="24"/>
      <c r="N112" s="26">
        <v>109</v>
      </c>
      <c r="O112" s="24" t="str">
        <f>IF('ASS END SYNC'!C116="SHOW",FIND(",",'ASS END SYNC'!E116,1),"")</f>
        <v/>
      </c>
      <c r="P112" s="24" t="str">
        <f>IF('ASS END SYNC'!C116="SHOW",FIND(",",'ASS END SYNC'!E116,O112+1),"")</f>
        <v/>
      </c>
      <c r="Q112" s="24" t="str">
        <f>IF('ASS END SYNC'!C116="SHOW",FIND(",",'ASS END SYNC'!E116,P112+1),"")</f>
        <v/>
      </c>
      <c r="R112" s="25" t="str">
        <f>IF('ASS END SYNC'!C116="SHOW",FIND(",,",'ASS END SYNC'!E116,1),"")</f>
        <v/>
      </c>
      <c r="S112" s="25" t="str">
        <f>IF('ASS END SYNC'!C116="SHOW",FIND(",,",'ASS END SYNC'!E116,R112+1),"")</f>
        <v/>
      </c>
      <c r="T112" s="23" t="str">
        <f>IF('ASS END SYNC'!C116="SHOW",LEFT('ASS END SYNC'!E116,O112),"")</f>
        <v/>
      </c>
      <c r="U112" s="24" t="str">
        <f>IF('ASS END SYNC'!C116="SHOW",MID('ASS END SYNC'!E116,O112+1,P112-O112-1),"")</f>
        <v/>
      </c>
      <c r="V112" s="24" t="str">
        <f>IF(AND('ASS END SYNC'!C116="SHOW",'ASS END SYNC'!C117="SHOW"),U113,IF(AND('ASS END SYNC'!C116="SHOW",'ASS END SYNC'!C117&lt;&gt;"SHOW"),MID('ASS END SYNC'!E116,O112+1,P112-O112-1),""))</f>
        <v/>
      </c>
      <c r="W112" s="23" t="str">
        <f>IF('ASS END SYNC'!C116="SHOW",MID('ASS END SYNC'!E116,Q112+1,S112-Q112+1),"")</f>
        <v/>
      </c>
      <c r="X112" s="23" t="str">
        <f>IF('ASS END SYNC'!C116="SHOW",MID('ASS END SYNC'!E116,S112+2,1000),"")</f>
        <v/>
      </c>
      <c r="Z112" s="24"/>
    </row>
    <row r="113" spans="1:26" x14ac:dyDescent="0.25">
      <c r="A113" s="26">
        <v>110</v>
      </c>
      <c r="B113" s="24" t="str">
        <f>IF('ASS START SYNC'!C117="SHOW",FIND(",",'ASS START SYNC'!E117,1),"")</f>
        <v/>
      </c>
      <c r="C113" s="24" t="str">
        <f>IF('ASS START SYNC'!C117="SHOW",FIND(",",'ASS START SYNC'!E117,B113+1),"")</f>
        <v/>
      </c>
      <c r="D113" s="24" t="str">
        <f>IF('ASS START SYNC'!C117="SHOW",FIND(",",'ASS START SYNC'!E117,C113+1),"")</f>
        <v/>
      </c>
      <c r="E113" s="25" t="str">
        <f>IF('ASS START SYNC'!C117="SHOW",FIND(",,",'ASS START SYNC'!E117,1),"")</f>
        <v/>
      </c>
      <c r="F113" s="25" t="str">
        <f>IF('ASS START SYNC'!C117="SHOW",FIND(",,",'ASS START SYNC'!E117,E113+1),"")</f>
        <v/>
      </c>
      <c r="G113" s="23" t="str">
        <f>IF('ASS START SYNC'!C117="SHOW",LEFT('ASS START SYNC'!E117,B113),"")</f>
        <v/>
      </c>
      <c r="H113" s="24" t="str">
        <f>IF(AND('ASS START SYNC'!C117="SHOW",COUNTA('ASS START SYNC'!$E$8:'ASS START SYNC'!E116)=0),MID('ASS START SYNC'!E117,B113+1,C113-B113-1),IF(AND('ASS START SYNC'!C117="SHOW",COUNTA('ASS START SYNC'!$E$8:'ASS START SYNC'!E116)&lt;&gt;0),I112,""))</f>
        <v/>
      </c>
      <c r="I113" s="24" t="str">
        <f>IF('ASS START SYNC'!C117="SHOW",MID('ASS START SYNC'!E117,C113+1,D113-C113-1),I112)</f>
        <v/>
      </c>
      <c r="J113" s="23" t="str">
        <f>IF('ASS START SYNC'!C117="SHOW",MID('ASS START SYNC'!E117,D113+1,F113-D113+1),"")</f>
        <v/>
      </c>
      <c r="K113" s="23" t="str">
        <f>IF('ASS START SYNC'!C117="SHOW",MID('ASS START SYNC'!E117,F113+2,1000),"")</f>
        <v/>
      </c>
      <c r="M113" s="24"/>
      <c r="N113" s="26">
        <v>110</v>
      </c>
      <c r="O113" s="24" t="str">
        <f>IF('ASS END SYNC'!C117="SHOW",FIND(",",'ASS END SYNC'!E117,1),"")</f>
        <v/>
      </c>
      <c r="P113" s="24" t="str">
        <f>IF('ASS END SYNC'!C117="SHOW",FIND(",",'ASS END SYNC'!E117,O113+1),"")</f>
        <v/>
      </c>
      <c r="Q113" s="24" t="str">
        <f>IF('ASS END SYNC'!C117="SHOW",FIND(",",'ASS END SYNC'!E117,P113+1),"")</f>
        <v/>
      </c>
      <c r="R113" s="25" t="str">
        <f>IF('ASS END SYNC'!C117="SHOW",FIND(",,",'ASS END SYNC'!E117,1),"")</f>
        <v/>
      </c>
      <c r="S113" s="25" t="str">
        <f>IF('ASS END SYNC'!C117="SHOW",FIND(",,",'ASS END SYNC'!E117,R113+1),"")</f>
        <v/>
      </c>
      <c r="T113" s="23" t="str">
        <f>IF('ASS END SYNC'!C117="SHOW",LEFT('ASS END SYNC'!E117,O113),"")</f>
        <v/>
      </c>
      <c r="U113" s="24" t="str">
        <f>IF('ASS END SYNC'!C117="SHOW",MID('ASS END SYNC'!E117,O113+1,P113-O113-1),"")</f>
        <v/>
      </c>
      <c r="V113" s="24" t="str">
        <f>IF(AND('ASS END SYNC'!C117="SHOW",'ASS END SYNC'!C118="SHOW"),U114,IF(AND('ASS END SYNC'!C117="SHOW",'ASS END SYNC'!C118&lt;&gt;"SHOW"),MID('ASS END SYNC'!E117,O113+1,P113-O113-1),""))</f>
        <v/>
      </c>
      <c r="W113" s="23" t="str">
        <f>IF('ASS END SYNC'!C117="SHOW",MID('ASS END SYNC'!E117,Q113+1,S113-Q113+1),"")</f>
        <v/>
      </c>
      <c r="X113" s="23" t="str">
        <f>IF('ASS END SYNC'!C117="SHOW",MID('ASS END SYNC'!E117,S113+2,1000),"")</f>
        <v/>
      </c>
      <c r="Z113" s="24"/>
    </row>
    <row r="114" spans="1:26" x14ac:dyDescent="0.25">
      <c r="A114" s="26">
        <v>111</v>
      </c>
      <c r="B114" s="24" t="str">
        <f>IF('ASS START SYNC'!C118="SHOW",FIND(",",'ASS START SYNC'!E118,1),"")</f>
        <v/>
      </c>
      <c r="C114" s="24" t="str">
        <f>IF('ASS START SYNC'!C118="SHOW",FIND(",",'ASS START SYNC'!E118,B114+1),"")</f>
        <v/>
      </c>
      <c r="D114" s="24" t="str">
        <f>IF('ASS START SYNC'!C118="SHOW",FIND(",",'ASS START SYNC'!E118,C114+1),"")</f>
        <v/>
      </c>
      <c r="E114" s="25" t="str">
        <f>IF('ASS START SYNC'!C118="SHOW",FIND(",,",'ASS START SYNC'!E118,1),"")</f>
        <v/>
      </c>
      <c r="F114" s="25" t="str">
        <f>IF('ASS START SYNC'!C118="SHOW",FIND(",,",'ASS START SYNC'!E118,E114+1),"")</f>
        <v/>
      </c>
      <c r="G114" s="23" t="str">
        <f>IF('ASS START SYNC'!C118="SHOW",LEFT('ASS START SYNC'!E118,B114),"")</f>
        <v/>
      </c>
      <c r="H114" s="24" t="str">
        <f>IF(AND('ASS START SYNC'!C118="SHOW",COUNTA('ASS START SYNC'!$E$8:'ASS START SYNC'!E117)=0),MID('ASS START SYNC'!E118,B114+1,C114-B114-1),IF(AND('ASS START SYNC'!C118="SHOW",COUNTA('ASS START SYNC'!$E$8:'ASS START SYNC'!E117)&lt;&gt;0),I113,""))</f>
        <v/>
      </c>
      <c r="I114" s="24" t="str">
        <f>IF('ASS START SYNC'!C118="SHOW",MID('ASS START SYNC'!E118,C114+1,D114-C114-1),I113)</f>
        <v/>
      </c>
      <c r="J114" s="23" t="str">
        <f>IF('ASS START SYNC'!C118="SHOW",MID('ASS START SYNC'!E118,D114+1,F114-D114+1),"")</f>
        <v/>
      </c>
      <c r="K114" s="23" t="str">
        <f>IF('ASS START SYNC'!C118="SHOW",MID('ASS START SYNC'!E118,F114+2,1000),"")</f>
        <v/>
      </c>
      <c r="M114" s="24"/>
      <c r="N114" s="26">
        <v>111</v>
      </c>
      <c r="O114" s="24" t="str">
        <f>IF('ASS END SYNC'!C118="SHOW",FIND(",",'ASS END SYNC'!E118,1),"")</f>
        <v/>
      </c>
      <c r="P114" s="24" t="str">
        <f>IF('ASS END SYNC'!C118="SHOW",FIND(",",'ASS END SYNC'!E118,O114+1),"")</f>
        <v/>
      </c>
      <c r="Q114" s="24" t="str">
        <f>IF('ASS END SYNC'!C118="SHOW",FIND(",",'ASS END SYNC'!E118,P114+1),"")</f>
        <v/>
      </c>
      <c r="R114" s="25" t="str">
        <f>IF('ASS END SYNC'!C118="SHOW",FIND(",,",'ASS END SYNC'!E118,1),"")</f>
        <v/>
      </c>
      <c r="S114" s="25" t="str">
        <f>IF('ASS END SYNC'!C118="SHOW",FIND(",,",'ASS END SYNC'!E118,R114+1),"")</f>
        <v/>
      </c>
      <c r="T114" s="23" t="str">
        <f>IF('ASS END SYNC'!C118="SHOW",LEFT('ASS END SYNC'!E118,O114),"")</f>
        <v/>
      </c>
      <c r="U114" s="24" t="str">
        <f>IF('ASS END SYNC'!C118="SHOW",MID('ASS END SYNC'!E118,O114+1,P114-O114-1),"")</f>
        <v/>
      </c>
      <c r="V114" s="24" t="str">
        <f>IF(AND('ASS END SYNC'!C118="SHOW",'ASS END SYNC'!C119="SHOW"),U115,IF(AND('ASS END SYNC'!C118="SHOW",'ASS END SYNC'!C119&lt;&gt;"SHOW"),MID('ASS END SYNC'!E118,O114+1,P114-O114-1),""))</f>
        <v/>
      </c>
      <c r="W114" s="23" t="str">
        <f>IF('ASS END SYNC'!C118="SHOW",MID('ASS END SYNC'!E118,Q114+1,S114-Q114+1),"")</f>
        <v/>
      </c>
      <c r="X114" s="23" t="str">
        <f>IF('ASS END SYNC'!C118="SHOW",MID('ASS END SYNC'!E118,S114+2,1000),"")</f>
        <v/>
      </c>
      <c r="Z114" s="24"/>
    </row>
    <row r="115" spans="1:26" x14ac:dyDescent="0.25">
      <c r="A115" s="26">
        <v>112</v>
      </c>
      <c r="B115" s="24" t="str">
        <f>IF('ASS START SYNC'!C119="SHOW",FIND(",",'ASS START SYNC'!E119,1),"")</f>
        <v/>
      </c>
      <c r="C115" s="24" t="str">
        <f>IF('ASS START SYNC'!C119="SHOW",FIND(",",'ASS START SYNC'!E119,B115+1),"")</f>
        <v/>
      </c>
      <c r="D115" s="24" t="str">
        <f>IF('ASS START SYNC'!C119="SHOW",FIND(",",'ASS START SYNC'!E119,C115+1),"")</f>
        <v/>
      </c>
      <c r="E115" s="25" t="str">
        <f>IF('ASS START SYNC'!C119="SHOW",FIND(",,",'ASS START SYNC'!E119,1),"")</f>
        <v/>
      </c>
      <c r="F115" s="25" t="str">
        <f>IF('ASS START SYNC'!C119="SHOW",FIND(",,",'ASS START SYNC'!E119,E115+1),"")</f>
        <v/>
      </c>
      <c r="G115" s="23" t="str">
        <f>IF('ASS START SYNC'!C119="SHOW",LEFT('ASS START SYNC'!E119,B115),"")</f>
        <v/>
      </c>
      <c r="H115" s="24" t="str">
        <f>IF(AND('ASS START SYNC'!C119="SHOW",COUNTA('ASS START SYNC'!$E$8:'ASS START SYNC'!E118)=0),MID('ASS START SYNC'!E119,B115+1,C115-B115-1),IF(AND('ASS START SYNC'!C119="SHOW",COUNTA('ASS START SYNC'!$E$8:'ASS START SYNC'!E118)&lt;&gt;0),I114,""))</f>
        <v/>
      </c>
      <c r="I115" s="24" t="str">
        <f>IF('ASS START SYNC'!C119="SHOW",MID('ASS START SYNC'!E119,C115+1,D115-C115-1),I114)</f>
        <v/>
      </c>
      <c r="J115" s="23" t="str">
        <f>IF('ASS START SYNC'!C119="SHOW",MID('ASS START SYNC'!E119,D115+1,F115-D115+1),"")</f>
        <v/>
      </c>
      <c r="K115" s="23" t="str">
        <f>IF('ASS START SYNC'!C119="SHOW",MID('ASS START SYNC'!E119,F115+2,1000),"")</f>
        <v/>
      </c>
      <c r="M115" s="24"/>
      <c r="N115" s="26">
        <v>112</v>
      </c>
      <c r="O115" s="24" t="str">
        <f>IF('ASS END SYNC'!C119="SHOW",FIND(",",'ASS END SYNC'!E119,1),"")</f>
        <v/>
      </c>
      <c r="P115" s="24" t="str">
        <f>IF('ASS END SYNC'!C119="SHOW",FIND(",",'ASS END SYNC'!E119,O115+1),"")</f>
        <v/>
      </c>
      <c r="Q115" s="24" t="str">
        <f>IF('ASS END SYNC'!C119="SHOW",FIND(",",'ASS END SYNC'!E119,P115+1),"")</f>
        <v/>
      </c>
      <c r="R115" s="25" t="str">
        <f>IF('ASS END SYNC'!C119="SHOW",FIND(",,",'ASS END SYNC'!E119,1),"")</f>
        <v/>
      </c>
      <c r="S115" s="25" t="str">
        <f>IF('ASS END SYNC'!C119="SHOW",FIND(",,",'ASS END SYNC'!E119,R115+1),"")</f>
        <v/>
      </c>
      <c r="T115" s="23" t="str">
        <f>IF('ASS END SYNC'!C119="SHOW",LEFT('ASS END SYNC'!E119,O115),"")</f>
        <v/>
      </c>
      <c r="U115" s="24" t="str">
        <f>IF('ASS END SYNC'!C119="SHOW",MID('ASS END SYNC'!E119,O115+1,P115-O115-1),"")</f>
        <v/>
      </c>
      <c r="V115" s="24" t="str">
        <f>IF(AND('ASS END SYNC'!C119="SHOW",'ASS END SYNC'!C120="SHOW"),U116,IF(AND('ASS END SYNC'!C119="SHOW",'ASS END SYNC'!C120&lt;&gt;"SHOW"),MID('ASS END SYNC'!E119,O115+1,P115-O115-1),""))</f>
        <v/>
      </c>
      <c r="W115" s="23" t="str">
        <f>IF('ASS END SYNC'!C119="SHOW",MID('ASS END SYNC'!E119,Q115+1,S115-Q115+1),"")</f>
        <v/>
      </c>
      <c r="X115" s="23" t="str">
        <f>IF('ASS END SYNC'!C119="SHOW",MID('ASS END SYNC'!E119,S115+2,1000),"")</f>
        <v/>
      </c>
      <c r="Z115" s="24"/>
    </row>
    <row r="116" spans="1:26" x14ac:dyDescent="0.25">
      <c r="A116" s="26">
        <v>113</v>
      </c>
      <c r="B116" s="24" t="str">
        <f>IF('ASS START SYNC'!C120="SHOW",FIND(",",'ASS START SYNC'!E120,1),"")</f>
        <v/>
      </c>
      <c r="C116" s="24" t="str">
        <f>IF('ASS START SYNC'!C120="SHOW",FIND(",",'ASS START SYNC'!E120,B116+1),"")</f>
        <v/>
      </c>
      <c r="D116" s="24" t="str">
        <f>IF('ASS START SYNC'!C120="SHOW",FIND(",",'ASS START SYNC'!E120,C116+1),"")</f>
        <v/>
      </c>
      <c r="E116" s="25" t="str">
        <f>IF('ASS START SYNC'!C120="SHOW",FIND(",,",'ASS START SYNC'!E120,1),"")</f>
        <v/>
      </c>
      <c r="F116" s="25" t="str">
        <f>IF('ASS START SYNC'!C120="SHOW",FIND(",,",'ASS START SYNC'!E120,E116+1),"")</f>
        <v/>
      </c>
      <c r="G116" s="23" t="str">
        <f>IF('ASS START SYNC'!C120="SHOW",LEFT('ASS START SYNC'!E120,B116),"")</f>
        <v/>
      </c>
      <c r="H116" s="24" t="str">
        <f>IF(AND('ASS START SYNC'!C120="SHOW",COUNTA('ASS START SYNC'!$E$8:'ASS START SYNC'!E119)=0),MID('ASS START SYNC'!E120,B116+1,C116-B116-1),IF(AND('ASS START SYNC'!C120="SHOW",COUNTA('ASS START SYNC'!$E$8:'ASS START SYNC'!E119)&lt;&gt;0),I115,""))</f>
        <v/>
      </c>
      <c r="I116" s="24" t="str">
        <f>IF('ASS START SYNC'!C120="SHOW",MID('ASS START SYNC'!E120,C116+1,D116-C116-1),I115)</f>
        <v/>
      </c>
      <c r="J116" s="23" t="str">
        <f>IF('ASS START SYNC'!C120="SHOW",MID('ASS START SYNC'!E120,D116+1,F116-D116+1),"")</f>
        <v/>
      </c>
      <c r="K116" s="23" t="str">
        <f>IF('ASS START SYNC'!C120="SHOW",MID('ASS START SYNC'!E120,F116+2,1000),"")</f>
        <v/>
      </c>
      <c r="M116" s="24"/>
      <c r="N116" s="26">
        <v>113</v>
      </c>
      <c r="O116" s="24" t="str">
        <f>IF('ASS END SYNC'!C120="SHOW",FIND(",",'ASS END SYNC'!E120,1),"")</f>
        <v/>
      </c>
      <c r="P116" s="24" t="str">
        <f>IF('ASS END SYNC'!C120="SHOW",FIND(",",'ASS END SYNC'!E120,O116+1),"")</f>
        <v/>
      </c>
      <c r="Q116" s="24" t="str">
        <f>IF('ASS END SYNC'!C120="SHOW",FIND(",",'ASS END SYNC'!E120,P116+1),"")</f>
        <v/>
      </c>
      <c r="R116" s="25" t="str">
        <f>IF('ASS END SYNC'!C120="SHOW",FIND(",,",'ASS END SYNC'!E120,1),"")</f>
        <v/>
      </c>
      <c r="S116" s="25" t="str">
        <f>IF('ASS END SYNC'!C120="SHOW",FIND(",,",'ASS END SYNC'!E120,R116+1),"")</f>
        <v/>
      </c>
      <c r="T116" s="23" t="str">
        <f>IF('ASS END SYNC'!C120="SHOW",LEFT('ASS END SYNC'!E120,O116),"")</f>
        <v/>
      </c>
      <c r="U116" s="24" t="str">
        <f>IF('ASS END SYNC'!C120="SHOW",MID('ASS END SYNC'!E120,O116+1,P116-O116-1),"")</f>
        <v/>
      </c>
      <c r="V116" s="24" t="str">
        <f>IF(AND('ASS END SYNC'!C120="SHOW",'ASS END SYNC'!C121="SHOW"),U117,IF(AND('ASS END SYNC'!C120="SHOW",'ASS END SYNC'!C121&lt;&gt;"SHOW"),MID('ASS END SYNC'!E120,O116+1,P116-O116-1),""))</f>
        <v/>
      </c>
      <c r="W116" s="23" t="str">
        <f>IF('ASS END SYNC'!C120="SHOW",MID('ASS END SYNC'!E120,Q116+1,S116-Q116+1),"")</f>
        <v/>
      </c>
      <c r="X116" s="23" t="str">
        <f>IF('ASS END SYNC'!C120="SHOW",MID('ASS END SYNC'!E120,S116+2,1000),"")</f>
        <v/>
      </c>
      <c r="Z116" s="24"/>
    </row>
    <row r="117" spans="1:26" x14ac:dyDescent="0.25">
      <c r="A117" s="26">
        <v>114</v>
      </c>
      <c r="B117" s="24" t="str">
        <f>IF('ASS START SYNC'!C121="SHOW",FIND(",",'ASS START SYNC'!E121,1),"")</f>
        <v/>
      </c>
      <c r="C117" s="24" t="str">
        <f>IF('ASS START SYNC'!C121="SHOW",FIND(",",'ASS START SYNC'!E121,B117+1),"")</f>
        <v/>
      </c>
      <c r="D117" s="24" t="str">
        <f>IF('ASS START SYNC'!C121="SHOW",FIND(",",'ASS START SYNC'!E121,C117+1),"")</f>
        <v/>
      </c>
      <c r="E117" s="25" t="str">
        <f>IF('ASS START SYNC'!C121="SHOW",FIND(",,",'ASS START SYNC'!E121,1),"")</f>
        <v/>
      </c>
      <c r="F117" s="25" t="str">
        <f>IF('ASS START SYNC'!C121="SHOW",FIND(",,",'ASS START SYNC'!E121,E117+1),"")</f>
        <v/>
      </c>
      <c r="G117" s="23" t="str">
        <f>IF('ASS START SYNC'!C121="SHOW",LEFT('ASS START SYNC'!E121,B117),"")</f>
        <v/>
      </c>
      <c r="H117" s="24" t="str">
        <f>IF(AND('ASS START SYNC'!C121="SHOW",COUNTA('ASS START SYNC'!$E$8:'ASS START SYNC'!E120)=0),MID('ASS START SYNC'!E121,B117+1,C117-B117-1),IF(AND('ASS START SYNC'!C121="SHOW",COUNTA('ASS START SYNC'!$E$8:'ASS START SYNC'!E120)&lt;&gt;0),I116,""))</f>
        <v/>
      </c>
      <c r="I117" s="24" t="str">
        <f>IF('ASS START SYNC'!C121="SHOW",MID('ASS START SYNC'!E121,C117+1,D117-C117-1),I116)</f>
        <v/>
      </c>
      <c r="J117" s="23" t="str">
        <f>IF('ASS START SYNC'!C121="SHOW",MID('ASS START SYNC'!E121,D117+1,F117-D117+1),"")</f>
        <v/>
      </c>
      <c r="K117" s="23" t="str">
        <f>IF('ASS START SYNC'!C121="SHOW",MID('ASS START SYNC'!E121,F117+2,1000),"")</f>
        <v/>
      </c>
      <c r="M117" s="24"/>
      <c r="N117" s="26">
        <v>114</v>
      </c>
      <c r="O117" s="24" t="str">
        <f>IF('ASS END SYNC'!C121="SHOW",FIND(",",'ASS END SYNC'!E121,1),"")</f>
        <v/>
      </c>
      <c r="P117" s="24" t="str">
        <f>IF('ASS END SYNC'!C121="SHOW",FIND(",",'ASS END SYNC'!E121,O117+1),"")</f>
        <v/>
      </c>
      <c r="Q117" s="24" t="str">
        <f>IF('ASS END SYNC'!C121="SHOW",FIND(",",'ASS END SYNC'!E121,P117+1),"")</f>
        <v/>
      </c>
      <c r="R117" s="25" t="str">
        <f>IF('ASS END SYNC'!C121="SHOW",FIND(",,",'ASS END SYNC'!E121,1),"")</f>
        <v/>
      </c>
      <c r="S117" s="25" t="str">
        <f>IF('ASS END SYNC'!C121="SHOW",FIND(",,",'ASS END SYNC'!E121,R117+1),"")</f>
        <v/>
      </c>
      <c r="T117" s="23" t="str">
        <f>IF('ASS END SYNC'!C121="SHOW",LEFT('ASS END SYNC'!E121,O117),"")</f>
        <v/>
      </c>
      <c r="U117" s="24" t="str">
        <f>IF('ASS END SYNC'!C121="SHOW",MID('ASS END SYNC'!E121,O117+1,P117-O117-1),"")</f>
        <v/>
      </c>
      <c r="V117" s="24" t="str">
        <f>IF(AND('ASS END SYNC'!C121="SHOW",'ASS END SYNC'!C122="SHOW"),U118,IF(AND('ASS END SYNC'!C121="SHOW",'ASS END SYNC'!C122&lt;&gt;"SHOW"),MID('ASS END SYNC'!E121,O117+1,P117-O117-1),""))</f>
        <v/>
      </c>
      <c r="W117" s="23" t="str">
        <f>IF('ASS END SYNC'!C121="SHOW",MID('ASS END SYNC'!E121,Q117+1,S117-Q117+1),"")</f>
        <v/>
      </c>
      <c r="X117" s="23" t="str">
        <f>IF('ASS END SYNC'!C121="SHOW",MID('ASS END SYNC'!E121,S117+2,1000),"")</f>
        <v/>
      </c>
      <c r="Z117" s="24"/>
    </row>
    <row r="118" spans="1:26" x14ac:dyDescent="0.25">
      <c r="A118" s="26">
        <v>115</v>
      </c>
      <c r="B118" s="24" t="str">
        <f>IF('ASS START SYNC'!C122="SHOW",FIND(",",'ASS START SYNC'!E122,1),"")</f>
        <v/>
      </c>
      <c r="C118" s="24" t="str">
        <f>IF('ASS START SYNC'!C122="SHOW",FIND(",",'ASS START SYNC'!E122,B118+1),"")</f>
        <v/>
      </c>
      <c r="D118" s="24" t="str">
        <f>IF('ASS START SYNC'!C122="SHOW",FIND(",",'ASS START SYNC'!E122,C118+1),"")</f>
        <v/>
      </c>
      <c r="E118" s="25" t="str">
        <f>IF('ASS START SYNC'!C122="SHOW",FIND(",,",'ASS START SYNC'!E122,1),"")</f>
        <v/>
      </c>
      <c r="F118" s="25" t="str">
        <f>IF('ASS START SYNC'!C122="SHOW",FIND(",,",'ASS START SYNC'!E122,E118+1),"")</f>
        <v/>
      </c>
      <c r="G118" s="23" t="str">
        <f>IF('ASS START SYNC'!C122="SHOW",LEFT('ASS START SYNC'!E122,B118),"")</f>
        <v/>
      </c>
      <c r="H118" s="24" t="str">
        <f>IF(AND('ASS START SYNC'!C122="SHOW",COUNTA('ASS START SYNC'!$E$8:'ASS START SYNC'!E121)=0),MID('ASS START SYNC'!E122,B118+1,C118-B118-1),IF(AND('ASS START SYNC'!C122="SHOW",COUNTA('ASS START SYNC'!$E$8:'ASS START SYNC'!E121)&lt;&gt;0),I117,""))</f>
        <v/>
      </c>
      <c r="I118" s="24" t="str">
        <f>IF('ASS START SYNC'!C122="SHOW",MID('ASS START SYNC'!E122,C118+1,D118-C118-1),I117)</f>
        <v/>
      </c>
      <c r="J118" s="23" t="str">
        <f>IF('ASS START SYNC'!C122="SHOW",MID('ASS START SYNC'!E122,D118+1,F118-D118+1),"")</f>
        <v/>
      </c>
      <c r="K118" s="23" t="str">
        <f>IF('ASS START SYNC'!C122="SHOW",MID('ASS START SYNC'!E122,F118+2,1000),"")</f>
        <v/>
      </c>
      <c r="M118" s="24"/>
      <c r="N118" s="26">
        <v>115</v>
      </c>
      <c r="O118" s="24" t="str">
        <f>IF('ASS END SYNC'!C122="SHOW",FIND(",",'ASS END SYNC'!E122,1),"")</f>
        <v/>
      </c>
      <c r="P118" s="24" t="str">
        <f>IF('ASS END SYNC'!C122="SHOW",FIND(",",'ASS END SYNC'!E122,O118+1),"")</f>
        <v/>
      </c>
      <c r="Q118" s="24" t="str">
        <f>IF('ASS END SYNC'!C122="SHOW",FIND(",",'ASS END SYNC'!E122,P118+1),"")</f>
        <v/>
      </c>
      <c r="R118" s="25" t="str">
        <f>IF('ASS END SYNC'!C122="SHOW",FIND(",,",'ASS END SYNC'!E122,1),"")</f>
        <v/>
      </c>
      <c r="S118" s="25" t="str">
        <f>IF('ASS END SYNC'!C122="SHOW",FIND(",,",'ASS END SYNC'!E122,R118+1),"")</f>
        <v/>
      </c>
      <c r="T118" s="23" t="str">
        <f>IF('ASS END SYNC'!C122="SHOW",LEFT('ASS END SYNC'!E122,O118),"")</f>
        <v/>
      </c>
      <c r="U118" s="24" t="str">
        <f>IF('ASS END SYNC'!C122="SHOW",MID('ASS END SYNC'!E122,O118+1,P118-O118-1),"")</f>
        <v/>
      </c>
      <c r="V118" s="24" t="str">
        <f>IF(AND('ASS END SYNC'!C122="SHOW",'ASS END SYNC'!C123="SHOW"),U119,IF(AND('ASS END SYNC'!C122="SHOW",'ASS END SYNC'!C123&lt;&gt;"SHOW"),MID('ASS END SYNC'!E122,O118+1,P118-O118-1),""))</f>
        <v/>
      </c>
      <c r="W118" s="23" t="str">
        <f>IF('ASS END SYNC'!C122="SHOW",MID('ASS END SYNC'!E122,Q118+1,S118-Q118+1),"")</f>
        <v/>
      </c>
      <c r="X118" s="23" t="str">
        <f>IF('ASS END SYNC'!C122="SHOW",MID('ASS END SYNC'!E122,S118+2,1000),"")</f>
        <v/>
      </c>
      <c r="Z118" s="24"/>
    </row>
    <row r="119" spans="1:26" x14ac:dyDescent="0.25">
      <c r="A119" s="26">
        <v>116</v>
      </c>
      <c r="B119" s="24" t="str">
        <f>IF('ASS START SYNC'!C123="SHOW",FIND(",",'ASS START SYNC'!E123,1),"")</f>
        <v/>
      </c>
      <c r="C119" s="24" t="str">
        <f>IF('ASS START SYNC'!C123="SHOW",FIND(",",'ASS START SYNC'!E123,B119+1),"")</f>
        <v/>
      </c>
      <c r="D119" s="24" t="str">
        <f>IF('ASS START SYNC'!C123="SHOW",FIND(",",'ASS START SYNC'!E123,C119+1),"")</f>
        <v/>
      </c>
      <c r="E119" s="25" t="str">
        <f>IF('ASS START SYNC'!C123="SHOW",FIND(",,",'ASS START SYNC'!E123,1),"")</f>
        <v/>
      </c>
      <c r="F119" s="25" t="str">
        <f>IF('ASS START SYNC'!C123="SHOW",FIND(",,",'ASS START SYNC'!E123,E119+1),"")</f>
        <v/>
      </c>
      <c r="G119" s="23" t="str">
        <f>IF('ASS START SYNC'!C123="SHOW",LEFT('ASS START SYNC'!E123,B119),"")</f>
        <v/>
      </c>
      <c r="H119" s="24" t="str">
        <f>IF(AND('ASS START SYNC'!C123="SHOW",COUNTA('ASS START SYNC'!$E$8:'ASS START SYNC'!E122)=0),MID('ASS START SYNC'!E123,B119+1,C119-B119-1),IF(AND('ASS START SYNC'!C123="SHOW",COUNTA('ASS START SYNC'!$E$8:'ASS START SYNC'!E122)&lt;&gt;0),I118,""))</f>
        <v/>
      </c>
      <c r="I119" s="24" t="str">
        <f>IF('ASS START SYNC'!C123="SHOW",MID('ASS START SYNC'!E123,C119+1,D119-C119-1),I118)</f>
        <v/>
      </c>
      <c r="J119" s="23" t="str">
        <f>IF('ASS START SYNC'!C123="SHOW",MID('ASS START SYNC'!E123,D119+1,F119-D119+1),"")</f>
        <v/>
      </c>
      <c r="K119" s="23" t="str">
        <f>IF('ASS START SYNC'!C123="SHOW",MID('ASS START SYNC'!E123,F119+2,1000),"")</f>
        <v/>
      </c>
      <c r="M119" s="24"/>
      <c r="N119" s="26">
        <v>116</v>
      </c>
      <c r="O119" s="24" t="str">
        <f>IF('ASS END SYNC'!C123="SHOW",FIND(",",'ASS END SYNC'!E123,1),"")</f>
        <v/>
      </c>
      <c r="P119" s="24" t="str">
        <f>IF('ASS END SYNC'!C123="SHOW",FIND(",",'ASS END SYNC'!E123,O119+1),"")</f>
        <v/>
      </c>
      <c r="Q119" s="24" t="str">
        <f>IF('ASS END SYNC'!C123="SHOW",FIND(",",'ASS END SYNC'!E123,P119+1),"")</f>
        <v/>
      </c>
      <c r="R119" s="25" t="str">
        <f>IF('ASS END SYNC'!C123="SHOW",FIND(",,",'ASS END SYNC'!E123,1),"")</f>
        <v/>
      </c>
      <c r="S119" s="25" t="str">
        <f>IF('ASS END SYNC'!C123="SHOW",FIND(",,",'ASS END SYNC'!E123,R119+1),"")</f>
        <v/>
      </c>
      <c r="T119" s="23" t="str">
        <f>IF('ASS END SYNC'!C123="SHOW",LEFT('ASS END SYNC'!E123,O119),"")</f>
        <v/>
      </c>
      <c r="U119" s="24" t="str">
        <f>IF('ASS END SYNC'!C123="SHOW",MID('ASS END SYNC'!E123,O119+1,P119-O119-1),"")</f>
        <v/>
      </c>
      <c r="V119" s="24" t="str">
        <f>IF(AND('ASS END SYNC'!C123="SHOW",'ASS END SYNC'!C124="SHOW"),U120,IF(AND('ASS END SYNC'!C123="SHOW",'ASS END SYNC'!C124&lt;&gt;"SHOW"),MID('ASS END SYNC'!E123,O119+1,P119-O119-1),""))</f>
        <v/>
      </c>
      <c r="W119" s="23" t="str">
        <f>IF('ASS END SYNC'!C123="SHOW",MID('ASS END SYNC'!E123,Q119+1,S119-Q119+1),"")</f>
        <v/>
      </c>
      <c r="X119" s="23" t="str">
        <f>IF('ASS END SYNC'!C123="SHOW",MID('ASS END SYNC'!E123,S119+2,1000),"")</f>
        <v/>
      </c>
      <c r="Z119" s="24"/>
    </row>
    <row r="120" spans="1:26" x14ac:dyDescent="0.25">
      <c r="A120" s="26">
        <v>117</v>
      </c>
      <c r="B120" s="24" t="str">
        <f>IF('ASS START SYNC'!C124="SHOW",FIND(",",'ASS START SYNC'!E124,1),"")</f>
        <v/>
      </c>
      <c r="C120" s="24" t="str">
        <f>IF('ASS START SYNC'!C124="SHOW",FIND(",",'ASS START SYNC'!E124,B120+1),"")</f>
        <v/>
      </c>
      <c r="D120" s="24" t="str">
        <f>IF('ASS START SYNC'!C124="SHOW",FIND(",",'ASS START SYNC'!E124,C120+1),"")</f>
        <v/>
      </c>
      <c r="E120" s="25" t="str">
        <f>IF('ASS START SYNC'!C124="SHOW",FIND(",,",'ASS START SYNC'!E124,1),"")</f>
        <v/>
      </c>
      <c r="F120" s="25" t="str">
        <f>IF('ASS START SYNC'!C124="SHOW",FIND(",,",'ASS START SYNC'!E124,E120+1),"")</f>
        <v/>
      </c>
      <c r="G120" s="23" t="str">
        <f>IF('ASS START SYNC'!C124="SHOW",LEFT('ASS START SYNC'!E124,B120),"")</f>
        <v/>
      </c>
      <c r="H120" s="24" t="str">
        <f>IF(AND('ASS START SYNC'!C124="SHOW",COUNTA('ASS START SYNC'!$E$8:'ASS START SYNC'!E123)=0),MID('ASS START SYNC'!E124,B120+1,C120-B120-1),IF(AND('ASS START SYNC'!C124="SHOW",COUNTA('ASS START SYNC'!$E$8:'ASS START SYNC'!E123)&lt;&gt;0),I119,""))</f>
        <v/>
      </c>
      <c r="I120" s="24" t="str">
        <f>IF('ASS START SYNC'!C124="SHOW",MID('ASS START SYNC'!E124,C120+1,D120-C120-1),I119)</f>
        <v/>
      </c>
      <c r="J120" s="23" t="str">
        <f>IF('ASS START SYNC'!C124="SHOW",MID('ASS START SYNC'!E124,D120+1,F120-D120+1),"")</f>
        <v/>
      </c>
      <c r="K120" s="23" t="str">
        <f>IF('ASS START SYNC'!C124="SHOW",MID('ASS START SYNC'!E124,F120+2,1000),"")</f>
        <v/>
      </c>
      <c r="M120" s="24"/>
      <c r="N120" s="26">
        <v>117</v>
      </c>
      <c r="O120" s="24" t="str">
        <f>IF('ASS END SYNC'!C124="SHOW",FIND(",",'ASS END SYNC'!E124,1),"")</f>
        <v/>
      </c>
      <c r="P120" s="24" t="str">
        <f>IF('ASS END SYNC'!C124="SHOW",FIND(",",'ASS END SYNC'!E124,O120+1),"")</f>
        <v/>
      </c>
      <c r="Q120" s="24" t="str">
        <f>IF('ASS END SYNC'!C124="SHOW",FIND(",",'ASS END SYNC'!E124,P120+1),"")</f>
        <v/>
      </c>
      <c r="R120" s="25" t="str">
        <f>IF('ASS END SYNC'!C124="SHOW",FIND(",,",'ASS END SYNC'!E124,1),"")</f>
        <v/>
      </c>
      <c r="S120" s="25" t="str">
        <f>IF('ASS END SYNC'!C124="SHOW",FIND(",,",'ASS END SYNC'!E124,R120+1),"")</f>
        <v/>
      </c>
      <c r="T120" s="23" t="str">
        <f>IF('ASS END SYNC'!C124="SHOW",LEFT('ASS END SYNC'!E124,O120),"")</f>
        <v/>
      </c>
      <c r="U120" s="24" t="str">
        <f>IF('ASS END SYNC'!C124="SHOW",MID('ASS END SYNC'!E124,O120+1,P120-O120-1),"")</f>
        <v/>
      </c>
      <c r="V120" s="24" t="str">
        <f>IF(AND('ASS END SYNC'!C124="SHOW",'ASS END SYNC'!C125="SHOW"),U121,IF(AND('ASS END SYNC'!C124="SHOW",'ASS END SYNC'!C125&lt;&gt;"SHOW"),MID('ASS END SYNC'!E124,O120+1,P120-O120-1),""))</f>
        <v/>
      </c>
      <c r="W120" s="23" t="str">
        <f>IF('ASS END SYNC'!C124="SHOW",MID('ASS END SYNC'!E124,Q120+1,S120-Q120+1),"")</f>
        <v/>
      </c>
      <c r="X120" s="23" t="str">
        <f>IF('ASS END SYNC'!C124="SHOW",MID('ASS END SYNC'!E124,S120+2,1000),"")</f>
        <v/>
      </c>
      <c r="Z120" s="24"/>
    </row>
    <row r="121" spans="1:26" x14ac:dyDescent="0.25">
      <c r="A121" s="26">
        <v>118</v>
      </c>
      <c r="B121" s="24" t="str">
        <f>IF('ASS START SYNC'!C125="SHOW",FIND(",",'ASS START SYNC'!E125,1),"")</f>
        <v/>
      </c>
      <c r="C121" s="24" t="str">
        <f>IF('ASS START SYNC'!C125="SHOW",FIND(",",'ASS START SYNC'!E125,B121+1),"")</f>
        <v/>
      </c>
      <c r="D121" s="24" t="str">
        <f>IF('ASS START SYNC'!C125="SHOW",FIND(",",'ASS START SYNC'!E125,C121+1),"")</f>
        <v/>
      </c>
      <c r="E121" s="25" t="str">
        <f>IF('ASS START SYNC'!C125="SHOW",FIND(",,",'ASS START SYNC'!E125,1),"")</f>
        <v/>
      </c>
      <c r="F121" s="25" t="str">
        <f>IF('ASS START SYNC'!C125="SHOW",FIND(",,",'ASS START SYNC'!E125,E121+1),"")</f>
        <v/>
      </c>
      <c r="G121" s="23" t="str">
        <f>IF('ASS START SYNC'!C125="SHOW",LEFT('ASS START SYNC'!E125,B121),"")</f>
        <v/>
      </c>
      <c r="H121" s="24" t="str">
        <f>IF(AND('ASS START SYNC'!C125="SHOW",COUNTA('ASS START SYNC'!$E$8:'ASS START SYNC'!E124)=0),MID('ASS START SYNC'!E125,B121+1,C121-B121-1),IF(AND('ASS START SYNC'!C125="SHOW",COUNTA('ASS START SYNC'!$E$8:'ASS START SYNC'!E124)&lt;&gt;0),I120,""))</f>
        <v/>
      </c>
      <c r="I121" s="24" t="str">
        <f>IF('ASS START SYNC'!C125="SHOW",MID('ASS START SYNC'!E125,C121+1,D121-C121-1),I120)</f>
        <v/>
      </c>
      <c r="J121" s="23" t="str">
        <f>IF('ASS START SYNC'!C125="SHOW",MID('ASS START SYNC'!E125,D121+1,F121-D121+1),"")</f>
        <v/>
      </c>
      <c r="K121" s="23" t="str">
        <f>IF('ASS START SYNC'!C125="SHOW",MID('ASS START SYNC'!E125,F121+2,1000),"")</f>
        <v/>
      </c>
      <c r="M121" s="24"/>
      <c r="N121" s="26">
        <v>118</v>
      </c>
      <c r="O121" s="24" t="str">
        <f>IF('ASS END SYNC'!C125="SHOW",FIND(",",'ASS END SYNC'!E125,1),"")</f>
        <v/>
      </c>
      <c r="P121" s="24" t="str">
        <f>IF('ASS END SYNC'!C125="SHOW",FIND(",",'ASS END SYNC'!E125,O121+1),"")</f>
        <v/>
      </c>
      <c r="Q121" s="24" t="str">
        <f>IF('ASS END SYNC'!C125="SHOW",FIND(",",'ASS END SYNC'!E125,P121+1),"")</f>
        <v/>
      </c>
      <c r="R121" s="25" t="str">
        <f>IF('ASS END SYNC'!C125="SHOW",FIND(",,",'ASS END SYNC'!E125,1),"")</f>
        <v/>
      </c>
      <c r="S121" s="25" t="str">
        <f>IF('ASS END SYNC'!C125="SHOW",FIND(",,",'ASS END SYNC'!E125,R121+1),"")</f>
        <v/>
      </c>
      <c r="T121" s="23" t="str">
        <f>IF('ASS END SYNC'!C125="SHOW",LEFT('ASS END SYNC'!E125,O121),"")</f>
        <v/>
      </c>
      <c r="U121" s="24" t="str">
        <f>IF('ASS END SYNC'!C125="SHOW",MID('ASS END SYNC'!E125,O121+1,P121-O121-1),"")</f>
        <v/>
      </c>
      <c r="V121" s="24" t="str">
        <f>IF(AND('ASS END SYNC'!C125="SHOW",'ASS END SYNC'!C126="SHOW"),U122,IF(AND('ASS END SYNC'!C125="SHOW",'ASS END SYNC'!C126&lt;&gt;"SHOW"),MID('ASS END SYNC'!E125,O121+1,P121-O121-1),""))</f>
        <v/>
      </c>
      <c r="W121" s="23" t="str">
        <f>IF('ASS END SYNC'!C125="SHOW",MID('ASS END SYNC'!E125,Q121+1,S121-Q121+1),"")</f>
        <v/>
      </c>
      <c r="X121" s="23" t="str">
        <f>IF('ASS END SYNC'!C125="SHOW",MID('ASS END SYNC'!E125,S121+2,1000),"")</f>
        <v/>
      </c>
      <c r="Z121" s="24"/>
    </row>
    <row r="122" spans="1:26" x14ac:dyDescent="0.25">
      <c r="A122" s="26">
        <v>119</v>
      </c>
      <c r="B122" s="24" t="str">
        <f>IF('ASS START SYNC'!C126="SHOW",FIND(",",'ASS START SYNC'!E126,1),"")</f>
        <v/>
      </c>
      <c r="C122" s="24" t="str">
        <f>IF('ASS START SYNC'!C126="SHOW",FIND(",",'ASS START SYNC'!E126,B122+1),"")</f>
        <v/>
      </c>
      <c r="D122" s="24" t="str">
        <f>IF('ASS START SYNC'!C126="SHOW",FIND(",",'ASS START SYNC'!E126,C122+1),"")</f>
        <v/>
      </c>
      <c r="E122" s="25" t="str">
        <f>IF('ASS START SYNC'!C126="SHOW",FIND(",,",'ASS START SYNC'!E126,1),"")</f>
        <v/>
      </c>
      <c r="F122" s="25" t="str">
        <f>IF('ASS START SYNC'!C126="SHOW",FIND(",,",'ASS START SYNC'!E126,E122+1),"")</f>
        <v/>
      </c>
      <c r="G122" s="23" t="str">
        <f>IF('ASS START SYNC'!C126="SHOW",LEFT('ASS START SYNC'!E126,B122),"")</f>
        <v/>
      </c>
      <c r="H122" s="24" t="str">
        <f>IF(AND('ASS START SYNC'!C126="SHOW",COUNTA('ASS START SYNC'!$E$8:'ASS START SYNC'!E125)=0),MID('ASS START SYNC'!E126,B122+1,C122-B122-1),IF(AND('ASS START SYNC'!C126="SHOW",COUNTA('ASS START SYNC'!$E$8:'ASS START SYNC'!E125)&lt;&gt;0),I121,""))</f>
        <v/>
      </c>
      <c r="I122" s="24" t="str">
        <f>IF('ASS START SYNC'!C126="SHOW",MID('ASS START SYNC'!E126,C122+1,D122-C122-1),I121)</f>
        <v/>
      </c>
      <c r="J122" s="23" t="str">
        <f>IF('ASS START SYNC'!C126="SHOW",MID('ASS START SYNC'!E126,D122+1,F122-D122+1),"")</f>
        <v/>
      </c>
      <c r="K122" s="23" t="str">
        <f>IF('ASS START SYNC'!C126="SHOW",MID('ASS START SYNC'!E126,F122+2,1000),"")</f>
        <v/>
      </c>
      <c r="M122" s="24"/>
      <c r="N122" s="26">
        <v>119</v>
      </c>
      <c r="O122" s="24" t="str">
        <f>IF('ASS END SYNC'!C126="SHOW",FIND(",",'ASS END SYNC'!E126,1),"")</f>
        <v/>
      </c>
      <c r="P122" s="24" t="str">
        <f>IF('ASS END SYNC'!C126="SHOW",FIND(",",'ASS END SYNC'!E126,O122+1),"")</f>
        <v/>
      </c>
      <c r="Q122" s="24" t="str">
        <f>IF('ASS END SYNC'!C126="SHOW",FIND(",",'ASS END SYNC'!E126,P122+1),"")</f>
        <v/>
      </c>
      <c r="R122" s="25" t="str">
        <f>IF('ASS END SYNC'!C126="SHOW",FIND(",,",'ASS END SYNC'!E126,1),"")</f>
        <v/>
      </c>
      <c r="S122" s="25" t="str">
        <f>IF('ASS END SYNC'!C126="SHOW",FIND(",,",'ASS END SYNC'!E126,R122+1),"")</f>
        <v/>
      </c>
      <c r="T122" s="23" t="str">
        <f>IF('ASS END SYNC'!C126="SHOW",LEFT('ASS END SYNC'!E126,O122),"")</f>
        <v/>
      </c>
      <c r="U122" s="24" t="str">
        <f>IF('ASS END SYNC'!C126="SHOW",MID('ASS END SYNC'!E126,O122+1,P122-O122-1),"")</f>
        <v/>
      </c>
      <c r="V122" s="24" t="str">
        <f>IF(AND('ASS END SYNC'!C126="SHOW",'ASS END SYNC'!C127="SHOW"),U123,IF(AND('ASS END SYNC'!C126="SHOW",'ASS END SYNC'!C127&lt;&gt;"SHOW"),MID('ASS END SYNC'!E126,O122+1,P122-O122-1),""))</f>
        <v/>
      </c>
      <c r="W122" s="23" t="str">
        <f>IF('ASS END SYNC'!C126="SHOW",MID('ASS END SYNC'!E126,Q122+1,S122-Q122+1),"")</f>
        <v/>
      </c>
      <c r="X122" s="23" t="str">
        <f>IF('ASS END SYNC'!C126="SHOW",MID('ASS END SYNC'!E126,S122+2,1000),"")</f>
        <v/>
      </c>
      <c r="Z122" s="24"/>
    </row>
    <row r="123" spans="1:26" x14ac:dyDescent="0.25">
      <c r="A123" s="26">
        <v>120</v>
      </c>
      <c r="B123" s="24" t="str">
        <f>IF('ASS START SYNC'!C127="SHOW",FIND(",",'ASS START SYNC'!E127,1),"")</f>
        <v/>
      </c>
      <c r="C123" s="24" t="str">
        <f>IF('ASS START SYNC'!C127="SHOW",FIND(",",'ASS START SYNC'!E127,B123+1),"")</f>
        <v/>
      </c>
      <c r="D123" s="24" t="str">
        <f>IF('ASS START SYNC'!C127="SHOW",FIND(",",'ASS START SYNC'!E127,C123+1),"")</f>
        <v/>
      </c>
      <c r="E123" s="25" t="str">
        <f>IF('ASS START SYNC'!C127="SHOW",FIND(",,",'ASS START SYNC'!E127,1),"")</f>
        <v/>
      </c>
      <c r="F123" s="25" t="str">
        <f>IF('ASS START SYNC'!C127="SHOW",FIND(",,",'ASS START SYNC'!E127,E123+1),"")</f>
        <v/>
      </c>
      <c r="G123" s="23" t="str">
        <f>IF('ASS START SYNC'!C127="SHOW",LEFT('ASS START SYNC'!E127,B123),"")</f>
        <v/>
      </c>
      <c r="H123" s="24" t="str">
        <f>IF(AND('ASS START SYNC'!C127="SHOW",COUNTA('ASS START SYNC'!$E$8:'ASS START SYNC'!E126)=0),MID('ASS START SYNC'!E127,B123+1,C123-B123-1),IF(AND('ASS START SYNC'!C127="SHOW",COUNTA('ASS START SYNC'!$E$8:'ASS START SYNC'!E126)&lt;&gt;0),I122,""))</f>
        <v/>
      </c>
      <c r="I123" s="24" t="str">
        <f>IF('ASS START SYNC'!C127="SHOW",MID('ASS START SYNC'!E127,C123+1,D123-C123-1),I122)</f>
        <v/>
      </c>
      <c r="J123" s="23" t="str">
        <f>IF('ASS START SYNC'!C127="SHOW",MID('ASS START SYNC'!E127,D123+1,F123-D123+1),"")</f>
        <v/>
      </c>
      <c r="K123" s="23" t="str">
        <f>IF('ASS START SYNC'!C127="SHOW",MID('ASS START SYNC'!E127,F123+2,1000),"")</f>
        <v/>
      </c>
      <c r="M123" s="24"/>
      <c r="N123" s="26">
        <v>120</v>
      </c>
      <c r="O123" s="24" t="str">
        <f>IF('ASS END SYNC'!C127="SHOW",FIND(",",'ASS END SYNC'!E127,1),"")</f>
        <v/>
      </c>
      <c r="P123" s="24" t="str">
        <f>IF('ASS END SYNC'!C127="SHOW",FIND(",",'ASS END SYNC'!E127,O123+1),"")</f>
        <v/>
      </c>
      <c r="Q123" s="24" t="str">
        <f>IF('ASS END SYNC'!C127="SHOW",FIND(",",'ASS END SYNC'!E127,P123+1),"")</f>
        <v/>
      </c>
      <c r="R123" s="25" t="str">
        <f>IF('ASS END SYNC'!C127="SHOW",FIND(",,",'ASS END SYNC'!E127,1),"")</f>
        <v/>
      </c>
      <c r="S123" s="25" t="str">
        <f>IF('ASS END SYNC'!C127="SHOW",FIND(",,",'ASS END SYNC'!E127,R123+1),"")</f>
        <v/>
      </c>
      <c r="T123" s="23" t="str">
        <f>IF('ASS END SYNC'!C127="SHOW",LEFT('ASS END SYNC'!E127,O123),"")</f>
        <v/>
      </c>
      <c r="U123" s="24" t="str">
        <f>IF('ASS END SYNC'!C127="SHOW",MID('ASS END SYNC'!E127,O123+1,P123-O123-1),"")</f>
        <v/>
      </c>
      <c r="V123" s="24" t="str">
        <f>IF(AND('ASS END SYNC'!C127="SHOW",'ASS END SYNC'!C128="SHOW"),U124,IF(AND('ASS END SYNC'!C127="SHOW",'ASS END SYNC'!C128&lt;&gt;"SHOW"),MID('ASS END SYNC'!E127,O123+1,P123-O123-1),""))</f>
        <v/>
      </c>
      <c r="W123" s="23" t="str">
        <f>IF('ASS END SYNC'!C127="SHOW",MID('ASS END SYNC'!E127,Q123+1,S123-Q123+1),"")</f>
        <v/>
      </c>
      <c r="X123" s="23" t="str">
        <f>IF('ASS END SYNC'!C127="SHOW",MID('ASS END SYNC'!E127,S123+2,1000),"")</f>
        <v/>
      </c>
      <c r="Z123" s="24"/>
    </row>
    <row r="124" spans="1:26" x14ac:dyDescent="0.25">
      <c r="A124" s="26">
        <v>121</v>
      </c>
      <c r="B124" s="24" t="str">
        <f>IF('ASS START SYNC'!C128="SHOW",FIND(",",'ASS START SYNC'!E128,1),"")</f>
        <v/>
      </c>
      <c r="C124" s="24" t="str">
        <f>IF('ASS START SYNC'!C128="SHOW",FIND(",",'ASS START SYNC'!E128,B124+1),"")</f>
        <v/>
      </c>
      <c r="D124" s="24" t="str">
        <f>IF('ASS START SYNC'!C128="SHOW",FIND(",",'ASS START SYNC'!E128,C124+1),"")</f>
        <v/>
      </c>
      <c r="E124" s="25" t="str">
        <f>IF('ASS START SYNC'!C128="SHOW",FIND(",,",'ASS START SYNC'!E128,1),"")</f>
        <v/>
      </c>
      <c r="F124" s="25" t="str">
        <f>IF('ASS START SYNC'!C128="SHOW",FIND(",,",'ASS START SYNC'!E128,E124+1),"")</f>
        <v/>
      </c>
      <c r="G124" s="23" t="str">
        <f>IF('ASS START SYNC'!C128="SHOW",LEFT('ASS START SYNC'!E128,B124),"")</f>
        <v/>
      </c>
      <c r="H124" s="24" t="str">
        <f>IF(AND('ASS START SYNC'!C128="SHOW",COUNTA('ASS START SYNC'!$E$8:'ASS START SYNC'!E127)=0),MID('ASS START SYNC'!E128,B124+1,C124-B124-1),IF(AND('ASS START SYNC'!C128="SHOW",COUNTA('ASS START SYNC'!$E$8:'ASS START SYNC'!E127)&lt;&gt;0),I123,""))</f>
        <v/>
      </c>
      <c r="I124" s="24" t="str">
        <f>IF('ASS START SYNC'!C128="SHOW",MID('ASS START SYNC'!E128,C124+1,D124-C124-1),I123)</f>
        <v/>
      </c>
      <c r="J124" s="23" t="str">
        <f>IF('ASS START SYNC'!C128="SHOW",MID('ASS START SYNC'!E128,D124+1,F124-D124+1),"")</f>
        <v/>
      </c>
      <c r="K124" s="23" t="str">
        <f>IF('ASS START SYNC'!C128="SHOW",MID('ASS START SYNC'!E128,F124+2,1000),"")</f>
        <v/>
      </c>
      <c r="M124" s="24"/>
      <c r="N124" s="26">
        <v>121</v>
      </c>
      <c r="O124" s="24" t="str">
        <f>IF('ASS END SYNC'!C128="SHOW",FIND(",",'ASS END SYNC'!E128,1),"")</f>
        <v/>
      </c>
      <c r="P124" s="24" t="str">
        <f>IF('ASS END SYNC'!C128="SHOW",FIND(",",'ASS END SYNC'!E128,O124+1),"")</f>
        <v/>
      </c>
      <c r="Q124" s="24" t="str">
        <f>IF('ASS END SYNC'!C128="SHOW",FIND(",",'ASS END SYNC'!E128,P124+1),"")</f>
        <v/>
      </c>
      <c r="R124" s="25" t="str">
        <f>IF('ASS END SYNC'!C128="SHOW",FIND(",,",'ASS END SYNC'!E128,1),"")</f>
        <v/>
      </c>
      <c r="S124" s="25" t="str">
        <f>IF('ASS END SYNC'!C128="SHOW",FIND(",,",'ASS END SYNC'!E128,R124+1),"")</f>
        <v/>
      </c>
      <c r="T124" s="23" t="str">
        <f>IF('ASS END SYNC'!C128="SHOW",LEFT('ASS END SYNC'!E128,O124),"")</f>
        <v/>
      </c>
      <c r="U124" s="24" t="str">
        <f>IF('ASS END SYNC'!C128="SHOW",MID('ASS END SYNC'!E128,O124+1,P124-O124-1),"")</f>
        <v/>
      </c>
      <c r="V124" s="24" t="str">
        <f>IF(AND('ASS END SYNC'!C128="SHOW",'ASS END SYNC'!C129="SHOW"),U125,IF(AND('ASS END SYNC'!C128="SHOW",'ASS END SYNC'!C129&lt;&gt;"SHOW"),MID('ASS END SYNC'!E128,O124+1,P124-O124-1),""))</f>
        <v/>
      </c>
      <c r="W124" s="23" t="str">
        <f>IF('ASS END SYNC'!C128="SHOW",MID('ASS END SYNC'!E128,Q124+1,S124-Q124+1),"")</f>
        <v/>
      </c>
      <c r="X124" s="23" t="str">
        <f>IF('ASS END SYNC'!C128="SHOW",MID('ASS END SYNC'!E128,S124+2,1000),"")</f>
        <v/>
      </c>
      <c r="Z124" s="24"/>
    </row>
    <row r="125" spans="1:26" x14ac:dyDescent="0.25">
      <c r="A125" s="26">
        <v>122</v>
      </c>
      <c r="B125" s="24" t="str">
        <f>IF('ASS START SYNC'!C129="SHOW",FIND(",",'ASS START SYNC'!E129,1),"")</f>
        <v/>
      </c>
      <c r="C125" s="24" t="str">
        <f>IF('ASS START SYNC'!C129="SHOW",FIND(",",'ASS START SYNC'!E129,B125+1),"")</f>
        <v/>
      </c>
      <c r="D125" s="24" t="str">
        <f>IF('ASS START SYNC'!C129="SHOW",FIND(",",'ASS START SYNC'!E129,C125+1),"")</f>
        <v/>
      </c>
      <c r="E125" s="25" t="str">
        <f>IF('ASS START SYNC'!C129="SHOW",FIND(",,",'ASS START SYNC'!E129,1),"")</f>
        <v/>
      </c>
      <c r="F125" s="25" t="str">
        <f>IF('ASS START SYNC'!C129="SHOW",FIND(",,",'ASS START SYNC'!E129,E125+1),"")</f>
        <v/>
      </c>
      <c r="G125" s="23" t="str">
        <f>IF('ASS START SYNC'!C129="SHOW",LEFT('ASS START SYNC'!E129,B125),"")</f>
        <v/>
      </c>
      <c r="H125" s="24" t="str">
        <f>IF(AND('ASS START SYNC'!C129="SHOW",COUNTA('ASS START SYNC'!$E$8:'ASS START SYNC'!E128)=0),MID('ASS START SYNC'!E129,B125+1,C125-B125-1),IF(AND('ASS START SYNC'!C129="SHOW",COUNTA('ASS START SYNC'!$E$8:'ASS START SYNC'!E128)&lt;&gt;0),I124,""))</f>
        <v/>
      </c>
      <c r="I125" s="24" t="str">
        <f>IF('ASS START SYNC'!C129="SHOW",MID('ASS START SYNC'!E129,C125+1,D125-C125-1),I124)</f>
        <v/>
      </c>
      <c r="J125" s="23" t="str">
        <f>IF('ASS START SYNC'!C129="SHOW",MID('ASS START SYNC'!E129,D125+1,F125-D125+1),"")</f>
        <v/>
      </c>
      <c r="K125" s="23" t="str">
        <f>IF('ASS START SYNC'!C129="SHOW",MID('ASS START SYNC'!E129,F125+2,1000),"")</f>
        <v/>
      </c>
      <c r="M125" s="24"/>
      <c r="N125" s="26">
        <v>122</v>
      </c>
      <c r="O125" s="24" t="str">
        <f>IF('ASS END SYNC'!C129="SHOW",FIND(",",'ASS END SYNC'!E129,1),"")</f>
        <v/>
      </c>
      <c r="P125" s="24" t="str">
        <f>IF('ASS END SYNC'!C129="SHOW",FIND(",",'ASS END SYNC'!E129,O125+1),"")</f>
        <v/>
      </c>
      <c r="Q125" s="24" t="str">
        <f>IF('ASS END SYNC'!C129="SHOW",FIND(",",'ASS END SYNC'!E129,P125+1),"")</f>
        <v/>
      </c>
      <c r="R125" s="25" t="str">
        <f>IF('ASS END SYNC'!C129="SHOW",FIND(",,",'ASS END SYNC'!E129,1),"")</f>
        <v/>
      </c>
      <c r="S125" s="25" t="str">
        <f>IF('ASS END SYNC'!C129="SHOW",FIND(",,",'ASS END SYNC'!E129,R125+1),"")</f>
        <v/>
      </c>
      <c r="T125" s="23" t="str">
        <f>IF('ASS END SYNC'!C129="SHOW",LEFT('ASS END SYNC'!E129,O125),"")</f>
        <v/>
      </c>
      <c r="U125" s="24" t="str">
        <f>IF('ASS END SYNC'!C129="SHOW",MID('ASS END SYNC'!E129,O125+1,P125-O125-1),"")</f>
        <v/>
      </c>
      <c r="V125" s="24" t="str">
        <f>IF(AND('ASS END SYNC'!C129="SHOW",'ASS END SYNC'!C130="SHOW"),U126,IF(AND('ASS END SYNC'!C129="SHOW",'ASS END SYNC'!C130&lt;&gt;"SHOW"),MID('ASS END SYNC'!E129,O125+1,P125-O125-1),""))</f>
        <v/>
      </c>
      <c r="W125" s="23" t="str">
        <f>IF('ASS END SYNC'!C129="SHOW",MID('ASS END SYNC'!E129,Q125+1,S125-Q125+1),"")</f>
        <v/>
      </c>
      <c r="X125" s="23" t="str">
        <f>IF('ASS END SYNC'!C129="SHOW",MID('ASS END SYNC'!E129,S125+2,1000),"")</f>
        <v/>
      </c>
      <c r="Z125" s="24"/>
    </row>
    <row r="126" spans="1:26" x14ac:dyDescent="0.25">
      <c r="A126" s="26">
        <v>123</v>
      </c>
      <c r="B126" s="24" t="str">
        <f>IF('ASS START SYNC'!C130="SHOW",FIND(",",'ASS START SYNC'!E130,1),"")</f>
        <v/>
      </c>
      <c r="C126" s="24" t="str">
        <f>IF('ASS START SYNC'!C130="SHOW",FIND(",",'ASS START SYNC'!E130,B126+1),"")</f>
        <v/>
      </c>
      <c r="D126" s="24" t="str">
        <f>IF('ASS START SYNC'!C130="SHOW",FIND(",",'ASS START SYNC'!E130,C126+1),"")</f>
        <v/>
      </c>
      <c r="E126" s="25" t="str">
        <f>IF('ASS START SYNC'!C130="SHOW",FIND(",,",'ASS START SYNC'!E130,1),"")</f>
        <v/>
      </c>
      <c r="F126" s="25" t="str">
        <f>IF('ASS START SYNC'!C130="SHOW",FIND(",,",'ASS START SYNC'!E130,E126+1),"")</f>
        <v/>
      </c>
      <c r="G126" s="23" t="str">
        <f>IF('ASS START SYNC'!C130="SHOW",LEFT('ASS START SYNC'!E130,B126),"")</f>
        <v/>
      </c>
      <c r="H126" s="24" t="str">
        <f>IF(AND('ASS START SYNC'!C130="SHOW",COUNTA('ASS START SYNC'!$E$8:'ASS START SYNC'!E129)=0),MID('ASS START SYNC'!E130,B126+1,C126-B126-1),IF(AND('ASS START SYNC'!C130="SHOW",COUNTA('ASS START SYNC'!$E$8:'ASS START SYNC'!E129)&lt;&gt;0),I125,""))</f>
        <v/>
      </c>
      <c r="I126" s="24" t="str">
        <f>IF('ASS START SYNC'!C130="SHOW",MID('ASS START SYNC'!E130,C126+1,D126-C126-1),I125)</f>
        <v/>
      </c>
      <c r="J126" s="23" t="str">
        <f>IF('ASS START SYNC'!C130="SHOW",MID('ASS START SYNC'!E130,D126+1,F126-D126+1),"")</f>
        <v/>
      </c>
      <c r="K126" s="23" t="str">
        <f>IF('ASS START SYNC'!C130="SHOW",MID('ASS START SYNC'!E130,F126+2,1000),"")</f>
        <v/>
      </c>
      <c r="M126" s="24"/>
      <c r="N126" s="26">
        <v>123</v>
      </c>
      <c r="O126" s="24" t="str">
        <f>IF('ASS END SYNC'!C130="SHOW",FIND(",",'ASS END SYNC'!E130,1),"")</f>
        <v/>
      </c>
      <c r="P126" s="24" t="str">
        <f>IF('ASS END SYNC'!C130="SHOW",FIND(",",'ASS END SYNC'!E130,O126+1),"")</f>
        <v/>
      </c>
      <c r="Q126" s="24" t="str">
        <f>IF('ASS END SYNC'!C130="SHOW",FIND(",",'ASS END SYNC'!E130,P126+1),"")</f>
        <v/>
      </c>
      <c r="R126" s="25" t="str">
        <f>IF('ASS END SYNC'!C130="SHOW",FIND(",,",'ASS END SYNC'!E130,1),"")</f>
        <v/>
      </c>
      <c r="S126" s="25" t="str">
        <f>IF('ASS END SYNC'!C130="SHOW",FIND(",,",'ASS END SYNC'!E130,R126+1),"")</f>
        <v/>
      </c>
      <c r="T126" s="23" t="str">
        <f>IF('ASS END SYNC'!C130="SHOW",LEFT('ASS END SYNC'!E130,O126),"")</f>
        <v/>
      </c>
      <c r="U126" s="24" t="str">
        <f>IF('ASS END SYNC'!C130="SHOW",MID('ASS END SYNC'!E130,O126+1,P126-O126-1),"")</f>
        <v/>
      </c>
      <c r="V126" s="24" t="str">
        <f>IF(AND('ASS END SYNC'!C130="SHOW",'ASS END SYNC'!C131="SHOW"),U127,IF(AND('ASS END SYNC'!C130="SHOW",'ASS END SYNC'!C131&lt;&gt;"SHOW"),MID('ASS END SYNC'!E130,O126+1,P126-O126-1),""))</f>
        <v/>
      </c>
      <c r="W126" s="23" t="str">
        <f>IF('ASS END SYNC'!C130="SHOW",MID('ASS END SYNC'!E130,Q126+1,S126-Q126+1),"")</f>
        <v/>
      </c>
      <c r="X126" s="23" t="str">
        <f>IF('ASS END SYNC'!C130="SHOW",MID('ASS END SYNC'!E130,S126+2,1000),"")</f>
        <v/>
      </c>
      <c r="Z126" s="24"/>
    </row>
    <row r="127" spans="1:26" x14ac:dyDescent="0.25">
      <c r="A127" s="26">
        <v>124</v>
      </c>
      <c r="B127" s="24" t="str">
        <f>IF('ASS START SYNC'!C131="SHOW",FIND(",",'ASS START SYNC'!E131,1),"")</f>
        <v/>
      </c>
      <c r="C127" s="24" t="str">
        <f>IF('ASS START SYNC'!C131="SHOW",FIND(",",'ASS START SYNC'!E131,B127+1),"")</f>
        <v/>
      </c>
      <c r="D127" s="24" t="str">
        <f>IF('ASS START SYNC'!C131="SHOW",FIND(",",'ASS START SYNC'!E131,C127+1),"")</f>
        <v/>
      </c>
      <c r="E127" s="25" t="str">
        <f>IF('ASS START SYNC'!C131="SHOW",FIND(",,",'ASS START SYNC'!E131,1),"")</f>
        <v/>
      </c>
      <c r="F127" s="25" t="str">
        <f>IF('ASS START SYNC'!C131="SHOW",FIND(",,",'ASS START SYNC'!E131,E127+1),"")</f>
        <v/>
      </c>
      <c r="G127" s="23" t="str">
        <f>IF('ASS START SYNC'!C131="SHOW",LEFT('ASS START SYNC'!E131,B127),"")</f>
        <v/>
      </c>
      <c r="H127" s="24" t="str">
        <f>IF(AND('ASS START SYNC'!C131="SHOW",COUNTA('ASS START SYNC'!$E$8:'ASS START SYNC'!E130)=0),MID('ASS START SYNC'!E131,B127+1,C127-B127-1),IF(AND('ASS START SYNC'!C131="SHOW",COUNTA('ASS START SYNC'!$E$8:'ASS START SYNC'!E130)&lt;&gt;0),I126,""))</f>
        <v/>
      </c>
      <c r="I127" s="24" t="str">
        <f>IF('ASS START SYNC'!C131="SHOW",MID('ASS START SYNC'!E131,C127+1,D127-C127-1),I126)</f>
        <v/>
      </c>
      <c r="J127" s="23" t="str">
        <f>IF('ASS START SYNC'!C131="SHOW",MID('ASS START SYNC'!E131,D127+1,F127-D127+1),"")</f>
        <v/>
      </c>
      <c r="K127" s="23" t="str">
        <f>IF('ASS START SYNC'!C131="SHOW",MID('ASS START SYNC'!E131,F127+2,1000),"")</f>
        <v/>
      </c>
      <c r="M127" s="24"/>
      <c r="N127" s="26">
        <v>124</v>
      </c>
      <c r="O127" s="24" t="str">
        <f>IF('ASS END SYNC'!C131="SHOW",FIND(",",'ASS END SYNC'!E131,1),"")</f>
        <v/>
      </c>
      <c r="P127" s="24" t="str">
        <f>IF('ASS END SYNC'!C131="SHOW",FIND(",",'ASS END SYNC'!E131,O127+1),"")</f>
        <v/>
      </c>
      <c r="Q127" s="24" t="str">
        <f>IF('ASS END SYNC'!C131="SHOW",FIND(",",'ASS END SYNC'!E131,P127+1),"")</f>
        <v/>
      </c>
      <c r="R127" s="25" t="str">
        <f>IF('ASS END SYNC'!C131="SHOW",FIND(",,",'ASS END SYNC'!E131,1),"")</f>
        <v/>
      </c>
      <c r="S127" s="25" t="str">
        <f>IF('ASS END SYNC'!C131="SHOW",FIND(",,",'ASS END SYNC'!E131,R127+1),"")</f>
        <v/>
      </c>
      <c r="T127" s="23" t="str">
        <f>IF('ASS END SYNC'!C131="SHOW",LEFT('ASS END SYNC'!E131,O127),"")</f>
        <v/>
      </c>
      <c r="U127" s="24" t="str">
        <f>IF('ASS END SYNC'!C131="SHOW",MID('ASS END SYNC'!E131,O127+1,P127-O127-1),"")</f>
        <v/>
      </c>
      <c r="V127" s="24" t="str">
        <f>IF(AND('ASS END SYNC'!C131="SHOW",'ASS END SYNC'!C132="SHOW"),U128,IF(AND('ASS END SYNC'!C131="SHOW",'ASS END SYNC'!C132&lt;&gt;"SHOW"),MID('ASS END SYNC'!E131,O127+1,P127-O127-1),""))</f>
        <v/>
      </c>
      <c r="W127" s="23" t="str">
        <f>IF('ASS END SYNC'!C131="SHOW",MID('ASS END SYNC'!E131,Q127+1,S127-Q127+1),"")</f>
        <v/>
      </c>
      <c r="X127" s="23" t="str">
        <f>IF('ASS END SYNC'!C131="SHOW",MID('ASS END SYNC'!E131,S127+2,1000),"")</f>
        <v/>
      </c>
      <c r="Z127" s="24"/>
    </row>
    <row r="128" spans="1:26" x14ac:dyDescent="0.25">
      <c r="A128" s="26">
        <v>125</v>
      </c>
      <c r="B128" s="24" t="str">
        <f>IF('ASS START SYNC'!C132="SHOW",FIND(",",'ASS START SYNC'!E132,1),"")</f>
        <v/>
      </c>
      <c r="C128" s="24" t="str">
        <f>IF('ASS START SYNC'!C132="SHOW",FIND(",",'ASS START SYNC'!E132,B128+1),"")</f>
        <v/>
      </c>
      <c r="D128" s="24" t="str">
        <f>IF('ASS START SYNC'!C132="SHOW",FIND(",",'ASS START SYNC'!E132,C128+1),"")</f>
        <v/>
      </c>
      <c r="E128" s="25" t="str">
        <f>IF('ASS START SYNC'!C132="SHOW",FIND(",,",'ASS START SYNC'!E132,1),"")</f>
        <v/>
      </c>
      <c r="F128" s="25" t="str">
        <f>IF('ASS START SYNC'!C132="SHOW",FIND(",,",'ASS START SYNC'!E132,E128+1),"")</f>
        <v/>
      </c>
      <c r="G128" s="23" t="str">
        <f>IF('ASS START SYNC'!C132="SHOW",LEFT('ASS START SYNC'!E132,B128),"")</f>
        <v/>
      </c>
      <c r="H128" s="24" t="str">
        <f>IF(AND('ASS START SYNC'!C132="SHOW",COUNTA('ASS START SYNC'!$E$8:'ASS START SYNC'!E131)=0),MID('ASS START SYNC'!E132,B128+1,C128-B128-1),IF(AND('ASS START SYNC'!C132="SHOW",COUNTA('ASS START SYNC'!$E$8:'ASS START SYNC'!E131)&lt;&gt;0),I127,""))</f>
        <v/>
      </c>
      <c r="I128" s="24" t="str">
        <f>IF('ASS START SYNC'!C132="SHOW",MID('ASS START SYNC'!E132,C128+1,D128-C128-1),I127)</f>
        <v/>
      </c>
      <c r="J128" s="23" t="str">
        <f>IF('ASS START SYNC'!C132="SHOW",MID('ASS START SYNC'!E132,D128+1,F128-D128+1),"")</f>
        <v/>
      </c>
      <c r="K128" s="23" t="str">
        <f>IF('ASS START SYNC'!C132="SHOW",MID('ASS START SYNC'!E132,F128+2,1000),"")</f>
        <v/>
      </c>
      <c r="M128" s="24"/>
      <c r="N128" s="26">
        <v>125</v>
      </c>
      <c r="O128" s="24" t="str">
        <f>IF('ASS END SYNC'!C132="SHOW",FIND(",",'ASS END SYNC'!E132,1),"")</f>
        <v/>
      </c>
      <c r="P128" s="24" t="str">
        <f>IF('ASS END SYNC'!C132="SHOW",FIND(",",'ASS END SYNC'!E132,O128+1),"")</f>
        <v/>
      </c>
      <c r="Q128" s="24" t="str">
        <f>IF('ASS END SYNC'!C132="SHOW",FIND(",",'ASS END SYNC'!E132,P128+1),"")</f>
        <v/>
      </c>
      <c r="R128" s="25" t="str">
        <f>IF('ASS END SYNC'!C132="SHOW",FIND(",,",'ASS END SYNC'!E132,1),"")</f>
        <v/>
      </c>
      <c r="S128" s="25" t="str">
        <f>IF('ASS END SYNC'!C132="SHOW",FIND(",,",'ASS END SYNC'!E132,R128+1),"")</f>
        <v/>
      </c>
      <c r="T128" s="23" t="str">
        <f>IF('ASS END SYNC'!C132="SHOW",LEFT('ASS END SYNC'!E132,O128),"")</f>
        <v/>
      </c>
      <c r="U128" s="24" t="str">
        <f>IF('ASS END SYNC'!C132="SHOW",MID('ASS END SYNC'!E132,O128+1,P128-O128-1),"")</f>
        <v/>
      </c>
      <c r="V128" s="24" t="str">
        <f>IF(AND('ASS END SYNC'!C132="SHOW",'ASS END SYNC'!C133="SHOW"),U129,IF(AND('ASS END SYNC'!C132="SHOW",'ASS END SYNC'!C133&lt;&gt;"SHOW"),MID('ASS END SYNC'!E132,O128+1,P128-O128-1),""))</f>
        <v/>
      </c>
      <c r="W128" s="23" t="str">
        <f>IF('ASS END SYNC'!C132="SHOW",MID('ASS END SYNC'!E132,Q128+1,S128-Q128+1),"")</f>
        <v/>
      </c>
      <c r="X128" s="23" t="str">
        <f>IF('ASS END SYNC'!C132="SHOW",MID('ASS END SYNC'!E132,S128+2,1000),"")</f>
        <v/>
      </c>
      <c r="Z128" s="24"/>
    </row>
    <row r="129" spans="1:26" x14ac:dyDescent="0.25">
      <c r="A129" s="26">
        <v>126</v>
      </c>
      <c r="B129" s="24" t="str">
        <f>IF('ASS START SYNC'!C133="SHOW",FIND(",",'ASS START SYNC'!E133,1),"")</f>
        <v/>
      </c>
      <c r="C129" s="24" t="str">
        <f>IF('ASS START SYNC'!C133="SHOW",FIND(",",'ASS START SYNC'!E133,B129+1),"")</f>
        <v/>
      </c>
      <c r="D129" s="24" t="str">
        <f>IF('ASS START SYNC'!C133="SHOW",FIND(",",'ASS START SYNC'!E133,C129+1),"")</f>
        <v/>
      </c>
      <c r="E129" s="25" t="str">
        <f>IF('ASS START SYNC'!C133="SHOW",FIND(",,",'ASS START SYNC'!E133,1),"")</f>
        <v/>
      </c>
      <c r="F129" s="25" t="str">
        <f>IF('ASS START SYNC'!C133="SHOW",FIND(",,",'ASS START SYNC'!E133,E129+1),"")</f>
        <v/>
      </c>
      <c r="G129" s="23" t="str">
        <f>IF('ASS START SYNC'!C133="SHOW",LEFT('ASS START SYNC'!E133,B129),"")</f>
        <v/>
      </c>
      <c r="H129" s="24" t="str">
        <f>IF(AND('ASS START SYNC'!C133="SHOW",COUNTA('ASS START SYNC'!$E$8:'ASS START SYNC'!E132)=0),MID('ASS START SYNC'!E133,B129+1,C129-B129-1),IF(AND('ASS START SYNC'!C133="SHOW",COUNTA('ASS START SYNC'!$E$8:'ASS START SYNC'!E132)&lt;&gt;0),I128,""))</f>
        <v/>
      </c>
      <c r="I129" s="24" t="str">
        <f>IF('ASS START SYNC'!C133="SHOW",MID('ASS START SYNC'!E133,C129+1,D129-C129-1),I128)</f>
        <v/>
      </c>
      <c r="J129" s="23" t="str">
        <f>IF('ASS START SYNC'!C133="SHOW",MID('ASS START SYNC'!E133,D129+1,F129-D129+1),"")</f>
        <v/>
      </c>
      <c r="K129" s="23" t="str">
        <f>IF('ASS START SYNC'!C133="SHOW",MID('ASS START SYNC'!E133,F129+2,1000),"")</f>
        <v/>
      </c>
      <c r="M129" s="24"/>
      <c r="N129" s="26">
        <v>126</v>
      </c>
      <c r="O129" s="24" t="str">
        <f>IF('ASS END SYNC'!C133="SHOW",FIND(",",'ASS END SYNC'!E133,1),"")</f>
        <v/>
      </c>
      <c r="P129" s="24" t="str">
        <f>IF('ASS END SYNC'!C133="SHOW",FIND(",",'ASS END SYNC'!E133,O129+1),"")</f>
        <v/>
      </c>
      <c r="Q129" s="24" t="str">
        <f>IF('ASS END SYNC'!C133="SHOW",FIND(",",'ASS END SYNC'!E133,P129+1),"")</f>
        <v/>
      </c>
      <c r="R129" s="25" t="str">
        <f>IF('ASS END SYNC'!C133="SHOW",FIND(",,",'ASS END SYNC'!E133,1),"")</f>
        <v/>
      </c>
      <c r="S129" s="25" t="str">
        <f>IF('ASS END SYNC'!C133="SHOW",FIND(",,",'ASS END SYNC'!E133,R129+1),"")</f>
        <v/>
      </c>
      <c r="T129" s="23" t="str">
        <f>IF('ASS END SYNC'!C133="SHOW",LEFT('ASS END SYNC'!E133,O129),"")</f>
        <v/>
      </c>
      <c r="U129" s="24" t="str">
        <f>IF('ASS END SYNC'!C133="SHOW",MID('ASS END SYNC'!E133,O129+1,P129-O129-1),"")</f>
        <v/>
      </c>
      <c r="V129" s="24" t="str">
        <f>IF(AND('ASS END SYNC'!C133="SHOW",'ASS END SYNC'!C134="SHOW"),U130,IF(AND('ASS END SYNC'!C133="SHOW",'ASS END SYNC'!C134&lt;&gt;"SHOW"),MID('ASS END SYNC'!E133,O129+1,P129-O129-1),""))</f>
        <v/>
      </c>
      <c r="W129" s="23" t="str">
        <f>IF('ASS END SYNC'!C133="SHOW",MID('ASS END SYNC'!E133,Q129+1,S129-Q129+1),"")</f>
        <v/>
      </c>
      <c r="X129" s="23" t="str">
        <f>IF('ASS END SYNC'!C133="SHOW",MID('ASS END SYNC'!E133,S129+2,1000),"")</f>
        <v/>
      </c>
      <c r="Z129" s="24"/>
    </row>
    <row r="130" spans="1:26" x14ac:dyDescent="0.25">
      <c r="A130" s="26">
        <v>127</v>
      </c>
      <c r="B130" s="24" t="str">
        <f>IF('ASS START SYNC'!C134="SHOW",FIND(",",'ASS START SYNC'!E134,1),"")</f>
        <v/>
      </c>
      <c r="C130" s="24" t="str">
        <f>IF('ASS START SYNC'!C134="SHOW",FIND(",",'ASS START SYNC'!E134,B130+1),"")</f>
        <v/>
      </c>
      <c r="D130" s="24" t="str">
        <f>IF('ASS START SYNC'!C134="SHOW",FIND(",",'ASS START SYNC'!E134,C130+1),"")</f>
        <v/>
      </c>
      <c r="E130" s="25" t="str">
        <f>IF('ASS START SYNC'!C134="SHOW",FIND(",,",'ASS START SYNC'!E134,1),"")</f>
        <v/>
      </c>
      <c r="F130" s="25" t="str">
        <f>IF('ASS START SYNC'!C134="SHOW",FIND(",,",'ASS START SYNC'!E134,E130+1),"")</f>
        <v/>
      </c>
      <c r="G130" s="23" t="str">
        <f>IF('ASS START SYNC'!C134="SHOW",LEFT('ASS START SYNC'!E134,B130),"")</f>
        <v/>
      </c>
      <c r="H130" s="24" t="str">
        <f>IF(AND('ASS START SYNC'!C134="SHOW",COUNTA('ASS START SYNC'!$E$8:'ASS START SYNC'!E133)=0),MID('ASS START SYNC'!E134,B130+1,C130-B130-1),IF(AND('ASS START SYNC'!C134="SHOW",COUNTA('ASS START SYNC'!$E$8:'ASS START SYNC'!E133)&lt;&gt;0),I129,""))</f>
        <v/>
      </c>
      <c r="I130" s="24" t="str">
        <f>IF('ASS START SYNC'!C134="SHOW",MID('ASS START SYNC'!E134,C130+1,D130-C130-1),I129)</f>
        <v/>
      </c>
      <c r="J130" s="23" t="str">
        <f>IF('ASS START SYNC'!C134="SHOW",MID('ASS START SYNC'!E134,D130+1,F130-D130+1),"")</f>
        <v/>
      </c>
      <c r="K130" s="23" t="str">
        <f>IF('ASS START SYNC'!C134="SHOW",MID('ASS START SYNC'!E134,F130+2,1000),"")</f>
        <v/>
      </c>
      <c r="M130" s="24"/>
      <c r="N130" s="26">
        <v>127</v>
      </c>
      <c r="O130" s="24" t="str">
        <f>IF('ASS END SYNC'!C134="SHOW",FIND(",",'ASS END SYNC'!E134,1),"")</f>
        <v/>
      </c>
      <c r="P130" s="24" t="str">
        <f>IF('ASS END SYNC'!C134="SHOW",FIND(",",'ASS END SYNC'!E134,O130+1),"")</f>
        <v/>
      </c>
      <c r="Q130" s="24" t="str">
        <f>IF('ASS END SYNC'!C134="SHOW",FIND(",",'ASS END SYNC'!E134,P130+1),"")</f>
        <v/>
      </c>
      <c r="R130" s="25" t="str">
        <f>IF('ASS END SYNC'!C134="SHOW",FIND(",,",'ASS END SYNC'!E134,1),"")</f>
        <v/>
      </c>
      <c r="S130" s="25" t="str">
        <f>IF('ASS END SYNC'!C134="SHOW",FIND(",,",'ASS END SYNC'!E134,R130+1),"")</f>
        <v/>
      </c>
      <c r="T130" s="23" t="str">
        <f>IF('ASS END SYNC'!C134="SHOW",LEFT('ASS END SYNC'!E134,O130),"")</f>
        <v/>
      </c>
      <c r="U130" s="24" t="str">
        <f>IF('ASS END SYNC'!C134="SHOW",MID('ASS END SYNC'!E134,O130+1,P130-O130-1),"")</f>
        <v/>
      </c>
      <c r="V130" s="24" t="str">
        <f>IF(AND('ASS END SYNC'!C134="SHOW",'ASS END SYNC'!C135="SHOW"),U131,IF(AND('ASS END SYNC'!C134="SHOW",'ASS END SYNC'!C135&lt;&gt;"SHOW"),MID('ASS END SYNC'!E134,O130+1,P130-O130-1),""))</f>
        <v/>
      </c>
      <c r="W130" s="23" t="str">
        <f>IF('ASS END SYNC'!C134="SHOW",MID('ASS END SYNC'!E134,Q130+1,S130-Q130+1),"")</f>
        <v/>
      </c>
      <c r="X130" s="23" t="str">
        <f>IF('ASS END SYNC'!C134="SHOW",MID('ASS END SYNC'!E134,S130+2,1000),"")</f>
        <v/>
      </c>
      <c r="Z130" s="24"/>
    </row>
    <row r="131" spans="1:26" x14ac:dyDescent="0.25">
      <c r="A131" s="26">
        <v>128</v>
      </c>
      <c r="B131" s="24" t="str">
        <f>IF('ASS START SYNC'!C135="SHOW",FIND(",",'ASS START SYNC'!E135,1),"")</f>
        <v/>
      </c>
      <c r="C131" s="24" t="str">
        <f>IF('ASS START SYNC'!C135="SHOW",FIND(",",'ASS START SYNC'!E135,B131+1),"")</f>
        <v/>
      </c>
      <c r="D131" s="24" t="str">
        <f>IF('ASS START SYNC'!C135="SHOW",FIND(",",'ASS START SYNC'!E135,C131+1),"")</f>
        <v/>
      </c>
      <c r="E131" s="25" t="str">
        <f>IF('ASS START SYNC'!C135="SHOW",FIND(",,",'ASS START SYNC'!E135,1),"")</f>
        <v/>
      </c>
      <c r="F131" s="25" t="str">
        <f>IF('ASS START SYNC'!C135="SHOW",FIND(",,",'ASS START SYNC'!E135,E131+1),"")</f>
        <v/>
      </c>
      <c r="G131" s="23" t="str">
        <f>IF('ASS START SYNC'!C135="SHOW",LEFT('ASS START SYNC'!E135,B131),"")</f>
        <v/>
      </c>
      <c r="H131" s="24" t="str">
        <f>IF(AND('ASS START SYNC'!C135="SHOW",COUNTA('ASS START SYNC'!$E$8:'ASS START SYNC'!E134)=0),MID('ASS START SYNC'!E135,B131+1,C131-B131-1),IF(AND('ASS START SYNC'!C135="SHOW",COUNTA('ASS START SYNC'!$E$8:'ASS START SYNC'!E134)&lt;&gt;0),I130,""))</f>
        <v/>
      </c>
      <c r="I131" s="24" t="str">
        <f>IF('ASS START SYNC'!C135="SHOW",MID('ASS START SYNC'!E135,C131+1,D131-C131-1),I130)</f>
        <v/>
      </c>
      <c r="J131" s="23" t="str">
        <f>IF('ASS START SYNC'!C135="SHOW",MID('ASS START SYNC'!E135,D131+1,F131-D131+1),"")</f>
        <v/>
      </c>
      <c r="K131" s="23" t="str">
        <f>IF('ASS START SYNC'!C135="SHOW",MID('ASS START SYNC'!E135,F131+2,1000),"")</f>
        <v/>
      </c>
      <c r="M131" s="24"/>
      <c r="N131" s="26">
        <v>128</v>
      </c>
      <c r="O131" s="24" t="str">
        <f>IF('ASS END SYNC'!C135="SHOW",FIND(",",'ASS END SYNC'!E135,1),"")</f>
        <v/>
      </c>
      <c r="P131" s="24" t="str">
        <f>IF('ASS END SYNC'!C135="SHOW",FIND(",",'ASS END SYNC'!E135,O131+1),"")</f>
        <v/>
      </c>
      <c r="Q131" s="24" t="str">
        <f>IF('ASS END SYNC'!C135="SHOW",FIND(",",'ASS END SYNC'!E135,P131+1),"")</f>
        <v/>
      </c>
      <c r="R131" s="25" t="str">
        <f>IF('ASS END SYNC'!C135="SHOW",FIND(",,",'ASS END SYNC'!E135,1),"")</f>
        <v/>
      </c>
      <c r="S131" s="25" t="str">
        <f>IF('ASS END SYNC'!C135="SHOW",FIND(",,",'ASS END SYNC'!E135,R131+1),"")</f>
        <v/>
      </c>
      <c r="T131" s="23" t="str">
        <f>IF('ASS END SYNC'!C135="SHOW",LEFT('ASS END SYNC'!E135,O131),"")</f>
        <v/>
      </c>
      <c r="U131" s="24" t="str">
        <f>IF('ASS END SYNC'!C135="SHOW",MID('ASS END SYNC'!E135,O131+1,P131-O131-1),"")</f>
        <v/>
      </c>
      <c r="V131" s="24" t="str">
        <f>IF(AND('ASS END SYNC'!C135="SHOW",'ASS END SYNC'!C136="SHOW"),U132,IF(AND('ASS END SYNC'!C135="SHOW",'ASS END SYNC'!C136&lt;&gt;"SHOW"),MID('ASS END SYNC'!E135,O131+1,P131-O131-1),""))</f>
        <v/>
      </c>
      <c r="W131" s="23" t="str">
        <f>IF('ASS END SYNC'!C135="SHOW",MID('ASS END SYNC'!E135,Q131+1,S131-Q131+1),"")</f>
        <v/>
      </c>
      <c r="X131" s="23" t="str">
        <f>IF('ASS END SYNC'!C135="SHOW",MID('ASS END SYNC'!E135,S131+2,1000),"")</f>
        <v/>
      </c>
      <c r="Z131" s="24"/>
    </row>
    <row r="132" spans="1:26" x14ac:dyDescent="0.25">
      <c r="A132" s="26">
        <v>129</v>
      </c>
      <c r="B132" s="24" t="str">
        <f>IF('ASS START SYNC'!C136="SHOW",FIND(",",'ASS START SYNC'!E136,1),"")</f>
        <v/>
      </c>
      <c r="C132" s="24" t="str">
        <f>IF('ASS START SYNC'!C136="SHOW",FIND(",",'ASS START SYNC'!E136,B132+1),"")</f>
        <v/>
      </c>
      <c r="D132" s="24" t="str">
        <f>IF('ASS START SYNC'!C136="SHOW",FIND(",",'ASS START SYNC'!E136,C132+1),"")</f>
        <v/>
      </c>
      <c r="E132" s="25" t="str">
        <f>IF('ASS START SYNC'!C136="SHOW",FIND(",,",'ASS START SYNC'!E136,1),"")</f>
        <v/>
      </c>
      <c r="F132" s="25" t="str">
        <f>IF('ASS START SYNC'!C136="SHOW",FIND(",,",'ASS START SYNC'!E136,E132+1),"")</f>
        <v/>
      </c>
      <c r="G132" s="23" t="str">
        <f>IF('ASS START SYNC'!C136="SHOW",LEFT('ASS START SYNC'!E136,B132),"")</f>
        <v/>
      </c>
      <c r="H132" s="24" t="str">
        <f>IF(AND('ASS START SYNC'!C136="SHOW",COUNTA('ASS START SYNC'!$E$8:'ASS START SYNC'!E135)=0),MID('ASS START SYNC'!E136,B132+1,C132-B132-1),IF(AND('ASS START SYNC'!C136="SHOW",COUNTA('ASS START SYNC'!$E$8:'ASS START SYNC'!E135)&lt;&gt;0),I131,""))</f>
        <v/>
      </c>
      <c r="I132" s="24" t="str">
        <f>IF('ASS START SYNC'!C136="SHOW",MID('ASS START SYNC'!E136,C132+1,D132-C132-1),I131)</f>
        <v/>
      </c>
      <c r="J132" s="23" t="str">
        <f>IF('ASS START SYNC'!C136="SHOW",MID('ASS START SYNC'!E136,D132+1,F132-D132+1),"")</f>
        <v/>
      </c>
      <c r="K132" s="23" t="str">
        <f>IF('ASS START SYNC'!C136="SHOW",MID('ASS START SYNC'!E136,F132+2,1000),"")</f>
        <v/>
      </c>
      <c r="M132" s="24"/>
      <c r="N132" s="26">
        <v>129</v>
      </c>
      <c r="O132" s="24" t="str">
        <f>IF('ASS END SYNC'!C136="SHOW",FIND(",",'ASS END SYNC'!E136,1),"")</f>
        <v/>
      </c>
      <c r="P132" s="24" t="str">
        <f>IF('ASS END SYNC'!C136="SHOW",FIND(",",'ASS END SYNC'!E136,O132+1),"")</f>
        <v/>
      </c>
      <c r="Q132" s="24" t="str">
        <f>IF('ASS END SYNC'!C136="SHOW",FIND(",",'ASS END SYNC'!E136,P132+1),"")</f>
        <v/>
      </c>
      <c r="R132" s="25" t="str">
        <f>IF('ASS END SYNC'!C136="SHOW",FIND(",,",'ASS END SYNC'!E136,1),"")</f>
        <v/>
      </c>
      <c r="S132" s="25" t="str">
        <f>IF('ASS END SYNC'!C136="SHOW",FIND(",,",'ASS END SYNC'!E136,R132+1),"")</f>
        <v/>
      </c>
      <c r="T132" s="23" t="str">
        <f>IF('ASS END SYNC'!C136="SHOW",LEFT('ASS END SYNC'!E136,O132),"")</f>
        <v/>
      </c>
      <c r="U132" s="24" t="str">
        <f>IF('ASS END SYNC'!C136="SHOW",MID('ASS END SYNC'!E136,O132+1,P132-O132-1),"")</f>
        <v/>
      </c>
      <c r="V132" s="24" t="str">
        <f>IF(AND('ASS END SYNC'!C136="SHOW",'ASS END SYNC'!C137="SHOW"),U133,IF(AND('ASS END SYNC'!C136="SHOW",'ASS END SYNC'!C137&lt;&gt;"SHOW"),MID('ASS END SYNC'!E136,O132+1,P132-O132-1),""))</f>
        <v/>
      </c>
      <c r="W132" s="23" t="str">
        <f>IF('ASS END SYNC'!C136="SHOW",MID('ASS END SYNC'!E136,Q132+1,S132-Q132+1),"")</f>
        <v/>
      </c>
      <c r="X132" s="23" t="str">
        <f>IF('ASS END SYNC'!C136="SHOW",MID('ASS END SYNC'!E136,S132+2,1000),"")</f>
        <v/>
      </c>
      <c r="Z132" s="24"/>
    </row>
    <row r="133" spans="1:26" x14ac:dyDescent="0.25">
      <c r="A133" s="26">
        <v>130</v>
      </c>
      <c r="B133" s="24" t="str">
        <f>IF('ASS START SYNC'!C137="SHOW",FIND(",",'ASS START SYNC'!E137,1),"")</f>
        <v/>
      </c>
      <c r="C133" s="24" t="str">
        <f>IF('ASS START SYNC'!C137="SHOW",FIND(",",'ASS START SYNC'!E137,B133+1),"")</f>
        <v/>
      </c>
      <c r="D133" s="24" t="str">
        <f>IF('ASS START SYNC'!C137="SHOW",FIND(",",'ASS START SYNC'!E137,C133+1),"")</f>
        <v/>
      </c>
      <c r="E133" s="25" t="str">
        <f>IF('ASS START SYNC'!C137="SHOW",FIND(",,",'ASS START SYNC'!E137,1),"")</f>
        <v/>
      </c>
      <c r="F133" s="25" t="str">
        <f>IF('ASS START SYNC'!C137="SHOW",FIND(",,",'ASS START SYNC'!E137,E133+1),"")</f>
        <v/>
      </c>
      <c r="G133" s="23" t="str">
        <f>IF('ASS START SYNC'!C137="SHOW",LEFT('ASS START SYNC'!E137,B133),"")</f>
        <v/>
      </c>
      <c r="H133" s="24" t="str">
        <f>IF(AND('ASS START SYNC'!C137="SHOW",COUNTA('ASS START SYNC'!$E$8:'ASS START SYNC'!E136)=0),MID('ASS START SYNC'!E137,B133+1,C133-B133-1),IF(AND('ASS START SYNC'!C137="SHOW",COUNTA('ASS START SYNC'!$E$8:'ASS START SYNC'!E136)&lt;&gt;0),I132,""))</f>
        <v/>
      </c>
      <c r="I133" s="24" t="str">
        <f>IF('ASS START SYNC'!C137="SHOW",MID('ASS START SYNC'!E137,C133+1,D133-C133-1),I132)</f>
        <v/>
      </c>
      <c r="J133" s="23" t="str">
        <f>IF('ASS START SYNC'!C137="SHOW",MID('ASS START SYNC'!E137,D133+1,F133-D133+1),"")</f>
        <v/>
      </c>
      <c r="K133" s="23" t="str">
        <f>IF('ASS START SYNC'!C137="SHOW",MID('ASS START SYNC'!E137,F133+2,1000),"")</f>
        <v/>
      </c>
      <c r="M133" s="24"/>
      <c r="N133" s="26">
        <v>130</v>
      </c>
      <c r="O133" s="24" t="str">
        <f>IF('ASS END SYNC'!C137="SHOW",FIND(",",'ASS END SYNC'!E137,1),"")</f>
        <v/>
      </c>
      <c r="P133" s="24" t="str">
        <f>IF('ASS END SYNC'!C137="SHOW",FIND(",",'ASS END SYNC'!E137,O133+1),"")</f>
        <v/>
      </c>
      <c r="Q133" s="24" t="str">
        <f>IF('ASS END SYNC'!C137="SHOW",FIND(",",'ASS END SYNC'!E137,P133+1),"")</f>
        <v/>
      </c>
      <c r="R133" s="25" t="str">
        <f>IF('ASS END SYNC'!C137="SHOW",FIND(",,",'ASS END SYNC'!E137,1),"")</f>
        <v/>
      </c>
      <c r="S133" s="25" t="str">
        <f>IF('ASS END SYNC'!C137="SHOW",FIND(",,",'ASS END SYNC'!E137,R133+1),"")</f>
        <v/>
      </c>
      <c r="T133" s="23" t="str">
        <f>IF('ASS END SYNC'!C137="SHOW",LEFT('ASS END SYNC'!E137,O133),"")</f>
        <v/>
      </c>
      <c r="U133" s="24" t="str">
        <f>IF('ASS END SYNC'!C137="SHOW",MID('ASS END SYNC'!E137,O133+1,P133-O133-1),"")</f>
        <v/>
      </c>
      <c r="V133" s="24" t="str">
        <f>IF(AND('ASS END SYNC'!C137="SHOW",'ASS END SYNC'!C138="SHOW"),U134,IF(AND('ASS END SYNC'!C137="SHOW",'ASS END SYNC'!C138&lt;&gt;"SHOW"),MID('ASS END SYNC'!E137,O133+1,P133-O133-1),""))</f>
        <v/>
      </c>
      <c r="W133" s="23" t="str">
        <f>IF('ASS END SYNC'!C137="SHOW",MID('ASS END SYNC'!E137,Q133+1,S133-Q133+1),"")</f>
        <v/>
      </c>
      <c r="X133" s="23" t="str">
        <f>IF('ASS END SYNC'!C137="SHOW",MID('ASS END SYNC'!E137,S133+2,1000),"")</f>
        <v/>
      </c>
      <c r="Z133" s="24"/>
    </row>
    <row r="134" spans="1:26" x14ac:dyDescent="0.25">
      <c r="A134" s="26">
        <v>131</v>
      </c>
      <c r="B134" s="24" t="str">
        <f>IF('ASS START SYNC'!C138="SHOW",FIND(",",'ASS START SYNC'!E138,1),"")</f>
        <v/>
      </c>
      <c r="C134" s="24" t="str">
        <f>IF('ASS START SYNC'!C138="SHOW",FIND(",",'ASS START SYNC'!E138,B134+1),"")</f>
        <v/>
      </c>
      <c r="D134" s="24" t="str">
        <f>IF('ASS START SYNC'!C138="SHOW",FIND(",",'ASS START SYNC'!E138,C134+1),"")</f>
        <v/>
      </c>
      <c r="E134" s="25" t="str">
        <f>IF('ASS START SYNC'!C138="SHOW",FIND(",,",'ASS START SYNC'!E138,1),"")</f>
        <v/>
      </c>
      <c r="F134" s="25" t="str">
        <f>IF('ASS START SYNC'!C138="SHOW",FIND(",,",'ASS START SYNC'!E138,E134+1),"")</f>
        <v/>
      </c>
      <c r="G134" s="23" t="str">
        <f>IF('ASS START SYNC'!C138="SHOW",LEFT('ASS START SYNC'!E138,B134),"")</f>
        <v/>
      </c>
      <c r="H134" s="24" t="str">
        <f>IF(AND('ASS START SYNC'!C138="SHOW",COUNTA('ASS START SYNC'!$E$8:'ASS START SYNC'!E137)=0),MID('ASS START SYNC'!E138,B134+1,C134-B134-1),IF(AND('ASS START SYNC'!C138="SHOW",COUNTA('ASS START SYNC'!$E$8:'ASS START SYNC'!E137)&lt;&gt;0),I133,""))</f>
        <v/>
      </c>
      <c r="I134" s="24" t="str">
        <f>IF('ASS START SYNC'!C138="SHOW",MID('ASS START SYNC'!E138,C134+1,D134-C134-1),I133)</f>
        <v/>
      </c>
      <c r="J134" s="23" t="str">
        <f>IF('ASS START SYNC'!C138="SHOW",MID('ASS START SYNC'!E138,D134+1,F134-D134+1),"")</f>
        <v/>
      </c>
      <c r="K134" s="23" t="str">
        <f>IF('ASS START SYNC'!C138="SHOW",MID('ASS START SYNC'!E138,F134+2,1000),"")</f>
        <v/>
      </c>
      <c r="M134" s="24"/>
      <c r="N134" s="26">
        <v>131</v>
      </c>
      <c r="O134" s="24" t="str">
        <f>IF('ASS END SYNC'!C138="SHOW",FIND(",",'ASS END SYNC'!E138,1),"")</f>
        <v/>
      </c>
      <c r="P134" s="24" t="str">
        <f>IF('ASS END SYNC'!C138="SHOW",FIND(",",'ASS END SYNC'!E138,O134+1),"")</f>
        <v/>
      </c>
      <c r="Q134" s="24" t="str">
        <f>IF('ASS END SYNC'!C138="SHOW",FIND(",",'ASS END SYNC'!E138,P134+1),"")</f>
        <v/>
      </c>
      <c r="R134" s="25" t="str">
        <f>IF('ASS END SYNC'!C138="SHOW",FIND(",,",'ASS END SYNC'!E138,1),"")</f>
        <v/>
      </c>
      <c r="S134" s="25" t="str">
        <f>IF('ASS END SYNC'!C138="SHOW",FIND(",,",'ASS END SYNC'!E138,R134+1),"")</f>
        <v/>
      </c>
      <c r="T134" s="23" t="str">
        <f>IF('ASS END SYNC'!C138="SHOW",LEFT('ASS END SYNC'!E138,O134),"")</f>
        <v/>
      </c>
      <c r="U134" s="24" t="str">
        <f>IF('ASS END SYNC'!C138="SHOW",MID('ASS END SYNC'!E138,O134+1,P134-O134-1),"")</f>
        <v/>
      </c>
      <c r="V134" s="24" t="str">
        <f>IF(AND('ASS END SYNC'!C138="SHOW",'ASS END SYNC'!C139="SHOW"),U135,IF(AND('ASS END SYNC'!C138="SHOW",'ASS END SYNC'!C139&lt;&gt;"SHOW"),MID('ASS END SYNC'!E138,O134+1,P134-O134-1),""))</f>
        <v/>
      </c>
      <c r="W134" s="23" t="str">
        <f>IF('ASS END SYNC'!C138="SHOW",MID('ASS END SYNC'!E138,Q134+1,S134-Q134+1),"")</f>
        <v/>
      </c>
      <c r="X134" s="23" t="str">
        <f>IF('ASS END SYNC'!C138="SHOW",MID('ASS END SYNC'!E138,S134+2,1000),"")</f>
        <v/>
      </c>
      <c r="Z134" s="24"/>
    </row>
    <row r="135" spans="1:26" x14ac:dyDescent="0.25">
      <c r="A135" s="26">
        <v>132</v>
      </c>
      <c r="B135" s="24" t="str">
        <f>IF('ASS START SYNC'!C139="SHOW",FIND(",",'ASS START SYNC'!E139,1),"")</f>
        <v/>
      </c>
      <c r="C135" s="24" t="str">
        <f>IF('ASS START SYNC'!C139="SHOW",FIND(",",'ASS START SYNC'!E139,B135+1),"")</f>
        <v/>
      </c>
      <c r="D135" s="24" t="str">
        <f>IF('ASS START SYNC'!C139="SHOW",FIND(",",'ASS START SYNC'!E139,C135+1),"")</f>
        <v/>
      </c>
      <c r="E135" s="25" t="str">
        <f>IF('ASS START SYNC'!C139="SHOW",FIND(",,",'ASS START SYNC'!E139,1),"")</f>
        <v/>
      </c>
      <c r="F135" s="25" t="str">
        <f>IF('ASS START SYNC'!C139="SHOW",FIND(",,",'ASS START SYNC'!E139,E135+1),"")</f>
        <v/>
      </c>
      <c r="G135" s="23" t="str">
        <f>IF('ASS START SYNC'!C139="SHOW",LEFT('ASS START SYNC'!E139,B135),"")</f>
        <v/>
      </c>
      <c r="H135" s="24" t="str">
        <f>IF(AND('ASS START SYNC'!C139="SHOW",COUNTA('ASS START SYNC'!$E$8:'ASS START SYNC'!E138)=0),MID('ASS START SYNC'!E139,B135+1,C135-B135-1),IF(AND('ASS START SYNC'!C139="SHOW",COUNTA('ASS START SYNC'!$E$8:'ASS START SYNC'!E138)&lt;&gt;0),I134,""))</f>
        <v/>
      </c>
      <c r="I135" s="24" t="str">
        <f>IF('ASS START SYNC'!C139="SHOW",MID('ASS START SYNC'!E139,C135+1,D135-C135-1),I134)</f>
        <v/>
      </c>
      <c r="J135" s="23" t="str">
        <f>IF('ASS START SYNC'!C139="SHOW",MID('ASS START SYNC'!E139,D135+1,F135-D135+1),"")</f>
        <v/>
      </c>
      <c r="K135" s="23" t="str">
        <f>IF('ASS START SYNC'!C139="SHOW",MID('ASS START SYNC'!E139,F135+2,1000),"")</f>
        <v/>
      </c>
      <c r="M135" s="24"/>
      <c r="N135" s="26">
        <v>132</v>
      </c>
      <c r="O135" s="24" t="str">
        <f>IF('ASS END SYNC'!C139="SHOW",FIND(",",'ASS END SYNC'!E139,1),"")</f>
        <v/>
      </c>
      <c r="P135" s="24" t="str">
        <f>IF('ASS END SYNC'!C139="SHOW",FIND(",",'ASS END SYNC'!E139,O135+1),"")</f>
        <v/>
      </c>
      <c r="Q135" s="24" t="str">
        <f>IF('ASS END SYNC'!C139="SHOW",FIND(",",'ASS END SYNC'!E139,P135+1),"")</f>
        <v/>
      </c>
      <c r="R135" s="25" t="str">
        <f>IF('ASS END SYNC'!C139="SHOW",FIND(",,",'ASS END SYNC'!E139,1),"")</f>
        <v/>
      </c>
      <c r="S135" s="25" t="str">
        <f>IF('ASS END SYNC'!C139="SHOW",FIND(",,",'ASS END SYNC'!E139,R135+1),"")</f>
        <v/>
      </c>
      <c r="T135" s="23" t="str">
        <f>IF('ASS END SYNC'!C139="SHOW",LEFT('ASS END SYNC'!E139,O135),"")</f>
        <v/>
      </c>
      <c r="U135" s="24" t="str">
        <f>IF('ASS END SYNC'!C139="SHOW",MID('ASS END SYNC'!E139,O135+1,P135-O135-1),"")</f>
        <v/>
      </c>
      <c r="V135" s="24" t="str">
        <f>IF(AND('ASS END SYNC'!C139="SHOW",'ASS END SYNC'!C140="SHOW"),U136,IF(AND('ASS END SYNC'!C139="SHOW",'ASS END SYNC'!C140&lt;&gt;"SHOW"),MID('ASS END SYNC'!E139,O135+1,P135-O135-1),""))</f>
        <v/>
      </c>
      <c r="W135" s="23" t="str">
        <f>IF('ASS END SYNC'!C139="SHOW",MID('ASS END SYNC'!E139,Q135+1,S135-Q135+1),"")</f>
        <v/>
      </c>
      <c r="X135" s="23" t="str">
        <f>IF('ASS END SYNC'!C139="SHOW",MID('ASS END SYNC'!E139,S135+2,1000),"")</f>
        <v/>
      </c>
      <c r="Z135" s="24"/>
    </row>
    <row r="136" spans="1:26" x14ac:dyDescent="0.25">
      <c r="A136" s="26">
        <v>133</v>
      </c>
      <c r="B136" s="24" t="str">
        <f>IF('ASS START SYNC'!C140="SHOW",FIND(",",'ASS START SYNC'!E140,1),"")</f>
        <v/>
      </c>
      <c r="C136" s="24" t="str">
        <f>IF('ASS START SYNC'!C140="SHOW",FIND(",",'ASS START SYNC'!E140,B136+1),"")</f>
        <v/>
      </c>
      <c r="D136" s="24" t="str">
        <f>IF('ASS START SYNC'!C140="SHOW",FIND(",",'ASS START SYNC'!E140,C136+1),"")</f>
        <v/>
      </c>
      <c r="E136" s="25" t="str">
        <f>IF('ASS START SYNC'!C140="SHOW",FIND(",,",'ASS START SYNC'!E140,1),"")</f>
        <v/>
      </c>
      <c r="F136" s="25" t="str">
        <f>IF('ASS START SYNC'!C140="SHOW",FIND(",,",'ASS START SYNC'!E140,E136+1),"")</f>
        <v/>
      </c>
      <c r="G136" s="23" t="str">
        <f>IF('ASS START SYNC'!C140="SHOW",LEFT('ASS START SYNC'!E140,B136),"")</f>
        <v/>
      </c>
      <c r="H136" s="24" t="str">
        <f>IF(AND('ASS START SYNC'!C140="SHOW",COUNTA('ASS START SYNC'!$E$8:'ASS START SYNC'!E139)=0),MID('ASS START SYNC'!E140,B136+1,C136-B136-1),IF(AND('ASS START SYNC'!C140="SHOW",COUNTA('ASS START SYNC'!$E$8:'ASS START SYNC'!E139)&lt;&gt;0),I135,""))</f>
        <v/>
      </c>
      <c r="I136" s="24" t="str">
        <f>IF('ASS START SYNC'!C140="SHOW",MID('ASS START SYNC'!E140,C136+1,D136-C136-1),I135)</f>
        <v/>
      </c>
      <c r="J136" s="23" t="str">
        <f>IF('ASS START SYNC'!C140="SHOW",MID('ASS START SYNC'!E140,D136+1,F136-D136+1),"")</f>
        <v/>
      </c>
      <c r="K136" s="23" t="str">
        <f>IF('ASS START SYNC'!C140="SHOW",MID('ASS START SYNC'!E140,F136+2,1000),"")</f>
        <v/>
      </c>
      <c r="M136" s="24"/>
      <c r="N136" s="26">
        <v>133</v>
      </c>
      <c r="O136" s="24" t="str">
        <f>IF('ASS END SYNC'!C140="SHOW",FIND(",",'ASS END SYNC'!E140,1),"")</f>
        <v/>
      </c>
      <c r="P136" s="24" t="str">
        <f>IF('ASS END SYNC'!C140="SHOW",FIND(",",'ASS END SYNC'!E140,O136+1),"")</f>
        <v/>
      </c>
      <c r="Q136" s="24" t="str">
        <f>IF('ASS END SYNC'!C140="SHOW",FIND(",",'ASS END SYNC'!E140,P136+1),"")</f>
        <v/>
      </c>
      <c r="R136" s="25" t="str">
        <f>IF('ASS END SYNC'!C140="SHOW",FIND(",,",'ASS END SYNC'!E140,1),"")</f>
        <v/>
      </c>
      <c r="S136" s="25" t="str">
        <f>IF('ASS END SYNC'!C140="SHOW",FIND(",,",'ASS END SYNC'!E140,R136+1),"")</f>
        <v/>
      </c>
      <c r="T136" s="23" t="str">
        <f>IF('ASS END SYNC'!C140="SHOW",LEFT('ASS END SYNC'!E140,O136),"")</f>
        <v/>
      </c>
      <c r="U136" s="24" t="str">
        <f>IF('ASS END SYNC'!C140="SHOW",MID('ASS END SYNC'!E140,O136+1,P136-O136-1),"")</f>
        <v/>
      </c>
      <c r="V136" s="24" t="str">
        <f>IF(AND('ASS END SYNC'!C140="SHOW",'ASS END SYNC'!C141="SHOW"),U137,IF(AND('ASS END SYNC'!C140="SHOW",'ASS END SYNC'!C141&lt;&gt;"SHOW"),MID('ASS END SYNC'!E140,O136+1,P136-O136-1),""))</f>
        <v/>
      </c>
      <c r="W136" s="23" t="str">
        <f>IF('ASS END SYNC'!C140="SHOW",MID('ASS END SYNC'!E140,Q136+1,S136-Q136+1),"")</f>
        <v/>
      </c>
      <c r="X136" s="23" t="str">
        <f>IF('ASS END SYNC'!C140="SHOW",MID('ASS END SYNC'!E140,S136+2,1000),"")</f>
        <v/>
      </c>
      <c r="Z136" s="24"/>
    </row>
    <row r="137" spans="1:26" x14ac:dyDescent="0.25">
      <c r="A137" s="26">
        <v>134</v>
      </c>
      <c r="B137" s="24" t="str">
        <f>IF('ASS START SYNC'!C141="SHOW",FIND(",",'ASS START SYNC'!E141,1),"")</f>
        <v/>
      </c>
      <c r="C137" s="24" t="str">
        <f>IF('ASS START SYNC'!C141="SHOW",FIND(",",'ASS START SYNC'!E141,B137+1),"")</f>
        <v/>
      </c>
      <c r="D137" s="24" t="str">
        <f>IF('ASS START SYNC'!C141="SHOW",FIND(",",'ASS START SYNC'!E141,C137+1),"")</f>
        <v/>
      </c>
      <c r="E137" s="25" t="str">
        <f>IF('ASS START SYNC'!C141="SHOW",FIND(",,",'ASS START SYNC'!E141,1),"")</f>
        <v/>
      </c>
      <c r="F137" s="25" t="str">
        <f>IF('ASS START SYNC'!C141="SHOW",FIND(",,",'ASS START SYNC'!E141,E137+1),"")</f>
        <v/>
      </c>
      <c r="G137" s="23" t="str">
        <f>IF('ASS START SYNC'!C141="SHOW",LEFT('ASS START SYNC'!E141,B137),"")</f>
        <v/>
      </c>
      <c r="H137" s="24" t="str">
        <f>IF(AND('ASS START SYNC'!C141="SHOW",COUNTA('ASS START SYNC'!$E$8:'ASS START SYNC'!E140)=0),MID('ASS START SYNC'!E141,B137+1,C137-B137-1),IF(AND('ASS START SYNC'!C141="SHOW",COUNTA('ASS START SYNC'!$E$8:'ASS START SYNC'!E140)&lt;&gt;0),I136,""))</f>
        <v/>
      </c>
      <c r="I137" s="24" t="str">
        <f>IF('ASS START SYNC'!C141="SHOW",MID('ASS START SYNC'!E141,C137+1,D137-C137-1),I136)</f>
        <v/>
      </c>
      <c r="J137" s="23" t="str">
        <f>IF('ASS START SYNC'!C141="SHOW",MID('ASS START SYNC'!E141,D137+1,F137-D137+1),"")</f>
        <v/>
      </c>
      <c r="K137" s="23" t="str">
        <f>IF('ASS START SYNC'!C141="SHOW",MID('ASS START SYNC'!E141,F137+2,1000),"")</f>
        <v/>
      </c>
      <c r="M137" s="24"/>
      <c r="N137" s="26">
        <v>134</v>
      </c>
      <c r="O137" s="24" t="str">
        <f>IF('ASS END SYNC'!C141="SHOW",FIND(",",'ASS END SYNC'!E141,1),"")</f>
        <v/>
      </c>
      <c r="P137" s="24" t="str">
        <f>IF('ASS END SYNC'!C141="SHOW",FIND(",",'ASS END SYNC'!E141,O137+1),"")</f>
        <v/>
      </c>
      <c r="Q137" s="24" t="str">
        <f>IF('ASS END SYNC'!C141="SHOW",FIND(",",'ASS END SYNC'!E141,P137+1),"")</f>
        <v/>
      </c>
      <c r="R137" s="25" t="str">
        <f>IF('ASS END SYNC'!C141="SHOW",FIND(",,",'ASS END SYNC'!E141,1),"")</f>
        <v/>
      </c>
      <c r="S137" s="25" t="str">
        <f>IF('ASS END SYNC'!C141="SHOW",FIND(",,",'ASS END SYNC'!E141,R137+1),"")</f>
        <v/>
      </c>
      <c r="T137" s="23" t="str">
        <f>IF('ASS END SYNC'!C141="SHOW",LEFT('ASS END SYNC'!E141,O137),"")</f>
        <v/>
      </c>
      <c r="U137" s="24" t="str">
        <f>IF('ASS END SYNC'!C141="SHOW",MID('ASS END SYNC'!E141,O137+1,P137-O137-1),"")</f>
        <v/>
      </c>
      <c r="V137" s="24" t="str">
        <f>IF(AND('ASS END SYNC'!C141="SHOW",'ASS END SYNC'!C142="SHOW"),U138,IF(AND('ASS END SYNC'!C141="SHOW",'ASS END SYNC'!C142&lt;&gt;"SHOW"),MID('ASS END SYNC'!E141,O137+1,P137-O137-1),""))</f>
        <v/>
      </c>
      <c r="W137" s="23" t="str">
        <f>IF('ASS END SYNC'!C141="SHOW",MID('ASS END SYNC'!E141,Q137+1,S137-Q137+1),"")</f>
        <v/>
      </c>
      <c r="X137" s="23" t="str">
        <f>IF('ASS END SYNC'!C141="SHOW",MID('ASS END SYNC'!E141,S137+2,1000),"")</f>
        <v/>
      </c>
      <c r="Z137" s="24"/>
    </row>
    <row r="138" spans="1:26" x14ac:dyDescent="0.25">
      <c r="A138" s="26">
        <v>135</v>
      </c>
      <c r="B138" s="24" t="str">
        <f>IF('ASS START SYNC'!C142="SHOW",FIND(",",'ASS START SYNC'!E142,1),"")</f>
        <v/>
      </c>
      <c r="C138" s="24" t="str">
        <f>IF('ASS START SYNC'!C142="SHOW",FIND(",",'ASS START SYNC'!E142,B138+1),"")</f>
        <v/>
      </c>
      <c r="D138" s="24" t="str">
        <f>IF('ASS START SYNC'!C142="SHOW",FIND(",",'ASS START SYNC'!E142,C138+1),"")</f>
        <v/>
      </c>
      <c r="E138" s="25" t="str">
        <f>IF('ASS START SYNC'!C142="SHOW",FIND(",,",'ASS START SYNC'!E142,1),"")</f>
        <v/>
      </c>
      <c r="F138" s="25" t="str">
        <f>IF('ASS START SYNC'!C142="SHOW",FIND(",,",'ASS START SYNC'!E142,E138+1),"")</f>
        <v/>
      </c>
      <c r="G138" s="23" t="str">
        <f>IF('ASS START SYNC'!C142="SHOW",LEFT('ASS START SYNC'!E142,B138),"")</f>
        <v/>
      </c>
      <c r="H138" s="24" t="str">
        <f>IF(AND('ASS START SYNC'!C142="SHOW",COUNTA('ASS START SYNC'!$E$8:'ASS START SYNC'!E141)=0),MID('ASS START SYNC'!E142,B138+1,C138-B138-1),IF(AND('ASS START SYNC'!C142="SHOW",COUNTA('ASS START SYNC'!$E$8:'ASS START SYNC'!E141)&lt;&gt;0),I137,""))</f>
        <v/>
      </c>
      <c r="I138" s="24" t="str">
        <f>IF('ASS START SYNC'!C142="SHOW",MID('ASS START SYNC'!E142,C138+1,D138-C138-1),I137)</f>
        <v/>
      </c>
      <c r="J138" s="23" t="str">
        <f>IF('ASS START SYNC'!C142="SHOW",MID('ASS START SYNC'!E142,D138+1,F138-D138+1),"")</f>
        <v/>
      </c>
      <c r="K138" s="23" t="str">
        <f>IF('ASS START SYNC'!C142="SHOW",MID('ASS START SYNC'!E142,F138+2,1000),"")</f>
        <v/>
      </c>
      <c r="M138" s="24"/>
      <c r="N138" s="26">
        <v>135</v>
      </c>
      <c r="O138" s="24" t="str">
        <f>IF('ASS END SYNC'!C142="SHOW",FIND(",",'ASS END SYNC'!E142,1),"")</f>
        <v/>
      </c>
      <c r="P138" s="24" t="str">
        <f>IF('ASS END SYNC'!C142="SHOW",FIND(",",'ASS END SYNC'!E142,O138+1),"")</f>
        <v/>
      </c>
      <c r="Q138" s="24" t="str">
        <f>IF('ASS END SYNC'!C142="SHOW",FIND(",",'ASS END SYNC'!E142,P138+1),"")</f>
        <v/>
      </c>
      <c r="R138" s="25" t="str">
        <f>IF('ASS END SYNC'!C142="SHOW",FIND(",,",'ASS END SYNC'!E142,1),"")</f>
        <v/>
      </c>
      <c r="S138" s="25" t="str">
        <f>IF('ASS END SYNC'!C142="SHOW",FIND(",,",'ASS END SYNC'!E142,R138+1),"")</f>
        <v/>
      </c>
      <c r="T138" s="23" t="str">
        <f>IF('ASS END SYNC'!C142="SHOW",LEFT('ASS END SYNC'!E142,O138),"")</f>
        <v/>
      </c>
      <c r="U138" s="24" t="str">
        <f>IF('ASS END SYNC'!C142="SHOW",MID('ASS END SYNC'!E142,O138+1,P138-O138-1),"")</f>
        <v/>
      </c>
      <c r="V138" s="24" t="str">
        <f>IF(AND('ASS END SYNC'!C142="SHOW",'ASS END SYNC'!C143="SHOW"),U139,IF(AND('ASS END SYNC'!C142="SHOW",'ASS END SYNC'!C143&lt;&gt;"SHOW"),MID('ASS END SYNC'!E142,O138+1,P138-O138-1),""))</f>
        <v/>
      </c>
      <c r="W138" s="23" t="str">
        <f>IF('ASS END SYNC'!C142="SHOW",MID('ASS END SYNC'!E142,Q138+1,S138-Q138+1),"")</f>
        <v/>
      </c>
      <c r="X138" s="23" t="str">
        <f>IF('ASS END SYNC'!C142="SHOW",MID('ASS END SYNC'!E142,S138+2,1000),"")</f>
        <v/>
      </c>
      <c r="Z138" s="24"/>
    </row>
    <row r="139" spans="1:26" x14ac:dyDescent="0.25">
      <c r="A139" s="26">
        <v>136</v>
      </c>
      <c r="B139" s="24" t="str">
        <f>IF('ASS START SYNC'!C143="SHOW",FIND(",",'ASS START SYNC'!E143,1),"")</f>
        <v/>
      </c>
      <c r="C139" s="24" t="str">
        <f>IF('ASS START SYNC'!C143="SHOW",FIND(",",'ASS START SYNC'!E143,B139+1),"")</f>
        <v/>
      </c>
      <c r="D139" s="24" t="str">
        <f>IF('ASS START SYNC'!C143="SHOW",FIND(",",'ASS START SYNC'!E143,C139+1),"")</f>
        <v/>
      </c>
      <c r="E139" s="25" t="str">
        <f>IF('ASS START SYNC'!C143="SHOW",FIND(",,",'ASS START SYNC'!E143,1),"")</f>
        <v/>
      </c>
      <c r="F139" s="25" t="str">
        <f>IF('ASS START SYNC'!C143="SHOW",FIND(",,",'ASS START SYNC'!E143,E139+1),"")</f>
        <v/>
      </c>
      <c r="G139" s="23" t="str">
        <f>IF('ASS START SYNC'!C143="SHOW",LEFT('ASS START SYNC'!E143,B139),"")</f>
        <v/>
      </c>
      <c r="H139" s="24" t="str">
        <f>IF(AND('ASS START SYNC'!C143="SHOW",COUNTA('ASS START SYNC'!$E$8:'ASS START SYNC'!E142)=0),MID('ASS START SYNC'!E143,B139+1,C139-B139-1),IF(AND('ASS START SYNC'!C143="SHOW",COUNTA('ASS START SYNC'!$E$8:'ASS START SYNC'!E142)&lt;&gt;0),I138,""))</f>
        <v/>
      </c>
      <c r="I139" s="24" t="str">
        <f>IF('ASS START SYNC'!C143="SHOW",MID('ASS START SYNC'!E143,C139+1,D139-C139-1),I138)</f>
        <v/>
      </c>
      <c r="J139" s="23" t="str">
        <f>IF('ASS START SYNC'!C143="SHOW",MID('ASS START SYNC'!E143,D139+1,F139-D139+1),"")</f>
        <v/>
      </c>
      <c r="K139" s="23" t="str">
        <f>IF('ASS START SYNC'!C143="SHOW",MID('ASS START SYNC'!E143,F139+2,1000),"")</f>
        <v/>
      </c>
      <c r="M139" s="24"/>
      <c r="N139" s="26">
        <v>136</v>
      </c>
      <c r="O139" s="24" t="str">
        <f>IF('ASS END SYNC'!C143="SHOW",FIND(",",'ASS END SYNC'!E143,1),"")</f>
        <v/>
      </c>
      <c r="P139" s="24" t="str">
        <f>IF('ASS END SYNC'!C143="SHOW",FIND(",",'ASS END SYNC'!E143,O139+1),"")</f>
        <v/>
      </c>
      <c r="Q139" s="24" t="str">
        <f>IF('ASS END SYNC'!C143="SHOW",FIND(",",'ASS END SYNC'!E143,P139+1),"")</f>
        <v/>
      </c>
      <c r="R139" s="25" t="str">
        <f>IF('ASS END SYNC'!C143="SHOW",FIND(",,",'ASS END SYNC'!E143,1),"")</f>
        <v/>
      </c>
      <c r="S139" s="25" t="str">
        <f>IF('ASS END SYNC'!C143="SHOW",FIND(",,",'ASS END SYNC'!E143,R139+1),"")</f>
        <v/>
      </c>
      <c r="T139" s="23" t="str">
        <f>IF('ASS END SYNC'!C143="SHOW",LEFT('ASS END SYNC'!E143,O139),"")</f>
        <v/>
      </c>
      <c r="U139" s="24" t="str">
        <f>IF('ASS END SYNC'!C143="SHOW",MID('ASS END SYNC'!E143,O139+1,P139-O139-1),"")</f>
        <v/>
      </c>
      <c r="V139" s="24" t="str">
        <f>IF(AND('ASS END SYNC'!C143="SHOW",'ASS END SYNC'!C144="SHOW"),U140,IF(AND('ASS END SYNC'!C143="SHOW",'ASS END SYNC'!C144&lt;&gt;"SHOW"),MID('ASS END SYNC'!E143,O139+1,P139-O139-1),""))</f>
        <v/>
      </c>
      <c r="W139" s="23" t="str">
        <f>IF('ASS END SYNC'!C143="SHOW",MID('ASS END SYNC'!E143,Q139+1,S139-Q139+1),"")</f>
        <v/>
      </c>
      <c r="X139" s="23" t="str">
        <f>IF('ASS END SYNC'!C143="SHOW",MID('ASS END SYNC'!E143,S139+2,1000),"")</f>
        <v/>
      </c>
      <c r="Z139" s="24"/>
    </row>
    <row r="140" spans="1:26" x14ac:dyDescent="0.25">
      <c r="A140" s="26">
        <v>137</v>
      </c>
      <c r="B140" s="24" t="str">
        <f>IF('ASS START SYNC'!C144="SHOW",FIND(",",'ASS START SYNC'!E144,1),"")</f>
        <v/>
      </c>
      <c r="C140" s="24" t="str">
        <f>IF('ASS START SYNC'!C144="SHOW",FIND(",",'ASS START SYNC'!E144,B140+1),"")</f>
        <v/>
      </c>
      <c r="D140" s="24" t="str">
        <f>IF('ASS START SYNC'!C144="SHOW",FIND(",",'ASS START SYNC'!E144,C140+1),"")</f>
        <v/>
      </c>
      <c r="E140" s="25" t="str">
        <f>IF('ASS START SYNC'!C144="SHOW",FIND(",,",'ASS START SYNC'!E144,1),"")</f>
        <v/>
      </c>
      <c r="F140" s="25" t="str">
        <f>IF('ASS START SYNC'!C144="SHOW",FIND(",,",'ASS START SYNC'!E144,E140+1),"")</f>
        <v/>
      </c>
      <c r="G140" s="23" t="str">
        <f>IF('ASS START SYNC'!C144="SHOW",LEFT('ASS START SYNC'!E144,B140),"")</f>
        <v/>
      </c>
      <c r="H140" s="24" t="str">
        <f>IF(AND('ASS START SYNC'!C144="SHOW",COUNTA('ASS START SYNC'!$E$8:'ASS START SYNC'!E143)=0),MID('ASS START SYNC'!E144,B140+1,C140-B140-1),IF(AND('ASS START SYNC'!C144="SHOW",COUNTA('ASS START SYNC'!$E$8:'ASS START SYNC'!E143)&lt;&gt;0),I139,""))</f>
        <v/>
      </c>
      <c r="I140" s="24" t="str">
        <f>IF('ASS START SYNC'!C144="SHOW",MID('ASS START SYNC'!E144,C140+1,D140-C140-1),I139)</f>
        <v/>
      </c>
      <c r="J140" s="23" t="str">
        <f>IF('ASS START SYNC'!C144="SHOW",MID('ASS START SYNC'!E144,D140+1,F140-D140+1),"")</f>
        <v/>
      </c>
      <c r="K140" s="23" t="str">
        <f>IF('ASS START SYNC'!C144="SHOW",MID('ASS START SYNC'!E144,F140+2,1000),"")</f>
        <v/>
      </c>
      <c r="M140" s="24"/>
      <c r="N140" s="26">
        <v>137</v>
      </c>
      <c r="O140" s="24" t="str">
        <f>IF('ASS END SYNC'!C144="SHOW",FIND(",",'ASS END SYNC'!E144,1),"")</f>
        <v/>
      </c>
      <c r="P140" s="24" t="str">
        <f>IF('ASS END SYNC'!C144="SHOW",FIND(",",'ASS END SYNC'!E144,O140+1),"")</f>
        <v/>
      </c>
      <c r="Q140" s="24" t="str">
        <f>IF('ASS END SYNC'!C144="SHOW",FIND(",",'ASS END SYNC'!E144,P140+1),"")</f>
        <v/>
      </c>
      <c r="R140" s="25" t="str">
        <f>IF('ASS END SYNC'!C144="SHOW",FIND(",,",'ASS END SYNC'!E144,1),"")</f>
        <v/>
      </c>
      <c r="S140" s="25" t="str">
        <f>IF('ASS END SYNC'!C144="SHOW",FIND(",,",'ASS END SYNC'!E144,R140+1),"")</f>
        <v/>
      </c>
      <c r="T140" s="23" t="str">
        <f>IF('ASS END SYNC'!C144="SHOW",LEFT('ASS END SYNC'!E144,O140),"")</f>
        <v/>
      </c>
      <c r="U140" s="24" t="str">
        <f>IF('ASS END SYNC'!C144="SHOW",MID('ASS END SYNC'!E144,O140+1,P140-O140-1),"")</f>
        <v/>
      </c>
      <c r="V140" s="24" t="str">
        <f>IF(AND('ASS END SYNC'!C144="SHOW",'ASS END SYNC'!C145="SHOW"),U141,IF(AND('ASS END SYNC'!C144="SHOW",'ASS END SYNC'!C145&lt;&gt;"SHOW"),MID('ASS END SYNC'!E144,O140+1,P140-O140-1),""))</f>
        <v/>
      </c>
      <c r="W140" s="23" t="str">
        <f>IF('ASS END SYNC'!C144="SHOW",MID('ASS END SYNC'!E144,Q140+1,S140-Q140+1),"")</f>
        <v/>
      </c>
      <c r="X140" s="23" t="str">
        <f>IF('ASS END SYNC'!C144="SHOW",MID('ASS END SYNC'!E144,S140+2,1000),"")</f>
        <v/>
      </c>
      <c r="Z140" s="24"/>
    </row>
    <row r="141" spans="1:26" x14ac:dyDescent="0.25">
      <c r="A141" s="26">
        <v>138</v>
      </c>
      <c r="B141" s="24" t="str">
        <f>IF('ASS START SYNC'!C145="SHOW",FIND(",",'ASS START SYNC'!E145,1),"")</f>
        <v/>
      </c>
      <c r="C141" s="24" t="str">
        <f>IF('ASS START SYNC'!C145="SHOW",FIND(",",'ASS START SYNC'!E145,B141+1),"")</f>
        <v/>
      </c>
      <c r="D141" s="24" t="str">
        <f>IF('ASS START SYNC'!C145="SHOW",FIND(",",'ASS START SYNC'!E145,C141+1),"")</f>
        <v/>
      </c>
      <c r="E141" s="25" t="str">
        <f>IF('ASS START SYNC'!C145="SHOW",FIND(",,",'ASS START SYNC'!E145,1),"")</f>
        <v/>
      </c>
      <c r="F141" s="25" t="str">
        <f>IF('ASS START SYNC'!C145="SHOW",FIND(",,",'ASS START SYNC'!E145,E141+1),"")</f>
        <v/>
      </c>
      <c r="G141" s="23" t="str">
        <f>IF('ASS START SYNC'!C145="SHOW",LEFT('ASS START SYNC'!E145,B141),"")</f>
        <v/>
      </c>
      <c r="H141" s="24" t="str">
        <f>IF(AND('ASS START SYNC'!C145="SHOW",COUNTA('ASS START SYNC'!$E$8:'ASS START SYNC'!E144)=0),MID('ASS START SYNC'!E145,B141+1,C141-B141-1),IF(AND('ASS START SYNC'!C145="SHOW",COUNTA('ASS START SYNC'!$E$8:'ASS START SYNC'!E144)&lt;&gt;0),I140,""))</f>
        <v/>
      </c>
      <c r="I141" s="24" t="str">
        <f>IF('ASS START SYNC'!C145="SHOW",MID('ASS START SYNC'!E145,C141+1,D141-C141-1),I140)</f>
        <v/>
      </c>
      <c r="J141" s="23" t="str">
        <f>IF('ASS START SYNC'!C145="SHOW",MID('ASS START SYNC'!E145,D141+1,F141-D141+1),"")</f>
        <v/>
      </c>
      <c r="K141" s="23" t="str">
        <f>IF('ASS START SYNC'!C145="SHOW",MID('ASS START SYNC'!E145,F141+2,1000),"")</f>
        <v/>
      </c>
      <c r="M141" s="24"/>
      <c r="N141" s="26">
        <v>138</v>
      </c>
      <c r="O141" s="24" t="str">
        <f>IF('ASS END SYNC'!C145="SHOW",FIND(",",'ASS END SYNC'!E145,1),"")</f>
        <v/>
      </c>
      <c r="P141" s="24" t="str">
        <f>IF('ASS END SYNC'!C145="SHOW",FIND(",",'ASS END SYNC'!E145,O141+1),"")</f>
        <v/>
      </c>
      <c r="Q141" s="24" t="str">
        <f>IF('ASS END SYNC'!C145="SHOW",FIND(",",'ASS END SYNC'!E145,P141+1),"")</f>
        <v/>
      </c>
      <c r="R141" s="25" t="str">
        <f>IF('ASS END SYNC'!C145="SHOW",FIND(",,",'ASS END SYNC'!E145,1),"")</f>
        <v/>
      </c>
      <c r="S141" s="25" t="str">
        <f>IF('ASS END SYNC'!C145="SHOW",FIND(",,",'ASS END SYNC'!E145,R141+1),"")</f>
        <v/>
      </c>
      <c r="T141" s="23" t="str">
        <f>IF('ASS END SYNC'!C145="SHOW",LEFT('ASS END SYNC'!E145,O141),"")</f>
        <v/>
      </c>
      <c r="U141" s="24" t="str">
        <f>IF('ASS END SYNC'!C145="SHOW",MID('ASS END SYNC'!E145,O141+1,P141-O141-1),"")</f>
        <v/>
      </c>
      <c r="V141" s="24" t="str">
        <f>IF(AND('ASS END SYNC'!C145="SHOW",'ASS END SYNC'!C146="SHOW"),U142,IF(AND('ASS END SYNC'!C145="SHOW",'ASS END SYNC'!C146&lt;&gt;"SHOW"),MID('ASS END SYNC'!E145,O141+1,P141-O141-1),""))</f>
        <v/>
      </c>
      <c r="W141" s="23" t="str">
        <f>IF('ASS END SYNC'!C145="SHOW",MID('ASS END SYNC'!E145,Q141+1,S141-Q141+1),"")</f>
        <v/>
      </c>
      <c r="X141" s="23" t="str">
        <f>IF('ASS END SYNC'!C145="SHOW",MID('ASS END SYNC'!E145,S141+2,1000),"")</f>
        <v/>
      </c>
      <c r="Z141" s="24"/>
    </row>
    <row r="142" spans="1:26" x14ac:dyDescent="0.25">
      <c r="A142" s="26">
        <v>139</v>
      </c>
      <c r="B142" s="24" t="str">
        <f>IF('ASS START SYNC'!C146="SHOW",FIND(",",'ASS START SYNC'!E146,1),"")</f>
        <v/>
      </c>
      <c r="C142" s="24" t="str">
        <f>IF('ASS START SYNC'!C146="SHOW",FIND(",",'ASS START SYNC'!E146,B142+1),"")</f>
        <v/>
      </c>
      <c r="D142" s="24" t="str">
        <f>IF('ASS START SYNC'!C146="SHOW",FIND(",",'ASS START SYNC'!E146,C142+1),"")</f>
        <v/>
      </c>
      <c r="E142" s="25" t="str">
        <f>IF('ASS START SYNC'!C146="SHOW",FIND(",,",'ASS START SYNC'!E146,1),"")</f>
        <v/>
      </c>
      <c r="F142" s="25" t="str">
        <f>IF('ASS START SYNC'!C146="SHOW",FIND(",,",'ASS START SYNC'!E146,E142+1),"")</f>
        <v/>
      </c>
      <c r="G142" s="23" t="str">
        <f>IF('ASS START SYNC'!C146="SHOW",LEFT('ASS START SYNC'!E146,B142),"")</f>
        <v/>
      </c>
      <c r="H142" s="24" t="str">
        <f>IF(AND('ASS START SYNC'!C146="SHOW",COUNTA('ASS START SYNC'!$E$8:'ASS START SYNC'!E145)=0),MID('ASS START SYNC'!E146,B142+1,C142-B142-1),IF(AND('ASS START SYNC'!C146="SHOW",COUNTA('ASS START SYNC'!$E$8:'ASS START SYNC'!E145)&lt;&gt;0),I141,""))</f>
        <v/>
      </c>
      <c r="I142" s="24" t="str">
        <f>IF('ASS START SYNC'!C146="SHOW",MID('ASS START SYNC'!E146,C142+1,D142-C142-1),I141)</f>
        <v/>
      </c>
      <c r="J142" s="23" t="str">
        <f>IF('ASS START SYNC'!C146="SHOW",MID('ASS START SYNC'!E146,D142+1,F142-D142+1),"")</f>
        <v/>
      </c>
      <c r="K142" s="23" t="str">
        <f>IF('ASS START SYNC'!C146="SHOW",MID('ASS START SYNC'!E146,F142+2,1000),"")</f>
        <v/>
      </c>
      <c r="M142" s="24"/>
      <c r="N142" s="26">
        <v>139</v>
      </c>
      <c r="O142" s="24" t="str">
        <f>IF('ASS END SYNC'!C146="SHOW",FIND(",",'ASS END SYNC'!E146,1),"")</f>
        <v/>
      </c>
      <c r="P142" s="24" t="str">
        <f>IF('ASS END SYNC'!C146="SHOW",FIND(",",'ASS END SYNC'!E146,O142+1),"")</f>
        <v/>
      </c>
      <c r="Q142" s="24" t="str">
        <f>IF('ASS END SYNC'!C146="SHOW",FIND(",",'ASS END SYNC'!E146,P142+1),"")</f>
        <v/>
      </c>
      <c r="R142" s="25" t="str">
        <f>IF('ASS END SYNC'!C146="SHOW",FIND(",,",'ASS END SYNC'!E146,1),"")</f>
        <v/>
      </c>
      <c r="S142" s="25" t="str">
        <f>IF('ASS END SYNC'!C146="SHOW",FIND(",,",'ASS END SYNC'!E146,R142+1),"")</f>
        <v/>
      </c>
      <c r="T142" s="23" t="str">
        <f>IF('ASS END SYNC'!C146="SHOW",LEFT('ASS END SYNC'!E146,O142),"")</f>
        <v/>
      </c>
      <c r="U142" s="24" t="str">
        <f>IF('ASS END SYNC'!C146="SHOW",MID('ASS END SYNC'!E146,O142+1,P142-O142-1),"")</f>
        <v/>
      </c>
      <c r="V142" s="24" t="str">
        <f>IF(AND('ASS END SYNC'!C146="SHOW",'ASS END SYNC'!C147="SHOW"),U143,IF(AND('ASS END SYNC'!C146="SHOW",'ASS END SYNC'!C147&lt;&gt;"SHOW"),MID('ASS END SYNC'!E146,O142+1,P142-O142-1),""))</f>
        <v/>
      </c>
      <c r="W142" s="23" t="str">
        <f>IF('ASS END SYNC'!C146="SHOW",MID('ASS END SYNC'!E146,Q142+1,S142-Q142+1),"")</f>
        <v/>
      </c>
      <c r="X142" s="23" t="str">
        <f>IF('ASS END SYNC'!C146="SHOW",MID('ASS END SYNC'!E146,S142+2,1000),"")</f>
        <v/>
      </c>
      <c r="Z142" s="24"/>
    </row>
    <row r="143" spans="1:26" x14ac:dyDescent="0.25">
      <c r="A143" s="26">
        <v>140</v>
      </c>
      <c r="B143" s="24" t="str">
        <f>IF('ASS START SYNC'!C147="SHOW",FIND(",",'ASS START SYNC'!E147,1),"")</f>
        <v/>
      </c>
      <c r="C143" s="24" t="str">
        <f>IF('ASS START SYNC'!C147="SHOW",FIND(",",'ASS START SYNC'!E147,B143+1),"")</f>
        <v/>
      </c>
      <c r="D143" s="24" t="str">
        <f>IF('ASS START SYNC'!C147="SHOW",FIND(",",'ASS START SYNC'!E147,C143+1),"")</f>
        <v/>
      </c>
      <c r="E143" s="25" t="str">
        <f>IF('ASS START SYNC'!C147="SHOW",FIND(",,",'ASS START SYNC'!E147,1),"")</f>
        <v/>
      </c>
      <c r="F143" s="25" t="str">
        <f>IF('ASS START SYNC'!C147="SHOW",FIND(",,",'ASS START SYNC'!E147,E143+1),"")</f>
        <v/>
      </c>
      <c r="G143" s="23" t="str">
        <f>IF('ASS START SYNC'!C147="SHOW",LEFT('ASS START SYNC'!E147,B143),"")</f>
        <v/>
      </c>
      <c r="H143" s="24" t="str">
        <f>IF(AND('ASS START SYNC'!C147="SHOW",COUNTA('ASS START SYNC'!$E$8:'ASS START SYNC'!E146)=0),MID('ASS START SYNC'!E147,B143+1,C143-B143-1),IF(AND('ASS START SYNC'!C147="SHOW",COUNTA('ASS START SYNC'!$E$8:'ASS START SYNC'!E146)&lt;&gt;0),I142,""))</f>
        <v/>
      </c>
      <c r="I143" s="24" t="str">
        <f>IF('ASS START SYNC'!C147="SHOW",MID('ASS START SYNC'!E147,C143+1,D143-C143-1),I142)</f>
        <v/>
      </c>
      <c r="J143" s="23" t="str">
        <f>IF('ASS START SYNC'!C147="SHOW",MID('ASS START SYNC'!E147,D143+1,F143-D143+1),"")</f>
        <v/>
      </c>
      <c r="K143" s="23" t="str">
        <f>IF('ASS START SYNC'!C147="SHOW",MID('ASS START SYNC'!E147,F143+2,1000),"")</f>
        <v/>
      </c>
      <c r="M143" s="24"/>
      <c r="N143" s="26">
        <v>140</v>
      </c>
      <c r="O143" s="24" t="str">
        <f>IF('ASS END SYNC'!C147="SHOW",FIND(",",'ASS END SYNC'!E147,1),"")</f>
        <v/>
      </c>
      <c r="P143" s="24" t="str">
        <f>IF('ASS END SYNC'!C147="SHOW",FIND(",",'ASS END SYNC'!E147,O143+1),"")</f>
        <v/>
      </c>
      <c r="Q143" s="24" t="str">
        <f>IF('ASS END SYNC'!C147="SHOW",FIND(",",'ASS END SYNC'!E147,P143+1),"")</f>
        <v/>
      </c>
      <c r="R143" s="25" t="str">
        <f>IF('ASS END SYNC'!C147="SHOW",FIND(",,",'ASS END SYNC'!E147,1),"")</f>
        <v/>
      </c>
      <c r="S143" s="25" t="str">
        <f>IF('ASS END SYNC'!C147="SHOW",FIND(",,",'ASS END SYNC'!E147,R143+1),"")</f>
        <v/>
      </c>
      <c r="T143" s="23" t="str">
        <f>IF('ASS END SYNC'!C147="SHOW",LEFT('ASS END SYNC'!E147,O143),"")</f>
        <v/>
      </c>
      <c r="U143" s="24" t="str">
        <f>IF('ASS END SYNC'!C147="SHOW",MID('ASS END SYNC'!E147,O143+1,P143-O143-1),"")</f>
        <v/>
      </c>
      <c r="V143" s="24" t="str">
        <f>IF(AND('ASS END SYNC'!C147="SHOW",'ASS END SYNC'!C148="SHOW"),U144,IF(AND('ASS END SYNC'!C147="SHOW",'ASS END SYNC'!C148&lt;&gt;"SHOW"),MID('ASS END SYNC'!E147,O143+1,P143-O143-1),""))</f>
        <v/>
      </c>
      <c r="W143" s="23" t="str">
        <f>IF('ASS END SYNC'!C147="SHOW",MID('ASS END SYNC'!E147,Q143+1,S143-Q143+1),"")</f>
        <v/>
      </c>
      <c r="X143" s="23" t="str">
        <f>IF('ASS END SYNC'!C147="SHOW",MID('ASS END SYNC'!E147,S143+2,1000),"")</f>
        <v/>
      </c>
      <c r="Z143" s="24"/>
    </row>
    <row r="144" spans="1:26" x14ac:dyDescent="0.25">
      <c r="A144" s="26">
        <v>141</v>
      </c>
      <c r="B144" s="24" t="str">
        <f>IF('ASS START SYNC'!C148="SHOW",FIND(",",'ASS START SYNC'!E148,1),"")</f>
        <v/>
      </c>
      <c r="C144" s="24" t="str">
        <f>IF('ASS START SYNC'!C148="SHOW",FIND(",",'ASS START SYNC'!E148,B144+1),"")</f>
        <v/>
      </c>
      <c r="D144" s="24" t="str">
        <f>IF('ASS START SYNC'!C148="SHOW",FIND(",",'ASS START SYNC'!E148,C144+1),"")</f>
        <v/>
      </c>
      <c r="E144" s="25" t="str">
        <f>IF('ASS START SYNC'!C148="SHOW",FIND(",,",'ASS START SYNC'!E148,1),"")</f>
        <v/>
      </c>
      <c r="F144" s="25" t="str">
        <f>IF('ASS START SYNC'!C148="SHOW",FIND(",,",'ASS START SYNC'!E148,E144+1),"")</f>
        <v/>
      </c>
      <c r="G144" s="23" t="str">
        <f>IF('ASS START SYNC'!C148="SHOW",LEFT('ASS START SYNC'!E148,B144),"")</f>
        <v/>
      </c>
      <c r="H144" s="24" t="str">
        <f>IF(AND('ASS START SYNC'!C148="SHOW",COUNTA('ASS START SYNC'!$E$8:'ASS START SYNC'!E147)=0),MID('ASS START SYNC'!E148,B144+1,C144-B144-1),IF(AND('ASS START SYNC'!C148="SHOW",COUNTA('ASS START SYNC'!$E$8:'ASS START SYNC'!E147)&lt;&gt;0),I143,""))</f>
        <v/>
      </c>
      <c r="I144" s="24" t="str">
        <f>IF('ASS START SYNC'!C148="SHOW",MID('ASS START SYNC'!E148,C144+1,D144-C144-1),I143)</f>
        <v/>
      </c>
      <c r="J144" s="23" t="str">
        <f>IF('ASS START SYNC'!C148="SHOW",MID('ASS START SYNC'!E148,D144+1,F144-D144+1),"")</f>
        <v/>
      </c>
      <c r="K144" s="23" t="str">
        <f>IF('ASS START SYNC'!C148="SHOW",MID('ASS START SYNC'!E148,F144+2,1000),"")</f>
        <v/>
      </c>
      <c r="M144" s="24"/>
      <c r="N144" s="26">
        <v>141</v>
      </c>
      <c r="O144" s="24" t="str">
        <f>IF('ASS END SYNC'!C148="SHOW",FIND(",",'ASS END SYNC'!E148,1),"")</f>
        <v/>
      </c>
      <c r="P144" s="24" t="str">
        <f>IF('ASS END SYNC'!C148="SHOW",FIND(",",'ASS END SYNC'!E148,O144+1),"")</f>
        <v/>
      </c>
      <c r="Q144" s="24" t="str">
        <f>IF('ASS END SYNC'!C148="SHOW",FIND(",",'ASS END SYNC'!E148,P144+1),"")</f>
        <v/>
      </c>
      <c r="R144" s="25" t="str">
        <f>IF('ASS END SYNC'!C148="SHOW",FIND(",,",'ASS END SYNC'!E148,1),"")</f>
        <v/>
      </c>
      <c r="S144" s="25" t="str">
        <f>IF('ASS END SYNC'!C148="SHOW",FIND(",,",'ASS END SYNC'!E148,R144+1),"")</f>
        <v/>
      </c>
      <c r="T144" s="23" t="str">
        <f>IF('ASS END SYNC'!C148="SHOW",LEFT('ASS END SYNC'!E148,O144),"")</f>
        <v/>
      </c>
      <c r="U144" s="24" t="str">
        <f>IF('ASS END SYNC'!C148="SHOW",MID('ASS END SYNC'!E148,O144+1,P144-O144-1),"")</f>
        <v/>
      </c>
      <c r="V144" s="24" t="str">
        <f>IF(AND('ASS END SYNC'!C148="SHOW",'ASS END SYNC'!C149="SHOW"),U145,IF(AND('ASS END SYNC'!C148="SHOW",'ASS END SYNC'!C149&lt;&gt;"SHOW"),MID('ASS END SYNC'!E148,O144+1,P144-O144-1),""))</f>
        <v/>
      </c>
      <c r="W144" s="23" t="str">
        <f>IF('ASS END SYNC'!C148="SHOW",MID('ASS END SYNC'!E148,Q144+1,S144-Q144+1),"")</f>
        <v/>
      </c>
      <c r="X144" s="23" t="str">
        <f>IF('ASS END SYNC'!C148="SHOW",MID('ASS END SYNC'!E148,S144+2,1000),"")</f>
        <v/>
      </c>
      <c r="Z144" s="24"/>
    </row>
    <row r="145" spans="1:26" x14ac:dyDescent="0.25">
      <c r="A145" s="26">
        <v>142</v>
      </c>
      <c r="B145" s="24" t="str">
        <f>IF('ASS START SYNC'!C149="SHOW",FIND(",",'ASS START SYNC'!E149,1),"")</f>
        <v/>
      </c>
      <c r="C145" s="24" t="str">
        <f>IF('ASS START SYNC'!C149="SHOW",FIND(",",'ASS START SYNC'!E149,B145+1),"")</f>
        <v/>
      </c>
      <c r="D145" s="24" t="str">
        <f>IF('ASS START SYNC'!C149="SHOW",FIND(",",'ASS START SYNC'!E149,C145+1),"")</f>
        <v/>
      </c>
      <c r="E145" s="25" t="str">
        <f>IF('ASS START SYNC'!C149="SHOW",FIND(",,",'ASS START SYNC'!E149,1),"")</f>
        <v/>
      </c>
      <c r="F145" s="25" t="str">
        <f>IF('ASS START SYNC'!C149="SHOW",FIND(",,",'ASS START SYNC'!E149,E145+1),"")</f>
        <v/>
      </c>
      <c r="G145" s="23" t="str">
        <f>IF('ASS START SYNC'!C149="SHOW",LEFT('ASS START SYNC'!E149,B145),"")</f>
        <v/>
      </c>
      <c r="H145" s="24" t="str">
        <f>IF(AND('ASS START SYNC'!C149="SHOW",COUNTA('ASS START SYNC'!$E$8:'ASS START SYNC'!E148)=0),MID('ASS START SYNC'!E149,B145+1,C145-B145-1),IF(AND('ASS START SYNC'!C149="SHOW",COUNTA('ASS START SYNC'!$E$8:'ASS START SYNC'!E148)&lt;&gt;0),I144,""))</f>
        <v/>
      </c>
      <c r="I145" s="24" t="str">
        <f>IF('ASS START SYNC'!C149="SHOW",MID('ASS START SYNC'!E149,C145+1,D145-C145-1),I144)</f>
        <v/>
      </c>
      <c r="J145" s="23" t="str">
        <f>IF('ASS START SYNC'!C149="SHOW",MID('ASS START SYNC'!E149,D145+1,F145-D145+1),"")</f>
        <v/>
      </c>
      <c r="K145" s="23" t="str">
        <f>IF('ASS START SYNC'!C149="SHOW",MID('ASS START SYNC'!E149,F145+2,1000),"")</f>
        <v/>
      </c>
      <c r="M145" s="24"/>
      <c r="N145" s="26">
        <v>142</v>
      </c>
      <c r="O145" s="24" t="str">
        <f>IF('ASS END SYNC'!C149="SHOW",FIND(",",'ASS END SYNC'!E149,1),"")</f>
        <v/>
      </c>
      <c r="P145" s="24" t="str">
        <f>IF('ASS END SYNC'!C149="SHOW",FIND(",",'ASS END SYNC'!E149,O145+1),"")</f>
        <v/>
      </c>
      <c r="Q145" s="24" t="str">
        <f>IF('ASS END SYNC'!C149="SHOW",FIND(",",'ASS END SYNC'!E149,P145+1),"")</f>
        <v/>
      </c>
      <c r="R145" s="25" t="str">
        <f>IF('ASS END SYNC'!C149="SHOW",FIND(",,",'ASS END SYNC'!E149,1),"")</f>
        <v/>
      </c>
      <c r="S145" s="25" t="str">
        <f>IF('ASS END SYNC'!C149="SHOW",FIND(",,",'ASS END SYNC'!E149,R145+1),"")</f>
        <v/>
      </c>
      <c r="T145" s="23" t="str">
        <f>IF('ASS END SYNC'!C149="SHOW",LEFT('ASS END SYNC'!E149,O145),"")</f>
        <v/>
      </c>
      <c r="U145" s="24" t="str">
        <f>IF('ASS END SYNC'!C149="SHOW",MID('ASS END SYNC'!E149,O145+1,P145-O145-1),"")</f>
        <v/>
      </c>
      <c r="V145" s="24" t="str">
        <f>IF(AND('ASS END SYNC'!C149="SHOW",'ASS END SYNC'!C150="SHOW"),U146,IF(AND('ASS END SYNC'!C149="SHOW",'ASS END SYNC'!C150&lt;&gt;"SHOW"),MID('ASS END SYNC'!E149,O145+1,P145-O145-1),""))</f>
        <v/>
      </c>
      <c r="W145" s="23" t="str">
        <f>IF('ASS END SYNC'!C149="SHOW",MID('ASS END SYNC'!E149,Q145+1,S145-Q145+1),"")</f>
        <v/>
      </c>
      <c r="X145" s="23" t="str">
        <f>IF('ASS END SYNC'!C149="SHOW",MID('ASS END SYNC'!E149,S145+2,1000),"")</f>
        <v/>
      </c>
      <c r="Z145" s="24"/>
    </row>
    <row r="146" spans="1:26" x14ac:dyDescent="0.25">
      <c r="A146" s="26">
        <v>143</v>
      </c>
      <c r="B146" s="24" t="str">
        <f>IF('ASS START SYNC'!C150="SHOW",FIND(",",'ASS START SYNC'!E150,1),"")</f>
        <v/>
      </c>
      <c r="C146" s="24" t="str">
        <f>IF('ASS START SYNC'!C150="SHOW",FIND(",",'ASS START SYNC'!E150,B146+1),"")</f>
        <v/>
      </c>
      <c r="D146" s="24" t="str">
        <f>IF('ASS START SYNC'!C150="SHOW",FIND(",",'ASS START SYNC'!E150,C146+1),"")</f>
        <v/>
      </c>
      <c r="E146" s="25" t="str">
        <f>IF('ASS START SYNC'!C150="SHOW",FIND(",,",'ASS START SYNC'!E150,1),"")</f>
        <v/>
      </c>
      <c r="F146" s="25" t="str">
        <f>IF('ASS START SYNC'!C150="SHOW",FIND(",,",'ASS START SYNC'!E150,E146+1),"")</f>
        <v/>
      </c>
      <c r="G146" s="23" t="str">
        <f>IF('ASS START SYNC'!C150="SHOW",LEFT('ASS START SYNC'!E150,B146),"")</f>
        <v/>
      </c>
      <c r="H146" s="24" t="str">
        <f>IF(AND('ASS START SYNC'!C150="SHOW",COUNTA('ASS START SYNC'!$E$8:'ASS START SYNC'!E149)=0),MID('ASS START SYNC'!E150,B146+1,C146-B146-1),IF(AND('ASS START SYNC'!C150="SHOW",COUNTA('ASS START SYNC'!$E$8:'ASS START SYNC'!E149)&lt;&gt;0),I145,""))</f>
        <v/>
      </c>
      <c r="I146" s="24" t="str">
        <f>IF('ASS START SYNC'!C150="SHOW",MID('ASS START SYNC'!E150,C146+1,D146-C146-1),I145)</f>
        <v/>
      </c>
      <c r="J146" s="23" t="str">
        <f>IF('ASS START SYNC'!C150="SHOW",MID('ASS START SYNC'!E150,D146+1,F146-D146+1),"")</f>
        <v/>
      </c>
      <c r="K146" s="23" t="str">
        <f>IF('ASS START SYNC'!C150="SHOW",MID('ASS START SYNC'!E150,F146+2,1000),"")</f>
        <v/>
      </c>
      <c r="M146" s="24"/>
      <c r="N146" s="26">
        <v>143</v>
      </c>
      <c r="O146" s="24" t="str">
        <f>IF('ASS END SYNC'!C150="SHOW",FIND(",",'ASS END SYNC'!E150,1),"")</f>
        <v/>
      </c>
      <c r="P146" s="24" t="str">
        <f>IF('ASS END SYNC'!C150="SHOW",FIND(",",'ASS END SYNC'!E150,O146+1),"")</f>
        <v/>
      </c>
      <c r="Q146" s="24" t="str">
        <f>IF('ASS END SYNC'!C150="SHOW",FIND(",",'ASS END SYNC'!E150,P146+1),"")</f>
        <v/>
      </c>
      <c r="R146" s="25" t="str">
        <f>IF('ASS END SYNC'!C150="SHOW",FIND(",,",'ASS END SYNC'!E150,1),"")</f>
        <v/>
      </c>
      <c r="S146" s="25" t="str">
        <f>IF('ASS END SYNC'!C150="SHOW",FIND(",,",'ASS END SYNC'!E150,R146+1),"")</f>
        <v/>
      </c>
      <c r="T146" s="23" t="str">
        <f>IF('ASS END SYNC'!C150="SHOW",LEFT('ASS END SYNC'!E150,O146),"")</f>
        <v/>
      </c>
      <c r="U146" s="24" t="str">
        <f>IF('ASS END SYNC'!C150="SHOW",MID('ASS END SYNC'!E150,O146+1,P146-O146-1),"")</f>
        <v/>
      </c>
      <c r="V146" s="24" t="str">
        <f>IF(AND('ASS END SYNC'!C150="SHOW",'ASS END SYNC'!C151="SHOW"),U147,IF(AND('ASS END SYNC'!C150="SHOW",'ASS END SYNC'!C151&lt;&gt;"SHOW"),MID('ASS END SYNC'!E150,O146+1,P146-O146-1),""))</f>
        <v/>
      </c>
      <c r="W146" s="23" t="str">
        <f>IF('ASS END SYNC'!C150="SHOW",MID('ASS END SYNC'!E150,Q146+1,S146-Q146+1),"")</f>
        <v/>
      </c>
      <c r="X146" s="23" t="str">
        <f>IF('ASS END SYNC'!C150="SHOW",MID('ASS END SYNC'!E150,S146+2,1000),"")</f>
        <v/>
      </c>
      <c r="Z146" s="24"/>
    </row>
    <row r="147" spans="1:26" x14ac:dyDescent="0.25">
      <c r="A147" s="26">
        <v>144</v>
      </c>
      <c r="B147" s="24" t="str">
        <f>IF('ASS START SYNC'!C151="SHOW",FIND(",",'ASS START SYNC'!E151,1),"")</f>
        <v/>
      </c>
      <c r="C147" s="24" t="str">
        <f>IF('ASS START SYNC'!C151="SHOW",FIND(",",'ASS START SYNC'!E151,B147+1),"")</f>
        <v/>
      </c>
      <c r="D147" s="24" t="str">
        <f>IF('ASS START SYNC'!C151="SHOW",FIND(",",'ASS START SYNC'!E151,C147+1),"")</f>
        <v/>
      </c>
      <c r="E147" s="25" t="str">
        <f>IF('ASS START SYNC'!C151="SHOW",FIND(",,",'ASS START SYNC'!E151,1),"")</f>
        <v/>
      </c>
      <c r="F147" s="25" t="str">
        <f>IF('ASS START SYNC'!C151="SHOW",FIND(",,",'ASS START SYNC'!E151,E147+1),"")</f>
        <v/>
      </c>
      <c r="G147" s="23" t="str">
        <f>IF('ASS START SYNC'!C151="SHOW",LEFT('ASS START SYNC'!E151,B147),"")</f>
        <v/>
      </c>
      <c r="H147" s="24" t="str">
        <f>IF(AND('ASS START SYNC'!C151="SHOW",COUNTA('ASS START SYNC'!$E$8:'ASS START SYNC'!E150)=0),MID('ASS START SYNC'!E151,B147+1,C147-B147-1),IF(AND('ASS START SYNC'!C151="SHOW",COUNTA('ASS START SYNC'!$E$8:'ASS START SYNC'!E150)&lt;&gt;0),I146,""))</f>
        <v/>
      </c>
      <c r="I147" s="24" t="str">
        <f>IF('ASS START SYNC'!C151="SHOW",MID('ASS START SYNC'!E151,C147+1,D147-C147-1),I146)</f>
        <v/>
      </c>
      <c r="J147" s="23" t="str">
        <f>IF('ASS START SYNC'!C151="SHOW",MID('ASS START SYNC'!E151,D147+1,F147-D147+1),"")</f>
        <v/>
      </c>
      <c r="K147" s="23" t="str">
        <f>IF('ASS START SYNC'!C151="SHOW",MID('ASS START SYNC'!E151,F147+2,1000),"")</f>
        <v/>
      </c>
      <c r="M147" s="24"/>
      <c r="N147" s="26">
        <v>144</v>
      </c>
      <c r="O147" s="24" t="str">
        <f>IF('ASS END SYNC'!C151="SHOW",FIND(",",'ASS END SYNC'!E151,1),"")</f>
        <v/>
      </c>
      <c r="P147" s="24" t="str">
        <f>IF('ASS END SYNC'!C151="SHOW",FIND(",",'ASS END SYNC'!E151,O147+1),"")</f>
        <v/>
      </c>
      <c r="Q147" s="24" t="str">
        <f>IF('ASS END SYNC'!C151="SHOW",FIND(",",'ASS END SYNC'!E151,P147+1),"")</f>
        <v/>
      </c>
      <c r="R147" s="25" t="str">
        <f>IF('ASS END SYNC'!C151="SHOW",FIND(",,",'ASS END SYNC'!E151,1),"")</f>
        <v/>
      </c>
      <c r="S147" s="25" t="str">
        <f>IF('ASS END SYNC'!C151="SHOW",FIND(",,",'ASS END SYNC'!E151,R147+1),"")</f>
        <v/>
      </c>
      <c r="T147" s="23" t="str">
        <f>IF('ASS END SYNC'!C151="SHOW",LEFT('ASS END SYNC'!E151,O147),"")</f>
        <v/>
      </c>
      <c r="U147" s="24" t="str">
        <f>IF('ASS END SYNC'!C151="SHOW",MID('ASS END SYNC'!E151,O147+1,P147-O147-1),"")</f>
        <v/>
      </c>
      <c r="V147" s="24" t="str">
        <f>IF(AND('ASS END SYNC'!C151="SHOW",'ASS END SYNC'!C152="SHOW"),U148,IF(AND('ASS END SYNC'!C151="SHOW",'ASS END SYNC'!C152&lt;&gt;"SHOW"),MID('ASS END SYNC'!E151,O147+1,P147-O147-1),""))</f>
        <v/>
      </c>
      <c r="W147" s="23" t="str">
        <f>IF('ASS END SYNC'!C151="SHOW",MID('ASS END SYNC'!E151,Q147+1,S147-Q147+1),"")</f>
        <v/>
      </c>
      <c r="X147" s="23" t="str">
        <f>IF('ASS END SYNC'!C151="SHOW",MID('ASS END SYNC'!E151,S147+2,1000),"")</f>
        <v/>
      </c>
      <c r="Z147" s="24"/>
    </row>
    <row r="148" spans="1:26" x14ac:dyDescent="0.25">
      <c r="A148" s="26">
        <v>145</v>
      </c>
      <c r="B148" s="24" t="str">
        <f>IF('ASS START SYNC'!C152="SHOW",FIND(",",'ASS START SYNC'!E152,1),"")</f>
        <v/>
      </c>
      <c r="C148" s="24" t="str">
        <f>IF('ASS START SYNC'!C152="SHOW",FIND(",",'ASS START SYNC'!E152,B148+1),"")</f>
        <v/>
      </c>
      <c r="D148" s="24" t="str">
        <f>IF('ASS START SYNC'!C152="SHOW",FIND(",",'ASS START SYNC'!E152,C148+1),"")</f>
        <v/>
      </c>
      <c r="E148" s="25" t="str">
        <f>IF('ASS START SYNC'!C152="SHOW",FIND(",,",'ASS START SYNC'!E152,1),"")</f>
        <v/>
      </c>
      <c r="F148" s="25" t="str">
        <f>IF('ASS START SYNC'!C152="SHOW",FIND(",,",'ASS START SYNC'!E152,E148+1),"")</f>
        <v/>
      </c>
      <c r="G148" s="23" t="str">
        <f>IF('ASS START SYNC'!C152="SHOW",LEFT('ASS START SYNC'!E152,B148),"")</f>
        <v/>
      </c>
      <c r="H148" s="24" t="str">
        <f>IF(AND('ASS START SYNC'!C152="SHOW",COUNTA('ASS START SYNC'!$E$8:'ASS START SYNC'!E151)=0),MID('ASS START SYNC'!E152,B148+1,C148-B148-1),IF(AND('ASS START SYNC'!C152="SHOW",COUNTA('ASS START SYNC'!$E$8:'ASS START SYNC'!E151)&lt;&gt;0),I147,""))</f>
        <v/>
      </c>
      <c r="I148" s="24" t="str">
        <f>IF('ASS START SYNC'!C152="SHOW",MID('ASS START SYNC'!E152,C148+1,D148-C148-1),I147)</f>
        <v/>
      </c>
      <c r="J148" s="23" t="str">
        <f>IF('ASS START SYNC'!C152="SHOW",MID('ASS START SYNC'!E152,D148+1,F148-D148+1),"")</f>
        <v/>
      </c>
      <c r="K148" s="23" t="str">
        <f>IF('ASS START SYNC'!C152="SHOW",MID('ASS START SYNC'!E152,F148+2,1000),"")</f>
        <v/>
      </c>
      <c r="M148" s="24"/>
      <c r="N148" s="26">
        <v>145</v>
      </c>
      <c r="O148" s="24" t="str">
        <f>IF('ASS END SYNC'!C152="SHOW",FIND(",",'ASS END SYNC'!E152,1),"")</f>
        <v/>
      </c>
      <c r="P148" s="24" t="str">
        <f>IF('ASS END SYNC'!C152="SHOW",FIND(",",'ASS END SYNC'!E152,O148+1),"")</f>
        <v/>
      </c>
      <c r="Q148" s="24" t="str">
        <f>IF('ASS END SYNC'!C152="SHOW",FIND(",",'ASS END SYNC'!E152,P148+1),"")</f>
        <v/>
      </c>
      <c r="R148" s="25" t="str">
        <f>IF('ASS END SYNC'!C152="SHOW",FIND(",,",'ASS END SYNC'!E152,1),"")</f>
        <v/>
      </c>
      <c r="S148" s="25" t="str">
        <f>IF('ASS END SYNC'!C152="SHOW",FIND(",,",'ASS END SYNC'!E152,R148+1),"")</f>
        <v/>
      </c>
      <c r="T148" s="23" t="str">
        <f>IF('ASS END SYNC'!C152="SHOW",LEFT('ASS END SYNC'!E152,O148),"")</f>
        <v/>
      </c>
      <c r="U148" s="24" t="str">
        <f>IF('ASS END SYNC'!C152="SHOW",MID('ASS END SYNC'!E152,O148+1,P148-O148-1),"")</f>
        <v/>
      </c>
      <c r="V148" s="24" t="str">
        <f>IF(AND('ASS END SYNC'!C152="SHOW",'ASS END SYNC'!C153="SHOW"),U149,IF(AND('ASS END SYNC'!C152="SHOW",'ASS END SYNC'!C153&lt;&gt;"SHOW"),MID('ASS END SYNC'!E152,O148+1,P148-O148-1),""))</f>
        <v/>
      </c>
      <c r="W148" s="23" t="str">
        <f>IF('ASS END SYNC'!C152="SHOW",MID('ASS END SYNC'!E152,Q148+1,S148-Q148+1),"")</f>
        <v/>
      </c>
      <c r="X148" s="23" t="str">
        <f>IF('ASS END SYNC'!C152="SHOW",MID('ASS END SYNC'!E152,S148+2,1000),"")</f>
        <v/>
      </c>
      <c r="Z148" s="24"/>
    </row>
    <row r="149" spans="1:26" x14ac:dyDescent="0.25">
      <c r="A149" s="26">
        <v>146</v>
      </c>
      <c r="B149" s="24" t="str">
        <f>IF('ASS START SYNC'!C153="SHOW",FIND(",",'ASS START SYNC'!E153,1),"")</f>
        <v/>
      </c>
      <c r="C149" s="24" t="str">
        <f>IF('ASS START SYNC'!C153="SHOW",FIND(",",'ASS START SYNC'!E153,B149+1),"")</f>
        <v/>
      </c>
      <c r="D149" s="24" t="str">
        <f>IF('ASS START SYNC'!C153="SHOW",FIND(",",'ASS START SYNC'!E153,C149+1),"")</f>
        <v/>
      </c>
      <c r="E149" s="25" t="str">
        <f>IF('ASS START SYNC'!C153="SHOW",FIND(",,",'ASS START SYNC'!E153,1),"")</f>
        <v/>
      </c>
      <c r="F149" s="25" t="str">
        <f>IF('ASS START SYNC'!C153="SHOW",FIND(",,",'ASS START SYNC'!E153,E149+1),"")</f>
        <v/>
      </c>
      <c r="G149" s="23" t="str">
        <f>IF('ASS START SYNC'!C153="SHOW",LEFT('ASS START SYNC'!E153,B149),"")</f>
        <v/>
      </c>
      <c r="H149" s="24" t="str">
        <f>IF(AND('ASS START SYNC'!C153="SHOW",COUNTA('ASS START SYNC'!$E$8:'ASS START SYNC'!E152)=0),MID('ASS START SYNC'!E153,B149+1,C149-B149-1),IF(AND('ASS START SYNC'!C153="SHOW",COUNTA('ASS START SYNC'!$E$8:'ASS START SYNC'!E152)&lt;&gt;0),I148,""))</f>
        <v/>
      </c>
      <c r="I149" s="24" t="str">
        <f>IF('ASS START SYNC'!C153="SHOW",MID('ASS START SYNC'!E153,C149+1,D149-C149-1),I148)</f>
        <v/>
      </c>
      <c r="J149" s="23" t="str">
        <f>IF('ASS START SYNC'!C153="SHOW",MID('ASS START SYNC'!E153,D149+1,F149-D149+1),"")</f>
        <v/>
      </c>
      <c r="K149" s="23" t="str">
        <f>IF('ASS START SYNC'!C153="SHOW",MID('ASS START SYNC'!E153,F149+2,1000),"")</f>
        <v/>
      </c>
      <c r="M149" s="24"/>
      <c r="N149" s="26">
        <v>146</v>
      </c>
      <c r="O149" s="24" t="str">
        <f>IF('ASS END SYNC'!C153="SHOW",FIND(",",'ASS END SYNC'!E153,1),"")</f>
        <v/>
      </c>
      <c r="P149" s="24" t="str">
        <f>IF('ASS END SYNC'!C153="SHOW",FIND(",",'ASS END SYNC'!E153,O149+1),"")</f>
        <v/>
      </c>
      <c r="Q149" s="24" t="str">
        <f>IF('ASS END SYNC'!C153="SHOW",FIND(",",'ASS END SYNC'!E153,P149+1),"")</f>
        <v/>
      </c>
      <c r="R149" s="25" t="str">
        <f>IF('ASS END SYNC'!C153="SHOW",FIND(",,",'ASS END SYNC'!E153,1),"")</f>
        <v/>
      </c>
      <c r="S149" s="25" t="str">
        <f>IF('ASS END SYNC'!C153="SHOW",FIND(",,",'ASS END SYNC'!E153,R149+1),"")</f>
        <v/>
      </c>
      <c r="T149" s="23" t="str">
        <f>IF('ASS END SYNC'!C153="SHOW",LEFT('ASS END SYNC'!E153,O149),"")</f>
        <v/>
      </c>
      <c r="U149" s="24" t="str">
        <f>IF('ASS END SYNC'!C153="SHOW",MID('ASS END SYNC'!E153,O149+1,P149-O149-1),"")</f>
        <v/>
      </c>
      <c r="V149" s="24" t="str">
        <f>IF(AND('ASS END SYNC'!C153="SHOW",'ASS END SYNC'!C154="SHOW"),U150,IF(AND('ASS END SYNC'!C153="SHOW",'ASS END SYNC'!C154&lt;&gt;"SHOW"),MID('ASS END SYNC'!E153,O149+1,P149-O149-1),""))</f>
        <v/>
      </c>
      <c r="W149" s="23" t="str">
        <f>IF('ASS END SYNC'!C153="SHOW",MID('ASS END SYNC'!E153,Q149+1,S149-Q149+1),"")</f>
        <v/>
      </c>
      <c r="X149" s="23" t="str">
        <f>IF('ASS END SYNC'!C153="SHOW",MID('ASS END SYNC'!E153,S149+2,1000),"")</f>
        <v/>
      </c>
      <c r="Z149" s="24"/>
    </row>
    <row r="150" spans="1:26" x14ac:dyDescent="0.25">
      <c r="A150" s="26">
        <v>147</v>
      </c>
      <c r="B150" s="24" t="str">
        <f>IF('ASS START SYNC'!C154="SHOW",FIND(",",'ASS START SYNC'!E154,1),"")</f>
        <v/>
      </c>
      <c r="C150" s="24" t="str">
        <f>IF('ASS START SYNC'!C154="SHOW",FIND(",",'ASS START SYNC'!E154,B150+1),"")</f>
        <v/>
      </c>
      <c r="D150" s="24" t="str">
        <f>IF('ASS START SYNC'!C154="SHOW",FIND(",",'ASS START SYNC'!E154,C150+1),"")</f>
        <v/>
      </c>
      <c r="E150" s="25" t="str">
        <f>IF('ASS START SYNC'!C154="SHOW",FIND(",,",'ASS START SYNC'!E154,1),"")</f>
        <v/>
      </c>
      <c r="F150" s="25" t="str">
        <f>IF('ASS START SYNC'!C154="SHOW",FIND(",,",'ASS START SYNC'!E154,E150+1),"")</f>
        <v/>
      </c>
      <c r="G150" s="23" t="str">
        <f>IF('ASS START SYNC'!C154="SHOW",LEFT('ASS START SYNC'!E154,B150),"")</f>
        <v/>
      </c>
      <c r="H150" s="24" t="str">
        <f>IF(AND('ASS START SYNC'!C154="SHOW",COUNTA('ASS START SYNC'!$E$8:'ASS START SYNC'!E153)=0),MID('ASS START SYNC'!E154,B150+1,C150-B150-1),IF(AND('ASS START SYNC'!C154="SHOW",COUNTA('ASS START SYNC'!$E$8:'ASS START SYNC'!E153)&lt;&gt;0),I149,""))</f>
        <v/>
      </c>
      <c r="I150" s="24" t="str">
        <f>IF('ASS START SYNC'!C154="SHOW",MID('ASS START SYNC'!E154,C150+1,D150-C150-1),I149)</f>
        <v/>
      </c>
      <c r="J150" s="23" t="str">
        <f>IF('ASS START SYNC'!C154="SHOW",MID('ASS START SYNC'!E154,D150+1,F150-D150+1),"")</f>
        <v/>
      </c>
      <c r="K150" s="23" t="str">
        <f>IF('ASS START SYNC'!C154="SHOW",MID('ASS START SYNC'!E154,F150+2,1000),"")</f>
        <v/>
      </c>
      <c r="M150" s="24"/>
      <c r="N150" s="26">
        <v>147</v>
      </c>
      <c r="O150" s="24" t="str">
        <f>IF('ASS END SYNC'!C154="SHOW",FIND(",",'ASS END SYNC'!E154,1),"")</f>
        <v/>
      </c>
      <c r="P150" s="24" t="str">
        <f>IF('ASS END SYNC'!C154="SHOW",FIND(",",'ASS END SYNC'!E154,O150+1),"")</f>
        <v/>
      </c>
      <c r="Q150" s="24" t="str">
        <f>IF('ASS END SYNC'!C154="SHOW",FIND(",",'ASS END SYNC'!E154,P150+1),"")</f>
        <v/>
      </c>
      <c r="R150" s="25" t="str">
        <f>IF('ASS END SYNC'!C154="SHOW",FIND(",,",'ASS END SYNC'!E154,1),"")</f>
        <v/>
      </c>
      <c r="S150" s="25" t="str">
        <f>IF('ASS END SYNC'!C154="SHOW",FIND(",,",'ASS END SYNC'!E154,R150+1),"")</f>
        <v/>
      </c>
      <c r="T150" s="23" t="str">
        <f>IF('ASS END SYNC'!C154="SHOW",LEFT('ASS END SYNC'!E154,O150),"")</f>
        <v/>
      </c>
      <c r="U150" s="24" t="str">
        <f>IF('ASS END SYNC'!C154="SHOW",MID('ASS END SYNC'!E154,O150+1,P150-O150-1),"")</f>
        <v/>
      </c>
      <c r="V150" s="24" t="str">
        <f>IF(AND('ASS END SYNC'!C154="SHOW",'ASS END SYNC'!C155="SHOW"),U151,IF(AND('ASS END SYNC'!C154="SHOW",'ASS END SYNC'!C155&lt;&gt;"SHOW"),MID('ASS END SYNC'!E154,O150+1,P150-O150-1),""))</f>
        <v/>
      </c>
      <c r="W150" s="23" t="str">
        <f>IF('ASS END SYNC'!C154="SHOW",MID('ASS END SYNC'!E154,Q150+1,S150-Q150+1),"")</f>
        <v/>
      </c>
      <c r="X150" s="23" t="str">
        <f>IF('ASS END SYNC'!C154="SHOW",MID('ASS END SYNC'!E154,S150+2,1000),"")</f>
        <v/>
      </c>
      <c r="Z150" s="24"/>
    </row>
    <row r="151" spans="1:26" x14ac:dyDescent="0.25">
      <c r="A151" s="26">
        <v>148</v>
      </c>
      <c r="B151" s="24" t="str">
        <f>IF('ASS START SYNC'!C155="SHOW",FIND(",",'ASS START SYNC'!E155,1),"")</f>
        <v/>
      </c>
      <c r="C151" s="24" t="str">
        <f>IF('ASS START SYNC'!C155="SHOW",FIND(",",'ASS START SYNC'!E155,B151+1),"")</f>
        <v/>
      </c>
      <c r="D151" s="24" t="str">
        <f>IF('ASS START SYNC'!C155="SHOW",FIND(",",'ASS START SYNC'!E155,C151+1),"")</f>
        <v/>
      </c>
      <c r="E151" s="25" t="str">
        <f>IF('ASS START SYNC'!C155="SHOW",FIND(",,",'ASS START SYNC'!E155,1),"")</f>
        <v/>
      </c>
      <c r="F151" s="25" t="str">
        <f>IF('ASS START SYNC'!C155="SHOW",FIND(",,",'ASS START SYNC'!E155,E151+1),"")</f>
        <v/>
      </c>
      <c r="G151" s="23" t="str">
        <f>IF('ASS START SYNC'!C155="SHOW",LEFT('ASS START SYNC'!E155,B151),"")</f>
        <v/>
      </c>
      <c r="H151" s="24" t="str">
        <f>IF(AND('ASS START SYNC'!C155="SHOW",COUNTA('ASS START SYNC'!$E$8:'ASS START SYNC'!E154)=0),MID('ASS START SYNC'!E155,B151+1,C151-B151-1),IF(AND('ASS START SYNC'!C155="SHOW",COUNTA('ASS START SYNC'!$E$8:'ASS START SYNC'!E154)&lt;&gt;0),I150,""))</f>
        <v/>
      </c>
      <c r="I151" s="24" t="str">
        <f>IF('ASS START SYNC'!C155="SHOW",MID('ASS START SYNC'!E155,C151+1,D151-C151-1),I150)</f>
        <v/>
      </c>
      <c r="J151" s="23" t="str">
        <f>IF('ASS START SYNC'!C155="SHOW",MID('ASS START SYNC'!E155,D151+1,F151-D151+1),"")</f>
        <v/>
      </c>
      <c r="K151" s="23" t="str">
        <f>IF('ASS START SYNC'!C155="SHOW",MID('ASS START SYNC'!E155,F151+2,1000),"")</f>
        <v/>
      </c>
      <c r="M151" s="24"/>
      <c r="N151" s="26">
        <v>148</v>
      </c>
      <c r="O151" s="24" t="str">
        <f>IF('ASS END SYNC'!C155="SHOW",FIND(",",'ASS END SYNC'!E155,1),"")</f>
        <v/>
      </c>
      <c r="P151" s="24" t="str">
        <f>IF('ASS END SYNC'!C155="SHOW",FIND(",",'ASS END SYNC'!E155,O151+1),"")</f>
        <v/>
      </c>
      <c r="Q151" s="24" t="str">
        <f>IF('ASS END SYNC'!C155="SHOW",FIND(",",'ASS END SYNC'!E155,P151+1),"")</f>
        <v/>
      </c>
      <c r="R151" s="25" t="str">
        <f>IF('ASS END SYNC'!C155="SHOW",FIND(",,",'ASS END SYNC'!E155,1),"")</f>
        <v/>
      </c>
      <c r="S151" s="25" t="str">
        <f>IF('ASS END SYNC'!C155="SHOW",FIND(",,",'ASS END SYNC'!E155,R151+1),"")</f>
        <v/>
      </c>
      <c r="T151" s="23" t="str">
        <f>IF('ASS END SYNC'!C155="SHOW",LEFT('ASS END SYNC'!E155,O151),"")</f>
        <v/>
      </c>
      <c r="U151" s="24" t="str">
        <f>IF('ASS END SYNC'!C155="SHOW",MID('ASS END SYNC'!E155,O151+1,P151-O151-1),"")</f>
        <v/>
      </c>
      <c r="V151" s="24" t="str">
        <f>IF(AND('ASS END SYNC'!C155="SHOW",'ASS END SYNC'!C156="SHOW"),U152,IF(AND('ASS END SYNC'!C155="SHOW",'ASS END SYNC'!C156&lt;&gt;"SHOW"),MID('ASS END SYNC'!E155,O151+1,P151-O151-1),""))</f>
        <v/>
      </c>
      <c r="W151" s="23" t="str">
        <f>IF('ASS END SYNC'!C155="SHOW",MID('ASS END SYNC'!E155,Q151+1,S151-Q151+1),"")</f>
        <v/>
      </c>
      <c r="X151" s="23" t="str">
        <f>IF('ASS END SYNC'!C155="SHOW",MID('ASS END SYNC'!E155,S151+2,1000),"")</f>
        <v/>
      </c>
      <c r="Z151" s="24"/>
    </row>
    <row r="152" spans="1:26" x14ac:dyDescent="0.25">
      <c r="A152" s="26">
        <v>149</v>
      </c>
      <c r="B152" s="24" t="str">
        <f>IF('ASS START SYNC'!C156="SHOW",FIND(",",'ASS START SYNC'!E156,1),"")</f>
        <v/>
      </c>
      <c r="C152" s="24" t="str">
        <f>IF('ASS START SYNC'!C156="SHOW",FIND(",",'ASS START SYNC'!E156,B152+1),"")</f>
        <v/>
      </c>
      <c r="D152" s="24" t="str">
        <f>IF('ASS START SYNC'!C156="SHOW",FIND(",",'ASS START SYNC'!E156,C152+1),"")</f>
        <v/>
      </c>
      <c r="E152" s="25" t="str">
        <f>IF('ASS START SYNC'!C156="SHOW",FIND(",,",'ASS START SYNC'!E156,1),"")</f>
        <v/>
      </c>
      <c r="F152" s="25" t="str">
        <f>IF('ASS START SYNC'!C156="SHOW",FIND(",,",'ASS START SYNC'!E156,E152+1),"")</f>
        <v/>
      </c>
      <c r="G152" s="23" t="str">
        <f>IF('ASS START SYNC'!C156="SHOW",LEFT('ASS START SYNC'!E156,B152),"")</f>
        <v/>
      </c>
      <c r="H152" s="24" t="str">
        <f>IF(AND('ASS START SYNC'!C156="SHOW",COUNTA('ASS START SYNC'!$E$8:'ASS START SYNC'!E155)=0),MID('ASS START SYNC'!E156,B152+1,C152-B152-1),IF(AND('ASS START SYNC'!C156="SHOW",COUNTA('ASS START SYNC'!$E$8:'ASS START SYNC'!E155)&lt;&gt;0),I151,""))</f>
        <v/>
      </c>
      <c r="I152" s="24" t="str">
        <f>IF('ASS START SYNC'!C156="SHOW",MID('ASS START SYNC'!E156,C152+1,D152-C152-1),I151)</f>
        <v/>
      </c>
      <c r="J152" s="23" t="str">
        <f>IF('ASS START SYNC'!C156="SHOW",MID('ASS START SYNC'!E156,D152+1,F152-D152+1),"")</f>
        <v/>
      </c>
      <c r="K152" s="23" t="str">
        <f>IF('ASS START SYNC'!C156="SHOW",MID('ASS START SYNC'!E156,F152+2,1000),"")</f>
        <v/>
      </c>
      <c r="M152" s="24"/>
      <c r="N152" s="26">
        <v>149</v>
      </c>
      <c r="O152" s="24" t="str">
        <f>IF('ASS END SYNC'!C156="SHOW",FIND(",",'ASS END SYNC'!E156,1),"")</f>
        <v/>
      </c>
      <c r="P152" s="24" t="str">
        <f>IF('ASS END SYNC'!C156="SHOW",FIND(",",'ASS END SYNC'!E156,O152+1),"")</f>
        <v/>
      </c>
      <c r="Q152" s="24" t="str">
        <f>IF('ASS END SYNC'!C156="SHOW",FIND(",",'ASS END SYNC'!E156,P152+1),"")</f>
        <v/>
      </c>
      <c r="R152" s="25" t="str">
        <f>IF('ASS END SYNC'!C156="SHOW",FIND(",,",'ASS END SYNC'!E156,1),"")</f>
        <v/>
      </c>
      <c r="S152" s="25" t="str">
        <f>IF('ASS END SYNC'!C156="SHOW",FIND(",,",'ASS END SYNC'!E156,R152+1),"")</f>
        <v/>
      </c>
      <c r="T152" s="23" t="str">
        <f>IF('ASS END SYNC'!C156="SHOW",LEFT('ASS END SYNC'!E156,O152),"")</f>
        <v/>
      </c>
      <c r="U152" s="24" t="str">
        <f>IF('ASS END SYNC'!C156="SHOW",MID('ASS END SYNC'!E156,O152+1,P152-O152-1),"")</f>
        <v/>
      </c>
      <c r="V152" s="24" t="str">
        <f>IF(AND('ASS END SYNC'!C156="SHOW",'ASS END SYNC'!C157="SHOW"),U153,IF(AND('ASS END SYNC'!C156="SHOW",'ASS END SYNC'!C157&lt;&gt;"SHOW"),MID('ASS END SYNC'!E156,O152+1,P152-O152-1),""))</f>
        <v/>
      </c>
      <c r="W152" s="23" t="str">
        <f>IF('ASS END SYNC'!C156="SHOW",MID('ASS END SYNC'!E156,Q152+1,S152-Q152+1),"")</f>
        <v/>
      </c>
      <c r="X152" s="23" t="str">
        <f>IF('ASS END SYNC'!C156="SHOW",MID('ASS END SYNC'!E156,S152+2,1000),"")</f>
        <v/>
      </c>
      <c r="Z152" s="24"/>
    </row>
    <row r="153" spans="1:26" x14ac:dyDescent="0.25">
      <c r="A153" s="26">
        <v>150</v>
      </c>
      <c r="B153" s="24" t="str">
        <f>IF('ASS START SYNC'!C157="SHOW",FIND(",",'ASS START SYNC'!E157,1),"")</f>
        <v/>
      </c>
      <c r="C153" s="24" t="str">
        <f>IF('ASS START SYNC'!C157="SHOW",FIND(",",'ASS START SYNC'!E157,B153+1),"")</f>
        <v/>
      </c>
      <c r="D153" s="24" t="str">
        <f>IF('ASS START SYNC'!C157="SHOW",FIND(",",'ASS START SYNC'!E157,C153+1),"")</f>
        <v/>
      </c>
      <c r="E153" s="25" t="str">
        <f>IF('ASS START SYNC'!C157="SHOW",FIND(",,",'ASS START SYNC'!E157,1),"")</f>
        <v/>
      </c>
      <c r="F153" s="25" t="str">
        <f>IF('ASS START SYNC'!C157="SHOW",FIND(",,",'ASS START SYNC'!E157,E153+1),"")</f>
        <v/>
      </c>
      <c r="G153" s="23" t="str">
        <f>IF('ASS START SYNC'!C157="SHOW",LEFT('ASS START SYNC'!E157,B153),"")</f>
        <v/>
      </c>
      <c r="H153" s="24" t="str">
        <f>IF(AND('ASS START SYNC'!C157="SHOW",COUNTA('ASS START SYNC'!$E$8:'ASS START SYNC'!E156)=0),MID('ASS START SYNC'!E157,B153+1,C153-B153-1),IF(AND('ASS START SYNC'!C157="SHOW",COUNTA('ASS START SYNC'!$E$8:'ASS START SYNC'!E156)&lt;&gt;0),I152,""))</f>
        <v/>
      </c>
      <c r="I153" s="24" t="str">
        <f>IF('ASS START SYNC'!C157="SHOW",MID('ASS START SYNC'!E157,C153+1,D153-C153-1),I152)</f>
        <v/>
      </c>
      <c r="J153" s="23" t="str">
        <f>IF('ASS START SYNC'!C157="SHOW",MID('ASS START SYNC'!E157,D153+1,F153-D153+1),"")</f>
        <v/>
      </c>
      <c r="K153" s="23" t="str">
        <f>IF('ASS START SYNC'!C157="SHOW",MID('ASS START SYNC'!E157,F153+2,1000),"")</f>
        <v/>
      </c>
      <c r="M153" s="24"/>
      <c r="N153" s="26">
        <v>150</v>
      </c>
      <c r="O153" s="24" t="str">
        <f>IF('ASS END SYNC'!C157="SHOW",FIND(",",'ASS END SYNC'!E157,1),"")</f>
        <v/>
      </c>
      <c r="P153" s="24" t="str">
        <f>IF('ASS END SYNC'!C157="SHOW",FIND(",",'ASS END SYNC'!E157,O153+1),"")</f>
        <v/>
      </c>
      <c r="Q153" s="24" t="str">
        <f>IF('ASS END SYNC'!C157="SHOW",FIND(",",'ASS END SYNC'!E157,P153+1),"")</f>
        <v/>
      </c>
      <c r="R153" s="25" t="str">
        <f>IF('ASS END SYNC'!C157="SHOW",FIND(",,",'ASS END SYNC'!E157,1),"")</f>
        <v/>
      </c>
      <c r="S153" s="25" t="str">
        <f>IF('ASS END SYNC'!C157="SHOW",FIND(",,",'ASS END SYNC'!E157,R153+1),"")</f>
        <v/>
      </c>
      <c r="T153" s="23" t="str">
        <f>IF('ASS END SYNC'!C157="SHOW",LEFT('ASS END SYNC'!E157,O153),"")</f>
        <v/>
      </c>
      <c r="U153" s="24" t="str">
        <f>IF('ASS END SYNC'!C157="SHOW",MID('ASS END SYNC'!E157,O153+1,P153-O153-1),"")</f>
        <v/>
      </c>
      <c r="V153" s="24" t="str">
        <f>IF(AND('ASS END SYNC'!C157="SHOW",'ASS END SYNC'!C158="SHOW"),U154,IF(AND('ASS END SYNC'!C157="SHOW",'ASS END SYNC'!C158&lt;&gt;"SHOW"),MID('ASS END SYNC'!E157,O153+1,P153-O153-1),""))</f>
        <v/>
      </c>
      <c r="W153" s="23" t="str">
        <f>IF('ASS END SYNC'!C157="SHOW",MID('ASS END SYNC'!E157,Q153+1,S153-Q153+1),"")</f>
        <v/>
      </c>
      <c r="X153" s="23" t="str">
        <f>IF('ASS END SYNC'!C157="SHOW",MID('ASS END SYNC'!E157,S153+2,1000),"")</f>
        <v/>
      </c>
      <c r="Z153" s="24"/>
    </row>
    <row r="154" spans="1:26" x14ac:dyDescent="0.25">
      <c r="A154" s="26">
        <v>151</v>
      </c>
      <c r="B154" s="24" t="str">
        <f>IF('ASS START SYNC'!C158="SHOW",FIND(",",'ASS START SYNC'!E158,1),"")</f>
        <v/>
      </c>
      <c r="C154" s="24" t="str">
        <f>IF('ASS START SYNC'!C158="SHOW",FIND(",",'ASS START SYNC'!E158,B154+1),"")</f>
        <v/>
      </c>
      <c r="D154" s="24" t="str">
        <f>IF('ASS START SYNC'!C158="SHOW",FIND(",",'ASS START SYNC'!E158,C154+1),"")</f>
        <v/>
      </c>
      <c r="E154" s="25" t="str">
        <f>IF('ASS START SYNC'!C158="SHOW",FIND(",,",'ASS START SYNC'!E158,1),"")</f>
        <v/>
      </c>
      <c r="F154" s="25" t="str">
        <f>IF('ASS START SYNC'!C158="SHOW",FIND(",,",'ASS START SYNC'!E158,E154+1),"")</f>
        <v/>
      </c>
      <c r="G154" s="23" t="str">
        <f>IF('ASS START SYNC'!C158="SHOW",LEFT('ASS START SYNC'!E158,B154),"")</f>
        <v/>
      </c>
      <c r="H154" s="24" t="str">
        <f>IF(AND('ASS START SYNC'!C158="SHOW",COUNTA('ASS START SYNC'!$E$8:'ASS START SYNC'!E157)=0),MID('ASS START SYNC'!E158,B154+1,C154-B154-1),IF(AND('ASS START SYNC'!C158="SHOW",COUNTA('ASS START SYNC'!$E$8:'ASS START SYNC'!E157)&lt;&gt;0),I153,""))</f>
        <v/>
      </c>
      <c r="I154" s="24" t="str">
        <f>IF('ASS START SYNC'!C158="SHOW",MID('ASS START SYNC'!E158,C154+1,D154-C154-1),I153)</f>
        <v/>
      </c>
      <c r="J154" s="23" t="str">
        <f>IF('ASS START SYNC'!C158="SHOW",MID('ASS START SYNC'!E158,D154+1,F154-D154+1),"")</f>
        <v/>
      </c>
      <c r="K154" s="23" t="str">
        <f>IF('ASS START SYNC'!C158="SHOW",MID('ASS START SYNC'!E158,F154+2,1000),"")</f>
        <v/>
      </c>
      <c r="M154" s="24"/>
      <c r="N154" s="26">
        <v>151</v>
      </c>
      <c r="O154" s="24" t="str">
        <f>IF('ASS END SYNC'!C158="SHOW",FIND(",",'ASS END SYNC'!E158,1),"")</f>
        <v/>
      </c>
      <c r="P154" s="24" t="str">
        <f>IF('ASS END SYNC'!C158="SHOW",FIND(",",'ASS END SYNC'!E158,O154+1),"")</f>
        <v/>
      </c>
      <c r="Q154" s="24" t="str">
        <f>IF('ASS END SYNC'!C158="SHOW",FIND(",",'ASS END SYNC'!E158,P154+1),"")</f>
        <v/>
      </c>
      <c r="R154" s="25" t="str">
        <f>IF('ASS END SYNC'!C158="SHOW",FIND(",,",'ASS END SYNC'!E158,1),"")</f>
        <v/>
      </c>
      <c r="S154" s="25" t="str">
        <f>IF('ASS END SYNC'!C158="SHOW",FIND(",,",'ASS END SYNC'!E158,R154+1),"")</f>
        <v/>
      </c>
      <c r="T154" s="23" t="str">
        <f>IF('ASS END SYNC'!C158="SHOW",LEFT('ASS END SYNC'!E158,O154),"")</f>
        <v/>
      </c>
      <c r="U154" s="24" t="str">
        <f>IF('ASS END SYNC'!C158="SHOW",MID('ASS END SYNC'!E158,O154+1,P154-O154-1),"")</f>
        <v/>
      </c>
      <c r="V154" s="24" t="str">
        <f>IF(AND('ASS END SYNC'!C158="SHOW",'ASS END SYNC'!C159="SHOW"),U155,IF(AND('ASS END SYNC'!C158="SHOW",'ASS END SYNC'!C159&lt;&gt;"SHOW"),MID('ASS END SYNC'!E158,O154+1,P154-O154-1),""))</f>
        <v/>
      </c>
      <c r="W154" s="23" t="str">
        <f>IF('ASS END SYNC'!C158="SHOW",MID('ASS END SYNC'!E158,Q154+1,S154-Q154+1),"")</f>
        <v/>
      </c>
      <c r="X154" s="23" t="str">
        <f>IF('ASS END SYNC'!C158="SHOW",MID('ASS END SYNC'!E158,S154+2,1000),"")</f>
        <v/>
      </c>
      <c r="Z154" s="24"/>
    </row>
    <row r="155" spans="1:26" x14ac:dyDescent="0.25">
      <c r="A155" s="26">
        <v>152</v>
      </c>
      <c r="B155" s="24" t="str">
        <f>IF('ASS START SYNC'!C159="SHOW",FIND(",",'ASS START SYNC'!E159,1),"")</f>
        <v/>
      </c>
      <c r="C155" s="24" t="str">
        <f>IF('ASS START SYNC'!C159="SHOW",FIND(",",'ASS START SYNC'!E159,B155+1),"")</f>
        <v/>
      </c>
      <c r="D155" s="24" t="str">
        <f>IF('ASS START SYNC'!C159="SHOW",FIND(",",'ASS START SYNC'!E159,C155+1),"")</f>
        <v/>
      </c>
      <c r="E155" s="25" t="str">
        <f>IF('ASS START SYNC'!C159="SHOW",FIND(",,",'ASS START SYNC'!E159,1),"")</f>
        <v/>
      </c>
      <c r="F155" s="25" t="str">
        <f>IF('ASS START SYNC'!C159="SHOW",FIND(",,",'ASS START SYNC'!E159,E155+1),"")</f>
        <v/>
      </c>
      <c r="G155" s="23" t="str">
        <f>IF('ASS START SYNC'!C159="SHOW",LEFT('ASS START SYNC'!E159,B155),"")</f>
        <v/>
      </c>
      <c r="H155" s="24" t="str">
        <f>IF(AND('ASS START SYNC'!C159="SHOW",COUNTA('ASS START SYNC'!$E$8:'ASS START SYNC'!E158)=0),MID('ASS START SYNC'!E159,B155+1,C155-B155-1),IF(AND('ASS START SYNC'!C159="SHOW",COUNTA('ASS START SYNC'!$E$8:'ASS START SYNC'!E158)&lt;&gt;0),I154,""))</f>
        <v/>
      </c>
      <c r="I155" s="24" t="str">
        <f>IF('ASS START SYNC'!C159="SHOW",MID('ASS START SYNC'!E159,C155+1,D155-C155-1),I154)</f>
        <v/>
      </c>
      <c r="J155" s="23" t="str">
        <f>IF('ASS START SYNC'!C159="SHOW",MID('ASS START SYNC'!E159,D155+1,F155-D155+1),"")</f>
        <v/>
      </c>
      <c r="K155" s="23" t="str">
        <f>IF('ASS START SYNC'!C159="SHOW",MID('ASS START SYNC'!E159,F155+2,1000),"")</f>
        <v/>
      </c>
      <c r="M155" s="24"/>
      <c r="N155" s="26">
        <v>152</v>
      </c>
      <c r="O155" s="24" t="str">
        <f>IF('ASS END SYNC'!C159="SHOW",FIND(",",'ASS END SYNC'!E159,1),"")</f>
        <v/>
      </c>
      <c r="P155" s="24" t="str">
        <f>IF('ASS END SYNC'!C159="SHOW",FIND(",",'ASS END SYNC'!E159,O155+1),"")</f>
        <v/>
      </c>
      <c r="Q155" s="24" t="str">
        <f>IF('ASS END SYNC'!C159="SHOW",FIND(",",'ASS END SYNC'!E159,P155+1),"")</f>
        <v/>
      </c>
      <c r="R155" s="25" t="str">
        <f>IF('ASS END SYNC'!C159="SHOW",FIND(",,",'ASS END SYNC'!E159,1),"")</f>
        <v/>
      </c>
      <c r="S155" s="25" t="str">
        <f>IF('ASS END SYNC'!C159="SHOW",FIND(",,",'ASS END SYNC'!E159,R155+1),"")</f>
        <v/>
      </c>
      <c r="T155" s="23" t="str">
        <f>IF('ASS END SYNC'!C159="SHOW",LEFT('ASS END SYNC'!E159,O155),"")</f>
        <v/>
      </c>
      <c r="U155" s="24" t="str">
        <f>IF('ASS END SYNC'!C159="SHOW",MID('ASS END SYNC'!E159,O155+1,P155-O155-1),"")</f>
        <v/>
      </c>
      <c r="V155" s="24" t="str">
        <f>IF(AND('ASS END SYNC'!C159="SHOW",'ASS END SYNC'!C160="SHOW"),U156,IF(AND('ASS END SYNC'!C159="SHOW",'ASS END SYNC'!C160&lt;&gt;"SHOW"),MID('ASS END SYNC'!E159,O155+1,P155-O155-1),""))</f>
        <v/>
      </c>
      <c r="W155" s="23" t="str">
        <f>IF('ASS END SYNC'!C159="SHOW",MID('ASS END SYNC'!E159,Q155+1,S155-Q155+1),"")</f>
        <v/>
      </c>
      <c r="X155" s="23" t="str">
        <f>IF('ASS END SYNC'!C159="SHOW",MID('ASS END SYNC'!E159,S155+2,1000),"")</f>
        <v/>
      </c>
      <c r="Z155" s="24"/>
    </row>
    <row r="156" spans="1:26" x14ac:dyDescent="0.25">
      <c r="A156" s="26">
        <v>153</v>
      </c>
      <c r="B156" s="24" t="str">
        <f>IF('ASS START SYNC'!C160="SHOW",FIND(",",'ASS START SYNC'!E160,1),"")</f>
        <v/>
      </c>
      <c r="C156" s="24" t="str">
        <f>IF('ASS START SYNC'!C160="SHOW",FIND(",",'ASS START SYNC'!E160,B156+1),"")</f>
        <v/>
      </c>
      <c r="D156" s="24" t="str">
        <f>IF('ASS START SYNC'!C160="SHOW",FIND(",",'ASS START SYNC'!E160,C156+1),"")</f>
        <v/>
      </c>
      <c r="E156" s="25" t="str">
        <f>IF('ASS START SYNC'!C160="SHOW",FIND(",,",'ASS START SYNC'!E160,1),"")</f>
        <v/>
      </c>
      <c r="F156" s="25" t="str">
        <f>IF('ASS START SYNC'!C160="SHOW",FIND(",,",'ASS START SYNC'!E160,E156+1),"")</f>
        <v/>
      </c>
      <c r="G156" s="23" t="str">
        <f>IF('ASS START SYNC'!C160="SHOW",LEFT('ASS START SYNC'!E160,B156),"")</f>
        <v/>
      </c>
      <c r="H156" s="24" t="str">
        <f>IF(AND('ASS START SYNC'!C160="SHOW",COUNTA('ASS START SYNC'!$E$8:'ASS START SYNC'!E159)=0),MID('ASS START SYNC'!E160,B156+1,C156-B156-1),IF(AND('ASS START SYNC'!C160="SHOW",COUNTA('ASS START SYNC'!$E$8:'ASS START SYNC'!E159)&lt;&gt;0),I155,""))</f>
        <v/>
      </c>
      <c r="I156" s="24" t="str">
        <f>IF('ASS START SYNC'!C160="SHOW",MID('ASS START SYNC'!E160,C156+1,D156-C156-1),I155)</f>
        <v/>
      </c>
      <c r="J156" s="23" t="str">
        <f>IF('ASS START SYNC'!C160="SHOW",MID('ASS START SYNC'!E160,D156+1,F156-D156+1),"")</f>
        <v/>
      </c>
      <c r="K156" s="23" t="str">
        <f>IF('ASS START SYNC'!C160="SHOW",MID('ASS START SYNC'!E160,F156+2,1000),"")</f>
        <v/>
      </c>
      <c r="M156" s="24"/>
      <c r="N156" s="26">
        <v>153</v>
      </c>
      <c r="O156" s="24" t="str">
        <f>IF('ASS END SYNC'!C160="SHOW",FIND(",",'ASS END SYNC'!E160,1),"")</f>
        <v/>
      </c>
      <c r="P156" s="24" t="str">
        <f>IF('ASS END SYNC'!C160="SHOW",FIND(",",'ASS END SYNC'!E160,O156+1),"")</f>
        <v/>
      </c>
      <c r="Q156" s="24" t="str">
        <f>IF('ASS END SYNC'!C160="SHOW",FIND(",",'ASS END SYNC'!E160,P156+1),"")</f>
        <v/>
      </c>
      <c r="R156" s="25" t="str">
        <f>IF('ASS END SYNC'!C160="SHOW",FIND(",,",'ASS END SYNC'!E160,1),"")</f>
        <v/>
      </c>
      <c r="S156" s="25" t="str">
        <f>IF('ASS END SYNC'!C160="SHOW",FIND(",,",'ASS END SYNC'!E160,R156+1),"")</f>
        <v/>
      </c>
      <c r="T156" s="23" t="str">
        <f>IF('ASS END SYNC'!C160="SHOW",LEFT('ASS END SYNC'!E160,O156),"")</f>
        <v/>
      </c>
      <c r="U156" s="24" t="str">
        <f>IF('ASS END SYNC'!C160="SHOW",MID('ASS END SYNC'!E160,O156+1,P156-O156-1),"")</f>
        <v/>
      </c>
      <c r="V156" s="24" t="str">
        <f>IF(AND('ASS END SYNC'!C160="SHOW",'ASS END SYNC'!C161="SHOW"),U157,IF(AND('ASS END SYNC'!C160="SHOW",'ASS END SYNC'!C161&lt;&gt;"SHOW"),MID('ASS END SYNC'!E160,O156+1,P156-O156-1),""))</f>
        <v/>
      </c>
      <c r="W156" s="23" t="str">
        <f>IF('ASS END SYNC'!C160="SHOW",MID('ASS END SYNC'!E160,Q156+1,S156-Q156+1),"")</f>
        <v/>
      </c>
      <c r="X156" s="23" t="str">
        <f>IF('ASS END SYNC'!C160="SHOW",MID('ASS END SYNC'!E160,S156+2,1000),"")</f>
        <v/>
      </c>
      <c r="Z156" s="24"/>
    </row>
    <row r="157" spans="1:26" x14ac:dyDescent="0.25">
      <c r="A157" s="26">
        <v>154</v>
      </c>
      <c r="B157" s="24" t="str">
        <f>IF('ASS START SYNC'!C161="SHOW",FIND(",",'ASS START SYNC'!E161,1),"")</f>
        <v/>
      </c>
      <c r="C157" s="24" t="str">
        <f>IF('ASS START SYNC'!C161="SHOW",FIND(",",'ASS START SYNC'!E161,B157+1),"")</f>
        <v/>
      </c>
      <c r="D157" s="24" t="str">
        <f>IF('ASS START SYNC'!C161="SHOW",FIND(",",'ASS START SYNC'!E161,C157+1),"")</f>
        <v/>
      </c>
      <c r="E157" s="25" t="str">
        <f>IF('ASS START SYNC'!C161="SHOW",FIND(",,",'ASS START SYNC'!E161,1),"")</f>
        <v/>
      </c>
      <c r="F157" s="25" t="str">
        <f>IF('ASS START SYNC'!C161="SHOW",FIND(",,",'ASS START SYNC'!E161,E157+1),"")</f>
        <v/>
      </c>
      <c r="G157" s="23" t="str">
        <f>IF('ASS START SYNC'!C161="SHOW",LEFT('ASS START SYNC'!E161,B157),"")</f>
        <v/>
      </c>
      <c r="H157" s="24" t="str">
        <f>IF(AND('ASS START SYNC'!C161="SHOW",COUNTA('ASS START SYNC'!$E$8:'ASS START SYNC'!E160)=0),MID('ASS START SYNC'!E161,B157+1,C157-B157-1),IF(AND('ASS START SYNC'!C161="SHOW",COUNTA('ASS START SYNC'!$E$8:'ASS START SYNC'!E160)&lt;&gt;0),I156,""))</f>
        <v/>
      </c>
      <c r="I157" s="24" t="str">
        <f>IF('ASS START SYNC'!C161="SHOW",MID('ASS START SYNC'!E161,C157+1,D157-C157-1),I156)</f>
        <v/>
      </c>
      <c r="J157" s="23" t="str">
        <f>IF('ASS START SYNC'!C161="SHOW",MID('ASS START SYNC'!E161,D157+1,F157-D157+1),"")</f>
        <v/>
      </c>
      <c r="K157" s="23" t="str">
        <f>IF('ASS START SYNC'!C161="SHOW",MID('ASS START SYNC'!E161,F157+2,1000),"")</f>
        <v/>
      </c>
      <c r="M157" s="24"/>
      <c r="N157" s="26">
        <v>154</v>
      </c>
      <c r="O157" s="24" t="str">
        <f>IF('ASS END SYNC'!C161="SHOW",FIND(",",'ASS END SYNC'!E161,1),"")</f>
        <v/>
      </c>
      <c r="P157" s="24" t="str">
        <f>IF('ASS END SYNC'!C161="SHOW",FIND(",",'ASS END SYNC'!E161,O157+1),"")</f>
        <v/>
      </c>
      <c r="Q157" s="24" t="str">
        <f>IF('ASS END SYNC'!C161="SHOW",FIND(",",'ASS END SYNC'!E161,P157+1),"")</f>
        <v/>
      </c>
      <c r="R157" s="25" t="str">
        <f>IF('ASS END SYNC'!C161="SHOW",FIND(",,",'ASS END SYNC'!E161,1),"")</f>
        <v/>
      </c>
      <c r="S157" s="25" t="str">
        <f>IF('ASS END SYNC'!C161="SHOW",FIND(",,",'ASS END SYNC'!E161,R157+1),"")</f>
        <v/>
      </c>
      <c r="T157" s="23" t="str">
        <f>IF('ASS END SYNC'!C161="SHOW",LEFT('ASS END SYNC'!E161,O157),"")</f>
        <v/>
      </c>
      <c r="U157" s="24" t="str">
        <f>IF('ASS END SYNC'!C161="SHOW",MID('ASS END SYNC'!E161,O157+1,P157-O157-1),"")</f>
        <v/>
      </c>
      <c r="V157" s="24" t="str">
        <f>IF(AND('ASS END SYNC'!C161="SHOW",'ASS END SYNC'!C162="SHOW"),U158,IF(AND('ASS END SYNC'!C161="SHOW",'ASS END SYNC'!C162&lt;&gt;"SHOW"),MID('ASS END SYNC'!E161,O157+1,P157-O157-1),""))</f>
        <v/>
      </c>
      <c r="W157" s="23" t="str">
        <f>IF('ASS END SYNC'!C161="SHOW",MID('ASS END SYNC'!E161,Q157+1,S157-Q157+1),"")</f>
        <v/>
      </c>
      <c r="X157" s="23" t="str">
        <f>IF('ASS END SYNC'!C161="SHOW",MID('ASS END SYNC'!E161,S157+2,1000),"")</f>
        <v/>
      </c>
      <c r="Z157" s="24"/>
    </row>
    <row r="158" spans="1:26" x14ac:dyDescent="0.25">
      <c r="A158" s="26">
        <v>155</v>
      </c>
      <c r="B158" s="24" t="str">
        <f>IF('ASS START SYNC'!C162="SHOW",FIND(",",'ASS START SYNC'!E162,1),"")</f>
        <v/>
      </c>
      <c r="C158" s="24" t="str">
        <f>IF('ASS START SYNC'!C162="SHOW",FIND(",",'ASS START SYNC'!E162,B158+1),"")</f>
        <v/>
      </c>
      <c r="D158" s="24" t="str">
        <f>IF('ASS START SYNC'!C162="SHOW",FIND(",",'ASS START SYNC'!E162,C158+1),"")</f>
        <v/>
      </c>
      <c r="E158" s="25" t="str">
        <f>IF('ASS START SYNC'!C162="SHOW",FIND(",,",'ASS START SYNC'!E162,1),"")</f>
        <v/>
      </c>
      <c r="F158" s="25" t="str">
        <f>IF('ASS START SYNC'!C162="SHOW",FIND(",,",'ASS START SYNC'!E162,E158+1),"")</f>
        <v/>
      </c>
      <c r="G158" s="23" t="str">
        <f>IF('ASS START SYNC'!C162="SHOW",LEFT('ASS START SYNC'!E162,B158),"")</f>
        <v/>
      </c>
      <c r="H158" s="24" t="str">
        <f>IF(AND('ASS START SYNC'!C162="SHOW",COUNTA('ASS START SYNC'!$E$8:'ASS START SYNC'!E161)=0),MID('ASS START SYNC'!E162,B158+1,C158-B158-1),IF(AND('ASS START SYNC'!C162="SHOW",COUNTA('ASS START SYNC'!$E$8:'ASS START SYNC'!E161)&lt;&gt;0),I157,""))</f>
        <v/>
      </c>
      <c r="I158" s="24" t="str">
        <f>IF('ASS START SYNC'!C162="SHOW",MID('ASS START SYNC'!E162,C158+1,D158-C158-1),I157)</f>
        <v/>
      </c>
      <c r="J158" s="23" t="str">
        <f>IF('ASS START SYNC'!C162="SHOW",MID('ASS START SYNC'!E162,D158+1,F158-D158+1),"")</f>
        <v/>
      </c>
      <c r="K158" s="23" t="str">
        <f>IF('ASS START SYNC'!C162="SHOW",MID('ASS START SYNC'!E162,F158+2,1000),"")</f>
        <v/>
      </c>
      <c r="M158" s="24"/>
      <c r="N158" s="26">
        <v>155</v>
      </c>
      <c r="O158" s="24" t="str">
        <f>IF('ASS END SYNC'!C162="SHOW",FIND(",",'ASS END SYNC'!E162,1),"")</f>
        <v/>
      </c>
      <c r="P158" s="24" t="str">
        <f>IF('ASS END SYNC'!C162="SHOW",FIND(",",'ASS END SYNC'!E162,O158+1),"")</f>
        <v/>
      </c>
      <c r="Q158" s="24" t="str">
        <f>IF('ASS END SYNC'!C162="SHOW",FIND(",",'ASS END SYNC'!E162,P158+1),"")</f>
        <v/>
      </c>
      <c r="R158" s="25" t="str">
        <f>IF('ASS END SYNC'!C162="SHOW",FIND(",,",'ASS END SYNC'!E162,1),"")</f>
        <v/>
      </c>
      <c r="S158" s="25" t="str">
        <f>IF('ASS END SYNC'!C162="SHOW",FIND(",,",'ASS END SYNC'!E162,R158+1),"")</f>
        <v/>
      </c>
      <c r="T158" s="23" t="str">
        <f>IF('ASS END SYNC'!C162="SHOW",LEFT('ASS END SYNC'!E162,O158),"")</f>
        <v/>
      </c>
      <c r="U158" s="24" t="str">
        <f>IF('ASS END SYNC'!C162="SHOW",MID('ASS END SYNC'!E162,O158+1,P158-O158-1),"")</f>
        <v/>
      </c>
      <c r="V158" s="24" t="str">
        <f>IF(AND('ASS END SYNC'!C162="SHOW",'ASS END SYNC'!C163="SHOW"),U159,IF(AND('ASS END SYNC'!C162="SHOW",'ASS END SYNC'!C163&lt;&gt;"SHOW"),MID('ASS END SYNC'!E162,O158+1,P158-O158-1),""))</f>
        <v/>
      </c>
      <c r="W158" s="23" t="str">
        <f>IF('ASS END SYNC'!C162="SHOW",MID('ASS END SYNC'!E162,Q158+1,S158-Q158+1),"")</f>
        <v/>
      </c>
      <c r="X158" s="23" t="str">
        <f>IF('ASS END SYNC'!C162="SHOW",MID('ASS END SYNC'!E162,S158+2,1000),"")</f>
        <v/>
      </c>
      <c r="Z158" s="24"/>
    </row>
    <row r="159" spans="1:26" x14ac:dyDescent="0.25">
      <c r="A159" s="26">
        <v>156</v>
      </c>
      <c r="B159" s="24" t="str">
        <f>IF('ASS START SYNC'!C163="SHOW",FIND(",",'ASS START SYNC'!E163,1),"")</f>
        <v/>
      </c>
      <c r="C159" s="24" t="str">
        <f>IF('ASS START SYNC'!C163="SHOW",FIND(",",'ASS START SYNC'!E163,B159+1),"")</f>
        <v/>
      </c>
      <c r="D159" s="24" t="str">
        <f>IF('ASS START SYNC'!C163="SHOW",FIND(",",'ASS START SYNC'!E163,C159+1),"")</f>
        <v/>
      </c>
      <c r="E159" s="25" t="str">
        <f>IF('ASS START SYNC'!C163="SHOW",FIND(",,",'ASS START SYNC'!E163,1),"")</f>
        <v/>
      </c>
      <c r="F159" s="25" t="str">
        <f>IF('ASS START SYNC'!C163="SHOW",FIND(",,",'ASS START SYNC'!E163,E159+1),"")</f>
        <v/>
      </c>
      <c r="G159" s="23" t="str">
        <f>IF('ASS START SYNC'!C163="SHOW",LEFT('ASS START SYNC'!E163,B159),"")</f>
        <v/>
      </c>
      <c r="H159" s="24" t="str">
        <f>IF(AND('ASS START SYNC'!C163="SHOW",COUNTA('ASS START SYNC'!$E$8:'ASS START SYNC'!E162)=0),MID('ASS START SYNC'!E163,B159+1,C159-B159-1),IF(AND('ASS START SYNC'!C163="SHOW",COUNTA('ASS START SYNC'!$E$8:'ASS START SYNC'!E162)&lt;&gt;0),I158,""))</f>
        <v/>
      </c>
      <c r="I159" s="24" t="str">
        <f>IF('ASS START SYNC'!C163="SHOW",MID('ASS START SYNC'!E163,C159+1,D159-C159-1),I158)</f>
        <v/>
      </c>
      <c r="J159" s="23" t="str">
        <f>IF('ASS START SYNC'!C163="SHOW",MID('ASS START SYNC'!E163,D159+1,F159-D159+1),"")</f>
        <v/>
      </c>
      <c r="K159" s="23" t="str">
        <f>IF('ASS START SYNC'!C163="SHOW",MID('ASS START SYNC'!E163,F159+2,1000),"")</f>
        <v/>
      </c>
      <c r="M159" s="24"/>
      <c r="N159" s="26">
        <v>156</v>
      </c>
      <c r="O159" s="24" t="str">
        <f>IF('ASS END SYNC'!C163="SHOW",FIND(",",'ASS END SYNC'!E163,1),"")</f>
        <v/>
      </c>
      <c r="P159" s="24" t="str">
        <f>IF('ASS END SYNC'!C163="SHOW",FIND(",",'ASS END SYNC'!E163,O159+1),"")</f>
        <v/>
      </c>
      <c r="Q159" s="24" t="str">
        <f>IF('ASS END SYNC'!C163="SHOW",FIND(",",'ASS END SYNC'!E163,P159+1),"")</f>
        <v/>
      </c>
      <c r="R159" s="25" t="str">
        <f>IF('ASS END SYNC'!C163="SHOW",FIND(",,",'ASS END SYNC'!E163,1),"")</f>
        <v/>
      </c>
      <c r="S159" s="25" t="str">
        <f>IF('ASS END SYNC'!C163="SHOW",FIND(",,",'ASS END SYNC'!E163,R159+1),"")</f>
        <v/>
      </c>
      <c r="T159" s="23" t="str">
        <f>IF('ASS END SYNC'!C163="SHOW",LEFT('ASS END SYNC'!E163,O159),"")</f>
        <v/>
      </c>
      <c r="U159" s="24" t="str">
        <f>IF('ASS END SYNC'!C163="SHOW",MID('ASS END SYNC'!E163,O159+1,P159-O159-1),"")</f>
        <v/>
      </c>
      <c r="V159" s="24" t="str">
        <f>IF(AND('ASS END SYNC'!C163="SHOW",'ASS END SYNC'!C164="SHOW"),U160,IF(AND('ASS END SYNC'!C163="SHOW",'ASS END SYNC'!C164&lt;&gt;"SHOW"),MID('ASS END SYNC'!E163,O159+1,P159-O159-1),""))</f>
        <v/>
      </c>
      <c r="W159" s="23" t="str">
        <f>IF('ASS END SYNC'!C163="SHOW",MID('ASS END SYNC'!E163,Q159+1,S159-Q159+1),"")</f>
        <v/>
      </c>
      <c r="X159" s="23" t="str">
        <f>IF('ASS END SYNC'!C163="SHOW",MID('ASS END SYNC'!E163,S159+2,1000),"")</f>
        <v/>
      </c>
      <c r="Z159" s="24"/>
    </row>
    <row r="160" spans="1:26" x14ac:dyDescent="0.25">
      <c r="A160" s="26">
        <v>157</v>
      </c>
      <c r="B160" s="24" t="str">
        <f>IF('ASS START SYNC'!C164="SHOW",FIND(",",'ASS START SYNC'!E164,1),"")</f>
        <v/>
      </c>
      <c r="C160" s="24" t="str">
        <f>IF('ASS START SYNC'!C164="SHOW",FIND(",",'ASS START SYNC'!E164,B160+1),"")</f>
        <v/>
      </c>
      <c r="D160" s="24" t="str">
        <f>IF('ASS START SYNC'!C164="SHOW",FIND(",",'ASS START SYNC'!E164,C160+1),"")</f>
        <v/>
      </c>
      <c r="E160" s="25" t="str">
        <f>IF('ASS START SYNC'!C164="SHOW",FIND(",,",'ASS START SYNC'!E164,1),"")</f>
        <v/>
      </c>
      <c r="F160" s="25" t="str">
        <f>IF('ASS START SYNC'!C164="SHOW",FIND(",,",'ASS START SYNC'!E164,E160+1),"")</f>
        <v/>
      </c>
      <c r="G160" s="23" t="str">
        <f>IF('ASS START SYNC'!C164="SHOW",LEFT('ASS START SYNC'!E164,B160),"")</f>
        <v/>
      </c>
      <c r="H160" s="24" t="str">
        <f>IF(AND('ASS START SYNC'!C164="SHOW",COUNTA('ASS START SYNC'!$E$8:'ASS START SYNC'!E163)=0),MID('ASS START SYNC'!E164,B160+1,C160-B160-1),IF(AND('ASS START SYNC'!C164="SHOW",COUNTA('ASS START SYNC'!$E$8:'ASS START SYNC'!E163)&lt;&gt;0),I159,""))</f>
        <v/>
      </c>
      <c r="I160" s="24" t="str">
        <f>IF('ASS START SYNC'!C164="SHOW",MID('ASS START SYNC'!E164,C160+1,D160-C160-1),I159)</f>
        <v/>
      </c>
      <c r="J160" s="23" t="str">
        <f>IF('ASS START SYNC'!C164="SHOW",MID('ASS START SYNC'!E164,D160+1,F160-D160+1),"")</f>
        <v/>
      </c>
      <c r="K160" s="23" t="str">
        <f>IF('ASS START SYNC'!C164="SHOW",MID('ASS START SYNC'!E164,F160+2,1000),"")</f>
        <v/>
      </c>
      <c r="M160" s="24"/>
      <c r="N160" s="26">
        <v>157</v>
      </c>
      <c r="O160" s="24" t="str">
        <f>IF('ASS END SYNC'!C164="SHOW",FIND(",",'ASS END SYNC'!E164,1),"")</f>
        <v/>
      </c>
      <c r="P160" s="24" t="str">
        <f>IF('ASS END SYNC'!C164="SHOW",FIND(",",'ASS END SYNC'!E164,O160+1),"")</f>
        <v/>
      </c>
      <c r="Q160" s="24" t="str">
        <f>IF('ASS END SYNC'!C164="SHOW",FIND(",",'ASS END SYNC'!E164,P160+1),"")</f>
        <v/>
      </c>
      <c r="R160" s="25" t="str">
        <f>IF('ASS END SYNC'!C164="SHOW",FIND(",,",'ASS END SYNC'!E164,1),"")</f>
        <v/>
      </c>
      <c r="S160" s="25" t="str">
        <f>IF('ASS END SYNC'!C164="SHOW",FIND(",,",'ASS END SYNC'!E164,R160+1),"")</f>
        <v/>
      </c>
      <c r="T160" s="23" t="str">
        <f>IF('ASS END SYNC'!C164="SHOW",LEFT('ASS END SYNC'!E164,O160),"")</f>
        <v/>
      </c>
      <c r="U160" s="24" t="str">
        <f>IF('ASS END SYNC'!C164="SHOW",MID('ASS END SYNC'!E164,O160+1,P160-O160-1),"")</f>
        <v/>
      </c>
      <c r="V160" s="24" t="str">
        <f>IF(AND('ASS END SYNC'!C164="SHOW",'ASS END SYNC'!C165="SHOW"),U161,IF(AND('ASS END SYNC'!C164="SHOW",'ASS END SYNC'!C165&lt;&gt;"SHOW"),MID('ASS END SYNC'!E164,O160+1,P160-O160-1),""))</f>
        <v/>
      </c>
      <c r="W160" s="23" t="str">
        <f>IF('ASS END SYNC'!C164="SHOW",MID('ASS END SYNC'!E164,Q160+1,S160-Q160+1),"")</f>
        <v/>
      </c>
      <c r="X160" s="23" t="str">
        <f>IF('ASS END SYNC'!C164="SHOW",MID('ASS END SYNC'!E164,S160+2,1000),"")</f>
        <v/>
      </c>
      <c r="Z160" s="24"/>
    </row>
    <row r="161" spans="1:26" x14ac:dyDescent="0.25">
      <c r="A161" s="26">
        <v>158</v>
      </c>
      <c r="B161" s="24" t="str">
        <f>IF('ASS START SYNC'!C165="SHOW",FIND(",",'ASS START SYNC'!E165,1),"")</f>
        <v/>
      </c>
      <c r="C161" s="24" t="str">
        <f>IF('ASS START SYNC'!C165="SHOW",FIND(",",'ASS START SYNC'!E165,B161+1),"")</f>
        <v/>
      </c>
      <c r="D161" s="24" t="str">
        <f>IF('ASS START SYNC'!C165="SHOW",FIND(",",'ASS START SYNC'!E165,C161+1),"")</f>
        <v/>
      </c>
      <c r="E161" s="25" t="str">
        <f>IF('ASS START SYNC'!C165="SHOW",FIND(",,",'ASS START SYNC'!E165,1),"")</f>
        <v/>
      </c>
      <c r="F161" s="25" t="str">
        <f>IF('ASS START SYNC'!C165="SHOW",FIND(",,",'ASS START SYNC'!E165,E161+1),"")</f>
        <v/>
      </c>
      <c r="G161" s="23" t="str">
        <f>IF('ASS START SYNC'!C165="SHOW",LEFT('ASS START SYNC'!E165,B161),"")</f>
        <v/>
      </c>
      <c r="H161" s="24" t="str">
        <f>IF(AND('ASS START SYNC'!C165="SHOW",COUNTA('ASS START SYNC'!$E$8:'ASS START SYNC'!E164)=0),MID('ASS START SYNC'!E165,B161+1,C161-B161-1),IF(AND('ASS START SYNC'!C165="SHOW",COUNTA('ASS START SYNC'!$E$8:'ASS START SYNC'!E164)&lt;&gt;0),I160,""))</f>
        <v/>
      </c>
      <c r="I161" s="24" t="str">
        <f>IF('ASS START SYNC'!C165="SHOW",MID('ASS START SYNC'!E165,C161+1,D161-C161-1),I160)</f>
        <v/>
      </c>
      <c r="J161" s="23" t="str">
        <f>IF('ASS START SYNC'!C165="SHOW",MID('ASS START SYNC'!E165,D161+1,F161-D161+1),"")</f>
        <v/>
      </c>
      <c r="K161" s="23" t="str">
        <f>IF('ASS START SYNC'!C165="SHOW",MID('ASS START SYNC'!E165,F161+2,1000),"")</f>
        <v/>
      </c>
      <c r="M161" s="24"/>
      <c r="N161" s="26">
        <v>158</v>
      </c>
      <c r="O161" s="24" t="str">
        <f>IF('ASS END SYNC'!C165="SHOW",FIND(",",'ASS END SYNC'!E165,1),"")</f>
        <v/>
      </c>
      <c r="P161" s="24" t="str">
        <f>IF('ASS END SYNC'!C165="SHOW",FIND(",",'ASS END SYNC'!E165,O161+1),"")</f>
        <v/>
      </c>
      <c r="Q161" s="24" t="str">
        <f>IF('ASS END SYNC'!C165="SHOW",FIND(",",'ASS END SYNC'!E165,P161+1),"")</f>
        <v/>
      </c>
      <c r="R161" s="25" t="str">
        <f>IF('ASS END SYNC'!C165="SHOW",FIND(",,",'ASS END SYNC'!E165,1),"")</f>
        <v/>
      </c>
      <c r="S161" s="25" t="str">
        <f>IF('ASS END SYNC'!C165="SHOW",FIND(",,",'ASS END SYNC'!E165,R161+1),"")</f>
        <v/>
      </c>
      <c r="T161" s="23" t="str">
        <f>IF('ASS END SYNC'!C165="SHOW",LEFT('ASS END SYNC'!E165,O161),"")</f>
        <v/>
      </c>
      <c r="U161" s="24" t="str">
        <f>IF('ASS END SYNC'!C165="SHOW",MID('ASS END SYNC'!E165,O161+1,P161-O161-1),"")</f>
        <v/>
      </c>
      <c r="V161" s="24" t="str">
        <f>IF(AND('ASS END SYNC'!C165="SHOW",'ASS END SYNC'!C166="SHOW"),U162,IF(AND('ASS END SYNC'!C165="SHOW",'ASS END SYNC'!C166&lt;&gt;"SHOW"),MID('ASS END SYNC'!E165,O161+1,P161-O161-1),""))</f>
        <v/>
      </c>
      <c r="W161" s="23" t="str">
        <f>IF('ASS END SYNC'!C165="SHOW",MID('ASS END SYNC'!E165,Q161+1,S161-Q161+1),"")</f>
        <v/>
      </c>
      <c r="X161" s="23" t="str">
        <f>IF('ASS END SYNC'!C165="SHOW",MID('ASS END SYNC'!E165,S161+2,1000),"")</f>
        <v/>
      </c>
      <c r="Z161" s="24"/>
    </row>
    <row r="162" spans="1:26" x14ac:dyDescent="0.25">
      <c r="A162" s="26">
        <v>159</v>
      </c>
      <c r="B162" s="24" t="str">
        <f>IF('ASS START SYNC'!C166="SHOW",FIND(",",'ASS START SYNC'!E166,1),"")</f>
        <v/>
      </c>
      <c r="C162" s="24" t="str">
        <f>IF('ASS START SYNC'!C166="SHOW",FIND(",",'ASS START SYNC'!E166,B162+1),"")</f>
        <v/>
      </c>
      <c r="D162" s="24" t="str">
        <f>IF('ASS START SYNC'!C166="SHOW",FIND(",",'ASS START SYNC'!E166,C162+1),"")</f>
        <v/>
      </c>
      <c r="E162" s="25" t="str">
        <f>IF('ASS START SYNC'!C166="SHOW",FIND(",,",'ASS START SYNC'!E166,1),"")</f>
        <v/>
      </c>
      <c r="F162" s="25" t="str">
        <f>IF('ASS START SYNC'!C166="SHOW",FIND(",,",'ASS START SYNC'!E166,E162+1),"")</f>
        <v/>
      </c>
      <c r="G162" s="23" t="str">
        <f>IF('ASS START SYNC'!C166="SHOW",LEFT('ASS START SYNC'!E166,B162),"")</f>
        <v/>
      </c>
      <c r="H162" s="24" t="str">
        <f>IF(AND('ASS START SYNC'!C166="SHOW",COUNTA('ASS START SYNC'!$E$8:'ASS START SYNC'!E165)=0),MID('ASS START SYNC'!E166,B162+1,C162-B162-1),IF(AND('ASS START SYNC'!C166="SHOW",COUNTA('ASS START SYNC'!$E$8:'ASS START SYNC'!E165)&lt;&gt;0),I161,""))</f>
        <v/>
      </c>
      <c r="I162" s="24" t="str">
        <f>IF('ASS START SYNC'!C166="SHOW",MID('ASS START SYNC'!E166,C162+1,D162-C162-1),I161)</f>
        <v/>
      </c>
      <c r="J162" s="23" t="str">
        <f>IF('ASS START SYNC'!C166="SHOW",MID('ASS START SYNC'!E166,D162+1,F162-D162+1),"")</f>
        <v/>
      </c>
      <c r="K162" s="23" t="str">
        <f>IF('ASS START SYNC'!C166="SHOW",MID('ASS START SYNC'!E166,F162+2,1000),"")</f>
        <v/>
      </c>
      <c r="M162" s="24"/>
      <c r="N162" s="26">
        <v>159</v>
      </c>
      <c r="O162" s="24" t="str">
        <f>IF('ASS END SYNC'!C166="SHOW",FIND(",",'ASS END SYNC'!E166,1),"")</f>
        <v/>
      </c>
      <c r="P162" s="24" t="str">
        <f>IF('ASS END SYNC'!C166="SHOW",FIND(",",'ASS END SYNC'!E166,O162+1),"")</f>
        <v/>
      </c>
      <c r="Q162" s="24" t="str">
        <f>IF('ASS END SYNC'!C166="SHOW",FIND(",",'ASS END SYNC'!E166,P162+1),"")</f>
        <v/>
      </c>
      <c r="R162" s="25" t="str">
        <f>IF('ASS END SYNC'!C166="SHOW",FIND(",,",'ASS END SYNC'!E166,1),"")</f>
        <v/>
      </c>
      <c r="S162" s="25" t="str">
        <f>IF('ASS END SYNC'!C166="SHOW",FIND(",,",'ASS END SYNC'!E166,R162+1),"")</f>
        <v/>
      </c>
      <c r="T162" s="23" t="str">
        <f>IF('ASS END SYNC'!C166="SHOW",LEFT('ASS END SYNC'!E166,O162),"")</f>
        <v/>
      </c>
      <c r="U162" s="24" t="str">
        <f>IF('ASS END SYNC'!C166="SHOW",MID('ASS END SYNC'!E166,O162+1,P162-O162-1),"")</f>
        <v/>
      </c>
      <c r="V162" s="24" t="str">
        <f>IF(AND('ASS END SYNC'!C166="SHOW",'ASS END SYNC'!C167="SHOW"),U163,IF(AND('ASS END SYNC'!C166="SHOW",'ASS END SYNC'!C167&lt;&gt;"SHOW"),MID('ASS END SYNC'!E166,O162+1,P162-O162-1),""))</f>
        <v/>
      </c>
      <c r="W162" s="23" t="str">
        <f>IF('ASS END SYNC'!C166="SHOW",MID('ASS END SYNC'!E166,Q162+1,S162-Q162+1),"")</f>
        <v/>
      </c>
      <c r="X162" s="23" t="str">
        <f>IF('ASS END SYNC'!C166="SHOW",MID('ASS END SYNC'!E166,S162+2,1000),"")</f>
        <v/>
      </c>
      <c r="Z162" s="24"/>
    </row>
    <row r="163" spans="1:26" x14ac:dyDescent="0.25">
      <c r="A163" s="26">
        <v>160</v>
      </c>
      <c r="B163" s="24" t="str">
        <f>IF('ASS START SYNC'!C167="SHOW",FIND(",",'ASS START SYNC'!E167,1),"")</f>
        <v/>
      </c>
      <c r="C163" s="24" t="str">
        <f>IF('ASS START SYNC'!C167="SHOW",FIND(",",'ASS START SYNC'!E167,B163+1),"")</f>
        <v/>
      </c>
      <c r="D163" s="24" t="str">
        <f>IF('ASS START SYNC'!C167="SHOW",FIND(",",'ASS START SYNC'!E167,C163+1),"")</f>
        <v/>
      </c>
      <c r="E163" s="25" t="str">
        <f>IF('ASS START SYNC'!C167="SHOW",FIND(",,",'ASS START SYNC'!E167,1),"")</f>
        <v/>
      </c>
      <c r="F163" s="25" t="str">
        <f>IF('ASS START SYNC'!C167="SHOW",FIND(",,",'ASS START SYNC'!E167,E163+1),"")</f>
        <v/>
      </c>
      <c r="G163" s="23" t="str">
        <f>IF('ASS START SYNC'!C167="SHOW",LEFT('ASS START SYNC'!E167,B163),"")</f>
        <v/>
      </c>
      <c r="H163" s="24" t="str">
        <f>IF(AND('ASS START SYNC'!C167="SHOW",COUNTA('ASS START SYNC'!$E$8:'ASS START SYNC'!E166)=0),MID('ASS START SYNC'!E167,B163+1,C163-B163-1),IF(AND('ASS START SYNC'!C167="SHOW",COUNTA('ASS START SYNC'!$E$8:'ASS START SYNC'!E166)&lt;&gt;0),I162,""))</f>
        <v/>
      </c>
      <c r="I163" s="24" t="str">
        <f>IF('ASS START SYNC'!C167="SHOW",MID('ASS START SYNC'!E167,C163+1,D163-C163-1),I162)</f>
        <v/>
      </c>
      <c r="J163" s="23" t="str">
        <f>IF('ASS START SYNC'!C167="SHOW",MID('ASS START SYNC'!E167,D163+1,F163-D163+1),"")</f>
        <v/>
      </c>
      <c r="K163" s="23" t="str">
        <f>IF('ASS START SYNC'!C167="SHOW",MID('ASS START SYNC'!E167,F163+2,1000),"")</f>
        <v/>
      </c>
      <c r="M163" s="24"/>
      <c r="N163" s="26">
        <v>160</v>
      </c>
      <c r="O163" s="24" t="str">
        <f>IF('ASS END SYNC'!C167="SHOW",FIND(",",'ASS END SYNC'!E167,1),"")</f>
        <v/>
      </c>
      <c r="P163" s="24" t="str">
        <f>IF('ASS END SYNC'!C167="SHOW",FIND(",",'ASS END SYNC'!E167,O163+1),"")</f>
        <v/>
      </c>
      <c r="Q163" s="24" t="str">
        <f>IF('ASS END SYNC'!C167="SHOW",FIND(",",'ASS END SYNC'!E167,P163+1),"")</f>
        <v/>
      </c>
      <c r="R163" s="25" t="str">
        <f>IF('ASS END SYNC'!C167="SHOW",FIND(",,",'ASS END SYNC'!E167,1),"")</f>
        <v/>
      </c>
      <c r="S163" s="25" t="str">
        <f>IF('ASS END SYNC'!C167="SHOW",FIND(",,",'ASS END SYNC'!E167,R163+1),"")</f>
        <v/>
      </c>
      <c r="T163" s="23" t="str">
        <f>IF('ASS END SYNC'!C167="SHOW",LEFT('ASS END SYNC'!E167,O163),"")</f>
        <v/>
      </c>
      <c r="U163" s="24" t="str">
        <f>IF('ASS END SYNC'!C167="SHOW",MID('ASS END SYNC'!E167,O163+1,P163-O163-1),"")</f>
        <v/>
      </c>
      <c r="V163" s="24" t="str">
        <f>IF(AND('ASS END SYNC'!C167="SHOW",'ASS END SYNC'!C168="SHOW"),U164,IF(AND('ASS END SYNC'!C167="SHOW",'ASS END SYNC'!C168&lt;&gt;"SHOW"),MID('ASS END SYNC'!E167,O163+1,P163-O163-1),""))</f>
        <v/>
      </c>
      <c r="W163" s="23" t="str">
        <f>IF('ASS END SYNC'!C167="SHOW",MID('ASS END SYNC'!E167,Q163+1,S163-Q163+1),"")</f>
        <v/>
      </c>
      <c r="X163" s="23" t="str">
        <f>IF('ASS END SYNC'!C167="SHOW",MID('ASS END SYNC'!E167,S163+2,1000),"")</f>
        <v/>
      </c>
      <c r="Z163" s="24"/>
    </row>
    <row r="164" spans="1:26" x14ac:dyDescent="0.25">
      <c r="A164" s="26">
        <v>161</v>
      </c>
      <c r="B164" s="24" t="str">
        <f>IF('ASS START SYNC'!C168="SHOW",FIND(",",'ASS START SYNC'!E168,1),"")</f>
        <v/>
      </c>
      <c r="C164" s="24" t="str">
        <f>IF('ASS START SYNC'!C168="SHOW",FIND(",",'ASS START SYNC'!E168,B164+1),"")</f>
        <v/>
      </c>
      <c r="D164" s="24" t="str">
        <f>IF('ASS START SYNC'!C168="SHOW",FIND(",",'ASS START SYNC'!E168,C164+1),"")</f>
        <v/>
      </c>
      <c r="E164" s="25" t="str">
        <f>IF('ASS START SYNC'!C168="SHOW",FIND(",,",'ASS START SYNC'!E168,1),"")</f>
        <v/>
      </c>
      <c r="F164" s="25" t="str">
        <f>IF('ASS START SYNC'!C168="SHOW",FIND(",,",'ASS START SYNC'!E168,E164+1),"")</f>
        <v/>
      </c>
      <c r="G164" s="23" t="str">
        <f>IF('ASS START SYNC'!C168="SHOW",LEFT('ASS START SYNC'!E168,B164),"")</f>
        <v/>
      </c>
      <c r="H164" s="24" t="str">
        <f>IF(AND('ASS START SYNC'!C168="SHOW",COUNTA('ASS START SYNC'!$E$8:'ASS START SYNC'!E167)=0),MID('ASS START SYNC'!E168,B164+1,C164-B164-1),IF(AND('ASS START SYNC'!C168="SHOW",COUNTA('ASS START SYNC'!$E$8:'ASS START SYNC'!E167)&lt;&gt;0),I163,""))</f>
        <v/>
      </c>
      <c r="I164" s="24" t="str">
        <f>IF('ASS START SYNC'!C168="SHOW",MID('ASS START SYNC'!E168,C164+1,D164-C164-1),I163)</f>
        <v/>
      </c>
      <c r="J164" s="23" t="str">
        <f>IF('ASS START SYNC'!C168="SHOW",MID('ASS START SYNC'!E168,D164+1,F164-D164+1),"")</f>
        <v/>
      </c>
      <c r="K164" s="23" t="str">
        <f>IF('ASS START SYNC'!C168="SHOW",MID('ASS START SYNC'!E168,F164+2,1000),"")</f>
        <v/>
      </c>
      <c r="M164" s="24"/>
      <c r="N164" s="26">
        <v>161</v>
      </c>
      <c r="O164" s="24" t="str">
        <f>IF('ASS END SYNC'!C168="SHOW",FIND(",",'ASS END SYNC'!E168,1),"")</f>
        <v/>
      </c>
      <c r="P164" s="24" t="str">
        <f>IF('ASS END SYNC'!C168="SHOW",FIND(",",'ASS END SYNC'!E168,O164+1),"")</f>
        <v/>
      </c>
      <c r="Q164" s="24" t="str">
        <f>IF('ASS END SYNC'!C168="SHOW",FIND(",",'ASS END SYNC'!E168,P164+1),"")</f>
        <v/>
      </c>
      <c r="R164" s="25" t="str">
        <f>IF('ASS END SYNC'!C168="SHOW",FIND(",,",'ASS END SYNC'!E168,1),"")</f>
        <v/>
      </c>
      <c r="S164" s="25" t="str">
        <f>IF('ASS END SYNC'!C168="SHOW",FIND(",,",'ASS END SYNC'!E168,R164+1),"")</f>
        <v/>
      </c>
      <c r="T164" s="23" t="str">
        <f>IF('ASS END SYNC'!C168="SHOW",LEFT('ASS END SYNC'!E168,O164),"")</f>
        <v/>
      </c>
      <c r="U164" s="24" t="str">
        <f>IF('ASS END SYNC'!C168="SHOW",MID('ASS END SYNC'!E168,O164+1,P164-O164-1),"")</f>
        <v/>
      </c>
      <c r="V164" s="24" t="str">
        <f>IF(AND('ASS END SYNC'!C168="SHOW",'ASS END SYNC'!C169="SHOW"),U165,IF(AND('ASS END SYNC'!C168="SHOW",'ASS END SYNC'!C169&lt;&gt;"SHOW"),MID('ASS END SYNC'!E168,O164+1,P164-O164-1),""))</f>
        <v/>
      </c>
      <c r="W164" s="23" t="str">
        <f>IF('ASS END SYNC'!C168="SHOW",MID('ASS END SYNC'!E168,Q164+1,S164-Q164+1),"")</f>
        <v/>
      </c>
      <c r="X164" s="23" t="str">
        <f>IF('ASS END SYNC'!C168="SHOW",MID('ASS END SYNC'!E168,S164+2,1000),"")</f>
        <v/>
      </c>
      <c r="Z164" s="24"/>
    </row>
    <row r="165" spans="1:26" x14ac:dyDescent="0.25">
      <c r="A165" s="26">
        <v>162</v>
      </c>
      <c r="B165" s="24" t="str">
        <f>IF('ASS START SYNC'!C169="SHOW",FIND(",",'ASS START SYNC'!E169,1),"")</f>
        <v/>
      </c>
      <c r="C165" s="24" t="str">
        <f>IF('ASS START SYNC'!C169="SHOW",FIND(",",'ASS START SYNC'!E169,B165+1),"")</f>
        <v/>
      </c>
      <c r="D165" s="24" t="str">
        <f>IF('ASS START SYNC'!C169="SHOW",FIND(",",'ASS START SYNC'!E169,C165+1),"")</f>
        <v/>
      </c>
      <c r="E165" s="25" t="str">
        <f>IF('ASS START SYNC'!C169="SHOW",FIND(",,",'ASS START SYNC'!E169,1),"")</f>
        <v/>
      </c>
      <c r="F165" s="25" t="str">
        <f>IF('ASS START SYNC'!C169="SHOW",FIND(",,",'ASS START SYNC'!E169,E165+1),"")</f>
        <v/>
      </c>
      <c r="G165" s="23" t="str">
        <f>IF('ASS START SYNC'!C169="SHOW",LEFT('ASS START SYNC'!E169,B165),"")</f>
        <v/>
      </c>
      <c r="H165" s="24" t="str">
        <f>IF(AND('ASS START SYNC'!C169="SHOW",COUNTA('ASS START SYNC'!$E$8:'ASS START SYNC'!E168)=0),MID('ASS START SYNC'!E169,B165+1,C165-B165-1),IF(AND('ASS START SYNC'!C169="SHOW",COUNTA('ASS START SYNC'!$E$8:'ASS START SYNC'!E168)&lt;&gt;0),I164,""))</f>
        <v/>
      </c>
      <c r="I165" s="24" t="str">
        <f>IF('ASS START SYNC'!C169="SHOW",MID('ASS START SYNC'!E169,C165+1,D165-C165-1),I164)</f>
        <v/>
      </c>
      <c r="J165" s="23" t="str">
        <f>IF('ASS START SYNC'!C169="SHOW",MID('ASS START SYNC'!E169,D165+1,F165-D165+1),"")</f>
        <v/>
      </c>
      <c r="K165" s="23" t="str">
        <f>IF('ASS START SYNC'!C169="SHOW",MID('ASS START SYNC'!E169,F165+2,1000),"")</f>
        <v/>
      </c>
      <c r="M165" s="24"/>
      <c r="N165" s="26">
        <v>162</v>
      </c>
      <c r="O165" s="24" t="str">
        <f>IF('ASS END SYNC'!C169="SHOW",FIND(",",'ASS END SYNC'!E169,1),"")</f>
        <v/>
      </c>
      <c r="P165" s="24" t="str">
        <f>IF('ASS END SYNC'!C169="SHOW",FIND(",",'ASS END SYNC'!E169,O165+1),"")</f>
        <v/>
      </c>
      <c r="Q165" s="24" t="str">
        <f>IF('ASS END SYNC'!C169="SHOW",FIND(",",'ASS END SYNC'!E169,P165+1),"")</f>
        <v/>
      </c>
      <c r="R165" s="25" t="str">
        <f>IF('ASS END SYNC'!C169="SHOW",FIND(",,",'ASS END SYNC'!E169,1),"")</f>
        <v/>
      </c>
      <c r="S165" s="25" t="str">
        <f>IF('ASS END SYNC'!C169="SHOW",FIND(",,",'ASS END SYNC'!E169,R165+1),"")</f>
        <v/>
      </c>
      <c r="T165" s="23" t="str">
        <f>IF('ASS END SYNC'!C169="SHOW",LEFT('ASS END SYNC'!E169,O165),"")</f>
        <v/>
      </c>
      <c r="U165" s="24" t="str">
        <f>IF('ASS END SYNC'!C169="SHOW",MID('ASS END SYNC'!E169,O165+1,P165-O165-1),"")</f>
        <v/>
      </c>
      <c r="V165" s="24" t="str">
        <f>IF(AND('ASS END SYNC'!C169="SHOW",'ASS END SYNC'!C170="SHOW"),U166,IF(AND('ASS END SYNC'!C169="SHOW",'ASS END SYNC'!C170&lt;&gt;"SHOW"),MID('ASS END SYNC'!E169,O165+1,P165-O165-1),""))</f>
        <v/>
      </c>
      <c r="W165" s="23" t="str">
        <f>IF('ASS END SYNC'!C169="SHOW",MID('ASS END SYNC'!E169,Q165+1,S165-Q165+1),"")</f>
        <v/>
      </c>
      <c r="X165" s="23" t="str">
        <f>IF('ASS END SYNC'!C169="SHOW",MID('ASS END SYNC'!E169,S165+2,1000),"")</f>
        <v/>
      </c>
      <c r="Z165" s="24"/>
    </row>
    <row r="166" spans="1:26" x14ac:dyDescent="0.25">
      <c r="A166" s="26">
        <v>163</v>
      </c>
      <c r="B166" s="24" t="str">
        <f>IF('ASS START SYNC'!C170="SHOW",FIND(",",'ASS START SYNC'!E170,1),"")</f>
        <v/>
      </c>
      <c r="C166" s="24" t="str">
        <f>IF('ASS START SYNC'!C170="SHOW",FIND(",",'ASS START SYNC'!E170,B166+1),"")</f>
        <v/>
      </c>
      <c r="D166" s="24" t="str">
        <f>IF('ASS START SYNC'!C170="SHOW",FIND(",",'ASS START SYNC'!E170,C166+1),"")</f>
        <v/>
      </c>
      <c r="E166" s="25" t="str">
        <f>IF('ASS START SYNC'!C170="SHOW",FIND(",,",'ASS START SYNC'!E170,1),"")</f>
        <v/>
      </c>
      <c r="F166" s="25" t="str">
        <f>IF('ASS START SYNC'!C170="SHOW",FIND(",,",'ASS START SYNC'!E170,E166+1),"")</f>
        <v/>
      </c>
      <c r="G166" s="23" t="str">
        <f>IF('ASS START SYNC'!C170="SHOW",LEFT('ASS START SYNC'!E170,B166),"")</f>
        <v/>
      </c>
      <c r="H166" s="24" t="str">
        <f>IF(AND('ASS START SYNC'!C170="SHOW",COUNTA('ASS START SYNC'!$E$8:'ASS START SYNC'!E169)=0),MID('ASS START SYNC'!E170,B166+1,C166-B166-1),IF(AND('ASS START SYNC'!C170="SHOW",COUNTA('ASS START SYNC'!$E$8:'ASS START SYNC'!E169)&lt;&gt;0),I165,""))</f>
        <v/>
      </c>
      <c r="I166" s="24" t="str">
        <f>IF('ASS START SYNC'!C170="SHOW",MID('ASS START SYNC'!E170,C166+1,D166-C166-1),I165)</f>
        <v/>
      </c>
      <c r="J166" s="23" t="str">
        <f>IF('ASS START SYNC'!C170="SHOW",MID('ASS START SYNC'!E170,D166+1,F166-D166+1),"")</f>
        <v/>
      </c>
      <c r="K166" s="23" t="str">
        <f>IF('ASS START SYNC'!C170="SHOW",MID('ASS START SYNC'!E170,F166+2,1000),"")</f>
        <v/>
      </c>
      <c r="M166" s="24"/>
      <c r="N166" s="26">
        <v>163</v>
      </c>
      <c r="O166" s="24" t="str">
        <f>IF('ASS END SYNC'!C170="SHOW",FIND(",",'ASS END SYNC'!E170,1),"")</f>
        <v/>
      </c>
      <c r="P166" s="24" t="str">
        <f>IF('ASS END SYNC'!C170="SHOW",FIND(",",'ASS END SYNC'!E170,O166+1),"")</f>
        <v/>
      </c>
      <c r="Q166" s="24" t="str">
        <f>IF('ASS END SYNC'!C170="SHOW",FIND(",",'ASS END SYNC'!E170,P166+1),"")</f>
        <v/>
      </c>
      <c r="R166" s="25" t="str">
        <f>IF('ASS END SYNC'!C170="SHOW",FIND(",,",'ASS END SYNC'!E170,1),"")</f>
        <v/>
      </c>
      <c r="S166" s="25" t="str">
        <f>IF('ASS END SYNC'!C170="SHOW",FIND(",,",'ASS END SYNC'!E170,R166+1),"")</f>
        <v/>
      </c>
      <c r="T166" s="23" t="str">
        <f>IF('ASS END SYNC'!C170="SHOW",LEFT('ASS END SYNC'!E170,O166),"")</f>
        <v/>
      </c>
      <c r="U166" s="24" t="str">
        <f>IF('ASS END SYNC'!C170="SHOW",MID('ASS END SYNC'!E170,O166+1,P166-O166-1),"")</f>
        <v/>
      </c>
      <c r="V166" s="24" t="str">
        <f>IF(AND('ASS END SYNC'!C170="SHOW",'ASS END SYNC'!C171="SHOW"),U167,IF(AND('ASS END SYNC'!C170="SHOW",'ASS END SYNC'!C171&lt;&gt;"SHOW"),MID('ASS END SYNC'!E170,O166+1,P166-O166-1),""))</f>
        <v/>
      </c>
      <c r="W166" s="23" t="str">
        <f>IF('ASS END SYNC'!C170="SHOW",MID('ASS END SYNC'!E170,Q166+1,S166-Q166+1),"")</f>
        <v/>
      </c>
      <c r="X166" s="23" t="str">
        <f>IF('ASS END SYNC'!C170="SHOW",MID('ASS END SYNC'!E170,S166+2,1000),"")</f>
        <v/>
      </c>
      <c r="Z166" s="24"/>
    </row>
    <row r="167" spans="1:26" x14ac:dyDescent="0.25">
      <c r="A167" s="26">
        <v>164</v>
      </c>
      <c r="B167" s="24" t="str">
        <f>IF('ASS START SYNC'!C171="SHOW",FIND(",",'ASS START SYNC'!E171,1),"")</f>
        <v/>
      </c>
      <c r="C167" s="24" t="str">
        <f>IF('ASS START SYNC'!C171="SHOW",FIND(",",'ASS START SYNC'!E171,B167+1),"")</f>
        <v/>
      </c>
      <c r="D167" s="24" t="str">
        <f>IF('ASS START SYNC'!C171="SHOW",FIND(",",'ASS START SYNC'!E171,C167+1),"")</f>
        <v/>
      </c>
      <c r="E167" s="25" t="str">
        <f>IF('ASS START SYNC'!C171="SHOW",FIND(",,",'ASS START SYNC'!E171,1),"")</f>
        <v/>
      </c>
      <c r="F167" s="25" t="str">
        <f>IF('ASS START SYNC'!C171="SHOW",FIND(",,",'ASS START SYNC'!E171,E167+1),"")</f>
        <v/>
      </c>
      <c r="G167" s="23" t="str">
        <f>IF('ASS START SYNC'!C171="SHOW",LEFT('ASS START SYNC'!E171,B167),"")</f>
        <v/>
      </c>
      <c r="H167" s="24" t="str">
        <f>IF(AND('ASS START SYNC'!C171="SHOW",COUNTA('ASS START SYNC'!$E$8:'ASS START SYNC'!E170)=0),MID('ASS START SYNC'!E171,B167+1,C167-B167-1),IF(AND('ASS START SYNC'!C171="SHOW",COUNTA('ASS START SYNC'!$E$8:'ASS START SYNC'!E170)&lt;&gt;0),I166,""))</f>
        <v/>
      </c>
      <c r="I167" s="24" t="str">
        <f>IF('ASS START SYNC'!C171="SHOW",MID('ASS START SYNC'!E171,C167+1,D167-C167-1),I166)</f>
        <v/>
      </c>
      <c r="J167" s="23" t="str">
        <f>IF('ASS START SYNC'!C171="SHOW",MID('ASS START SYNC'!E171,D167+1,F167-D167+1),"")</f>
        <v/>
      </c>
      <c r="K167" s="23" t="str">
        <f>IF('ASS START SYNC'!C171="SHOW",MID('ASS START SYNC'!E171,F167+2,1000),"")</f>
        <v/>
      </c>
      <c r="M167" s="24"/>
      <c r="N167" s="26">
        <v>164</v>
      </c>
      <c r="O167" s="24" t="str">
        <f>IF('ASS END SYNC'!C171="SHOW",FIND(",",'ASS END SYNC'!E171,1),"")</f>
        <v/>
      </c>
      <c r="P167" s="24" t="str">
        <f>IF('ASS END SYNC'!C171="SHOW",FIND(",",'ASS END SYNC'!E171,O167+1),"")</f>
        <v/>
      </c>
      <c r="Q167" s="24" t="str">
        <f>IF('ASS END SYNC'!C171="SHOW",FIND(",",'ASS END SYNC'!E171,P167+1),"")</f>
        <v/>
      </c>
      <c r="R167" s="25" t="str">
        <f>IF('ASS END SYNC'!C171="SHOW",FIND(",,",'ASS END SYNC'!E171,1),"")</f>
        <v/>
      </c>
      <c r="S167" s="25" t="str">
        <f>IF('ASS END SYNC'!C171="SHOW",FIND(",,",'ASS END SYNC'!E171,R167+1),"")</f>
        <v/>
      </c>
      <c r="T167" s="23" t="str">
        <f>IF('ASS END SYNC'!C171="SHOW",LEFT('ASS END SYNC'!E171,O167),"")</f>
        <v/>
      </c>
      <c r="U167" s="24" t="str">
        <f>IF('ASS END SYNC'!C171="SHOW",MID('ASS END SYNC'!E171,O167+1,P167-O167-1),"")</f>
        <v/>
      </c>
      <c r="V167" s="24" t="str">
        <f>IF(AND('ASS END SYNC'!C171="SHOW",'ASS END SYNC'!C172="SHOW"),U168,IF(AND('ASS END SYNC'!C171="SHOW",'ASS END SYNC'!C172&lt;&gt;"SHOW"),MID('ASS END SYNC'!E171,O167+1,P167-O167-1),""))</f>
        <v/>
      </c>
      <c r="W167" s="23" t="str">
        <f>IF('ASS END SYNC'!C171="SHOW",MID('ASS END SYNC'!E171,Q167+1,S167-Q167+1),"")</f>
        <v/>
      </c>
      <c r="X167" s="23" t="str">
        <f>IF('ASS END SYNC'!C171="SHOW",MID('ASS END SYNC'!E171,S167+2,1000),"")</f>
        <v/>
      </c>
      <c r="Z167" s="24"/>
    </row>
    <row r="168" spans="1:26" x14ac:dyDescent="0.25">
      <c r="A168" s="26">
        <v>165</v>
      </c>
      <c r="B168" s="24" t="str">
        <f>IF('ASS START SYNC'!C172="SHOW",FIND(",",'ASS START SYNC'!E172,1),"")</f>
        <v/>
      </c>
      <c r="C168" s="24" t="str">
        <f>IF('ASS START SYNC'!C172="SHOW",FIND(",",'ASS START SYNC'!E172,B168+1),"")</f>
        <v/>
      </c>
      <c r="D168" s="24" t="str">
        <f>IF('ASS START SYNC'!C172="SHOW",FIND(",",'ASS START SYNC'!E172,C168+1),"")</f>
        <v/>
      </c>
      <c r="E168" s="25" t="str">
        <f>IF('ASS START SYNC'!C172="SHOW",FIND(",,",'ASS START SYNC'!E172,1),"")</f>
        <v/>
      </c>
      <c r="F168" s="25" t="str">
        <f>IF('ASS START SYNC'!C172="SHOW",FIND(",,",'ASS START SYNC'!E172,E168+1),"")</f>
        <v/>
      </c>
      <c r="G168" s="23" t="str">
        <f>IF('ASS START SYNC'!C172="SHOW",LEFT('ASS START SYNC'!E172,B168),"")</f>
        <v/>
      </c>
      <c r="H168" s="24" t="str">
        <f>IF(AND('ASS START SYNC'!C172="SHOW",COUNTA('ASS START SYNC'!$E$8:'ASS START SYNC'!E171)=0),MID('ASS START SYNC'!E172,B168+1,C168-B168-1),IF(AND('ASS START SYNC'!C172="SHOW",COUNTA('ASS START SYNC'!$E$8:'ASS START SYNC'!E171)&lt;&gt;0),I167,""))</f>
        <v/>
      </c>
      <c r="I168" s="24" t="str">
        <f>IF('ASS START SYNC'!C172="SHOW",MID('ASS START SYNC'!E172,C168+1,D168-C168-1),I167)</f>
        <v/>
      </c>
      <c r="J168" s="23" t="str">
        <f>IF('ASS START SYNC'!C172="SHOW",MID('ASS START SYNC'!E172,D168+1,F168-D168+1),"")</f>
        <v/>
      </c>
      <c r="K168" s="23" t="str">
        <f>IF('ASS START SYNC'!C172="SHOW",MID('ASS START SYNC'!E172,F168+2,1000),"")</f>
        <v/>
      </c>
      <c r="M168" s="24"/>
      <c r="N168" s="26">
        <v>165</v>
      </c>
      <c r="O168" s="24" t="str">
        <f>IF('ASS END SYNC'!C172="SHOW",FIND(",",'ASS END SYNC'!E172,1),"")</f>
        <v/>
      </c>
      <c r="P168" s="24" t="str">
        <f>IF('ASS END SYNC'!C172="SHOW",FIND(",",'ASS END SYNC'!E172,O168+1),"")</f>
        <v/>
      </c>
      <c r="Q168" s="24" t="str">
        <f>IF('ASS END SYNC'!C172="SHOW",FIND(",",'ASS END SYNC'!E172,P168+1),"")</f>
        <v/>
      </c>
      <c r="R168" s="25" t="str">
        <f>IF('ASS END SYNC'!C172="SHOW",FIND(",,",'ASS END SYNC'!E172,1),"")</f>
        <v/>
      </c>
      <c r="S168" s="25" t="str">
        <f>IF('ASS END SYNC'!C172="SHOW",FIND(",,",'ASS END SYNC'!E172,R168+1),"")</f>
        <v/>
      </c>
      <c r="T168" s="23" t="str">
        <f>IF('ASS END SYNC'!C172="SHOW",LEFT('ASS END SYNC'!E172,O168),"")</f>
        <v/>
      </c>
      <c r="U168" s="24" t="str">
        <f>IF('ASS END SYNC'!C172="SHOW",MID('ASS END SYNC'!E172,O168+1,P168-O168-1),"")</f>
        <v/>
      </c>
      <c r="V168" s="24" t="str">
        <f>IF(AND('ASS END SYNC'!C172="SHOW",'ASS END SYNC'!C173="SHOW"),U169,IF(AND('ASS END SYNC'!C172="SHOW",'ASS END SYNC'!C173&lt;&gt;"SHOW"),MID('ASS END SYNC'!E172,O168+1,P168-O168-1),""))</f>
        <v/>
      </c>
      <c r="W168" s="23" t="str">
        <f>IF('ASS END SYNC'!C172="SHOW",MID('ASS END SYNC'!E172,Q168+1,S168-Q168+1),"")</f>
        <v/>
      </c>
      <c r="X168" s="23" t="str">
        <f>IF('ASS END SYNC'!C172="SHOW",MID('ASS END SYNC'!E172,S168+2,1000),"")</f>
        <v/>
      </c>
      <c r="Z168" s="24"/>
    </row>
    <row r="169" spans="1:26" x14ac:dyDescent="0.25">
      <c r="A169" s="26">
        <v>166</v>
      </c>
      <c r="B169" s="24" t="str">
        <f>IF('ASS START SYNC'!C173="SHOW",FIND(",",'ASS START SYNC'!E173,1),"")</f>
        <v/>
      </c>
      <c r="C169" s="24" t="str">
        <f>IF('ASS START SYNC'!C173="SHOW",FIND(",",'ASS START SYNC'!E173,B169+1),"")</f>
        <v/>
      </c>
      <c r="D169" s="24" t="str">
        <f>IF('ASS START SYNC'!C173="SHOW",FIND(",",'ASS START SYNC'!E173,C169+1),"")</f>
        <v/>
      </c>
      <c r="E169" s="25" t="str">
        <f>IF('ASS START SYNC'!C173="SHOW",FIND(",,",'ASS START SYNC'!E173,1),"")</f>
        <v/>
      </c>
      <c r="F169" s="25" t="str">
        <f>IF('ASS START SYNC'!C173="SHOW",FIND(",,",'ASS START SYNC'!E173,E169+1),"")</f>
        <v/>
      </c>
      <c r="G169" s="23" t="str">
        <f>IF('ASS START SYNC'!C173="SHOW",LEFT('ASS START SYNC'!E173,B169),"")</f>
        <v/>
      </c>
      <c r="H169" s="24" t="str">
        <f>IF(AND('ASS START SYNC'!C173="SHOW",COUNTA('ASS START SYNC'!$E$8:'ASS START SYNC'!E172)=0),MID('ASS START SYNC'!E173,B169+1,C169-B169-1),IF(AND('ASS START SYNC'!C173="SHOW",COUNTA('ASS START SYNC'!$E$8:'ASS START SYNC'!E172)&lt;&gt;0),I168,""))</f>
        <v/>
      </c>
      <c r="I169" s="24" t="str">
        <f>IF('ASS START SYNC'!C173="SHOW",MID('ASS START SYNC'!E173,C169+1,D169-C169-1),I168)</f>
        <v/>
      </c>
      <c r="J169" s="23" t="str">
        <f>IF('ASS START SYNC'!C173="SHOW",MID('ASS START SYNC'!E173,D169+1,F169-D169+1),"")</f>
        <v/>
      </c>
      <c r="K169" s="23" t="str">
        <f>IF('ASS START SYNC'!C173="SHOW",MID('ASS START SYNC'!E173,F169+2,1000),"")</f>
        <v/>
      </c>
      <c r="M169" s="24"/>
      <c r="N169" s="26">
        <v>166</v>
      </c>
      <c r="O169" s="24" t="str">
        <f>IF('ASS END SYNC'!C173="SHOW",FIND(",",'ASS END SYNC'!E173,1),"")</f>
        <v/>
      </c>
      <c r="P169" s="24" t="str">
        <f>IF('ASS END SYNC'!C173="SHOW",FIND(",",'ASS END SYNC'!E173,O169+1),"")</f>
        <v/>
      </c>
      <c r="Q169" s="24" t="str">
        <f>IF('ASS END SYNC'!C173="SHOW",FIND(",",'ASS END SYNC'!E173,P169+1),"")</f>
        <v/>
      </c>
      <c r="R169" s="25" t="str">
        <f>IF('ASS END SYNC'!C173="SHOW",FIND(",,",'ASS END SYNC'!E173,1),"")</f>
        <v/>
      </c>
      <c r="S169" s="25" t="str">
        <f>IF('ASS END SYNC'!C173="SHOW",FIND(",,",'ASS END SYNC'!E173,R169+1),"")</f>
        <v/>
      </c>
      <c r="T169" s="23" t="str">
        <f>IF('ASS END SYNC'!C173="SHOW",LEFT('ASS END SYNC'!E173,O169),"")</f>
        <v/>
      </c>
      <c r="U169" s="24" t="str">
        <f>IF('ASS END SYNC'!C173="SHOW",MID('ASS END SYNC'!E173,O169+1,P169-O169-1),"")</f>
        <v/>
      </c>
      <c r="V169" s="24" t="str">
        <f>IF(AND('ASS END SYNC'!C173="SHOW",'ASS END SYNC'!C174="SHOW"),U170,IF(AND('ASS END SYNC'!C173="SHOW",'ASS END SYNC'!C174&lt;&gt;"SHOW"),MID('ASS END SYNC'!E173,O169+1,P169-O169-1),""))</f>
        <v/>
      </c>
      <c r="W169" s="23" t="str">
        <f>IF('ASS END SYNC'!C173="SHOW",MID('ASS END SYNC'!E173,Q169+1,S169-Q169+1),"")</f>
        <v/>
      </c>
      <c r="X169" s="23" t="str">
        <f>IF('ASS END SYNC'!C173="SHOW",MID('ASS END SYNC'!E173,S169+2,1000),"")</f>
        <v/>
      </c>
      <c r="Z169" s="24"/>
    </row>
    <row r="170" spans="1:26" x14ac:dyDescent="0.25">
      <c r="A170" s="26">
        <v>167</v>
      </c>
      <c r="B170" s="24" t="str">
        <f>IF('ASS START SYNC'!C174="SHOW",FIND(",",'ASS START SYNC'!E174,1),"")</f>
        <v/>
      </c>
      <c r="C170" s="24" t="str">
        <f>IF('ASS START SYNC'!C174="SHOW",FIND(",",'ASS START SYNC'!E174,B170+1),"")</f>
        <v/>
      </c>
      <c r="D170" s="24" t="str">
        <f>IF('ASS START SYNC'!C174="SHOW",FIND(",",'ASS START SYNC'!E174,C170+1),"")</f>
        <v/>
      </c>
      <c r="E170" s="25" t="str">
        <f>IF('ASS START SYNC'!C174="SHOW",FIND(",,",'ASS START SYNC'!E174,1),"")</f>
        <v/>
      </c>
      <c r="F170" s="25" t="str">
        <f>IF('ASS START SYNC'!C174="SHOW",FIND(",,",'ASS START SYNC'!E174,E170+1),"")</f>
        <v/>
      </c>
      <c r="G170" s="23" t="str">
        <f>IF('ASS START SYNC'!C174="SHOW",LEFT('ASS START SYNC'!E174,B170),"")</f>
        <v/>
      </c>
      <c r="H170" s="24" t="str">
        <f>IF(AND('ASS START SYNC'!C174="SHOW",COUNTA('ASS START SYNC'!$E$8:'ASS START SYNC'!E173)=0),MID('ASS START SYNC'!E174,B170+1,C170-B170-1),IF(AND('ASS START SYNC'!C174="SHOW",COUNTA('ASS START SYNC'!$E$8:'ASS START SYNC'!E173)&lt;&gt;0),I169,""))</f>
        <v/>
      </c>
      <c r="I170" s="24" t="str">
        <f>IF('ASS START SYNC'!C174="SHOW",MID('ASS START SYNC'!E174,C170+1,D170-C170-1),I169)</f>
        <v/>
      </c>
      <c r="J170" s="23" t="str">
        <f>IF('ASS START SYNC'!C174="SHOW",MID('ASS START SYNC'!E174,D170+1,F170-D170+1),"")</f>
        <v/>
      </c>
      <c r="K170" s="23" t="str">
        <f>IF('ASS START SYNC'!C174="SHOW",MID('ASS START SYNC'!E174,F170+2,1000),"")</f>
        <v/>
      </c>
      <c r="M170" s="24"/>
      <c r="N170" s="26">
        <v>167</v>
      </c>
      <c r="O170" s="24" t="str">
        <f>IF('ASS END SYNC'!C174="SHOW",FIND(",",'ASS END SYNC'!E174,1),"")</f>
        <v/>
      </c>
      <c r="P170" s="24" t="str">
        <f>IF('ASS END SYNC'!C174="SHOW",FIND(",",'ASS END SYNC'!E174,O170+1),"")</f>
        <v/>
      </c>
      <c r="Q170" s="24" t="str">
        <f>IF('ASS END SYNC'!C174="SHOW",FIND(",",'ASS END SYNC'!E174,P170+1),"")</f>
        <v/>
      </c>
      <c r="R170" s="25" t="str">
        <f>IF('ASS END SYNC'!C174="SHOW",FIND(",,",'ASS END SYNC'!E174,1),"")</f>
        <v/>
      </c>
      <c r="S170" s="25" t="str">
        <f>IF('ASS END SYNC'!C174="SHOW",FIND(",,",'ASS END SYNC'!E174,R170+1),"")</f>
        <v/>
      </c>
      <c r="T170" s="23" t="str">
        <f>IF('ASS END SYNC'!C174="SHOW",LEFT('ASS END SYNC'!E174,O170),"")</f>
        <v/>
      </c>
      <c r="U170" s="24" t="str">
        <f>IF('ASS END SYNC'!C174="SHOW",MID('ASS END SYNC'!E174,O170+1,P170-O170-1),"")</f>
        <v/>
      </c>
      <c r="V170" s="24" t="str">
        <f>IF(AND('ASS END SYNC'!C174="SHOW",'ASS END SYNC'!C175="SHOW"),U171,IF(AND('ASS END SYNC'!C174="SHOW",'ASS END SYNC'!C175&lt;&gt;"SHOW"),MID('ASS END SYNC'!E174,O170+1,P170-O170-1),""))</f>
        <v/>
      </c>
      <c r="W170" s="23" t="str">
        <f>IF('ASS END SYNC'!C174="SHOW",MID('ASS END SYNC'!E174,Q170+1,S170-Q170+1),"")</f>
        <v/>
      </c>
      <c r="X170" s="23" t="str">
        <f>IF('ASS END SYNC'!C174="SHOW",MID('ASS END SYNC'!E174,S170+2,1000),"")</f>
        <v/>
      </c>
      <c r="Z170" s="24"/>
    </row>
    <row r="171" spans="1:26" x14ac:dyDescent="0.25">
      <c r="A171" s="26">
        <v>168</v>
      </c>
      <c r="B171" s="24" t="str">
        <f>IF('ASS START SYNC'!C175="SHOW",FIND(",",'ASS START SYNC'!E175,1),"")</f>
        <v/>
      </c>
      <c r="C171" s="24" t="str">
        <f>IF('ASS START SYNC'!C175="SHOW",FIND(",",'ASS START SYNC'!E175,B171+1),"")</f>
        <v/>
      </c>
      <c r="D171" s="24" t="str">
        <f>IF('ASS START SYNC'!C175="SHOW",FIND(",",'ASS START SYNC'!E175,C171+1),"")</f>
        <v/>
      </c>
      <c r="E171" s="25" t="str">
        <f>IF('ASS START SYNC'!C175="SHOW",FIND(",,",'ASS START SYNC'!E175,1),"")</f>
        <v/>
      </c>
      <c r="F171" s="25" t="str">
        <f>IF('ASS START SYNC'!C175="SHOW",FIND(",,",'ASS START SYNC'!E175,E171+1),"")</f>
        <v/>
      </c>
      <c r="G171" s="23" t="str">
        <f>IF('ASS START SYNC'!C175="SHOW",LEFT('ASS START SYNC'!E175,B171),"")</f>
        <v/>
      </c>
      <c r="H171" s="24" t="str">
        <f>IF(AND('ASS START SYNC'!C175="SHOW",COUNTA('ASS START SYNC'!$E$8:'ASS START SYNC'!E174)=0),MID('ASS START SYNC'!E175,B171+1,C171-B171-1),IF(AND('ASS START SYNC'!C175="SHOW",COUNTA('ASS START SYNC'!$E$8:'ASS START SYNC'!E174)&lt;&gt;0),I170,""))</f>
        <v/>
      </c>
      <c r="I171" s="24" t="str">
        <f>IF('ASS START SYNC'!C175="SHOW",MID('ASS START SYNC'!E175,C171+1,D171-C171-1),I170)</f>
        <v/>
      </c>
      <c r="J171" s="23" t="str">
        <f>IF('ASS START SYNC'!C175="SHOW",MID('ASS START SYNC'!E175,D171+1,F171-D171+1),"")</f>
        <v/>
      </c>
      <c r="K171" s="23" t="str">
        <f>IF('ASS START SYNC'!C175="SHOW",MID('ASS START SYNC'!E175,F171+2,1000),"")</f>
        <v/>
      </c>
      <c r="M171" s="24"/>
      <c r="N171" s="26">
        <v>168</v>
      </c>
      <c r="O171" s="24" t="str">
        <f>IF('ASS END SYNC'!C175="SHOW",FIND(",",'ASS END SYNC'!E175,1),"")</f>
        <v/>
      </c>
      <c r="P171" s="24" t="str">
        <f>IF('ASS END SYNC'!C175="SHOW",FIND(",",'ASS END SYNC'!E175,O171+1),"")</f>
        <v/>
      </c>
      <c r="Q171" s="24" t="str">
        <f>IF('ASS END SYNC'!C175="SHOW",FIND(",",'ASS END SYNC'!E175,P171+1),"")</f>
        <v/>
      </c>
      <c r="R171" s="25" t="str">
        <f>IF('ASS END SYNC'!C175="SHOW",FIND(",,",'ASS END SYNC'!E175,1),"")</f>
        <v/>
      </c>
      <c r="S171" s="25" t="str">
        <f>IF('ASS END SYNC'!C175="SHOW",FIND(",,",'ASS END SYNC'!E175,R171+1),"")</f>
        <v/>
      </c>
      <c r="T171" s="23" t="str">
        <f>IF('ASS END SYNC'!C175="SHOW",LEFT('ASS END SYNC'!E175,O171),"")</f>
        <v/>
      </c>
      <c r="U171" s="24" t="str">
        <f>IF('ASS END SYNC'!C175="SHOW",MID('ASS END SYNC'!E175,O171+1,P171-O171-1),"")</f>
        <v/>
      </c>
      <c r="V171" s="24" t="str">
        <f>IF(AND('ASS END SYNC'!C175="SHOW",'ASS END SYNC'!C176="SHOW"),U172,IF(AND('ASS END SYNC'!C175="SHOW",'ASS END SYNC'!C176&lt;&gt;"SHOW"),MID('ASS END SYNC'!E175,O171+1,P171-O171-1),""))</f>
        <v/>
      </c>
      <c r="W171" s="23" t="str">
        <f>IF('ASS END SYNC'!C175="SHOW",MID('ASS END SYNC'!E175,Q171+1,S171-Q171+1),"")</f>
        <v/>
      </c>
      <c r="X171" s="23" t="str">
        <f>IF('ASS END SYNC'!C175="SHOW",MID('ASS END SYNC'!E175,S171+2,1000),"")</f>
        <v/>
      </c>
      <c r="Z171" s="24"/>
    </row>
    <row r="172" spans="1:26" x14ac:dyDescent="0.25">
      <c r="A172" s="26">
        <v>169</v>
      </c>
      <c r="B172" s="24" t="str">
        <f>IF('ASS START SYNC'!C176="SHOW",FIND(",",'ASS START SYNC'!E176,1),"")</f>
        <v/>
      </c>
      <c r="C172" s="24" t="str">
        <f>IF('ASS START SYNC'!C176="SHOW",FIND(",",'ASS START SYNC'!E176,B172+1),"")</f>
        <v/>
      </c>
      <c r="D172" s="24" t="str">
        <f>IF('ASS START SYNC'!C176="SHOW",FIND(",",'ASS START SYNC'!E176,C172+1),"")</f>
        <v/>
      </c>
      <c r="E172" s="25" t="str">
        <f>IF('ASS START SYNC'!C176="SHOW",FIND(",,",'ASS START SYNC'!E176,1),"")</f>
        <v/>
      </c>
      <c r="F172" s="25" t="str">
        <f>IF('ASS START SYNC'!C176="SHOW",FIND(",,",'ASS START SYNC'!E176,E172+1),"")</f>
        <v/>
      </c>
      <c r="G172" s="23" t="str">
        <f>IF('ASS START SYNC'!C176="SHOW",LEFT('ASS START SYNC'!E176,B172),"")</f>
        <v/>
      </c>
      <c r="H172" s="24" t="str">
        <f>IF(AND('ASS START SYNC'!C176="SHOW",COUNTA('ASS START SYNC'!$E$8:'ASS START SYNC'!E175)=0),MID('ASS START SYNC'!E176,B172+1,C172-B172-1),IF(AND('ASS START SYNC'!C176="SHOW",COUNTA('ASS START SYNC'!$E$8:'ASS START SYNC'!E175)&lt;&gt;0),I171,""))</f>
        <v/>
      </c>
      <c r="I172" s="24" t="str">
        <f>IF('ASS START SYNC'!C176="SHOW",MID('ASS START SYNC'!E176,C172+1,D172-C172-1),I171)</f>
        <v/>
      </c>
      <c r="J172" s="23" t="str">
        <f>IF('ASS START SYNC'!C176="SHOW",MID('ASS START SYNC'!E176,D172+1,F172-D172+1),"")</f>
        <v/>
      </c>
      <c r="K172" s="23" t="str">
        <f>IF('ASS START SYNC'!C176="SHOW",MID('ASS START SYNC'!E176,F172+2,1000),"")</f>
        <v/>
      </c>
      <c r="M172" s="24"/>
      <c r="N172" s="26">
        <v>169</v>
      </c>
      <c r="O172" s="24" t="str">
        <f>IF('ASS END SYNC'!C176="SHOW",FIND(",",'ASS END SYNC'!E176,1),"")</f>
        <v/>
      </c>
      <c r="P172" s="24" t="str">
        <f>IF('ASS END SYNC'!C176="SHOW",FIND(",",'ASS END SYNC'!E176,O172+1),"")</f>
        <v/>
      </c>
      <c r="Q172" s="24" t="str">
        <f>IF('ASS END SYNC'!C176="SHOW",FIND(",",'ASS END SYNC'!E176,P172+1),"")</f>
        <v/>
      </c>
      <c r="R172" s="25" t="str">
        <f>IF('ASS END SYNC'!C176="SHOW",FIND(",,",'ASS END SYNC'!E176,1),"")</f>
        <v/>
      </c>
      <c r="S172" s="25" t="str">
        <f>IF('ASS END SYNC'!C176="SHOW",FIND(",,",'ASS END SYNC'!E176,R172+1),"")</f>
        <v/>
      </c>
      <c r="T172" s="23" t="str">
        <f>IF('ASS END SYNC'!C176="SHOW",LEFT('ASS END SYNC'!E176,O172),"")</f>
        <v/>
      </c>
      <c r="U172" s="24" t="str">
        <f>IF('ASS END SYNC'!C176="SHOW",MID('ASS END SYNC'!E176,O172+1,P172-O172-1),"")</f>
        <v/>
      </c>
      <c r="V172" s="24" t="str">
        <f>IF(AND('ASS END SYNC'!C176="SHOW",'ASS END SYNC'!C177="SHOW"),U173,IF(AND('ASS END SYNC'!C176="SHOW",'ASS END SYNC'!C177&lt;&gt;"SHOW"),MID('ASS END SYNC'!E176,O172+1,P172-O172-1),""))</f>
        <v/>
      </c>
      <c r="W172" s="23" t="str">
        <f>IF('ASS END SYNC'!C176="SHOW",MID('ASS END SYNC'!E176,Q172+1,S172-Q172+1),"")</f>
        <v/>
      </c>
      <c r="X172" s="23" t="str">
        <f>IF('ASS END SYNC'!C176="SHOW",MID('ASS END SYNC'!E176,S172+2,1000),"")</f>
        <v/>
      </c>
      <c r="Z172" s="24"/>
    </row>
    <row r="173" spans="1:26" x14ac:dyDescent="0.25">
      <c r="A173" s="26">
        <v>170</v>
      </c>
      <c r="B173" s="24" t="str">
        <f>IF('ASS START SYNC'!C177="SHOW",FIND(",",'ASS START SYNC'!E177,1),"")</f>
        <v/>
      </c>
      <c r="C173" s="24" t="str">
        <f>IF('ASS START SYNC'!C177="SHOW",FIND(",",'ASS START SYNC'!E177,B173+1),"")</f>
        <v/>
      </c>
      <c r="D173" s="24" t="str">
        <f>IF('ASS START SYNC'!C177="SHOW",FIND(",",'ASS START SYNC'!E177,C173+1),"")</f>
        <v/>
      </c>
      <c r="E173" s="25" t="str">
        <f>IF('ASS START SYNC'!C177="SHOW",FIND(",,",'ASS START SYNC'!E177,1),"")</f>
        <v/>
      </c>
      <c r="F173" s="25" t="str">
        <f>IF('ASS START SYNC'!C177="SHOW",FIND(",,",'ASS START SYNC'!E177,E173+1),"")</f>
        <v/>
      </c>
      <c r="G173" s="23" t="str">
        <f>IF('ASS START SYNC'!C177="SHOW",LEFT('ASS START SYNC'!E177,B173),"")</f>
        <v/>
      </c>
      <c r="H173" s="24" t="str">
        <f>IF(AND('ASS START SYNC'!C177="SHOW",COUNTA('ASS START SYNC'!$E$8:'ASS START SYNC'!E176)=0),MID('ASS START SYNC'!E177,B173+1,C173-B173-1),IF(AND('ASS START SYNC'!C177="SHOW",COUNTA('ASS START SYNC'!$E$8:'ASS START SYNC'!E176)&lt;&gt;0),I172,""))</f>
        <v/>
      </c>
      <c r="I173" s="24" t="str">
        <f>IF('ASS START SYNC'!C177="SHOW",MID('ASS START SYNC'!E177,C173+1,D173-C173-1),I172)</f>
        <v/>
      </c>
      <c r="J173" s="23" t="str">
        <f>IF('ASS START SYNC'!C177="SHOW",MID('ASS START SYNC'!E177,D173+1,F173-D173+1),"")</f>
        <v/>
      </c>
      <c r="K173" s="23" t="str">
        <f>IF('ASS START SYNC'!C177="SHOW",MID('ASS START SYNC'!E177,F173+2,1000),"")</f>
        <v/>
      </c>
      <c r="M173" s="24"/>
      <c r="N173" s="26">
        <v>170</v>
      </c>
      <c r="O173" s="24" t="str">
        <f>IF('ASS END SYNC'!C177="SHOW",FIND(",",'ASS END SYNC'!E177,1),"")</f>
        <v/>
      </c>
      <c r="P173" s="24" t="str">
        <f>IF('ASS END SYNC'!C177="SHOW",FIND(",",'ASS END SYNC'!E177,O173+1),"")</f>
        <v/>
      </c>
      <c r="Q173" s="24" t="str">
        <f>IF('ASS END SYNC'!C177="SHOW",FIND(",",'ASS END SYNC'!E177,P173+1),"")</f>
        <v/>
      </c>
      <c r="R173" s="25" t="str">
        <f>IF('ASS END SYNC'!C177="SHOW",FIND(",,",'ASS END SYNC'!E177,1),"")</f>
        <v/>
      </c>
      <c r="S173" s="25" t="str">
        <f>IF('ASS END SYNC'!C177="SHOW",FIND(",,",'ASS END SYNC'!E177,R173+1),"")</f>
        <v/>
      </c>
      <c r="T173" s="23" t="str">
        <f>IF('ASS END SYNC'!C177="SHOW",LEFT('ASS END SYNC'!E177,O173),"")</f>
        <v/>
      </c>
      <c r="U173" s="24" t="str">
        <f>IF('ASS END SYNC'!C177="SHOW",MID('ASS END SYNC'!E177,O173+1,P173-O173-1),"")</f>
        <v/>
      </c>
      <c r="V173" s="24" t="str">
        <f>IF(AND('ASS END SYNC'!C177="SHOW",'ASS END SYNC'!C178="SHOW"),U174,IF(AND('ASS END SYNC'!C177="SHOW",'ASS END SYNC'!C178&lt;&gt;"SHOW"),MID('ASS END SYNC'!E177,O173+1,P173-O173-1),""))</f>
        <v/>
      </c>
      <c r="W173" s="23" t="str">
        <f>IF('ASS END SYNC'!C177="SHOW",MID('ASS END SYNC'!E177,Q173+1,S173-Q173+1),"")</f>
        <v/>
      </c>
      <c r="X173" s="23" t="str">
        <f>IF('ASS END SYNC'!C177="SHOW",MID('ASS END SYNC'!E177,S173+2,1000),"")</f>
        <v/>
      </c>
      <c r="Z173" s="24"/>
    </row>
    <row r="174" spans="1:26" x14ac:dyDescent="0.25">
      <c r="A174" s="26">
        <v>171</v>
      </c>
      <c r="B174" s="24" t="str">
        <f>IF('ASS START SYNC'!C178="SHOW",FIND(",",'ASS START SYNC'!E178,1),"")</f>
        <v/>
      </c>
      <c r="C174" s="24" t="str">
        <f>IF('ASS START SYNC'!C178="SHOW",FIND(",",'ASS START SYNC'!E178,B174+1),"")</f>
        <v/>
      </c>
      <c r="D174" s="24" t="str">
        <f>IF('ASS START SYNC'!C178="SHOW",FIND(",",'ASS START SYNC'!E178,C174+1),"")</f>
        <v/>
      </c>
      <c r="E174" s="25" t="str">
        <f>IF('ASS START SYNC'!C178="SHOW",FIND(",,",'ASS START SYNC'!E178,1),"")</f>
        <v/>
      </c>
      <c r="F174" s="25" t="str">
        <f>IF('ASS START SYNC'!C178="SHOW",FIND(",,",'ASS START SYNC'!E178,E174+1),"")</f>
        <v/>
      </c>
      <c r="G174" s="23" t="str">
        <f>IF('ASS START SYNC'!C178="SHOW",LEFT('ASS START SYNC'!E178,B174),"")</f>
        <v/>
      </c>
      <c r="H174" s="24" t="str">
        <f>IF(AND('ASS START SYNC'!C178="SHOW",COUNTA('ASS START SYNC'!$E$8:'ASS START SYNC'!E177)=0),MID('ASS START SYNC'!E178,B174+1,C174-B174-1),IF(AND('ASS START SYNC'!C178="SHOW",COUNTA('ASS START SYNC'!$E$8:'ASS START SYNC'!E177)&lt;&gt;0),I173,""))</f>
        <v/>
      </c>
      <c r="I174" s="24" t="str">
        <f>IF('ASS START SYNC'!C178="SHOW",MID('ASS START SYNC'!E178,C174+1,D174-C174-1),I173)</f>
        <v/>
      </c>
      <c r="J174" s="23" t="str">
        <f>IF('ASS START SYNC'!C178="SHOW",MID('ASS START SYNC'!E178,D174+1,F174-D174+1),"")</f>
        <v/>
      </c>
      <c r="K174" s="23" t="str">
        <f>IF('ASS START SYNC'!C178="SHOW",MID('ASS START SYNC'!E178,F174+2,1000),"")</f>
        <v/>
      </c>
      <c r="M174" s="24"/>
      <c r="N174" s="26">
        <v>171</v>
      </c>
      <c r="O174" s="24" t="str">
        <f>IF('ASS END SYNC'!C178="SHOW",FIND(",",'ASS END SYNC'!E178,1),"")</f>
        <v/>
      </c>
      <c r="P174" s="24" t="str">
        <f>IF('ASS END SYNC'!C178="SHOW",FIND(",",'ASS END SYNC'!E178,O174+1),"")</f>
        <v/>
      </c>
      <c r="Q174" s="24" t="str">
        <f>IF('ASS END SYNC'!C178="SHOW",FIND(",",'ASS END SYNC'!E178,P174+1),"")</f>
        <v/>
      </c>
      <c r="R174" s="25" t="str">
        <f>IF('ASS END SYNC'!C178="SHOW",FIND(",,",'ASS END SYNC'!E178,1),"")</f>
        <v/>
      </c>
      <c r="S174" s="25" t="str">
        <f>IF('ASS END SYNC'!C178="SHOW",FIND(",,",'ASS END SYNC'!E178,R174+1),"")</f>
        <v/>
      </c>
      <c r="T174" s="23" t="str">
        <f>IF('ASS END SYNC'!C178="SHOW",LEFT('ASS END SYNC'!E178,O174),"")</f>
        <v/>
      </c>
      <c r="U174" s="24" t="str">
        <f>IF('ASS END SYNC'!C178="SHOW",MID('ASS END SYNC'!E178,O174+1,P174-O174-1),"")</f>
        <v/>
      </c>
      <c r="V174" s="24" t="str">
        <f>IF(AND('ASS END SYNC'!C178="SHOW",'ASS END SYNC'!C179="SHOW"),U175,IF(AND('ASS END SYNC'!C178="SHOW",'ASS END SYNC'!C179&lt;&gt;"SHOW"),MID('ASS END SYNC'!E178,O174+1,P174-O174-1),""))</f>
        <v/>
      </c>
      <c r="W174" s="23" t="str">
        <f>IF('ASS END SYNC'!C178="SHOW",MID('ASS END SYNC'!E178,Q174+1,S174-Q174+1),"")</f>
        <v/>
      </c>
      <c r="X174" s="23" t="str">
        <f>IF('ASS END SYNC'!C178="SHOW",MID('ASS END SYNC'!E178,S174+2,1000),"")</f>
        <v/>
      </c>
      <c r="Z174" s="24"/>
    </row>
    <row r="175" spans="1:26" x14ac:dyDescent="0.25">
      <c r="A175" s="26">
        <v>172</v>
      </c>
      <c r="B175" s="24" t="str">
        <f>IF('ASS START SYNC'!C179="SHOW",FIND(",",'ASS START SYNC'!E179,1),"")</f>
        <v/>
      </c>
      <c r="C175" s="24" t="str">
        <f>IF('ASS START SYNC'!C179="SHOW",FIND(",",'ASS START SYNC'!E179,B175+1),"")</f>
        <v/>
      </c>
      <c r="D175" s="24" t="str">
        <f>IF('ASS START SYNC'!C179="SHOW",FIND(",",'ASS START SYNC'!E179,C175+1),"")</f>
        <v/>
      </c>
      <c r="E175" s="25" t="str">
        <f>IF('ASS START SYNC'!C179="SHOW",FIND(",,",'ASS START SYNC'!E179,1),"")</f>
        <v/>
      </c>
      <c r="F175" s="25" t="str">
        <f>IF('ASS START SYNC'!C179="SHOW",FIND(",,",'ASS START SYNC'!E179,E175+1),"")</f>
        <v/>
      </c>
      <c r="G175" s="23" t="str">
        <f>IF('ASS START SYNC'!C179="SHOW",LEFT('ASS START SYNC'!E179,B175),"")</f>
        <v/>
      </c>
      <c r="H175" s="24" t="str">
        <f>IF(AND('ASS START SYNC'!C179="SHOW",COUNTA('ASS START SYNC'!$E$8:'ASS START SYNC'!E178)=0),MID('ASS START SYNC'!E179,B175+1,C175-B175-1),IF(AND('ASS START SYNC'!C179="SHOW",COUNTA('ASS START SYNC'!$E$8:'ASS START SYNC'!E178)&lt;&gt;0),I174,""))</f>
        <v/>
      </c>
      <c r="I175" s="24" t="str">
        <f>IF('ASS START SYNC'!C179="SHOW",MID('ASS START SYNC'!E179,C175+1,D175-C175-1),I174)</f>
        <v/>
      </c>
      <c r="J175" s="23" t="str">
        <f>IF('ASS START SYNC'!C179="SHOW",MID('ASS START SYNC'!E179,D175+1,F175-D175+1),"")</f>
        <v/>
      </c>
      <c r="K175" s="23" t="str">
        <f>IF('ASS START SYNC'!C179="SHOW",MID('ASS START SYNC'!E179,F175+2,1000),"")</f>
        <v/>
      </c>
      <c r="M175" s="24"/>
      <c r="N175" s="26">
        <v>172</v>
      </c>
      <c r="O175" s="24" t="str">
        <f>IF('ASS END SYNC'!C179="SHOW",FIND(",",'ASS END SYNC'!E179,1),"")</f>
        <v/>
      </c>
      <c r="P175" s="24" t="str">
        <f>IF('ASS END SYNC'!C179="SHOW",FIND(",",'ASS END SYNC'!E179,O175+1),"")</f>
        <v/>
      </c>
      <c r="Q175" s="24" t="str">
        <f>IF('ASS END SYNC'!C179="SHOW",FIND(",",'ASS END SYNC'!E179,P175+1),"")</f>
        <v/>
      </c>
      <c r="R175" s="25" t="str">
        <f>IF('ASS END SYNC'!C179="SHOW",FIND(",,",'ASS END SYNC'!E179,1),"")</f>
        <v/>
      </c>
      <c r="S175" s="25" t="str">
        <f>IF('ASS END SYNC'!C179="SHOW",FIND(",,",'ASS END SYNC'!E179,R175+1),"")</f>
        <v/>
      </c>
      <c r="T175" s="23" t="str">
        <f>IF('ASS END SYNC'!C179="SHOW",LEFT('ASS END SYNC'!E179,O175),"")</f>
        <v/>
      </c>
      <c r="U175" s="24" t="str">
        <f>IF('ASS END SYNC'!C179="SHOW",MID('ASS END SYNC'!E179,O175+1,P175-O175-1),"")</f>
        <v/>
      </c>
      <c r="V175" s="24" t="str">
        <f>IF(AND('ASS END SYNC'!C179="SHOW",'ASS END SYNC'!C180="SHOW"),U176,IF(AND('ASS END SYNC'!C179="SHOW",'ASS END SYNC'!C180&lt;&gt;"SHOW"),MID('ASS END SYNC'!E179,O175+1,P175-O175-1),""))</f>
        <v/>
      </c>
      <c r="W175" s="23" t="str">
        <f>IF('ASS END SYNC'!C179="SHOW",MID('ASS END SYNC'!E179,Q175+1,S175-Q175+1),"")</f>
        <v/>
      </c>
      <c r="X175" s="23" t="str">
        <f>IF('ASS END SYNC'!C179="SHOW",MID('ASS END SYNC'!E179,S175+2,1000),"")</f>
        <v/>
      </c>
      <c r="Z175" s="24"/>
    </row>
    <row r="176" spans="1:26" x14ac:dyDescent="0.25">
      <c r="A176" s="26">
        <v>173</v>
      </c>
      <c r="B176" s="24" t="str">
        <f>IF('ASS START SYNC'!C180="SHOW",FIND(",",'ASS START SYNC'!E180,1),"")</f>
        <v/>
      </c>
      <c r="C176" s="24" t="str">
        <f>IF('ASS START SYNC'!C180="SHOW",FIND(",",'ASS START SYNC'!E180,B176+1),"")</f>
        <v/>
      </c>
      <c r="D176" s="24" t="str">
        <f>IF('ASS START SYNC'!C180="SHOW",FIND(",",'ASS START SYNC'!E180,C176+1),"")</f>
        <v/>
      </c>
      <c r="E176" s="25" t="str">
        <f>IF('ASS START SYNC'!C180="SHOW",FIND(",,",'ASS START SYNC'!E180,1),"")</f>
        <v/>
      </c>
      <c r="F176" s="25" t="str">
        <f>IF('ASS START SYNC'!C180="SHOW",FIND(",,",'ASS START SYNC'!E180,E176+1),"")</f>
        <v/>
      </c>
      <c r="G176" s="23" t="str">
        <f>IF('ASS START SYNC'!C180="SHOW",LEFT('ASS START SYNC'!E180,B176),"")</f>
        <v/>
      </c>
      <c r="H176" s="24" t="str">
        <f>IF(AND('ASS START SYNC'!C180="SHOW",COUNTA('ASS START SYNC'!$E$8:'ASS START SYNC'!E179)=0),MID('ASS START SYNC'!E180,B176+1,C176-B176-1),IF(AND('ASS START SYNC'!C180="SHOW",COUNTA('ASS START SYNC'!$E$8:'ASS START SYNC'!E179)&lt;&gt;0),I175,""))</f>
        <v/>
      </c>
      <c r="I176" s="24" t="str">
        <f>IF('ASS START SYNC'!C180="SHOW",MID('ASS START SYNC'!E180,C176+1,D176-C176-1),I175)</f>
        <v/>
      </c>
      <c r="J176" s="23" t="str">
        <f>IF('ASS START SYNC'!C180="SHOW",MID('ASS START SYNC'!E180,D176+1,F176-D176+1),"")</f>
        <v/>
      </c>
      <c r="K176" s="23" t="str">
        <f>IF('ASS START SYNC'!C180="SHOW",MID('ASS START SYNC'!E180,F176+2,1000),"")</f>
        <v/>
      </c>
      <c r="M176" s="24"/>
      <c r="N176" s="26">
        <v>173</v>
      </c>
      <c r="O176" s="24" t="str">
        <f>IF('ASS END SYNC'!C180="SHOW",FIND(",",'ASS END SYNC'!E180,1),"")</f>
        <v/>
      </c>
      <c r="P176" s="24" t="str">
        <f>IF('ASS END SYNC'!C180="SHOW",FIND(",",'ASS END SYNC'!E180,O176+1),"")</f>
        <v/>
      </c>
      <c r="Q176" s="24" t="str">
        <f>IF('ASS END SYNC'!C180="SHOW",FIND(",",'ASS END SYNC'!E180,P176+1),"")</f>
        <v/>
      </c>
      <c r="R176" s="25" t="str">
        <f>IF('ASS END SYNC'!C180="SHOW",FIND(",,",'ASS END SYNC'!E180,1),"")</f>
        <v/>
      </c>
      <c r="S176" s="25" t="str">
        <f>IF('ASS END SYNC'!C180="SHOW",FIND(",,",'ASS END SYNC'!E180,R176+1),"")</f>
        <v/>
      </c>
      <c r="T176" s="23" t="str">
        <f>IF('ASS END SYNC'!C180="SHOW",LEFT('ASS END SYNC'!E180,O176),"")</f>
        <v/>
      </c>
      <c r="U176" s="24" t="str">
        <f>IF('ASS END SYNC'!C180="SHOW",MID('ASS END SYNC'!E180,O176+1,P176-O176-1),"")</f>
        <v/>
      </c>
      <c r="V176" s="24" t="str">
        <f>IF(AND('ASS END SYNC'!C180="SHOW",'ASS END SYNC'!C181="SHOW"),U177,IF(AND('ASS END SYNC'!C180="SHOW",'ASS END SYNC'!C181&lt;&gt;"SHOW"),MID('ASS END SYNC'!E180,O176+1,P176-O176-1),""))</f>
        <v/>
      </c>
      <c r="W176" s="23" t="str">
        <f>IF('ASS END SYNC'!C180="SHOW",MID('ASS END SYNC'!E180,Q176+1,S176-Q176+1),"")</f>
        <v/>
      </c>
      <c r="X176" s="23" t="str">
        <f>IF('ASS END SYNC'!C180="SHOW",MID('ASS END SYNC'!E180,S176+2,1000),"")</f>
        <v/>
      </c>
      <c r="Z176" s="24"/>
    </row>
    <row r="177" spans="1:26" x14ac:dyDescent="0.25">
      <c r="A177" s="26">
        <v>174</v>
      </c>
      <c r="B177" s="24" t="str">
        <f>IF('ASS START SYNC'!C181="SHOW",FIND(",",'ASS START SYNC'!E181,1),"")</f>
        <v/>
      </c>
      <c r="C177" s="24" t="str">
        <f>IF('ASS START SYNC'!C181="SHOW",FIND(",",'ASS START SYNC'!E181,B177+1),"")</f>
        <v/>
      </c>
      <c r="D177" s="24" t="str">
        <f>IF('ASS START SYNC'!C181="SHOW",FIND(",",'ASS START SYNC'!E181,C177+1),"")</f>
        <v/>
      </c>
      <c r="E177" s="25" t="str">
        <f>IF('ASS START SYNC'!C181="SHOW",FIND(",,",'ASS START SYNC'!E181,1),"")</f>
        <v/>
      </c>
      <c r="F177" s="25" t="str">
        <f>IF('ASS START SYNC'!C181="SHOW",FIND(",,",'ASS START SYNC'!E181,E177+1),"")</f>
        <v/>
      </c>
      <c r="G177" s="23" t="str">
        <f>IF('ASS START SYNC'!C181="SHOW",LEFT('ASS START SYNC'!E181,B177),"")</f>
        <v/>
      </c>
      <c r="H177" s="24" t="str">
        <f>IF(AND('ASS START SYNC'!C181="SHOW",COUNTA('ASS START SYNC'!$E$8:'ASS START SYNC'!E180)=0),MID('ASS START SYNC'!E181,B177+1,C177-B177-1),IF(AND('ASS START SYNC'!C181="SHOW",COUNTA('ASS START SYNC'!$E$8:'ASS START SYNC'!E180)&lt;&gt;0),I176,""))</f>
        <v/>
      </c>
      <c r="I177" s="24" t="str">
        <f>IF('ASS START SYNC'!C181="SHOW",MID('ASS START SYNC'!E181,C177+1,D177-C177-1),I176)</f>
        <v/>
      </c>
      <c r="J177" s="23" t="str">
        <f>IF('ASS START SYNC'!C181="SHOW",MID('ASS START SYNC'!E181,D177+1,F177-D177+1),"")</f>
        <v/>
      </c>
      <c r="K177" s="23" t="str">
        <f>IF('ASS START SYNC'!C181="SHOW",MID('ASS START SYNC'!E181,F177+2,1000),"")</f>
        <v/>
      </c>
      <c r="M177" s="24"/>
      <c r="N177" s="26">
        <v>174</v>
      </c>
      <c r="O177" s="24" t="str">
        <f>IF('ASS END SYNC'!C181="SHOW",FIND(",",'ASS END SYNC'!E181,1),"")</f>
        <v/>
      </c>
      <c r="P177" s="24" t="str">
        <f>IF('ASS END SYNC'!C181="SHOW",FIND(",",'ASS END SYNC'!E181,O177+1),"")</f>
        <v/>
      </c>
      <c r="Q177" s="24" t="str">
        <f>IF('ASS END SYNC'!C181="SHOW",FIND(",",'ASS END SYNC'!E181,P177+1),"")</f>
        <v/>
      </c>
      <c r="R177" s="25" t="str">
        <f>IF('ASS END SYNC'!C181="SHOW",FIND(",,",'ASS END SYNC'!E181,1),"")</f>
        <v/>
      </c>
      <c r="S177" s="25" t="str">
        <f>IF('ASS END SYNC'!C181="SHOW",FIND(",,",'ASS END SYNC'!E181,R177+1),"")</f>
        <v/>
      </c>
      <c r="T177" s="23" t="str">
        <f>IF('ASS END SYNC'!C181="SHOW",LEFT('ASS END SYNC'!E181,O177),"")</f>
        <v/>
      </c>
      <c r="U177" s="24" t="str">
        <f>IF('ASS END SYNC'!C181="SHOW",MID('ASS END SYNC'!E181,O177+1,P177-O177-1),"")</f>
        <v/>
      </c>
      <c r="V177" s="24" t="str">
        <f>IF(AND('ASS END SYNC'!C181="SHOW",'ASS END SYNC'!C182="SHOW"),U178,IF(AND('ASS END SYNC'!C181="SHOW",'ASS END SYNC'!C182&lt;&gt;"SHOW"),MID('ASS END SYNC'!E181,O177+1,P177-O177-1),""))</f>
        <v/>
      </c>
      <c r="W177" s="23" t="str">
        <f>IF('ASS END SYNC'!C181="SHOW",MID('ASS END SYNC'!E181,Q177+1,S177-Q177+1),"")</f>
        <v/>
      </c>
      <c r="X177" s="23" t="str">
        <f>IF('ASS END SYNC'!C181="SHOW",MID('ASS END SYNC'!E181,S177+2,1000),"")</f>
        <v/>
      </c>
      <c r="Z177" s="24"/>
    </row>
    <row r="178" spans="1:26" x14ac:dyDescent="0.25">
      <c r="A178" s="26">
        <v>175</v>
      </c>
      <c r="B178" s="24" t="str">
        <f>IF('ASS START SYNC'!C182="SHOW",FIND(",",'ASS START SYNC'!E182,1),"")</f>
        <v/>
      </c>
      <c r="C178" s="24" t="str">
        <f>IF('ASS START SYNC'!C182="SHOW",FIND(",",'ASS START SYNC'!E182,B178+1),"")</f>
        <v/>
      </c>
      <c r="D178" s="24" t="str">
        <f>IF('ASS START SYNC'!C182="SHOW",FIND(",",'ASS START SYNC'!E182,C178+1),"")</f>
        <v/>
      </c>
      <c r="E178" s="25" t="str">
        <f>IF('ASS START SYNC'!C182="SHOW",FIND(",,",'ASS START SYNC'!E182,1),"")</f>
        <v/>
      </c>
      <c r="F178" s="25" t="str">
        <f>IF('ASS START SYNC'!C182="SHOW",FIND(",,",'ASS START SYNC'!E182,E178+1),"")</f>
        <v/>
      </c>
      <c r="G178" s="23" t="str">
        <f>IF('ASS START SYNC'!C182="SHOW",LEFT('ASS START SYNC'!E182,B178),"")</f>
        <v/>
      </c>
      <c r="H178" s="24" t="str">
        <f>IF(AND('ASS START SYNC'!C182="SHOW",COUNTA('ASS START SYNC'!$E$8:'ASS START SYNC'!E181)=0),MID('ASS START SYNC'!E182,B178+1,C178-B178-1),IF(AND('ASS START SYNC'!C182="SHOW",COUNTA('ASS START SYNC'!$E$8:'ASS START SYNC'!E181)&lt;&gt;0),I177,""))</f>
        <v/>
      </c>
      <c r="I178" s="24" t="str">
        <f>IF('ASS START SYNC'!C182="SHOW",MID('ASS START SYNC'!E182,C178+1,D178-C178-1),I177)</f>
        <v/>
      </c>
      <c r="J178" s="23" t="str">
        <f>IF('ASS START SYNC'!C182="SHOW",MID('ASS START SYNC'!E182,D178+1,F178-D178+1),"")</f>
        <v/>
      </c>
      <c r="K178" s="23" t="str">
        <f>IF('ASS START SYNC'!C182="SHOW",MID('ASS START SYNC'!E182,F178+2,1000),"")</f>
        <v/>
      </c>
      <c r="M178" s="24"/>
      <c r="N178" s="26">
        <v>175</v>
      </c>
      <c r="O178" s="24" t="str">
        <f>IF('ASS END SYNC'!C182="SHOW",FIND(",",'ASS END SYNC'!E182,1),"")</f>
        <v/>
      </c>
      <c r="P178" s="24" t="str">
        <f>IF('ASS END SYNC'!C182="SHOW",FIND(",",'ASS END SYNC'!E182,O178+1),"")</f>
        <v/>
      </c>
      <c r="Q178" s="24" t="str">
        <f>IF('ASS END SYNC'!C182="SHOW",FIND(",",'ASS END SYNC'!E182,P178+1),"")</f>
        <v/>
      </c>
      <c r="R178" s="25" t="str">
        <f>IF('ASS END SYNC'!C182="SHOW",FIND(",,",'ASS END SYNC'!E182,1),"")</f>
        <v/>
      </c>
      <c r="S178" s="25" t="str">
        <f>IF('ASS END SYNC'!C182="SHOW",FIND(",,",'ASS END SYNC'!E182,R178+1),"")</f>
        <v/>
      </c>
      <c r="T178" s="23" t="str">
        <f>IF('ASS END SYNC'!C182="SHOW",LEFT('ASS END SYNC'!E182,O178),"")</f>
        <v/>
      </c>
      <c r="U178" s="24" t="str">
        <f>IF('ASS END SYNC'!C182="SHOW",MID('ASS END SYNC'!E182,O178+1,P178-O178-1),"")</f>
        <v/>
      </c>
      <c r="V178" s="24" t="str">
        <f>IF(AND('ASS END SYNC'!C182="SHOW",'ASS END SYNC'!C183="SHOW"),U179,IF(AND('ASS END SYNC'!C182="SHOW",'ASS END SYNC'!C183&lt;&gt;"SHOW"),MID('ASS END SYNC'!E182,O178+1,P178-O178-1),""))</f>
        <v/>
      </c>
      <c r="W178" s="23" t="str">
        <f>IF('ASS END SYNC'!C182="SHOW",MID('ASS END SYNC'!E182,Q178+1,S178-Q178+1),"")</f>
        <v/>
      </c>
      <c r="X178" s="23" t="str">
        <f>IF('ASS END SYNC'!C182="SHOW",MID('ASS END SYNC'!E182,S178+2,1000),"")</f>
        <v/>
      </c>
      <c r="Z178" s="24"/>
    </row>
    <row r="179" spans="1:26" x14ac:dyDescent="0.25">
      <c r="A179" s="26">
        <v>176</v>
      </c>
      <c r="B179" s="24" t="str">
        <f>IF('ASS START SYNC'!C183="SHOW",FIND(",",'ASS START SYNC'!E183,1),"")</f>
        <v/>
      </c>
      <c r="C179" s="24" t="str">
        <f>IF('ASS START SYNC'!C183="SHOW",FIND(",",'ASS START SYNC'!E183,B179+1),"")</f>
        <v/>
      </c>
      <c r="D179" s="24" t="str">
        <f>IF('ASS START SYNC'!C183="SHOW",FIND(",",'ASS START SYNC'!E183,C179+1),"")</f>
        <v/>
      </c>
      <c r="E179" s="25" t="str">
        <f>IF('ASS START SYNC'!C183="SHOW",FIND(",,",'ASS START SYNC'!E183,1),"")</f>
        <v/>
      </c>
      <c r="F179" s="25" t="str">
        <f>IF('ASS START SYNC'!C183="SHOW",FIND(",,",'ASS START SYNC'!E183,E179+1),"")</f>
        <v/>
      </c>
      <c r="G179" s="23" t="str">
        <f>IF('ASS START SYNC'!C183="SHOW",LEFT('ASS START SYNC'!E183,B179),"")</f>
        <v/>
      </c>
      <c r="H179" s="24" t="str">
        <f>IF(AND('ASS START SYNC'!C183="SHOW",COUNTA('ASS START SYNC'!$E$8:'ASS START SYNC'!E182)=0),MID('ASS START SYNC'!E183,B179+1,C179-B179-1),IF(AND('ASS START SYNC'!C183="SHOW",COUNTA('ASS START SYNC'!$E$8:'ASS START SYNC'!E182)&lt;&gt;0),I178,""))</f>
        <v/>
      </c>
      <c r="I179" s="24" t="str">
        <f>IF('ASS START SYNC'!C183="SHOW",MID('ASS START SYNC'!E183,C179+1,D179-C179-1),I178)</f>
        <v/>
      </c>
      <c r="J179" s="23" t="str">
        <f>IF('ASS START SYNC'!C183="SHOW",MID('ASS START SYNC'!E183,D179+1,F179-D179+1),"")</f>
        <v/>
      </c>
      <c r="K179" s="23" t="str">
        <f>IF('ASS START SYNC'!C183="SHOW",MID('ASS START SYNC'!E183,F179+2,1000),"")</f>
        <v/>
      </c>
      <c r="M179" s="24"/>
      <c r="N179" s="26">
        <v>176</v>
      </c>
      <c r="O179" s="24" t="str">
        <f>IF('ASS END SYNC'!C183="SHOW",FIND(",",'ASS END SYNC'!E183,1),"")</f>
        <v/>
      </c>
      <c r="P179" s="24" t="str">
        <f>IF('ASS END SYNC'!C183="SHOW",FIND(",",'ASS END SYNC'!E183,O179+1),"")</f>
        <v/>
      </c>
      <c r="Q179" s="24" t="str">
        <f>IF('ASS END SYNC'!C183="SHOW",FIND(",",'ASS END SYNC'!E183,P179+1),"")</f>
        <v/>
      </c>
      <c r="R179" s="25" t="str">
        <f>IF('ASS END SYNC'!C183="SHOW",FIND(",,",'ASS END SYNC'!E183,1),"")</f>
        <v/>
      </c>
      <c r="S179" s="25" t="str">
        <f>IF('ASS END SYNC'!C183="SHOW",FIND(",,",'ASS END SYNC'!E183,R179+1),"")</f>
        <v/>
      </c>
      <c r="T179" s="23" t="str">
        <f>IF('ASS END SYNC'!C183="SHOW",LEFT('ASS END SYNC'!E183,O179),"")</f>
        <v/>
      </c>
      <c r="U179" s="24" t="str">
        <f>IF('ASS END SYNC'!C183="SHOW",MID('ASS END SYNC'!E183,O179+1,P179-O179-1),"")</f>
        <v/>
      </c>
      <c r="V179" s="24" t="str">
        <f>IF(AND('ASS END SYNC'!C183="SHOW",'ASS END SYNC'!C184="SHOW"),U180,IF(AND('ASS END SYNC'!C183="SHOW",'ASS END SYNC'!C184&lt;&gt;"SHOW"),MID('ASS END SYNC'!E183,O179+1,P179-O179-1),""))</f>
        <v/>
      </c>
      <c r="W179" s="23" t="str">
        <f>IF('ASS END SYNC'!C183="SHOW",MID('ASS END SYNC'!E183,Q179+1,S179-Q179+1),"")</f>
        <v/>
      </c>
      <c r="X179" s="23" t="str">
        <f>IF('ASS END SYNC'!C183="SHOW",MID('ASS END SYNC'!E183,S179+2,1000),"")</f>
        <v/>
      </c>
      <c r="Z179" s="24"/>
    </row>
    <row r="180" spans="1:26" x14ac:dyDescent="0.25">
      <c r="A180" s="26">
        <v>177</v>
      </c>
      <c r="B180" s="24" t="str">
        <f>IF('ASS START SYNC'!C184="SHOW",FIND(",",'ASS START SYNC'!E184,1),"")</f>
        <v/>
      </c>
      <c r="C180" s="24" t="str">
        <f>IF('ASS START SYNC'!C184="SHOW",FIND(",",'ASS START SYNC'!E184,B180+1),"")</f>
        <v/>
      </c>
      <c r="D180" s="24" t="str">
        <f>IF('ASS START SYNC'!C184="SHOW",FIND(",",'ASS START SYNC'!E184,C180+1),"")</f>
        <v/>
      </c>
      <c r="E180" s="25" t="str">
        <f>IF('ASS START SYNC'!C184="SHOW",FIND(",,",'ASS START SYNC'!E184,1),"")</f>
        <v/>
      </c>
      <c r="F180" s="25" t="str">
        <f>IF('ASS START SYNC'!C184="SHOW",FIND(",,",'ASS START SYNC'!E184,E180+1),"")</f>
        <v/>
      </c>
      <c r="G180" s="23" t="str">
        <f>IF('ASS START SYNC'!C184="SHOW",LEFT('ASS START SYNC'!E184,B180),"")</f>
        <v/>
      </c>
      <c r="H180" s="24" t="str">
        <f>IF(AND('ASS START SYNC'!C184="SHOW",COUNTA('ASS START SYNC'!$E$8:'ASS START SYNC'!E183)=0),MID('ASS START SYNC'!E184,B180+1,C180-B180-1),IF(AND('ASS START SYNC'!C184="SHOW",COUNTA('ASS START SYNC'!$E$8:'ASS START SYNC'!E183)&lt;&gt;0),I179,""))</f>
        <v/>
      </c>
      <c r="I180" s="24" t="str">
        <f>IF('ASS START SYNC'!C184="SHOW",MID('ASS START SYNC'!E184,C180+1,D180-C180-1),I179)</f>
        <v/>
      </c>
      <c r="J180" s="23" t="str">
        <f>IF('ASS START SYNC'!C184="SHOW",MID('ASS START SYNC'!E184,D180+1,F180-D180+1),"")</f>
        <v/>
      </c>
      <c r="K180" s="23" t="str">
        <f>IF('ASS START SYNC'!C184="SHOW",MID('ASS START SYNC'!E184,F180+2,1000),"")</f>
        <v/>
      </c>
      <c r="M180" s="24"/>
      <c r="N180" s="26">
        <v>177</v>
      </c>
      <c r="O180" s="24" t="str">
        <f>IF('ASS END SYNC'!C184="SHOW",FIND(",",'ASS END SYNC'!E184,1),"")</f>
        <v/>
      </c>
      <c r="P180" s="24" t="str">
        <f>IF('ASS END SYNC'!C184="SHOW",FIND(",",'ASS END SYNC'!E184,O180+1),"")</f>
        <v/>
      </c>
      <c r="Q180" s="24" t="str">
        <f>IF('ASS END SYNC'!C184="SHOW",FIND(",",'ASS END SYNC'!E184,P180+1),"")</f>
        <v/>
      </c>
      <c r="R180" s="25" t="str">
        <f>IF('ASS END SYNC'!C184="SHOW",FIND(",,",'ASS END SYNC'!E184,1),"")</f>
        <v/>
      </c>
      <c r="S180" s="25" t="str">
        <f>IF('ASS END SYNC'!C184="SHOW",FIND(",,",'ASS END SYNC'!E184,R180+1),"")</f>
        <v/>
      </c>
      <c r="T180" s="23" t="str">
        <f>IF('ASS END SYNC'!C184="SHOW",LEFT('ASS END SYNC'!E184,O180),"")</f>
        <v/>
      </c>
      <c r="U180" s="24" t="str">
        <f>IF('ASS END SYNC'!C184="SHOW",MID('ASS END SYNC'!E184,O180+1,P180-O180-1),"")</f>
        <v/>
      </c>
      <c r="V180" s="24" t="str">
        <f>IF(AND('ASS END SYNC'!C184="SHOW",'ASS END SYNC'!C185="SHOW"),U181,IF(AND('ASS END SYNC'!C184="SHOW",'ASS END SYNC'!C185&lt;&gt;"SHOW"),MID('ASS END SYNC'!E184,O180+1,P180-O180-1),""))</f>
        <v/>
      </c>
      <c r="W180" s="23" t="str">
        <f>IF('ASS END SYNC'!C184="SHOW",MID('ASS END SYNC'!E184,Q180+1,S180-Q180+1),"")</f>
        <v/>
      </c>
      <c r="X180" s="23" t="str">
        <f>IF('ASS END SYNC'!C184="SHOW",MID('ASS END SYNC'!E184,S180+2,1000),"")</f>
        <v/>
      </c>
      <c r="Z180" s="24"/>
    </row>
    <row r="181" spans="1:26" x14ac:dyDescent="0.25">
      <c r="A181" s="26">
        <v>178</v>
      </c>
      <c r="B181" s="24" t="str">
        <f>IF('ASS START SYNC'!C185="SHOW",FIND(",",'ASS START SYNC'!E185,1),"")</f>
        <v/>
      </c>
      <c r="C181" s="24" t="str">
        <f>IF('ASS START SYNC'!C185="SHOW",FIND(",",'ASS START SYNC'!E185,B181+1),"")</f>
        <v/>
      </c>
      <c r="D181" s="24" t="str">
        <f>IF('ASS START SYNC'!C185="SHOW",FIND(",",'ASS START SYNC'!E185,C181+1),"")</f>
        <v/>
      </c>
      <c r="E181" s="25" t="str">
        <f>IF('ASS START SYNC'!C185="SHOW",FIND(",,",'ASS START SYNC'!E185,1),"")</f>
        <v/>
      </c>
      <c r="F181" s="25" t="str">
        <f>IF('ASS START SYNC'!C185="SHOW",FIND(",,",'ASS START SYNC'!E185,E181+1),"")</f>
        <v/>
      </c>
      <c r="G181" s="23" t="str">
        <f>IF('ASS START SYNC'!C185="SHOW",LEFT('ASS START SYNC'!E185,B181),"")</f>
        <v/>
      </c>
      <c r="H181" s="24" t="str">
        <f>IF(AND('ASS START SYNC'!C185="SHOW",COUNTA('ASS START SYNC'!$E$8:'ASS START SYNC'!E184)=0),MID('ASS START SYNC'!E185,B181+1,C181-B181-1),IF(AND('ASS START SYNC'!C185="SHOW",COUNTA('ASS START SYNC'!$E$8:'ASS START SYNC'!E184)&lt;&gt;0),I180,""))</f>
        <v/>
      </c>
      <c r="I181" s="24" t="str">
        <f>IF('ASS START SYNC'!C185="SHOW",MID('ASS START SYNC'!E185,C181+1,D181-C181-1),I180)</f>
        <v/>
      </c>
      <c r="J181" s="23" t="str">
        <f>IF('ASS START SYNC'!C185="SHOW",MID('ASS START SYNC'!E185,D181+1,F181-D181+1),"")</f>
        <v/>
      </c>
      <c r="K181" s="23" t="str">
        <f>IF('ASS START SYNC'!C185="SHOW",MID('ASS START SYNC'!E185,F181+2,1000),"")</f>
        <v/>
      </c>
      <c r="M181" s="24"/>
      <c r="N181" s="26">
        <v>178</v>
      </c>
      <c r="O181" s="24" t="str">
        <f>IF('ASS END SYNC'!C185="SHOW",FIND(",",'ASS END SYNC'!E185,1),"")</f>
        <v/>
      </c>
      <c r="P181" s="24" t="str">
        <f>IF('ASS END SYNC'!C185="SHOW",FIND(",",'ASS END SYNC'!E185,O181+1),"")</f>
        <v/>
      </c>
      <c r="Q181" s="24" t="str">
        <f>IF('ASS END SYNC'!C185="SHOW",FIND(",",'ASS END SYNC'!E185,P181+1),"")</f>
        <v/>
      </c>
      <c r="R181" s="25" t="str">
        <f>IF('ASS END SYNC'!C185="SHOW",FIND(",,",'ASS END SYNC'!E185,1),"")</f>
        <v/>
      </c>
      <c r="S181" s="25" t="str">
        <f>IF('ASS END SYNC'!C185="SHOW",FIND(",,",'ASS END SYNC'!E185,R181+1),"")</f>
        <v/>
      </c>
      <c r="T181" s="23" t="str">
        <f>IF('ASS END SYNC'!C185="SHOW",LEFT('ASS END SYNC'!E185,O181),"")</f>
        <v/>
      </c>
      <c r="U181" s="24" t="str">
        <f>IF('ASS END SYNC'!C185="SHOW",MID('ASS END SYNC'!E185,O181+1,P181-O181-1),"")</f>
        <v/>
      </c>
      <c r="V181" s="24" t="str">
        <f>IF(AND('ASS END SYNC'!C185="SHOW",'ASS END SYNC'!C186="SHOW"),U182,IF(AND('ASS END SYNC'!C185="SHOW",'ASS END SYNC'!C186&lt;&gt;"SHOW"),MID('ASS END SYNC'!E185,O181+1,P181-O181-1),""))</f>
        <v/>
      </c>
      <c r="W181" s="23" t="str">
        <f>IF('ASS END SYNC'!C185="SHOW",MID('ASS END SYNC'!E185,Q181+1,S181-Q181+1),"")</f>
        <v/>
      </c>
      <c r="X181" s="23" t="str">
        <f>IF('ASS END SYNC'!C185="SHOW",MID('ASS END SYNC'!E185,S181+2,1000),"")</f>
        <v/>
      </c>
      <c r="Z181" s="24"/>
    </row>
    <row r="182" spans="1:26" x14ac:dyDescent="0.25">
      <c r="A182" s="26">
        <v>179</v>
      </c>
      <c r="B182" s="24" t="str">
        <f>IF('ASS START SYNC'!C186="SHOW",FIND(",",'ASS START SYNC'!E186,1),"")</f>
        <v/>
      </c>
      <c r="C182" s="24" t="str">
        <f>IF('ASS START SYNC'!C186="SHOW",FIND(",",'ASS START SYNC'!E186,B182+1),"")</f>
        <v/>
      </c>
      <c r="D182" s="24" t="str">
        <f>IF('ASS START SYNC'!C186="SHOW",FIND(",",'ASS START SYNC'!E186,C182+1),"")</f>
        <v/>
      </c>
      <c r="E182" s="25" t="str">
        <f>IF('ASS START SYNC'!C186="SHOW",FIND(",,",'ASS START SYNC'!E186,1),"")</f>
        <v/>
      </c>
      <c r="F182" s="25" t="str">
        <f>IF('ASS START SYNC'!C186="SHOW",FIND(",,",'ASS START SYNC'!E186,E182+1),"")</f>
        <v/>
      </c>
      <c r="G182" s="23" t="str">
        <f>IF('ASS START SYNC'!C186="SHOW",LEFT('ASS START SYNC'!E186,B182),"")</f>
        <v/>
      </c>
      <c r="H182" s="24" t="str">
        <f>IF(AND('ASS START SYNC'!C186="SHOW",COUNTA('ASS START SYNC'!$E$8:'ASS START SYNC'!E185)=0),MID('ASS START SYNC'!E186,B182+1,C182-B182-1),IF(AND('ASS START SYNC'!C186="SHOW",COUNTA('ASS START SYNC'!$E$8:'ASS START SYNC'!E185)&lt;&gt;0),I181,""))</f>
        <v/>
      </c>
      <c r="I182" s="24" t="str">
        <f>IF('ASS START SYNC'!C186="SHOW",MID('ASS START SYNC'!E186,C182+1,D182-C182-1),I181)</f>
        <v/>
      </c>
      <c r="J182" s="23" t="str">
        <f>IF('ASS START SYNC'!C186="SHOW",MID('ASS START SYNC'!E186,D182+1,F182-D182+1),"")</f>
        <v/>
      </c>
      <c r="K182" s="23" t="str">
        <f>IF('ASS START SYNC'!C186="SHOW",MID('ASS START SYNC'!E186,F182+2,1000),"")</f>
        <v/>
      </c>
      <c r="M182" s="24"/>
      <c r="N182" s="26">
        <v>179</v>
      </c>
      <c r="O182" s="24" t="str">
        <f>IF('ASS END SYNC'!C186="SHOW",FIND(",",'ASS END SYNC'!E186,1),"")</f>
        <v/>
      </c>
      <c r="P182" s="24" t="str">
        <f>IF('ASS END SYNC'!C186="SHOW",FIND(",",'ASS END SYNC'!E186,O182+1),"")</f>
        <v/>
      </c>
      <c r="Q182" s="24" t="str">
        <f>IF('ASS END SYNC'!C186="SHOW",FIND(",",'ASS END SYNC'!E186,P182+1),"")</f>
        <v/>
      </c>
      <c r="R182" s="25" t="str">
        <f>IF('ASS END SYNC'!C186="SHOW",FIND(",,",'ASS END SYNC'!E186,1),"")</f>
        <v/>
      </c>
      <c r="S182" s="25" t="str">
        <f>IF('ASS END SYNC'!C186="SHOW",FIND(",,",'ASS END SYNC'!E186,R182+1),"")</f>
        <v/>
      </c>
      <c r="T182" s="23" t="str">
        <f>IF('ASS END SYNC'!C186="SHOW",LEFT('ASS END SYNC'!E186,O182),"")</f>
        <v/>
      </c>
      <c r="U182" s="24" t="str">
        <f>IF('ASS END SYNC'!C186="SHOW",MID('ASS END SYNC'!E186,O182+1,P182-O182-1),"")</f>
        <v/>
      </c>
      <c r="V182" s="24" t="str">
        <f>IF(AND('ASS END SYNC'!C186="SHOW",'ASS END SYNC'!C187="SHOW"),U183,IF(AND('ASS END SYNC'!C186="SHOW",'ASS END SYNC'!C187&lt;&gt;"SHOW"),MID('ASS END SYNC'!E186,O182+1,P182-O182-1),""))</f>
        <v/>
      </c>
      <c r="W182" s="23" t="str">
        <f>IF('ASS END SYNC'!C186="SHOW",MID('ASS END SYNC'!E186,Q182+1,S182-Q182+1),"")</f>
        <v/>
      </c>
      <c r="X182" s="23" t="str">
        <f>IF('ASS END SYNC'!C186="SHOW",MID('ASS END SYNC'!E186,S182+2,1000),"")</f>
        <v/>
      </c>
      <c r="Z182" s="24"/>
    </row>
    <row r="183" spans="1:26" x14ac:dyDescent="0.25">
      <c r="A183" s="26">
        <v>180</v>
      </c>
      <c r="B183" s="24" t="str">
        <f>IF('ASS START SYNC'!C187="SHOW",FIND(",",'ASS START SYNC'!E187,1),"")</f>
        <v/>
      </c>
      <c r="C183" s="24" t="str">
        <f>IF('ASS START SYNC'!C187="SHOW",FIND(",",'ASS START SYNC'!E187,B183+1),"")</f>
        <v/>
      </c>
      <c r="D183" s="24" t="str">
        <f>IF('ASS START SYNC'!C187="SHOW",FIND(",",'ASS START SYNC'!E187,C183+1),"")</f>
        <v/>
      </c>
      <c r="E183" s="25" t="str">
        <f>IF('ASS START SYNC'!C187="SHOW",FIND(",,",'ASS START SYNC'!E187,1),"")</f>
        <v/>
      </c>
      <c r="F183" s="25" t="str">
        <f>IF('ASS START SYNC'!C187="SHOW",FIND(",,",'ASS START SYNC'!E187,E183+1),"")</f>
        <v/>
      </c>
      <c r="G183" s="23" t="str">
        <f>IF('ASS START SYNC'!C187="SHOW",LEFT('ASS START SYNC'!E187,B183),"")</f>
        <v/>
      </c>
      <c r="H183" s="24" t="str">
        <f>IF(AND('ASS START SYNC'!C187="SHOW",COUNTA('ASS START SYNC'!$E$8:'ASS START SYNC'!E186)=0),MID('ASS START SYNC'!E187,B183+1,C183-B183-1),IF(AND('ASS START SYNC'!C187="SHOW",COUNTA('ASS START SYNC'!$E$8:'ASS START SYNC'!E186)&lt;&gt;0),I182,""))</f>
        <v/>
      </c>
      <c r="I183" s="24" t="str">
        <f>IF('ASS START SYNC'!C187="SHOW",MID('ASS START SYNC'!E187,C183+1,D183-C183-1),I182)</f>
        <v/>
      </c>
      <c r="J183" s="23" t="str">
        <f>IF('ASS START SYNC'!C187="SHOW",MID('ASS START SYNC'!E187,D183+1,F183-D183+1),"")</f>
        <v/>
      </c>
      <c r="K183" s="23" t="str">
        <f>IF('ASS START SYNC'!C187="SHOW",MID('ASS START SYNC'!E187,F183+2,1000),"")</f>
        <v/>
      </c>
      <c r="M183" s="24"/>
      <c r="N183" s="26">
        <v>180</v>
      </c>
      <c r="O183" s="24" t="str">
        <f>IF('ASS END SYNC'!C187="SHOW",FIND(",",'ASS END SYNC'!E187,1),"")</f>
        <v/>
      </c>
      <c r="P183" s="24" t="str">
        <f>IF('ASS END SYNC'!C187="SHOW",FIND(",",'ASS END SYNC'!E187,O183+1),"")</f>
        <v/>
      </c>
      <c r="Q183" s="24" t="str">
        <f>IF('ASS END SYNC'!C187="SHOW",FIND(",",'ASS END SYNC'!E187,P183+1),"")</f>
        <v/>
      </c>
      <c r="R183" s="25" t="str">
        <f>IF('ASS END SYNC'!C187="SHOW",FIND(",,",'ASS END SYNC'!E187,1),"")</f>
        <v/>
      </c>
      <c r="S183" s="25" t="str">
        <f>IF('ASS END SYNC'!C187="SHOW",FIND(",,",'ASS END SYNC'!E187,R183+1),"")</f>
        <v/>
      </c>
      <c r="T183" s="23" t="str">
        <f>IF('ASS END SYNC'!C187="SHOW",LEFT('ASS END SYNC'!E187,O183),"")</f>
        <v/>
      </c>
      <c r="U183" s="24" t="str">
        <f>IF('ASS END SYNC'!C187="SHOW",MID('ASS END SYNC'!E187,O183+1,P183-O183-1),"")</f>
        <v/>
      </c>
      <c r="V183" s="24" t="str">
        <f>IF(AND('ASS END SYNC'!C187="SHOW",'ASS END SYNC'!C188="SHOW"),U184,IF(AND('ASS END SYNC'!C187="SHOW",'ASS END SYNC'!C188&lt;&gt;"SHOW"),MID('ASS END SYNC'!E187,O183+1,P183-O183-1),""))</f>
        <v/>
      </c>
      <c r="W183" s="23" t="str">
        <f>IF('ASS END SYNC'!C187="SHOW",MID('ASS END SYNC'!E187,Q183+1,S183-Q183+1),"")</f>
        <v/>
      </c>
      <c r="X183" s="23" t="str">
        <f>IF('ASS END SYNC'!C187="SHOW",MID('ASS END SYNC'!E187,S183+2,1000),"")</f>
        <v/>
      </c>
      <c r="Z183" s="24"/>
    </row>
    <row r="184" spans="1:26" x14ac:dyDescent="0.25">
      <c r="A184" s="26">
        <v>181</v>
      </c>
      <c r="B184" s="24" t="str">
        <f>IF('ASS START SYNC'!C188="SHOW",FIND(",",'ASS START SYNC'!E188,1),"")</f>
        <v/>
      </c>
      <c r="C184" s="24" t="str">
        <f>IF('ASS START SYNC'!C188="SHOW",FIND(",",'ASS START SYNC'!E188,B184+1),"")</f>
        <v/>
      </c>
      <c r="D184" s="24" t="str">
        <f>IF('ASS START SYNC'!C188="SHOW",FIND(",",'ASS START SYNC'!E188,C184+1),"")</f>
        <v/>
      </c>
      <c r="E184" s="25" t="str">
        <f>IF('ASS START SYNC'!C188="SHOW",FIND(",,",'ASS START SYNC'!E188,1),"")</f>
        <v/>
      </c>
      <c r="F184" s="25" t="str">
        <f>IF('ASS START SYNC'!C188="SHOW",FIND(",,",'ASS START SYNC'!E188,E184+1),"")</f>
        <v/>
      </c>
      <c r="G184" s="23" t="str">
        <f>IF('ASS START SYNC'!C188="SHOW",LEFT('ASS START SYNC'!E188,B184),"")</f>
        <v/>
      </c>
      <c r="H184" s="24" t="str">
        <f>IF(AND('ASS START SYNC'!C188="SHOW",COUNTA('ASS START SYNC'!$E$8:'ASS START SYNC'!E187)=0),MID('ASS START SYNC'!E188,B184+1,C184-B184-1),IF(AND('ASS START SYNC'!C188="SHOW",COUNTA('ASS START SYNC'!$E$8:'ASS START SYNC'!E187)&lt;&gt;0),I183,""))</f>
        <v/>
      </c>
      <c r="I184" s="24" t="str">
        <f>IF('ASS START SYNC'!C188="SHOW",MID('ASS START SYNC'!E188,C184+1,D184-C184-1),I183)</f>
        <v/>
      </c>
      <c r="J184" s="23" t="str">
        <f>IF('ASS START SYNC'!C188="SHOW",MID('ASS START SYNC'!E188,D184+1,F184-D184+1),"")</f>
        <v/>
      </c>
      <c r="K184" s="23" t="str">
        <f>IF('ASS START SYNC'!C188="SHOW",MID('ASS START SYNC'!E188,F184+2,1000),"")</f>
        <v/>
      </c>
      <c r="M184" s="24"/>
      <c r="N184" s="26">
        <v>181</v>
      </c>
      <c r="O184" s="24" t="str">
        <f>IF('ASS END SYNC'!C188="SHOW",FIND(",",'ASS END SYNC'!E188,1),"")</f>
        <v/>
      </c>
      <c r="P184" s="24" t="str">
        <f>IF('ASS END SYNC'!C188="SHOW",FIND(",",'ASS END SYNC'!E188,O184+1),"")</f>
        <v/>
      </c>
      <c r="Q184" s="24" t="str">
        <f>IF('ASS END SYNC'!C188="SHOW",FIND(",",'ASS END SYNC'!E188,P184+1),"")</f>
        <v/>
      </c>
      <c r="R184" s="25" t="str">
        <f>IF('ASS END SYNC'!C188="SHOW",FIND(",,",'ASS END SYNC'!E188,1),"")</f>
        <v/>
      </c>
      <c r="S184" s="25" t="str">
        <f>IF('ASS END SYNC'!C188="SHOW",FIND(",,",'ASS END SYNC'!E188,R184+1),"")</f>
        <v/>
      </c>
      <c r="T184" s="23" t="str">
        <f>IF('ASS END SYNC'!C188="SHOW",LEFT('ASS END SYNC'!E188,O184),"")</f>
        <v/>
      </c>
      <c r="U184" s="24" t="str">
        <f>IF('ASS END SYNC'!C188="SHOW",MID('ASS END SYNC'!E188,O184+1,P184-O184-1),"")</f>
        <v/>
      </c>
      <c r="V184" s="24" t="str">
        <f>IF(AND('ASS END SYNC'!C188="SHOW",'ASS END SYNC'!C189="SHOW"),U185,IF(AND('ASS END SYNC'!C188="SHOW",'ASS END SYNC'!C189&lt;&gt;"SHOW"),MID('ASS END SYNC'!E188,O184+1,P184-O184-1),""))</f>
        <v/>
      </c>
      <c r="W184" s="23" t="str">
        <f>IF('ASS END SYNC'!C188="SHOW",MID('ASS END SYNC'!E188,Q184+1,S184-Q184+1),"")</f>
        <v/>
      </c>
      <c r="X184" s="23" t="str">
        <f>IF('ASS END SYNC'!C188="SHOW",MID('ASS END SYNC'!E188,S184+2,1000),"")</f>
        <v/>
      </c>
      <c r="Z184" s="24"/>
    </row>
    <row r="185" spans="1:26" x14ac:dyDescent="0.25">
      <c r="A185" s="26">
        <v>182</v>
      </c>
      <c r="B185" s="24" t="str">
        <f>IF('ASS START SYNC'!C189="SHOW",FIND(",",'ASS START SYNC'!E189,1),"")</f>
        <v/>
      </c>
      <c r="C185" s="24" t="str">
        <f>IF('ASS START SYNC'!C189="SHOW",FIND(",",'ASS START SYNC'!E189,B185+1),"")</f>
        <v/>
      </c>
      <c r="D185" s="24" t="str">
        <f>IF('ASS START SYNC'!C189="SHOW",FIND(",",'ASS START SYNC'!E189,C185+1),"")</f>
        <v/>
      </c>
      <c r="E185" s="25" t="str">
        <f>IF('ASS START SYNC'!C189="SHOW",FIND(",,",'ASS START SYNC'!E189,1),"")</f>
        <v/>
      </c>
      <c r="F185" s="25" t="str">
        <f>IF('ASS START SYNC'!C189="SHOW",FIND(",,",'ASS START SYNC'!E189,E185+1),"")</f>
        <v/>
      </c>
      <c r="G185" s="23" t="str">
        <f>IF('ASS START SYNC'!C189="SHOW",LEFT('ASS START SYNC'!E189,B185),"")</f>
        <v/>
      </c>
      <c r="H185" s="24" t="str">
        <f>IF(AND('ASS START SYNC'!C189="SHOW",COUNTA('ASS START SYNC'!$E$8:'ASS START SYNC'!E188)=0),MID('ASS START SYNC'!E189,B185+1,C185-B185-1),IF(AND('ASS START SYNC'!C189="SHOW",COUNTA('ASS START SYNC'!$E$8:'ASS START SYNC'!E188)&lt;&gt;0),I184,""))</f>
        <v/>
      </c>
      <c r="I185" s="24" t="str">
        <f>IF('ASS START SYNC'!C189="SHOW",MID('ASS START SYNC'!E189,C185+1,D185-C185-1),I184)</f>
        <v/>
      </c>
      <c r="J185" s="23" t="str">
        <f>IF('ASS START SYNC'!C189="SHOW",MID('ASS START SYNC'!E189,D185+1,F185-D185+1),"")</f>
        <v/>
      </c>
      <c r="K185" s="23" t="str">
        <f>IF('ASS START SYNC'!C189="SHOW",MID('ASS START SYNC'!E189,F185+2,1000),"")</f>
        <v/>
      </c>
      <c r="M185" s="24"/>
      <c r="N185" s="26">
        <v>182</v>
      </c>
      <c r="O185" s="24" t="str">
        <f>IF('ASS END SYNC'!C189="SHOW",FIND(",",'ASS END SYNC'!E189,1),"")</f>
        <v/>
      </c>
      <c r="P185" s="24" t="str">
        <f>IF('ASS END SYNC'!C189="SHOW",FIND(",",'ASS END SYNC'!E189,O185+1),"")</f>
        <v/>
      </c>
      <c r="Q185" s="24" t="str">
        <f>IF('ASS END SYNC'!C189="SHOW",FIND(",",'ASS END SYNC'!E189,P185+1),"")</f>
        <v/>
      </c>
      <c r="R185" s="25" t="str">
        <f>IF('ASS END SYNC'!C189="SHOW",FIND(",,",'ASS END SYNC'!E189,1),"")</f>
        <v/>
      </c>
      <c r="S185" s="25" t="str">
        <f>IF('ASS END SYNC'!C189="SHOW",FIND(",,",'ASS END SYNC'!E189,R185+1),"")</f>
        <v/>
      </c>
      <c r="T185" s="23" t="str">
        <f>IF('ASS END SYNC'!C189="SHOW",LEFT('ASS END SYNC'!E189,O185),"")</f>
        <v/>
      </c>
      <c r="U185" s="24" t="str">
        <f>IF('ASS END SYNC'!C189="SHOW",MID('ASS END SYNC'!E189,O185+1,P185-O185-1),"")</f>
        <v/>
      </c>
      <c r="V185" s="24" t="str">
        <f>IF(AND('ASS END SYNC'!C189="SHOW",'ASS END SYNC'!C190="SHOW"),U186,IF(AND('ASS END SYNC'!C189="SHOW",'ASS END SYNC'!C190&lt;&gt;"SHOW"),MID('ASS END SYNC'!E189,O185+1,P185-O185-1),""))</f>
        <v/>
      </c>
      <c r="W185" s="23" t="str">
        <f>IF('ASS END SYNC'!C189="SHOW",MID('ASS END SYNC'!E189,Q185+1,S185-Q185+1),"")</f>
        <v/>
      </c>
      <c r="X185" s="23" t="str">
        <f>IF('ASS END SYNC'!C189="SHOW",MID('ASS END SYNC'!E189,S185+2,1000),"")</f>
        <v/>
      </c>
      <c r="Z185" s="24"/>
    </row>
    <row r="186" spans="1:26" x14ac:dyDescent="0.25">
      <c r="A186" s="26">
        <v>183</v>
      </c>
      <c r="B186" s="24" t="str">
        <f>IF('ASS START SYNC'!C190="SHOW",FIND(",",'ASS START SYNC'!E190,1),"")</f>
        <v/>
      </c>
      <c r="C186" s="24" t="str">
        <f>IF('ASS START SYNC'!C190="SHOW",FIND(",",'ASS START SYNC'!E190,B186+1),"")</f>
        <v/>
      </c>
      <c r="D186" s="24" t="str">
        <f>IF('ASS START SYNC'!C190="SHOW",FIND(",",'ASS START SYNC'!E190,C186+1),"")</f>
        <v/>
      </c>
      <c r="E186" s="25" t="str">
        <f>IF('ASS START SYNC'!C190="SHOW",FIND(",,",'ASS START SYNC'!E190,1),"")</f>
        <v/>
      </c>
      <c r="F186" s="25" t="str">
        <f>IF('ASS START SYNC'!C190="SHOW",FIND(",,",'ASS START SYNC'!E190,E186+1),"")</f>
        <v/>
      </c>
      <c r="G186" s="23" t="str">
        <f>IF('ASS START SYNC'!C190="SHOW",LEFT('ASS START SYNC'!E190,B186),"")</f>
        <v/>
      </c>
      <c r="H186" s="24" t="str">
        <f>IF(AND('ASS START SYNC'!C190="SHOW",COUNTA('ASS START SYNC'!$E$8:'ASS START SYNC'!E189)=0),MID('ASS START SYNC'!E190,B186+1,C186-B186-1),IF(AND('ASS START SYNC'!C190="SHOW",COUNTA('ASS START SYNC'!$E$8:'ASS START SYNC'!E189)&lt;&gt;0),I185,""))</f>
        <v/>
      </c>
      <c r="I186" s="24" t="str">
        <f>IF('ASS START SYNC'!C190="SHOW",MID('ASS START SYNC'!E190,C186+1,D186-C186-1),I185)</f>
        <v/>
      </c>
      <c r="J186" s="23" t="str">
        <f>IF('ASS START SYNC'!C190="SHOW",MID('ASS START SYNC'!E190,D186+1,F186-D186+1),"")</f>
        <v/>
      </c>
      <c r="K186" s="23" t="str">
        <f>IF('ASS START SYNC'!C190="SHOW",MID('ASS START SYNC'!E190,F186+2,1000),"")</f>
        <v/>
      </c>
      <c r="M186" s="24"/>
      <c r="N186" s="26">
        <v>183</v>
      </c>
      <c r="O186" s="24" t="str">
        <f>IF('ASS END SYNC'!C190="SHOW",FIND(",",'ASS END SYNC'!E190,1),"")</f>
        <v/>
      </c>
      <c r="P186" s="24" t="str">
        <f>IF('ASS END SYNC'!C190="SHOW",FIND(",",'ASS END SYNC'!E190,O186+1),"")</f>
        <v/>
      </c>
      <c r="Q186" s="24" t="str">
        <f>IF('ASS END SYNC'!C190="SHOW",FIND(",",'ASS END SYNC'!E190,P186+1),"")</f>
        <v/>
      </c>
      <c r="R186" s="25" t="str">
        <f>IF('ASS END SYNC'!C190="SHOW",FIND(",,",'ASS END SYNC'!E190,1),"")</f>
        <v/>
      </c>
      <c r="S186" s="25" t="str">
        <f>IF('ASS END SYNC'!C190="SHOW",FIND(",,",'ASS END SYNC'!E190,R186+1),"")</f>
        <v/>
      </c>
      <c r="T186" s="23" t="str">
        <f>IF('ASS END SYNC'!C190="SHOW",LEFT('ASS END SYNC'!E190,O186),"")</f>
        <v/>
      </c>
      <c r="U186" s="24" t="str">
        <f>IF('ASS END SYNC'!C190="SHOW",MID('ASS END SYNC'!E190,O186+1,P186-O186-1),"")</f>
        <v/>
      </c>
      <c r="V186" s="24" t="str">
        <f>IF(AND('ASS END SYNC'!C190="SHOW",'ASS END SYNC'!C191="SHOW"),U187,IF(AND('ASS END SYNC'!C190="SHOW",'ASS END SYNC'!C191&lt;&gt;"SHOW"),MID('ASS END SYNC'!E190,O186+1,P186-O186-1),""))</f>
        <v/>
      </c>
      <c r="W186" s="23" t="str">
        <f>IF('ASS END SYNC'!C190="SHOW",MID('ASS END SYNC'!E190,Q186+1,S186-Q186+1),"")</f>
        <v/>
      </c>
      <c r="X186" s="23" t="str">
        <f>IF('ASS END SYNC'!C190="SHOW",MID('ASS END SYNC'!E190,S186+2,1000),"")</f>
        <v/>
      </c>
      <c r="Z186" s="24"/>
    </row>
    <row r="187" spans="1:26" x14ac:dyDescent="0.25">
      <c r="A187" s="26">
        <v>184</v>
      </c>
      <c r="B187" s="24" t="str">
        <f>IF('ASS START SYNC'!C191="SHOW",FIND(",",'ASS START SYNC'!E191,1),"")</f>
        <v/>
      </c>
      <c r="C187" s="24" t="str">
        <f>IF('ASS START SYNC'!C191="SHOW",FIND(",",'ASS START SYNC'!E191,B187+1),"")</f>
        <v/>
      </c>
      <c r="D187" s="24" t="str">
        <f>IF('ASS START SYNC'!C191="SHOW",FIND(",",'ASS START SYNC'!E191,C187+1),"")</f>
        <v/>
      </c>
      <c r="E187" s="25" t="str">
        <f>IF('ASS START SYNC'!C191="SHOW",FIND(",,",'ASS START SYNC'!E191,1),"")</f>
        <v/>
      </c>
      <c r="F187" s="25" t="str">
        <f>IF('ASS START SYNC'!C191="SHOW",FIND(",,",'ASS START SYNC'!E191,E187+1),"")</f>
        <v/>
      </c>
      <c r="G187" s="23" t="str">
        <f>IF('ASS START SYNC'!C191="SHOW",LEFT('ASS START SYNC'!E191,B187),"")</f>
        <v/>
      </c>
      <c r="H187" s="24" t="str">
        <f>IF(AND('ASS START SYNC'!C191="SHOW",COUNTA('ASS START SYNC'!$E$8:'ASS START SYNC'!E190)=0),MID('ASS START SYNC'!E191,B187+1,C187-B187-1),IF(AND('ASS START SYNC'!C191="SHOW",COUNTA('ASS START SYNC'!$E$8:'ASS START SYNC'!E190)&lt;&gt;0),I186,""))</f>
        <v/>
      </c>
      <c r="I187" s="24" t="str">
        <f>IF('ASS START SYNC'!C191="SHOW",MID('ASS START SYNC'!E191,C187+1,D187-C187-1),I186)</f>
        <v/>
      </c>
      <c r="J187" s="23" t="str">
        <f>IF('ASS START SYNC'!C191="SHOW",MID('ASS START SYNC'!E191,D187+1,F187-D187+1),"")</f>
        <v/>
      </c>
      <c r="K187" s="23" t="str">
        <f>IF('ASS START SYNC'!C191="SHOW",MID('ASS START SYNC'!E191,F187+2,1000),"")</f>
        <v/>
      </c>
      <c r="M187" s="24"/>
      <c r="N187" s="26">
        <v>184</v>
      </c>
      <c r="O187" s="24" t="str">
        <f>IF('ASS END SYNC'!C191="SHOW",FIND(",",'ASS END SYNC'!E191,1),"")</f>
        <v/>
      </c>
      <c r="P187" s="24" t="str">
        <f>IF('ASS END SYNC'!C191="SHOW",FIND(",",'ASS END SYNC'!E191,O187+1),"")</f>
        <v/>
      </c>
      <c r="Q187" s="24" t="str">
        <f>IF('ASS END SYNC'!C191="SHOW",FIND(",",'ASS END SYNC'!E191,P187+1),"")</f>
        <v/>
      </c>
      <c r="R187" s="25" t="str">
        <f>IF('ASS END SYNC'!C191="SHOW",FIND(",,",'ASS END SYNC'!E191,1),"")</f>
        <v/>
      </c>
      <c r="S187" s="25" t="str">
        <f>IF('ASS END SYNC'!C191="SHOW",FIND(",,",'ASS END SYNC'!E191,R187+1),"")</f>
        <v/>
      </c>
      <c r="T187" s="23" t="str">
        <f>IF('ASS END SYNC'!C191="SHOW",LEFT('ASS END SYNC'!E191,O187),"")</f>
        <v/>
      </c>
      <c r="U187" s="24" t="str">
        <f>IF('ASS END SYNC'!C191="SHOW",MID('ASS END SYNC'!E191,O187+1,P187-O187-1),"")</f>
        <v/>
      </c>
      <c r="V187" s="24" t="str">
        <f>IF(AND('ASS END SYNC'!C191="SHOW",'ASS END SYNC'!C192="SHOW"),U188,IF(AND('ASS END SYNC'!C191="SHOW",'ASS END SYNC'!C192&lt;&gt;"SHOW"),MID('ASS END SYNC'!E191,O187+1,P187-O187-1),""))</f>
        <v/>
      </c>
      <c r="W187" s="23" t="str">
        <f>IF('ASS END SYNC'!C191="SHOW",MID('ASS END SYNC'!E191,Q187+1,S187-Q187+1),"")</f>
        <v/>
      </c>
      <c r="X187" s="23" t="str">
        <f>IF('ASS END SYNC'!C191="SHOW",MID('ASS END SYNC'!E191,S187+2,1000),"")</f>
        <v/>
      </c>
      <c r="Z187" s="24"/>
    </row>
    <row r="188" spans="1:26" x14ac:dyDescent="0.25">
      <c r="A188" s="26">
        <v>185</v>
      </c>
      <c r="B188" s="24" t="str">
        <f>IF('ASS START SYNC'!C192="SHOW",FIND(",",'ASS START SYNC'!E192,1),"")</f>
        <v/>
      </c>
      <c r="C188" s="24" t="str">
        <f>IF('ASS START SYNC'!C192="SHOW",FIND(",",'ASS START SYNC'!E192,B188+1),"")</f>
        <v/>
      </c>
      <c r="D188" s="24" t="str">
        <f>IF('ASS START SYNC'!C192="SHOW",FIND(",",'ASS START SYNC'!E192,C188+1),"")</f>
        <v/>
      </c>
      <c r="E188" s="25" t="str">
        <f>IF('ASS START SYNC'!C192="SHOW",FIND(",,",'ASS START SYNC'!E192,1),"")</f>
        <v/>
      </c>
      <c r="F188" s="25" t="str">
        <f>IF('ASS START SYNC'!C192="SHOW",FIND(",,",'ASS START SYNC'!E192,E188+1),"")</f>
        <v/>
      </c>
      <c r="G188" s="23" t="str">
        <f>IF('ASS START SYNC'!C192="SHOW",LEFT('ASS START SYNC'!E192,B188),"")</f>
        <v/>
      </c>
      <c r="H188" s="24" t="str">
        <f>IF(AND('ASS START SYNC'!C192="SHOW",COUNTA('ASS START SYNC'!$E$8:'ASS START SYNC'!E191)=0),MID('ASS START SYNC'!E192,B188+1,C188-B188-1),IF(AND('ASS START SYNC'!C192="SHOW",COUNTA('ASS START SYNC'!$E$8:'ASS START SYNC'!E191)&lt;&gt;0),I187,""))</f>
        <v/>
      </c>
      <c r="I188" s="24" t="str">
        <f>IF('ASS START SYNC'!C192="SHOW",MID('ASS START SYNC'!E192,C188+1,D188-C188-1),I187)</f>
        <v/>
      </c>
      <c r="J188" s="23" t="str">
        <f>IF('ASS START SYNC'!C192="SHOW",MID('ASS START SYNC'!E192,D188+1,F188-D188+1),"")</f>
        <v/>
      </c>
      <c r="K188" s="23" t="str">
        <f>IF('ASS START SYNC'!C192="SHOW",MID('ASS START SYNC'!E192,F188+2,1000),"")</f>
        <v/>
      </c>
      <c r="M188" s="24"/>
      <c r="N188" s="26">
        <v>185</v>
      </c>
      <c r="O188" s="24" t="str">
        <f>IF('ASS END SYNC'!C192="SHOW",FIND(",",'ASS END SYNC'!E192,1),"")</f>
        <v/>
      </c>
      <c r="P188" s="24" t="str">
        <f>IF('ASS END SYNC'!C192="SHOW",FIND(",",'ASS END SYNC'!E192,O188+1),"")</f>
        <v/>
      </c>
      <c r="Q188" s="24" t="str">
        <f>IF('ASS END SYNC'!C192="SHOW",FIND(",",'ASS END SYNC'!E192,P188+1),"")</f>
        <v/>
      </c>
      <c r="R188" s="25" t="str">
        <f>IF('ASS END SYNC'!C192="SHOW",FIND(",,",'ASS END SYNC'!E192,1),"")</f>
        <v/>
      </c>
      <c r="S188" s="25" t="str">
        <f>IF('ASS END SYNC'!C192="SHOW",FIND(",,",'ASS END SYNC'!E192,R188+1),"")</f>
        <v/>
      </c>
      <c r="T188" s="23" t="str">
        <f>IF('ASS END SYNC'!C192="SHOW",LEFT('ASS END SYNC'!E192,O188),"")</f>
        <v/>
      </c>
      <c r="U188" s="24" t="str">
        <f>IF('ASS END SYNC'!C192="SHOW",MID('ASS END SYNC'!E192,O188+1,P188-O188-1),"")</f>
        <v/>
      </c>
      <c r="V188" s="24" t="str">
        <f>IF(AND('ASS END SYNC'!C192="SHOW",'ASS END SYNC'!C193="SHOW"),U189,IF(AND('ASS END SYNC'!C192="SHOW",'ASS END SYNC'!C193&lt;&gt;"SHOW"),MID('ASS END SYNC'!E192,O188+1,P188-O188-1),""))</f>
        <v/>
      </c>
      <c r="W188" s="23" t="str">
        <f>IF('ASS END SYNC'!C192="SHOW",MID('ASS END SYNC'!E192,Q188+1,S188-Q188+1),"")</f>
        <v/>
      </c>
      <c r="X188" s="23" t="str">
        <f>IF('ASS END SYNC'!C192="SHOW",MID('ASS END SYNC'!E192,S188+2,1000),"")</f>
        <v/>
      </c>
      <c r="Z188" s="24"/>
    </row>
    <row r="189" spans="1:26" x14ac:dyDescent="0.25">
      <c r="A189" s="26">
        <v>186</v>
      </c>
      <c r="B189" s="24" t="str">
        <f>IF('ASS START SYNC'!C193="SHOW",FIND(",",'ASS START SYNC'!E193,1),"")</f>
        <v/>
      </c>
      <c r="C189" s="24" t="str">
        <f>IF('ASS START SYNC'!C193="SHOW",FIND(",",'ASS START SYNC'!E193,B189+1),"")</f>
        <v/>
      </c>
      <c r="D189" s="24" t="str">
        <f>IF('ASS START SYNC'!C193="SHOW",FIND(",",'ASS START SYNC'!E193,C189+1),"")</f>
        <v/>
      </c>
      <c r="E189" s="25" t="str">
        <f>IF('ASS START SYNC'!C193="SHOW",FIND(",,",'ASS START SYNC'!E193,1),"")</f>
        <v/>
      </c>
      <c r="F189" s="25" t="str">
        <f>IF('ASS START SYNC'!C193="SHOW",FIND(",,",'ASS START SYNC'!E193,E189+1),"")</f>
        <v/>
      </c>
      <c r="G189" s="23" t="str">
        <f>IF('ASS START SYNC'!C193="SHOW",LEFT('ASS START SYNC'!E193,B189),"")</f>
        <v/>
      </c>
      <c r="H189" s="24" t="str">
        <f>IF(AND('ASS START SYNC'!C193="SHOW",COUNTA('ASS START SYNC'!$E$8:'ASS START SYNC'!E192)=0),MID('ASS START SYNC'!E193,B189+1,C189-B189-1),IF(AND('ASS START SYNC'!C193="SHOW",COUNTA('ASS START SYNC'!$E$8:'ASS START SYNC'!E192)&lt;&gt;0),I188,""))</f>
        <v/>
      </c>
      <c r="I189" s="24" t="str">
        <f>IF('ASS START SYNC'!C193="SHOW",MID('ASS START SYNC'!E193,C189+1,D189-C189-1),I188)</f>
        <v/>
      </c>
      <c r="J189" s="23" t="str">
        <f>IF('ASS START SYNC'!C193="SHOW",MID('ASS START SYNC'!E193,D189+1,F189-D189+1),"")</f>
        <v/>
      </c>
      <c r="K189" s="23" t="str">
        <f>IF('ASS START SYNC'!C193="SHOW",MID('ASS START SYNC'!E193,F189+2,1000),"")</f>
        <v/>
      </c>
      <c r="M189" s="24"/>
      <c r="N189" s="26">
        <v>186</v>
      </c>
      <c r="O189" s="24" t="str">
        <f>IF('ASS END SYNC'!C193="SHOW",FIND(",",'ASS END SYNC'!E193,1),"")</f>
        <v/>
      </c>
      <c r="P189" s="24" t="str">
        <f>IF('ASS END SYNC'!C193="SHOW",FIND(",",'ASS END SYNC'!E193,O189+1),"")</f>
        <v/>
      </c>
      <c r="Q189" s="24" t="str">
        <f>IF('ASS END SYNC'!C193="SHOW",FIND(",",'ASS END SYNC'!E193,P189+1),"")</f>
        <v/>
      </c>
      <c r="R189" s="25" t="str">
        <f>IF('ASS END SYNC'!C193="SHOW",FIND(",,",'ASS END SYNC'!E193,1),"")</f>
        <v/>
      </c>
      <c r="S189" s="25" t="str">
        <f>IF('ASS END SYNC'!C193="SHOW",FIND(",,",'ASS END SYNC'!E193,R189+1),"")</f>
        <v/>
      </c>
      <c r="T189" s="23" t="str">
        <f>IF('ASS END SYNC'!C193="SHOW",LEFT('ASS END SYNC'!E193,O189),"")</f>
        <v/>
      </c>
      <c r="U189" s="24" t="str">
        <f>IF('ASS END SYNC'!C193="SHOW",MID('ASS END SYNC'!E193,O189+1,P189-O189-1),"")</f>
        <v/>
      </c>
      <c r="V189" s="24" t="str">
        <f>IF(AND('ASS END SYNC'!C193="SHOW",'ASS END SYNC'!C194="SHOW"),U190,IF(AND('ASS END SYNC'!C193="SHOW",'ASS END SYNC'!C194&lt;&gt;"SHOW"),MID('ASS END SYNC'!E193,O189+1,P189-O189-1),""))</f>
        <v/>
      </c>
      <c r="W189" s="23" t="str">
        <f>IF('ASS END SYNC'!C193="SHOW",MID('ASS END SYNC'!E193,Q189+1,S189-Q189+1),"")</f>
        <v/>
      </c>
      <c r="X189" s="23" t="str">
        <f>IF('ASS END SYNC'!C193="SHOW",MID('ASS END SYNC'!E193,S189+2,1000),"")</f>
        <v/>
      </c>
      <c r="Z189" s="24"/>
    </row>
    <row r="190" spans="1:26" x14ac:dyDescent="0.25">
      <c r="A190" s="26">
        <v>187</v>
      </c>
      <c r="B190" s="24" t="str">
        <f>IF('ASS START SYNC'!C194="SHOW",FIND(",",'ASS START SYNC'!E194,1),"")</f>
        <v/>
      </c>
      <c r="C190" s="24" t="str">
        <f>IF('ASS START SYNC'!C194="SHOW",FIND(",",'ASS START SYNC'!E194,B190+1),"")</f>
        <v/>
      </c>
      <c r="D190" s="24" t="str">
        <f>IF('ASS START SYNC'!C194="SHOW",FIND(",",'ASS START SYNC'!E194,C190+1),"")</f>
        <v/>
      </c>
      <c r="E190" s="25" t="str">
        <f>IF('ASS START SYNC'!C194="SHOW",FIND(",,",'ASS START SYNC'!E194,1),"")</f>
        <v/>
      </c>
      <c r="F190" s="25" t="str">
        <f>IF('ASS START SYNC'!C194="SHOW",FIND(",,",'ASS START SYNC'!E194,E190+1),"")</f>
        <v/>
      </c>
      <c r="G190" s="23" t="str">
        <f>IF('ASS START SYNC'!C194="SHOW",LEFT('ASS START SYNC'!E194,B190),"")</f>
        <v/>
      </c>
      <c r="H190" s="24" t="str">
        <f>IF(AND('ASS START SYNC'!C194="SHOW",COUNTA('ASS START SYNC'!$E$8:'ASS START SYNC'!E193)=0),MID('ASS START SYNC'!E194,B190+1,C190-B190-1),IF(AND('ASS START SYNC'!C194="SHOW",COUNTA('ASS START SYNC'!$E$8:'ASS START SYNC'!E193)&lt;&gt;0),I189,""))</f>
        <v/>
      </c>
      <c r="I190" s="24" t="str">
        <f>IF('ASS START SYNC'!C194="SHOW",MID('ASS START SYNC'!E194,C190+1,D190-C190-1),I189)</f>
        <v/>
      </c>
      <c r="J190" s="23" t="str">
        <f>IF('ASS START SYNC'!C194="SHOW",MID('ASS START SYNC'!E194,D190+1,F190-D190+1),"")</f>
        <v/>
      </c>
      <c r="K190" s="23" t="str">
        <f>IF('ASS START SYNC'!C194="SHOW",MID('ASS START SYNC'!E194,F190+2,1000),"")</f>
        <v/>
      </c>
      <c r="M190" s="24"/>
      <c r="N190" s="26">
        <v>187</v>
      </c>
      <c r="O190" s="24" t="str">
        <f>IF('ASS END SYNC'!C194="SHOW",FIND(",",'ASS END SYNC'!E194,1),"")</f>
        <v/>
      </c>
      <c r="P190" s="24" t="str">
        <f>IF('ASS END SYNC'!C194="SHOW",FIND(",",'ASS END SYNC'!E194,O190+1),"")</f>
        <v/>
      </c>
      <c r="Q190" s="24" t="str">
        <f>IF('ASS END SYNC'!C194="SHOW",FIND(",",'ASS END SYNC'!E194,P190+1),"")</f>
        <v/>
      </c>
      <c r="R190" s="25" t="str">
        <f>IF('ASS END SYNC'!C194="SHOW",FIND(",,",'ASS END SYNC'!E194,1),"")</f>
        <v/>
      </c>
      <c r="S190" s="25" t="str">
        <f>IF('ASS END SYNC'!C194="SHOW",FIND(",,",'ASS END SYNC'!E194,R190+1),"")</f>
        <v/>
      </c>
      <c r="T190" s="23" t="str">
        <f>IF('ASS END SYNC'!C194="SHOW",LEFT('ASS END SYNC'!E194,O190),"")</f>
        <v/>
      </c>
      <c r="U190" s="24" t="str">
        <f>IF('ASS END SYNC'!C194="SHOW",MID('ASS END SYNC'!E194,O190+1,P190-O190-1),"")</f>
        <v/>
      </c>
      <c r="V190" s="24" t="str">
        <f>IF(AND('ASS END SYNC'!C194="SHOW",'ASS END SYNC'!C195="SHOW"),U191,IF(AND('ASS END SYNC'!C194="SHOW",'ASS END SYNC'!C195&lt;&gt;"SHOW"),MID('ASS END SYNC'!E194,O190+1,P190-O190-1),""))</f>
        <v/>
      </c>
      <c r="W190" s="23" t="str">
        <f>IF('ASS END SYNC'!C194="SHOW",MID('ASS END SYNC'!E194,Q190+1,S190-Q190+1),"")</f>
        <v/>
      </c>
      <c r="X190" s="23" t="str">
        <f>IF('ASS END SYNC'!C194="SHOW",MID('ASS END SYNC'!E194,S190+2,1000),"")</f>
        <v/>
      </c>
      <c r="Z190" s="24"/>
    </row>
    <row r="191" spans="1:26" x14ac:dyDescent="0.25">
      <c r="A191" s="26">
        <v>188</v>
      </c>
      <c r="B191" s="24" t="str">
        <f>IF('ASS START SYNC'!C195="SHOW",FIND(",",'ASS START SYNC'!E195,1),"")</f>
        <v/>
      </c>
      <c r="C191" s="24" t="str">
        <f>IF('ASS START SYNC'!C195="SHOW",FIND(",",'ASS START SYNC'!E195,B191+1),"")</f>
        <v/>
      </c>
      <c r="D191" s="24" t="str">
        <f>IF('ASS START SYNC'!C195="SHOW",FIND(",",'ASS START SYNC'!E195,C191+1),"")</f>
        <v/>
      </c>
      <c r="E191" s="25" t="str">
        <f>IF('ASS START SYNC'!C195="SHOW",FIND(",,",'ASS START SYNC'!E195,1),"")</f>
        <v/>
      </c>
      <c r="F191" s="25" t="str">
        <f>IF('ASS START SYNC'!C195="SHOW",FIND(",,",'ASS START SYNC'!E195,E191+1),"")</f>
        <v/>
      </c>
      <c r="G191" s="23" t="str">
        <f>IF('ASS START SYNC'!C195="SHOW",LEFT('ASS START SYNC'!E195,B191),"")</f>
        <v/>
      </c>
      <c r="H191" s="24" t="str">
        <f>IF(AND('ASS START SYNC'!C195="SHOW",COUNTA('ASS START SYNC'!$E$8:'ASS START SYNC'!E194)=0),MID('ASS START SYNC'!E195,B191+1,C191-B191-1),IF(AND('ASS START SYNC'!C195="SHOW",COUNTA('ASS START SYNC'!$E$8:'ASS START SYNC'!E194)&lt;&gt;0),I190,""))</f>
        <v/>
      </c>
      <c r="I191" s="24" t="str">
        <f>IF('ASS START SYNC'!C195="SHOW",MID('ASS START SYNC'!E195,C191+1,D191-C191-1),I190)</f>
        <v/>
      </c>
      <c r="J191" s="23" t="str">
        <f>IF('ASS START SYNC'!C195="SHOW",MID('ASS START SYNC'!E195,D191+1,F191-D191+1),"")</f>
        <v/>
      </c>
      <c r="K191" s="23" t="str">
        <f>IF('ASS START SYNC'!C195="SHOW",MID('ASS START SYNC'!E195,F191+2,1000),"")</f>
        <v/>
      </c>
      <c r="M191" s="24"/>
      <c r="N191" s="26">
        <v>188</v>
      </c>
      <c r="O191" s="24" t="str">
        <f>IF('ASS END SYNC'!C195="SHOW",FIND(",",'ASS END SYNC'!E195,1),"")</f>
        <v/>
      </c>
      <c r="P191" s="24" t="str">
        <f>IF('ASS END SYNC'!C195="SHOW",FIND(",",'ASS END SYNC'!E195,O191+1),"")</f>
        <v/>
      </c>
      <c r="Q191" s="24" t="str">
        <f>IF('ASS END SYNC'!C195="SHOW",FIND(",",'ASS END SYNC'!E195,P191+1),"")</f>
        <v/>
      </c>
      <c r="R191" s="25" t="str">
        <f>IF('ASS END SYNC'!C195="SHOW",FIND(",,",'ASS END SYNC'!E195,1),"")</f>
        <v/>
      </c>
      <c r="S191" s="25" t="str">
        <f>IF('ASS END SYNC'!C195="SHOW",FIND(",,",'ASS END SYNC'!E195,R191+1),"")</f>
        <v/>
      </c>
      <c r="T191" s="23" t="str">
        <f>IF('ASS END SYNC'!C195="SHOW",LEFT('ASS END SYNC'!E195,O191),"")</f>
        <v/>
      </c>
      <c r="U191" s="24" t="str">
        <f>IF('ASS END SYNC'!C195="SHOW",MID('ASS END SYNC'!E195,O191+1,P191-O191-1),"")</f>
        <v/>
      </c>
      <c r="V191" s="24" t="str">
        <f>IF(AND('ASS END SYNC'!C195="SHOW",'ASS END SYNC'!C196="SHOW"),U192,IF(AND('ASS END SYNC'!C195="SHOW",'ASS END SYNC'!C196&lt;&gt;"SHOW"),MID('ASS END SYNC'!E195,O191+1,P191-O191-1),""))</f>
        <v/>
      </c>
      <c r="W191" s="23" t="str">
        <f>IF('ASS END SYNC'!C195="SHOW",MID('ASS END SYNC'!E195,Q191+1,S191-Q191+1),"")</f>
        <v/>
      </c>
      <c r="X191" s="23" t="str">
        <f>IF('ASS END SYNC'!C195="SHOW",MID('ASS END SYNC'!E195,S191+2,1000),"")</f>
        <v/>
      </c>
      <c r="Z191" s="24"/>
    </row>
    <row r="192" spans="1:26" x14ac:dyDescent="0.25">
      <c r="A192" s="26">
        <v>189</v>
      </c>
      <c r="B192" s="24" t="str">
        <f>IF('ASS START SYNC'!C196="SHOW",FIND(",",'ASS START SYNC'!E196,1),"")</f>
        <v/>
      </c>
      <c r="C192" s="24" t="str">
        <f>IF('ASS START SYNC'!C196="SHOW",FIND(",",'ASS START SYNC'!E196,B192+1),"")</f>
        <v/>
      </c>
      <c r="D192" s="24" t="str">
        <f>IF('ASS START SYNC'!C196="SHOW",FIND(",",'ASS START SYNC'!E196,C192+1),"")</f>
        <v/>
      </c>
      <c r="E192" s="25" t="str">
        <f>IF('ASS START SYNC'!C196="SHOW",FIND(",,",'ASS START SYNC'!E196,1),"")</f>
        <v/>
      </c>
      <c r="F192" s="25" t="str">
        <f>IF('ASS START SYNC'!C196="SHOW",FIND(",,",'ASS START SYNC'!E196,E192+1),"")</f>
        <v/>
      </c>
      <c r="G192" s="23" t="str">
        <f>IF('ASS START SYNC'!C196="SHOW",LEFT('ASS START SYNC'!E196,B192),"")</f>
        <v/>
      </c>
      <c r="H192" s="24" t="str">
        <f>IF(AND('ASS START SYNC'!C196="SHOW",COUNTA('ASS START SYNC'!$E$8:'ASS START SYNC'!E195)=0),MID('ASS START SYNC'!E196,B192+1,C192-B192-1),IF(AND('ASS START SYNC'!C196="SHOW",COUNTA('ASS START SYNC'!$E$8:'ASS START SYNC'!E195)&lt;&gt;0),I191,""))</f>
        <v/>
      </c>
      <c r="I192" s="24" t="str">
        <f>IF('ASS START SYNC'!C196="SHOW",MID('ASS START SYNC'!E196,C192+1,D192-C192-1),I191)</f>
        <v/>
      </c>
      <c r="J192" s="23" t="str">
        <f>IF('ASS START SYNC'!C196="SHOW",MID('ASS START SYNC'!E196,D192+1,F192-D192+1),"")</f>
        <v/>
      </c>
      <c r="K192" s="23" t="str">
        <f>IF('ASS START SYNC'!C196="SHOW",MID('ASS START SYNC'!E196,F192+2,1000),"")</f>
        <v/>
      </c>
      <c r="M192" s="24"/>
      <c r="N192" s="26">
        <v>189</v>
      </c>
      <c r="O192" s="24" t="str">
        <f>IF('ASS END SYNC'!C196="SHOW",FIND(",",'ASS END SYNC'!E196,1),"")</f>
        <v/>
      </c>
      <c r="P192" s="24" t="str">
        <f>IF('ASS END SYNC'!C196="SHOW",FIND(",",'ASS END SYNC'!E196,O192+1),"")</f>
        <v/>
      </c>
      <c r="Q192" s="24" t="str">
        <f>IF('ASS END SYNC'!C196="SHOW",FIND(",",'ASS END SYNC'!E196,P192+1),"")</f>
        <v/>
      </c>
      <c r="R192" s="25" t="str">
        <f>IF('ASS END SYNC'!C196="SHOW",FIND(",,",'ASS END SYNC'!E196,1),"")</f>
        <v/>
      </c>
      <c r="S192" s="25" t="str">
        <f>IF('ASS END SYNC'!C196="SHOW",FIND(",,",'ASS END SYNC'!E196,R192+1),"")</f>
        <v/>
      </c>
      <c r="T192" s="23" t="str">
        <f>IF('ASS END SYNC'!C196="SHOW",LEFT('ASS END SYNC'!E196,O192),"")</f>
        <v/>
      </c>
      <c r="U192" s="24" t="str">
        <f>IF('ASS END SYNC'!C196="SHOW",MID('ASS END SYNC'!E196,O192+1,P192-O192-1),"")</f>
        <v/>
      </c>
      <c r="V192" s="24" t="str">
        <f>IF(AND('ASS END SYNC'!C196="SHOW",'ASS END SYNC'!C197="SHOW"),U193,IF(AND('ASS END SYNC'!C196="SHOW",'ASS END SYNC'!C197&lt;&gt;"SHOW"),MID('ASS END SYNC'!E196,O192+1,P192-O192-1),""))</f>
        <v/>
      </c>
      <c r="W192" s="23" t="str">
        <f>IF('ASS END SYNC'!C196="SHOW",MID('ASS END SYNC'!E196,Q192+1,S192-Q192+1),"")</f>
        <v/>
      </c>
      <c r="X192" s="23" t="str">
        <f>IF('ASS END SYNC'!C196="SHOW",MID('ASS END SYNC'!E196,S192+2,1000),"")</f>
        <v/>
      </c>
      <c r="Z192" s="24"/>
    </row>
    <row r="193" spans="1:26" x14ac:dyDescent="0.25">
      <c r="A193" s="26">
        <v>190</v>
      </c>
      <c r="B193" s="24" t="str">
        <f>IF('ASS START SYNC'!C197="SHOW",FIND(",",'ASS START SYNC'!E197,1),"")</f>
        <v/>
      </c>
      <c r="C193" s="24" t="str">
        <f>IF('ASS START SYNC'!C197="SHOW",FIND(",",'ASS START SYNC'!E197,B193+1),"")</f>
        <v/>
      </c>
      <c r="D193" s="24" t="str">
        <f>IF('ASS START SYNC'!C197="SHOW",FIND(",",'ASS START SYNC'!E197,C193+1),"")</f>
        <v/>
      </c>
      <c r="E193" s="25" t="str">
        <f>IF('ASS START SYNC'!C197="SHOW",FIND(",,",'ASS START SYNC'!E197,1),"")</f>
        <v/>
      </c>
      <c r="F193" s="25" t="str">
        <f>IF('ASS START SYNC'!C197="SHOW",FIND(",,",'ASS START SYNC'!E197,E193+1),"")</f>
        <v/>
      </c>
      <c r="G193" s="23" t="str">
        <f>IF('ASS START SYNC'!C197="SHOW",LEFT('ASS START SYNC'!E197,B193),"")</f>
        <v/>
      </c>
      <c r="H193" s="24" t="str">
        <f>IF(AND('ASS START SYNC'!C197="SHOW",COUNTA('ASS START SYNC'!$E$8:'ASS START SYNC'!E196)=0),MID('ASS START SYNC'!E197,B193+1,C193-B193-1),IF(AND('ASS START SYNC'!C197="SHOW",COUNTA('ASS START SYNC'!$E$8:'ASS START SYNC'!E196)&lt;&gt;0),I192,""))</f>
        <v/>
      </c>
      <c r="I193" s="24" t="str">
        <f>IF('ASS START SYNC'!C197="SHOW",MID('ASS START SYNC'!E197,C193+1,D193-C193-1),I192)</f>
        <v/>
      </c>
      <c r="J193" s="23" t="str">
        <f>IF('ASS START SYNC'!C197="SHOW",MID('ASS START SYNC'!E197,D193+1,F193-D193+1),"")</f>
        <v/>
      </c>
      <c r="K193" s="23" t="str">
        <f>IF('ASS START SYNC'!C197="SHOW",MID('ASS START SYNC'!E197,F193+2,1000),"")</f>
        <v/>
      </c>
      <c r="M193" s="24"/>
      <c r="N193" s="26">
        <v>190</v>
      </c>
      <c r="O193" s="24" t="str">
        <f>IF('ASS END SYNC'!C197="SHOW",FIND(",",'ASS END SYNC'!E197,1),"")</f>
        <v/>
      </c>
      <c r="P193" s="24" t="str">
        <f>IF('ASS END SYNC'!C197="SHOW",FIND(",",'ASS END SYNC'!E197,O193+1),"")</f>
        <v/>
      </c>
      <c r="Q193" s="24" t="str">
        <f>IF('ASS END SYNC'!C197="SHOW",FIND(",",'ASS END SYNC'!E197,P193+1),"")</f>
        <v/>
      </c>
      <c r="R193" s="25" t="str">
        <f>IF('ASS END SYNC'!C197="SHOW",FIND(",,",'ASS END SYNC'!E197,1),"")</f>
        <v/>
      </c>
      <c r="S193" s="25" t="str">
        <f>IF('ASS END SYNC'!C197="SHOW",FIND(",,",'ASS END SYNC'!E197,R193+1),"")</f>
        <v/>
      </c>
      <c r="T193" s="23" t="str">
        <f>IF('ASS END SYNC'!C197="SHOW",LEFT('ASS END SYNC'!E197,O193),"")</f>
        <v/>
      </c>
      <c r="U193" s="24" t="str">
        <f>IF('ASS END SYNC'!C197="SHOW",MID('ASS END SYNC'!E197,O193+1,P193-O193-1),"")</f>
        <v/>
      </c>
      <c r="V193" s="24" t="str">
        <f>IF(AND('ASS END SYNC'!C197="SHOW",'ASS END SYNC'!C198="SHOW"),U194,IF(AND('ASS END SYNC'!C197="SHOW",'ASS END SYNC'!C198&lt;&gt;"SHOW"),MID('ASS END SYNC'!E197,O193+1,P193-O193-1),""))</f>
        <v/>
      </c>
      <c r="W193" s="23" t="str">
        <f>IF('ASS END SYNC'!C197="SHOW",MID('ASS END SYNC'!E197,Q193+1,S193-Q193+1),"")</f>
        <v/>
      </c>
      <c r="X193" s="23" t="str">
        <f>IF('ASS END SYNC'!C197="SHOW",MID('ASS END SYNC'!E197,S193+2,1000),"")</f>
        <v/>
      </c>
      <c r="Z193" s="24"/>
    </row>
    <row r="194" spans="1:26" x14ac:dyDescent="0.25">
      <c r="A194" s="26">
        <v>191</v>
      </c>
      <c r="B194" s="24" t="str">
        <f>IF('ASS START SYNC'!C198="SHOW",FIND(",",'ASS START SYNC'!E198,1),"")</f>
        <v/>
      </c>
      <c r="C194" s="24" t="str">
        <f>IF('ASS START SYNC'!C198="SHOW",FIND(",",'ASS START SYNC'!E198,B194+1),"")</f>
        <v/>
      </c>
      <c r="D194" s="24" t="str">
        <f>IF('ASS START SYNC'!C198="SHOW",FIND(",",'ASS START SYNC'!E198,C194+1),"")</f>
        <v/>
      </c>
      <c r="E194" s="25" t="str">
        <f>IF('ASS START SYNC'!C198="SHOW",FIND(",,",'ASS START SYNC'!E198,1),"")</f>
        <v/>
      </c>
      <c r="F194" s="25" t="str">
        <f>IF('ASS START SYNC'!C198="SHOW",FIND(",,",'ASS START SYNC'!E198,E194+1),"")</f>
        <v/>
      </c>
      <c r="G194" s="23" t="str">
        <f>IF('ASS START SYNC'!C198="SHOW",LEFT('ASS START SYNC'!E198,B194),"")</f>
        <v/>
      </c>
      <c r="H194" s="24" t="str">
        <f>IF(AND('ASS START SYNC'!C198="SHOW",COUNTA('ASS START SYNC'!$E$8:'ASS START SYNC'!E197)=0),MID('ASS START SYNC'!E198,B194+1,C194-B194-1),IF(AND('ASS START SYNC'!C198="SHOW",COUNTA('ASS START SYNC'!$E$8:'ASS START SYNC'!E197)&lt;&gt;0),I193,""))</f>
        <v/>
      </c>
      <c r="I194" s="24" t="str">
        <f>IF('ASS START SYNC'!C198="SHOW",MID('ASS START SYNC'!E198,C194+1,D194-C194-1),I193)</f>
        <v/>
      </c>
      <c r="J194" s="23" t="str">
        <f>IF('ASS START SYNC'!C198="SHOW",MID('ASS START SYNC'!E198,D194+1,F194-D194+1),"")</f>
        <v/>
      </c>
      <c r="K194" s="23" t="str">
        <f>IF('ASS START SYNC'!C198="SHOW",MID('ASS START SYNC'!E198,F194+2,1000),"")</f>
        <v/>
      </c>
      <c r="M194" s="24"/>
      <c r="N194" s="26">
        <v>191</v>
      </c>
      <c r="O194" s="24" t="str">
        <f>IF('ASS END SYNC'!C198="SHOW",FIND(",",'ASS END SYNC'!E198,1),"")</f>
        <v/>
      </c>
      <c r="P194" s="24" t="str">
        <f>IF('ASS END SYNC'!C198="SHOW",FIND(",",'ASS END SYNC'!E198,O194+1),"")</f>
        <v/>
      </c>
      <c r="Q194" s="24" t="str">
        <f>IF('ASS END SYNC'!C198="SHOW",FIND(",",'ASS END SYNC'!E198,P194+1),"")</f>
        <v/>
      </c>
      <c r="R194" s="25" t="str">
        <f>IF('ASS END SYNC'!C198="SHOW",FIND(",,",'ASS END SYNC'!E198,1),"")</f>
        <v/>
      </c>
      <c r="S194" s="25" t="str">
        <f>IF('ASS END SYNC'!C198="SHOW",FIND(",,",'ASS END SYNC'!E198,R194+1),"")</f>
        <v/>
      </c>
      <c r="T194" s="23" t="str">
        <f>IF('ASS END SYNC'!C198="SHOW",LEFT('ASS END SYNC'!E198,O194),"")</f>
        <v/>
      </c>
      <c r="U194" s="24" t="str">
        <f>IF('ASS END SYNC'!C198="SHOW",MID('ASS END SYNC'!E198,O194+1,P194-O194-1),"")</f>
        <v/>
      </c>
      <c r="V194" s="24" t="str">
        <f>IF(AND('ASS END SYNC'!C198="SHOW",'ASS END SYNC'!C199="SHOW"),U195,IF(AND('ASS END SYNC'!C198="SHOW",'ASS END SYNC'!C199&lt;&gt;"SHOW"),MID('ASS END SYNC'!E198,O194+1,P194-O194-1),""))</f>
        <v/>
      </c>
      <c r="W194" s="23" t="str">
        <f>IF('ASS END SYNC'!C198="SHOW",MID('ASS END SYNC'!E198,Q194+1,S194-Q194+1),"")</f>
        <v/>
      </c>
      <c r="X194" s="23" t="str">
        <f>IF('ASS END SYNC'!C198="SHOW",MID('ASS END SYNC'!E198,S194+2,1000),"")</f>
        <v/>
      </c>
      <c r="Z194" s="24"/>
    </row>
    <row r="195" spans="1:26" x14ac:dyDescent="0.25">
      <c r="A195" s="26">
        <v>192</v>
      </c>
      <c r="B195" s="24" t="str">
        <f>IF('ASS START SYNC'!C199="SHOW",FIND(",",'ASS START SYNC'!E199,1),"")</f>
        <v/>
      </c>
      <c r="C195" s="24" t="str">
        <f>IF('ASS START SYNC'!C199="SHOW",FIND(",",'ASS START SYNC'!E199,B195+1),"")</f>
        <v/>
      </c>
      <c r="D195" s="24" t="str">
        <f>IF('ASS START SYNC'!C199="SHOW",FIND(",",'ASS START SYNC'!E199,C195+1),"")</f>
        <v/>
      </c>
      <c r="E195" s="25" t="str">
        <f>IF('ASS START SYNC'!C199="SHOW",FIND(",,",'ASS START SYNC'!E199,1),"")</f>
        <v/>
      </c>
      <c r="F195" s="25" t="str">
        <f>IF('ASS START SYNC'!C199="SHOW",FIND(",,",'ASS START SYNC'!E199,E195+1),"")</f>
        <v/>
      </c>
      <c r="G195" s="23" t="str">
        <f>IF('ASS START SYNC'!C199="SHOW",LEFT('ASS START SYNC'!E199,B195),"")</f>
        <v/>
      </c>
      <c r="H195" s="24" t="str">
        <f>IF(AND('ASS START SYNC'!C199="SHOW",COUNTA('ASS START SYNC'!$E$8:'ASS START SYNC'!E198)=0),MID('ASS START SYNC'!E199,B195+1,C195-B195-1),IF(AND('ASS START SYNC'!C199="SHOW",COUNTA('ASS START SYNC'!$E$8:'ASS START SYNC'!E198)&lt;&gt;0),I194,""))</f>
        <v/>
      </c>
      <c r="I195" s="24" t="str">
        <f>IF('ASS START SYNC'!C199="SHOW",MID('ASS START SYNC'!E199,C195+1,D195-C195-1),I194)</f>
        <v/>
      </c>
      <c r="J195" s="23" t="str">
        <f>IF('ASS START SYNC'!C199="SHOW",MID('ASS START SYNC'!E199,D195+1,F195-D195+1),"")</f>
        <v/>
      </c>
      <c r="K195" s="23" t="str">
        <f>IF('ASS START SYNC'!C199="SHOW",MID('ASS START SYNC'!E199,F195+2,1000),"")</f>
        <v/>
      </c>
      <c r="M195" s="24"/>
      <c r="N195" s="26">
        <v>192</v>
      </c>
      <c r="O195" s="24" t="str">
        <f>IF('ASS END SYNC'!C199="SHOW",FIND(",",'ASS END SYNC'!E199,1),"")</f>
        <v/>
      </c>
      <c r="P195" s="24" t="str">
        <f>IF('ASS END SYNC'!C199="SHOW",FIND(",",'ASS END SYNC'!E199,O195+1),"")</f>
        <v/>
      </c>
      <c r="Q195" s="24" t="str">
        <f>IF('ASS END SYNC'!C199="SHOW",FIND(",",'ASS END SYNC'!E199,P195+1),"")</f>
        <v/>
      </c>
      <c r="R195" s="25" t="str">
        <f>IF('ASS END SYNC'!C199="SHOW",FIND(",,",'ASS END SYNC'!E199,1),"")</f>
        <v/>
      </c>
      <c r="S195" s="25" t="str">
        <f>IF('ASS END SYNC'!C199="SHOW",FIND(",,",'ASS END SYNC'!E199,R195+1),"")</f>
        <v/>
      </c>
      <c r="T195" s="23" t="str">
        <f>IF('ASS END SYNC'!C199="SHOW",LEFT('ASS END SYNC'!E199,O195),"")</f>
        <v/>
      </c>
      <c r="U195" s="24" t="str">
        <f>IF('ASS END SYNC'!C199="SHOW",MID('ASS END SYNC'!E199,O195+1,P195-O195-1),"")</f>
        <v/>
      </c>
      <c r="V195" s="24" t="str">
        <f>IF(AND('ASS END SYNC'!C199="SHOW",'ASS END SYNC'!C200="SHOW"),U196,IF(AND('ASS END SYNC'!C199="SHOW",'ASS END SYNC'!C200&lt;&gt;"SHOW"),MID('ASS END SYNC'!E199,O195+1,P195-O195-1),""))</f>
        <v/>
      </c>
      <c r="W195" s="23" t="str">
        <f>IF('ASS END SYNC'!C199="SHOW",MID('ASS END SYNC'!E199,Q195+1,S195-Q195+1),"")</f>
        <v/>
      </c>
      <c r="X195" s="23" t="str">
        <f>IF('ASS END SYNC'!C199="SHOW",MID('ASS END SYNC'!E199,S195+2,1000),"")</f>
        <v/>
      </c>
      <c r="Z195" s="24"/>
    </row>
    <row r="196" spans="1:26" x14ac:dyDescent="0.25">
      <c r="A196" s="26">
        <v>193</v>
      </c>
      <c r="B196" s="24" t="str">
        <f>IF('ASS START SYNC'!C200="SHOW",FIND(",",'ASS START SYNC'!E200,1),"")</f>
        <v/>
      </c>
      <c r="C196" s="24" t="str">
        <f>IF('ASS START SYNC'!C200="SHOW",FIND(",",'ASS START SYNC'!E200,B196+1),"")</f>
        <v/>
      </c>
      <c r="D196" s="24" t="str">
        <f>IF('ASS START SYNC'!C200="SHOW",FIND(",",'ASS START SYNC'!E200,C196+1),"")</f>
        <v/>
      </c>
      <c r="E196" s="25" t="str">
        <f>IF('ASS START SYNC'!C200="SHOW",FIND(",,",'ASS START SYNC'!E200,1),"")</f>
        <v/>
      </c>
      <c r="F196" s="25" t="str">
        <f>IF('ASS START SYNC'!C200="SHOW",FIND(",,",'ASS START SYNC'!E200,E196+1),"")</f>
        <v/>
      </c>
      <c r="G196" s="23" t="str">
        <f>IF('ASS START SYNC'!C200="SHOW",LEFT('ASS START SYNC'!E200,B196),"")</f>
        <v/>
      </c>
      <c r="H196" s="24" t="str">
        <f>IF(AND('ASS START SYNC'!C200="SHOW",COUNTA('ASS START SYNC'!$E$8:'ASS START SYNC'!E199)=0),MID('ASS START SYNC'!E200,B196+1,C196-B196-1),IF(AND('ASS START SYNC'!C200="SHOW",COUNTA('ASS START SYNC'!$E$8:'ASS START SYNC'!E199)&lt;&gt;0),I195,""))</f>
        <v/>
      </c>
      <c r="I196" s="24" t="str">
        <f>IF('ASS START SYNC'!C200="SHOW",MID('ASS START SYNC'!E200,C196+1,D196-C196-1),I195)</f>
        <v/>
      </c>
      <c r="J196" s="23" t="str">
        <f>IF('ASS START SYNC'!C200="SHOW",MID('ASS START SYNC'!E200,D196+1,F196-D196+1),"")</f>
        <v/>
      </c>
      <c r="K196" s="23" t="str">
        <f>IF('ASS START SYNC'!C200="SHOW",MID('ASS START SYNC'!E200,F196+2,1000),"")</f>
        <v/>
      </c>
      <c r="M196" s="24"/>
      <c r="N196" s="26">
        <v>193</v>
      </c>
      <c r="O196" s="24" t="str">
        <f>IF('ASS END SYNC'!C200="SHOW",FIND(",",'ASS END SYNC'!E200,1),"")</f>
        <v/>
      </c>
      <c r="P196" s="24" t="str">
        <f>IF('ASS END SYNC'!C200="SHOW",FIND(",",'ASS END SYNC'!E200,O196+1),"")</f>
        <v/>
      </c>
      <c r="Q196" s="24" t="str">
        <f>IF('ASS END SYNC'!C200="SHOW",FIND(",",'ASS END SYNC'!E200,P196+1),"")</f>
        <v/>
      </c>
      <c r="R196" s="25" t="str">
        <f>IF('ASS END SYNC'!C200="SHOW",FIND(",,",'ASS END SYNC'!E200,1),"")</f>
        <v/>
      </c>
      <c r="S196" s="25" t="str">
        <f>IF('ASS END SYNC'!C200="SHOW",FIND(",,",'ASS END SYNC'!E200,R196+1),"")</f>
        <v/>
      </c>
      <c r="T196" s="23" t="str">
        <f>IF('ASS END SYNC'!C200="SHOW",LEFT('ASS END SYNC'!E200,O196),"")</f>
        <v/>
      </c>
      <c r="U196" s="24" t="str">
        <f>IF('ASS END SYNC'!C200="SHOW",MID('ASS END SYNC'!E200,O196+1,P196-O196-1),"")</f>
        <v/>
      </c>
      <c r="V196" s="24" t="str">
        <f>IF(AND('ASS END SYNC'!C200="SHOW",'ASS END SYNC'!C201="SHOW"),U197,IF(AND('ASS END SYNC'!C200="SHOW",'ASS END SYNC'!C201&lt;&gt;"SHOW"),MID('ASS END SYNC'!E200,O196+1,P196-O196-1),""))</f>
        <v/>
      </c>
      <c r="W196" s="23" t="str">
        <f>IF('ASS END SYNC'!C200="SHOW",MID('ASS END SYNC'!E200,Q196+1,S196-Q196+1),"")</f>
        <v/>
      </c>
      <c r="X196" s="23" t="str">
        <f>IF('ASS END SYNC'!C200="SHOW",MID('ASS END SYNC'!E200,S196+2,1000),"")</f>
        <v/>
      </c>
      <c r="Z196" s="24"/>
    </row>
    <row r="197" spans="1:26" x14ac:dyDescent="0.25">
      <c r="A197" s="26">
        <v>194</v>
      </c>
      <c r="B197" s="24" t="str">
        <f>IF('ASS START SYNC'!C201="SHOW",FIND(",",'ASS START SYNC'!E201,1),"")</f>
        <v/>
      </c>
      <c r="C197" s="24" t="str">
        <f>IF('ASS START SYNC'!C201="SHOW",FIND(",",'ASS START SYNC'!E201,B197+1),"")</f>
        <v/>
      </c>
      <c r="D197" s="24" t="str">
        <f>IF('ASS START SYNC'!C201="SHOW",FIND(",",'ASS START SYNC'!E201,C197+1),"")</f>
        <v/>
      </c>
      <c r="E197" s="25" t="str">
        <f>IF('ASS START SYNC'!C201="SHOW",FIND(",,",'ASS START SYNC'!E201,1),"")</f>
        <v/>
      </c>
      <c r="F197" s="25" t="str">
        <f>IF('ASS START SYNC'!C201="SHOW",FIND(",,",'ASS START SYNC'!E201,E197+1),"")</f>
        <v/>
      </c>
      <c r="G197" s="23" t="str">
        <f>IF('ASS START SYNC'!C201="SHOW",LEFT('ASS START SYNC'!E201,B197),"")</f>
        <v/>
      </c>
      <c r="H197" s="24" t="str">
        <f>IF(AND('ASS START SYNC'!C201="SHOW",COUNTA('ASS START SYNC'!$E$8:'ASS START SYNC'!E200)=0),MID('ASS START SYNC'!E201,B197+1,C197-B197-1),IF(AND('ASS START SYNC'!C201="SHOW",COUNTA('ASS START SYNC'!$E$8:'ASS START SYNC'!E200)&lt;&gt;0),I196,""))</f>
        <v/>
      </c>
      <c r="I197" s="24" t="str">
        <f>IF('ASS START SYNC'!C201="SHOW",MID('ASS START SYNC'!E201,C197+1,D197-C197-1),I196)</f>
        <v/>
      </c>
      <c r="J197" s="23" t="str">
        <f>IF('ASS START SYNC'!C201="SHOW",MID('ASS START SYNC'!E201,D197+1,F197-D197+1),"")</f>
        <v/>
      </c>
      <c r="K197" s="23" t="str">
        <f>IF('ASS START SYNC'!C201="SHOW",MID('ASS START SYNC'!E201,F197+2,1000),"")</f>
        <v/>
      </c>
      <c r="M197" s="24"/>
      <c r="N197" s="26">
        <v>194</v>
      </c>
      <c r="O197" s="24" t="str">
        <f>IF('ASS END SYNC'!C201="SHOW",FIND(",",'ASS END SYNC'!E201,1),"")</f>
        <v/>
      </c>
      <c r="P197" s="24" t="str">
        <f>IF('ASS END SYNC'!C201="SHOW",FIND(",",'ASS END SYNC'!E201,O197+1),"")</f>
        <v/>
      </c>
      <c r="Q197" s="24" t="str">
        <f>IF('ASS END SYNC'!C201="SHOW",FIND(",",'ASS END SYNC'!E201,P197+1),"")</f>
        <v/>
      </c>
      <c r="R197" s="25" t="str">
        <f>IF('ASS END SYNC'!C201="SHOW",FIND(",,",'ASS END SYNC'!E201,1),"")</f>
        <v/>
      </c>
      <c r="S197" s="25" t="str">
        <f>IF('ASS END SYNC'!C201="SHOW",FIND(",,",'ASS END SYNC'!E201,R197+1),"")</f>
        <v/>
      </c>
      <c r="T197" s="23" t="str">
        <f>IF('ASS END SYNC'!C201="SHOW",LEFT('ASS END SYNC'!E201,O197),"")</f>
        <v/>
      </c>
      <c r="U197" s="24" t="str">
        <f>IF('ASS END SYNC'!C201="SHOW",MID('ASS END SYNC'!E201,O197+1,P197-O197-1),"")</f>
        <v/>
      </c>
      <c r="V197" s="24" t="str">
        <f>IF(AND('ASS END SYNC'!C201="SHOW",'ASS END SYNC'!C202="SHOW"),U198,IF(AND('ASS END SYNC'!C201="SHOW",'ASS END SYNC'!C202&lt;&gt;"SHOW"),MID('ASS END SYNC'!E201,O197+1,P197-O197-1),""))</f>
        <v/>
      </c>
      <c r="W197" s="23" t="str">
        <f>IF('ASS END SYNC'!C201="SHOW",MID('ASS END SYNC'!E201,Q197+1,S197-Q197+1),"")</f>
        <v/>
      </c>
      <c r="X197" s="23" t="str">
        <f>IF('ASS END SYNC'!C201="SHOW",MID('ASS END SYNC'!E201,S197+2,1000),"")</f>
        <v/>
      </c>
      <c r="Z197" s="24"/>
    </row>
    <row r="198" spans="1:26" x14ac:dyDescent="0.25">
      <c r="A198" s="26">
        <v>195</v>
      </c>
      <c r="B198" s="24" t="str">
        <f>IF('ASS START SYNC'!C202="SHOW",FIND(",",'ASS START SYNC'!E202,1),"")</f>
        <v/>
      </c>
      <c r="C198" s="24" t="str">
        <f>IF('ASS START SYNC'!C202="SHOW",FIND(",",'ASS START SYNC'!E202,B198+1),"")</f>
        <v/>
      </c>
      <c r="D198" s="24" t="str">
        <f>IF('ASS START SYNC'!C202="SHOW",FIND(",",'ASS START SYNC'!E202,C198+1),"")</f>
        <v/>
      </c>
      <c r="E198" s="25" t="str">
        <f>IF('ASS START SYNC'!C202="SHOW",FIND(",,",'ASS START SYNC'!E202,1),"")</f>
        <v/>
      </c>
      <c r="F198" s="25" t="str">
        <f>IF('ASS START SYNC'!C202="SHOW",FIND(",,",'ASS START SYNC'!E202,E198+1),"")</f>
        <v/>
      </c>
      <c r="G198" s="23" t="str">
        <f>IF('ASS START SYNC'!C202="SHOW",LEFT('ASS START SYNC'!E202,B198),"")</f>
        <v/>
      </c>
      <c r="H198" s="24" t="str">
        <f>IF(AND('ASS START SYNC'!C202="SHOW",COUNTA('ASS START SYNC'!$E$8:'ASS START SYNC'!E201)=0),MID('ASS START SYNC'!E202,B198+1,C198-B198-1),IF(AND('ASS START SYNC'!C202="SHOW",COUNTA('ASS START SYNC'!$E$8:'ASS START SYNC'!E201)&lt;&gt;0),I197,""))</f>
        <v/>
      </c>
      <c r="I198" s="24" t="str">
        <f>IF('ASS START SYNC'!C202="SHOW",MID('ASS START SYNC'!E202,C198+1,D198-C198-1),I197)</f>
        <v/>
      </c>
      <c r="J198" s="23" t="str">
        <f>IF('ASS START SYNC'!C202="SHOW",MID('ASS START SYNC'!E202,D198+1,F198-D198+1),"")</f>
        <v/>
      </c>
      <c r="K198" s="23" t="str">
        <f>IF('ASS START SYNC'!C202="SHOW",MID('ASS START SYNC'!E202,F198+2,1000),"")</f>
        <v/>
      </c>
      <c r="M198" s="24"/>
      <c r="N198" s="26">
        <v>195</v>
      </c>
      <c r="O198" s="24" t="str">
        <f>IF('ASS END SYNC'!C202="SHOW",FIND(",",'ASS END SYNC'!E202,1),"")</f>
        <v/>
      </c>
      <c r="P198" s="24" t="str">
        <f>IF('ASS END SYNC'!C202="SHOW",FIND(",",'ASS END SYNC'!E202,O198+1),"")</f>
        <v/>
      </c>
      <c r="Q198" s="24" t="str">
        <f>IF('ASS END SYNC'!C202="SHOW",FIND(",",'ASS END SYNC'!E202,P198+1),"")</f>
        <v/>
      </c>
      <c r="R198" s="25" t="str">
        <f>IF('ASS END SYNC'!C202="SHOW",FIND(",,",'ASS END SYNC'!E202,1),"")</f>
        <v/>
      </c>
      <c r="S198" s="25" t="str">
        <f>IF('ASS END SYNC'!C202="SHOW",FIND(",,",'ASS END SYNC'!E202,R198+1),"")</f>
        <v/>
      </c>
      <c r="T198" s="23" t="str">
        <f>IF('ASS END SYNC'!C202="SHOW",LEFT('ASS END SYNC'!E202,O198),"")</f>
        <v/>
      </c>
      <c r="U198" s="24" t="str">
        <f>IF('ASS END SYNC'!C202="SHOW",MID('ASS END SYNC'!E202,O198+1,P198-O198-1),"")</f>
        <v/>
      </c>
      <c r="V198" s="24" t="str">
        <f>IF(AND('ASS END SYNC'!C202="SHOW",'ASS END SYNC'!C203="SHOW"),U199,IF(AND('ASS END SYNC'!C202="SHOW",'ASS END SYNC'!C203&lt;&gt;"SHOW"),MID('ASS END SYNC'!E202,O198+1,P198-O198-1),""))</f>
        <v/>
      </c>
      <c r="W198" s="23" t="str">
        <f>IF('ASS END SYNC'!C202="SHOW",MID('ASS END SYNC'!E202,Q198+1,S198-Q198+1),"")</f>
        <v/>
      </c>
      <c r="X198" s="23" t="str">
        <f>IF('ASS END SYNC'!C202="SHOW",MID('ASS END SYNC'!E202,S198+2,1000),"")</f>
        <v/>
      </c>
      <c r="Z198" s="24"/>
    </row>
    <row r="199" spans="1:26" x14ac:dyDescent="0.25">
      <c r="A199" s="26">
        <v>196</v>
      </c>
      <c r="B199" s="24" t="str">
        <f>IF('ASS START SYNC'!C203="SHOW",FIND(",",'ASS START SYNC'!E203,1),"")</f>
        <v/>
      </c>
      <c r="C199" s="24" t="str">
        <f>IF('ASS START SYNC'!C203="SHOW",FIND(",",'ASS START SYNC'!E203,B199+1),"")</f>
        <v/>
      </c>
      <c r="D199" s="24" t="str">
        <f>IF('ASS START SYNC'!C203="SHOW",FIND(",",'ASS START SYNC'!E203,C199+1),"")</f>
        <v/>
      </c>
      <c r="E199" s="25" t="str">
        <f>IF('ASS START SYNC'!C203="SHOW",FIND(",,",'ASS START SYNC'!E203,1),"")</f>
        <v/>
      </c>
      <c r="F199" s="25" t="str">
        <f>IF('ASS START SYNC'!C203="SHOW",FIND(",,",'ASS START SYNC'!E203,E199+1),"")</f>
        <v/>
      </c>
      <c r="G199" s="23" t="str">
        <f>IF('ASS START SYNC'!C203="SHOW",LEFT('ASS START SYNC'!E203,B199),"")</f>
        <v/>
      </c>
      <c r="H199" s="24" t="str">
        <f>IF(AND('ASS START SYNC'!C203="SHOW",COUNTA('ASS START SYNC'!$E$8:'ASS START SYNC'!E202)=0),MID('ASS START SYNC'!E203,B199+1,C199-B199-1),IF(AND('ASS START SYNC'!C203="SHOW",COUNTA('ASS START SYNC'!$E$8:'ASS START SYNC'!E202)&lt;&gt;0),I198,""))</f>
        <v/>
      </c>
      <c r="I199" s="24" t="str">
        <f>IF('ASS START SYNC'!C203="SHOW",MID('ASS START SYNC'!E203,C199+1,D199-C199-1),I198)</f>
        <v/>
      </c>
      <c r="J199" s="23" t="str">
        <f>IF('ASS START SYNC'!C203="SHOW",MID('ASS START SYNC'!E203,D199+1,F199-D199+1),"")</f>
        <v/>
      </c>
      <c r="K199" s="23" t="str">
        <f>IF('ASS START SYNC'!C203="SHOW",MID('ASS START SYNC'!E203,F199+2,1000),"")</f>
        <v/>
      </c>
      <c r="M199" s="24"/>
      <c r="N199" s="26">
        <v>196</v>
      </c>
      <c r="O199" s="24" t="str">
        <f>IF('ASS END SYNC'!C203="SHOW",FIND(",",'ASS END SYNC'!E203,1),"")</f>
        <v/>
      </c>
      <c r="P199" s="24" t="str">
        <f>IF('ASS END SYNC'!C203="SHOW",FIND(",",'ASS END SYNC'!E203,O199+1),"")</f>
        <v/>
      </c>
      <c r="Q199" s="24" t="str">
        <f>IF('ASS END SYNC'!C203="SHOW",FIND(",",'ASS END SYNC'!E203,P199+1),"")</f>
        <v/>
      </c>
      <c r="R199" s="25" t="str">
        <f>IF('ASS END SYNC'!C203="SHOW",FIND(",,",'ASS END SYNC'!E203,1),"")</f>
        <v/>
      </c>
      <c r="S199" s="25" t="str">
        <f>IF('ASS END SYNC'!C203="SHOW",FIND(",,",'ASS END SYNC'!E203,R199+1),"")</f>
        <v/>
      </c>
      <c r="T199" s="23" t="str">
        <f>IF('ASS END SYNC'!C203="SHOW",LEFT('ASS END SYNC'!E203,O199),"")</f>
        <v/>
      </c>
      <c r="U199" s="24" t="str">
        <f>IF('ASS END SYNC'!C203="SHOW",MID('ASS END SYNC'!E203,O199+1,P199-O199-1),"")</f>
        <v/>
      </c>
      <c r="V199" s="24" t="str">
        <f>IF(AND('ASS END SYNC'!C203="SHOW",'ASS END SYNC'!C204="SHOW"),U200,IF(AND('ASS END SYNC'!C203="SHOW",'ASS END SYNC'!C204&lt;&gt;"SHOW"),MID('ASS END SYNC'!E203,O199+1,P199-O199-1),""))</f>
        <v/>
      </c>
      <c r="W199" s="23" t="str">
        <f>IF('ASS END SYNC'!C203="SHOW",MID('ASS END SYNC'!E203,Q199+1,S199-Q199+1),"")</f>
        <v/>
      </c>
      <c r="X199" s="23" t="str">
        <f>IF('ASS END SYNC'!C203="SHOW",MID('ASS END SYNC'!E203,S199+2,1000),"")</f>
        <v/>
      </c>
      <c r="Z199" s="24"/>
    </row>
    <row r="200" spans="1:26" x14ac:dyDescent="0.25">
      <c r="A200" s="26">
        <v>197</v>
      </c>
      <c r="B200" s="24" t="str">
        <f>IF('ASS START SYNC'!C204="SHOW",FIND(",",'ASS START SYNC'!E204,1),"")</f>
        <v/>
      </c>
      <c r="C200" s="24" t="str">
        <f>IF('ASS START SYNC'!C204="SHOW",FIND(",",'ASS START SYNC'!E204,B200+1),"")</f>
        <v/>
      </c>
      <c r="D200" s="24" t="str">
        <f>IF('ASS START SYNC'!C204="SHOW",FIND(",",'ASS START SYNC'!E204,C200+1),"")</f>
        <v/>
      </c>
      <c r="E200" s="25" t="str">
        <f>IF('ASS START SYNC'!C204="SHOW",FIND(",,",'ASS START SYNC'!E204,1),"")</f>
        <v/>
      </c>
      <c r="F200" s="25" t="str">
        <f>IF('ASS START SYNC'!C204="SHOW",FIND(",,",'ASS START SYNC'!E204,E200+1),"")</f>
        <v/>
      </c>
      <c r="G200" s="23" t="str">
        <f>IF('ASS START SYNC'!C204="SHOW",LEFT('ASS START SYNC'!E204,B200),"")</f>
        <v/>
      </c>
      <c r="H200" s="24" t="str">
        <f>IF(AND('ASS START SYNC'!C204="SHOW",COUNTA('ASS START SYNC'!$E$8:'ASS START SYNC'!E203)=0),MID('ASS START SYNC'!E204,B200+1,C200-B200-1),IF(AND('ASS START SYNC'!C204="SHOW",COUNTA('ASS START SYNC'!$E$8:'ASS START SYNC'!E203)&lt;&gt;0),I199,""))</f>
        <v/>
      </c>
      <c r="I200" s="24" t="str">
        <f>IF('ASS START SYNC'!C204="SHOW",MID('ASS START SYNC'!E204,C200+1,D200-C200-1),I199)</f>
        <v/>
      </c>
      <c r="J200" s="23" t="str">
        <f>IF('ASS START SYNC'!C204="SHOW",MID('ASS START SYNC'!E204,D200+1,F200-D200+1),"")</f>
        <v/>
      </c>
      <c r="K200" s="23" t="str">
        <f>IF('ASS START SYNC'!C204="SHOW",MID('ASS START SYNC'!E204,F200+2,1000),"")</f>
        <v/>
      </c>
      <c r="M200" s="24"/>
      <c r="N200" s="26">
        <v>197</v>
      </c>
      <c r="O200" s="24" t="str">
        <f>IF('ASS END SYNC'!C204="SHOW",FIND(",",'ASS END SYNC'!E204,1),"")</f>
        <v/>
      </c>
      <c r="P200" s="24" t="str">
        <f>IF('ASS END SYNC'!C204="SHOW",FIND(",",'ASS END SYNC'!E204,O200+1),"")</f>
        <v/>
      </c>
      <c r="Q200" s="24" t="str">
        <f>IF('ASS END SYNC'!C204="SHOW",FIND(",",'ASS END SYNC'!E204,P200+1),"")</f>
        <v/>
      </c>
      <c r="R200" s="25" t="str">
        <f>IF('ASS END SYNC'!C204="SHOW",FIND(",,",'ASS END SYNC'!E204,1),"")</f>
        <v/>
      </c>
      <c r="S200" s="25" t="str">
        <f>IF('ASS END SYNC'!C204="SHOW",FIND(",,",'ASS END SYNC'!E204,R200+1),"")</f>
        <v/>
      </c>
      <c r="T200" s="23" t="str">
        <f>IF('ASS END SYNC'!C204="SHOW",LEFT('ASS END SYNC'!E204,O200),"")</f>
        <v/>
      </c>
      <c r="U200" s="24" t="str">
        <f>IF('ASS END SYNC'!C204="SHOW",MID('ASS END SYNC'!E204,O200+1,P200-O200-1),"")</f>
        <v/>
      </c>
      <c r="V200" s="24" t="str">
        <f>IF(AND('ASS END SYNC'!C204="SHOW",'ASS END SYNC'!C205="SHOW"),U201,IF(AND('ASS END SYNC'!C204="SHOW",'ASS END SYNC'!C205&lt;&gt;"SHOW"),MID('ASS END SYNC'!E204,O200+1,P200-O200-1),""))</f>
        <v/>
      </c>
      <c r="W200" s="23" t="str">
        <f>IF('ASS END SYNC'!C204="SHOW",MID('ASS END SYNC'!E204,Q200+1,S200-Q200+1),"")</f>
        <v/>
      </c>
      <c r="X200" s="23" t="str">
        <f>IF('ASS END SYNC'!C204="SHOW",MID('ASS END SYNC'!E204,S200+2,1000),"")</f>
        <v/>
      </c>
      <c r="Z200" s="24"/>
    </row>
    <row r="201" spans="1:26" x14ac:dyDescent="0.25">
      <c r="A201" s="26">
        <v>198</v>
      </c>
      <c r="B201" s="24" t="str">
        <f>IF('ASS START SYNC'!C205="SHOW",FIND(",",'ASS START SYNC'!E205,1),"")</f>
        <v/>
      </c>
      <c r="C201" s="24" t="str">
        <f>IF('ASS START SYNC'!C205="SHOW",FIND(",",'ASS START SYNC'!E205,B201+1),"")</f>
        <v/>
      </c>
      <c r="D201" s="24" t="str">
        <f>IF('ASS START SYNC'!C205="SHOW",FIND(",",'ASS START SYNC'!E205,C201+1),"")</f>
        <v/>
      </c>
      <c r="E201" s="25" t="str">
        <f>IF('ASS START SYNC'!C205="SHOW",FIND(",,",'ASS START SYNC'!E205,1),"")</f>
        <v/>
      </c>
      <c r="F201" s="25" t="str">
        <f>IF('ASS START SYNC'!C205="SHOW",FIND(",,",'ASS START SYNC'!E205,E201+1),"")</f>
        <v/>
      </c>
      <c r="G201" s="23" t="str">
        <f>IF('ASS START SYNC'!C205="SHOW",LEFT('ASS START SYNC'!E205,B201),"")</f>
        <v/>
      </c>
      <c r="H201" s="24" t="str">
        <f>IF(AND('ASS START SYNC'!C205="SHOW",COUNTA('ASS START SYNC'!$E$8:'ASS START SYNC'!E204)=0),MID('ASS START SYNC'!E205,B201+1,C201-B201-1),IF(AND('ASS START SYNC'!C205="SHOW",COUNTA('ASS START SYNC'!$E$8:'ASS START SYNC'!E204)&lt;&gt;0),I200,""))</f>
        <v/>
      </c>
      <c r="I201" s="24" t="str">
        <f>IF('ASS START SYNC'!C205="SHOW",MID('ASS START SYNC'!E205,C201+1,D201-C201-1),I200)</f>
        <v/>
      </c>
      <c r="J201" s="23" t="str">
        <f>IF('ASS START SYNC'!C205="SHOW",MID('ASS START SYNC'!E205,D201+1,F201-D201+1),"")</f>
        <v/>
      </c>
      <c r="K201" s="23" t="str">
        <f>IF('ASS START SYNC'!C205="SHOW",MID('ASS START SYNC'!E205,F201+2,1000),"")</f>
        <v/>
      </c>
      <c r="M201" s="24"/>
      <c r="N201" s="26">
        <v>198</v>
      </c>
      <c r="O201" s="24" t="str">
        <f>IF('ASS END SYNC'!C205="SHOW",FIND(",",'ASS END SYNC'!E205,1),"")</f>
        <v/>
      </c>
      <c r="P201" s="24" t="str">
        <f>IF('ASS END SYNC'!C205="SHOW",FIND(",",'ASS END SYNC'!E205,O201+1),"")</f>
        <v/>
      </c>
      <c r="Q201" s="24" t="str">
        <f>IF('ASS END SYNC'!C205="SHOW",FIND(",",'ASS END SYNC'!E205,P201+1),"")</f>
        <v/>
      </c>
      <c r="R201" s="25" t="str">
        <f>IF('ASS END SYNC'!C205="SHOW",FIND(",,",'ASS END SYNC'!E205,1),"")</f>
        <v/>
      </c>
      <c r="S201" s="25" t="str">
        <f>IF('ASS END SYNC'!C205="SHOW",FIND(",,",'ASS END SYNC'!E205,R201+1),"")</f>
        <v/>
      </c>
      <c r="T201" s="23" t="str">
        <f>IF('ASS END SYNC'!C205="SHOW",LEFT('ASS END SYNC'!E205,O201),"")</f>
        <v/>
      </c>
      <c r="U201" s="24" t="str">
        <f>IF('ASS END SYNC'!C205="SHOW",MID('ASS END SYNC'!E205,O201+1,P201-O201-1),"")</f>
        <v/>
      </c>
      <c r="V201" s="24" t="str">
        <f>IF(AND('ASS END SYNC'!C205="SHOW",'ASS END SYNC'!C206="SHOW"),U202,IF(AND('ASS END SYNC'!C205="SHOW",'ASS END SYNC'!C206&lt;&gt;"SHOW"),MID('ASS END SYNC'!E205,O201+1,P201-O201-1),""))</f>
        <v/>
      </c>
      <c r="W201" s="23" t="str">
        <f>IF('ASS END SYNC'!C205="SHOW",MID('ASS END SYNC'!E205,Q201+1,S201-Q201+1),"")</f>
        <v/>
      </c>
      <c r="X201" s="23" t="str">
        <f>IF('ASS END SYNC'!C205="SHOW",MID('ASS END SYNC'!E205,S201+2,1000),"")</f>
        <v/>
      </c>
      <c r="Z201" s="24"/>
    </row>
    <row r="202" spans="1:26" x14ac:dyDescent="0.25">
      <c r="A202" s="26">
        <v>199</v>
      </c>
      <c r="B202" s="24" t="str">
        <f>IF('ASS START SYNC'!C206="SHOW",FIND(",",'ASS START SYNC'!E206,1),"")</f>
        <v/>
      </c>
      <c r="C202" s="24" t="str">
        <f>IF('ASS START SYNC'!C206="SHOW",FIND(",",'ASS START SYNC'!E206,B202+1),"")</f>
        <v/>
      </c>
      <c r="D202" s="24" t="str">
        <f>IF('ASS START SYNC'!C206="SHOW",FIND(",",'ASS START SYNC'!E206,C202+1),"")</f>
        <v/>
      </c>
      <c r="E202" s="25" t="str">
        <f>IF('ASS START SYNC'!C206="SHOW",FIND(",,",'ASS START SYNC'!E206,1),"")</f>
        <v/>
      </c>
      <c r="F202" s="25" t="str">
        <f>IF('ASS START SYNC'!C206="SHOW",FIND(",,",'ASS START SYNC'!E206,E202+1),"")</f>
        <v/>
      </c>
      <c r="G202" s="23" t="str">
        <f>IF('ASS START SYNC'!C206="SHOW",LEFT('ASS START SYNC'!E206,B202),"")</f>
        <v/>
      </c>
      <c r="H202" s="24" t="str">
        <f>IF(AND('ASS START SYNC'!C206="SHOW",COUNTA('ASS START SYNC'!$E$8:'ASS START SYNC'!E205)=0),MID('ASS START SYNC'!E206,B202+1,C202-B202-1),IF(AND('ASS START SYNC'!C206="SHOW",COUNTA('ASS START SYNC'!$E$8:'ASS START SYNC'!E205)&lt;&gt;0),I201,""))</f>
        <v/>
      </c>
      <c r="I202" s="24" t="str">
        <f>IF('ASS START SYNC'!C206="SHOW",MID('ASS START SYNC'!E206,C202+1,D202-C202-1),I201)</f>
        <v/>
      </c>
      <c r="J202" s="23" t="str">
        <f>IF('ASS START SYNC'!C206="SHOW",MID('ASS START SYNC'!E206,D202+1,F202-D202+1),"")</f>
        <v/>
      </c>
      <c r="K202" s="23" t="str">
        <f>IF('ASS START SYNC'!C206="SHOW",MID('ASS START SYNC'!E206,F202+2,1000),"")</f>
        <v/>
      </c>
      <c r="M202" s="24"/>
      <c r="N202" s="26">
        <v>199</v>
      </c>
      <c r="O202" s="24" t="str">
        <f>IF('ASS END SYNC'!C206="SHOW",FIND(",",'ASS END SYNC'!E206,1),"")</f>
        <v/>
      </c>
      <c r="P202" s="24" t="str">
        <f>IF('ASS END SYNC'!C206="SHOW",FIND(",",'ASS END SYNC'!E206,O202+1),"")</f>
        <v/>
      </c>
      <c r="Q202" s="24" t="str">
        <f>IF('ASS END SYNC'!C206="SHOW",FIND(",",'ASS END SYNC'!E206,P202+1),"")</f>
        <v/>
      </c>
      <c r="R202" s="25" t="str">
        <f>IF('ASS END SYNC'!C206="SHOW",FIND(",,",'ASS END SYNC'!E206,1),"")</f>
        <v/>
      </c>
      <c r="S202" s="25" t="str">
        <f>IF('ASS END SYNC'!C206="SHOW",FIND(",,",'ASS END SYNC'!E206,R202+1),"")</f>
        <v/>
      </c>
      <c r="T202" s="23" t="str">
        <f>IF('ASS END SYNC'!C206="SHOW",LEFT('ASS END SYNC'!E206,O202),"")</f>
        <v/>
      </c>
      <c r="U202" s="24" t="str">
        <f>IF('ASS END SYNC'!C206="SHOW",MID('ASS END SYNC'!E206,O202+1,P202-O202-1),"")</f>
        <v/>
      </c>
      <c r="V202" s="24" t="str">
        <f>IF(AND('ASS END SYNC'!C206="SHOW",'ASS END SYNC'!C207="SHOW"),U203,IF(AND('ASS END SYNC'!C206="SHOW",'ASS END SYNC'!C207&lt;&gt;"SHOW"),MID('ASS END SYNC'!E206,O202+1,P202-O202-1),""))</f>
        <v/>
      </c>
      <c r="W202" s="23" t="str">
        <f>IF('ASS END SYNC'!C206="SHOW",MID('ASS END SYNC'!E206,Q202+1,S202-Q202+1),"")</f>
        <v/>
      </c>
      <c r="X202" s="23" t="str">
        <f>IF('ASS END SYNC'!C206="SHOW",MID('ASS END SYNC'!E206,S202+2,1000),"")</f>
        <v/>
      </c>
      <c r="Z202" s="24"/>
    </row>
    <row r="203" spans="1:26" x14ac:dyDescent="0.25">
      <c r="A203" s="26">
        <v>200</v>
      </c>
      <c r="B203" s="24" t="str">
        <f>IF('ASS START SYNC'!C207="SHOW",FIND(",",'ASS START SYNC'!E207,1),"")</f>
        <v/>
      </c>
      <c r="C203" s="24" t="str">
        <f>IF('ASS START SYNC'!C207="SHOW",FIND(",",'ASS START SYNC'!E207,B203+1),"")</f>
        <v/>
      </c>
      <c r="D203" s="24" t="str">
        <f>IF('ASS START SYNC'!C207="SHOW",FIND(",",'ASS START SYNC'!E207,C203+1),"")</f>
        <v/>
      </c>
      <c r="E203" s="25" t="str">
        <f>IF('ASS START SYNC'!C207="SHOW",FIND(",,",'ASS START SYNC'!E207,1),"")</f>
        <v/>
      </c>
      <c r="F203" s="25" t="str">
        <f>IF('ASS START SYNC'!C207="SHOW",FIND(",,",'ASS START SYNC'!E207,E203+1),"")</f>
        <v/>
      </c>
      <c r="G203" s="23" t="str">
        <f>IF('ASS START SYNC'!C207="SHOW",LEFT('ASS START SYNC'!E207,B203),"")</f>
        <v/>
      </c>
      <c r="H203" s="24" t="str">
        <f>IF(AND('ASS START SYNC'!C207="SHOW",COUNTA('ASS START SYNC'!$E$8:'ASS START SYNC'!E206)=0),MID('ASS START SYNC'!E207,B203+1,C203-B203-1),IF(AND('ASS START SYNC'!C207="SHOW",COUNTA('ASS START SYNC'!$E$8:'ASS START SYNC'!E206)&lt;&gt;0),I202,""))</f>
        <v/>
      </c>
      <c r="I203" s="24" t="str">
        <f>IF('ASS START SYNC'!C207="SHOW",MID('ASS START SYNC'!E207,C203+1,D203-C203-1),I202)</f>
        <v/>
      </c>
      <c r="J203" s="23" t="str">
        <f>IF('ASS START SYNC'!C207="SHOW",MID('ASS START SYNC'!E207,D203+1,F203-D203+1),"")</f>
        <v/>
      </c>
      <c r="K203" s="23" t="str">
        <f>IF('ASS START SYNC'!C207="SHOW",MID('ASS START SYNC'!E207,F203+2,1000),"")</f>
        <v/>
      </c>
      <c r="M203" s="24"/>
      <c r="N203" s="26">
        <v>200</v>
      </c>
      <c r="O203" s="24" t="str">
        <f>IF('ASS END SYNC'!C207="SHOW",FIND(",",'ASS END SYNC'!E207,1),"")</f>
        <v/>
      </c>
      <c r="P203" s="24" t="str">
        <f>IF('ASS END SYNC'!C207="SHOW",FIND(",",'ASS END SYNC'!E207,O203+1),"")</f>
        <v/>
      </c>
      <c r="Q203" s="24" t="str">
        <f>IF('ASS END SYNC'!C207="SHOW",FIND(",",'ASS END SYNC'!E207,P203+1),"")</f>
        <v/>
      </c>
      <c r="R203" s="25" t="str">
        <f>IF('ASS END SYNC'!C207="SHOW",FIND(",,",'ASS END SYNC'!E207,1),"")</f>
        <v/>
      </c>
      <c r="S203" s="25" t="str">
        <f>IF('ASS END SYNC'!C207="SHOW",FIND(",,",'ASS END SYNC'!E207,R203+1),"")</f>
        <v/>
      </c>
      <c r="T203" s="23" t="str">
        <f>IF('ASS END SYNC'!C207="SHOW",LEFT('ASS END SYNC'!E207,O203),"")</f>
        <v/>
      </c>
      <c r="U203" s="24" t="str">
        <f>IF('ASS END SYNC'!C207="SHOW",MID('ASS END SYNC'!E207,O203+1,P203-O203-1),"")</f>
        <v/>
      </c>
      <c r="V203" s="24" t="str">
        <f>IF(AND('ASS END SYNC'!C207="SHOW",'ASS END SYNC'!C208="SHOW"),U204,IF(AND('ASS END SYNC'!C207="SHOW",'ASS END SYNC'!C208&lt;&gt;"SHOW"),MID('ASS END SYNC'!E207,O203+1,P203-O203-1),""))</f>
        <v/>
      </c>
      <c r="W203" s="23" t="str">
        <f>IF('ASS END SYNC'!C207="SHOW",MID('ASS END SYNC'!E207,Q203+1,S203-Q203+1),"")</f>
        <v/>
      </c>
      <c r="X203" s="23" t="str">
        <f>IF('ASS END SYNC'!C207="SHOW",MID('ASS END SYNC'!E207,S203+2,1000),"")</f>
        <v/>
      </c>
      <c r="Z203" s="24"/>
    </row>
    <row r="204" spans="1:26" x14ac:dyDescent="0.25">
      <c r="A204" s="26">
        <v>201</v>
      </c>
      <c r="B204" s="24" t="str">
        <f>IF('ASS START SYNC'!C208="SHOW",FIND(",",'ASS START SYNC'!E208,1),"")</f>
        <v/>
      </c>
      <c r="C204" s="24" t="str">
        <f>IF('ASS START SYNC'!C208="SHOW",FIND(",",'ASS START SYNC'!E208,B204+1),"")</f>
        <v/>
      </c>
      <c r="D204" s="24" t="str">
        <f>IF('ASS START SYNC'!C208="SHOW",FIND(",",'ASS START SYNC'!E208,C204+1),"")</f>
        <v/>
      </c>
      <c r="E204" s="25" t="str">
        <f>IF('ASS START SYNC'!C208="SHOW",FIND(",,",'ASS START SYNC'!E208,1),"")</f>
        <v/>
      </c>
      <c r="F204" s="25" t="str">
        <f>IF('ASS START SYNC'!C208="SHOW",FIND(",,",'ASS START SYNC'!E208,E204+1),"")</f>
        <v/>
      </c>
      <c r="G204" s="23" t="str">
        <f>IF('ASS START SYNC'!C208="SHOW",LEFT('ASS START SYNC'!E208,B204),"")</f>
        <v/>
      </c>
      <c r="H204" s="24" t="str">
        <f>IF(AND('ASS START SYNC'!C208="SHOW",COUNTA('ASS START SYNC'!$E$8:'ASS START SYNC'!E207)=0),MID('ASS START SYNC'!E208,B204+1,C204-B204-1),IF(AND('ASS START SYNC'!C208="SHOW",COUNTA('ASS START SYNC'!$E$8:'ASS START SYNC'!E207)&lt;&gt;0),I203,""))</f>
        <v/>
      </c>
      <c r="I204" s="24" t="str">
        <f>IF('ASS START SYNC'!C208="SHOW",MID('ASS START SYNC'!E208,C204+1,D204-C204-1),I203)</f>
        <v/>
      </c>
      <c r="J204" s="23" t="str">
        <f>IF('ASS START SYNC'!C208="SHOW",MID('ASS START SYNC'!E208,D204+1,F204-D204+1),"")</f>
        <v/>
      </c>
      <c r="K204" s="23" t="str">
        <f>IF('ASS START SYNC'!C208="SHOW",MID('ASS START SYNC'!E208,F204+2,1000),"")</f>
        <v/>
      </c>
      <c r="M204" s="24"/>
      <c r="N204" s="26">
        <v>201</v>
      </c>
      <c r="O204" s="24" t="str">
        <f>IF('ASS END SYNC'!C208="SHOW",FIND(",",'ASS END SYNC'!E208,1),"")</f>
        <v/>
      </c>
      <c r="P204" s="24" t="str">
        <f>IF('ASS END SYNC'!C208="SHOW",FIND(",",'ASS END SYNC'!E208,O204+1),"")</f>
        <v/>
      </c>
      <c r="Q204" s="24" t="str">
        <f>IF('ASS END SYNC'!C208="SHOW",FIND(",",'ASS END SYNC'!E208,P204+1),"")</f>
        <v/>
      </c>
      <c r="R204" s="25" t="str">
        <f>IF('ASS END SYNC'!C208="SHOW",FIND(",,",'ASS END SYNC'!E208,1),"")</f>
        <v/>
      </c>
      <c r="S204" s="25" t="str">
        <f>IF('ASS END SYNC'!C208="SHOW",FIND(",,",'ASS END SYNC'!E208,R204+1),"")</f>
        <v/>
      </c>
      <c r="T204" s="23" t="str">
        <f>IF('ASS END SYNC'!C208="SHOW",LEFT('ASS END SYNC'!E208,O204),"")</f>
        <v/>
      </c>
      <c r="U204" s="24" t="str">
        <f>IF('ASS END SYNC'!C208="SHOW",MID('ASS END SYNC'!E208,O204+1,P204-O204-1),"")</f>
        <v/>
      </c>
      <c r="V204" s="24" t="str">
        <f>IF(AND('ASS END SYNC'!C208="SHOW",'ASS END SYNC'!C209="SHOW"),U205,IF(AND('ASS END SYNC'!C208="SHOW",'ASS END SYNC'!C209&lt;&gt;"SHOW"),MID('ASS END SYNC'!E208,O204+1,P204-O204-1),""))</f>
        <v/>
      </c>
      <c r="W204" s="23" t="str">
        <f>IF('ASS END SYNC'!C208="SHOW",MID('ASS END SYNC'!E208,Q204+1,S204-Q204+1),"")</f>
        <v/>
      </c>
      <c r="X204" s="23" t="str">
        <f>IF('ASS END SYNC'!C208="SHOW",MID('ASS END SYNC'!E208,S204+2,1000),"")</f>
        <v/>
      </c>
      <c r="Z204" s="24"/>
    </row>
    <row r="205" spans="1:26" x14ac:dyDescent="0.25">
      <c r="A205" s="26">
        <v>202</v>
      </c>
      <c r="B205" s="24" t="str">
        <f>IF('ASS START SYNC'!C209="SHOW",FIND(",",'ASS START SYNC'!E209,1),"")</f>
        <v/>
      </c>
      <c r="C205" s="24" t="str">
        <f>IF('ASS START SYNC'!C209="SHOW",FIND(",",'ASS START SYNC'!E209,B205+1),"")</f>
        <v/>
      </c>
      <c r="D205" s="24" t="str">
        <f>IF('ASS START SYNC'!C209="SHOW",FIND(",",'ASS START SYNC'!E209,C205+1),"")</f>
        <v/>
      </c>
      <c r="E205" s="25" t="str">
        <f>IF('ASS START SYNC'!C209="SHOW",FIND(",,",'ASS START SYNC'!E209,1),"")</f>
        <v/>
      </c>
      <c r="F205" s="25" t="str">
        <f>IF('ASS START SYNC'!C209="SHOW",FIND(",,",'ASS START SYNC'!E209,E205+1),"")</f>
        <v/>
      </c>
      <c r="G205" s="23" t="str">
        <f>IF('ASS START SYNC'!C209="SHOW",LEFT('ASS START SYNC'!E209,B205),"")</f>
        <v/>
      </c>
      <c r="H205" s="24" t="str">
        <f>IF(AND('ASS START SYNC'!C209="SHOW",COUNTA('ASS START SYNC'!$E$8:'ASS START SYNC'!E208)=0),MID('ASS START SYNC'!E209,B205+1,C205-B205-1),IF(AND('ASS START SYNC'!C209="SHOW",COUNTA('ASS START SYNC'!$E$8:'ASS START SYNC'!E208)&lt;&gt;0),I204,""))</f>
        <v/>
      </c>
      <c r="I205" s="24" t="str">
        <f>IF('ASS START SYNC'!C209="SHOW",MID('ASS START SYNC'!E209,C205+1,D205-C205-1),I204)</f>
        <v/>
      </c>
      <c r="J205" s="23" t="str">
        <f>IF('ASS START SYNC'!C209="SHOW",MID('ASS START SYNC'!E209,D205+1,F205-D205+1),"")</f>
        <v/>
      </c>
      <c r="K205" s="23" t="str">
        <f>IF('ASS START SYNC'!C209="SHOW",MID('ASS START SYNC'!E209,F205+2,1000),"")</f>
        <v/>
      </c>
      <c r="M205" s="24"/>
      <c r="N205" s="26">
        <v>202</v>
      </c>
      <c r="O205" s="24" t="str">
        <f>IF('ASS END SYNC'!C209="SHOW",FIND(",",'ASS END SYNC'!E209,1),"")</f>
        <v/>
      </c>
      <c r="P205" s="24" t="str">
        <f>IF('ASS END SYNC'!C209="SHOW",FIND(",",'ASS END SYNC'!E209,O205+1),"")</f>
        <v/>
      </c>
      <c r="Q205" s="24" t="str">
        <f>IF('ASS END SYNC'!C209="SHOW",FIND(",",'ASS END SYNC'!E209,P205+1),"")</f>
        <v/>
      </c>
      <c r="R205" s="25" t="str">
        <f>IF('ASS END SYNC'!C209="SHOW",FIND(",,",'ASS END SYNC'!E209,1),"")</f>
        <v/>
      </c>
      <c r="S205" s="25" t="str">
        <f>IF('ASS END SYNC'!C209="SHOW",FIND(",,",'ASS END SYNC'!E209,R205+1),"")</f>
        <v/>
      </c>
      <c r="T205" s="23" t="str">
        <f>IF('ASS END SYNC'!C209="SHOW",LEFT('ASS END SYNC'!E209,O205),"")</f>
        <v/>
      </c>
      <c r="U205" s="24" t="str">
        <f>IF('ASS END SYNC'!C209="SHOW",MID('ASS END SYNC'!E209,O205+1,P205-O205-1),"")</f>
        <v/>
      </c>
      <c r="V205" s="24" t="str">
        <f>IF(AND('ASS END SYNC'!C209="SHOW",'ASS END SYNC'!C210="SHOW"),U206,IF(AND('ASS END SYNC'!C209="SHOW",'ASS END SYNC'!C210&lt;&gt;"SHOW"),MID('ASS END SYNC'!E209,O205+1,P205-O205-1),""))</f>
        <v/>
      </c>
      <c r="W205" s="23" t="str">
        <f>IF('ASS END SYNC'!C209="SHOW",MID('ASS END SYNC'!E209,Q205+1,S205-Q205+1),"")</f>
        <v/>
      </c>
      <c r="X205" s="23" t="str">
        <f>IF('ASS END SYNC'!C209="SHOW",MID('ASS END SYNC'!E209,S205+2,1000),"")</f>
        <v/>
      </c>
      <c r="Z205" s="24"/>
    </row>
    <row r="206" spans="1:26" x14ac:dyDescent="0.25">
      <c r="A206" s="26">
        <v>203</v>
      </c>
      <c r="B206" s="24" t="str">
        <f>IF('ASS START SYNC'!C210="SHOW",FIND(",",'ASS START SYNC'!E210,1),"")</f>
        <v/>
      </c>
      <c r="C206" s="24" t="str">
        <f>IF('ASS START SYNC'!C210="SHOW",FIND(",",'ASS START SYNC'!E210,B206+1),"")</f>
        <v/>
      </c>
      <c r="D206" s="24" t="str">
        <f>IF('ASS START SYNC'!C210="SHOW",FIND(",",'ASS START SYNC'!E210,C206+1),"")</f>
        <v/>
      </c>
      <c r="E206" s="25" t="str">
        <f>IF('ASS START SYNC'!C210="SHOW",FIND(",,",'ASS START SYNC'!E210,1),"")</f>
        <v/>
      </c>
      <c r="F206" s="25" t="str">
        <f>IF('ASS START SYNC'!C210="SHOW",FIND(",,",'ASS START SYNC'!E210,E206+1),"")</f>
        <v/>
      </c>
      <c r="G206" s="23" t="str">
        <f>IF('ASS START SYNC'!C210="SHOW",LEFT('ASS START SYNC'!E210,B206),"")</f>
        <v/>
      </c>
      <c r="H206" s="24" t="str">
        <f>IF(AND('ASS START SYNC'!C210="SHOW",COUNTA('ASS START SYNC'!$E$8:'ASS START SYNC'!E209)=0),MID('ASS START SYNC'!E210,B206+1,C206-B206-1),IF(AND('ASS START SYNC'!C210="SHOW",COUNTA('ASS START SYNC'!$E$8:'ASS START SYNC'!E209)&lt;&gt;0),I205,""))</f>
        <v/>
      </c>
      <c r="I206" s="24" t="str">
        <f>IF('ASS START SYNC'!C210="SHOW",MID('ASS START SYNC'!E210,C206+1,D206-C206-1),I205)</f>
        <v/>
      </c>
      <c r="J206" s="23" t="str">
        <f>IF('ASS START SYNC'!C210="SHOW",MID('ASS START SYNC'!E210,D206+1,F206-D206+1),"")</f>
        <v/>
      </c>
      <c r="K206" s="23" t="str">
        <f>IF('ASS START SYNC'!C210="SHOW",MID('ASS START SYNC'!E210,F206+2,1000),"")</f>
        <v/>
      </c>
      <c r="M206" s="24"/>
      <c r="N206" s="26">
        <v>203</v>
      </c>
      <c r="O206" s="24" t="str">
        <f>IF('ASS END SYNC'!C210="SHOW",FIND(",",'ASS END SYNC'!E210,1),"")</f>
        <v/>
      </c>
      <c r="P206" s="24" t="str">
        <f>IF('ASS END SYNC'!C210="SHOW",FIND(",",'ASS END SYNC'!E210,O206+1),"")</f>
        <v/>
      </c>
      <c r="Q206" s="24" t="str">
        <f>IF('ASS END SYNC'!C210="SHOW",FIND(",",'ASS END SYNC'!E210,P206+1),"")</f>
        <v/>
      </c>
      <c r="R206" s="25" t="str">
        <f>IF('ASS END SYNC'!C210="SHOW",FIND(",,",'ASS END SYNC'!E210,1),"")</f>
        <v/>
      </c>
      <c r="S206" s="25" t="str">
        <f>IF('ASS END SYNC'!C210="SHOW",FIND(",,",'ASS END SYNC'!E210,R206+1),"")</f>
        <v/>
      </c>
      <c r="T206" s="23" t="str">
        <f>IF('ASS END SYNC'!C210="SHOW",LEFT('ASS END SYNC'!E210,O206),"")</f>
        <v/>
      </c>
      <c r="U206" s="24" t="str">
        <f>IF('ASS END SYNC'!C210="SHOW",MID('ASS END SYNC'!E210,O206+1,P206-O206-1),"")</f>
        <v/>
      </c>
      <c r="V206" s="24" t="str">
        <f>IF(AND('ASS END SYNC'!C210="SHOW",'ASS END SYNC'!C211="SHOW"),U207,IF(AND('ASS END SYNC'!C210="SHOW",'ASS END SYNC'!C211&lt;&gt;"SHOW"),MID('ASS END SYNC'!E210,O206+1,P206-O206-1),""))</f>
        <v/>
      </c>
      <c r="W206" s="23" t="str">
        <f>IF('ASS END SYNC'!C210="SHOW",MID('ASS END SYNC'!E210,Q206+1,S206-Q206+1),"")</f>
        <v/>
      </c>
      <c r="X206" s="23" t="str">
        <f>IF('ASS END SYNC'!C210="SHOW",MID('ASS END SYNC'!E210,S206+2,1000),"")</f>
        <v/>
      </c>
      <c r="Z206" s="24"/>
    </row>
    <row r="207" spans="1:26" x14ac:dyDescent="0.25">
      <c r="A207" s="26">
        <v>204</v>
      </c>
      <c r="B207" s="24" t="str">
        <f>IF('ASS START SYNC'!C211="SHOW",FIND(",",'ASS START SYNC'!E211,1),"")</f>
        <v/>
      </c>
      <c r="C207" s="24" t="str">
        <f>IF('ASS START SYNC'!C211="SHOW",FIND(",",'ASS START SYNC'!E211,B207+1),"")</f>
        <v/>
      </c>
      <c r="D207" s="24" t="str">
        <f>IF('ASS START SYNC'!C211="SHOW",FIND(",",'ASS START SYNC'!E211,C207+1),"")</f>
        <v/>
      </c>
      <c r="E207" s="25" t="str">
        <f>IF('ASS START SYNC'!C211="SHOW",FIND(",,",'ASS START SYNC'!E211,1),"")</f>
        <v/>
      </c>
      <c r="F207" s="25" t="str">
        <f>IF('ASS START SYNC'!C211="SHOW",FIND(",,",'ASS START SYNC'!E211,E207+1),"")</f>
        <v/>
      </c>
      <c r="G207" s="23" t="str">
        <f>IF('ASS START SYNC'!C211="SHOW",LEFT('ASS START SYNC'!E211,B207),"")</f>
        <v/>
      </c>
      <c r="H207" s="24" t="str">
        <f>IF(AND('ASS START SYNC'!C211="SHOW",COUNTA('ASS START SYNC'!$E$8:'ASS START SYNC'!E210)=0),MID('ASS START SYNC'!E211,B207+1,C207-B207-1),IF(AND('ASS START SYNC'!C211="SHOW",COUNTA('ASS START SYNC'!$E$8:'ASS START SYNC'!E210)&lt;&gt;0),I206,""))</f>
        <v/>
      </c>
      <c r="I207" s="24" t="str">
        <f>IF('ASS START SYNC'!C211="SHOW",MID('ASS START SYNC'!E211,C207+1,D207-C207-1),I206)</f>
        <v/>
      </c>
      <c r="J207" s="23" t="str">
        <f>IF('ASS START SYNC'!C211="SHOW",MID('ASS START SYNC'!E211,D207+1,F207-D207+1),"")</f>
        <v/>
      </c>
      <c r="K207" s="23" t="str">
        <f>IF('ASS START SYNC'!C211="SHOW",MID('ASS START SYNC'!E211,F207+2,1000),"")</f>
        <v/>
      </c>
      <c r="M207" s="24"/>
      <c r="N207" s="26">
        <v>204</v>
      </c>
      <c r="O207" s="24" t="str">
        <f>IF('ASS END SYNC'!C211="SHOW",FIND(",",'ASS END SYNC'!E211,1),"")</f>
        <v/>
      </c>
      <c r="P207" s="24" t="str">
        <f>IF('ASS END SYNC'!C211="SHOW",FIND(",",'ASS END SYNC'!E211,O207+1),"")</f>
        <v/>
      </c>
      <c r="Q207" s="24" t="str">
        <f>IF('ASS END SYNC'!C211="SHOW",FIND(",",'ASS END SYNC'!E211,P207+1),"")</f>
        <v/>
      </c>
      <c r="R207" s="25" t="str">
        <f>IF('ASS END SYNC'!C211="SHOW",FIND(",,",'ASS END SYNC'!E211,1),"")</f>
        <v/>
      </c>
      <c r="S207" s="25" t="str">
        <f>IF('ASS END SYNC'!C211="SHOW",FIND(",,",'ASS END SYNC'!E211,R207+1),"")</f>
        <v/>
      </c>
      <c r="T207" s="23" t="str">
        <f>IF('ASS END SYNC'!C211="SHOW",LEFT('ASS END SYNC'!E211,O207),"")</f>
        <v/>
      </c>
      <c r="U207" s="24" t="str">
        <f>IF('ASS END SYNC'!C211="SHOW",MID('ASS END SYNC'!E211,O207+1,P207-O207-1),"")</f>
        <v/>
      </c>
      <c r="V207" s="24" t="str">
        <f>IF(AND('ASS END SYNC'!C211="SHOW",'ASS END SYNC'!C212="SHOW"),U208,IF(AND('ASS END SYNC'!C211="SHOW",'ASS END SYNC'!C212&lt;&gt;"SHOW"),MID('ASS END SYNC'!E211,O207+1,P207-O207-1),""))</f>
        <v/>
      </c>
      <c r="W207" s="23" t="str">
        <f>IF('ASS END SYNC'!C211="SHOW",MID('ASS END SYNC'!E211,Q207+1,S207-Q207+1),"")</f>
        <v/>
      </c>
      <c r="X207" s="23" t="str">
        <f>IF('ASS END SYNC'!C211="SHOW",MID('ASS END SYNC'!E211,S207+2,1000),"")</f>
        <v/>
      </c>
      <c r="Z207" s="24"/>
    </row>
    <row r="208" spans="1:26" x14ac:dyDescent="0.25">
      <c r="A208" s="26">
        <v>205</v>
      </c>
      <c r="B208" s="24" t="str">
        <f>IF('ASS START SYNC'!C212="SHOW",FIND(",",'ASS START SYNC'!E212,1),"")</f>
        <v/>
      </c>
      <c r="C208" s="24" t="str">
        <f>IF('ASS START SYNC'!C212="SHOW",FIND(",",'ASS START SYNC'!E212,B208+1),"")</f>
        <v/>
      </c>
      <c r="D208" s="24" t="str">
        <f>IF('ASS START SYNC'!C212="SHOW",FIND(",",'ASS START SYNC'!E212,C208+1),"")</f>
        <v/>
      </c>
      <c r="E208" s="25" t="str">
        <f>IF('ASS START SYNC'!C212="SHOW",FIND(",,",'ASS START SYNC'!E212,1),"")</f>
        <v/>
      </c>
      <c r="F208" s="25" t="str">
        <f>IF('ASS START SYNC'!C212="SHOW",FIND(",,",'ASS START SYNC'!E212,E208+1),"")</f>
        <v/>
      </c>
      <c r="G208" s="23" t="str">
        <f>IF('ASS START SYNC'!C212="SHOW",LEFT('ASS START SYNC'!E212,B208),"")</f>
        <v/>
      </c>
      <c r="H208" s="24" t="str">
        <f>IF(AND('ASS START SYNC'!C212="SHOW",COUNTA('ASS START SYNC'!$E$8:'ASS START SYNC'!E211)=0),MID('ASS START SYNC'!E212,B208+1,C208-B208-1),IF(AND('ASS START SYNC'!C212="SHOW",COUNTA('ASS START SYNC'!$E$8:'ASS START SYNC'!E211)&lt;&gt;0),I207,""))</f>
        <v/>
      </c>
      <c r="I208" s="24" t="str">
        <f>IF('ASS START SYNC'!C212="SHOW",MID('ASS START SYNC'!E212,C208+1,D208-C208-1),I207)</f>
        <v/>
      </c>
      <c r="J208" s="23" t="str">
        <f>IF('ASS START SYNC'!C212="SHOW",MID('ASS START SYNC'!E212,D208+1,F208-D208+1),"")</f>
        <v/>
      </c>
      <c r="K208" s="23" t="str">
        <f>IF('ASS START SYNC'!C212="SHOW",MID('ASS START SYNC'!E212,F208+2,1000),"")</f>
        <v/>
      </c>
      <c r="M208" s="24"/>
      <c r="N208" s="26">
        <v>205</v>
      </c>
      <c r="O208" s="24" t="str">
        <f>IF('ASS END SYNC'!C212="SHOW",FIND(",",'ASS END SYNC'!E212,1),"")</f>
        <v/>
      </c>
      <c r="P208" s="24" t="str">
        <f>IF('ASS END SYNC'!C212="SHOW",FIND(",",'ASS END SYNC'!E212,O208+1),"")</f>
        <v/>
      </c>
      <c r="Q208" s="24" t="str">
        <f>IF('ASS END SYNC'!C212="SHOW",FIND(",",'ASS END SYNC'!E212,P208+1),"")</f>
        <v/>
      </c>
      <c r="R208" s="25" t="str">
        <f>IF('ASS END SYNC'!C212="SHOW",FIND(",,",'ASS END SYNC'!E212,1),"")</f>
        <v/>
      </c>
      <c r="S208" s="25" t="str">
        <f>IF('ASS END SYNC'!C212="SHOW",FIND(",,",'ASS END SYNC'!E212,R208+1),"")</f>
        <v/>
      </c>
      <c r="T208" s="23" t="str">
        <f>IF('ASS END SYNC'!C212="SHOW",LEFT('ASS END SYNC'!E212,O208),"")</f>
        <v/>
      </c>
      <c r="U208" s="24" t="str">
        <f>IF('ASS END SYNC'!C212="SHOW",MID('ASS END SYNC'!E212,O208+1,P208-O208-1),"")</f>
        <v/>
      </c>
      <c r="V208" s="24" t="str">
        <f>IF(AND('ASS END SYNC'!C212="SHOW",'ASS END SYNC'!C213="SHOW"),U209,IF(AND('ASS END SYNC'!C212="SHOW",'ASS END SYNC'!C213&lt;&gt;"SHOW"),MID('ASS END SYNC'!E212,O208+1,P208-O208-1),""))</f>
        <v/>
      </c>
      <c r="W208" s="23" t="str">
        <f>IF('ASS END SYNC'!C212="SHOW",MID('ASS END SYNC'!E212,Q208+1,S208-Q208+1),"")</f>
        <v/>
      </c>
      <c r="X208" s="23" t="str">
        <f>IF('ASS END SYNC'!C212="SHOW",MID('ASS END SYNC'!E212,S208+2,1000),"")</f>
        <v/>
      </c>
      <c r="Z208" s="24"/>
    </row>
    <row r="209" spans="1:26" x14ac:dyDescent="0.25">
      <c r="A209" s="26">
        <v>206</v>
      </c>
      <c r="B209" s="24" t="str">
        <f>IF('ASS START SYNC'!C213="SHOW",FIND(",",'ASS START SYNC'!E213,1),"")</f>
        <v/>
      </c>
      <c r="C209" s="24" t="str">
        <f>IF('ASS START SYNC'!C213="SHOW",FIND(",",'ASS START SYNC'!E213,B209+1),"")</f>
        <v/>
      </c>
      <c r="D209" s="24" t="str">
        <f>IF('ASS START SYNC'!C213="SHOW",FIND(",",'ASS START SYNC'!E213,C209+1),"")</f>
        <v/>
      </c>
      <c r="E209" s="25" t="str">
        <f>IF('ASS START SYNC'!C213="SHOW",FIND(",,",'ASS START SYNC'!E213,1),"")</f>
        <v/>
      </c>
      <c r="F209" s="25" t="str">
        <f>IF('ASS START SYNC'!C213="SHOW",FIND(",,",'ASS START SYNC'!E213,E209+1),"")</f>
        <v/>
      </c>
      <c r="G209" s="23" t="str">
        <f>IF('ASS START SYNC'!C213="SHOW",LEFT('ASS START SYNC'!E213,B209),"")</f>
        <v/>
      </c>
      <c r="H209" s="24" t="str">
        <f>IF(AND('ASS START SYNC'!C213="SHOW",COUNTA('ASS START SYNC'!$E$8:'ASS START SYNC'!E212)=0),MID('ASS START SYNC'!E213,B209+1,C209-B209-1),IF(AND('ASS START SYNC'!C213="SHOW",COUNTA('ASS START SYNC'!$E$8:'ASS START SYNC'!E212)&lt;&gt;0),I208,""))</f>
        <v/>
      </c>
      <c r="I209" s="24" t="str">
        <f>IF('ASS START SYNC'!C213="SHOW",MID('ASS START SYNC'!E213,C209+1,D209-C209-1),I208)</f>
        <v/>
      </c>
      <c r="J209" s="23" t="str">
        <f>IF('ASS START SYNC'!C213="SHOW",MID('ASS START SYNC'!E213,D209+1,F209-D209+1),"")</f>
        <v/>
      </c>
      <c r="K209" s="23" t="str">
        <f>IF('ASS START SYNC'!C213="SHOW",MID('ASS START SYNC'!E213,F209+2,1000),"")</f>
        <v/>
      </c>
      <c r="M209" s="24"/>
      <c r="N209" s="26">
        <v>206</v>
      </c>
      <c r="O209" s="24" t="str">
        <f>IF('ASS END SYNC'!C213="SHOW",FIND(",",'ASS END SYNC'!E213,1),"")</f>
        <v/>
      </c>
      <c r="P209" s="24" t="str">
        <f>IF('ASS END SYNC'!C213="SHOW",FIND(",",'ASS END SYNC'!E213,O209+1),"")</f>
        <v/>
      </c>
      <c r="Q209" s="24" t="str">
        <f>IF('ASS END SYNC'!C213="SHOW",FIND(",",'ASS END SYNC'!E213,P209+1),"")</f>
        <v/>
      </c>
      <c r="R209" s="25" t="str">
        <f>IF('ASS END SYNC'!C213="SHOW",FIND(",,",'ASS END SYNC'!E213,1),"")</f>
        <v/>
      </c>
      <c r="S209" s="25" t="str">
        <f>IF('ASS END SYNC'!C213="SHOW",FIND(",,",'ASS END SYNC'!E213,R209+1),"")</f>
        <v/>
      </c>
      <c r="T209" s="23" t="str">
        <f>IF('ASS END SYNC'!C213="SHOW",LEFT('ASS END SYNC'!E213,O209),"")</f>
        <v/>
      </c>
      <c r="U209" s="24" t="str">
        <f>IF('ASS END SYNC'!C213="SHOW",MID('ASS END SYNC'!E213,O209+1,P209-O209-1),"")</f>
        <v/>
      </c>
      <c r="V209" s="24" t="str">
        <f>IF(AND('ASS END SYNC'!C213="SHOW",'ASS END SYNC'!C214="SHOW"),U210,IF(AND('ASS END SYNC'!C213="SHOW",'ASS END SYNC'!C214&lt;&gt;"SHOW"),MID('ASS END SYNC'!E213,O209+1,P209-O209-1),""))</f>
        <v/>
      </c>
      <c r="W209" s="23" t="str">
        <f>IF('ASS END SYNC'!C213="SHOW",MID('ASS END SYNC'!E213,Q209+1,S209-Q209+1),"")</f>
        <v/>
      </c>
      <c r="X209" s="23" t="str">
        <f>IF('ASS END SYNC'!C213="SHOW",MID('ASS END SYNC'!E213,S209+2,1000),"")</f>
        <v/>
      </c>
      <c r="Z209" s="24"/>
    </row>
    <row r="210" spans="1:26" x14ac:dyDescent="0.25">
      <c r="A210" s="26">
        <v>207</v>
      </c>
      <c r="B210" s="24" t="str">
        <f>IF('ASS START SYNC'!C214="SHOW",FIND(",",'ASS START SYNC'!E214,1),"")</f>
        <v/>
      </c>
      <c r="C210" s="24" t="str">
        <f>IF('ASS START SYNC'!C214="SHOW",FIND(",",'ASS START SYNC'!E214,B210+1),"")</f>
        <v/>
      </c>
      <c r="D210" s="24" t="str">
        <f>IF('ASS START SYNC'!C214="SHOW",FIND(",",'ASS START SYNC'!E214,C210+1),"")</f>
        <v/>
      </c>
      <c r="E210" s="25" t="str">
        <f>IF('ASS START SYNC'!C214="SHOW",FIND(",,",'ASS START SYNC'!E214,1),"")</f>
        <v/>
      </c>
      <c r="F210" s="25" t="str">
        <f>IF('ASS START SYNC'!C214="SHOW",FIND(",,",'ASS START SYNC'!E214,E210+1),"")</f>
        <v/>
      </c>
      <c r="G210" s="23" t="str">
        <f>IF('ASS START SYNC'!C214="SHOW",LEFT('ASS START SYNC'!E214,B210),"")</f>
        <v/>
      </c>
      <c r="H210" s="24" t="str">
        <f>IF(AND('ASS START SYNC'!C214="SHOW",COUNTA('ASS START SYNC'!$E$8:'ASS START SYNC'!E213)=0),MID('ASS START SYNC'!E214,B210+1,C210-B210-1),IF(AND('ASS START SYNC'!C214="SHOW",COUNTA('ASS START SYNC'!$E$8:'ASS START SYNC'!E213)&lt;&gt;0),I209,""))</f>
        <v/>
      </c>
      <c r="I210" s="24" t="str">
        <f>IF('ASS START SYNC'!C214="SHOW",MID('ASS START SYNC'!E214,C210+1,D210-C210-1),I209)</f>
        <v/>
      </c>
      <c r="J210" s="23" t="str">
        <f>IF('ASS START SYNC'!C214="SHOW",MID('ASS START SYNC'!E214,D210+1,F210-D210+1),"")</f>
        <v/>
      </c>
      <c r="K210" s="23" t="str">
        <f>IF('ASS START SYNC'!C214="SHOW",MID('ASS START SYNC'!E214,F210+2,1000),"")</f>
        <v/>
      </c>
      <c r="M210" s="24"/>
      <c r="N210" s="26">
        <v>207</v>
      </c>
      <c r="O210" s="24" t="str">
        <f>IF('ASS END SYNC'!C214="SHOW",FIND(",",'ASS END SYNC'!E214,1),"")</f>
        <v/>
      </c>
      <c r="P210" s="24" t="str">
        <f>IF('ASS END SYNC'!C214="SHOW",FIND(",",'ASS END SYNC'!E214,O210+1),"")</f>
        <v/>
      </c>
      <c r="Q210" s="24" t="str">
        <f>IF('ASS END SYNC'!C214="SHOW",FIND(",",'ASS END SYNC'!E214,P210+1),"")</f>
        <v/>
      </c>
      <c r="R210" s="25" t="str">
        <f>IF('ASS END SYNC'!C214="SHOW",FIND(",,",'ASS END SYNC'!E214,1),"")</f>
        <v/>
      </c>
      <c r="S210" s="25" t="str">
        <f>IF('ASS END SYNC'!C214="SHOW",FIND(",,",'ASS END SYNC'!E214,R210+1),"")</f>
        <v/>
      </c>
      <c r="T210" s="23" t="str">
        <f>IF('ASS END SYNC'!C214="SHOW",LEFT('ASS END SYNC'!E214,O210),"")</f>
        <v/>
      </c>
      <c r="U210" s="24" t="str">
        <f>IF('ASS END SYNC'!C214="SHOW",MID('ASS END SYNC'!E214,O210+1,P210-O210-1),"")</f>
        <v/>
      </c>
      <c r="V210" s="24" t="str">
        <f>IF(AND('ASS END SYNC'!C214="SHOW",'ASS END SYNC'!C215="SHOW"),U211,IF(AND('ASS END SYNC'!C214="SHOW",'ASS END SYNC'!C215&lt;&gt;"SHOW"),MID('ASS END SYNC'!E214,O210+1,P210-O210-1),""))</f>
        <v/>
      </c>
      <c r="W210" s="23" t="str">
        <f>IF('ASS END SYNC'!C214="SHOW",MID('ASS END SYNC'!E214,Q210+1,S210-Q210+1),"")</f>
        <v/>
      </c>
      <c r="X210" s="23" t="str">
        <f>IF('ASS END SYNC'!C214="SHOW",MID('ASS END SYNC'!E214,S210+2,1000),"")</f>
        <v/>
      </c>
      <c r="Z210" s="24"/>
    </row>
    <row r="211" spans="1:26" x14ac:dyDescent="0.25">
      <c r="A211" s="26">
        <v>208</v>
      </c>
      <c r="B211" s="24" t="str">
        <f>IF('ASS START SYNC'!C215="SHOW",FIND(",",'ASS START SYNC'!E215,1),"")</f>
        <v/>
      </c>
      <c r="C211" s="24" t="str">
        <f>IF('ASS START SYNC'!C215="SHOW",FIND(",",'ASS START SYNC'!E215,B211+1),"")</f>
        <v/>
      </c>
      <c r="D211" s="24" t="str">
        <f>IF('ASS START SYNC'!C215="SHOW",FIND(",",'ASS START SYNC'!E215,C211+1),"")</f>
        <v/>
      </c>
      <c r="E211" s="25" t="str">
        <f>IF('ASS START SYNC'!C215="SHOW",FIND(",,",'ASS START SYNC'!E215,1),"")</f>
        <v/>
      </c>
      <c r="F211" s="25" t="str">
        <f>IF('ASS START SYNC'!C215="SHOW",FIND(",,",'ASS START SYNC'!E215,E211+1),"")</f>
        <v/>
      </c>
      <c r="G211" s="23" t="str">
        <f>IF('ASS START SYNC'!C215="SHOW",LEFT('ASS START SYNC'!E215,B211),"")</f>
        <v/>
      </c>
      <c r="H211" s="24" t="str">
        <f>IF(AND('ASS START SYNC'!C215="SHOW",COUNTA('ASS START SYNC'!$E$8:'ASS START SYNC'!E214)=0),MID('ASS START SYNC'!E215,B211+1,C211-B211-1),IF(AND('ASS START SYNC'!C215="SHOW",COUNTA('ASS START SYNC'!$E$8:'ASS START SYNC'!E214)&lt;&gt;0),I210,""))</f>
        <v/>
      </c>
      <c r="I211" s="24" t="str">
        <f>IF('ASS START SYNC'!C215="SHOW",MID('ASS START SYNC'!E215,C211+1,D211-C211-1),I210)</f>
        <v/>
      </c>
      <c r="J211" s="23" t="str">
        <f>IF('ASS START SYNC'!C215="SHOW",MID('ASS START SYNC'!E215,D211+1,F211-D211+1),"")</f>
        <v/>
      </c>
      <c r="K211" s="23" t="str">
        <f>IF('ASS START SYNC'!C215="SHOW",MID('ASS START SYNC'!E215,F211+2,1000),"")</f>
        <v/>
      </c>
      <c r="M211" s="24"/>
      <c r="N211" s="26">
        <v>208</v>
      </c>
      <c r="O211" s="24" t="str">
        <f>IF('ASS END SYNC'!C215="SHOW",FIND(",",'ASS END SYNC'!E215,1),"")</f>
        <v/>
      </c>
      <c r="P211" s="24" t="str">
        <f>IF('ASS END SYNC'!C215="SHOW",FIND(",",'ASS END SYNC'!E215,O211+1),"")</f>
        <v/>
      </c>
      <c r="Q211" s="24" t="str">
        <f>IF('ASS END SYNC'!C215="SHOW",FIND(",",'ASS END SYNC'!E215,P211+1),"")</f>
        <v/>
      </c>
      <c r="R211" s="25" t="str">
        <f>IF('ASS END SYNC'!C215="SHOW",FIND(",,",'ASS END SYNC'!E215,1),"")</f>
        <v/>
      </c>
      <c r="S211" s="25" t="str">
        <f>IF('ASS END SYNC'!C215="SHOW",FIND(",,",'ASS END SYNC'!E215,R211+1),"")</f>
        <v/>
      </c>
      <c r="T211" s="23" t="str">
        <f>IF('ASS END SYNC'!C215="SHOW",LEFT('ASS END SYNC'!E215,O211),"")</f>
        <v/>
      </c>
      <c r="U211" s="24" t="str">
        <f>IF('ASS END SYNC'!C215="SHOW",MID('ASS END SYNC'!E215,O211+1,P211-O211-1),"")</f>
        <v/>
      </c>
      <c r="V211" s="24" t="str">
        <f>IF(AND('ASS END SYNC'!C215="SHOW",'ASS END SYNC'!C216="SHOW"),U212,IF(AND('ASS END SYNC'!C215="SHOW",'ASS END SYNC'!C216&lt;&gt;"SHOW"),MID('ASS END SYNC'!E215,O211+1,P211-O211-1),""))</f>
        <v/>
      </c>
      <c r="W211" s="23" t="str">
        <f>IF('ASS END SYNC'!C215="SHOW",MID('ASS END SYNC'!E215,Q211+1,S211-Q211+1),"")</f>
        <v/>
      </c>
      <c r="X211" s="23" t="str">
        <f>IF('ASS END SYNC'!C215="SHOW",MID('ASS END SYNC'!E215,S211+2,1000),"")</f>
        <v/>
      </c>
      <c r="Z211" s="24"/>
    </row>
    <row r="212" spans="1:26" x14ac:dyDescent="0.25">
      <c r="A212" s="26">
        <v>209</v>
      </c>
      <c r="B212" s="24" t="str">
        <f>IF('ASS START SYNC'!C216="SHOW",FIND(",",'ASS START SYNC'!E216,1),"")</f>
        <v/>
      </c>
      <c r="C212" s="24" t="str">
        <f>IF('ASS START SYNC'!C216="SHOW",FIND(",",'ASS START SYNC'!E216,B212+1),"")</f>
        <v/>
      </c>
      <c r="D212" s="24" t="str">
        <f>IF('ASS START SYNC'!C216="SHOW",FIND(",",'ASS START SYNC'!E216,C212+1),"")</f>
        <v/>
      </c>
      <c r="E212" s="25" t="str">
        <f>IF('ASS START SYNC'!C216="SHOW",FIND(",,",'ASS START SYNC'!E216,1),"")</f>
        <v/>
      </c>
      <c r="F212" s="25" t="str">
        <f>IF('ASS START SYNC'!C216="SHOW",FIND(",,",'ASS START SYNC'!E216,E212+1),"")</f>
        <v/>
      </c>
      <c r="G212" s="23" t="str">
        <f>IF('ASS START SYNC'!C216="SHOW",LEFT('ASS START SYNC'!E216,B212),"")</f>
        <v/>
      </c>
      <c r="H212" s="24" t="str">
        <f>IF(AND('ASS START SYNC'!C216="SHOW",COUNTA('ASS START SYNC'!$E$8:'ASS START SYNC'!E215)=0),MID('ASS START SYNC'!E216,B212+1,C212-B212-1),IF(AND('ASS START SYNC'!C216="SHOW",COUNTA('ASS START SYNC'!$E$8:'ASS START SYNC'!E215)&lt;&gt;0),I211,""))</f>
        <v/>
      </c>
      <c r="I212" s="24" t="str">
        <f>IF('ASS START SYNC'!C216="SHOW",MID('ASS START SYNC'!E216,C212+1,D212-C212-1),I211)</f>
        <v/>
      </c>
      <c r="J212" s="23" t="str">
        <f>IF('ASS START SYNC'!C216="SHOW",MID('ASS START SYNC'!E216,D212+1,F212-D212+1),"")</f>
        <v/>
      </c>
      <c r="K212" s="23" t="str">
        <f>IF('ASS START SYNC'!C216="SHOW",MID('ASS START SYNC'!E216,F212+2,1000),"")</f>
        <v/>
      </c>
      <c r="M212" s="24"/>
      <c r="N212" s="26">
        <v>209</v>
      </c>
      <c r="O212" s="24" t="str">
        <f>IF('ASS END SYNC'!C216="SHOW",FIND(",",'ASS END SYNC'!E216,1),"")</f>
        <v/>
      </c>
      <c r="P212" s="24" t="str">
        <f>IF('ASS END SYNC'!C216="SHOW",FIND(",",'ASS END SYNC'!E216,O212+1),"")</f>
        <v/>
      </c>
      <c r="Q212" s="24" t="str">
        <f>IF('ASS END SYNC'!C216="SHOW",FIND(",",'ASS END SYNC'!E216,P212+1),"")</f>
        <v/>
      </c>
      <c r="R212" s="25" t="str">
        <f>IF('ASS END SYNC'!C216="SHOW",FIND(",,",'ASS END SYNC'!E216,1),"")</f>
        <v/>
      </c>
      <c r="S212" s="25" t="str">
        <f>IF('ASS END SYNC'!C216="SHOW",FIND(",,",'ASS END SYNC'!E216,R212+1),"")</f>
        <v/>
      </c>
      <c r="T212" s="23" t="str">
        <f>IF('ASS END SYNC'!C216="SHOW",LEFT('ASS END SYNC'!E216,O212),"")</f>
        <v/>
      </c>
      <c r="U212" s="24" t="str">
        <f>IF('ASS END SYNC'!C216="SHOW",MID('ASS END SYNC'!E216,O212+1,P212-O212-1),"")</f>
        <v/>
      </c>
      <c r="V212" s="24" t="str">
        <f>IF(AND('ASS END SYNC'!C216="SHOW",'ASS END SYNC'!C217="SHOW"),U213,IF(AND('ASS END SYNC'!C216="SHOW",'ASS END SYNC'!C217&lt;&gt;"SHOW"),MID('ASS END SYNC'!E216,O212+1,P212-O212-1),""))</f>
        <v/>
      </c>
      <c r="W212" s="23" t="str">
        <f>IF('ASS END SYNC'!C216="SHOW",MID('ASS END SYNC'!E216,Q212+1,S212-Q212+1),"")</f>
        <v/>
      </c>
      <c r="X212" s="23" t="str">
        <f>IF('ASS END SYNC'!C216="SHOW",MID('ASS END SYNC'!E216,S212+2,1000),"")</f>
        <v/>
      </c>
      <c r="Z212" s="24"/>
    </row>
    <row r="213" spans="1:26" x14ac:dyDescent="0.25">
      <c r="A213" s="26">
        <v>210</v>
      </c>
      <c r="B213" s="24" t="str">
        <f>IF('ASS START SYNC'!C217="SHOW",FIND(",",'ASS START SYNC'!E217,1),"")</f>
        <v/>
      </c>
      <c r="C213" s="24" t="str">
        <f>IF('ASS START SYNC'!C217="SHOW",FIND(",",'ASS START SYNC'!E217,B213+1),"")</f>
        <v/>
      </c>
      <c r="D213" s="24" t="str">
        <f>IF('ASS START SYNC'!C217="SHOW",FIND(",",'ASS START SYNC'!E217,C213+1),"")</f>
        <v/>
      </c>
      <c r="E213" s="25" t="str">
        <f>IF('ASS START SYNC'!C217="SHOW",FIND(",,",'ASS START SYNC'!E217,1),"")</f>
        <v/>
      </c>
      <c r="F213" s="25" t="str">
        <f>IF('ASS START SYNC'!C217="SHOW",FIND(",,",'ASS START SYNC'!E217,E213+1),"")</f>
        <v/>
      </c>
      <c r="G213" s="23" t="str">
        <f>IF('ASS START SYNC'!C217="SHOW",LEFT('ASS START SYNC'!E217,B213),"")</f>
        <v/>
      </c>
      <c r="H213" s="24" t="str">
        <f>IF(AND('ASS START SYNC'!C217="SHOW",COUNTA('ASS START SYNC'!$E$8:'ASS START SYNC'!E216)=0),MID('ASS START SYNC'!E217,B213+1,C213-B213-1),IF(AND('ASS START SYNC'!C217="SHOW",COUNTA('ASS START SYNC'!$E$8:'ASS START SYNC'!E216)&lt;&gt;0),I212,""))</f>
        <v/>
      </c>
      <c r="I213" s="24" t="str">
        <f>IF('ASS START SYNC'!C217="SHOW",MID('ASS START SYNC'!E217,C213+1,D213-C213-1),I212)</f>
        <v/>
      </c>
      <c r="J213" s="23" t="str">
        <f>IF('ASS START SYNC'!C217="SHOW",MID('ASS START SYNC'!E217,D213+1,F213-D213+1),"")</f>
        <v/>
      </c>
      <c r="K213" s="23" t="str">
        <f>IF('ASS START SYNC'!C217="SHOW",MID('ASS START SYNC'!E217,F213+2,1000),"")</f>
        <v/>
      </c>
      <c r="M213" s="24"/>
      <c r="N213" s="26">
        <v>210</v>
      </c>
      <c r="O213" s="24" t="str">
        <f>IF('ASS END SYNC'!C217="SHOW",FIND(",",'ASS END SYNC'!E217,1),"")</f>
        <v/>
      </c>
      <c r="P213" s="24" t="str">
        <f>IF('ASS END SYNC'!C217="SHOW",FIND(",",'ASS END SYNC'!E217,O213+1),"")</f>
        <v/>
      </c>
      <c r="Q213" s="24" t="str">
        <f>IF('ASS END SYNC'!C217="SHOW",FIND(",",'ASS END SYNC'!E217,P213+1),"")</f>
        <v/>
      </c>
      <c r="R213" s="25" t="str">
        <f>IF('ASS END SYNC'!C217="SHOW",FIND(",,",'ASS END SYNC'!E217,1),"")</f>
        <v/>
      </c>
      <c r="S213" s="25" t="str">
        <f>IF('ASS END SYNC'!C217="SHOW",FIND(",,",'ASS END SYNC'!E217,R213+1),"")</f>
        <v/>
      </c>
      <c r="T213" s="23" t="str">
        <f>IF('ASS END SYNC'!C217="SHOW",LEFT('ASS END SYNC'!E217,O213),"")</f>
        <v/>
      </c>
      <c r="U213" s="24" t="str">
        <f>IF('ASS END SYNC'!C217="SHOW",MID('ASS END SYNC'!E217,O213+1,P213-O213-1),"")</f>
        <v/>
      </c>
      <c r="V213" s="24" t="str">
        <f>IF(AND('ASS END SYNC'!C217="SHOW",'ASS END SYNC'!C218="SHOW"),U214,IF(AND('ASS END SYNC'!C217="SHOW",'ASS END SYNC'!C218&lt;&gt;"SHOW"),MID('ASS END SYNC'!E217,O213+1,P213-O213-1),""))</f>
        <v/>
      </c>
      <c r="W213" s="23" t="str">
        <f>IF('ASS END SYNC'!C217="SHOW",MID('ASS END SYNC'!E217,Q213+1,S213-Q213+1),"")</f>
        <v/>
      </c>
      <c r="X213" s="23" t="str">
        <f>IF('ASS END SYNC'!C217="SHOW",MID('ASS END SYNC'!E217,S213+2,1000),"")</f>
        <v/>
      </c>
      <c r="Z213" s="24"/>
    </row>
    <row r="214" spans="1:26" x14ac:dyDescent="0.25">
      <c r="A214" s="26">
        <v>211</v>
      </c>
      <c r="B214" s="24" t="str">
        <f>IF('ASS START SYNC'!C218="SHOW",FIND(",",'ASS START SYNC'!E218,1),"")</f>
        <v/>
      </c>
      <c r="C214" s="24" t="str">
        <f>IF('ASS START SYNC'!C218="SHOW",FIND(",",'ASS START SYNC'!E218,B214+1),"")</f>
        <v/>
      </c>
      <c r="D214" s="24" t="str">
        <f>IF('ASS START SYNC'!C218="SHOW",FIND(",",'ASS START SYNC'!E218,C214+1),"")</f>
        <v/>
      </c>
      <c r="E214" s="25" t="str">
        <f>IF('ASS START SYNC'!C218="SHOW",FIND(",,",'ASS START SYNC'!E218,1),"")</f>
        <v/>
      </c>
      <c r="F214" s="25" t="str">
        <f>IF('ASS START SYNC'!C218="SHOW",FIND(",,",'ASS START SYNC'!E218,E214+1),"")</f>
        <v/>
      </c>
      <c r="G214" s="23" t="str">
        <f>IF('ASS START SYNC'!C218="SHOW",LEFT('ASS START SYNC'!E218,B214),"")</f>
        <v/>
      </c>
      <c r="H214" s="24" t="str">
        <f>IF(AND('ASS START SYNC'!C218="SHOW",COUNTA('ASS START SYNC'!$E$8:'ASS START SYNC'!E217)=0),MID('ASS START SYNC'!E218,B214+1,C214-B214-1),IF(AND('ASS START SYNC'!C218="SHOW",COUNTA('ASS START SYNC'!$E$8:'ASS START SYNC'!E217)&lt;&gt;0),I213,""))</f>
        <v/>
      </c>
      <c r="I214" s="24" t="str">
        <f>IF('ASS START SYNC'!C218="SHOW",MID('ASS START SYNC'!E218,C214+1,D214-C214-1),I213)</f>
        <v/>
      </c>
      <c r="J214" s="23" t="str">
        <f>IF('ASS START SYNC'!C218="SHOW",MID('ASS START SYNC'!E218,D214+1,F214-D214+1),"")</f>
        <v/>
      </c>
      <c r="K214" s="23" t="str">
        <f>IF('ASS START SYNC'!C218="SHOW",MID('ASS START SYNC'!E218,F214+2,1000),"")</f>
        <v/>
      </c>
      <c r="M214" s="24"/>
      <c r="N214" s="26">
        <v>211</v>
      </c>
      <c r="O214" s="24" t="str">
        <f>IF('ASS END SYNC'!C218="SHOW",FIND(",",'ASS END SYNC'!E218,1),"")</f>
        <v/>
      </c>
      <c r="P214" s="24" t="str">
        <f>IF('ASS END SYNC'!C218="SHOW",FIND(",",'ASS END SYNC'!E218,O214+1),"")</f>
        <v/>
      </c>
      <c r="Q214" s="24" t="str">
        <f>IF('ASS END SYNC'!C218="SHOW",FIND(",",'ASS END SYNC'!E218,P214+1),"")</f>
        <v/>
      </c>
      <c r="R214" s="25" t="str">
        <f>IF('ASS END SYNC'!C218="SHOW",FIND(",,",'ASS END SYNC'!E218,1),"")</f>
        <v/>
      </c>
      <c r="S214" s="25" t="str">
        <f>IF('ASS END SYNC'!C218="SHOW",FIND(",,",'ASS END SYNC'!E218,R214+1),"")</f>
        <v/>
      </c>
      <c r="T214" s="23" t="str">
        <f>IF('ASS END SYNC'!C218="SHOW",LEFT('ASS END SYNC'!E218,O214),"")</f>
        <v/>
      </c>
      <c r="U214" s="24" t="str">
        <f>IF('ASS END SYNC'!C218="SHOW",MID('ASS END SYNC'!E218,O214+1,P214-O214-1),"")</f>
        <v/>
      </c>
      <c r="V214" s="24" t="str">
        <f>IF(AND('ASS END SYNC'!C218="SHOW",'ASS END SYNC'!C219="SHOW"),U215,IF(AND('ASS END SYNC'!C218="SHOW",'ASS END SYNC'!C219&lt;&gt;"SHOW"),MID('ASS END SYNC'!E218,O214+1,P214-O214-1),""))</f>
        <v/>
      </c>
      <c r="W214" s="23" t="str">
        <f>IF('ASS END SYNC'!C218="SHOW",MID('ASS END SYNC'!E218,Q214+1,S214-Q214+1),"")</f>
        <v/>
      </c>
      <c r="X214" s="23" t="str">
        <f>IF('ASS END SYNC'!C218="SHOW",MID('ASS END SYNC'!E218,S214+2,1000),"")</f>
        <v/>
      </c>
      <c r="Z214" s="24"/>
    </row>
    <row r="215" spans="1:26" x14ac:dyDescent="0.25">
      <c r="A215" s="26">
        <v>212</v>
      </c>
      <c r="B215" s="24" t="str">
        <f>IF('ASS START SYNC'!C219="SHOW",FIND(",",'ASS START SYNC'!E219,1),"")</f>
        <v/>
      </c>
      <c r="C215" s="24" t="str">
        <f>IF('ASS START SYNC'!C219="SHOW",FIND(",",'ASS START SYNC'!E219,B215+1),"")</f>
        <v/>
      </c>
      <c r="D215" s="24" t="str">
        <f>IF('ASS START SYNC'!C219="SHOW",FIND(",",'ASS START SYNC'!E219,C215+1),"")</f>
        <v/>
      </c>
      <c r="E215" s="25" t="str">
        <f>IF('ASS START SYNC'!C219="SHOW",FIND(",,",'ASS START SYNC'!E219,1),"")</f>
        <v/>
      </c>
      <c r="F215" s="25" t="str">
        <f>IF('ASS START SYNC'!C219="SHOW",FIND(",,",'ASS START SYNC'!E219,E215+1),"")</f>
        <v/>
      </c>
      <c r="G215" s="23" t="str">
        <f>IF('ASS START SYNC'!C219="SHOW",LEFT('ASS START SYNC'!E219,B215),"")</f>
        <v/>
      </c>
      <c r="H215" s="24" t="str">
        <f>IF(AND('ASS START SYNC'!C219="SHOW",COUNTA('ASS START SYNC'!$E$8:'ASS START SYNC'!E218)=0),MID('ASS START SYNC'!E219,B215+1,C215-B215-1),IF(AND('ASS START SYNC'!C219="SHOW",COUNTA('ASS START SYNC'!$E$8:'ASS START SYNC'!E218)&lt;&gt;0),I214,""))</f>
        <v/>
      </c>
      <c r="I215" s="24" t="str">
        <f>IF('ASS START SYNC'!C219="SHOW",MID('ASS START SYNC'!E219,C215+1,D215-C215-1),I214)</f>
        <v/>
      </c>
      <c r="J215" s="23" t="str">
        <f>IF('ASS START SYNC'!C219="SHOW",MID('ASS START SYNC'!E219,D215+1,F215-D215+1),"")</f>
        <v/>
      </c>
      <c r="K215" s="23" t="str">
        <f>IF('ASS START SYNC'!C219="SHOW",MID('ASS START SYNC'!E219,F215+2,1000),"")</f>
        <v/>
      </c>
      <c r="M215" s="24"/>
      <c r="N215" s="26">
        <v>212</v>
      </c>
      <c r="O215" s="24" t="str">
        <f>IF('ASS END SYNC'!C219="SHOW",FIND(",",'ASS END SYNC'!E219,1),"")</f>
        <v/>
      </c>
      <c r="P215" s="24" t="str">
        <f>IF('ASS END SYNC'!C219="SHOW",FIND(",",'ASS END SYNC'!E219,O215+1),"")</f>
        <v/>
      </c>
      <c r="Q215" s="24" t="str">
        <f>IF('ASS END SYNC'!C219="SHOW",FIND(",",'ASS END SYNC'!E219,P215+1),"")</f>
        <v/>
      </c>
      <c r="R215" s="25" t="str">
        <f>IF('ASS END SYNC'!C219="SHOW",FIND(",,",'ASS END SYNC'!E219,1),"")</f>
        <v/>
      </c>
      <c r="S215" s="25" t="str">
        <f>IF('ASS END SYNC'!C219="SHOW",FIND(",,",'ASS END SYNC'!E219,R215+1),"")</f>
        <v/>
      </c>
      <c r="T215" s="23" t="str">
        <f>IF('ASS END SYNC'!C219="SHOW",LEFT('ASS END SYNC'!E219,O215),"")</f>
        <v/>
      </c>
      <c r="U215" s="24" t="str">
        <f>IF('ASS END SYNC'!C219="SHOW",MID('ASS END SYNC'!E219,O215+1,P215-O215-1),"")</f>
        <v/>
      </c>
      <c r="V215" s="24" t="str">
        <f>IF(AND('ASS END SYNC'!C219="SHOW",'ASS END SYNC'!C220="SHOW"),U216,IF(AND('ASS END SYNC'!C219="SHOW",'ASS END SYNC'!C220&lt;&gt;"SHOW"),MID('ASS END SYNC'!E219,O215+1,P215-O215-1),""))</f>
        <v/>
      </c>
      <c r="W215" s="23" t="str">
        <f>IF('ASS END SYNC'!C219="SHOW",MID('ASS END SYNC'!E219,Q215+1,S215-Q215+1),"")</f>
        <v/>
      </c>
      <c r="X215" s="23" t="str">
        <f>IF('ASS END SYNC'!C219="SHOW",MID('ASS END SYNC'!E219,S215+2,1000),"")</f>
        <v/>
      </c>
      <c r="Z215" s="24"/>
    </row>
    <row r="216" spans="1:26" x14ac:dyDescent="0.25">
      <c r="A216" s="26">
        <v>213</v>
      </c>
      <c r="B216" s="24" t="str">
        <f>IF('ASS START SYNC'!C220="SHOW",FIND(",",'ASS START SYNC'!E220,1),"")</f>
        <v/>
      </c>
      <c r="C216" s="24" t="str">
        <f>IF('ASS START SYNC'!C220="SHOW",FIND(",",'ASS START SYNC'!E220,B216+1),"")</f>
        <v/>
      </c>
      <c r="D216" s="24" t="str">
        <f>IF('ASS START SYNC'!C220="SHOW",FIND(",",'ASS START SYNC'!E220,C216+1),"")</f>
        <v/>
      </c>
      <c r="E216" s="25" t="str">
        <f>IF('ASS START SYNC'!C220="SHOW",FIND(",,",'ASS START SYNC'!E220,1),"")</f>
        <v/>
      </c>
      <c r="F216" s="25" t="str">
        <f>IF('ASS START SYNC'!C220="SHOW",FIND(",,",'ASS START SYNC'!E220,E216+1),"")</f>
        <v/>
      </c>
      <c r="G216" s="23" t="str">
        <f>IF('ASS START SYNC'!C220="SHOW",LEFT('ASS START SYNC'!E220,B216),"")</f>
        <v/>
      </c>
      <c r="H216" s="24" t="str">
        <f>IF(AND('ASS START SYNC'!C220="SHOW",COUNTA('ASS START SYNC'!$E$8:'ASS START SYNC'!E219)=0),MID('ASS START SYNC'!E220,B216+1,C216-B216-1),IF(AND('ASS START SYNC'!C220="SHOW",COUNTA('ASS START SYNC'!$E$8:'ASS START SYNC'!E219)&lt;&gt;0),I215,""))</f>
        <v/>
      </c>
      <c r="I216" s="24" t="str">
        <f>IF('ASS START SYNC'!C220="SHOW",MID('ASS START SYNC'!E220,C216+1,D216-C216-1),I215)</f>
        <v/>
      </c>
      <c r="J216" s="23" t="str">
        <f>IF('ASS START SYNC'!C220="SHOW",MID('ASS START SYNC'!E220,D216+1,F216-D216+1),"")</f>
        <v/>
      </c>
      <c r="K216" s="23" t="str">
        <f>IF('ASS START SYNC'!C220="SHOW",MID('ASS START SYNC'!E220,F216+2,1000),"")</f>
        <v/>
      </c>
      <c r="M216" s="24"/>
      <c r="N216" s="26">
        <v>213</v>
      </c>
      <c r="O216" s="24" t="str">
        <f>IF('ASS END SYNC'!C220="SHOW",FIND(",",'ASS END SYNC'!E220,1),"")</f>
        <v/>
      </c>
      <c r="P216" s="24" t="str">
        <f>IF('ASS END SYNC'!C220="SHOW",FIND(",",'ASS END SYNC'!E220,O216+1),"")</f>
        <v/>
      </c>
      <c r="Q216" s="24" t="str">
        <f>IF('ASS END SYNC'!C220="SHOW",FIND(",",'ASS END SYNC'!E220,P216+1),"")</f>
        <v/>
      </c>
      <c r="R216" s="25" t="str">
        <f>IF('ASS END SYNC'!C220="SHOW",FIND(",,",'ASS END SYNC'!E220,1),"")</f>
        <v/>
      </c>
      <c r="S216" s="25" t="str">
        <f>IF('ASS END SYNC'!C220="SHOW",FIND(",,",'ASS END SYNC'!E220,R216+1),"")</f>
        <v/>
      </c>
      <c r="T216" s="23" t="str">
        <f>IF('ASS END SYNC'!C220="SHOW",LEFT('ASS END SYNC'!E220,O216),"")</f>
        <v/>
      </c>
      <c r="U216" s="24" t="str">
        <f>IF('ASS END SYNC'!C220="SHOW",MID('ASS END SYNC'!E220,O216+1,P216-O216-1),"")</f>
        <v/>
      </c>
      <c r="V216" s="24" t="str">
        <f>IF(AND('ASS END SYNC'!C220="SHOW",'ASS END SYNC'!C221="SHOW"),U217,IF(AND('ASS END SYNC'!C220="SHOW",'ASS END SYNC'!C221&lt;&gt;"SHOW"),MID('ASS END SYNC'!E220,O216+1,P216-O216-1),""))</f>
        <v/>
      </c>
      <c r="W216" s="23" t="str">
        <f>IF('ASS END SYNC'!C220="SHOW",MID('ASS END SYNC'!E220,Q216+1,S216-Q216+1),"")</f>
        <v/>
      </c>
      <c r="X216" s="23" t="str">
        <f>IF('ASS END SYNC'!C220="SHOW",MID('ASS END SYNC'!E220,S216+2,1000),"")</f>
        <v/>
      </c>
      <c r="Z216" s="24"/>
    </row>
    <row r="217" spans="1:26" x14ac:dyDescent="0.25">
      <c r="A217" s="26">
        <v>214</v>
      </c>
      <c r="B217" s="24" t="str">
        <f>IF('ASS START SYNC'!C221="SHOW",FIND(",",'ASS START SYNC'!E221,1),"")</f>
        <v/>
      </c>
      <c r="C217" s="24" t="str">
        <f>IF('ASS START SYNC'!C221="SHOW",FIND(",",'ASS START SYNC'!E221,B217+1),"")</f>
        <v/>
      </c>
      <c r="D217" s="24" t="str">
        <f>IF('ASS START SYNC'!C221="SHOW",FIND(",",'ASS START SYNC'!E221,C217+1),"")</f>
        <v/>
      </c>
      <c r="E217" s="25" t="str">
        <f>IF('ASS START SYNC'!C221="SHOW",FIND(",,",'ASS START SYNC'!E221,1),"")</f>
        <v/>
      </c>
      <c r="F217" s="25" t="str">
        <f>IF('ASS START SYNC'!C221="SHOW",FIND(",,",'ASS START SYNC'!E221,E217+1),"")</f>
        <v/>
      </c>
      <c r="G217" s="23" t="str">
        <f>IF('ASS START SYNC'!C221="SHOW",LEFT('ASS START SYNC'!E221,B217),"")</f>
        <v/>
      </c>
      <c r="H217" s="24" t="str">
        <f>IF(AND('ASS START SYNC'!C221="SHOW",COUNTA('ASS START SYNC'!$E$8:'ASS START SYNC'!E220)=0),MID('ASS START SYNC'!E221,B217+1,C217-B217-1),IF(AND('ASS START SYNC'!C221="SHOW",COUNTA('ASS START SYNC'!$E$8:'ASS START SYNC'!E220)&lt;&gt;0),I216,""))</f>
        <v/>
      </c>
      <c r="I217" s="24" t="str">
        <f>IF('ASS START SYNC'!C221="SHOW",MID('ASS START SYNC'!E221,C217+1,D217-C217-1),I216)</f>
        <v/>
      </c>
      <c r="J217" s="23" t="str">
        <f>IF('ASS START SYNC'!C221="SHOW",MID('ASS START SYNC'!E221,D217+1,F217-D217+1),"")</f>
        <v/>
      </c>
      <c r="K217" s="23" t="str">
        <f>IF('ASS START SYNC'!C221="SHOW",MID('ASS START SYNC'!E221,F217+2,1000),"")</f>
        <v/>
      </c>
      <c r="M217" s="24"/>
      <c r="N217" s="26">
        <v>214</v>
      </c>
      <c r="O217" s="24" t="str">
        <f>IF('ASS END SYNC'!C221="SHOW",FIND(",",'ASS END SYNC'!E221,1),"")</f>
        <v/>
      </c>
      <c r="P217" s="24" t="str">
        <f>IF('ASS END SYNC'!C221="SHOW",FIND(",",'ASS END SYNC'!E221,O217+1),"")</f>
        <v/>
      </c>
      <c r="Q217" s="24" t="str">
        <f>IF('ASS END SYNC'!C221="SHOW",FIND(",",'ASS END SYNC'!E221,P217+1),"")</f>
        <v/>
      </c>
      <c r="R217" s="25" t="str">
        <f>IF('ASS END SYNC'!C221="SHOW",FIND(",,",'ASS END SYNC'!E221,1),"")</f>
        <v/>
      </c>
      <c r="S217" s="25" t="str">
        <f>IF('ASS END SYNC'!C221="SHOW",FIND(",,",'ASS END SYNC'!E221,R217+1),"")</f>
        <v/>
      </c>
      <c r="T217" s="23" t="str">
        <f>IF('ASS END SYNC'!C221="SHOW",LEFT('ASS END SYNC'!E221,O217),"")</f>
        <v/>
      </c>
      <c r="U217" s="24" t="str">
        <f>IF('ASS END SYNC'!C221="SHOW",MID('ASS END SYNC'!E221,O217+1,P217-O217-1),"")</f>
        <v/>
      </c>
      <c r="V217" s="24" t="str">
        <f>IF(AND('ASS END SYNC'!C221="SHOW",'ASS END SYNC'!C222="SHOW"),U218,IF(AND('ASS END SYNC'!C221="SHOW",'ASS END SYNC'!C222&lt;&gt;"SHOW"),MID('ASS END SYNC'!E221,O217+1,P217-O217-1),""))</f>
        <v/>
      </c>
      <c r="W217" s="23" t="str">
        <f>IF('ASS END SYNC'!C221="SHOW",MID('ASS END SYNC'!E221,Q217+1,S217-Q217+1),"")</f>
        <v/>
      </c>
      <c r="X217" s="23" t="str">
        <f>IF('ASS END SYNC'!C221="SHOW",MID('ASS END SYNC'!E221,S217+2,1000),"")</f>
        <v/>
      </c>
      <c r="Z217" s="24"/>
    </row>
    <row r="218" spans="1:26" x14ac:dyDescent="0.25">
      <c r="A218" s="26">
        <v>215</v>
      </c>
      <c r="B218" s="24" t="str">
        <f>IF('ASS START SYNC'!C222="SHOW",FIND(",",'ASS START SYNC'!E222,1),"")</f>
        <v/>
      </c>
      <c r="C218" s="24" t="str">
        <f>IF('ASS START SYNC'!C222="SHOW",FIND(",",'ASS START SYNC'!E222,B218+1),"")</f>
        <v/>
      </c>
      <c r="D218" s="24" t="str">
        <f>IF('ASS START SYNC'!C222="SHOW",FIND(",",'ASS START SYNC'!E222,C218+1),"")</f>
        <v/>
      </c>
      <c r="E218" s="25" t="str">
        <f>IF('ASS START SYNC'!C222="SHOW",FIND(",,",'ASS START SYNC'!E222,1),"")</f>
        <v/>
      </c>
      <c r="F218" s="25" t="str">
        <f>IF('ASS START SYNC'!C222="SHOW",FIND(",,",'ASS START SYNC'!E222,E218+1),"")</f>
        <v/>
      </c>
      <c r="G218" s="23" t="str">
        <f>IF('ASS START SYNC'!C222="SHOW",LEFT('ASS START SYNC'!E222,B218),"")</f>
        <v/>
      </c>
      <c r="H218" s="24" t="str">
        <f>IF(AND('ASS START SYNC'!C222="SHOW",COUNTA('ASS START SYNC'!$E$8:'ASS START SYNC'!E221)=0),MID('ASS START SYNC'!E222,B218+1,C218-B218-1),IF(AND('ASS START SYNC'!C222="SHOW",COUNTA('ASS START SYNC'!$E$8:'ASS START SYNC'!E221)&lt;&gt;0),I217,""))</f>
        <v/>
      </c>
      <c r="I218" s="24" t="str">
        <f>IF('ASS START SYNC'!C222="SHOW",MID('ASS START SYNC'!E222,C218+1,D218-C218-1),I217)</f>
        <v/>
      </c>
      <c r="J218" s="23" t="str">
        <f>IF('ASS START SYNC'!C222="SHOW",MID('ASS START SYNC'!E222,D218+1,F218-D218+1),"")</f>
        <v/>
      </c>
      <c r="K218" s="23" t="str">
        <f>IF('ASS START SYNC'!C222="SHOW",MID('ASS START SYNC'!E222,F218+2,1000),"")</f>
        <v/>
      </c>
      <c r="M218" s="24"/>
      <c r="N218" s="26">
        <v>215</v>
      </c>
      <c r="O218" s="24" t="str">
        <f>IF('ASS END SYNC'!C222="SHOW",FIND(",",'ASS END SYNC'!E222,1),"")</f>
        <v/>
      </c>
      <c r="P218" s="24" t="str">
        <f>IF('ASS END SYNC'!C222="SHOW",FIND(",",'ASS END SYNC'!E222,O218+1),"")</f>
        <v/>
      </c>
      <c r="Q218" s="24" t="str">
        <f>IF('ASS END SYNC'!C222="SHOW",FIND(",",'ASS END SYNC'!E222,P218+1),"")</f>
        <v/>
      </c>
      <c r="R218" s="25" t="str">
        <f>IF('ASS END SYNC'!C222="SHOW",FIND(",,",'ASS END SYNC'!E222,1),"")</f>
        <v/>
      </c>
      <c r="S218" s="25" t="str">
        <f>IF('ASS END SYNC'!C222="SHOW",FIND(",,",'ASS END SYNC'!E222,R218+1),"")</f>
        <v/>
      </c>
      <c r="T218" s="23" t="str">
        <f>IF('ASS END SYNC'!C222="SHOW",LEFT('ASS END SYNC'!E222,O218),"")</f>
        <v/>
      </c>
      <c r="U218" s="24" t="str">
        <f>IF('ASS END SYNC'!C222="SHOW",MID('ASS END SYNC'!E222,O218+1,P218-O218-1),"")</f>
        <v/>
      </c>
      <c r="V218" s="24" t="str">
        <f>IF(AND('ASS END SYNC'!C222="SHOW",'ASS END SYNC'!C223="SHOW"),U219,IF(AND('ASS END SYNC'!C222="SHOW",'ASS END SYNC'!C223&lt;&gt;"SHOW"),MID('ASS END SYNC'!E222,O218+1,P218-O218-1),""))</f>
        <v/>
      </c>
      <c r="W218" s="23" t="str">
        <f>IF('ASS END SYNC'!C222="SHOW",MID('ASS END SYNC'!E222,Q218+1,S218-Q218+1),"")</f>
        <v/>
      </c>
      <c r="X218" s="23" t="str">
        <f>IF('ASS END SYNC'!C222="SHOW",MID('ASS END SYNC'!E222,S218+2,1000),"")</f>
        <v/>
      </c>
      <c r="Z218" s="24"/>
    </row>
    <row r="219" spans="1:26" x14ac:dyDescent="0.25">
      <c r="A219" s="26">
        <v>216</v>
      </c>
      <c r="B219" s="24" t="str">
        <f>IF('ASS START SYNC'!C223="SHOW",FIND(",",'ASS START SYNC'!E223,1),"")</f>
        <v/>
      </c>
      <c r="C219" s="24" t="str">
        <f>IF('ASS START SYNC'!C223="SHOW",FIND(",",'ASS START SYNC'!E223,B219+1),"")</f>
        <v/>
      </c>
      <c r="D219" s="24" t="str">
        <f>IF('ASS START SYNC'!C223="SHOW",FIND(",",'ASS START SYNC'!E223,C219+1),"")</f>
        <v/>
      </c>
      <c r="E219" s="25" t="str">
        <f>IF('ASS START SYNC'!C223="SHOW",FIND(",,",'ASS START SYNC'!E223,1),"")</f>
        <v/>
      </c>
      <c r="F219" s="25" t="str">
        <f>IF('ASS START SYNC'!C223="SHOW",FIND(",,",'ASS START SYNC'!E223,E219+1),"")</f>
        <v/>
      </c>
      <c r="G219" s="23" t="str">
        <f>IF('ASS START SYNC'!C223="SHOW",LEFT('ASS START SYNC'!E223,B219),"")</f>
        <v/>
      </c>
      <c r="H219" s="24" t="str">
        <f>IF(AND('ASS START SYNC'!C223="SHOW",COUNTA('ASS START SYNC'!$E$8:'ASS START SYNC'!E222)=0),MID('ASS START SYNC'!E223,B219+1,C219-B219-1),IF(AND('ASS START SYNC'!C223="SHOW",COUNTA('ASS START SYNC'!$E$8:'ASS START SYNC'!E222)&lt;&gt;0),I218,""))</f>
        <v/>
      </c>
      <c r="I219" s="24" t="str">
        <f>IF('ASS START SYNC'!C223="SHOW",MID('ASS START SYNC'!E223,C219+1,D219-C219-1),I218)</f>
        <v/>
      </c>
      <c r="J219" s="23" t="str">
        <f>IF('ASS START SYNC'!C223="SHOW",MID('ASS START SYNC'!E223,D219+1,F219-D219+1),"")</f>
        <v/>
      </c>
      <c r="K219" s="23" t="str">
        <f>IF('ASS START SYNC'!C223="SHOW",MID('ASS START SYNC'!E223,F219+2,1000),"")</f>
        <v/>
      </c>
      <c r="M219" s="24"/>
      <c r="N219" s="26">
        <v>216</v>
      </c>
      <c r="O219" s="24" t="str">
        <f>IF('ASS END SYNC'!C223="SHOW",FIND(",",'ASS END SYNC'!E223,1),"")</f>
        <v/>
      </c>
      <c r="P219" s="24" t="str">
        <f>IF('ASS END SYNC'!C223="SHOW",FIND(",",'ASS END SYNC'!E223,O219+1),"")</f>
        <v/>
      </c>
      <c r="Q219" s="24" t="str">
        <f>IF('ASS END SYNC'!C223="SHOW",FIND(",",'ASS END SYNC'!E223,P219+1),"")</f>
        <v/>
      </c>
      <c r="R219" s="25" t="str">
        <f>IF('ASS END SYNC'!C223="SHOW",FIND(",,",'ASS END SYNC'!E223,1),"")</f>
        <v/>
      </c>
      <c r="S219" s="25" t="str">
        <f>IF('ASS END SYNC'!C223="SHOW",FIND(",,",'ASS END SYNC'!E223,R219+1),"")</f>
        <v/>
      </c>
      <c r="T219" s="23" t="str">
        <f>IF('ASS END SYNC'!C223="SHOW",LEFT('ASS END SYNC'!E223,O219),"")</f>
        <v/>
      </c>
      <c r="U219" s="24" t="str">
        <f>IF('ASS END SYNC'!C223="SHOW",MID('ASS END SYNC'!E223,O219+1,P219-O219-1),"")</f>
        <v/>
      </c>
      <c r="V219" s="24" t="str">
        <f>IF(AND('ASS END SYNC'!C223="SHOW",'ASS END SYNC'!C224="SHOW"),U220,IF(AND('ASS END SYNC'!C223="SHOW",'ASS END SYNC'!C224&lt;&gt;"SHOW"),MID('ASS END SYNC'!E223,O219+1,P219-O219-1),""))</f>
        <v/>
      </c>
      <c r="W219" s="23" t="str">
        <f>IF('ASS END SYNC'!C223="SHOW",MID('ASS END SYNC'!E223,Q219+1,S219-Q219+1),"")</f>
        <v/>
      </c>
      <c r="X219" s="23" t="str">
        <f>IF('ASS END SYNC'!C223="SHOW",MID('ASS END SYNC'!E223,S219+2,1000),"")</f>
        <v/>
      </c>
      <c r="Z219" s="24"/>
    </row>
    <row r="220" spans="1:26" x14ac:dyDescent="0.25">
      <c r="A220" s="26">
        <v>217</v>
      </c>
      <c r="B220" s="24" t="str">
        <f>IF('ASS START SYNC'!C224="SHOW",FIND(",",'ASS START SYNC'!E224,1),"")</f>
        <v/>
      </c>
      <c r="C220" s="24" t="str">
        <f>IF('ASS START SYNC'!C224="SHOW",FIND(",",'ASS START SYNC'!E224,B220+1),"")</f>
        <v/>
      </c>
      <c r="D220" s="24" t="str">
        <f>IF('ASS START SYNC'!C224="SHOW",FIND(",",'ASS START SYNC'!E224,C220+1),"")</f>
        <v/>
      </c>
      <c r="E220" s="25" t="str">
        <f>IF('ASS START SYNC'!C224="SHOW",FIND(",,",'ASS START SYNC'!E224,1),"")</f>
        <v/>
      </c>
      <c r="F220" s="25" t="str">
        <f>IF('ASS START SYNC'!C224="SHOW",FIND(",,",'ASS START SYNC'!E224,E220+1),"")</f>
        <v/>
      </c>
      <c r="G220" s="23" t="str">
        <f>IF('ASS START SYNC'!C224="SHOW",LEFT('ASS START SYNC'!E224,B220),"")</f>
        <v/>
      </c>
      <c r="H220" s="24" t="str">
        <f>IF(AND('ASS START SYNC'!C224="SHOW",COUNTA('ASS START SYNC'!$E$8:'ASS START SYNC'!E223)=0),MID('ASS START SYNC'!E224,B220+1,C220-B220-1),IF(AND('ASS START SYNC'!C224="SHOW",COUNTA('ASS START SYNC'!$E$8:'ASS START SYNC'!E223)&lt;&gt;0),I219,""))</f>
        <v/>
      </c>
      <c r="I220" s="24" t="str">
        <f>IF('ASS START SYNC'!C224="SHOW",MID('ASS START SYNC'!E224,C220+1,D220-C220-1),I219)</f>
        <v/>
      </c>
      <c r="J220" s="23" t="str">
        <f>IF('ASS START SYNC'!C224="SHOW",MID('ASS START SYNC'!E224,D220+1,F220-D220+1),"")</f>
        <v/>
      </c>
      <c r="K220" s="23" t="str">
        <f>IF('ASS START SYNC'!C224="SHOW",MID('ASS START SYNC'!E224,F220+2,1000),"")</f>
        <v/>
      </c>
      <c r="M220" s="24"/>
      <c r="N220" s="26">
        <v>217</v>
      </c>
      <c r="O220" s="24" t="str">
        <f>IF('ASS END SYNC'!C224="SHOW",FIND(",",'ASS END SYNC'!E224,1),"")</f>
        <v/>
      </c>
      <c r="P220" s="24" t="str">
        <f>IF('ASS END SYNC'!C224="SHOW",FIND(",",'ASS END SYNC'!E224,O220+1),"")</f>
        <v/>
      </c>
      <c r="Q220" s="24" t="str">
        <f>IF('ASS END SYNC'!C224="SHOW",FIND(",",'ASS END SYNC'!E224,P220+1),"")</f>
        <v/>
      </c>
      <c r="R220" s="25" t="str">
        <f>IF('ASS END SYNC'!C224="SHOW",FIND(",,",'ASS END SYNC'!E224,1),"")</f>
        <v/>
      </c>
      <c r="S220" s="25" t="str">
        <f>IF('ASS END SYNC'!C224="SHOW",FIND(",,",'ASS END SYNC'!E224,R220+1),"")</f>
        <v/>
      </c>
      <c r="T220" s="23" t="str">
        <f>IF('ASS END SYNC'!C224="SHOW",LEFT('ASS END SYNC'!E224,O220),"")</f>
        <v/>
      </c>
      <c r="U220" s="24" t="str">
        <f>IF('ASS END SYNC'!C224="SHOW",MID('ASS END SYNC'!E224,O220+1,P220-O220-1),"")</f>
        <v/>
      </c>
      <c r="V220" s="24" t="str">
        <f>IF(AND('ASS END SYNC'!C224="SHOW",'ASS END SYNC'!C225="SHOW"),U221,IF(AND('ASS END SYNC'!C224="SHOW",'ASS END SYNC'!C225&lt;&gt;"SHOW"),MID('ASS END SYNC'!E224,O220+1,P220-O220-1),""))</f>
        <v/>
      </c>
      <c r="W220" s="23" t="str">
        <f>IF('ASS END SYNC'!C224="SHOW",MID('ASS END SYNC'!E224,Q220+1,S220-Q220+1),"")</f>
        <v/>
      </c>
      <c r="X220" s="23" t="str">
        <f>IF('ASS END SYNC'!C224="SHOW",MID('ASS END SYNC'!E224,S220+2,1000),"")</f>
        <v/>
      </c>
      <c r="Z220" s="24"/>
    </row>
    <row r="221" spans="1:26" x14ac:dyDescent="0.25">
      <c r="A221" s="26">
        <v>218</v>
      </c>
      <c r="B221" s="24" t="str">
        <f>IF('ASS START SYNC'!C225="SHOW",FIND(",",'ASS START SYNC'!E225,1),"")</f>
        <v/>
      </c>
      <c r="C221" s="24" t="str">
        <f>IF('ASS START SYNC'!C225="SHOW",FIND(",",'ASS START SYNC'!E225,B221+1),"")</f>
        <v/>
      </c>
      <c r="D221" s="24" t="str">
        <f>IF('ASS START SYNC'!C225="SHOW",FIND(",",'ASS START SYNC'!E225,C221+1),"")</f>
        <v/>
      </c>
      <c r="E221" s="25" t="str">
        <f>IF('ASS START SYNC'!C225="SHOW",FIND(",,",'ASS START SYNC'!E225,1),"")</f>
        <v/>
      </c>
      <c r="F221" s="25" t="str">
        <f>IF('ASS START SYNC'!C225="SHOW",FIND(",,",'ASS START SYNC'!E225,E221+1),"")</f>
        <v/>
      </c>
      <c r="G221" s="23" t="str">
        <f>IF('ASS START SYNC'!C225="SHOW",LEFT('ASS START SYNC'!E225,B221),"")</f>
        <v/>
      </c>
      <c r="H221" s="24" t="str">
        <f>IF(AND('ASS START SYNC'!C225="SHOW",COUNTA('ASS START SYNC'!$E$8:'ASS START SYNC'!E224)=0),MID('ASS START SYNC'!E225,B221+1,C221-B221-1),IF(AND('ASS START SYNC'!C225="SHOW",COUNTA('ASS START SYNC'!$E$8:'ASS START SYNC'!E224)&lt;&gt;0),I220,""))</f>
        <v/>
      </c>
      <c r="I221" s="24" t="str">
        <f>IF('ASS START SYNC'!C225="SHOW",MID('ASS START SYNC'!E225,C221+1,D221-C221-1),I220)</f>
        <v/>
      </c>
      <c r="J221" s="23" t="str">
        <f>IF('ASS START SYNC'!C225="SHOW",MID('ASS START SYNC'!E225,D221+1,F221-D221+1),"")</f>
        <v/>
      </c>
      <c r="K221" s="23" t="str">
        <f>IF('ASS START SYNC'!C225="SHOW",MID('ASS START SYNC'!E225,F221+2,1000),"")</f>
        <v/>
      </c>
      <c r="M221" s="24"/>
      <c r="N221" s="26">
        <v>218</v>
      </c>
      <c r="O221" s="24" t="str">
        <f>IF('ASS END SYNC'!C225="SHOW",FIND(",",'ASS END SYNC'!E225,1),"")</f>
        <v/>
      </c>
      <c r="P221" s="24" t="str">
        <f>IF('ASS END SYNC'!C225="SHOW",FIND(",",'ASS END SYNC'!E225,O221+1),"")</f>
        <v/>
      </c>
      <c r="Q221" s="24" t="str">
        <f>IF('ASS END SYNC'!C225="SHOW",FIND(",",'ASS END SYNC'!E225,P221+1),"")</f>
        <v/>
      </c>
      <c r="R221" s="25" t="str">
        <f>IF('ASS END SYNC'!C225="SHOW",FIND(",,",'ASS END SYNC'!E225,1),"")</f>
        <v/>
      </c>
      <c r="S221" s="25" t="str">
        <f>IF('ASS END SYNC'!C225="SHOW",FIND(",,",'ASS END SYNC'!E225,R221+1),"")</f>
        <v/>
      </c>
      <c r="T221" s="23" t="str">
        <f>IF('ASS END SYNC'!C225="SHOW",LEFT('ASS END SYNC'!E225,O221),"")</f>
        <v/>
      </c>
      <c r="U221" s="24" t="str">
        <f>IF('ASS END SYNC'!C225="SHOW",MID('ASS END SYNC'!E225,O221+1,P221-O221-1),"")</f>
        <v/>
      </c>
      <c r="V221" s="24" t="str">
        <f>IF(AND('ASS END SYNC'!C225="SHOW",'ASS END SYNC'!C226="SHOW"),U222,IF(AND('ASS END SYNC'!C225="SHOW",'ASS END SYNC'!C226&lt;&gt;"SHOW"),MID('ASS END SYNC'!E225,O221+1,P221-O221-1),""))</f>
        <v/>
      </c>
      <c r="W221" s="23" t="str">
        <f>IF('ASS END SYNC'!C225="SHOW",MID('ASS END SYNC'!E225,Q221+1,S221-Q221+1),"")</f>
        <v/>
      </c>
      <c r="X221" s="23" t="str">
        <f>IF('ASS END SYNC'!C225="SHOW",MID('ASS END SYNC'!E225,S221+2,1000),"")</f>
        <v/>
      </c>
      <c r="Z221" s="24"/>
    </row>
    <row r="222" spans="1:26" x14ac:dyDescent="0.25">
      <c r="A222" s="26">
        <v>219</v>
      </c>
      <c r="B222" s="24" t="str">
        <f>IF('ASS START SYNC'!C226="SHOW",FIND(",",'ASS START SYNC'!E226,1),"")</f>
        <v/>
      </c>
      <c r="C222" s="24" t="str">
        <f>IF('ASS START SYNC'!C226="SHOW",FIND(",",'ASS START SYNC'!E226,B222+1),"")</f>
        <v/>
      </c>
      <c r="D222" s="24" t="str">
        <f>IF('ASS START SYNC'!C226="SHOW",FIND(",",'ASS START SYNC'!E226,C222+1),"")</f>
        <v/>
      </c>
      <c r="E222" s="25" t="str">
        <f>IF('ASS START SYNC'!C226="SHOW",FIND(",,",'ASS START SYNC'!E226,1),"")</f>
        <v/>
      </c>
      <c r="F222" s="25" t="str">
        <f>IF('ASS START SYNC'!C226="SHOW",FIND(",,",'ASS START SYNC'!E226,E222+1),"")</f>
        <v/>
      </c>
      <c r="G222" s="23" t="str">
        <f>IF('ASS START SYNC'!C226="SHOW",LEFT('ASS START SYNC'!E226,B222),"")</f>
        <v/>
      </c>
      <c r="H222" s="24" t="str">
        <f>IF(AND('ASS START SYNC'!C226="SHOW",COUNTA('ASS START SYNC'!$E$8:'ASS START SYNC'!E225)=0),MID('ASS START SYNC'!E226,B222+1,C222-B222-1),IF(AND('ASS START SYNC'!C226="SHOW",COUNTA('ASS START SYNC'!$E$8:'ASS START SYNC'!E225)&lt;&gt;0),I221,""))</f>
        <v/>
      </c>
      <c r="I222" s="24" t="str">
        <f>IF('ASS START SYNC'!C226="SHOW",MID('ASS START SYNC'!E226,C222+1,D222-C222-1),I221)</f>
        <v/>
      </c>
      <c r="J222" s="23" t="str">
        <f>IF('ASS START SYNC'!C226="SHOW",MID('ASS START SYNC'!E226,D222+1,F222-D222+1),"")</f>
        <v/>
      </c>
      <c r="K222" s="23" t="str">
        <f>IF('ASS START SYNC'!C226="SHOW",MID('ASS START SYNC'!E226,F222+2,1000),"")</f>
        <v/>
      </c>
      <c r="M222" s="24"/>
      <c r="N222" s="26">
        <v>219</v>
      </c>
      <c r="O222" s="24" t="str">
        <f>IF('ASS END SYNC'!C226="SHOW",FIND(",",'ASS END SYNC'!E226,1),"")</f>
        <v/>
      </c>
      <c r="P222" s="24" t="str">
        <f>IF('ASS END SYNC'!C226="SHOW",FIND(",",'ASS END SYNC'!E226,O222+1),"")</f>
        <v/>
      </c>
      <c r="Q222" s="24" t="str">
        <f>IF('ASS END SYNC'!C226="SHOW",FIND(",",'ASS END SYNC'!E226,P222+1),"")</f>
        <v/>
      </c>
      <c r="R222" s="25" t="str">
        <f>IF('ASS END SYNC'!C226="SHOW",FIND(",,",'ASS END SYNC'!E226,1),"")</f>
        <v/>
      </c>
      <c r="S222" s="25" t="str">
        <f>IF('ASS END SYNC'!C226="SHOW",FIND(",,",'ASS END SYNC'!E226,R222+1),"")</f>
        <v/>
      </c>
      <c r="T222" s="23" t="str">
        <f>IF('ASS END SYNC'!C226="SHOW",LEFT('ASS END SYNC'!E226,O222),"")</f>
        <v/>
      </c>
      <c r="U222" s="24" t="str">
        <f>IF('ASS END SYNC'!C226="SHOW",MID('ASS END SYNC'!E226,O222+1,P222-O222-1),"")</f>
        <v/>
      </c>
      <c r="V222" s="24" t="str">
        <f>IF(AND('ASS END SYNC'!C226="SHOW",'ASS END SYNC'!C227="SHOW"),U223,IF(AND('ASS END SYNC'!C226="SHOW",'ASS END SYNC'!C227&lt;&gt;"SHOW"),MID('ASS END SYNC'!E226,O222+1,P222-O222-1),""))</f>
        <v/>
      </c>
      <c r="W222" s="23" t="str">
        <f>IF('ASS END SYNC'!C226="SHOW",MID('ASS END SYNC'!E226,Q222+1,S222-Q222+1),"")</f>
        <v/>
      </c>
      <c r="X222" s="23" t="str">
        <f>IF('ASS END SYNC'!C226="SHOW",MID('ASS END SYNC'!E226,S222+2,1000),"")</f>
        <v/>
      </c>
      <c r="Z222" s="24"/>
    </row>
    <row r="223" spans="1:26" x14ac:dyDescent="0.25">
      <c r="A223" s="26">
        <v>220</v>
      </c>
      <c r="B223" s="24" t="str">
        <f>IF('ASS START SYNC'!C227="SHOW",FIND(",",'ASS START SYNC'!E227,1),"")</f>
        <v/>
      </c>
      <c r="C223" s="24" t="str">
        <f>IF('ASS START SYNC'!C227="SHOW",FIND(",",'ASS START SYNC'!E227,B223+1),"")</f>
        <v/>
      </c>
      <c r="D223" s="24" t="str">
        <f>IF('ASS START SYNC'!C227="SHOW",FIND(",",'ASS START SYNC'!E227,C223+1),"")</f>
        <v/>
      </c>
      <c r="E223" s="25" t="str">
        <f>IF('ASS START SYNC'!C227="SHOW",FIND(",,",'ASS START SYNC'!E227,1),"")</f>
        <v/>
      </c>
      <c r="F223" s="25" t="str">
        <f>IF('ASS START SYNC'!C227="SHOW",FIND(",,",'ASS START SYNC'!E227,E223+1),"")</f>
        <v/>
      </c>
      <c r="G223" s="23" t="str">
        <f>IF('ASS START SYNC'!C227="SHOW",LEFT('ASS START SYNC'!E227,B223),"")</f>
        <v/>
      </c>
      <c r="H223" s="24" t="str">
        <f>IF(AND('ASS START SYNC'!C227="SHOW",COUNTA('ASS START SYNC'!$E$8:'ASS START SYNC'!E226)=0),MID('ASS START SYNC'!E227,B223+1,C223-B223-1),IF(AND('ASS START SYNC'!C227="SHOW",COUNTA('ASS START SYNC'!$E$8:'ASS START SYNC'!E226)&lt;&gt;0),I222,""))</f>
        <v/>
      </c>
      <c r="I223" s="24" t="str">
        <f>IF('ASS START SYNC'!C227="SHOW",MID('ASS START SYNC'!E227,C223+1,D223-C223-1),I222)</f>
        <v/>
      </c>
      <c r="J223" s="23" t="str">
        <f>IF('ASS START SYNC'!C227="SHOW",MID('ASS START SYNC'!E227,D223+1,F223-D223+1),"")</f>
        <v/>
      </c>
      <c r="K223" s="23" t="str">
        <f>IF('ASS START SYNC'!C227="SHOW",MID('ASS START SYNC'!E227,F223+2,1000),"")</f>
        <v/>
      </c>
      <c r="M223" s="24"/>
      <c r="N223" s="26">
        <v>220</v>
      </c>
      <c r="O223" s="24" t="str">
        <f>IF('ASS END SYNC'!C227="SHOW",FIND(",",'ASS END SYNC'!E227,1),"")</f>
        <v/>
      </c>
      <c r="P223" s="24" t="str">
        <f>IF('ASS END SYNC'!C227="SHOW",FIND(",",'ASS END SYNC'!E227,O223+1),"")</f>
        <v/>
      </c>
      <c r="Q223" s="24" t="str">
        <f>IF('ASS END SYNC'!C227="SHOW",FIND(",",'ASS END SYNC'!E227,P223+1),"")</f>
        <v/>
      </c>
      <c r="R223" s="25" t="str">
        <f>IF('ASS END SYNC'!C227="SHOW",FIND(",,",'ASS END SYNC'!E227,1),"")</f>
        <v/>
      </c>
      <c r="S223" s="25" t="str">
        <f>IF('ASS END SYNC'!C227="SHOW",FIND(",,",'ASS END SYNC'!E227,R223+1),"")</f>
        <v/>
      </c>
      <c r="T223" s="23" t="str">
        <f>IF('ASS END SYNC'!C227="SHOW",LEFT('ASS END SYNC'!E227,O223),"")</f>
        <v/>
      </c>
      <c r="U223" s="24" t="str">
        <f>IF('ASS END SYNC'!C227="SHOW",MID('ASS END SYNC'!E227,O223+1,P223-O223-1),"")</f>
        <v/>
      </c>
      <c r="V223" s="24" t="str">
        <f>IF(AND('ASS END SYNC'!C227="SHOW",'ASS END SYNC'!C228="SHOW"),U224,IF(AND('ASS END SYNC'!C227="SHOW",'ASS END SYNC'!C228&lt;&gt;"SHOW"),MID('ASS END SYNC'!E227,O223+1,P223-O223-1),""))</f>
        <v/>
      </c>
      <c r="W223" s="23" t="str">
        <f>IF('ASS END SYNC'!C227="SHOW",MID('ASS END SYNC'!E227,Q223+1,S223-Q223+1),"")</f>
        <v/>
      </c>
      <c r="X223" s="23" t="str">
        <f>IF('ASS END SYNC'!C227="SHOW",MID('ASS END SYNC'!E227,S223+2,1000),"")</f>
        <v/>
      </c>
      <c r="Z223" s="24"/>
    </row>
    <row r="224" spans="1:26" x14ac:dyDescent="0.25">
      <c r="A224" s="26">
        <v>221</v>
      </c>
      <c r="B224" s="24" t="str">
        <f>IF('ASS START SYNC'!C228="SHOW",FIND(",",'ASS START SYNC'!E228,1),"")</f>
        <v/>
      </c>
      <c r="C224" s="24" t="str">
        <f>IF('ASS START SYNC'!C228="SHOW",FIND(",",'ASS START SYNC'!E228,B224+1),"")</f>
        <v/>
      </c>
      <c r="D224" s="24" t="str">
        <f>IF('ASS START SYNC'!C228="SHOW",FIND(",",'ASS START SYNC'!E228,C224+1),"")</f>
        <v/>
      </c>
      <c r="E224" s="25" t="str">
        <f>IF('ASS START SYNC'!C228="SHOW",FIND(",,",'ASS START SYNC'!E228,1),"")</f>
        <v/>
      </c>
      <c r="F224" s="25" t="str">
        <f>IF('ASS START SYNC'!C228="SHOW",FIND(",,",'ASS START SYNC'!E228,E224+1),"")</f>
        <v/>
      </c>
      <c r="G224" s="23" t="str">
        <f>IF('ASS START SYNC'!C228="SHOW",LEFT('ASS START SYNC'!E228,B224),"")</f>
        <v/>
      </c>
      <c r="H224" s="24" t="str">
        <f>IF(AND('ASS START SYNC'!C228="SHOW",COUNTA('ASS START SYNC'!$E$8:'ASS START SYNC'!E227)=0),MID('ASS START SYNC'!E228,B224+1,C224-B224-1),IF(AND('ASS START SYNC'!C228="SHOW",COUNTA('ASS START SYNC'!$E$8:'ASS START SYNC'!E227)&lt;&gt;0),I223,""))</f>
        <v/>
      </c>
      <c r="I224" s="24" t="str">
        <f>IF('ASS START SYNC'!C228="SHOW",MID('ASS START SYNC'!E228,C224+1,D224-C224-1),I223)</f>
        <v/>
      </c>
      <c r="J224" s="23" t="str">
        <f>IF('ASS START SYNC'!C228="SHOW",MID('ASS START SYNC'!E228,D224+1,F224-D224+1),"")</f>
        <v/>
      </c>
      <c r="K224" s="23" t="str">
        <f>IF('ASS START SYNC'!C228="SHOW",MID('ASS START SYNC'!E228,F224+2,1000),"")</f>
        <v/>
      </c>
      <c r="M224" s="24"/>
      <c r="N224" s="26">
        <v>221</v>
      </c>
      <c r="O224" s="24" t="str">
        <f>IF('ASS END SYNC'!C228="SHOW",FIND(",",'ASS END SYNC'!E228,1),"")</f>
        <v/>
      </c>
      <c r="P224" s="24" t="str">
        <f>IF('ASS END SYNC'!C228="SHOW",FIND(",",'ASS END SYNC'!E228,O224+1),"")</f>
        <v/>
      </c>
      <c r="Q224" s="24" t="str">
        <f>IF('ASS END SYNC'!C228="SHOW",FIND(",",'ASS END SYNC'!E228,P224+1),"")</f>
        <v/>
      </c>
      <c r="R224" s="25" t="str">
        <f>IF('ASS END SYNC'!C228="SHOW",FIND(",,",'ASS END SYNC'!E228,1),"")</f>
        <v/>
      </c>
      <c r="S224" s="25" t="str">
        <f>IF('ASS END SYNC'!C228="SHOW",FIND(",,",'ASS END SYNC'!E228,R224+1),"")</f>
        <v/>
      </c>
      <c r="T224" s="23" t="str">
        <f>IF('ASS END SYNC'!C228="SHOW",LEFT('ASS END SYNC'!E228,O224),"")</f>
        <v/>
      </c>
      <c r="U224" s="24" t="str">
        <f>IF('ASS END SYNC'!C228="SHOW",MID('ASS END SYNC'!E228,O224+1,P224-O224-1),"")</f>
        <v/>
      </c>
      <c r="V224" s="24" t="str">
        <f>IF(AND('ASS END SYNC'!C228="SHOW",'ASS END SYNC'!C229="SHOW"),U225,IF(AND('ASS END SYNC'!C228="SHOW",'ASS END SYNC'!C229&lt;&gt;"SHOW"),MID('ASS END SYNC'!E228,O224+1,P224-O224-1),""))</f>
        <v/>
      </c>
      <c r="W224" s="23" t="str">
        <f>IF('ASS END SYNC'!C228="SHOW",MID('ASS END SYNC'!E228,Q224+1,S224-Q224+1),"")</f>
        <v/>
      </c>
      <c r="X224" s="23" t="str">
        <f>IF('ASS END SYNC'!C228="SHOW",MID('ASS END SYNC'!E228,S224+2,1000),"")</f>
        <v/>
      </c>
      <c r="Z224" s="24"/>
    </row>
    <row r="225" spans="1:26" x14ac:dyDescent="0.25">
      <c r="A225" s="26">
        <v>222</v>
      </c>
      <c r="B225" s="24" t="str">
        <f>IF('ASS START SYNC'!C229="SHOW",FIND(",",'ASS START SYNC'!E229,1),"")</f>
        <v/>
      </c>
      <c r="C225" s="24" t="str">
        <f>IF('ASS START SYNC'!C229="SHOW",FIND(",",'ASS START SYNC'!E229,B225+1),"")</f>
        <v/>
      </c>
      <c r="D225" s="24" t="str">
        <f>IF('ASS START SYNC'!C229="SHOW",FIND(",",'ASS START SYNC'!E229,C225+1),"")</f>
        <v/>
      </c>
      <c r="E225" s="25" t="str">
        <f>IF('ASS START SYNC'!C229="SHOW",FIND(",,",'ASS START SYNC'!E229,1),"")</f>
        <v/>
      </c>
      <c r="F225" s="25" t="str">
        <f>IF('ASS START SYNC'!C229="SHOW",FIND(",,",'ASS START SYNC'!E229,E225+1),"")</f>
        <v/>
      </c>
      <c r="G225" s="23" t="str">
        <f>IF('ASS START SYNC'!C229="SHOW",LEFT('ASS START SYNC'!E229,B225),"")</f>
        <v/>
      </c>
      <c r="H225" s="24" t="str">
        <f>IF(AND('ASS START SYNC'!C229="SHOW",COUNTA('ASS START SYNC'!$E$8:'ASS START SYNC'!E228)=0),MID('ASS START SYNC'!E229,B225+1,C225-B225-1),IF(AND('ASS START SYNC'!C229="SHOW",COUNTA('ASS START SYNC'!$E$8:'ASS START SYNC'!E228)&lt;&gt;0),I224,""))</f>
        <v/>
      </c>
      <c r="I225" s="24" t="str">
        <f>IF('ASS START SYNC'!C229="SHOW",MID('ASS START SYNC'!E229,C225+1,D225-C225-1),I224)</f>
        <v/>
      </c>
      <c r="J225" s="23" t="str">
        <f>IF('ASS START SYNC'!C229="SHOW",MID('ASS START SYNC'!E229,D225+1,F225-D225+1),"")</f>
        <v/>
      </c>
      <c r="K225" s="23" t="str">
        <f>IF('ASS START SYNC'!C229="SHOW",MID('ASS START SYNC'!E229,F225+2,1000),"")</f>
        <v/>
      </c>
      <c r="M225" s="24"/>
      <c r="N225" s="26">
        <v>222</v>
      </c>
      <c r="O225" s="24" t="str">
        <f>IF('ASS END SYNC'!C229="SHOW",FIND(",",'ASS END SYNC'!E229,1),"")</f>
        <v/>
      </c>
      <c r="P225" s="24" t="str">
        <f>IF('ASS END SYNC'!C229="SHOW",FIND(",",'ASS END SYNC'!E229,O225+1),"")</f>
        <v/>
      </c>
      <c r="Q225" s="24" t="str">
        <f>IF('ASS END SYNC'!C229="SHOW",FIND(",",'ASS END SYNC'!E229,P225+1),"")</f>
        <v/>
      </c>
      <c r="R225" s="25" t="str">
        <f>IF('ASS END SYNC'!C229="SHOW",FIND(",,",'ASS END SYNC'!E229,1),"")</f>
        <v/>
      </c>
      <c r="S225" s="25" t="str">
        <f>IF('ASS END SYNC'!C229="SHOW",FIND(",,",'ASS END SYNC'!E229,R225+1),"")</f>
        <v/>
      </c>
      <c r="T225" s="23" t="str">
        <f>IF('ASS END SYNC'!C229="SHOW",LEFT('ASS END SYNC'!E229,O225),"")</f>
        <v/>
      </c>
      <c r="U225" s="24" t="str">
        <f>IF('ASS END SYNC'!C229="SHOW",MID('ASS END SYNC'!E229,O225+1,P225-O225-1),"")</f>
        <v/>
      </c>
      <c r="V225" s="24" t="str">
        <f>IF(AND('ASS END SYNC'!C229="SHOW",'ASS END SYNC'!C230="SHOW"),U226,IF(AND('ASS END SYNC'!C229="SHOW",'ASS END SYNC'!C230&lt;&gt;"SHOW"),MID('ASS END SYNC'!E229,O225+1,P225-O225-1),""))</f>
        <v/>
      </c>
      <c r="W225" s="23" t="str">
        <f>IF('ASS END SYNC'!C229="SHOW",MID('ASS END SYNC'!E229,Q225+1,S225-Q225+1),"")</f>
        <v/>
      </c>
      <c r="X225" s="23" t="str">
        <f>IF('ASS END SYNC'!C229="SHOW",MID('ASS END SYNC'!E229,S225+2,1000),"")</f>
        <v/>
      </c>
      <c r="Z225" s="24"/>
    </row>
    <row r="226" spans="1:26" x14ac:dyDescent="0.25">
      <c r="A226" s="26">
        <v>223</v>
      </c>
      <c r="B226" s="24" t="str">
        <f>IF('ASS START SYNC'!C230="SHOW",FIND(",",'ASS START SYNC'!E230,1),"")</f>
        <v/>
      </c>
      <c r="C226" s="24" t="str">
        <f>IF('ASS START SYNC'!C230="SHOW",FIND(",",'ASS START SYNC'!E230,B226+1),"")</f>
        <v/>
      </c>
      <c r="D226" s="24" t="str">
        <f>IF('ASS START SYNC'!C230="SHOW",FIND(",",'ASS START SYNC'!E230,C226+1),"")</f>
        <v/>
      </c>
      <c r="E226" s="25" t="str">
        <f>IF('ASS START SYNC'!C230="SHOW",FIND(",,",'ASS START SYNC'!E230,1),"")</f>
        <v/>
      </c>
      <c r="F226" s="25" t="str">
        <f>IF('ASS START SYNC'!C230="SHOW",FIND(",,",'ASS START SYNC'!E230,E226+1),"")</f>
        <v/>
      </c>
      <c r="G226" s="23" t="str">
        <f>IF('ASS START SYNC'!C230="SHOW",LEFT('ASS START SYNC'!E230,B226),"")</f>
        <v/>
      </c>
      <c r="H226" s="24" t="str">
        <f>IF(AND('ASS START SYNC'!C230="SHOW",COUNTA('ASS START SYNC'!$E$8:'ASS START SYNC'!E229)=0),MID('ASS START SYNC'!E230,B226+1,C226-B226-1),IF(AND('ASS START SYNC'!C230="SHOW",COUNTA('ASS START SYNC'!$E$8:'ASS START SYNC'!E229)&lt;&gt;0),I225,""))</f>
        <v/>
      </c>
      <c r="I226" s="24" t="str">
        <f>IF('ASS START SYNC'!C230="SHOW",MID('ASS START SYNC'!E230,C226+1,D226-C226-1),I225)</f>
        <v/>
      </c>
      <c r="J226" s="23" t="str">
        <f>IF('ASS START SYNC'!C230="SHOW",MID('ASS START SYNC'!E230,D226+1,F226-D226+1),"")</f>
        <v/>
      </c>
      <c r="K226" s="23" t="str">
        <f>IF('ASS START SYNC'!C230="SHOW",MID('ASS START SYNC'!E230,F226+2,1000),"")</f>
        <v/>
      </c>
      <c r="M226" s="24"/>
      <c r="N226" s="26">
        <v>223</v>
      </c>
      <c r="O226" s="24" t="str">
        <f>IF('ASS END SYNC'!C230="SHOW",FIND(",",'ASS END SYNC'!E230,1),"")</f>
        <v/>
      </c>
      <c r="P226" s="24" t="str">
        <f>IF('ASS END SYNC'!C230="SHOW",FIND(",",'ASS END SYNC'!E230,O226+1),"")</f>
        <v/>
      </c>
      <c r="Q226" s="24" t="str">
        <f>IF('ASS END SYNC'!C230="SHOW",FIND(",",'ASS END SYNC'!E230,P226+1),"")</f>
        <v/>
      </c>
      <c r="R226" s="25" t="str">
        <f>IF('ASS END SYNC'!C230="SHOW",FIND(",,",'ASS END SYNC'!E230,1),"")</f>
        <v/>
      </c>
      <c r="S226" s="25" t="str">
        <f>IF('ASS END SYNC'!C230="SHOW",FIND(",,",'ASS END SYNC'!E230,R226+1),"")</f>
        <v/>
      </c>
      <c r="T226" s="23" t="str">
        <f>IF('ASS END SYNC'!C230="SHOW",LEFT('ASS END SYNC'!E230,O226),"")</f>
        <v/>
      </c>
      <c r="U226" s="24" t="str">
        <f>IF('ASS END SYNC'!C230="SHOW",MID('ASS END SYNC'!E230,O226+1,P226-O226-1),"")</f>
        <v/>
      </c>
      <c r="V226" s="24" t="str">
        <f>IF(AND('ASS END SYNC'!C230="SHOW",'ASS END SYNC'!C231="SHOW"),U227,IF(AND('ASS END SYNC'!C230="SHOW",'ASS END SYNC'!C231&lt;&gt;"SHOW"),MID('ASS END SYNC'!E230,O226+1,P226-O226-1),""))</f>
        <v/>
      </c>
      <c r="W226" s="23" t="str">
        <f>IF('ASS END SYNC'!C230="SHOW",MID('ASS END SYNC'!E230,Q226+1,S226-Q226+1),"")</f>
        <v/>
      </c>
      <c r="X226" s="23" t="str">
        <f>IF('ASS END SYNC'!C230="SHOW",MID('ASS END SYNC'!E230,S226+2,1000),"")</f>
        <v/>
      </c>
      <c r="Z226" s="24"/>
    </row>
    <row r="227" spans="1:26" x14ac:dyDescent="0.25">
      <c r="A227" s="26">
        <v>224</v>
      </c>
      <c r="B227" s="24" t="str">
        <f>IF('ASS START SYNC'!C231="SHOW",FIND(",",'ASS START SYNC'!E231,1),"")</f>
        <v/>
      </c>
      <c r="C227" s="24" t="str">
        <f>IF('ASS START SYNC'!C231="SHOW",FIND(",",'ASS START SYNC'!E231,B227+1),"")</f>
        <v/>
      </c>
      <c r="D227" s="24" t="str">
        <f>IF('ASS START SYNC'!C231="SHOW",FIND(",",'ASS START SYNC'!E231,C227+1),"")</f>
        <v/>
      </c>
      <c r="E227" s="25" t="str">
        <f>IF('ASS START SYNC'!C231="SHOW",FIND(",,",'ASS START SYNC'!E231,1),"")</f>
        <v/>
      </c>
      <c r="F227" s="25" t="str">
        <f>IF('ASS START SYNC'!C231="SHOW",FIND(",,",'ASS START SYNC'!E231,E227+1),"")</f>
        <v/>
      </c>
      <c r="G227" s="23" t="str">
        <f>IF('ASS START SYNC'!C231="SHOW",LEFT('ASS START SYNC'!E231,B227),"")</f>
        <v/>
      </c>
      <c r="H227" s="24" t="str">
        <f>IF(AND('ASS START SYNC'!C231="SHOW",COUNTA('ASS START SYNC'!$E$8:'ASS START SYNC'!E230)=0),MID('ASS START SYNC'!E231,B227+1,C227-B227-1),IF(AND('ASS START SYNC'!C231="SHOW",COUNTA('ASS START SYNC'!$E$8:'ASS START SYNC'!E230)&lt;&gt;0),I226,""))</f>
        <v/>
      </c>
      <c r="I227" s="24" t="str">
        <f>IF('ASS START SYNC'!C231="SHOW",MID('ASS START SYNC'!E231,C227+1,D227-C227-1),I226)</f>
        <v/>
      </c>
      <c r="J227" s="23" t="str">
        <f>IF('ASS START SYNC'!C231="SHOW",MID('ASS START SYNC'!E231,D227+1,F227-D227+1),"")</f>
        <v/>
      </c>
      <c r="K227" s="23" t="str">
        <f>IF('ASS START SYNC'!C231="SHOW",MID('ASS START SYNC'!E231,F227+2,1000),"")</f>
        <v/>
      </c>
      <c r="M227" s="24"/>
      <c r="N227" s="26">
        <v>224</v>
      </c>
      <c r="O227" s="24" t="str">
        <f>IF('ASS END SYNC'!C231="SHOW",FIND(",",'ASS END SYNC'!E231,1),"")</f>
        <v/>
      </c>
      <c r="P227" s="24" t="str">
        <f>IF('ASS END SYNC'!C231="SHOW",FIND(",",'ASS END SYNC'!E231,O227+1),"")</f>
        <v/>
      </c>
      <c r="Q227" s="24" t="str">
        <f>IF('ASS END SYNC'!C231="SHOW",FIND(",",'ASS END SYNC'!E231,P227+1),"")</f>
        <v/>
      </c>
      <c r="R227" s="25" t="str">
        <f>IF('ASS END SYNC'!C231="SHOW",FIND(",,",'ASS END SYNC'!E231,1),"")</f>
        <v/>
      </c>
      <c r="S227" s="25" t="str">
        <f>IF('ASS END SYNC'!C231="SHOW",FIND(",,",'ASS END SYNC'!E231,R227+1),"")</f>
        <v/>
      </c>
      <c r="T227" s="23" t="str">
        <f>IF('ASS END SYNC'!C231="SHOW",LEFT('ASS END SYNC'!E231,O227),"")</f>
        <v/>
      </c>
      <c r="U227" s="24" t="str">
        <f>IF('ASS END SYNC'!C231="SHOW",MID('ASS END SYNC'!E231,O227+1,P227-O227-1),"")</f>
        <v/>
      </c>
      <c r="V227" s="24" t="str">
        <f>IF(AND('ASS END SYNC'!C231="SHOW",'ASS END SYNC'!C232="SHOW"),U228,IF(AND('ASS END SYNC'!C231="SHOW",'ASS END SYNC'!C232&lt;&gt;"SHOW"),MID('ASS END SYNC'!E231,O227+1,P227-O227-1),""))</f>
        <v/>
      </c>
      <c r="W227" s="23" t="str">
        <f>IF('ASS END SYNC'!C231="SHOW",MID('ASS END SYNC'!E231,Q227+1,S227-Q227+1),"")</f>
        <v/>
      </c>
      <c r="X227" s="23" t="str">
        <f>IF('ASS END SYNC'!C231="SHOW",MID('ASS END SYNC'!E231,S227+2,1000),"")</f>
        <v/>
      </c>
      <c r="Z227" s="24"/>
    </row>
    <row r="228" spans="1:26" x14ac:dyDescent="0.25">
      <c r="A228" s="26">
        <v>225</v>
      </c>
      <c r="B228" s="24" t="str">
        <f>IF('ASS START SYNC'!C232="SHOW",FIND(",",'ASS START SYNC'!E232,1),"")</f>
        <v/>
      </c>
      <c r="C228" s="24" t="str">
        <f>IF('ASS START SYNC'!C232="SHOW",FIND(",",'ASS START SYNC'!E232,B228+1),"")</f>
        <v/>
      </c>
      <c r="D228" s="24" t="str">
        <f>IF('ASS START SYNC'!C232="SHOW",FIND(",",'ASS START SYNC'!E232,C228+1),"")</f>
        <v/>
      </c>
      <c r="E228" s="25" t="str">
        <f>IF('ASS START SYNC'!C232="SHOW",FIND(",,",'ASS START SYNC'!E232,1),"")</f>
        <v/>
      </c>
      <c r="F228" s="25" t="str">
        <f>IF('ASS START SYNC'!C232="SHOW",FIND(",,",'ASS START SYNC'!E232,E228+1),"")</f>
        <v/>
      </c>
      <c r="G228" s="23" t="str">
        <f>IF('ASS START SYNC'!C232="SHOW",LEFT('ASS START SYNC'!E232,B228),"")</f>
        <v/>
      </c>
      <c r="H228" s="24" t="str">
        <f>IF(AND('ASS START SYNC'!C232="SHOW",COUNTA('ASS START SYNC'!$E$8:'ASS START SYNC'!E231)=0),MID('ASS START SYNC'!E232,B228+1,C228-B228-1),IF(AND('ASS START SYNC'!C232="SHOW",COUNTA('ASS START SYNC'!$E$8:'ASS START SYNC'!E231)&lt;&gt;0),I227,""))</f>
        <v/>
      </c>
      <c r="I228" s="24" t="str">
        <f>IF('ASS START SYNC'!C232="SHOW",MID('ASS START SYNC'!E232,C228+1,D228-C228-1),I227)</f>
        <v/>
      </c>
      <c r="J228" s="23" t="str">
        <f>IF('ASS START SYNC'!C232="SHOW",MID('ASS START SYNC'!E232,D228+1,F228-D228+1),"")</f>
        <v/>
      </c>
      <c r="K228" s="23" t="str">
        <f>IF('ASS START SYNC'!C232="SHOW",MID('ASS START SYNC'!E232,F228+2,1000),"")</f>
        <v/>
      </c>
      <c r="M228" s="24"/>
      <c r="N228" s="26">
        <v>225</v>
      </c>
      <c r="O228" s="24" t="str">
        <f>IF('ASS END SYNC'!C232="SHOW",FIND(",",'ASS END SYNC'!E232,1),"")</f>
        <v/>
      </c>
      <c r="P228" s="24" t="str">
        <f>IF('ASS END SYNC'!C232="SHOW",FIND(",",'ASS END SYNC'!E232,O228+1),"")</f>
        <v/>
      </c>
      <c r="Q228" s="24" t="str">
        <f>IF('ASS END SYNC'!C232="SHOW",FIND(",",'ASS END SYNC'!E232,P228+1),"")</f>
        <v/>
      </c>
      <c r="R228" s="25" t="str">
        <f>IF('ASS END SYNC'!C232="SHOW",FIND(",,",'ASS END SYNC'!E232,1),"")</f>
        <v/>
      </c>
      <c r="S228" s="25" t="str">
        <f>IF('ASS END SYNC'!C232="SHOW",FIND(",,",'ASS END SYNC'!E232,R228+1),"")</f>
        <v/>
      </c>
      <c r="T228" s="23" t="str">
        <f>IF('ASS END SYNC'!C232="SHOW",LEFT('ASS END SYNC'!E232,O228),"")</f>
        <v/>
      </c>
      <c r="U228" s="24" t="str">
        <f>IF('ASS END SYNC'!C232="SHOW",MID('ASS END SYNC'!E232,O228+1,P228-O228-1),"")</f>
        <v/>
      </c>
      <c r="V228" s="24" t="str">
        <f>IF(AND('ASS END SYNC'!C232="SHOW",'ASS END SYNC'!C233="SHOW"),U229,IF(AND('ASS END SYNC'!C232="SHOW",'ASS END SYNC'!C233&lt;&gt;"SHOW"),MID('ASS END SYNC'!E232,O228+1,P228-O228-1),""))</f>
        <v/>
      </c>
      <c r="W228" s="23" t="str">
        <f>IF('ASS END SYNC'!C232="SHOW",MID('ASS END SYNC'!E232,Q228+1,S228-Q228+1),"")</f>
        <v/>
      </c>
      <c r="X228" s="23" t="str">
        <f>IF('ASS END SYNC'!C232="SHOW",MID('ASS END SYNC'!E232,S228+2,1000),"")</f>
        <v/>
      </c>
      <c r="Z228" s="24"/>
    </row>
    <row r="229" spans="1:26" x14ac:dyDescent="0.25">
      <c r="A229" s="26">
        <v>226</v>
      </c>
      <c r="B229" s="24" t="str">
        <f>IF('ASS START SYNC'!C233="SHOW",FIND(",",'ASS START SYNC'!E233,1),"")</f>
        <v/>
      </c>
      <c r="C229" s="24" t="str">
        <f>IF('ASS START SYNC'!C233="SHOW",FIND(",",'ASS START SYNC'!E233,B229+1),"")</f>
        <v/>
      </c>
      <c r="D229" s="24" t="str">
        <f>IF('ASS START SYNC'!C233="SHOW",FIND(",",'ASS START SYNC'!E233,C229+1),"")</f>
        <v/>
      </c>
      <c r="E229" s="25" t="str">
        <f>IF('ASS START SYNC'!C233="SHOW",FIND(",,",'ASS START SYNC'!E233,1),"")</f>
        <v/>
      </c>
      <c r="F229" s="25" t="str">
        <f>IF('ASS START SYNC'!C233="SHOW",FIND(",,",'ASS START SYNC'!E233,E229+1),"")</f>
        <v/>
      </c>
      <c r="G229" s="23" t="str">
        <f>IF('ASS START SYNC'!C233="SHOW",LEFT('ASS START SYNC'!E233,B229),"")</f>
        <v/>
      </c>
      <c r="H229" s="24" t="str">
        <f>IF(AND('ASS START SYNC'!C233="SHOW",COUNTA('ASS START SYNC'!$E$8:'ASS START SYNC'!E232)=0),MID('ASS START SYNC'!E233,B229+1,C229-B229-1),IF(AND('ASS START SYNC'!C233="SHOW",COUNTA('ASS START SYNC'!$E$8:'ASS START SYNC'!E232)&lt;&gt;0),I228,""))</f>
        <v/>
      </c>
      <c r="I229" s="24" t="str">
        <f>IF('ASS START SYNC'!C233="SHOW",MID('ASS START SYNC'!E233,C229+1,D229-C229-1),I228)</f>
        <v/>
      </c>
      <c r="J229" s="23" t="str">
        <f>IF('ASS START SYNC'!C233="SHOW",MID('ASS START SYNC'!E233,D229+1,F229-D229+1),"")</f>
        <v/>
      </c>
      <c r="K229" s="23" t="str">
        <f>IF('ASS START SYNC'!C233="SHOW",MID('ASS START SYNC'!E233,F229+2,1000),"")</f>
        <v/>
      </c>
      <c r="M229" s="24"/>
      <c r="N229" s="26">
        <v>226</v>
      </c>
      <c r="O229" s="24" t="str">
        <f>IF('ASS END SYNC'!C233="SHOW",FIND(",",'ASS END SYNC'!E233,1),"")</f>
        <v/>
      </c>
      <c r="P229" s="24" t="str">
        <f>IF('ASS END SYNC'!C233="SHOW",FIND(",",'ASS END SYNC'!E233,O229+1),"")</f>
        <v/>
      </c>
      <c r="Q229" s="24" t="str">
        <f>IF('ASS END SYNC'!C233="SHOW",FIND(",",'ASS END SYNC'!E233,P229+1),"")</f>
        <v/>
      </c>
      <c r="R229" s="25" t="str">
        <f>IF('ASS END SYNC'!C233="SHOW",FIND(",,",'ASS END SYNC'!E233,1),"")</f>
        <v/>
      </c>
      <c r="S229" s="25" t="str">
        <f>IF('ASS END SYNC'!C233="SHOW",FIND(",,",'ASS END SYNC'!E233,R229+1),"")</f>
        <v/>
      </c>
      <c r="T229" s="23" t="str">
        <f>IF('ASS END SYNC'!C233="SHOW",LEFT('ASS END SYNC'!E233,O229),"")</f>
        <v/>
      </c>
      <c r="U229" s="24" t="str">
        <f>IF('ASS END SYNC'!C233="SHOW",MID('ASS END SYNC'!E233,O229+1,P229-O229-1),"")</f>
        <v/>
      </c>
      <c r="V229" s="24" t="str">
        <f>IF(AND('ASS END SYNC'!C233="SHOW",'ASS END SYNC'!C234="SHOW"),U230,IF(AND('ASS END SYNC'!C233="SHOW",'ASS END SYNC'!C234&lt;&gt;"SHOW"),MID('ASS END SYNC'!E233,O229+1,P229-O229-1),""))</f>
        <v/>
      </c>
      <c r="W229" s="23" t="str">
        <f>IF('ASS END SYNC'!C233="SHOW",MID('ASS END SYNC'!E233,Q229+1,S229-Q229+1),"")</f>
        <v/>
      </c>
      <c r="X229" s="23" t="str">
        <f>IF('ASS END SYNC'!C233="SHOW",MID('ASS END SYNC'!E233,S229+2,1000),"")</f>
        <v/>
      </c>
      <c r="Z229" s="24"/>
    </row>
    <row r="230" spans="1:26" x14ac:dyDescent="0.25">
      <c r="A230" s="26">
        <v>227</v>
      </c>
      <c r="B230" s="24" t="str">
        <f>IF('ASS START SYNC'!C234="SHOW",FIND(",",'ASS START SYNC'!E234,1),"")</f>
        <v/>
      </c>
      <c r="C230" s="24" t="str">
        <f>IF('ASS START SYNC'!C234="SHOW",FIND(",",'ASS START SYNC'!E234,B230+1),"")</f>
        <v/>
      </c>
      <c r="D230" s="24" t="str">
        <f>IF('ASS START SYNC'!C234="SHOW",FIND(",",'ASS START SYNC'!E234,C230+1),"")</f>
        <v/>
      </c>
      <c r="E230" s="25" t="str">
        <f>IF('ASS START SYNC'!C234="SHOW",FIND(",,",'ASS START SYNC'!E234,1),"")</f>
        <v/>
      </c>
      <c r="F230" s="25" t="str">
        <f>IF('ASS START SYNC'!C234="SHOW",FIND(",,",'ASS START SYNC'!E234,E230+1),"")</f>
        <v/>
      </c>
      <c r="G230" s="23" t="str">
        <f>IF('ASS START SYNC'!C234="SHOW",LEFT('ASS START SYNC'!E234,B230),"")</f>
        <v/>
      </c>
      <c r="H230" s="24" t="str">
        <f>IF(AND('ASS START SYNC'!C234="SHOW",COUNTA('ASS START SYNC'!$E$8:'ASS START SYNC'!E233)=0),MID('ASS START SYNC'!E234,B230+1,C230-B230-1),IF(AND('ASS START SYNC'!C234="SHOW",COUNTA('ASS START SYNC'!$E$8:'ASS START SYNC'!E233)&lt;&gt;0),I229,""))</f>
        <v/>
      </c>
      <c r="I230" s="24" t="str">
        <f>IF('ASS START SYNC'!C234="SHOW",MID('ASS START SYNC'!E234,C230+1,D230-C230-1),I229)</f>
        <v/>
      </c>
      <c r="J230" s="23" t="str">
        <f>IF('ASS START SYNC'!C234="SHOW",MID('ASS START SYNC'!E234,D230+1,F230-D230+1),"")</f>
        <v/>
      </c>
      <c r="K230" s="23" t="str">
        <f>IF('ASS START SYNC'!C234="SHOW",MID('ASS START SYNC'!E234,F230+2,1000),"")</f>
        <v/>
      </c>
      <c r="M230" s="24"/>
      <c r="N230" s="26">
        <v>227</v>
      </c>
      <c r="O230" s="24" t="str">
        <f>IF('ASS END SYNC'!C234="SHOW",FIND(",",'ASS END SYNC'!E234,1),"")</f>
        <v/>
      </c>
      <c r="P230" s="24" t="str">
        <f>IF('ASS END SYNC'!C234="SHOW",FIND(",",'ASS END SYNC'!E234,O230+1),"")</f>
        <v/>
      </c>
      <c r="Q230" s="24" t="str">
        <f>IF('ASS END SYNC'!C234="SHOW",FIND(",",'ASS END SYNC'!E234,P230+1),"")</f>
        <v/>
      </c>
      <c r="R230" s="25" t="str">
        <f>IF('ASS END SYNC'!C234="SHOW",FIND(",,",'ASS END SYNC'!E234,1),"")</f>
        <v/>
      </c>
      <c r="S230" s="25" t="str">
        <f>IF('ASS END SYNC'!C234="SHOW",FIND(",,",'ASS END SYNC'!E234,R230+1),"")</f>
        <v/>
      </c>
      <c r="T230" s="23" t="str">
        <f>IF('ASS END SYNC'!C234="SHOW",LEFT('ASS END SYNC'!E234,O230),"")</f>
        <v/>
      </c>
      <c r="U230" s="24" t="str">
        <f>IF('ASS END SYNC'!C234="SHOW",MID('ASS END SYNC'!E234,O230+1,P230-O230-1),"")</f>
        <v/>
      </c>
      <c r="V230" s="24" t="str">
        <f>IF(AND('ASS END SYNC'!C234="SHOW",'ASS END SYNC'!C235="SHOW"),U231,IF(AND('ASS END SYNC'!C234="SHOW",'ASS END SYNC'!C235&lt;&gt;"SHOW"),MID('ASS END SYNC'!E234,O230+1,P230-O230-1),""))</f>
        <v/>
      </c>
      <c r="W230" s="23" t="str">
        <f>IF('ASS END SYNC'!C234="SHOW",MID('ASS END SYNC'!E234,Q230+1,S230-Q230+1),"")</f>
        <v/>
      </c>
      <c r="X230" s="23" t="str">
        <f>IF('ASS END SYNC'!C234="SHOW",MID('ASS END SYNC'!E234,S230+2,1000),"")</f>
        <v/>
      </c>
      <c r="Z230" s="24"/>
    </row>
    <row r="231" spans="1:26" x14ac:dyDescent="0.25">
      <c r="A231" s="26">
        <v>228</v>
      </c>
      <c r="B231" s="24" t="str">
        <f>IF('ASS START SYNC'!C235="SHOW",FIND(",",'ASS START SYNC'!E235,1),"")</f>
        <v/>
      </c>
      <c r="C231" s="24" t="str">
        <f>IF('ASS START SYNC'!C235="SHOW",FIND(",",'ASS START SYNC'!E235,B231+1),"")</f>
        <v/>
      </c>
      <c r="D231" s="24" t="str">
        <f>IF('ASS START SYNC'!C235="SHOW",FIND(",",'ASS START SYNC'!E235,C231+1),"")</f>
        <v/>
      </c>
      <c r="E231" s="25" t="str">
        <f>IF('ASS START SYNC'!C235="SHOW",FIND(",,",'ASS START SYNC'!E235,1),"")</f>
        <v/>
      </c>
      <c r="F231" s="25" t="str">
        <f>IF('ASS START SYNC'!C235="SHOW",FIND(",,",'ASS START SYNC'!E235,E231+1),"")</f>
        <v/>
      </c>
      <c r="G231" s="23" t="str">
        <f>IF('ASS START SYNC'!C235="SHOW",LEFT('ASS START SYNC'!E235,B231),"")</f>
        <v/>
      </c>
      <c r="H231" s="24" t="str">
        <f>IF(AND('ASS START SYNC'!C235="SHOW",COUNTA('ASS START SYNC'!$E$8:'ASS START SYNC'!E234)=0),MID('ASS START SYNC'!E235,B231+1,C231-B231-1),IF(AND('ASS START SYNC'!C235="SHOW",COUNTA('ASS START SYNC'!$E$8:'ASS START SYNC'!E234)&lt;&gt;0),I230,""))</f>
        <v/>
      </c>
      <c r="I231" s="24" t="str">
        <f>IF('ASS START SYNC'!C235="SHOW",MID('ASS START SYNC'!E235,C231+1,D231-C231-1),I230)</f>
        <v/>
      </c>
      <c r="J231" s="23" t="str">
        <f>IF('ASS START SYNC'!C235="SHOW",MID('ASS START SYNC'!E235,D231+1,F231-D231+1),"")</f>
        <v/>
      </c>
      <c r="K231" s="23" t="str">
        <f>IF('ASS START SYNC'!C235="SHOW",MID('ASS START SYNC'!E235,F231+2,1000),"")</f>
        <v/>
      </c>
      <c r="M231" s="24"/>
      <c r="N231" s="26">
        <v>228</v>
      </c>
      <c r="O231" s="24" t="str">
        <f>IF('ASS END SYNC'!C235="SHOW",FIND(",",'ASS END SYNC'!E235,1),"")</f>
        <v/>
      </c>
      <c r="P231" s="24" t="str">
        <f>IF('ASS END SYNC'!C235="SHOW",FIND(",",'ASS END SYNC'!E235,O231+1),"")</f>
        <v/>
      </c>
      <c r="Q231" s="24" t="str">
        <f>IF('ASS END SYNC'!C235="SHOW",FIND(",",'ASS END SYNC'!E235,P231+1),"")</f>
        <v/>
      </c>
      <c r="R231" s="25" t="str">
        <f>IF('ASS END SYNC'!C235="SHOW",FIND(",,",'ASS END SYNC'!E235,1),"")</f>
        <v/>
      </c>
      <c r="S231" s="25" t="str">
        <f>IF('ASS END SYNC'!C235="SHOW",FIND(",,",'ASS END SYNC'!E235,R231+1),"")</f>
        <v/>
      </c>
      <c r="T231" s="23" t="str">
        <f>IF('ASS END SYNC'!C235="SHOW",LEFT('ASS END SYNC'!E235,O231),"")</f>
        <v/>
      </c>
      <c r="U231" s="24" t="str">
        <f>IF('ASS END SYNC'!C235="SHOW",MID('ASS END SYNC'!E235,O231+1,P231-O231-1),"")</f>
        <v/>
      </c>
      <c r="V231" s="24" t="str">
        <f>IF(AND('ASS END SYNC'!C235="SHOW",'ASS END SYNC'!C236="SHOW"),U232,IF(AND('ASS END SYNC'!C235="SHOW",'ASS END SYNC'!C236&lt;&gt;"SHOW"),MID('ASS END SYNC'!E235,O231+1,P231-O231-1),""))</f>
        <v/>
      </c>
      <c r="W231" s="23" t="str">
        <f>IF('ASS END SYNC'!C235="SHOW",MID('ASS END SYNC'!E235,Q231+1,S231-Q231+1),"")</f>
        <v/>
      </c>
      <c r="X231" s="23" t="str">
        <f>IF('ASS END SYNC'!C235="SHOW",MID('ASS END SYNC'!E235,S231+2,1000),"")</f>
        <v/>
      </c>
      <c r="Z231" s="24"/>
    </row>
    <row r="232" spans="1:26" x14ac:dyDescent="0.25">
      <c r="A232" s="26">
        <v>229</v>
      </c>
      <c r="B232" s="24" t="str">
        <f>IF('ASS START SYNC'!C236="SHOW",FIND(",",'ASS START SYNC'!E236,1),"")</f>
        <v/>
      </c>
      <c r="C232" s="24" t="str">
        <f>IF('ASS START SYNC'!C236="SHOW",FIND(",",'ASS START SYNC'!E236,B232+1),"")</f>
        <v/>
      </c>
      <c r="D232" s="24" t="str">
        <f>IF('ASS START SYNC'!C236="SHOW",FIND(",",'ASS START SYNC'!E236,C232+1),"")</f>
        <v/>
      </c>
      <c r="E232" s="25" t="str">
        <f>IF('ASS START SYNC'!C236="SHOW",FIND(",,",'ASS START SYNC'!E236,1),"")</f>
        <v/>
      </c>
      <c r="F232" s="25" t="str">
        <f>IF('ASS START SYNC'!C236="SHOW",FIND(",,",'ASS START SYNC'!E236,E232+1),"")</f>
        <v/>
      </c>
      <c r="G232" s="23" t="str">
        <f>IF('ASS START SYNC'!C236="SHOW",LEFT('ASS START SYNC'!E236,B232),"")</f>
        <v/>
      </c>
      <c r="H232" s="24" t="str">
        <f>IF(AND('ASS START SYNC'!C236="SHOW",COUNTA('ASS START SYNC'!$E$8:'ASS START SYNC'!E235)=0),MID('ASS START SYNC'!E236,B232+1,C232-B232-1),IF(AND('ASS START SYNC'!C236="SHOW",COUNTA('ASS START SYNC'!$E$8:'ASS START SYNC'!E235)&lt;&gt;0),I231,""))</f>
        <v/>
      </c>
      <c r="I232" s="24" t="str">
        <f>IF('ASS START SYNC'!C236="SHOW",MID('ASS START SYNC'!E236,C232+1,D232-C232-1),I231)</f>
        <v/>
      </c>
      <c r="J232" s="23" t="str">
        <f>IF('ASS START SYNC'!C236="SHOW",MID('ASS START SYNC'!E236,D232+1,F232-D232+1),"")</f>
        <v/>
      </c>
      <c r="K232" s="23" t="str">
        <f>IF('ASS START SYNC'!C236="SHOW",MID('ASS START SYNC'!E236,F232+2,1000),"")</f>
        <v/>
      </c>
      <c r="M232" s="24"/>
      <c r="N232" s="26">
        <v>229</v>
      </c>
      <c r="O232" s="24" t="str">
        <f>IF('ASS END SYNC'!C236="SHOW",FIND(",",'ASS END SYNC'!E236,1),"")</f>
        <v/>
      </c>
      <c r="P232" s="24" t="str">
        <f>IF('ASS END SYNC'!C236="SHOW",FIND(",",'ASS END SYNC'!E236,O232+1),"")</f>
        <v/>
      </c>
      <c r="Q232" s="24" t="str">
        <f>IF('ASS END SYNC'!C236="SHOW",FIND(",",'ASS END SYNC'!E236,P232+1),"")</f>
        <v/>
      </c>
      <c r="R232" s="25" t="str">
        <f>IF('ASS END SYNC'!C236="SHOW",FIND(",,",'ASS END SYNC'!E236,1),"")</f>
        <v/>
      </c>
      <c r="S232" s="25" t="str">
        <f>IF('ASS END SYNC'!C236="SHOW",FIND(",,",'ASS END SYNC'!E236,R232+1),"")</f>
        <v/>
      </c>
      <c r="T232" s="23" t="str">
        <f>IF('ASS END SYNC'!C236="SHOW",LEFT('ASS END SYNC'!E236,O232),"")</f>
        <v/>
      </c>
      <c r="U232" s="24" t="str">
        <f>IF('ASS END SYNC'!C236="SHOW",MID('ASS END SYNC'!E236,O232+1,P232-O232-1),"")</f>
        <v/>
      </c>
      <c r="V232" s="24" t="str">
        <f>IF(AND('ASS END SYNC'!C236="SHOW",'ASS END SYNC'!C237="SHOW"),U233,IF(AND('ASS END SYNC'!C236="SHOW",'ASS END SYNC'!C237&lt;&gt;"SHOW"),MID('ASS END SYNC'!E236,O232+1,P232-O232-1),""))</f>
        <v/>
      </c>
      <c r="W232" s="23" t="str">
        <f>IF('ASS END SYNC'!C236="SHOW",MID('ASS END SYNC'!E236,Q232+1,S232-Q232+1),"")</f>
        <v/>
      </c>
      <c r="X232" s="23" t="str">
        <f>IF('ASS END SYNC'!C236="SHOW",MID('ASS END SYNC'!E236,S232+2,1000),"")</f>
        <v/>
      </c>
      <c r="Z232" s="24"/>
    </row>
    <row r="233" spans="1:26" x14ac:dyDescent="0.25">
      <c r="A233" s="26">
        <v>230</v>
      </c>
      <c r="B233" s="24" t="str">
        <f>IF('ASS START SYNC'!C237="SHOW",FIND(",",'ASS START SYNC'!E237,1),"")</f>
        <v/>
      </c>
      <c r="C233" s="24" t="str">
        <f>IF('ASS START SYNC'!C237="SHOW",FIND(",",'ASS START SYNC'!E237,B233+1),"")</f>
        <v/>
      </c>
      <c r="D233" s="24" t="str">
        <f>IF('ASS START SYNC'!C237="SHOW",FIND(",",'ASS START SYNC'!E237,C233+1),"")</f>
        <v/>
      </c>
      <c r="E233" s="25" t="str">
        <f>IF('ASS START SYNC'!C237="SHOW",FIND(",,",'ASS START SYNC'!E237,1),"")</f>
        <v/>
      </c>
      <c r="F233" s="25" t="str">
        <f>IF('ASS START SYNC'!C237="SHOW",FIND(",,",'ASS START SYNC'!E237,E233+1),"")</f>
        <v/>
      </c>
      <c r="G233" s="23" t="str">
        <f>IF('ASS START SYNC'!C237="SHOW",LEFT('ASS START SYNC'!E237,B233),"")</f>
        <v/>
      </c>
      <c r="H233" s="24" t="str">
        <f>IF(AND('ASS START SYNC'!C237="SHOW",COUNTA('ASS START SYNC'!$E$8:'ASS START SYNC'!E236)=0),MID('ASS START SYNC'!E237,B233+1,C233-B233-1),IF(AND('ASS START SYNC'!C237="SHOW",COUNTA('ASS START SYNC'!$E$8:'ASS START SYNC'!E236)&lt;&gt;0),I232,""))</f>
        <v/>
      </c>
      <c r="I233" s="24" t="str">
        <f>IF('ASS START SYNC'!C237="SHOW",MID('ASS START SYNC'!E237,C233+1,D233-C233-1),I232)</f>
        <v/>
      </c>
      <c r="J233" s="23" t="str">
        <f>IF('ASS START SYNC'!C237="SHOW",MID('ASS START SYNC'!E237,D233+1,F233-D233+1),"")</f>
        <v/>
      </c>
      <c r="K233" s="23" t="str">
        <f>IF('ASS START SYNC'!C237="SHOW",MID('ASS START SYNC'!E237,F233+2,1000),"")</f>
        <v/>
      </c>
      <c r="M233" s="24"/>
      <c r="N233" s="26">
        <v>230</v>
      </c>
      <c r="O233" s="24" t="str">
        <f>IF('ASS END SYNC'!C237="SHOW",FIND(",",'ASS END SYNC'!E237,1),"")</f>
        <v/>
      </c>
      <c r="P233" s="24" t="str">
        <f>IF('ASS END SYNC'!C237="SHOW",FIND(",",'ASS END SYNC'!E237,O233+1),"")</f>
        <v/>
      </c>
      <c r="Q233" s="24" t="str">
        <f>IF('ASS END SYNC'!C237="SHOW",FIND(",",'ASS END SYNC'!E237,P233+1),"")</f>
        <v/>
      </c>
      <c r="R233" s="25" t="str">
        <f>IF('ASS END SYNC'!C237="SHOW",FIND(",,",'ASS END SYNC'!E237,1),"")</f>
        <v/>
      </c>
      <c r="S233" s="25" t="str">
        <f>IF('ASS END SYNC'!C237="SHOW",FIND(",,",'ASS END SYNC'!E237,R233+1),"")</f>
        <v/>
      </c>
      <c r="T233" s="23" t="str">
        <f>IF('ASS END SYNC'!C237="SHOW",LEFT('ASS END SYNC'!E237,O233),"")</f>
        <v/>
      </c>
      <c r="U233" s="24" t="str">
        <f>IF('ASS END SYNC'!C237="SHOW",MID('ASS END SYNC'!E237,O233+1,P233-O233-1),"")</f>
        <v/>
      </c>
      <c r="V233" s="24" t="str">
        <f>IF(AND('ASS END SYNC'!C237="SHOW",'ASS END SYNC'!C238="SHOW"),U234,IF(AND('ASS END SYNC'!C237="SHOW",'ASS END SYNC'!C238&lt;&gt;"SHOW"),MID('ASS END SYNC'!E237,O233+1,P233-O233-1),""))</f>
        <v/>
      </c>
      <c r="W233" s="23" t="str">
        <f>IF('ASS END SYNC'!C237="SHOW",MID('ASS END SYNC'!E237,Q233+1,S233-Q233+1),"")</f>
        <v/>
      </c>
      <c r="X233" s="23" t="str">
        <f>IF('ASS END SYNC'!C237="SHOW",MID('ASS END SYNC'!E237,S233+2,1000),"")</f>
        <v/>
      </c>
      <c r="Z233" s="24"/>
    </row>
    <row r="234" spans="1:26" x14ac:dyDescent="0.25">
      <c r="A234" s="26">
        <v>231</v>
      </c>
      <c r="B234" s="24" t="str">
        <f>IF('ASS START SYNC'!C238="SHOW",FIND(",",'ASS START SYNC'!E238,1),"")</f>
        <v/>
      </c>
      <c r="C234" s="24" t="str">
        <f>IF('ASS START SYNC'!C238="SHOW",FIND(",",'ASS START SYNC'!E238,B234+1),"")</f>
        <v/>
      </c>
      <c r="D234" s="24" t="str">
        <f>IF('ASS START SYNC'!C238="SHOW",FIND(",",'ASS START SYNC'!E238,C234+1),"")</f>
        <v/>
      </c>
      <c r="E234" s="25" t="str">
        <f>IF('ASS START SYNC'!C238="SHOW",FIND(",,",'ASS START SYNC'!E238,1),"")</f>
        <v/>
      </c>
      <c r="F234" s="25" t="str">
        <f>IF('ASS START SYNC'!C238="SHOW",FIND(",,",'ASS START SYNC'!E238,E234+1),"")</f>
        <v/>
      </c>
      <c r="G234" s="23" t="str">
        <f>IF('ASS START SYNC'!C238="SHOW",LEFT('ASS START SYNC'!E238,B234),"")</f>
        <v/>
      </c>
      <c r="H234" s="24" t="str">
        <f>IF(AND('ASS START SYNC'!C238="SHOW",COUNTA('ASS START SYNC'!$E$8:'ASS START SYNC'!E237)=0),MID('ASS START SYNC'!E238,B234+1,C234-B234-1),IF(AND('ASS START SYNC'!C238="SHOW",COUNTA('ASS START SYNC'!$E$8:'ASS START SYNC'!E237)&lt;&gt;0),I233,""))</f>
        <v/>
      </c>
      <c r="I234" s="24" t="str">
        <f>IF('ASS START SYNC'!C238="SHOW",MID('ASS START SYNC'!E238,C234+1,D234-C234-1),I233)</f>
        <v/>
      </c>
      <c r="J234" s="23" t="str">
        <f>IF('ASS START SYNC'!C238="SHOW",MID('ASS START SYNC'!E238,D234+1,F234-D234+1),"")</f>
        <v/>
      </c>
      <c r="K234" s="23" t="str">
        <f>IF('ASS START SYNC'!C238="SHOW",MID('ASS START SYNC'!E238,F234+2,1000),"")</f>
        <v/>
      </c>
      <c r="M234" s="24"/>
      <c r="N234" s="26">
        <v>231</v>
      </c>
      <c r="O234" s="24" t="str">
        <f>IF('ASS END SYNC'!C238="SHOW",FIND(",",'ASS END SYNC'!E238,1),"")</f>
        <v/>
      </c>
      <c r="P234" s="24" t="str">
        <f>IF('ASS END SYNC'!C238="SHOW",FIND(",",'ASS END SYNC'!E238,O234+1),"")</f>
        <v/>
      </c>
      <c r="Q234" s="24" t="str">
        <f>IF('ASS END SYNC'!C238="SHOW",FIND(",",'ASS END SYNC'!E238,P234+1),"")</f>
        <v/>
      </c>
      <c r="R234" s="25" t="str">
        <f>IF('ASS END SYNC'!C238="SHOW",FIND(",,",'ASS END SYNC'!E238,1),"")</f>
        <v/>
      </c>
      <c r="S234" s="25" t="str">
        <f>IF('ASS END SYNC'!C238="SHOW",FIND(",,",'ASS END SYNC'!E238,R234+1),"")</f>
        <v/>
      </c>
      <c r="T234" s="23" t="str">
        <f>IF('ASS END SYNC'!C238="SHOW",LEFT('ASS END SYNC'!E238,O234),"")</f>
        <v/>
      </c>
      <c r="U234" s="24" t="str">
        <f>IF('ASS END SYNC'!C238="SHOW",MID('ASS END SYNC'!E238,O234+1,P234-O234-1),"")</f>
        <v/>
      </c>
      <c r="V234" s="24" t="str">
        <f>IF(AND('ASS END SYNC'!C238="SHOW",'ASS END SYNC'!C239="SHOW"),U235,IF(AND('ASS END SYNC'!C238="SHOW",'ASS END SYNC'!C239&lt;&gt;"SHOW"),MID('ASS END SYNC'!E238,O234+1,P234-O234-1),""))</f>
        <v/>
      </c>
      <c r="W234" s="23" t="str">
        <f>IF('ASS END SYNC'!C238="SHOW",MID('ASS END SYNC'!E238,Q234+1,S234-Q234+1),"")</f>
        <v/>
      </c>
      <c r="X234" s="23" t="str">
        <f>IF('ASS END SYNC'!C238="SHOW",MID('ASS END SYNC'!E238,S234+2,1000),"")</f>
        <v/>
      </c>
      <c r="Z234" s="24"/>
    </row>
    <row r="235" spans="1:26" x14ac:dyDescent="0.25">
      <c r="A235" s="26">
        <v>232</v>
      </c>
      <c r="B235" s="24" t="str">
        <f>IF('ASS START SYNC'!C239="SHOW",FIND(",",'ASS START SYNC'!E239,1),"")</f>
        <v/>
      </c>
      <c r="C235" s="24" t="str">
        <f>IF('ASS START SYNC'!C239="SHOW",FIND(",",'ASS START SYNC'!E239,B235+1),"")</f>
        <v/>
      </c>
      <c r="D235" s="24" t="str">
        <f>IF('ASS START SYNC'!C239="SHOW",FIND(",",'ASS START SYNC'!E239,C235+1),"")</f>
        <v/>
      </c>
      <c r="E235" s="25" t="str">
        <f>IF('ASS START SYNC'!C239="SHOW",FIND(",,",'ASS START SYNC'!E239,1),"")</f>
        <v/>
      </c>
      <c r="F235" s="25" t="str">
        <f>IF('ASS START SYNC'!C239="SHOW",FIND(",,",'ASS START SYNC'!E239,E235+1),"")</f>
        <v/>
      </c>
      <c r="G235" s="23" t="str">
        <f>IF('ASS START SYNC'!C239="SHOW",LEFT('ASS START SYNC'!E239,B235),"")</f>
        <v/>
      </c>
      <c r="H235" s="24" t="str">
        <f>IF(AND('ASS START SYNC'!C239="SHOW",COUNTA('ASS START SYNC'!$E$8:'ASS START SYNC'!E238)=0),MID('ASS START SYNC'!E239,B235+1,C235-B235-1),IF(AND('ASS START SYNC'!C239="SHOW",COUNTA('ASS START SYNC'!$E$8:'ASS START SYNC'!E238)&lt;&gt;0),I234,""))</f>
        <v/>
      </c>
      <c r="I235" s="24" t="str">
        <f>IF('ASS START SYNC'!C239="SHOW",MID('ASS START SYNC'!E239,C235+1,D235-C235-1),I234)</f>
        <v/>
      </c>
      <c r="J235" s="23" t="str">
        <f>IF('ASS START SYNC'!C239="SHOW",MID('ASS START SYNC'!E239,D235+1,F235-D235+1),"")</f>
        <v/>
      </c>
      <c r="K235" s="23" t="str">
        <f>IF('ASS START SYNC'!C239="SHOW",MID('ASS START SYNC'!E239,F235+2,1000),"")</f>
        <v/>
      </c>
      <c r="M235" s="24"/>
      <c r="N235" s="26">
        <v>232</v>
      </c>
      <c r="O235" s="24" t="str">
        <f>IF('ASS END SYNC'!C239="SHOW",FIND(",",'ASS END SYNC'!E239,1),"")</f>
        <v/>
      </c>
      <c r="P235" s="24" t="str">
        <f>IF('ASS END SYNC'!C239="SHOW",FIND(",",'ASS END SYNC'!E239,O235+1),"")</f>
        <v/>
      </c>
      <c r="Q235" s="24" t="str">
        <f>IF('ASS END SYNC'!C239="SHOW",FIND(",",'ASS END SYNC'!E239,P235+1),"")</f>
        <v/>
      </c>
      <c r="R235" s="25" t="str">
        <f>IF('ASS END SYNC'!C239="SHOW",FIND(",,",'ASS END SYNC'!E239,1),"")</f>
        <v/>
      </c>
      <c r="S235" s="25" t="str">
        <f>IF('ASS END SYNC'!C239="SHOW",FIND(",,",'ASS END SYNC'!E239,R235+1),"")</f>
        <v/>
      </c>
      <c r="T235" s="23" t="str">
        <f>IF('ASS END SYNC'!C239="SHOW",LEFT('ASS END SYNC'!E239,O235),"")</f>
        <v/>
      </c>
      <c r="U235" s="24" t="str">
        <f>IF('ASS END SYNC'!C239="SHOW",MID('ASS END SYNC'!E239,O235+1,P235-O235-1),"")</f>
        <v/>
      </c>
      <c r="V235" s="24" t="str">
        <f>IF(AND('ASS END SYNC'!C239="SHOW",'ASS END SYNC'!C240="SHOW"),U236,IF(AND('ASS END SYNC'!C239="SHOW",'ASS END SYNC'!C240&lt;&gt;"SHOW"),MID('ASS END SYNC'!E239,O235+1,P235-O235-1),""))</f>
        <v/>
      </c>
      <c r="W235" s="23" t="str">
        <f>IF('ASS END SYNC'!C239="SHOW",MID('ASS END SYNC'!E239,Q235+1,S235-Q235+1),"")</f>
        <v/>
      </c>
      <c r="X235" s="23" t="str">
        <f>IF('ASS END SYNC'!C239="SHOW",MID('ASS END SYNC'!E239,S235+2,1000),"")</f>
        <v/>
      </c>
      <c r="Z235" s="24"/>
    </row>
    <row r="236" spans="1:26" x14ac:dyDescent="0.25">
      <c r="A236" s="26">
        <v>233</v>
      </c>
      <c r="B236" s="24" t="str">
        <f>IF('ASS START SYNC'!C240="SHOW",FIND(",",'ASS START SYNC'!E240,1),"")</f>
        <v/>
      </c>
      <c r="C236" s="24" t="str">
        <f>IF('ASS START SYNC'!C240="SHOW",FIND(",",'ASS START SYNC'!E240,B236+1),"")</f>
        <v/>
      </c>
      <c r="D236" s="24" t="str">
        <f>IF('ASS START SYNC'!C240="SHOW",FIND(",",'ASS START SYNC'!E240,C236+1),"")</f>
        <v/>
      </c>
      <c r="E236" s="25" t="str">
        <f>IF('ASS START SYNC'!C240="SHOW",FIND(",,",'ASS START SYNC'!E240,1),"")</f>
        <v/>
      </c>
      <c r="F236" s="25" t="str">
        <f>IF('ASS START SYNC'!C240="SHOW",FIND(",,",'ASS START SYNC'!E240,E236+1),"")</f>
        <v/>
      </c>
      <c r="G236" s="23" t="str">
        <f>IF('ASS START SYNC'!C240="SHOW",LEFT('ASS START SYNC'!E240,B236),"")</f>
        <v/>
      </c>
      <c r="H236" s="24" t="str">
        <f>IF(AND('ASS START SYNC'!C240="SHOW",COUNTA('ASS START SYNC'!$E$8:'ASS START SYNC'!E239)=0),MID('ASS START SYNC'!E240,B236+1,C236-B236-1),IF(AND('ASS START SYNC'!C240="SHOW",COUNTA('ASS START SYNC'!$E$8:'ASS START SYNC'!E239)&lt;&gt;0),I235,""))</f>
        <v/>
      </c>
      <c r="I236" s="24" t="str">
        <f>IF('ASS START SYNC'!C240="SHOW",MID('ASS START SYNC'!E240,C236+1,D236-C236-1),I235)</f>
        <v/>
      </c>
      <c r="J236" s="23" t="str">
        <f>IF('ASS START SYNC'!C240="SHOW",MID('ASS START SYNC'!E240,D236+1,F236-D236+1),"")</f>
        <v/>
      </c>
      <c r="K236" s="23" t="str">
        <f>IF('ASS START SYNC'!C240="SHOW",MID('ASS START SYNC'!E240,F236+2,1000),"")</f>
        <v/>
      </c>
      <c r="M236" s="24"/>
      <c r="N236" s="26">
        <v>233</v>
      </c>
      <c r="O236" s="24" t="str">
        <f>IF('ASS END SYNC'!C240="SHOW",FIND(",",'ASS END SYNC'!E240,1),"")</f>
        <v/>
      </c>
      <c r="P236" s="24" t="str">
        <f>IF('ASS END SYNC'!C240="SHOW",FIND(",",'ASS END SYNC'!E240,O236+1),"")</f>
        <v/>
      </c>
      <c r="Q236" s="24" t="str">
        <f>IF('ASS END SYNC'!C240="SHOW",FIND(",",'ASS END SYNC'!E240,P236+1),"")</f>
        <v/>
      </c>
      <c r="R236" s="25" t="str">
        <f>IF('ASS END SYNC'!C240="SHOW",FIND(",,",'ASS END SYNC'!E240,1),"")</f>
        <v/>
      </c>
      <c r="S236" s="25" t="str">
        <f>IF('ASS END SYNC'!C240="SHOW",FIND(",,",'ASS END SYNC'!E240,R236+1),"")</f>
        <v/>
      </c>
      <c r="T236" s="23" t="str">
        <f>IF('ASS END SYNC'!C240="SHOW",LEFT('ASS END SYNC'!E240,O236),"")</f>
        <v/>
      </c>
      <c r="U236" s="24" t="str">
        <f>IF('ASS END SYNC'!C240="SHOW",MID('ASS END SYNC'!E240,O236+1,P236-O236-1),"")</f>
        <v/>
      </c>
      <c r="V236" s="24" t="str">
        <f>IF(AND('ASS END SYNC'!C240="SHOW",'ASS END SYNC'!C241="SHOW"),U237,IF(AND('ASS END SYNC'!C240="SHOW",'ASS END SYNC'!C241&lt;&gt;"SHOW"),MID('ASS END SYNC'!E240,O236+1,P236-O236-1),""))</f>
        <v/>
      </c>
      <c r="W236" s="23" t="str">
        <f>IF('ASS END SYNC'!C240="SHOW",MID('ASS END SYNC'!E240,Q236+1,S236-Q236+1),"")</f>
        <v/>
      </c>
      <c r="X236" s="23" t="str">
        <f>IF('ASS END SYNC'!C240="SHOW",MID('ASS END SYNC'!E240,S236+2,1000),"")</f>
        <v/>
      </c>
      <c r="Z236" s="24"/>
    </row>
    <row r="237" spans="1:26" x14ac:dyDescent="0.25">
      <c r="A237" s="26">
        <v>234</v>
      </c>
      <c r="B237" s="24" t="str">
        <f>IF('ASS START SYNC'!C241="SHOW",FIND(",",'ASS START SYNC'!E241,1),"")</f>
        <v/>
      </c>
      <c r="C237" s="24" t="str">
        <f>IF('ASS START SYNC'!C241="SHOW",FIND(",",'ASS START SYNC'!E241,B237+1),"")</f>
        <v/>
      </c>
      <c r="D237" s="24" t="str">
        <f>IF('ASS START SYNC'!C241="SHOW",FIND(",",'ASS START SYNC'!E241,C237+1),"")</f>
        <v/>
      </c>
      <c r="E237" s="25" t="str">
        <f>IF('ASS START SYNC'!C241="SHOW",FIND(",,",'ASS START SYNC'!E241,1),"")</f>
        <v/>
      </c>
      <c r="F237" s="25" t="str">
        <f>IF('ASS START SYNC'!C241="SHOW",FIND(",,",'ASS START SYNC'!E241,E237+1),"")</f>
        <v/>
      </c>
      <c r="G237" s="23" t="str">
        <f>IF('ASS START SYNC'!C241="SHOW",LEFT('ASS START SYNC'!E241,B237),"")</f>
        <v/>
      </c>
      <c r="H237" s="24" t="str">
        <f>IF(AND('ASS START SYNC'!C241="SHOW",COUNTA('ASS START SYNC'!$E$8:'ASS START SYNC'!E240)=0),MID('ASS START SYNC'!E241,B237+1,C237-B237-1),IF(AND('ASS START SYNC'!C241="SHOW",COUNTA('ASS START SYNC'!$E$8:'ASS START SYNC'!E240)&lt;&gt;0),I236,""))</f>
        <v/>
      </c>
      <c r="I237" s="24" t="str">
        <f>IF('ASS START SYNC'!C241="SHOW",MID('ASS START SYNC'!E241,C237+1,D237-C237-1),I236)</f>
        <v/>
      </c>
      <c r="J237" s="23" t="str">
        <f>IF('ASS START SYNC'!C241="SHOW",MID('ASS START SYNC'!E241,D237+1,F237-D237+1),"")</f>
        <v/>
      </c>
      <c r="K237" s="23" t="str">
        <f>IF('ASS START SYNC'!C241="SHOW",MID('ASS START SYNC'!E241,F237+2,1000),"")</f>
        <v/>
      </c>
      <c r="M237" s="24"/>
      <c r="N237" s="26">
        <v>234</v>
      </c>
      <c r="O237" s="24" t="str">
        <f>IF('ASS END SYNC'!C241="SHOW",FIND(",",'ASS END SYNC'!E241,1),"")</f>
        <v/>
      </c>
      <c r="P237" s="24" t="str">
        <f>IF('ASS END SYNC'!C241="SHOW",FIND(",",'ASS END SYNC'!E241,O237+1),"")</f>
        <v/>
      </c>
      <c r="Q237" s="24" t="str">
        <f>IF('ASS END SYNC'!C241="SHOW",FIND(",",'ASS END SYNC'!E241,P237+1),"")</f>
        <v/>
      </c>
      <c r="R237" s="25" t="str">
        <f>IF('ASS END SYNC'!C241="SHOW",FIND(",,",'ASS END SYNC'!E241,1),"")</f>
        <v/>
      </c>
      <c r="S237" s="25" t="str">
        <f>IF('ASS END SYNC'!C241="SHOW",FIND(",,",'ASS END SYNC'!E241,R237+1),"")</f>
        <v/>
      </c>
      <c r="T237" s="23" t="str">
        <f>IF('ASS END SYNC'!C241="SHOW",LEFT('ASS END SYNC'!E241,O237),"")</f>
        <v/>
      </c>
      <c r="U237" s="24" t="str">
        <f>IF('ASS END SYNC'!C241="SHOW",MID('ASS END SYNC'!E241,O237+1,P237-O237-1),"")</f>
        <v/>
      </c>
      <c r="V237" s="24" t="str">
        <f>IF(AND('ASS END SYNC'!C241="SHOW",'ASS END SYNC'!C242="SHOW"),U238,IF(AND('ASS END SYNC'!C241="SHOW",'ASS END SYNC'!C242&lt;&gt;"SHOW"),MID('ASS END SYNC'!E241,O237+1,P237-O237-1),""))</f>
        <v/>
      </c>
      <c r="W237" s="23" t="str">
        <f>IF('ASS END SYNC'!C241="SHOW",MID('ASS END SYNC'!E241,Q237+1,S237-Q237+1),"")</f>
        <v/>
      </c>
      <c r="X237" s="23" t="str">
        <f>IF('ASS END SYNC'!C241="SHOW",MID('ASS END SYNC'!E241,S237+2,1000),"")</f>
        <v/>
      </c>
      <c r="Z237" s="24"/>
    </row>
    <row r="238" spans="1:26" x14ac:dyDescent="0.25">
      <c r="A238" s="26">
        <v>235</v>
      </c>
      <c r="B238" s="24" t="str">
        <f>IF('ASS START SYNC'!C242="SHOW",FIND(",",'ASS START SYNC'!E242,1),"")</f>
        <v/>
      </c>
      <c r="C238" s="24" t="str">
        <f>IF('ASS START SYNC'!C242="SHOW",FIND(",",'ASS START SYNC'!E242,B238+1),"")</f>
        <v/>
      </c>
      <c r="D238" s="24" t="str">
        <f>IF('ASS START SYNC'!C242="SHOW",FIND(",",'ASS START SYNC'!E242,C238+1),"")</f>
        <v/>
      </c>
      <c r="E238" s="25" t="str">
        <f>IF('ASS START SYNC'!C242="SHOW",FIND(",,",'ASS START SYNC'!E242,1),"")</f>
        <v/>
      </c>
      <c r="F238" s="25" t="str">
        <f>IF('ASS START SYNC'!C242="SHOW",FIND(",,",'ASS START SYNC'!E242,E238+1),"")</f>
        <v/>
      </c>
      <c r="G238" s="23" t="str">
        <f>IF('ASS START SYNC'!C242="SHOW",LEFT('ASS START SYNC'!E242,B238),"")</f>
        <v/>
      </c>
      <c r="H238" s="24" t="str">
        <f>IF(AND('ASS START SYNC'!C242="SHOW",COUNTA('ASS START SYNC'!$E$8:'ASS START SYNC'!E241)=0),MID('ASS START SYNC'!E242,B238+1,C238-B238-1),IF(AND('ASS START SYNC'!C242="SHOW",COUNTA('ASS START SYNC'!$E$8:'ASS START SYNC'!E241)&lt;&gt;0),I237,""))</f>
        <v/>
      </c>
      <c r="I238" s="24" t="str">
        <f>IF('ASS START SYNC'!C242="SHOW",MID('ASS START SYNC'!E242,C238+1,D238-C238-1),I237)</f>
        <v/>
      </c>
      <c r="J238" s="23" t="str">
        <f>IF('ASS START SYNC'!C242="SHOW",MID('ASS START SYNC'!E242,D238+1,F238-D238+1),"")</f>
        <v/>
      </c>
      <c r="K238" s="23" t="str">
        <f>IF('ASS START SYNC'!C242="SHOW",MID('ASS START SYNC'!E242,F238+2,1000),"")</f>
        <v/>
      </c>
      <c r="M238" s="24"/>
      <c r="N238" s="26">
        <v>235</v>
      </c>
      <c r="O238" s="24" t="str">
        <f>IF('ASS END SYNC'!C242="SHOW",FIND(",",'ASS END SYNC'!E242,1),"")</f>
        <v/>
      </c>
      <c r="P238" s="24" t="str">
        <f>IF('ASS END SYNC'!C242="SHOW",FIND(",",'ASS END SYNC'!E242,O238+1),"")</f>
        <v/>
      </c>
      <c r="Q238" s="24" t="str">
        <f>IF('ASS END SYNC'!C242="SHOW",FIND(",",'ASS END SYNC'!E242,P238+1),"")</f>
        <v/>
      </c>
      <c r="R238" s="25" t="str">
        <f>IF('ASS END SYNC'!C242="SHOW",FIND(",,",'ASS END SYNC'!E242,1),"")</f>
        <v/>
      </c>
      <c r="S238" s="25" t="str">
        <f>IF('ASS END SYNC'!C242="SHOW",FIND(",,",'ASS END SYNC'!E242,R238+1),"")</f>
        <v/>
      </c>
      <c r="T238" s="23" t="str">
        <f>IF('ASS END SYNC'!C242="SHOW",LEFT('ASS END SYNC'!E242,O238),"")</f>
        <v/>
      </c>
      <c r="U238" s="24" t="str">
        <f>IF('ASS END SYNC'!C242="SHOW",MID('ASS END SYNC'!E242,O238+1,P238-O238-1),"")</f>
        <v/>
      </c>
      <c r="V238" s="24" t="str">
        <f>IF(AND('ASS END SYNC'!C242="SHOW",'ASS END SYNC'!C243="SHOW"),U239,IF(AND('ASS END SYNC'!C242="SHOW",'ASS END SYNC'!C243&lt;&gt;"SHOW"),MID('ASS END SYNC'!E242,O238+1,P238-O238-1),""))</f>
        <v/>
      </c>
      <c r="W238" s="23" t="str">
        <f>IF('ASS END SYNC'!C242="SHOW",MID('ASS END SYNC'!E242,Q238+1,S238-Q238+1),"")</f>
        <v/>
      </c>
      <c r="X238" s="23" t="str">
        <f>IF('ASS END SYNC'!C242="SHOW",MID('ASS END SYNC'!E242,S238+2,1000),"")</f>
        <v/>
      </c>
      <c r="Z238" s="24"/>
    </row>
    <row r="239" spans="1:26" x14ac:dyDescent="0.25">
      <c r="A239" s="26">
        <v>236</v>
      </c>
      <c r="B239" s="24" t="str">
        <f>IF('ASS START SYNC'!C243="SHOW",FIND(",",'ASS START SYNC'!E243,1),"")</f>
        <v/>
      </c>
      <c r="C239" s="24" t="str">
        <f>IF('ASS START SYNC'!C243="SHOW",FIND(",",'ASS START SYNC'!E243,B239+1),"")</f>
        <v/>
      </c>
      <c r="D239" s="24" t="str">
        <f>IF('ASS START SYNC'!C243="SHOW",FIND(",",'ASS START SYNC'!E243,C239+1),"")</f>
        <v/>
      </c>
      <c r="E239" s="25" t="str">
        <f>IF('ASS START SYNC'!C243="SHOW",FIND(",,",'ASS START SYNC'!E243,1),"")</f>
        <v/>
      </c>
      <c r="F239" s="25" t="str">
        <f>IF('ASS START SYNC'!C243="SHOW",FIND(",,",'ASS START SYNC'!E243,E239+1),"")</f>
        <v/>
      </c>
      <c r="G239" s="23" t="str">
        <f>IF('ASS START SYNC'!C243="SHOW",LEFT('ASS START SYNC'!E243,B239),"")</f>
        <v/>
      </c>
      <c r="H239" s="24" t="str">
        <f>IF(AND('ASS START SYNC'!C243="SHOW",COUNTA('ASS START SYNC'!$E$8:'ASS START SYNC'!E242)=0),MID('ASS START SYNC'!E243,B239+1,C239-B239-1),IF(AND('ASS START SYNC'!C243="SHOW",COUNTA('ASS START SYNC'!$E$8:'ASS START SYNC'!E242)&lt;&gt;0),I238,""))</f>
        <v/>
      </c>
      <c r="I239" s="24" t="str">
        <f>IF('ASS START SYNC'!C243="SHOW",MID('ASS START SYNC'!E243,C239+1,D239-C239-1),I238)</f>
        <v/>
      </c>
      <c r="J239" s="23" t="str">
        <f>IF('ASS START SYNC'!C243="SHOW",MID('ASS START SYNC'!E243,D239+1,F239-D239+1),"")</f>
        <v/>
      </c>
      <c r="K239" s="23" t="str">
        <f>IF('ASS START SYNC'!C243="SHOW",MID('ASS START SYNC'!E243,F239+2,1000),"")</f>
        <v/>
      </c>
      <c r="M239" s="24"/>
      <c r="N239" s="26">
        <v>236</v>
      </c>
      <c r="O239" s="24" t="str">
        <f>IF('ASS END SYNC'!C243="SHOW",FIND(",",'ASS END SYNC'!E243,1),"")</f>
        <v/>
      </c>
      <c r="P239" s="24" t="str">
        <f>IF('ASS END SYNC'!C243="SHOW",FIND(",",'ASS END SYNC'!E243,O239+1),"")</f>
        <v/>
      </c>
      <c r="Q239" s="24" t="str">
        <f>IF('ASS END SYNC'!C243="SHOW",FIND(",",'ASS END SYNC'!E243,P239+1),"")</f>
        <v/>
      </c>
      <c r="R239" s="25" t="str">
        <f>IF('ASS END SYNC'!C243="SHOW",FIND(",,",'ASS END SYNC'!E243,1),"")</f>
        <v/>
      </c>
      <c r="S239" s="25" t="str">
        <f>IF('ASS END SYNC'!C243="SHOW",FIND(",,",'ASS END SYNC'!E243,R239+1),"")</f>
        <v/>
      </c>
      <c r="T239" s="23" t="str">
        <f>IF('ASS END SYNC'!C243="SHOW",LEFT('ASS END SYNC'!E243,O239),"")</f>
        <v/>
      </c>
      <c r="U239" s="24" t="str">
        <f>IF('ASS END SYNC'!C243="SHOW",MID('ASS END SYNC'!E243,O239+1,P239-O239-1),"")</f>
        <v/>
      </c>
      <c r="V239" s="24" t="str">
        <f>IF(AND('ASS END SYNC'!C243="SHOW",'ASS END SYNC'!C244="SHOW"),U240,IF(AND('ASS END SYNC'!C243="SHOW",'ASS END SYNC'!C244&lt;&gt;"SHOW"),MID('ASS END SYNC'!E243,O239+1,P239-O239-1),""))</f>
        <v/>
      </c>
      <c r="W239" s="23" t="str">
        <f>IF('ASS END SYNC'!C243="SHOW",MID('ASS END SYNC'!E243,Q239+1,S239-Q239+1),"")</f>
        <v/>
      </c>
      <c r="X239" s="23" t="str">
        <f>IF('ASS END SYNC'!C243="SHOW",MID('ASS END SYNC'!E243,S239+2,1000),"")</f>
        <v/>
      </c>
      <c r="Z239" s="24"/>
    </row>
    <row r="240" spans="1:26" x14ac:dyDescent="0.25">
      <c r="A240" s="26">
        <v>237</v>
      </c>
      <c r="B240" s="24" t="str">
        <f>IF('ASS START SYNC'!C244="SHOW",FIND(",",'ASS START SYNC'!E244,1),"")</f>
        <v/>
      </c>
      <c r="C240" s="24" t="str">
        <f>IF('ASS START SYNC'!C244="SHOW",FIND(",",'ASS START SYNC'!E244,B240+1),"")</f>
        <v/>
      </c>
      <c r="D240" s="24" t="str">
        <f>IF('ASS START SYNC'!C244="SHOW",FIND(",",'ASS START SYNC'!E244,C240+1),"")</f>
        <v/>
      </c>
      <c r="E240" s="25" t="str">
        <f>IF('ASS START SYNC'!C244="SHOW",FIND(",,",'ASS START SYNC'!E244,1),"")</f>
        <v/>
      </c>
      <c r="F240" s="25" t="str">
        <f>IF('ASS START SYNC'!C244="SHOW",FIND(",,",'ASS START SYNC'!E244,E240+1),"")</f>
        <v/>
      </c>
      <c r="G240" s="23" t="str">
        <f>IF('ASS START SYNC'!C244="SHOW",LEFT('ASS START SYNC'!E244,B240),"")</f>
        <v/>
      </c>
      <c r="H240" s="24" t="str">
        <f>IF(AND('ASS START SYNC'!C244="SHOW",COUNTA('ASS START SYNC'!$E$8:'ASS START SYNC'!E243)=0),MID('ASS START SYNC'!E244,B240+1,C240-B240-1),IF(AND('ASS START SYNC'!C244="SHOW",COUNTA('ASS START SYNC'!$E$8:'ASS START SYNC'!E243)&lt;&gt;0),I239,""))</f>
        <v/>
      </c>
      <c r="I240" s="24" t="str">
        <f>IF('ASS START SYNC'!C244="SHOW",MID('ASS START SYNC'!E244,C240+1,D240-C240-1),I239)</f>
        <v/>
      </c>
      <c r="J240" s="23" t="str">
        <f>IF('ASS START SYNC'!C244="SHOW",MID('ASS START SYNC'!E244,D240+1,F240-D240+1),"")</f>
        <v/>
      </c>
      <c r="K240" s="23" t="str">
        <f>IF('ASS START SYNC'!C244="SHOW",MID('ASS START SYNC'!E244,F240+2,1000),"")</f>
        <v/>
      </c>
      <c r="M240" s="24"/>
      <c r="N240" s="26">
        <v>237</v>
      </c>
      <c r="O240" s="24" t="str">
        <f>IF('ASS END SYNC'!C244="SHOW",FIND(",",'ASS END SYNC'!E244,1),"")</f>
        <v/>
      </c>
      <c r="P240" s="24" t="str">
        <f>IF('ASS END SYNC'!C244="SHOW",FIND(",",'ASS END SYNC'!E244,O240+1),"")</f>
        <v/>
      </c>
      <c r="Q240" s="24" t="str">
        <f>IF('ASS END SYNC'!C244="SHOW",FIND(",",'ASS END SYNC'!E244,P240+1),"")</f>
        <v/>
      </c>
      <c r="R240" s="25" t="str">
        <f>IF('ASS END SYNC'!C244="SHOW",FIND(",,",'ASS END SYNC'!E244,1),"")</f>
        <v/>
      </c>
      <c r="S240" s="25" t="str">
        <f>IF('ASS END SYNC'!C244="SHOW",FIND(",,",'ASS END SYNC'!E244,R240+1),"")</f>
        <v/>
      </c>
      <c r="T240" s="23" t="str">
        <f>IF('ASS END SYNC'!C244="SHOW",LEFT('ASS END SYNC'!E244,O240),"")</f>
        <v/>
      </c>
      <c r="U240" s="24" t="str">
        <f>IF('ASS END SYNC'!C244="SHOW",MID('ASS END SYNC'!E244,O240+1,P240-O240-1),"")</f>
        <v/>
      </c>
      <c r="V240" s="24" t="str">
        <f>IF(AND('ASS END SYNC'!C244="SHOW",'ASS END SYNC'!C245="SHOW"),U241,IF(AND('ASS END SYNC'!C244="SHOW",'ASS END SYNC'!C245&lt;&gt;"SHOW"),MID('ASS END SYNC'!E244,O240+1,P240-O240-1),""))</f>
        <v/>
      </c>
      <c r="W240" s="23" t="str">
        <f>IF('ASS END SYNC'!C244="SHOW",MID('ASS END SYNC'!E244,Q240+1,S240-Q240+1),"")</f>
        <v/>
      </c>
      <c r="X240" s="23" t="str">
        <f>IF('ASS END SYNC'!C244="SHOW",MID('ASS END SYNC'!E244,S240+2,1000),"")</f>
        <v/>
      </c>
      <c r="Z240" s="24"/>
    </row>
    <row r="241" spans="1:26" x14ac:dyDescent="0.25">
      <c r="A241" s="26">
        <v>238</v>
      </c>
      <c r="B241" s="24" t="str">
        <f>IF('ASS START SYNC'!C245="SHOW",FIND(",",'ASS START SYNC'!E245,1),"")</f>
        <v/>
      </c>
      <c r="C241" s="24" t="str">
        <f>IF('ASS START SYNC'!C245="SHOW",FIND(",",'ASS START SYNC'!E245,B241+1),"")</f>
        <v/>
      </c>
      <c r="D241" s="24" t="str">
        <f>IF('ASS START SYNC'!C245="SHOW",FIND(",",'ASS START SYNC'!E245,C241+1),"")</f>
        <v/>
      </c>
      <c r="E241" s="25" t="str">
        <f>IF('ASS START SYNC'!C245="SHOW",FIND(",,",'ASS START SYNC'!E245,1),"")</f>
        <v/>
      </c>
      <c r="F241" s="25" t="str">
        <f>IF('ASS START SYNC'!C245="SHOW",FIND(",,",'ASS START SYNC'!E245,E241+1),"")</f>
        <v/>
      </c>
      <c r="G241" s="23" t="str">
        <f>IF('ASS START SYNC'!C245="SHOW",LEFT('ASS START SYNC'!E245,B241),"")</f>
        <v/>
      </c>
      <c r="H241" s="24" t="str">
        <f>IF(AND('ASS START SYNC'!C245="SHOW",COUNTA('ASS START SYNC'!$E$8:'ASS START SYNC'!E244)=0),MID('ASS START SYNC'!E245,B241+1,C241-B241-1),IF(AND('ASS START SYNC'!C245="SHOW",COUNTA('ASS START SYNC'!$E$8:'ASS START SYNC'!E244)&lt;&gt;0),I240,""))</f>
        <v/>
      </c>
      <c r="I241" s="24" t="str">
        <f>IF('ASS START SYNC'!C245="SHOW",MID('ASS START SYNC'!E245,C241+1,D241-C241-1),I240)</f>
        <v/>
      </c>
      <c r="J241" s="23" t="str">
        <f>IF('ASS START SYNC'!C245="SHOW",MID('ASS START SYNC'!E245,D241+1,F241-D241+1),"")</f>
        <v/>
      </c>
      <c r="K241" s="23" t="str">
        <f>IF('ASS START SYNC'!C245="SHOW",MID('ASS START SYNC'!E245,F241+2,1000),"")</f>
        <v/>
      </c>
      <c r="M241" s="24"/>
      <c r="N241" s="26">
        <v>238</v>
      </c>
      <c r="O241" s="24" t="str">
        <f>IF('ASS END SYNC'!C245="SHOW",FIND(",",'ASS END SYNC'!E245,1),"")</f>
        <v/>
      </c>
      <c r="P241" s="24" t="str">
        <f>IF('ASS END SYNC'!C245="SHOW",FIND(",",'ASS END SYNC'!E245,O241+1),"")</f>
        <v/>
      </c>
      <c r="Q241" s="24" t="str">
        <f>IF('ASS END SYNC'!C245="SHOW",FIND(",",'ASS END SYNC'!E245,P241+1),"")</f>
        <v/>
      </c>
      <c r="R241" s="25" t="str">
        <f>IF('ASS END SYNC'!C245="SHOW",FIND(",,",'ASS END SYNC'!E245,1),"")</f>
        <v/>
      </c>
      <c r="S241" s="25" t="str">
        <f>IF('ASS END SYNC'!C245="SHOW",FIND(",,",'ASS END SYNC'!E245,R241+1),"")</f>
        <v/>
      </c>
      <c r="T241" s="23" t="str">
        <f>IF('ASS END SYNC'!C245="SHOW",LEFT('ASS END SYNC'!E245,O241),"")</f>
        <v/>
      </c>
      <c r="U241" s="24" t="str">
        <f>IF('ASS END SYNC'!C245="SHOW",MID('ASS END SYNC'!E245,O241+1,P241-O241-1),"")</f>
        <v/>
      </c>
      <c r="V241" s="24" t="str">
        <f>IF(AND('ASS END SYNC'!C245="SHOW",'ASS END SYNC'!C246="SHOW"),U242,IF(AND('ASS END SYNC'!C245="SHOW",'ASS END SYNC'!C246&lt;&gt;"SHOW"),MID('ASS END SYNC'!E245,O241+1,P241-O241-1),""))</f>
        <v/>
      </c>
      <c r="W241" s="23" t="str">
        <f>IF('ASS END SYNC'!C245="SHOW",MID('ASS END SYNC'!E245,Q241+1,S241-Q241+1),"")</f>
        <v/>
      </c>
      <c r="X241" s="23" t="str">
        <f>IF('ASS END SYNC'!C245="SHOW",MID('ASS END SYNC'!E245,S241+2,1000),"")</f>
        <v/>
      </c>
      <c r="Z241" s="24"/>
    </row>
    <row r="242" spans="1:26" x14ac:dyDescent="0.25">
      <c r="A242" s="26">
        <v>239</v>
      </c>
      <c r="B242" s="24" t="str">
        <f>IF('ASS START SYNC'!C246="SHOW",FIND(",",'ASS START SYNC'!E246,1),"")</f>
        <v/>
      </c>
      <c r="C242" s="24" t="str">
        <f>IF('ASS START SYNC'!C246="SHOW",FIND(",",'ASS START SYNC'!E246,B242+1),"")</f>
        <v/>
      </c>
      <c r="D242" s="24" t="str">
        <f>IF('ASS START SYNC'!C246="SHOW",FIND(",",'ASS START SYNC'!E246,C242+1),"")</f>
        <v/>
      </c>
      <c r="E242" s="25" t="str">
        <f>IF('ASS START SYNC'!C246="SHOW",FIND(",,",'ASS START SYNC'!E246,1),"")</f>
        <v/>
      </c>
      <c r="F242" s="25" t="str">
        <f>IF('ASS START SYNC'!C246="SHOW",FIND(",,",'ASS START SYNC'!E246,E242+1),"")</f>
        <v/>
      </c>
      <c r="G242" s="23" t="str">
        <f>IF('ASS START SYNC'!C246="SHOW",LEFT('ASS START SYNC'!E246,B242),"")</f>
        <v/>
      </c>
      <c r="H242" s="24" t="str">
        <f>IF(AND('ASS START SYNC'!C246="SHOW",COUNTA('ASS START SYNC'!$E$8:'ASS START SYNC'!E245)=0),MID('ASS START SYNC'!E246,B242+1,C242-B242-1),IF(AND('ASS START SYNC'!C246="SHOW",COUNTA('ASS START SYNC'!$E$8:'ASS START SYNC'!E245)&lt;&gt;0),I241,""))</f>
        <v/>
      </c>
      <c r="I242" s="24" t="str">
        <f>IF('ASS START SYNC'!C246="SHOW",MID('ASS START SYNC'!E246,C242+1,D242-C242-1),I241)</f>
        <v/>
      </c>
      <c r="J242" s="23" t="str">
        <f>IF('ASS START SYNC'!C246="SHOW",MID('ASS START SYNC'!E246,D242+1,F242-D242+1),"")</f>
        <v/>
      </c>
      <c r="K242" s="23" t="str">
        <f>IF('ASS START SYNC'!C246="SHOW",MID('ASS START SYNC'!E246,F242+2,1000),"")</f>
        <v/>
      </c>
      <c r="M242" s="24"/>
      <c r="N242" s="26">
        <v>239</v>
      </c>
      <c r="O242" s="24" t="str">
        <f>IF('ASS END SYNC'!C246="SHOW",FIND(",",'ASS END SYNC'!E246,1),"")</f>
        <v/>
      </c>
      <c r="P242" s="24" t="str">
        <f>IF('ASS END SYNC'!C246="SHOW",FIND(",",'ASS END SYNC'!E246,O242+1),"")</f>
        <v/>
      </c>
      <c r="Q242" s="24" t="str">
        <f>IF('ASS END SYNC'!C246="SHOW",FIND(",",'ASS END SYNC'!E246,P242+1),"")</f>
        <v/>
      </c>
      <c r="R242" s="25" t="str">
        <f>IF('ASS END SYNC'!C246="SHOW",FIND(",,",'ASS END SYNC'!E246,1),"")</f>
        <v/>
      </c>
      <c r="S242" s="25" t="str">
        <f>IF('ASS END SYNC'!C246="SHOW",FIND(",,",'ASS END SYNC'!E246,R242+1),"")</f>
        <v/>
      </c>
      <c r="T242" s="23" t="str">
        <f>IF('ASS END SYNC'!C246="SHOW",LEFT('ASS END SYNC'!E246,O242),"")</f>
        <v/>
      </c>
      <c r="U242" s="24" t="str">
        <f>IF('ASS END SYNC'!C246="SHOW",MID('ASS END SYNC'!E246,O242+1,P242-O242-1),"")</f>
        <v/>
      </c>
      <c r="V242" s="24" t="str">
        <f>IF(AND('ASS END SYNC'!C246="SHOW",'ASS END SYNC'!C247="SHOW"),U243,IF(AND('ASS END SYNC'!C246="SHOW",'ASS END SYNC'!C247&lt;&gt;"SHOW"),MID('ASS END SYNC'!E246,O242+1,P242-O242-1),""))</f>
        <v/>
      </c>
      <c r="W242" s="23" t="str">
        <f>IF('ASS END SYNC'!C246="SHOW",MID('ASS END SYNC'!E246,Q242+1,S242-Q242+1),"")</f>
        <v/>
      </c>
      <c r="X242" s="23" t="str">
        <f>IF('ASS END SYNC'!C246="SHOW",MID('ASS END SYNC'!E246,S242+2,1000),"")</f>
        <v/>
      </c>
      <c r="Z242" s="24"/>
    </row>
    <row r="243" spans="1:26" x14ac:dyDescent="0.25">
      <c r="A243" s="26">
        <v>240</v>
      </c>
      <c r="B243" s="24" t="str">
        <f>IF('ASS START SYNC'!C247="SHOW",FIND(",",'ASS START SYNC'!E247,1),"")</f>
        <v/>
      </c>
      <c r="C243" s="24" t="str">
        <f>IF('ASS START SYNC'!C247="SHOW",FIND(",",'ASS START SYNC'!E247,B243+1),"")</f>
        <v/>
      </c>
      <c r="D243" s="24" t="str">
        <f>IF('ASS START SYNC'!C247="SHOW",FIND(",",'ASS START SYNC'!E247,C243+1),"")</f>
        <v/>
      </c>
      <c r="E243" s="25" t="str">
        <f>IF('ASS START SYNC'!C247="SHOW",FIND(",,",'ASS START SYNC'!E247,1),"")</f>
        <v/>
      </c>
      <c r="F243" s="25" t="str">
        <f>IF('ASS START SYNC'!C247="SHOW",FIND(",,",'ASS START SYNC'!E247,E243+1),"")</f>
        <v/>
      </c>
      <c r="G243" s="23" t="str">
        <f>IF('ASS START SYNC'!C247="SHOW",LEFT('ASS START SYNC'!E247,B243),"")</f>
        <v/>
      </c>
      <c r="H243" s="24" t="str">
        <f>IF(AND('ASS START SYNC'!C247="SHOW",COUNTA('ASS START SYNC'!$E$8:'ASS START SYNC'!E246)=0),MID('ASS START SYNC'!E247,B243+1,C243-B243-1),IF(AND('ASS START SYNC'!C247="SHOW",COUNTA('ASS START SYNC'!$E$8:'ASS START SYNC'!E246)&lt;&gt;0),I242,""))</f>
        <v/>
      </c>
      <c r="I243" s="24" t="str">
        <f>IF('ASS START SYNC'!C247="SHOW",MID('ASS START SYNC'!E247,C243+1,D243-C243-1),I242)</f>
        <v/>
      </c>
      <c r="J243" s="23" t="str">
        <f>IF('ASS START SYNC'!C247="SHOW",MID('ASS START SYNC'!E247,D243+1,F243-D243+1),"")</f>
        <v/>
      </c>
      <c r="K243" s="23" t="str">
        <f>IF('ASS START SYNC'!C247="SHOW",MID('ASS START SYNC'!E247,F243+2,1000),"")</f>
        <v/>
      </c>
      <c r="M243" s="24"/>
      <c r="N243" s="26">
        <v>240</v>
      </c>
      <c r="O243" s="24" t="str">
        <f>IF('ASS END SYNC'!C247="SHOW",FIND(",",'ASS END SYNC'!E247,1),"")</f>
        <v/>
      </c>
      <c r="P243" s="24" t="str">
        <f>IF('ASS END SYNC'!C247="SHOW",FIND(",",'ASS END SYNC'!E247,O243+1),"")</f>
        <v/>
      </c>
      <c r="Q243" s="24" t="str">
        <f>IF('ASS END SYNC'!C247="SHOW",FIND(",",'ASS END SYNC'!E247,P243+1),"")</f>
        <v/>
      </c>
      <c r="R243" s="25" t="str">
        <f>IF('ASS END SYNC'!C247="SHOW",FIND(",,",'ASS END SYNC'!E247,1),"")</f>
        <v/>
      </c>
      <c r="S243" s="25" t="str">
        <f>IF('ASS END SYNC'!C247="SHOW",FIND(",,",'ASS END SYNC'!E247,R243+1),"")</f>
        <v/>
      </c>
      <c r="T243" s="23" t="str">
        <f>IF('ASS END SYNC'!C247="SHOW",LEFT('ASS END SYNC'!E247,O243),"")</f>
        <v/>
      </c>
      <c r="U243" s="24" t="str">
        <f>IF('ASS END SYNC'!C247="SHOW",MID('ASS END SYNC'!E247,O243+1,P243-O243-1),"")</f>
        <v/>
      </c>
      <c r="V243" s="24" t="str">
        <f>IF(AND('ASS END SYNC'!C247="SHOW",'ASS END SYNC'!C248="SHOW"),U244,IF(AND('ASS END SYNC'!C247="SHOW",'ASS END SYNC'!C248&lt;&gt;"SHOW"),MID('ASS END SYNC'!E247,O243+1,P243-O243-1),""))</f>
        <v/>
      </c>
      <c r="W243" s="23" t="str">
        <f>IF('ASS END SYNC'!C247="SHOW",MID('ASS END SYNC'!E247,Q243+1,S243-Q243+1),"")</f>
        <v/>
      </c>
      <c r="X243" s="23" t="str">
        <f>IF('ASS END SYNC'!C247="SHOW",MID('ASS END SYNC'!E247,S243+2,1000),"")</f>
        <v/>
      </c>
      <c r="Z243" s="24"/>
    </row>
    <row r="244" spans="1:26" x14ac:dyDescent="0.25">
      <c r="A244" s="26">
        <v>241</v>
      </c>
      <c r="B244" s="24" t="str">
        <f>IF('ASS START SYNC'!C248="SHOW",FIND(",",'ASS START SYNC'!E248,1),"")</f>
        <v/>
      </c>
      <c r="C244" s="24" t="str">
        <f>IF('ASS START SYNC'!C248="SHOW",FIND(",",'ASS START SYNC'!E248,B244+1),"")</f>
        <v/>
      </c>
      <c r="D244" s="24" t="str">
        <f>IF('ASS START SYNC'!C248="SHOW",FIND(",",'ASS START SYNC'!E248,C244+1),"")</f>
        <v/>
      </c>
      <c r="E244" s="25" t="str">
        <f>IF('ASS START SYNC'!C248="SHOW",FIND(",,",'ASS START SYNC'!E248,1),"")</f>
        <v/>
      </c>
      <c r="F244" s="25" t="str">
        <f>IF('ASS START SYNC'!C248="SHOW",FIND(",,",'ASS START SYNC'!E248,E244+1),"")</f>
        <v/>
      </c>
      <c r="G244" s="23" t="str">
        <f>IF('ASS START SYNC'!C248="SHOW",LEFT('ASS START SYNC'!E248,B244),"")</f>
        <v/>
      </c>
      <c r="H244" s="24" t="str">
        <f>IF(AND('ASS START SYNC'!C248="SHOW",COUNTA('ASS START SYNC'!$E$8:'ASS START SYNC'!E247)=0),MID('ASS START SYNC'!E248,B244+1,C244-B244-1),IF(AND('ASS START SYNC'!C248="SHOW",COUNTA('ASS START SYNC'!$E$8:'ASS START SYNC'!E247)&lt;&gt;0),I243,""))</f>
        <v/>
      </c>
      <c r="I244" s="24" t="str">
        <f>IF('ASS START SYNC'!C248="SHOW",MID('ASS START SYNC'!E248,C244+1,D244-C244-1),I243)</f>
        <v/>
      </c>
      <c r="J244" s="23" t="str">
        <f>IF('ASS START SYNC'!C248="SHOW",MID('ASS START SYNC'!E248,D244+1,F244-D244+1),"")</f>
        <v/>
      </c>
      <c r="K244" s="23" t="str">
        <f>IF('ASS START SYNC'!C248="SHOW",MID('ASS START SYNC'!E248,F244+2,1000),"")</f>
        <v/>
      </c>
      <c r="M244" s="24"/>
      <c r="N244" s="26">
        <v>241</v>
      </c>
      <c r="O244" s="24" t="str">
        <f>IF('ASS END SYNC'!C248="SHOW",FIND(",",'ASS END SYNC'!E248,1),"")</f>
        <v/>
      </c>
      <c r="P244" s="24" t="str">
        <f>IF('ASS END SYNC'!C248="SHOW",FIND(",",'ASS END SYNC'!E248,O244+1),"")</f>
        <v/>
      </c>
      <c r="Q244" s="24" t="str">
        <f>IF('ASS END SYNC'!C248="SHOW",FIND(",",'ASS END SYNC'!E248,P244+1),"")</f>
        <v/>
      </c>
      <c r="R244" s="25" t="str">
        <f>IF('ASS END SYNC'!C248="SHOW",FIND(",,",'ASS END SYNC'!E248,1),"")</f>
        <v/>
      </c>
      <c r="S244" s="25" t="str">
        <f>IF('ASS END SYNC'!C248="SHOW",FIND(",,",'ASS END SYNC'!E248,R244+1),"")</f>
        <v/>
      </c>
      <c r="T244" s="23" t="str">
        <f>IF('ASS END SYNC'!C248="SHOW",LEFT('ASS END SYNC'!E248,O244),"")</f>
        <v/>
      </c>
      <c r="U244" s="24" t="str">
        <f>IF('ASS END SYNC'!C248="SHOW",MID('ASS END SYNC'!E248,O244+1,P244-O244-1),"")</f>
        <v/>
      </c>
      <c r="V244" s="24" t="str">
        <f>IF(AND('ASS END SYNC'!C248="SHOW",'ASS END SYNC'!C249="SHOW"),U245,IF(AND('ASS END SYNC'!C248="SHOW",'ASS END SYNC'!C249&lt;&gt;"SHOW"),MID('ASS END SYNC'!E248,O244+1,P244-O244-1),""))</f>
        <v/>
      </c>
      <c r="W244" s="23" t="str">
        <f>IF('ASS END SYNC'!C248="SHOW",MID('ASS END SYNC'!E248,Q244+1,S244-Q244+1),"")</f>
        <v/>
      </c>
      <c r="X244" s="23" t="str">
        <f>IF('ASS END SYNC'!C248="SHOW",MID('ASS END SYNC'!E248,S244+2,1000),"")</f>
        <v/>
      </c>
      <c r="Z244" s="24"/>
    </row>
    <row r="245" spans="1:26" x14ac:dyDescent="0.25">
      <c r="A245" s="26">
        <v>242</v>
      </c>
      <c r="B245" s="24" t="str">
        <f>IF('ASS START SYNC'!C249="SHOW",FIND(",",'ASS START SYNC'!E249,1),"")</f>
        <v/>
      </c>
      <c r="C245" s="24" t="str">
        <f>IF('ASS START SYNC'!C249="SHOW",FIND(",",'ASS START SYNC'!E249,B245+1),"")</f>
        <v/>
      </c>
      <c r="D245" s="24" t="str">
        <f>IF('ASS START SYNC'!C249="SHOW",FIND(",",'ASS START SYNC'!E249,C245+1),"")</f>
        <v/>
      </c>
      <c r="E245" s="25" t="str">
        <f>IF('ASS START SYNC'!C249="SHOW",FIND(",,",'ASS START SYNC'!E249,1),"")</f>
        <v/>
      </c>
      <c r="F245" s="25" t="str">
        <f>IF('ASS START SYNC'!C249="SHOW",FIND(",,",'ASS START SYNC'!E249,E245+1),"")</f>
        <v/>
      </c>
      <c r="G245" s="23" t="str">
        <f>IF('ASS START SYNC'!C249="SHOW",LEFT('ASS START SYNC'!E249,B245),"")</f>
        <v/>
      </c>
      <c r="H245" s="24" t="str">
        <f>IF(AND('ASS START SYNC'!C249="SHOW",COUNTA('ASS START SYNC'!$E$8:'ASS START SYNC'!E248)=0),MID('ASS START SYNC'!E249,B245+1,C245-B245-1),IF(AND('ASS START SYNC'!C249="SHOW",COUNTA('ASS START SYNC'!$E$8:'ASS START SYNC'!E248)&lt;&gt;0),I244,""))</f>
        <v/>
      </c>
      <c r="I245" s="24" t="str">
        <f>IF('ASS START SYNC'!C249="SHOW",MID('ASS START SYNC'!E249,C245+1,D245-C245-1),I244)</f>
        <v/>
      </c>
      <c r="J245" s="23" t="str">
        <f>IF('ASS START SYNC'!C249="SHOW",MID('ASS START SYNC'!E249,D245+1,F245-D245+1),"")</f>
        <v/>
      </c>
      <c r="K245" s="23" t="str">
        <f>IF('ASS START SYNC'!C249="SHOW",MID('ASS START SYNC'!E249,F245+2,1000),"")</f>
        <v/>
      </c>
      <c r="M245" s="24"/>
      <c r="N245" s="26">
        <v>242</v>
      </c>
      <c r="O245" s="24" t="str">
        <f>IF('ASS END SYNC'!C249="SHOW",FIND(",",'ASS END SYNC'!E249,1),"")</f>
        <v/>
      </c>
      <c r="P245" s="24" t="str">
        <f>IF('ASS END SYNC'!C249="SHOW",FIND(",",'ASS END SYNC'!E249,O245+1),"")</f>
        <v/>
      </c>
      <c r="Q245" s="24" t="str">
        <f>IF('ASS END SYNC'!C249="SHOW",FIND(",",'ASS END SYNC'!E249,P245+1),"")</f>
        <v/>
      </c>
      <c r="R245" s="25" t="str">
        <f>IF('ASS END SYNC'!C249="SHOW",FIND(",,",'ASS END SYNC'!E249,1),"")</f>
        <v/>
      </c>
      <c r="S245" s="25" t="str">
        <f>IF('ASS END SYNC'!C249="SHOW",FIND(",,",'ASS END SYNC'!E249,R245+1),"")</f>
        <v/>
      </c>
      <c r="T245" s="23" t="str">
        <f>IF('ASS END SYNC'!C249="SHOW",LEFT('ASS END SYNC'!E249,O245),"")</f>
        <v/>
      </c>
      <c r="U245" s="24" t="str">
        <f>IF('ASS END SYNC'!C249="SHOW",MID('ASS END SYNC'!E249,O245+1,P245-O245-1),"")</f>
        <v/>
      </c>
      <c r="V245" s="24" t="str">
        <f>IF(AND('ASS END SYNC'!C249="SHOW",'ASS END SYNC'!C250="SHOW"),U246,IF(AND('ASS END SYNC'!C249="SHOW",'ASS END SYNC'!C250&lt;&gt;"SHOW"),MID('ASS END SYNC'!E249,O245+1,P245-O245-1),""))</f>
        <v/>
      </c>
      <c r="W245" s="23" t="str">
        <f>IF('ASS END SYNC'!C249="SHOW",MID('ASS END SYNC'!E249,Q245+1,S245-Q245+1),"")</f>
        <v/>
      </c>
      <c r="X245" s="23" t="str">
        <f>IF('ASS END SYNC'!C249="SHOW",MID('ASS END SYNC'!E249,S245+2,1000),"")</f>
        <v/>
      </c>
      <c r="Z245" s="24"/>
    </row>
    <row r="246" spans="1:26" x14ac:dyDescent="0.25">
      <c r="A246" s="26">
        <v>243</v>
      </c>
      <c r="B246" s="24" t="str">
        <f>IF('ASS START SYNC'!C250="SHOW",FIND(",",'ASS START SYNC'!E250,1),"")</f>
        <v/>
      </c>
      <c r="C246" s="24" t="str">
        <f>IF('ASS START SYNC'!C250="SHOW",FIND(",",'ASS START SYNC'!E250,B246+1),"")</f>
        <v/>
      </c>
      <c r="D246" s="24" t="str">
        <f>IF('ASS START SYNC'!C250="SHOW",FIND(",",'ASS START SYNC'!E250,C246+1),"")</f>
        <v/>
      </c>
      <c r="E246" s="25" t="str">
        <f>IF('ASS START SYNC'!C250="SHOW",FIND(",,",'ASS START SYNC'!E250,1),"")</f>
        <v/>
      </c>
      <c r="F246" s="25" t="str">
        <f>IF('ASS START SYNC'!C250="SHOW",FIND(",,",'ASS START SYNC'!E250,E246+1),"")</f>
        <v/>
      </c>
      <c r="G246" s="23" t="str">
        <f>IF('ASS START SYNC'!C250="SHOW",LEFT('ASS START SYNC'!E250,B246),"")</f>
        <v/>
      </c>
      <c r="H246" s="24" t="str">
        <f>IF(AND('ASS START SYNC'!C250="SHOW",COUNTA('ASS START SYNC'!$E$8:'ASS START SYNC'!E249)=0),MID('ASS START SYNC'!E250,B246+1,C246-B246-1),IF(AND('ASS START SYNC'!C250="SHOW",COUNTA('ASS START SYNC'!$E$8:'ASS START SYNC'!E249)&lt;&gt;0),I245,""))</f>
        <v/>
      </c>
      <c r="I246" s="24" t="str">
        <f>IF('ASS START SYNC'!C250="SHOW",MID('ASS START SYNC'!E250,C246+1,D246-C246-1),I245)</f>
        <v/>
      </c>
      <c r="J246" s="23" t="str">
        <f>IF('ASS START SYNC'!C250="SHOW",MID('ASS START SYNC'!E250,D246+1,F246-D246+1),"")</f>
        <v/>
      </c>
      <c r="K246" s="23" t="str">
        <f>IF('ASS START SYNC'!C250="SHOW",MID('ASS START SYNC'!E250,F246+2,1000),"")</f>
        <v/>
      </c>
      <c r="M246" s="24"/>
      <c r="N246" s="26">
        <v>243</v>
      </c>
      <c r="O246" s="24" t="str">
        <f>IF('ASS END SYNC'!C250="SHOW",FIND(",",'ASS END SYNC'!E250,1),"")</f>
        <v/>
      </c>
      <c r="P246" s="24" t="str">
        <f>IF('ASS END SYNC'!C250="SHOW",FIND(",",'ASS END SYNC'!E250,O246+1),"")</f>
        <v/>
      </c>
      <c r="Q246" s="24" t="str">
        <f>IF('ASS END SYNC'!C250="SHOW",FIND(",",'ASS END SYNC'!E250,P246+1),"")</f>
        <v/>
      </c>
      <c r="R246" s="25" t="str">
        <f>IF('ASS END SYNC'!C250="SHOW",FIND(",,",'ASS END SYNC'!E250,1),"")</f>
        <v/>
      </c>
      <c r="S246" s="25" t="str">
        <f>IF('ASS END SYNC'!C250="SHOW",FIND(",,",'ASS END SYNC'!E250,R246+1),"")</f>
        <v/>
      </c>
      <c r="T246" s="23" t="str">
        <f>IF('ASS END SYNC'!C250="SHOW",LEFT('ASS END SYNC'!E250,O246),"")</f>
        <v/>
      </c>
      <c r="U246" s="24" t="str">
        <f>IF('ASS END SYNC'!C250="SHOW",MID('ASS END SYNC'!E250,O246+1,P246-O246-1),"")</f>
        <v/>
      </c>
      <c r="V246" s="24" t="str">
        <f>IF(AND('ASS END SYNC'!C250="SHOW",'ASS END SYNC'!C251="SHOW"),U247,IF(AND('ASS END SYNC'!C250="SHOW",'ASS END SYNC'!C251&lt;&gt;"SHOW"),MID('ASS END SYNC'!E250,O246+1,P246-O246-1),""))</f>
        <v/>
      </c>
      <c r="W246" s="23" t="str">
        <f>IF('ASS END SYNC'!C250="SHOW",MID('ASS END SYNC'!E250,Q246+1,S246-Q246+1),"")</f>
        <v/>
      </c>
      <c r="X246" s="23" t="str">
        <f>IF('ASS END SYNC'!C250="SHOW",MID('ASS END SYNC'!E250,S246+2,1000),"")</f>
        <v/>
      </c>
      <c r="Z246" s="24"/>
    </row>
    <row r="247" spans="1:26" x14ac:dyDescent="0.25">
      <c r="A247" s="26">
        <v>244</v>
      </c>
      <c r="B247" s="24" t="str">
        <f>IF('ASS START SYNC'!C251="SHOW",FIND(",",'ASS START SYNC'!E251,1),"")</f>
        <v/>
      </c>
      <c r="C247" s="24" t="str">
        <f>IF('ASS START SYNC'!C251="SHOW",FIND(",",'ASS START SYNC'!E251,B247+1),"")</f>
        <v/>
      </c>
      <c r="D247" s="24" t="str">
        <f>IF('ASS START SYNC'!C251="SHOW",FIND(",",'ASS START SYNC'!E251,C247+1),"")</f>
        <v/>
      </c>
      <c r="E247" s="25" t="str">
        <f>IF('ASS START SYNC'!C251="SHOW",FIND(",,",'ASS START SYNC'!E251,1),"")</f>
        <v/>
      </c>
      <c r="F247" s="25" t="str">
        <f>IF('ASS START SYNC'!C251="SHOW",FIND(",,",'ASS START SYNC'!E251,E247+1),"")</f>
        <v/>
      </c>
      <c r="G247" s="23" t="str">
        <f>IF('ASS START SYNC'!C251="SHOW",LEFT('ASS START SYNC'!E251,B247),"")</f>
        <v/>
      </c>
      <c r="H247" s="24" t="str">
        <f>IF(AND('ASS START SYNC'!C251="SHOW",COUNTA('ASS START SYNC'!$E$8:'ASS START SYNC'!E250)=0),MID('ASS START SYNC'!E251,B247+1,C247-B247-1),IF(AND('ASS START SYNC'!C251="SHOW",COUNTA('ASS START SYNC'!$E$8:'ASS START SYNC'!E250)&lt;&gt;0),I246,""))</f>
        <v/>
      </c>
      <c r="I247" s="24" t="str">
        <f>IF('ASS START SYNC'!C251="SHOW",MID('ASS START SYNC'!E251,C247+1,D247-C247-1),I246)</f>
        <v/>
      </c>
      <c r="J247" s="23" t="str">
        <f>IF('ASS START SYNC'!C251="SHOW",MID('ASS START SYNC'!E251,D247+1,F247-D247+1),"")</f>
        <v/>
      </c>
      <c r="K247" s="23" t="str">
        <f>IF('ASS START SYNC'!C251="SHOW",MID('ASS START SYNC'!E251,F247+2,1000),"")</f>
        <v/>
      </c>
      <c r="M247" s="24"/>
      <c r="N247" s="26">
        <v>244</v>
      </c>
      <c r="O247" s="24" t="str">
        <f>IF('ASS END SYNC'!C251="SHOW",FIND(",",'ASS END SYNC'!E251,1),"")</f>
        <v/>
      </c>
      <c r="P247" s="24" t="str">
        <f>IF('ASS END SYNC'!C251="SHOW",FIND(",",'ASS END SYNC'!E251,O247+1),"")</f>
        <v/>
      </c>
      <c r="Q247" s="24" t="str">
        <f>IF('ASS END SYNC'!C251="SHOW",FIND(",",'ASS END SYNC'!E251,P247+1),"")</f>
        <v/>
      </c>
      <c r="R247" s="25" t="str">
        <f>IF('ASS END SYNC'!C251="SHOW",FIND(",,",'ASS END SYNC'!E251,1),"")</f>
        <v/>
      </c>
      <c r="S247" s="25" t="str">
        <f>IF('ASS END SYNC'!C251="SHOW",FIND(",,",'ASS END SYNC'!E251,R247+1),"")</f>
        <v/>
      </c>
      <c r="T247" s="23" t="str">
        <f>IF('ASS END SYNC'!C251="SHOW",LEFT('ASS END SYNC'!E251,O247),"")</f>
        <v/>
      </c>
      <c r="U247" s="24" t="str">
        <f>IF('ASS END SYNC'!C251="SHOW",MID('ASS END SYNC'!E251,O247+1,P247-O247-1),"")</f>
        <v/>
      </c>
      <c r="V247" s="24" t="str">
        <f>IF(AND('ASS END SYNC'!C251="SHOW",'ASS END SYNC'!C252="SHOW"),U248,IF(AND('ASS END SYNC'!C251="SHOW",'ASS END SYNC'!C252&lt;&gt;"SHOW"),MID('ASS END SYNC'!E251,O247+1,P247-O247-1),""))</f>
        <v/>
      </c>
      <c r="W247" s="23" t="str">
        <f>IF('ASS END SYNC'!C251="SHOW",MID('ASS END SYNC'!E251,Q247+1,S247-Q247+1),"")</f>
        <v/>
      </c>
      <c r="X247" s="23" t="str">
        <f>IF('ASS END SYNC'!C251="SHOW",MID('ASS END SYNC'!E251,S247+2,1000),"")</f>
        <v/>
      </c>
      <c r="Z247" s="24"/>
    </row>
    <row r="248" spans="1:26" x14ac:dyDescent="0.25">
      <c r="A248" s="26">
        <v>245</v>
      </c>
      <c r="B248" s="24" t="str">
        <f>IF('ASS START SYNC'!C252="SHOW",FIND(",",'ASS START SYNC'!E252,1),"")</f>
        <v/>
      </c>
      <c r="C248" s="24" t="str">
        <f>IF('ASS START SYNC'!C252="SHOW",FIND(",",'ASS START SYNC'!E252,B248+1),"")</f>
        <v/>
      </c>
      <c r="D248" s="24" t="str">
        <f>IF('ASS START SYNC'!C252="SHOW",FIND(",",'ASS START SYNC'!E252,C248+1),"")</f>
        <v/>
      </c>
      <c r="E248" s="25" t="str">
        <f>IF('ASS START SYNC'!C252="SHOW",FIND(",,",'ASS START SYNC'!E252,1),"")</f>
        <v/>
      </c>
      <c r="F248" s="25" t="str">
        <f>IF('ASS START SYNC'!C252="SHOW",FIND(",,",'ASS START SYNC'!E252,E248+1),"")</f>
        <v/>
      </c>
      <c r="G248" s="23" t="str">
        <f>IF('ASS START SYNC'!C252="SHOW",LEFT('ASS START SYNC'!E252,B248),"")</f>
        <v/>
      </c>
      <c r="H248" s="24" t="str">
        <f>IF(AND('ASS START SYNC'!C252="SHOW",COUNTA('ASS START SYNC'!$E$8:'ASS START SYNC'!E251)=0),MID('ASS START SYNC'!E252,B248+1,C248-B248-1),IF(AND('ASS START SYNC'!C252="SHOW",COUNTA('ASS START SYNC'!$E$8:'ASS START SYNC'!E251)&lt;&gt;0),I247,""))</f>
        <v/>
      </c>
      <c r="I248" s="24" t="str">
        <f>IF('ASS START SYNC'!C252="SHOW",MID('ASS START SYNC'!E252,C248+1,D248-C248-1),I247)</f>
        <v/>
      </c>
      <c r="J248" s="23" t="str">
        <f>IF('ASS START SYNC'!C252="SHOW",MID('ASS START SYNC'!E252,D248+1,F248-D248+1),"")</f>
        <v/>
      </c>
      <c r="K248" s="23" t="str">
        <f>IF('ASS START SYNC'!C252="SHOW",MID('ASS START SYNC'!E252,F248+2,1000),"")</f>
        <v/>
      </c>
      <c r="M248" s="24"/>
      <c r="N248" s="26">
        <v>245</v>
      </c>
      <c r="O248" s="24" t="str">
        <f>IF('ASS END SYNC'!C252="SHOW",FIND(",",'ASS END SYNC'!E252,1),"")</f>
        <v/>
      </c>
      <c r="P248" s="24" t="str">
        <f>IF('ASS END SYNC'!C252="SHOW",FIND(",",'ASS END SYNC'!E252,O248+1),"")</f>
        <v/>
      </c>
      <c r="Q248" s="24" t="str">
        <f>IF('ASS END SYNC'!C252="SHOW",FIND(",",'ASS END SYNC'!E252,P248+1),"")</f>
        <v/>
      </c>
      <c r="R248" s="25" t="str">
        <f>IF('ASS END SYNC'!C252="SHOW",FIND(",,",'ASS END SYNC'!E252,1),"")</f>
        <v/>
      </c>
      <c r="S248" s="25" t="str">
        <f>IF('ASS END SYNC'!C252="SHOW",FIND(",,",'ASS END SYNC'!E252,R248+1),"")</f>
        <v/>
      </c>
      <c r="T248" s="23" t="str">
        <f>IF('ASS END SYNC'!C252="SHOW",LEFT('ASS END SYNC'!E252,O248),"")</f>
        <v/>
      </c>
      <c r="U248" s="24" t="str">
        <f>IF('ASS END SYNC'!C252="SHOW",MID('ASS END SYNC'!E252,O248+1,P248-O248-1),"")</f>
        <v/>
      </c>
      <c r="V248" s="24" t="str">
        <f>IF(AND('ASS END SYNC'!C252="SHOW",'ASS END SYNC'!C253="SHOW"),U249,IF(AND('ASS END SYNC'!C252="SHOW",'ASS END SYNC'!C253&lt;&gt;"SHOW"),MID('ASS END SYNC'!E252,O248+1,P248-O248-1),""))</f>
        <v/>
      </c>
      <c r="W248" s="23" t="str">
        <f>IF('ASS END SYNC'!C252="SHOW",MID('ASS END SYNC'!E252,Q248+1,S248-Q248+1),"")</f>
        <v/>
      </c>
      <c r="X248" s="23" t="str">
        <f>IF('ASS END SYNC'!C252="SHOW",MID('ASS END SYNC'!E252,S248+2,1000),"")</f>
        <v/>
      </c>
      <c r="Z248" s="24"/>
    </row>
    <row r="249" spans="1:26" x14ac:dyDescent="0.25">
      <c r="A249" s="26">
        <v>246</v>
      </c>
      <c r="B249" s="24" t="str">
        <f>IF('ASS START SYNC'!C253="SHOW",FIND(",",'ASS START SYNC'!E253,1),"")</f>
        <v/>
      </c>
      <c r="C249" s="24" t="str">
        <f>IF('ASS START SYNC'!C253="SHOW",FIND(",",'ASS START SYNC'!E253,B249+1),"")</f>
        <v/>
      </c>
      <c r="D249" s="24" t="str">
        <f>IF('ASS START SYNC'!C253="SHOW",FIND(",",'ASS START SYNC'!E253,C249+1),"")</f>
        <v/>
      </c>
      <c r="E249" s="25" t="str">
        <f>IF('ASS START SYNC'!C253="SHOW",FIND(",,",'ASS START SYNC'!E253,1),"")</f>
        <v/>
      </c>
      <c r="F249" s="25" t="str">
        <f>IF('ASS START SYNC'!C253="SHOW",FIND(",,",'ASS START SYNC'!E253,E249+1),"")</f>
        <v/>
      </c>
      <c r="G249" s="23" t="str">
        <f>IF('ASS START SYNC'!C253="SHOW",LEFT('ASS START SYNC'!E253,B249),"")</f>
        <v/>
      </c>
      <c r="H249" s="24" t="str">
        <f>IF(AND('ASS START SYNC'!C253="SHOW",COUNTA('ASS START SYNC'!$E$8:'ASS START SYNC'!E252)=0),MID('ASS START SYNC'!E253,B249+1,C249-B249-1),IF(AND('ASS START SYNC'!C253="SHOW",COUNTA('ASS START SYNC'!$E$8:'ASS START SYNC'!E252)&lt;&gt;0),I248,""))</f>
        <v/>
      </c>
      <c r="I249" s="24" t="str">
        <f>IF('ASS START SYNC'!C253="SHOW",MID('ASS START SYNC'!E253,C249+1,D249-C249-1),I248)</f>
        <v/>
      </c>
      <c r="J249" s="23" t="str">
        <f>IF('ASS START SYNC'!C253="SHOW",MID('ASS START SYNC'!E253,D249+1,F249-D249+1),"")</f>
        <v/>
      </c>
      <c r="K249" s="23" t="str">
        <f>IF('ASS START SYNC'!C253="SHOW",MID('ASS START SYNC'!E253,F249+2,1000),"")</f>
        <v/>
      </c>
      <c r="M249" s="24"/>
      <c r="N249" s="26">
        <v>246</v>
      </c>
      <c r="O249" s="24" t="str">
        <f>IF('ASS END SYNC'!C253="SHOW",FIND(",",'ASS END SYNC'!E253,1),"")</f>
        <v/>
      </c>
      <c r="P249" s="24" t="str">
        <f>IF('ASS END SYNC'!C253="SHOW",FIND(",",'ASS END SYNC'!E253,O249+1),"")</f>
        <v/>
      </c>
      <c r="Q249" s="24" t="str">
        <f>IF('ASS END SYNC'!C253="SHOW",FIND(",",'ASS END SYNC'!E253,P249+1),"")</f>
        <v/>
      </c>
      <c r="R249" s="25" t="str">
        <f>IF('ASS END SYNC'!C253="SHOW",FIND(",,",'ASS END SYNC'!E253,1),"")</f>
        <v/>
      </c>
      <c r="S249" s="25" t="str">
        <f>IF('ASS END SYNC'!C253="SHOW",FIND(",,",'ASS END SYNC'!E253,R249+1),"")</f>
        <v/>
      </c>
      <c r="T249" s="23" t="str">
        <f>IF('ASS END SYNC'!C253="SHOW",LEFT('ASS END SYNC'!E253,O249),"")</f>
        <v/>
      </c>
      <c r="U249" s="24" t="str">
        <f>IF('ASS END SYNC'!C253="SHOW",MID('ASS END SYNC'!E253,O249+1,P249-O249-1),"")</f>
        <v/>
      </c>
      <c r="V249" s="24" t="str">
        <f>IF(AND('ASS END SYNC'!C253="SHOW",'ASS END SYNC'!C254="SHOW"),U250,IF(AND('ASS END SYNC'!C253="SHOW",'ASS END SYNC'!C254&lt;&gt;"SHOW"),MID('ASS END SYNC'!E253,O249+1,P249-O249-1),""))</f>
        <v/>
      </c>
      <c r="W249" s="23" t="str">
        <f>IF('ASS END SYNC'!C253="SHOW",MID('ASS END SYNC'!E253,Q249+1,S249-Q249+1),"")</f>
        <v/>
      </c>
      <c r="X249" s="23" t="str">
        <f>IF('ASS END SYNC'!C253="SHOW",MID('ASS END SYNC'!E253,S249+2,1000),"")</f>
        <v/>
      </c>
      <c r="Z249" s="24"/>
    </row>
    <row r="250" spans="1:26" x14ac:dyDescent="0.25">
      <c r="A250" s="26">
        <v>247</v>
      </c>
      <c r="B250" s="24" t="str">
        <f>IF('ASS START SYNC'!C254="SHOW",FIND(",",'ASS START SYNC'!E254,1),"")</f>
        <v/>
      </c>
      <c r="C250" s="24" t="str">
        <f>IF('ASS START SYNC'!C254="SHOW",FIND(",",'ASS START SYNC'!E254,B250+1),"")</f>
        <v/>
      </c>
      <c r="D250" s="24" t="str">
        <f>IF('ASS START SYNC'!C254="SHOW",FIND(",",'ASS START SYNC'!E254,C250+1),"")</f>
        <v/>
      </c>
      <c r="E250" s="25" t="str">
        <f>IF('ASS START SYNC'!C254="SHOW",FIND(",,",'ASS START SYNC'!E254,1),"")</f>
        <v/>
      </c>
      <c r="F250" s="25" t="str">
        <f>IF('ASS START SYNC'!C254="SHOW",FIND(",,",'ASS START SYNC'!E254,E250+1),"")</f>
        <v/>
      </c>
      <c r="G250" s="23" t="str">
        <f>IF('ASS START SYNC'!C254="SHOW",LEFT('ASS START SYNC'!E254,B250),"")</f>
        <v/>
      </c>
      <c r="H250" s="24" t="str">
        <f>IF(AND('ASS START SYNC'!C254="SHOW",COUNTA('ASS START SYNC'!$E$8:'ASS START SYNC'!E253)=0),MID('ASS START SYNC'!E254,B250+1,C250-B250-1),IF(AND('ASS START SYNC'!C254="SHOW",COUNTA('ASS START SYNC'!$E$8:'ASS START SYNC'!E253)&lt;&gt;0),I249,""))</f>
        <v/>
      </c>
      <c r="I250" s="24" t="str">
        <f>IF('ASS START SYNC'!C254="SHOW",MID('ASS START SYNC'!E254,C250+1,D250-C250-1),I249)</f>
        <v/>
      </c>
      <c r="J250" s="23" t="str">
        <f>IF('ASS START SYNC'!C254="SHOW",MID('ASS START SYNC'!E254,D250+1,F250-D250+1),"")</f>
        <v/>
      </c>
      <c r="K250" s="23" t="str">
        <f>IF('ASS START SYNC'!C254="SHOW",MID('ASS START SYNC'!E254,F250+2,1000),"")</f>
        <v/>
      </c>
      <c r="M250" s="24"/>
      <c r="N250" s="26">
        <v>247</v>
      </c>
      <c r="O250" s="24" t="str">
        <f>IF('ASS END SYNC'!C254="SHOW",FIND(",",'ASS END SYNC'!E254,1),"")</f>
        <v/>
      </c>
      <c r="P250" s="24" t="str">
        <f>IF('ASS END SYNC'!C254="SHOW",FIND(",",'ASS END SYNC'!E254,O250+1),"")</f>
        <v/>
      </c>
      <c r="Q250" s="24" t="str">
        <f>IF('ASS END SYNC'!C254="SHOW",FIND(",",'ASS END SYNC'!E254,P250+1),"")</f>
        <v/>
      </c>
      <c r="R250" s="25" t="str">
        <f>IF('ASS END SYNC'!C254="SHOW",FIND(",,",'ASS END SYNC'!E254,1),"")</f>
        <v/>
      </c>
      <c r="S250" s="25" t="str">
        <f>IF('ASS END SYNC'!C254="SHOW",FIND(",,",'ASS END SYNC'!E254,R250+1),"")</f>
        <v/>
      </c>
      <c r="T250" s="23" t="str">
        <f>IF('ASS END SYNC'!C254="SHOW",LEFT('ASS END SYNC'!E254,O250),"")</f>
        <v/>
      </c>
      <c r="U250" s="24" t="str">
        <f>IF('ASS END SYNC'!C254="SHOW",MID('ASS END SYNC'!E254,O250+1,P250-O250-1),"")</f>
        <v/>
      </c>
      <c r="V250" s="24" t="str">
        <f>IF(AND('ASS END SYNC'!C254="SHOW",'ASS END SYNC'!C255="SHOW"),U251,IF(AND('ASS END SYNC'!C254="SHOW",'ASS END SYNC'!C255&lt;&gt;"SHOW"),MID('ASS END SYNC'!E254,O250+1,P250-O250-1),""))</f>
        <v/>
      </c>
      <c r="W250" s="23" t="str">
        <f>IF('ASS END SYNC'!C254="SHOW",MID('ASS END SYNC'!E254,Q250+1,S250-Q250+1),"")</f>
        <v/>
      </c>
      <c r="X250" s="23" t="str">
        <f>IF('ASS END SYNC'!C254="SHOW",MID('ASS END SYNC'!E254,S250+2,1000),"")</f>
        <v/>
      </c>
      <c r="Z250" s="24"/>
    </row>
    <row r="251" spans="1:26" x14ac:dyDescent="0.25">
      <c r="A251" s="26">
        <v>248</v>
      </c>
      <c r="B251" s="24" t="str">
        <f>IF('ASS START SYNC'!C255="SHOW",FIND(",",'ASS START SYNC'!E255,1),"")</f>
        <v/>
      </c>
      <c r="C251" s="24" t="str">
        <f>IF('ASS START SYNC'!C255="SHOW",FIND(",",'ASS START SYNC'!E255,B251+1),"")</f>
        <v/>
      </c>
      <c r="D251" s="24" t="str">
        <f>IF('ASS START SYNC'!C255="SHOW",FIND(",",'ASS START SYNC'!E255,C251+1),"")</f>
        <v/>
      </c>
      <c r="E251" s="25" t="str">
        <f>IF('ASS START SYNC'!C255="SHOW",FIND(",,",'ASS START SYNC'!E255,1),"")</f>
        <v/>
      </c>
      <c r="F251" s="25" t="str">
        <f>IF('ASS START SYNC'!C255="SHOW",FIND(",,",'ASS START SYNC'!E255,E251+1),"")</f>
        <v/>
      </c>
      <c r="G251" s="23" t="str">
        <f>IF('ASS START SYNC'!C255="SHOW",LEFT('ASS START SYNC'!E255,B251),"")</f>
        <v/>
      </c>
      <c r="H251" s="24" t="str">
        <f>IF(AND('ASS START SYNC'!C255="SHOW",COUNTA('ASS START SYNC'!$E$8:'ASS START SYNC'!E254)=0),MID('ASS START SYNC'!E255,B251+1,C251-B251-1),IF(AND('ASS START SYNC'!C255="SHOW",COUNTA('ASS START SYNC'!$E$8:'ASS START SYNC'!E254)&lt;&gt;0),I250,""))</f>
        <v/>
      </c>
      <c r="I251" s="24" t="str">
        <f>IF('ASS START SYNC'!C255="SHOW",MID('ASS START SYNC'!E255,C251+1,D251-C251-1),I250)</f>
        <v/>
      </c>
      <c r="J251" s="23" t="str">
        <f>IF('ASS START SYNC'!C255="SHOW",MID('ASS START SYNC'!E255,D251+1,F251-D251+1),"")</f>
        <v/>
      </c>
      <c r="K251" s="23" t="str">
        <f>IF('ASS START SYNC'!C255="SHOW",MID('ASS START SYNC'!E255,F251+2,1000),"")</f>
        <v/>
      </c>
      <c r="M251" s="24"/>
      <c r="N251" s="26">
        <v>248</v>
      </c>
      <c r="O251" s="24" t="str">
        <f>IF('ASS END SYNC'!C255="SHOW",FIND(",",'ASS END SYNC'!E255,1),"")</f>
        <v/>
      </c>
      <c r="P251" s="24" t="str">
        <f>IF('ASS END SYNC'!C255="SHOW",FIND(",",'ASS END SYNC'!E255,O251+1),"")</f>
        <v/>
      </c>
      <c r="Q251" s="24" t="str">
        <f>IF('ASS END SYNC'!C255="SHOW",FIND(",",'ASS END SYNC'!E255,P251+1),"")</f>
        <v/>
      </c>
      <c r="R251" s="25" t="str">
        <f>IF('ASS END SYNC'!C255="SHOW",FIND(",,",'ASS END SYNC'!E255,1),"")</f>
        <v/>
      </c>
      <c r="S251" s="25" t="str">
        <f>IF('ASS END SYNC'!C255="SHOW",FIND(",,",'ASS END SYNC'!E255,R251+1),"")</f>
        <v/>
      </c>
      <c r="T251" s="23" t="str">
        <f>IF('ASS END SYNC'!C255="SHOW",LEFT('ASS END SYNC'!E255,O251),"")</f>
        <v/>
      </c>
      <c r="U251" s="24" t="str">
        <f>IF('ASS END SYNC'!C255="SHOW",MID('ASS END SYNC'!E255,O251+1,P251-O251-1),"")</f>
        <v/>
      </c>
      <c r="V251" s="24" t="str">
        <f>IF(AND('ASS END SYNC'!C255="SHOW",'ASS END SYNC'!C256="SHOW"),U252,IF(AND('ASS END SYNC'!C255="SHOW",'ASS END SYNC'!C256&lt;&gt;"SHOW"),MID('ASS END SYNC'!E255,O251+1,P251-O251-1),""))</f>
        <v/>
      </c>
      <c r="W251" s="23" t="str">
        <f>IF('ASS END SYNC'!C255="SHOW",MID('ASS END SYNC'!E255,Q251+1,S251-Q251+1),"")</f>
        <v/>
      </c>
      <c r="X251" s="23" t="str">
        <f>IF('ASS END SYNC'!C255="SHOW",MID('ASS END SYNC'!E255,S251+2,1000),"")</f>
        <v/>
      </c>
      <c r="Z251" s="24"/>
    </row>
    <row r="252" spans="1:26" x14ac:dyDescent="0.25">
      <c r="A252" s="26">
        <v>249</v>
      </c>
      <c r="B252" s="24" t="str">
        <f>IF('ASS START SYNC'!C256="SHOW",FIND(",",'ASS START SYNC'!E256,1),"")</f>
        <v/>
      </c>
      <c r="C252" s="24" t="str">
        <f>IF('ASS START SYNC'!C256="SHOW",FIND(",",'ASS START SYNC'!E256,B252+1),"")</f>
        <v/>
      </c>
      <c r="D252" s="24" t="str">
        <f>IF('ASS START SYNC'!C256="SHOW",FIND(",",'ASS START SYNC'!E256,C252+1),"")</f>
        <v/>
      </c>
      <c r="E252" s="25" t="str">
        <f>IF('ASS START SYNC'!C256="SHOW",FIND(",,",'ASS START SYNC'!E256,1),"")</f>
        <v/>
      </c>
      <c r="F252" s="25" t="str">
        <f>IF('ASS START SYNC'!C256="SHOW",FIND(",,",'ASS START SYNC'!E256,E252+1),"")</f>
        <v/>
      </c>
      <c r="G252" s="23" t="str">
        <f>IF('ASS START SYNC'!C256="SHOW",LEFT('ASS START SYNC'!E256,B252),"")</f>
        <v/>
      </c>
      <c r="H252" s="24" t="str">
        <f>IF(AND('ASS START SYNC'!C256="SHOW",COUNTA('ASS START SYNC'!$E$8:'ASS START SYNC'!E255)=0),MID('ASS START SYNC'!E256,B252+1,C252-B252-1),IF(AND('ASS START SYNC'!C256="SHOW",COUNTA('ASS START SYNC'!$E$8:'ASS START SYNC'!E255)&lt;&gt;0),I251,""))</f>
        <v/>
      </c>
      <c r="I252" s="24" t="str">
        <f>IF('ASS START SYNC'!C256="SHOW",MID('ASS START SYNC'!E256,C252+1,D252-C252-1),I251)</f>
        <v/>
      </c>
      <c r="J252" s="23" t="str">
        <f>IF('ASS START SYNC'!C256="SHOW",MID('ASS START SYNC'!E256,D252+1,F252-D252+1),"")</f>
        <v/>
      </c>
      <c r="K252" s="23" t="str">
        <f>IF('ASS START SYNC'!C256="SHOW",MID('ASS START SYNC'!E256,F252+2,1000),"")</f>
        <v/>
      </c>
      <c r="M252" s="24"/>
      <c r="N252" s="26">
        <v>249</v>
      </c>
      <c r="O252" s="24" t="str">
        <f>IF('ASS END SYNC'!C256="SHOW",FIND(",",'ASS END SYNC'!E256,1),"")</f>
        <v/>
      </c>
      <c r="P252" s="24" t="str">
        <f>IF('ASS END SYNC'!C256="SHOW",FIND(",",'ASS END SYNC'!E256,O252+1),"")</f>
        <v/>
      </c>
      <c r="Q252" s="24" t="str">
        <f>IF('ASS END SYNC'!C256="SHOW",FIND(",",'ASS END SYNC'!E256,P252+1),"")</f>
        <v/>
      </c>
      <c r="R252" s="25" t="str">
        <f>IF('ASS END SYNC'!C256="SHOW",FIND(",,",'ASS END SYNC'!E256,1),"")</f>
        <v/>
      </c>
      <c r="S252" s="25" t="str">
        <f>IF('ASS END SYNC'!C256="SHOW",FIND(",,",'ASS END SYNC'!E256,R252+1),"")</f>
        <v/>
      </c>
      <c r="T252" s="23" t="str">
        <f>IF('ASS END SYNC'!C256="SHOW",LEFT('ASS END SYNC'!E256,O252),"")</f>
        <v/>
      </c>
      <c r="U252" s="24" t="str">
        <f>IF('ASS END SYNC'!C256="SHOW",MID('ASS END SYNC'!E256,O252+1,P252-O252-1),"")</f>
        <v/>
      </c>
      <c r="V252" s="24" t="str">
        <f>IF(AND('ASS END SYNC'!C256="SHOW",'ASS END SYNC'!C257="SHOW"),U253,IF(AND('ASS END SYNC'!C256="SHOW",'ASS END SYNC'!C257&lt;&gt;"SHOW"),MID('ASS END SYNC'!E256,O252+1,P252-O252-1),""))</f>
        <v/>
      </c>
      <c r="W252" s="23" t="str">
        <f>IF('ASS END SYNC'!C256="SHOW",MID('ASS END SYNC'!E256,Q252+1,S252-Q252+1),"")</f>
        <v/>
      </c>
      <c r="X252" s="23" t="str">
        <f>IF('ASS END SYNC'!C256="SHOW",MID('ASS END SYNC'!E256,S252+2,1000),"")</f>
        <v/>
      </c>
      <c r="Z252" s="24"/>
    </row>
    <row r="253" spans="1:26" x14ac:dyDescent="0.25">
      <c r="A253" s="26">
        <v>250</v>
      </c>
      <c r="B253" s="24" t="str">
        <f>IF('ASS START SYNC'!C257="SHOW",FIND(",",'ASS START SYNC'!E257,1),"")</f>
        <v/>
      </c>
      <c r="C253" s="24" t="str">
        <f>IF('ASS START SYNC'!C257="SHOW",FIND(",",'ASS START SYNC'!E257,B253+1),"")</f>
        <v/>
      </c>
      <c r="D253" s="24" t="str">
        <f>IF('ASS START SYNC'!C257="SHOW",FIND(",",'ASS START SYNC'!E257,C253+1),"")</f>
        <v/>
      </c>
      <c r="E253" s="25" t="str">
        <f>IF('ASS START SYNC'!C257="SHOW",FIND(",,",'ASS START SYNC'!E257,1),"")</f>
        <v/>
      </c>
      <c r="F253" s="25" t="str">
        <f>IF('ASS START SYNC'!C257="SHOW",FIND(",,",'ASS START SYNC'!E257,E253+1),"")</f>
        <v/>
      </c>
      <c r="G253" s="23" t="str">
        <f>IF('ASS START SYNC'!C257="SHOW",LEFT('ASS START SYNC'!E257,B253),"")</f>
        <v/>
      </c>
      <c r="H253" s="24" t="str">
        <f>IF(AND('ASS START SYNC'!C257="SHOW",COUNTA('ASS START SYNC'!$E$8:'ASS START SYNC'!E256)=0),MID('ASS START SYNC'!E257,B253+1,C253-B253-1),IF(AND('ASS START SYNC'!C257="SHOW",COUNTA('ASS START SYNC'!$E$8:'ASS START SYNC'!E256)&lt;&gt;0),I252,""))</f>
        <v/>
      </c>
      <c r="I253" s="24" t="str">
        <f>IF('ASS START SYNC'!C257="SHOW",MID('ASS START SYNC'!E257,C253+1,D253-C253-1),I252)</f>
        <v/>
      </c>
      <c r="J253" s="23" t="str">
        <f>IF('ASS START SYNC'!C257="SHOW",MID('ASS START SYNC'!E257,D253+1,F253-D253+1),"")</f>
        <v/>
      </c>
      <c r="K253" s="23" t="str">
        <f>IF('ASS START SYNC'!C257="SHOW",MID('ASS START SYNC'!E257,F253+2,1000),"")</f>
        <v/>
      </c>
      <c r="M253" s="24"/>
      <c r="N253" s="26">
        <v>250</v>
      </c>
      <c r="O253" s="24" t="str">
        <f>IF('ASS END SYNC'!C257="SHOW",FIND(",",'ASS END SYNC'!E257,1),"")</f>
        <v/>
      </c>
      <c r="P253" s="24" t="str">
        <f>IF('ASS END SYNC'!C257="SHOW",FIND(",",'ASS END SYNC'!E257,O253+1),"")</f>
        <v/>
      </c>
      <c r="Q253" s="24" t="str">
        <f>IF('ASS END SYNC'!C257="SHOW",FIND(",",'ASS END SYNC'!E257,P253+1),"")</f>
        <v/>
      </c>
      <c r="R253" s="25" t="str">
        <f>IF('ASS END SYNC'!C257="SHOW",FIND(",,",'ASS END SYNC'!E257,1),"")</f>
        <v/>
      </c>
      <c r="S253" s="25" t="str">
        <f>IF('ASS END SYNC'!C257="SHOW",FIND(",,",'ASS END SYNC'!E257,R253+1),"")</f>
        <v/>
      </c>
      <c r="T253" s="23" t="str">
        <f>IF('ASS END SYNC'!C257="SHOW",LEFT('ASS END SYNC'!E257,O253),"")</f>
        <v/>
      </c>
      <c r="U253" s="24" t="str">
        <f>IF('ASS END SYNC'!C257="SHOW",MID('ASS END SYNC'!E257,O253+1,P253-O253-1),"")</f>
        <v/>
      </c>
      <c r="V253" s="24" t="str">
        <f>IF(AND('ASS END SYNC'!C257="SHOW",'ASS END SYNC'!C258="SHOW"),U254,IF(AND('ASS END SYNC'!C257="SHOW",'ASS END SYNC'!C258&lt;&gt;"SHOW"),MID('ASS END SYNC'!E257,O253+1,P253-O253-1),""))</f>
        <v/>
      </c>
      <c r="W253" s="23" t="str">
        <f>IF('ASS END SYNC'!C257="SHOW",MID('ASS END SYNC'!E257,Q253+1,S253-Q253+1),"")</f>
        <v/>
      </c>
      <c r="X253" s="23" t="str">
        <f>IF('ASS END SYNC'!C257="SHOW",MID('ASS END SYNC'!E257,S253+2,1000),"")</f>
        <v/>
      </c>
      <c r="Z253" s="24"/>
    </row>
    <row r="254" spans="1:26" x14ac:dyDescent="0.25">
      <c r="A254" s="26">
        <v>251</v>
      </c>
      <c r="B254" s="24" t="str">
        <f>IF('ASS START SYNC'!C258="SHOW",FIND(",",'ASS START SYNC'!E258,1),"")</f>
        <v/>
      </c>
      <c r="C254" s="24" t="str">
        <f>IF('ASS START SYNC'!C258="SHOW",FIND(",",'ASS START SYNC'!E258,B254+1),"")</f>
        <v/>
      </c>
      <c r="D254" s="24" t="str">
        <f>IF('ASS START SYNC'!C258="SHOW",FIND(",",'ASS START SYNC'!E258,C254+1),"")</f>
        <v/>
      </c>
      <c r="E254" s="25" t="str">
        <f>IF('ASS START SYNC'!C258="SHOW",FIND(",,",'ASS START SYNC'!E258,1),"")</f>
        <v/>
      </c>
      <c r="F254" s="25" t="str">
        <f>IF('ASS START SYNC'!C258="SHOW",FIND(",,",'ASS START SYNC'!E258,E254+1),"")</f>
        <v/>
      </c>
      <c r="G254" s="23" t="str">
        <f>IF('ASS START SYNC'!C258="SHOW",LEFT('ASS START SYNC'!E258,B254),"")</f>
        <v/>
      </c>
      <c r="H254" s="24" t="str">
        <f>IF(AND('ASS START SYNC'!C258="SHOW",COUNTA('ASS START SYNC'!$E$8:'ASS START SYNC'!E257)=0),MID('ASS START SYNC'!E258,B254+1,C254-B254-1),IF(AND('ASS START SYNC'!C258="SHOW",COUNTA('ASS START SYNC'!$E$8:'ASS START SYNC'!E257)&lt;&gt;0),I253,""))</f>
        <v/>
      </c>
      <c r="I254" s="24" t="str">
        <f>IF('ASS START SYNC'!C258="SHOW",MID('ASS START SYNC'!E258,C254+1,D254-C254-1),I253)</f>
        <v/>
      </c>
      <c r="J254" s="23" t="str">
        <f>IF('ASS START SYNC'!C258="SHOW",MID('ASS START SYNC'!E258,D254+1,F254-D254+1),"")</f>
        <v/>
      </c>
      <c r="K254" s="23" t="str">
        <f>IF('ASS START SYNC'!C258="SHOW",MID('ASS START SYNC'!E258,F254+2,1000),"")</f>
        <v/>
      </c>
      <c r="M254" s="24"/>
      <c r="N254" s="26">
        <v>251</v>
      </c>
      <c r="O254" s="24" t="str">
        <f>IF('ASS END SYNC'!C258="SHOW",FIND(",",'ASS END SYNC'!E258,1),"")</f>
        <v/>
      </c>
      <c r="P254" s="24" t="str">
        <f>IF('ASS END SYNC'!C258="SHOW",FIND(",",'ASS END SYNC'!E258,O254+1),"")</f>
        <v/>
      </c>
      <c r="Q254" s="24" t="str">
        <f>IF('ASS END SYNC'!C258="SHOW",FIND(",",'ASS END SYNC'!E258,P254+1),"")</f>
        <v/>
      </c>
      <c r="R254" s="25" t="str">
        <f>IF('ASS END SYNC'!C258="SHOW",FIND(",,",'ASS END SYNC'!E258,1),"")</f>
        <v/>
      </c>
      <c r="S254" s="25" t="str">
        <f>IF('ASS END SYNC'!C258="SHOW",FIND(",,",'ASS END SYNC'!E258,R254+1),"")</f>
        <v/>
      </c>
      <c r="T254" s="23" t="str">
        <f>IF('ASS END SYNC'!C258="SHOW",LEFT('ASS END SYNC'!E258,O254),"")</f>
        <v/>
      </c>
      <c r="U254" s="24" t="str">
        <f>IF('ASS END SYNC'!C258="SHOW",MID('ASS END SYNC'!E258,O254+1,P254-O254-1),"")</f>
        <v/>
      </c>
      <c r="V254" s="24" t="str">
        <f>IF(AND('ASS END SYNC'!C258="SHOW",'ASS END SYNC'!C259="SHOW"),U255,IF(AND('ASS END SYNC'!C258="SHOW",'ASS END SYNC'!C259&lt;&gt;"SHOW"),MID('ASS END SYNC'!E258,O254+1,P254-O254-1),""))</f>
        <v/>
      </c>
      <c r="W254" s="23" t="str">
        <f>IF('ASS END SYNC'!C258="SHOW",MID('ASS END SYNC'!E258,Q254+1,S254-Q254+1),"")</f>
        <v/>
      </c>
      <c r="X254" s="23" t="str">
        <f>IF('ASS END SYNC'!C258="SHOW",MID('ASS END SYNC'!E258,S254+2,1000),"")</f>
        <v/>
      </c>
      <c r="Z254" s="24"/>
    </row>
    <row r="255" spans="1:26" x14ac:dyDescent="0.25">
      <c r="A255" s="26">
        <v>252</v>
      </c>
      <c r="B255" s="24" t="str">
        <f>IF('ASS START SYNC'!C259="SHOW",FIND(",",'ASS START SYNC'!E259,1),"")</f>
        <v/>
      </c>
      <c r="C255" s="24" t="str">
        <f>IF('ASS START SYNC'!C259="SHOW",FIND(",",'ASS START SYNC'!E259,B255+1),"")</f>
        <v/>
      </c>
      <c r="D255" s="24" t="str">
        <f>IF('ASS START SYNC'!C259="SHOW",FIND(",",'ASS START SYNC'!E259,C255+1),"")</f>
        <v/>
      </c>
      <c r="E255" s="25" t="str">
        <f>IF('ASS START SYNC'!C259="SHOW",FIND(",,",'ASS START SYNC'!E259,1),"")</f>
        <v/>
      </c>
      <c r="F255" s="25" t="str">
        <f>IF('ASS START SYNC'!C259="SHOW",FIND(",,",'ASS START SYNC'!E259,E255+1),"")</f>
        <v/>
      </c>
      <c r="G255" s="23" t="str">
        <f>IF('ASS START SYNC'!C259="SHOW",LEFT('ASS START SYNC'!E259,B255),"")</f>
        <v/>
      </c>
      <c r="H255" s="24" t="str">
        <f>IF(AND('ASS START SYNC'!C259="SHOW",COUNTA('ASS START SYNC'!$E$8:'ASS START SYNC'!E258)=0),MID('ASS START SYNC'!E259,B255+1,C255-B255-1),IF(AND('ASS START SYNC'!C259="SHOW",COUNTA('ASS START SYNC'!$E$8:'ASS START SYNC'!E258)&lt;&gt;0),I254,""))</f>
        <v/>
      </c>
      <c r="I255" s="24" t="str">
        <f>IF('ASS START SYNC'!C259="SHOW",MID('ASS START SYNC'!E259,C255+1,D255-C255-1),I254)</f>
        <v/>
      </c>
      <c r="J255" s="23" t="str">
        <f>IF('ASS START SYNC'!C259="SHOW",MID('ASS START SYNC'!E259,D255+1,F255-D255+1),"")</f>
        <v/>
      </c>
      <c r="K255" s="23" t="str">
        <f>IF('ASS START SYNC'!C259="SHOW",MID('ASS START SYNC'!E259,F255+2,1000),"")</f>
        <v/>
      </c>
      <c r="M255" s="24"/>
      <c r="N255" s="26">
        <v>252</v>
      </c>
      <c r="O255" s="24" t="str">
        <f>IF('ASS END SYNC'!C259="SHOW",FIND(",",'ASS END SYNC'!E259,1),"")</f>
        <v/>
      </c>
      <c r="P255" s="24" t="str">
        <f>IF('ASS END SYNC'!C259="SHOW",FIND(",",'ASS END SYNC'!E259,O255+1),"")</f>
        <v/>
      </c>
      <c r="Q255" s="24" t="str">
        <f>IF('ASS END SYNC'!C259="SHOW",FIND(",",'ASS END SYNC'!E259,P255+1),"")</f>
        <v/>
      </c>
      <c r="R255" s="25" t="str">
        <f>IF('ASS END SYNC'!C259="SHOW",FIND(",,",'ASS END SYNC'!E259,1),"")</f>
        <v/>
      </c>
      <c r="S255" s="25" t="str">
        <f>IF('ASS END SYNC'!C259="SHOW",FIND(",,",'ASS END SYNC'!E259,R255+1),"")</f>
        <v/>
      </c>
      <c r="T255" s="23" t="str">
        <f>IF('ASS END SYNC'!C259="SHOW",LEFT('ASS END SYNC'!E259,O255),"")</f>
        <v/>
      </c>
      <c r="U255" s="24" t="str">
        <f>IF('ASS END SYNC'!C259="SHOW",MID('ASS END SYNC'!E259,O255+1,P255-O255-1),"")</f>
        <v/>
      </c>
      <c r="V255" s="24" t="str">
        <f>IF(AND('ASS END SYNC'!C259="SHOW",'ASS END SYNC'!C260="SHOW"),U256,IF(AND('ASS END SYNC'!C259="SHOW",'ASS END SYNC'!C260&lt;&gt;"SHOW"),MID('ASS END SYNC'!E259,O255+1,P255-O255-1),""))</f>
        <v/>
      </c>
      <c r="W255" s="23" t="str">
        <f>IF('ASS END SYNC'!C259="SHOW",MID('ASS END SYNC'!E259,Q255+1,S255-Q255+1),"")</f>
        <v/>
      </c>
      <c r="X255" s="23" t="str">
        <f>IF('ASS END SYNC'!C259="SHOW",MID('ASS END SYNC'!E259,S255+2,1000),"")</f>
        <v/>
      </c>
      <c r="Z255" s="24"/>
    </row>
    <row r="256" spans="1:26" x14ac:dyDescent="0.25">
      <c r="A256" s="26">
        <v>253</v>
      </c>
      <c r="B256" s="24" t="str">
        <f>IF('ASS START SYNC'!C260="SHOW",FIND(",",'ASS START SYNC'!E260,1),"")</f>
        <v/>
      </c>
      <c r="C256" s="24" t="str">
        <f>IF('ASS START SYNC'!C260="SHOW",FIND(",",'ASS START SYNC'!E260,B256+1),"")</f>
        <v/>
      </c>
      <c r="D256" s="24" t="str">
        <f>IF('ASS START SYNC'!C260="SHOW",FIND(",",'ASS START SYNC'!E260,C256+1),"")</f>
        <v/>
      </c>
      <c r="E256" s="25" t="str">
        <f>IF('ASS START SYNC'!C260="SHOW",FIND(",,",'ASS START SYNC'!E260,1),"")</f>
        <v/>
      </c>
      <c r="F256" s="25" t="str">
        <f>IF('ASS START SYNC'!C260="SHOW",FIND(",,",'ASS START SYNC'!E260,E256+1),"")</f>
        <v/>
      </c>
      <c r="G256" s="23" t="str">
        <f>IF('ASS START SYNC'!C260="SHOW",LEFT('ASS START SYNC'!E260,B256),"")</f>
        <v/>
      </c>
      <c r="H256" s="24" t="str">
        <f>IF(AND('ASS START SYNC'!C260="SHOW",COUNTA('ASS START SYNC'!$E$8:'ASS START SYNC'!E259)=0),MID('ASS START SYNC'!E260,B256+1,C256-B256-1),IF(AND('ASS START SYNC'!C260="SHOW",COUNTA('ASS START SYNC'!$E$8:'ASS START SYNC'!E259)&lt;&gt;0),I255,""))</f>
        <v/>
      </c>
      <c r="I256" s="24" t="str">
        <f>IF('ASS START SYNC'!C260="SHOW",MID('ASS START SYNC'!E260,C256+1,D256-C256-1),I255)</f>
        <v/>
      </c>
      <c r="J256" s="23" t="str">
        <f>IF('ASS START SYNC'!C260="SHOW",MID('ASS START SYNC'!E260,D256+1,F256-D256+1),"")</f>
        <v/>
      </c>
      <c r="K256" s="23" t="str">
        <f>IF('ASS START SYNC'!C260="SHOW",MID('ASS START SYNC'!E260,F256+2,1000),"")</f>
        <v/>
      </c>
      <c r="M256" s="24"/>
      <c r="N256" s="26">
        <v>253</v>
      </c>
      <c r="O256" s="24" t="str">
        <f>IF('ASS END SYNC'!C260="SHOW",FIND(",",'ASS END SYNC'!E260,1),"")</f>
        <v/>
      </c>
      <c r="P256" s="24" t="str">
        <f>IF('ASS END SYNC'!C260="SHOW",FIND(",",'ASS END SYNC'!E260,O256+1),"")</f>
        <v/>
      </c>
      <c r="Q256" s="24" t="str">
        <f>IF('ASS END SYNC'!C260="SHOW",FIND(",",'ASS END SYNC'!E260,P256+1),"")</f>
        <v/>
      </c>
      <c r="R256" s="25" t="str">
        <f>IF('ASS END SYNC'!C260="SHOW",FIND(",,",'ASS END SYNC'!E260,1),"")</f>
        <v/>
      </c>
      <c r="S256" s="25" t="str">
        <f>IF('ASS END SYNC'!C260="SHOW",FIND(",,",'ASS END SYNC'!E260,R256+1),"")</f>
        <v/>
      </c>
      <c r="T256" s="23" t="str">
        <f>IF('ASS END SYNC'!C260="SHOW",LEFT('ASS END SYNC'!E260,O256),"")</f>
        <v/>
      </c>
      <c r="U256" s="24" t="str">
        <f>IF('ASS END SYNC'!C260="SHOW",MID('ASS END SYNC'!E260,O256+1,P256-O256-1),"")</f>
        <v/>
      </c>
      <c r="V256" s="24" t="str">
        <f>IF(AND('ASS END SYNC'!C260="SHOW",'ASS END SYNC'!C261="SHOW"),U257,IF(AND('ASS END SYNC'!C260="SHOW",'ASS END SYNC'!C261&lt;&gt;"SHOW"),MID('ASS END SYNC'!E260,O256+1,P256-O256-1),""))</f>
        <v/>
      </c>
      <c r="W256" s="23" t="str">
        <f>IF('ASS END SYNC'!C260="SHOW",MID('ASS END SYNC'!E260,Q256+1,S256-Q256+1),"")</f>
        <v/>
      </c>
      <c r="X256" s="23" t="str">
        <f>IF('ASS END SYNC'!C260="SHOW",MID('ASS END SYNC'!E260,S256+2,1000),"")</f>
        <v/>
      </c>
      <c r="Z256" s="24"/>
    </row>
    <row r="257" spans="1:26" x14ac:dyDescent="0.25">
      <c r="A257" s="26">
        <v>254</v>
      </c>
      <c r="B257" s="24" t="str">
        <f>IF('ASS START SYNC'!C261="SHOW",FIND(",",'ASS START SYNC'!E261,1),"")</f>
        <v/>
      </c>
      <c r="C257" s="24" t="str">
        <f>IF('ASS START SYNC'!C261="SHOW",FIND(",",'ASS START SYNC'!E261,B257+1),"")</f>
        <v/>
      </c>
      <c r="D257" s="24" t="str">
        <f>IF('ASS START SYNC'!C261="SHOW",FIND(",",'ASS START SYNC'!E261,C257+1),"")</f>
        <v/>
      </c>
      <c r="E257" s="25" t="str">
        <f>IF('ASS START SYNC'!C261="SHOW",FIND(",,",'ASS START SYNC'!E261,1),"")</f>
        <v/>
      </c>
      <c r="F257" s="25" t="str">
        <f>IF('ASS START SYNC'!C261="SHOW",FIND(",,",'ASS START SYNC'!E261,E257+1),"")</f>
        <v/>
      </c>
      <c r="G257" s="23" t="str">
        <f>IF('ASS START SYNC'!C261="SHOW",LEFT('ASS START SYNC'!E261,B257),"")</f>
        <v/>
      </c>
      <c r="H257" s="24" t="str">
        <f>IF(AND('ASS START SYNC'!C261="SHOW",COUNTA('ASS START SYNC'!$E$8:'ASS START SYNC'!E260)=0),MID('ASS START SYNC'!E261,B257+1,C257-B257-1),IF(AND('ASS START SYNC'!C261="SHOW",COUNTA('ASS START SYNC'!$E$8:'ASS START SYNC'!E260)&lt;&gt;0),I256,""))</f>
        <v/>
      </c>
      <c r="I257" s="24" t="str">
        <f>IF('ASS START SYNC'!C261="SHOW",MID('ASS START SYNC'!E261,C257+1,D257-C257-1),I256)</f>
        <v/>
      </c>
      <c r="J257" s="23" t="str">
        <f>IF('ASS START SYNC'!C261="SHOW",MID('ASS START SYNC'!E261,D257+1,F257-D257+1),"")</f>
        <v/>
      </c>
      <c r="K257" s="23" t="str">
        <f>IF('ASS START SYNC'!C261="SHOW",MID('ASS START SYNC'!E261,F257+2,1000),"")</f>
        <v/>
      </c>
      <c r="M257" s="24"/>
      <c r="N257" s="26">
        <v>254</v>
      </c>
      <c r="O257" s="24" t="str">
        <f>IF('ASS END SYNC'!C261="SHOW",FIND(",",'ASS END SYNC'!E261,1),"")</f>
        <v/>
      </c>
      <c r="P257" s="24" t="str">
        <f>IF('ASS END SYNC'!C261="SHOW",FIND(",",'ASS END SYNC'!E261,O257+1),"")</f>
        <v/>
      </c>
      <c r="Q257" s="24" t="str">
        <f>IF('ASS END SYNC'!C261="SHOW",FIND(",",'ASS END SYNC'!E261,P257+1),"")</f>
        <v/>
      </c>
      <c r="R257" s="25" t="str">
        <f>IF('ASS END SYNC'!C261="SHOW",FIND(",,",'ASS END SYNC'!E261,1),"")</f>
        <v/>
      </c>
      <c r="S257" s="25" t="str">
        <f>IF('ASS END SYNC'!C261="SHOW",FIND(",,",'ASS END SYNC'!E261,R257+1),"")</f>
        <v/>
      </c>
      <c r="T257" s="23" t="str">
        <f>IF('ASS END SYNC'!C261="SHOW",LEFT('ASS END SYNC'!E261,O257),"")</f>
        <v/>
      </c>
      <c r="U257" s="24" t="str">
        <f>IF('ASS END SYNC'!C261="SHOW",MID('ASS END SYNC'!E261,O257+1,P257-O257-1),"")</f>
        <v/>
      </c>
      <c r="V257" s="24" t="str">
        <f>IF(AND('ASS END SYNC'!C261="SHOW",'ASS END SYNC'!C262="SHOW"),U258,IF(AND('ASS END SYNC'!C261="SHOW",'ASS END SYNC'!C262&lt;&gt;"SHOW"),MID('ASS END SYNC'!E261,O257+1,P257-O257-1),""))</f>
        <v/>
      </c>
      <c r="W257" s="23" t="str">
        <f>IF('ASS END SYNC'!C261="SHOW",MID('ASS END SYNC'!E261,Q257+1,S257-Q257+1),"")</f>
        <v/>
      </c>
      <c r="X257" s="23" t="str">
        <f>IF('ASS END SYNC'!C261="SHOW",MID('ASS END SYNC'!E261,S257+2,1000),"")</f>
        <v/>
      </c>
      <c r="Z257" s="24"/>
    </row>
    <row r="258" spans="1:26" x14ac:dyDescent="0.25">
      <c r="A258" s="26">
        <v>255</v>
      </c>
      <c r="B258" s="24" t="str">
        <f>IF('ASS START SYNC'!C262="SHOW",FIND(",",'ASS START SYNC'!E262,1),"")</f>
        <v/>
      </c>
      <c r="C258" s="24" t="str">
        <f>IF('ASS START SYNC'!C262="SHOW",FIND(",",'ASS START SYNC'!E262,B258+1),"")</f>
        <v/>
      </c>
      <c r="D258" s="24" t="str">
        <f>IF('ASS START SYNC'!C262="SHOW",FIND(",",'ASS START SYNC'!E262,C258+1),"")</f>
        <v/>
      </c>
      <c r="E258" s="25" t="str">
        <f>IF('ASS START SYNC'!C262="SHOW",FIND(",,",'ASS START SYNC'!E262,1),"")</f>
        <v/>
      </c>
      <c r="F258" s="25" t="str">
        <f>IF('ASS START SYNC'!C262="SHOW",FIND(",,",'ASS START SYNC'!E262,E258+1),"")</f>
        <v/>
      </c>
      <c r="G258" s="23" t="str">
        <f>IF('ASS START SYNC'!C262="SHOW",LEFT('ASS START SYNC'!E262,B258),"")</f>
        <v/>
      </c>
      <c r="H258" s="24" t="str">
        <f>IF(AND('ASS START SYNC'!C262="SHOW",COUNTA('ASS START SYNC'!$E$8:'ASS START SYNC'!E261)=0),MID('ASS START SYNC'!E262,B258+1,C258-B258-1),IF(AND('ASS START SYNC'!C262="SHOW",COUNTA('ASS START SYNC'!$E$8:'ASS START SYNC'!E261)&lt;&gt;0),I257,""))</f>
        <v/>
      </c>
      <c r="I258" s="24" t="str">
        <f>IF('ASS START SYNC'!C262="SHOW",MID('ASS START SYNC'!E262,C258+1,D258-C258-1),I257)</f>
        <v/>
      </c>
      <c r="J258" s="23" t="str">
        <f>IF('ASS START SYNC'!C262="SHOW",MID('ASS START SYNC'!E262,D258+1,F258-D258+1),"")</f>
        <v/>
      </c>
      <c r="K258" s="23" t="str">
        <f>IF('ASS START SYNC'!C262="SHOW",MID('ASS START SYNC'!E262,F258+2,1000),"")</f>
        <v/>
      </c>
      <c r="M258" s="24"/>
      <c r="N258" s="26">
        <v>255</v>
      </c>
      <c r="O258" s="24" t="str">
        <f>IF('ASS END SYNC'!C262="SHOW",FIND(",",'ASS END SYNC'!E262,1),"")</f>
        <v/>
      </c>
      <c r="P258" s="24" t="str">
        <f>IF('ASS END SYNC'!C262="SHOW",FIND(",",'ASS END SYNC'!E262,O258+1),"")</f>
        <v/>
      </c>
      <c r="Q258" s="24" t="str">
        <f>IF('ASS END SYNC'!C262="SHOW",FIND(",",'ASS END SYNC'!E262,P258+1),"")</f>
        <v/>
      </c>
      <c r="R258" s="25" t="str">
        <f>IF('ASS END SYNC'!C262="SHOW",FIND(",,",'ASS END SYNC'!E262,1),"")</f>
        <v/>
      </c>
      <c r="S258" s="25" t="str">
        <f>IF('ASS END SYNC'!C262="SHOW",FIND(",,",'ASS END SYNC'!E262,R258+1),"")</f>
        <v/>
      </c>
      <c r="T258" s="23" t="str">
        <f>IF('ASS END SYNC'!C262="SHOW",LEFT('ASS END SYNC'!E262,O258),"")</f>
        <v/>
      </c>
      <c r="U258" s="24" t="str">
        <f>IF('ASS END SYNC'!C262="SHOW",MID('ASS END SYNC'!E262,O258+1,P258-O258-1),"")</f>
        <v/>
      </c>
      <c r="V258" s="24" t="str">
        <f>IF(AND('ASS END SYNC'!C262="SHOW",'ASS END SYNC'!C263="SHOW"),U259,IF(AND('ASS END SYNC'!C262="SHOW",'ASS END SYNC'!C263&lt;&gt;"SHOW"),MID('ASS END SYNC'!E262,O258+1,P258-O258-1),""))</f>
        <v/>
      </c>
      <c r="W258" s="23" t="str">
        <f>IF('ASS END SYNC'!C262="SHOW",MID('ASS END SYNC'!E262,Q258+1,S258-Q258+1),"")</f>
        <v/>
      </c>
      <c r="X258" s="23" t="str">
        <f>IF('ASS END SYNC'!C262="SHOW",MID('ASS END SYNC'!E262,S258+2,1000),"")</f>
        <v/>
      </c>
      <c r="Z258" s="24"/>
    </row>
    <row r="259" spans="1:26" x14ac:dyDescent="0.25">
      <c r="A259" s="26">
        <v>256</v>
      </c>
      <c r="B259" s="24" t="str">
        <f>IF('ASS START SYNC'!C263="SHOW",FIND(",",'ASS START SYNC'!E263,1),"")</f>
        <v/>
      </c>
      <c r="C259" s="24" t="str">
        <f>IF('ASS START SYNC'!C263="SHOW",FIND(",",'ASS START SYNC'!E263,B259+1),"")</f>
        <v/>
      </c>
      <c r="D259" s="24" t="str">
        <f>IF('ASS START SYNC'!C263="SHOW",FIND(",",'ASS START SYNC'!E263,C259+1),"")</f>
        <v/>
      </c>
      <c r="E259" s="25" t="str">
        <f>IF('ASS START SYNC'!C263="SHOW",FIND(",,",'ASS START SYNC'!E263,1),"")</f>
        <v/>
      </c>
      <c r="F259" s="25" t="str">
        <f>IF('ASS START SYNC'!C263="SHOW",FIND(",,",'ASS START SYNC'!E263,E259+1),"")</f>
        <v/>
      </c>
      <c r="G259" s="23" t="str">
        <f>IF('ASS START SYNC'!C263="SHOW",LEFT('ASS START SYNC'!E263,B259),"")</f>
        <v/>
      </c>
      <c r="H259" s="24" t="str">
        <f>IF(AND('ASS START SYNC'!C263="SHOW",COUNTA('ASS START SYNC'!$E$8:'ASS START SYNC'!E262)=0),MID('ASS START SYNC'!E263,B259+1,C259-B259-1),IF(AND('ASS START SYNC'!C263="SHOW",COUNTA('ASS START SYNC'!$E$8:'ASS START SYNC'!E262)&lt;&gt;0),I258,""))</f>
        <v/>
      </c>
      <c r="I259" s="24" t="str">
        <f>IF('ASS START SYNC'!C263="SHOW",MID('ASS START SYNC'!E263,C259+1,D259-C259-1),I258)</f>
        <v/>
      </c>
      <c r="J259" s="23" t="str">
        <f>IF('ASS START SYNC'!C263="SHOW",MID('ASS START SYNC'!E263,D259+1,F259-D259+1),"")</f>
        <v/>
      </c>
      <c r="K259" s="23" t="str">
        <f>IF('ASS START SYNC'!C263="SHOW",MID('ASS START SYNC'!E263,F259+2,1000),"")</f>
        <v/>
      </c>
      <c r="M259" s="24"/>
      <c r="N259" s="26">
        <v>256</v>
      </c>
      <c r="O259" s="24" t="str">
        <f>IF('ASS END SYNC'!C263="SHOW",FIND(",",'ASS END SYNC'!E263,1),"")</f>
        <v/>
      </c>
      <c r="P259" s="24" t="str">
        <f>IF('ASS END SYNC'!C263="SHOW",FIND(",",'ASS END SYNC'!E263,O259+1),"")</f>
        <v/>
      </c>
      <c r="Q259" s="24" t="str">
        <f>IF('ASS END SYNC'!C263="SHOW",FIND(",",'ASS END SYNC'!E263,P259+1),"")</f>
        <v/>
      </c>
      <c r="R259" s="25" t="str">
        <f>IF('ASS END SYNC'!C263="SHOW",FIND(",,",'ASS END SYNC'!E263,1),"")</f>
        <v/>
      </c>
      <c r="S259" s="25" t="str">
        <f>IF('ASS END SYNC'!C263="SHOW",FIND(",,",'ASS END SYNC'!E263,R259+1),"")</f>
        <v/>
      </c>
      <c r="T259" s="23" t="str">
        <f>IF('ASS END SYNC'!C263="SHOW",LEFT('ASS END SYNC'!E263,O259),"")</f>
        <v/>
      </c>
      <c r="U259" s="24" t="str">
        <f>IF('ASS END SYNC'!C263="SHOW",MID('ASS END SYNC'!E263,O259+1,P259-O259-1),"")</f>
        <v/>
      </c>
      <c r="V259" s="24" t="str">
        <f>IF(AND('ASS END SYNC'!C263="SHOW",'ASS END SYNC'!C264="SHOW"),U260,IF(AND('ASS END SYNC'!C263="SHOW",'ASS END SYNC'!C264&lt;&gt;"SHOW"),MID('ASS END SYNC'!E263,O259+1,P259-O259-1),""))</f>
        <v/>
      </c>
      <c r="W259" s="23" t="str">
        <f>IF('ASS END SYNC'!C263="SHOW",MID('ASS END SYNC'!E263,Q259+1,S259-Q259+1),"")</f>
        <v/>
      </c>
      <c r="X259" s="23" t="str">
        <f>IF('ASS END SYNC'!C263="SHOW",MID('ASS END SYNC'!E263,S259+2,1000),"")</f>
        <v/>
      </c>
      <c r="Z259" s="24"/>
    </row>
    <row r="260" spans="1:26" x14ac:dyDescent="0.25">
      <c r="A260" s="26">
        <v>257</v>
      </c>
      <c r="B260" s="24" t="str">
        <f>IF('ASS START SYNC'!C264="SHOW",FIND(",",'ASS START SYNC'!E264,1),"")</f>
        <v/>
      </c>
      <c r="C260" s="24" t="str">
        <f>IF('ASS START SYNC'!C264="SHOW",FIND(",",'ASS START SYNC'!E264,B260+1),"")</f>
        <v/>
      </c>
      <c r="D260" s="24" t="str">
        <f>IF('ASS START SYNC'!C264="SHOW",FIND(",",'ASS START SYNC'!E264,C260+1),"")</f>
        <v/>
      </c>
      <c r="E260" s="25" t="str">
        <f>IF('ASS START SYNC'!C264="SHOW",FIND(",,",'ASS START SYNC'!E264,1),"")</f>
        <v/>
      </c>
      <c r="F260" s="25" t="str">
        <f>IF('ASS START SYNC'!C264="SHOW",FIND(",,",'ASS START SYNC'!E264,E260+1),"")</f>
        <v/>
      </c>
      <c r="G260" s="23" t="str">
        <f>IF('ASS START SYNC'!C264="SHOW",LEFT('ASS START SYNC'!E264,B260),"")</f>
        <v/>
      </c>
      <c r="H260" s="24" t="str">
        <f>IF(AND('ASS START SYNC'!C264="SHOW",COUNTA('ASS START SYNC'!$E$8:'ASS START SYNC'!E263)=0),MID('ASS START SYNC'!E264,B260+1,C260-B260-1),IF(AND('ASS START SYNC'!C264="SHOW",COUNTA('ASS START SYNC'!$E$8:'ASS START SYNC'!E263)&lt;&gt;0),I259,""))</f>
        <v/>
      </c>
      <c r="I260" s="24" t="str">
        <f>IF('ASS START SYNC'!C264="SHOW",MID('ASS START SYNC'!E264,C260+1,D260-C260-1),I259)</f>
        <v/>
      </c>
      <c r="J260" s="23" t="str">
        <f>IF('ASS START SYNC'!C264="SHOW",MID('ASS START SYNC'!E264,D260+1,F260-D260+1),"")</f>
        <v/>
      </c>
      <c r="K260" s="23" t="str">
        <f>IF('ASS START SYNC'!C264="SHOW",MID('ASS START SYNC'!E264,F260+2,1000),"")</f>
        <v/>
      </c>
      <c r="M260" s="24"/>
      <c r="N260" s="26">
        <v>257</v>
      </c>
      <c r="O260" s="24" t="str">
        <f>IF('ASS END SYNC'!C264="SHOW",FIND(",",'ASS END SYNC'!E264,1),"")</f>
        <v/>
      </c>
      <c r="P260" s="24" t="str">
        <f>IF('ASS END SYNC'!C264="SHOW",FIND(",",'ASS END SYNC'!E264,O260+1),"")</f>
        <v/>
      </c>
      <c r="Q260" s="24" t="str">
        <f>IF('ASS END SYNC'!C264="SHOW",FIND(",",'ASS END SYNC'!E264,P260+1),"")</f>
        <v/>
      </c>
      <c r="R260" s="25" t="str">
        <f>IF('ASS END SYNC'!C264="SHOW",FIND(",,",'ASS END SYNC'!E264,1),"")</f>
        <v/>
      </c>
      <c r="S260" s="25" t="str">
        <f>IF('ASS END SYNC'!C264="SHOW",FIND(",,",'ASS END SYNC'!E264,R260+1),"")</f>
        <v/>
      </c>
      <c r="T260" s="23" t="str">
        <f>IF('ASS END SYNC'!C264="SHOW",LEFT('ASS END SYNC'!E264,O260),"")</f>
        <v/>
      </c>
      <c r="U260" s="24" t="str">
        <f>IF('ASS END SYNC'!C264="SHOW",MID('ASS END SYNC'!E264,O260+1,P260-O260-1),"")</f>
        <v/>
      </c>
      <c r="V260" s="24" t="str">
        <f>IF(AND('ASS END SYNC'!C264="SHOW",'ASS END SYNC'!C265="SHOW"),U261,IF(AND('ASS END SYNC'!C264="SHOW",'ASS END SYNC'!C265&lt;&gt;"SHOW"),MID('ASS END SYNC'!E264,O260+1,P260-O260-1),""))</f>
        <v/>
      </c>
      <c r="W260" s="23" t="str">
        <f>IF('ASS END SYNC'!C264="SHOW",MID('ASS END SYNC'!E264,Q260+1,S260-Q260+1),"")</f>
        <v/>
      </c>
      <c r="X260" s="23" t="str">
        <f>IF('ASS END SYNC'!C264="SHOW",MID('ASS END SYNC'!E264,S260+2,1000),"")</f>
        <v/>
      </c>
      <c r="Z260" s="24"/>
    </row>
    <row r="261" spans="1:26" x14ac:dyDescent="0.25">
      <c r="A261" s="26">
        <v>258</v>
      </c>
      <c r="B261" s="24" t="str">
        <f>IF('ASS START SYNC'!C265="SHOW",FIND(",",'ASS START SYNC'!E265,1),"")</f>
        <v/>
      </c>
      <c r="C261" s="24" t="str">
        <f>IF('ASS START SYNC'!C265="SHOW",FIND(",",'ASS START SYNC'!E265,B261+1),"")</f>
        <v/>
      </c>
      <c r="D261" s="24" t="str">
        <f>IF('ASS START SYNC'!C265="SHOW",FIND(",",'ASS START SYNC'!E265,C261+1),"")</f>
        <v/>
      </c>
      <c r="E261" s="25" t="str">
        <f>IF('ASS START SYNC'!C265="SHOW",FIND(",,",'ASS START SYNC'!E265,1),"")</f>
        <v/>
      </c>
      <c r="F261" s="25" t="str">
        <f>IF('ASS START SYNC'!C265="SHOW",FIND(",,",'ASS START SYNC'!E265,E261+1),"")</f>
        <v/>
      </c>
      <c r="G261" s="23" t="str">
        <f>IF('ASS START SYNC'!C265="SHOW",LEFT('ASS START SYNC'!E265,B261),"")</f>
        <v/>
      </c>
      <c r="H261" s="24" t="str">
        <f>IF(AND('ASS START SYNC'!C265="SHOW",COUNTA('ASS START SYNC'!$E$8:'ASS START SYNC'!E264)=0),MID('ASS START SYNC'!E265,B261+1,C261-B261-1),IF(AND('ASS START SYNC'!C265="SHOW",COUNTA('ASS START SYNC'!$E$8:'ASS START SYNC'!E264)&lt;&gt;0),I260,""))</f>
        <v/>
      </c>
      <c r="I261" s="24" t="str">
        <f>IF('ASS START SYNC'!C265="SHOW",MID('ASS START SYNC'!E265,C261+1,D261-C261-1),I260)</f>
        <v/>
      </c>
      <c r="J261" s="23" t="str">
        <f>IF('ASS START SYNC'!C265="SHOW",MID('ASS START SYNC'!E265,D261+1,F261-D261+1),"")</f>
        <v/>
      </c>
      <c r="K261" s="23" t="str">
        <f>IF('ASS START SYNC'!C265="SHOW",MID('ASS START SYNC'!E265,F261+2,1000),"")</f>
        <v/>
      </c>
      <c r="M261" s="24"/>
      <c r="N261" s="26">
        <v>258</v>
      </c>
      <c r="O261" s="24" t="str">
        <f>IF('ASS END SYNC'!C265="SHOW",FIND(",",'ASS END SYNC'!E265,1),"")</f>
        <v/>
      </c>
      <c r="P261" s="24" t="str">
        <f>IF('ASS END SYNC'!C265="SHOW",FIND(",",'ASS END SYNC'!E265,O261+1),"")</f>
        <v/>
      </c>
      <c r="Q261" s="24" t="str">
        <f>IF('ASS END SYNC'!C265="SHOW",FIND(",",'ASS END SYNC'!E265,P261+1),"")</f>
        <v/>
      </c>
      <c r="R261" s="25" t="str">
        <f>IF('ASS END SYNC'!C265="SHOW",FIND(",,",'ASS END SYNC'!E265,1),"")</f>
        <v/>
      </c>
      <c r="S261" s="25" t="str">
        <f>IF('ASS END SYNC'!C265="SHOW",FIND(",,",'ASS END SYNC'!E265,R261+1),"")</f>
        <v/>
      </c>
      <c r="T261" s="23" t="str">
        <f>IF('ASS END SYNC'!C265="SHOW",LEFT('ASS END SYNC'!E265,O261),"")</f>
        <v/>
      </c>
      <c r="U261" s="24" t="str">
        <f>IF('ASS END SYNC'!C265="SHOW",MID('ASS END SYNC'!E265,O261+1,P261-O261-1),"")</f>
        <v/>
      </c>
      <c r="V261" s="24" t="str">
        <f>IF(AND('ASS END SYNC'!C265="SHOW",'ASS END SYNC'!C266="SHOW"),U262,IF(AND('ASS END SYNC'!C265="SHOW",'ASS END SYNC'!C266&lt;&gt;"SHOW"),MID('ASS END SYNC'!E265,O261+1,P261-O261-1),""))</f>
        <v/>
      </c>
      <c r="W261" s="23" t="str">
        <f>IF('ASS END SYNC'!C265="SHOW",MID('ASS END SYNC'!E265,Q261+1,S261-Q261+1),"")</f>
        <v/>
      </c>
      <c r="X261" s="23" t="str">
        <f>IF('ASS END SYNC'!C265="SHOW",MID('ASS END SYNC'!E265,S261+2,1000),"")</f>
        <v/>
      </c>
      <c r="Z261" s="24"/>
    </row>
    <row r="262" spans="1:26" x14ac:dyDescent="0.25">
      <c r="A262" s="26">
        <v>259</v>
      </c>
      <c r="B262" s="24" t="str">
        <f>IF('ASS START SYNC'!C266="SHOW",FIND(",",'ASS START SYNC'!E266,1),"")</f>
        <v/>
      </c>
      <c r="C262" s="24" t="str">
        <f>IF('ASS START SYNC'!C266="SHOW",FIND(",",'ASS START SYNC'!E266,B262+1),"")</f>
        <v/>
      </c>
      <c r="D262" s="24" t="str">
        <f>IF('ASS START SYNC'!C266="SHOW",FIND(",",'ASS START SYNC'!E266,C262+1),"")</f>
        <v/>
      </c>
      <c r="E262" s="25" t="str">
        <f>IF('ASS START SYNC'!C266="SHOW",FIND(",,",'ASS START SYNC'!E266,1),"")</f>
        <v/>
      </c>
      <c r="F262" s="25" t="str">
        <f>IF('ASS START SYNC'!C266="SHOW",FIND(",,",'ASS START SYNC'!E266,E262+1),"")</f>
        <v/>
      </c>
      <c r="G262" s="23" t="str">
        <f>IF('ASS START SYNC'!C266="SHOW",LEFT('ASS START SYNC'!E266,B262),"")</f>
        <v/>
      </c>
      <c r="H262" s="24" t="str">
        <f>IF(AND('ASS START SYNC'!C266="SHOW",COUNTA('ASS START SYNC'!$E$8:'ASS START SYNC'!E265)=0),MID('ASS START SYNC'!E266,B262+1,C262-B262-1),IF(AND('ASS START SYNC'!C266="SHOW",COUNTA('ASS START SYNC'!$E$8:'ASS START SYNC'!E265)&lt;&gt;0),I261,""))</f>
        <v/>
      </c>
      <c r="I262" s="24" t="str">
        <f>IF('ASS START SYNC'!C266="SHOW",MID('ASS START SYNC'!E266,C262+1,D262-C262-1),I261)</f>
        <v/>
      </c>
      <c r="J262" s="23" t="str">
        <f>IF('ASS START SYNC'!C266="SHOW",MID('ASS START SYNC'!E266,D262+1,F262-D262+1),"")</f>
        <v/>
      </c>
      <c r="K262" s="23" t="str">
        <f>IF('ASS START SYNC'!C266="SHOW",MID('ASS START SYNC'!E266,F262+2,1000),"")</f>
        <v/>
      </c>
      <c r="M262" s="24"/>
      <c r="N262" s="26">
        <v>259</v>
      </c>
      <c r="O262" s="24" t="str">
        <f>IF('ASS END SYNC'!C266="SHOW",FIND(",",'ASS END SYNC'!E266,1),"")</f>
        <v/>
      </c>
      <c r="P262" s="24" t="str">
        <f>IF('ASS END SYNC'!C266="SHOW",FIND(",",'ASS END SYNC'!E266,O262+1),"")</f>
        <v/>
      </c>
      <c r="Q262" s="24" t="str">
        <f>IF('ASS END SYNC'!C266="SHOW",FIND(",",'ASS END SYNC'!E266,P262+1),"")</f>
        <v/>
      </c>
      <c r="R262" s="25" t="str">
        <f>IF('ASS END SYNC'!C266="SHOW",FIND(",,",'ASS END SYNC'!E266,1),"")</f>
        <v/>
      </c>
      <c r="S262" s="25" t="str">
        <f>IF('ASS END SYNC'!C266="SHOW",FIND(",,",'ASS END SYNC'!E266,R262+1),"")</f>
        <v/>
      </c>
      <c r="T262" s="23" t="str">
        <f>IF('ASS END SYNC'!C266="SHOW",LEFT('ASS END SYNC'!E266,O262),"")</f>
        <v/>
      </c>
      <c r="U262" s="24" t="str">
        <f>IF('ASS END SYNC'!C266="SHOW",MID('ASS END SYNC'!E266,O262+1,P262-O262-1),"")</f>
        <v/>
      </c>
      <c r="V262" s="24" t="str">
        <f>IF(AND('ASS END SYNC'!C266="SHOW",'ASS END SYNC'!C267="SHOW"),U263,IF(AND('ASS END SYNC'!C266="SHOW",'ASS END SYNC'!C267&lt;&gt;"SHOW"),MID('ASS END SYNC'!E266,O262+1,P262-O262-1),""))</f>
        <v/>
      </c>
      <c r="W262" s="23" t="str">
        <f>IF('ASS END SYNC'!C266="SHOW",MID('ASS END SYNC'!E266,Q262+1,S262-Q262+1),"")</f>
        <v/>
      </c>
      <c r="X262" s="23" t="str">
        <f>IF('ASS END SYNC'!C266="SHOW",MID('ASS END SYNC'!E266,S262+2,1000),"")</f>
        <v/>
      </c>
      <c r="Z262" s="24"/>
    </row>
    <row r="263" spans="1:26" x14ac:dyDescent="0.25">
      <c r="A263" s="26">
        <v>260</v>
      </c>
      <c r="B263" s="24" t="str">
        <f>IF('ASS START SYNC'!C267="SHOW",FIND(",",'ASS START SYNC'!E267,1),"")</f>
        <v/>
      </c>
      <c r="C263" s="24" t="str">
        <f>IF('ASS START SYNC'!C267="SHOW",FIND(",",'ASS START SYNC'!E267,B263+1),"")</f>
        <v/>
      </c>
      <c r="D263" s="24" t="str">
        <f>IF('ASS START SYNC'!C267="SHOW",FIND(",",'ASS START SYNC'!E267,C263+1),"")</f>
        <v/>
      </c>
      <c r="E263" s="25" t="str">
        <f>IF('ASS START SYNC'!C267="SHOW",FIND(",,",'ASS START SYNC'!E267,1),"")</f>
        <v/>
      </c>
      <c r="F263" s="25" t="str">
        <f>IF('ASS START SYNC'!C267="SHOW",FIND(",,",'ASS START SYNC'!E267,E263+1),"")</f>
        <v/>
      </c>
      <c r="G263" s="23" t="str">
        <f>IF('ASS START SYNC'!C267="SHOW",LEFT('ASS START SYNC'!E267,B263),"")</f>
        <v/>
      </c>
      <c r="H263" s="24" t="str">
        <f>IF(AND('ASS START SYNC'!C267="SHOW",COUNTA('ASS START SYNC'!$E$8:'ASS START SYNC'!E266)=0),MID('ASS START SYNC'!E267,B263+1,C263-B263-1),IF(AND('ASS START SYNC'!C267="SHOW",COUNTA('ASS START SYNC'!$E$8:'ASS START SYNC'!E266)&lt;&gt;0),I262,""))</f>
        <v/>
      </c>
      <c r="I263" s="24" t="str">
        <f>IF('ASS START SYNC'!C267="SHOW",MID('ASS START SYNC'!E267,C263+1,D263-C263-1),I262)</f>
        <v/>
      </c>
      <c r="J263" s="23" t="str">
        <f>IF('ASS START SYNC'!C267="SHOW",MID('ASS START SYNC'!E267,D263+1,F263-D263+1),"")</f>
        <v/>
      </c>
      <c r="K263" s="23" t="str">
        <f>IF('ASS START SYNC'!C267="SHOW",MID('ASS START SYNC'!E267,F263+2,1000),"")</f>
        <v/>
      </c>
      <c r="M263" s="24"/>
      <c r="N263" s="26">
        <v>260</v>
      </c>
      <c r="O263" s="24" t="str">
        <f>IF('ASS END SYNC'!C267="SHOW",FIND(",",'ASS END SYNC'!E267,1),"")</f>
        <v/>
      </c>
      <c r="P263" s="24" t="str">
        <f>IF('ASS END SYNC'!C267="SHOW",FIND(",",'ASS END SYNC'!E267,O263+1),"")</f>
        <v/>
      </c>
      <c r="Q263" s="24" t="str">
        <f>IF('ASS END SYNC'!C267="SHOW",FIND(",",'ASS END SYNC'!E267,P263+1),"")</f>
        <v/>
      </c>
      <c r="R263" s="25" t="str">
        <f>IF('ASS END SYNC'!C267="SHOW",FIND(",,",'ASS END SYNC'!E267,1),"")</f>
        <v/>
      </c>
      <c r="S263" s="25" t="str">
        <f>IF('ASS END SYNC'!C267="SHOW",FIND(",,",'ASS END SYNC'!E267,R263+1),"")</f>
        <v/>
      </c>
      <c r="T263" s="23" t="str">
        <f>IF('ASS END SYNC'!C267="SHOW",LEFT('ASS END SYNC'!E267,O263),"")</f>
        <v/>
      </c>
      <c r="U263" s="24" t="str">
        <f>IF('ASS END SYNC'!C267="SHOW",MID('ASS END SYNC'!E267,O263+1,P263-O263-1),"")</f>
        <v/>
      </c>
      <c r="V263" s="24" t="str">
        <f>IF(AND('ASS END SYNC'!C267="SHOW",'ASS END SYNC'!C268="SHOW"),U264,IF(AND('ASS END SYNC'!C267="SHOW",'ASS END SYNC'!C268&lt;&gt;"SHOW"),MID('ASS END SYNC'!E267,O263+1,P263-O263-1),""))</f>
        <v/>
      </c>
      <c r="W263" s="23" t="str">
        <f>IF('ASS END SYNC'!C267="SHOW",MID('ASS END SYNC'!E267,Q263+1,S263-Q263+1),"")</f>
        <v/>
      </c>
      <c r="X263" s="23" t="str">
        <f>IF('ASS END SYNC'!C267="SHOW",MID('ASS END SYNC'!E267,S263+2,1000),"")</f>
        <v/>
      </c>
      <c r="Z263" s="24"/>
    </row>
    <row r="264" spans="1:26" x14ac:dyDescent="0.25">
      <c r="A264" s="26">
        <v>261</v>
      </c>
      <c r="B264" s="24" t="str">
        <f>IF('ASS START SYNC'!C268="SHOW",FIND(",",'ASS START SYNC'!E268,1),"")</f>
        <v/>
      </c>
      <c r="C264" s="24" t="str">
        <f>IF('ASS START SYNC'!C268="SHOW",FIND(",",'ASS START SYNC'!E268,B264+1),"")</f>
        <v/>
      </c>
      <c r="D264" s="24" t="str">
        <f>IF('ASS START SYNC'!C268="SHOW",FIND(",",'ASS START SYNC'!E268,C264+1),"")</f>
        <v/>
      </c>
      <c r="E264" s="25" t="str">
        <f>IF('ASS START SYNC'!C268="SHOW",FIND(",,",'ASS START SYNC'!E268,1),"")</f>
        <v/>
      </c>
      <c r="F264" s="25" t="str">
        <f>IF('ASS START SYNC'!C268="SHOW",FIND(",,",'ASS START SYNC'!E268,E264+1),"")</f>
        <v/>
      </c>
      <c r="G264" s="23" t="str">
        <f>IF('ASS START SYNC'!C268="SHOW",LEFT('ASS START SYNC'!E268,B264),"")</f>
        <v/>
      </c>
      <c r="H264" s="24" t="str">
        <f>IF(AND('ASS START SYNC'!C268="SHOW",COUNTA('ASS START SYNC'!$E$8:'ASS START SYNC'!E267)=0),MID('ASS START SYNC'!E268,B264+1,C264-B264-1),IF(AND('ASS START SYNC'!C268="SHOW",COUNTA('ASS START SYNC'!$E$8:'ASS START SYNC'!E267)&lt;&gt;0),I263,""))</f>
        <v/>
      </c>
      <c r="I264" s="24" t="str">
        <f>IF('ASS START SYNC'!C268="SHOW",MID('ASS START SYNC'!E268,C264+1,D264-C264-1),I263)</f>
        <v/>
      </c>
      <c r="J264" s="23" t="str">
        <f>IF('ASS START SYNC'!C268="SHOW",MID('ASS START SYNC'!E268,D264+1,F264-D264+1),"")</f>
        <v/>
      </c>
      <c r="K264" s="23" t="str">
        <f>IF('ASS START SYNC'!C268="SHOW",MID('ASS START SYNC'!E268,F264+2,1000),"")</f>
        <v/>
      </c>
      <c r="M264" s="24"/>
      <c r="N264" s="26">
        <v>261</v>
      </c>
      <c r="O264" s="24" t="str">
        <f>IF('ASS END SYNC'!C268="SHOW",FIND(",",'ASS END SYNC'!E268,1),"")</f>
        <v/>
      </c>
      <c r="P264" s="24" t="str">
        <f>IF('ASS END SYNC'!C268="SHOW",FIND(",",'ASS END SYNC'!E268,O264+1),"")</f>
        <v/>
      </c>
      <c r="Q264" s="24" t="str">
        <f>IF('ASS END SYNC'!C268="SHOW",FIND(",",'ASS END SYNC'!E268,P264+1),"")</f>
        <v/>
      </c>
      <c r="R264" s="25" t="str">
        <f>IF('ASS END SYNC'!C268="SHOW",FIND(",,",'ASS END SYNC'!E268,1),"")</f>
        <v/>
      </c>
      <c r="S264" s="25" t="str">
        <f>IF('ASS END SYNC'!C268="SHOW",FIND(",,",'ASS END SYNC'!E268,R264+1),"")</f>
        <v/>
      </c>
      <c r="T264" s="23" t="str">
        <f>IF('ASS END SYNC'!C268="SHOW",LEFT('ASS END SYNC'!E268,O264),"")</f>
        <v/>
      </c>
      <c r="U264" s="24" t="str">
        <f>IF('ASS END SYNC'!C268="SHOW",MID('ASS END SYNC'!E268,O264+1,P264-O264-1),"")</f>
        <v/>
      </c>
      <c r="V264" s="24" t="str">
        <f>IF(AND('ASS END SYNC'!C268="SHOW",'ASS END SYNC'!C269="SHOW"),U265,IF(AND('ASS END SYNC'!C268="SHOW",'ASS END SYNC'!C269&lt;&gt;"SHOW"),MID('ASS END SYNC'!E268,O264+1,P264-O264-1),""))</f>
        <v/>
      </c>
      <c r="W264" s="23" t="str">
        <f>IF('ASS END SYNC'!C268="SHOW",MID('ASS END SYNC'!E268,Q264+1,S264-Q264+1),"")</f>
        <v/>
      </c>
      <c r="X264" s="23" t="str">
        <f>IF('ASS END SYNC'!C268="SHOW",MID('ASS END SYNC'!E268,S264+2,1000),"")</f>
        <v/>
      </c>
      <c r="Z264" s="24"/>
    </row>
    <row r="265" spans="1:26" x14ac:dyDescent="0.25">
      <c r="A265" s="26">
        <v>262</v>
      </c>
      <c r="B265" s="24" t="str">
        <f>IF('ASS START SYNC'!C269="SHOW",FIND(",",'ASS START SYNC'!E269,1),"")</f>
        <v/>
      </c>
      <c r="C265" s="24" t="str">
        <f>IF('ASS START SYNC'!C269="SHOW",FIND(",",'ASS START SYNC'!E269,B265+1),"")</f>
        <v/>
      </c>
      <c r="D265" s="24" t="str">
        <f>IF('ASS START SYNC'!C269="SHOW",FIND(",",'ASS START SYNC'!E269,C265+1),"")</f>
        <v/>
      </c>
      <c r="E265" s="25" t="str">
        <f>IF('ASS START SYNC'!C269="SHOW",FIND(",,",'ASS START SYNC'!E269,1),"")</f>
        <v/>
      </c>
      <c r="F265" s="25" t="str">
        <f>IF('ASS START SYNC'!C269="SHOW",FIND(",,",'ASS START SYNC'!E269,E265+1),"")</f>
        <v/>
      </c>
      <c r="G265" s="23" t="str">
        <f>IF('ASS START SYNC'!C269="SHOW",LEFT('ASS START SYNC'!E269,B265),"")</f>
        <v/>
      </c>
      <c r="H265" s="24" t="str">
        <f>IF(AND('ASS START SYNC'!C269="SHOW",COUNTA('ASS START SYNC'!$E$8:'ASS START SYNC'!E268)=0),MID('ASS START SYNC'!E269,B265+1,C265-B265-1),IF(AND('ASS START SYNC'!C269="SHOW",COUNTA('ASS START SYNC'!$E$8:'ASS START SYNC'!E268)&lt;&gt;0),I264,""))</f>
        <v/>
      </c>
      <c r="I265" s="24" t="str">
        <f>IF('ASS START SYNC'!C269="SHOW",MID('ASS START SYNC'!E269,C265+1,D265-C265-1),I264)</f>
        <v/>
      </c>
      <c r="J265" s="23" t="str">
        <f>IF('ASS START SYNC'!C269="SHOW",MID('ASS START SYNC'!E269,D265+1,F265-D265+1),"")</f>
        <v/>
      </c>
      <c r="K265" s="23" t="str">
        <f>IF('ASS START SYNC'!C269="SHOW",MID('ASS START SYNC'!E269,F265+2,1000),"")</f>
        <v/>
      </c>
      <c r="M265" s="24"/>
      <c r="N265" s="26">
        <v>262</v>
      </c>
      <c r="O265" s="24" t="str">
        <f>IF('ASS END SYNC'!C269="SHOW",FIND(",",'ASS END SYNC'!E269,1),"")</f>
        <v/>
      </c>
      <c r="P265" s="24" t="str">
        <f>IF('ASS END SYNC'!C269="SHOW",FIND(",",'ASS END SYNC'!E269,O265+1),"")</f>
        <v/>
      </c>
      <c r="Q265" s="24" t="str">
        <f>IF('ASS END SYNC'!C269="SHOW",FIND(",",'ASS END SYNC'!E269,P265+1),"")</f>
        <v/>
      </c>
      <c r="R265" s="25" t="str">
        <f>IF('ASS END SYNC'!C269="SHOW",FIND(",,",'ASS END SYNC'!E269,1),"")</f>
        <v/>
      </c>
      <c r="S265" s="25" t="str">
        <f>IF('ASS END SYNC'!C269="SHOW",FIND(",,",'ASS END SYNC'!E269,R265+1),"")</f>
        <v/>
      </c>
      <c r="T265" s="23" t="str">
        <f>IF('ASS END SYNC'!C269="SHOW",LEFT('ASS END SYNC'!E269,O265),"")</f>
        <v/>
      </c>
      <c r="U265" s="24" t="str">
        <f>IF('ASS END SYNC'!C269="SHOW",MID('ASS END SYNC'!E269,O265+1,P265-O265-1),"")</f>
        <v/>
      </c>
      <c r="V265" s="24" t="str">
        <f>IF(AND('ASS END SYNC'!C269="SHOW",'ASS END SYNC'!C270="SHOW"),U266,IF(AND('ASS END SYNC'!C269="SHOW",'ASS END SYNC'!C270&lt;&gt;"SHOW"),MID('ASS END SYNC'!E269,O265+1,P265-O265-1),""))</f>
        <v/>
      </c>
      <c r="W265" s="23" t="str">
        <f>IF('ASS END SYNC'!C269="SHOW",MID('ASS END SYNC'!E269,Q265+1,S265-Q265+1),"")</f>
        <v/>
      </c>
      <c r="X265" s="23" t="str">
        <f>IF('ASS END SYNC'!C269="SHOW",MID('ASS END SYNC'!E269,S265+2,1000),"")</f>
        <v/>
      </c>
      <c r="Z265" s="24"/>
    </row>
    <row r="266" spans="1:26" x14ac:dyDescent="0.25">
      <c r="A266" s="26">
        <v>263</v>
      </c>
      <c r="B266" s="24" t="str">
        <f>IF('ASS START SYNC'!C270="SHOW",FIND(",",'ASS START SYNC'!E270,1),"")</f>
        <v/>
      </c>
      <c r="C266" s="24" t="str">
        <f>IF('ASS START SYNC'!C270="SHOW",FIND(",",'ASS START SYNC'!E270,B266+1),"")</f>
        <v/>
      </c>
      <c r="D266" s="24" t="str">
        <f>IF('ASS START SYNC'!C270="SHOW",FIND(",",'ASS START SYNC'!E270,C266+1),"")</f>
        <v/>
      </c>
      <c r="E266" s="25" t="str">
        <f>IF('ASS START SYNC'!C270="SHOW",FIND(",,",'ASS START SYNC'!E270,1),"")</f>
        <v/>
      </c>
      <c r="F266" s="25" t="str">
        <f>IF('ASS START SYNC'!C270="SHOW",FIND(",,",'ASS START SYNC'!E270,E266+1),"")</f>
        <v/>
      </c>
      <c r="G266" s="23" t="str">
        <f>IF('ASS START SYNC'!C270="SHOW",LEFT('ASS START SYNC'!E270,B266),"")</f>
        <v/>
      </c>
      <c r="H266" s="24" t="str">
        <f>IF(AND('ASS START SYNC'!C270="SHOW",COUNTA('ASS START SYNC'!$E$8:'ASS START SYNC'!E269)=0),MID('ASS START SYNC'!E270,B266+1,C266-B266-1),IF(AND('ASS START SYNC'!C270="SHOW",COUNTA('ASS START SYNC'!$E$8:'ASS START SYNC'!E269)&lt;&gt;0),I265,""))</f>
        <v/>
      </c>
      <c r="I266" s="24" t="str">
        <f>IF('ASS START SYNC'!C270="SHOW",MID('ASS START SYNC'!E270,C266+1,D266-C266-1),I265)</f>
        <v/>
      </c>
      <c r="J266" s="23" t="str">
        <f>IF('ASS START SYNC'!C270="SHOW",MID('ASS START SYNC'!E270,D266+1,F266-D266+1),"")</f>
        <v/>
      </c>
      <c r="K266" s="23" t="str">
        <f>IF('ASS START SYNC'!C270="SHOW",MID('ASS START SYNC'!E270,F266+2,1000),"")</f>
        <v/>
      </c>
      <c r="M266" s="24"/>
      <c r="N266" s="26">
        <v>263</v>
      </c>
      <c r="O266" s="24" t="str">
        <f>IF('ASS END SYNC'!C270="SHOW",FIND(",",'ASS END SYNC'!E270,1),"")</f>
        <v/>
      </c>
      <c r="P266" s="24" t="str">
        <f>IF('ASS END SYNC'!C270="SHOW",FIND(",",'ASS END SYNC'!E270,O266+1),"")</f>
        <v/>
      </c>
      <c r="Q266" s="24" t="str">
        <f>IF('ASS END SYNC'!C270="SHOW",FIND(",",'ASS END SYNC'!E270,P266+1),"")</f>
        <v/>
      </c>
      <c r="R266" s="25" t="str">
        <f>IF('ASS END SYNC'!C270="SHOW",FIND(",,",'ASS END SYNC'!E270,1),"")</f>
        <v/>
      </c>
      <c r="S266" s="25" t="str">
        <f>IF('ASS END SYNC'!C270="SHOW",FIND(",,",'ASS END SYNC'!E270,R266+1),"")</f>
        <v/>
      </c>
      <c r="T266" s="23" t="str">
        <f>IF('ASS END SYNC'!C270="SHOW",LEFT('ASS END SYNC'!E270,O266),"")</f>
        <v/>
      </c>
      <c r="U266" s="24" t="str">
        <f>IF('ASS END SYNC'!C270="SHOW",MID('ASS END SYNC'!E270,O266+1,P266-O266-1),"")</f>
        <v/>
      </c>
      <c r="V266" s="24" t="str">
        <f>IF(AND('ASS END SYNC'!C270="SHOW",'ASS END SYNC'!C271="SHOW"),U267,IF(AND('ASS END SYNC'!C270="SHOW",'ASS END SYNC'!C271&lt;&gt;"SHOW"),MID('ASS END SYNC'!E270,O266+1,P266-O266-1),""))</f>
        <v/>
      </c>
      <c r="W266" s="23" t="str">
        <f>IF('ASS END SYNC'!C270="SHOW",MID('ASS END SYNC'!E270,Q266+1,S266-Q266+1),"")</f>
        <v/>
      </c>
      <c r="X266" s="23" t="str">
        <f>IF('ASS END SYNC'!C270="SHOW",MID('ASS END SYNC'!E270,S266+2,1000),"")</f>
        <v/>
      </c>
      <c r="Z266" s="24"/>
    </row>
    <row r="267" spans="1:26" x14ac:dyDescent="0.25">
      <c r="A267" s="26">
        <v>264</v>
      </c>
      <c r="B267" s="24" t="str">
        <f>IF('ASS START SYNC'!C271="SHOW",FIND(",",'ASS START SYNC'!E271,1),"")</f>
        <v/>
      </c>
      <c r="C267" s="24" t="str">
        <f>IF('ASS START SYNC'!C271="SHOW",FIND(",",'ASS START SYNC'!E271,B267+1),"")</f>
        <v/>
      </c>
      <c r="D267" s="24" t="str">
        <f>IF('ASS START SYNC'!C271="SHOW",FIND(",",'ASS START SYNC'!E271,C267+1),"")</f>
        <v/>
      </c>
      <c r="E267" s="25" t="str">
        <f>IF('ASS START SYNC'!C271="SHOW",FIND(",,",'ASS START SYNC'!E271,1),"")</f>
        <v/>
      </c>
      <c r="F267" s="25" t="str">
        <f>IF('ASS START SYNC'!C271="SHOW",FIND(",,",'ASS START SYNC'!E271,E267+1),"")</f>
        <v/>
      </c>
      <c r="G267" s="23" t="str">
        <f>IF('ASS START SYNC'!C271="SHOW",LEFT('ASS START SYNC'!E271,B267),"")</f>
        <v/>
      </c>
      <c r="H267" s="24" t="str">
        <f>IF(AND('ASS START SYNC'!C271="SHOW",COUNTA('ASS START SYNC'!$E$8:'ASS START SYNC'!E270)=0),MID('ASS START SYNC'!E271,B267+1,C267-B267-1),IF(AND('ASS START SYNC'!C271="SHOW",COUNTA('ASS START SYNC'!$E$8:'ASS START SYNC'!E270)&lt;&gt;0),I266,""))</f>
        <v/>
      </c>
      <c r="I267" s="24" t="str">
        <f>IF('ASS START SYNC'!C271="SHOW",MID('ASS START SYNC'!E271,C267+1,D267-C267-1),I266)</f>
        <v/>
      </c>
      <c r="J267" s="23" t="str">
        <f>IF('ASS START SYNC'!C271="SHOW",MID('ASS START SYNC'!E271,D267+1,F267-D267+1),"")</f>
        <v/>
      </c>
      <c r="K267" s="23" t="str">
        <f>IF('ASS START SYNC'!C271="SHOW",MID('ASS START SYNC'!E271,F267+2,1000),"")</f>
        <v/>
      </c>
      <c r="M267" s="24"/>
      <c r="N267" s="26">
        <v>264</v>
      </c>
      <c r="O267" s="24" t="str">
        <f>IF('ASS END SYNC'!C271="SHOW",FIND(",",'ASS END SYNC'!E271,1),"")</f>
        <v/>
      </c>
      <c r="P267" s="24" t="str">
        <f>IF('ASS END SYNC'!C271="SHOW",FIND(",",'ASS END SYNC'!E271,O267+1),"")</f>
        <v/>
      </c>
      <c r="Q267" s="24" t="str">
        <f>IF('ASS END SYNC'!C271="SHOW",FIND(",",'ASS END SYNC'!E271,P267+1),"")</f>
        <v/>
      </c>
      <c r="R267" s="25" t="str">
        <f>IF('ASS END SYNC'!C271="SHOW",FIND(",,",'ASS END SYNC'!E271,1),"")</f>
        <v/>
      </c>
      <c r="S267" s="25" t="str">
        <f>IF('ASS END SYNC'!C271="SHOW",FIND(",,",'ASS END SYNC'!E271,R267+1),"")</f>
        <v/>
      </c>
      <c r="T267" s="23" t="str">
        <f>IF('ASS END SYNC'!C271="SHOW",LEFT('ASS END SYNC'!E271,O267),"")</f>
        <v/>
      </c>
      <c r="U267" s="24" t="str">
        <f>IF('ASS END SYNC'!C271="SHOW",MID('ASS END SYNC'!E271,O267+1,P267-O267-1),"")</f>
        <v/>
      </c>
      <c r="V267" s="24" t="str">
        <f>IF(AND('ASS END SYNC'!C271="SHOW",'ASS END SYNC'!C272="SHOW"),U268,IF(AND('ASS END SYNC'!C271="SHOW",'ASS END SYNC'!C272&lt;&gt;"SHOW"),MID('ASS END SYNC'!E271,O267+1,P267-O267-1),""))</f>
        <v/>
      </c>
      <c r="W267" s="23" t="str">
        <f>IF('ASS END SYNC'!C271="SHOW",MID('ASS END SYNC'!E271,Q267+1,S267-Q267+1),"")</f>
        <v/>
      </c>
      <c r="X267" s="23" t="str">
        <f>IF('ASS END SYNC'!C271="SHOW",MID('ASS END SYNC'!E271,S267+2,1000),"")</f>
        <v/>
      </c>
      <c r="Z267" s="24"/>
    </row>
    <row r="268" spans="1:26" x14ac:dyDescent="0.25">
      <c r="A268" s="26">
        <v>265</v>
      </c>
      <c r="B268" s="24" t="str">
        <f>IF('ASS START SYNC'!C272="SHOW",FIND(",",'ASS START SYNC'!E272,1),"")</f>
        <v/>
      </c>
      <c r="C268" s="24" t="str">
        <f>IF('ASS START SYNC'!C272="SHOW",FIND(",",'ASS START SYNC'!E272,B268+1),"")</f>
        <v/>
      </c>
      <c r="D268" s="24" t="str">
        <f>IF('ASS START SYNC'!C272="SHOW",FIND(",",'ASS START SYNC'!E272,C268+1),"")</f>
        <v/>
      </c>
      <c r="E268" s="25" t="str">
        <f>IF('ASS START SYNC'!C272="SHOW",FIND(",,",'ASS START SYNC'!E272,1),"")</f>
        <v/>
      </c>
      <c r="F268" s="25" t="str">
        <f>IF('ASS START SYNC'!C272="SHOW",FIND(",,",'ASS START SYNC'!E272,E268+1),"")</f>
        <v/>
      </c>
      <c r="G268" s="23" t="str">
        <f>IF('ASS START SYNC'!C272="SHOW",LEFT('ASS START SYNC'!E272,B268),"")</f>
        <v/>
      </c>
      <c r="H268" s="24" t="str">
        <f>IF(AND('ASS START SYNC'!C272="SHOW",COUNTA('ASS START SYNC'!$E$8:'ASS START SYNC'!E271)=0),MID('ASS START SYNC'!E272,B268+1,C268-B268-1),IF(AND('ASS START SYNC'!C272="SHOW",COUNTA('ASS START SYNC'!$E$8:'ASS START SYNC'!E271)&lt;&gt;0),I267,""))</f>
        <v/>
      </c>
      <c r="I268" s="24" t="str">
        <f>IF('ASS START SYNC'!C272="SHOW",MID('ASS START SYNC'!E272,C268+1,D268-C268-1),I267)</f>
        <v/>
      </c>
      <c r="J268" s="23" t="str">
        <f>IF('ASS START SYNC'!C272="SHOW",MID('ASS START SYNC'!E272,D268+1,F268-D268+1),"")</f>
        <v/>
      </c>
      <c r="K268" s="23" t="str">
        <f>IF('ASS START SYNC'!C272="SHOW",MID('ASS START SYNC'!E272,F268+2,1000),"")</f>
        <v/>
      </c>
      <c r="M268" s="24"/>
      <c r="N268" s="26">
        <v>265</v>
      </c>
      <c r="O268" s="24" t="str">
        <f>IF('ASS END SYNC'!C272="SHOW",FIND(",",'ASS END SYNC'!E272,1),"")</f>
        <v/>
      </c>
      <c r="P268" s="24" t="str">
        <f>IF('ASS END SYNC'!C272="SHOW",FIND(",",'ASS END SYNC'!E272,O268+1),"")</f>
        <v/>
      </c>
      <c r="Q268" s="24" t="str">
        <f>IF('ASS END SYNC'!C272="SHOW",FIND(",",'ASS END SYNC'!E272,P268+1),"")</f>
        <v/>
      </c>
      <c r="R268" s="25" t="str">
        <f>IF('ASS END SYNC'!C272="SHOW",FIND(",,",'ASS END SYNC'!E272,1),"")</f>
        <v/>
      </c>
      <c r="S268" s="25" t="str">
        <f>IF('ASS END SYNC'!C272="SHOW",FIND(",,",'ASS END SYNC'!E272,R268+1),"")</f>
        <v/>
      </c>
      <c r="T268" s="23" t="str">
        <f>IF('ASS END SYNC'!C272="SHOW",LEFT('ASS END SYNC'!E272,O268),"")</f>
        <v/>
      </c>
      <c r="U268" s="24" t="str">
        <f>IF('ASS END SYNC'!C272="SHOW",MID('ASS END SYNC'!E272,O268+1,P268-O268-1),"")</f>
        <v/>
      </c>
      <c r="V268" s="24" t="str">
        <f>IF(AND('ASS END SYNC'!C272="SHOW",'ASS END SYNC'!C273="SHOW"),U269,IF(AND('ASS END SYNC'!C272="SHOW",'ASS END SYNC'!C273&lt;&gt;"SHOW"),MID('ASS END SYNC'!E272,O268+1,P268-O268-1),""))</f>
        <v/>
      </c>
      <c r="W268" s="23" t="str">
        <f>IF('ASS END SYNC'!C272="SHOW",MID('ASS END SYNC'!E272,Q268+1,S268-Q268+1),"")</f>
        <v/>
      </c>
      <c r="X268" s="23" t="str">
        <f>IF('ASS END SYNC'!C272="SHOW",MID('ASS END SYNC'!E272,S268+2,1000),"")</f>
        <v/>
      </c>
      <c r="Z268" s="24"/>
    </row>
    <row r="269" spans="1:26" x14ac:dyDescent="0.25">
      <c r="A269" s="26">
        <v>266</v>
      </c>
      <c r="B269" s="24" t="str">
        <f>IF('ASS START SYNC'!C273="SHOW",FIND(",",'ASS START SYNC'!E273,1),"")</f>
        <v/>
      </c>
      <c r="C269" s="24" t="str">
        <f>IF('ASS START SYNC'!C273="SHOW",FIND(",",'ASS START SYNC'!E273,B269+1),"")</f>
        <v/>
      </c>
      <c r="D269" s="24" t="str">
        <f>IF('ASS START SYNC'!C273="SHOW",FIND(",",'ASS START SYNC'!E273,C269+1),"")</f>
        <v/>
      </c>
      <c r="E269" s="25" t="str">
        <f>IF('ASS START SYNC'!C273="SHOW",FIND(",,",'ASS START SYNC'!E273,1),"")</f>
        <v/>
      </c>
      <c r="F269" s="25" t="str">
        <f>IF('ASS START SYNC'!C273="SHOW",FIND(",,",'ASS START SYNC'!E273,E269+1),"")</f>
        <v/>
      </c>
      <c r="G269" s="23" t="str">
        <f>IF('ASS START SYNC'!C273="SHOW",LEFT('ASS START SYNC'!E273,B269),"")</f>
        <v/>
      </c>
      <c r="H269" s="24" t="str">
        <f>IF(AND('ASS START SYNC'!C273="SHOW",COUNTA('ASS START SYNC'!$E$8:'ASS START SYNC'!E272)=0),MID('ASS START SYNC'!E273,B269+1,C269-B269-1),IF(AND('ASS START SYNC'!C273="SHOW",COUNTA('ASS START SYNC'!$E$8:'ASS START SYNC'!E272)&lt;&gt;0),I268,""))</f>
        <v/>
      </c>
      <c r="I269" s="24" t="str">
        <f>IF('ASS START SYNC'!C273="SHOW",MID('ASS START SYNC'!E273,C269+1,D269-C269-1),I268)</f>
        <v/>
      </c>
      <c r="J269" s="23" t="str">
        <f>IF('ASS START SYNC'!C273="SHOW",MID('ASS START SYNC'!E273,D269+1,F269-D269+1),"")</f>
        <v/>
      </c>
      <c r="K269" s="23" t="str">
        <f>IF('ASS START SYNC'!C273="SHOW",MID('ASS START SYNC'!E273,F269+2,1000),"")</f>
        <v/>
      </c>
      <c r="M269" s="24"/>
      <c r="N269" s="26">
        <v>266</v>
      </c>
      <c r="O269" s="24" t="str">
        <f>IF('ASS END SYNC'!C273="SHOW",FIND(",",'ASS END SYNC'!E273,1),"")</f>
        <v/>
      </c>
      <c r="P269" s="24" t="str">
        <f>IF('ASS END SYNC'!C273="SHOW",FIND(",",'ASS END SYNC'!E273,O269+1),"")</f>
        <v/>
      </c>
      <c r="Q269" s="24" t="str">
        <f>IF('ASS END SYNC'!C273="SHOW",FIND(",",'ASS END SYNC'!E273,P269+1),"")</f>
        <v/>
      </c>
      <c r="R269" s="25" t="str">
        <f>IF('ASS END SYNC'!C273="SHOW",FIND(",,",'ASS END SYNC'!E273,1),"")</f>
        <v/>
      </c>
      <c r="S269" s="25" t="str">
        <f>IF('ASS END SYNC'!C273="SHOW",FIND(",,",'ASS END SYNC'!E273,R269+1),"")</f>
        <v/>
      </c>
      <c r="T269" s="23" t="str">
        <f>IF('ASS END SYNC'!C273="SHOW",LEFT('ASS END SYNC'!E273,O269),"")</f>
        <v/>
      </c>
      <c r="U269" s="24" t="str">
        <f>IF('ASS END SYNC'!C273="SHOW",MID('ASS END SYNC'!E273,O269+1,P269-O269-1),"")</f>
        <v/>
      </c>
      <c r="V269" s="24" t="str">
        <f>IF(AND('ASS END SYNC'!C273="SHOW",'ASS END SYNC'!C274="SHOW"),U270,IF(AND('ASS END SYNC'!C273="SHOW",'ASS END SYNC'!C274&lt;&gt;"SHOW"),MID('ASS END SYNC'!E273,O269+1,P269-O269-1),""))</f>
        <v/>
      </c>
      <c r="W269" s="23" t="str">
        <f>IF('ASS END SYNC'!C273="SHOW",MID('ASS END SYNC'!E273,Q269+1,S269-Q269+1),"")</f>
        <v/>
      </c>
      <c r="X269" s="23" t="str">
        <f>IF('ASS END SYNC'!C273="SHOW",MID('ASS END SYNC'!E273,S269+2,1000),"")</f>
        <v/>
      </c>
      <c r="Z269" s="24"/>
    </row>
    <row r="270" spans="1:26" x14ac:dyDescent="0.25">
      <c r="A270" s="26">
        <v>267</v>
      </c>
      <c r="B270" s="24" t="str">
        <f>IF('ASS START SYNC'!C274="SHOW",FIND(",",'ASS START SYNC'!E274,1),"")</f>
        <v/>
      </c>
      <c r="C270" s="24" t="str">
        <f>IF('ASS START SYNC'!C274="SHOW",FIND(",",'ASS START SYNC'!E274,B270+1),"")</f>
        <v/>
      </c>
      <c r="D270" s="24" t="str">
        <f>IF('ASS START SYNC'!C274="SHOW",FIND(",",'ASS START SYNC'!E274,C270+1),"")</f>
        <v/>
      </c>
      <c r="E270" s="25" t="str">
        <f>IF('ASS START SYNC'!C274="SHOW",FIND(",,",'ASS START SYNC'!E274,1),"")</f>
        <v/>
      </c>
      <c r="F270" s="25" t="str">
        <f>IF('ASS START SYNC'!C274="SHOW",FIND(",,",'ASS START SYNC'!E274,E270+1),"")</f>
        <v/>
      </c>
      <c r="G270" s="23" t="str">
        <f>IF('ASS START SYNC'!C274="SHOW",LEFT('ASS START SYNC'!E274,B270),"")</f>
        <v/>
      </c>
      <c r="H270" s="24" t="str">
        <f>IF(AND('ASS START SYNC'!C274="SHOW",COUNTA('ASS START SYNC'!$E$8:'ASS START SYNC'!E273)=0),MID('ASS START SYNC'!E274,B270+1,C270-B270-1),IF(AND('ASS START SYNC'!C274="SHOW",COUNTA('ASS START SYNC'!$E$8:'ASS START SYNC'!E273)&lt;&gt;0),I269,""))</f>
        <v/>
      </c>
      <c r="I270" s="24" t="str">
        <f>IF('ASS START SYNC'!C274="SHOW",MID('ASS START SYNC'!E274,C270+1,D270-C270-1),I269)</f>
        <v/>
      </c>
      <c r="J270" s="23" t="str">
        <f>IF('ASS START SYNC'!C274="SHOW",MID('ASS START SYNC'!E274,D270+1,F270-D270+1),"")</f>
        <v/>
      </c>
      <c r="K270" s="23" t="str">
        <f>IF('ASS START SYNC'!C274="SHOW",MID('ASS START SYNC'!E274,F270+2,1000),"")</f>
        <v/>
      </c>
      <c r="M270" s="24"/>
      <c r="N270" s="26">
        <v>267</v>
      </c>
      <c r="O270" s="24" t="str">
        <f>IF('ASS END SYNC'!C274="SHOW",FIND(",",'ASS END SYNC'!E274,1),"")</f>
        <v/>
      </c>
      <c r="P270" s="24" t="str">
        <f>IF('ASS END SYNC'!C274="SHOW",FIND(",",'ASS END SYNC'!E274,O270+1),"")</f>
        <v/>
      </c>
      <c r="Q270" s="24" t="str">
        <f>IF('ASS END SYNC'!C274="SHOW",FIND(",",'ASS END SYNC'!E274,P270+1),"")</f>
        <v/>
      </c>
      <c r="R270" s="25" t="str">
        <f>IF('ASS END SYNC'!C274="SHOW",FIND(",,",'ASS END SYNC'!E274,1),"")</f>
        <v/>
      </c>
      <c r="S270" s="25" t="str">
        <f>IF('ASS END SYNC'!C274="SHOW",FIND(",,",'ASS END SYNC'!E274,R270+1),"")</f>
        <v/>
      </c>
      <c r="T270" s="23" t="str">
        <f>IF('ASS END SYNC'!C274="SHOW",LEFT('ASS END SYNC'!E274,O270),"")</f>
        <v/>
      </c>
      <c r="U270" s="24" t="str">
        <f>IF('ASS END SYNC'!C274="SHOW",MID('ASS END SYNC'!E274,O270+1,P270-O270-1),"")</f>
        <v/>
      </c>
      <c r="V270" s="24" t="str">
        <f>IF(AND('ASS END SYNC'!C274="SHOW",'ASS END SYNC'!C275="SHOW"),U271,IF(AND('ASS END SYNC'!C274="SHOW",'ASS END SYNC'!C275&lt;&gt;"SHOW"),MID('ASS END SYNC'!E274,O270+1,P270-O270-1),""))</f>
        <v/>
      </c>
      <c r="W270" s="23" t="str">
        <f>IF('ASS END SYNC'!C274="SHOW",MID('ASS END SYNC'!E274,Q270+1,S270-Q270+1),"")</f>
        <v/>
      </c>
      <c r="X270" s="23" t="str">
        <f>IF('ASS END SYNC'!C274="SHOW",MID('ASS END SYNC'!E274,S270+2,1000),"")</f>
        <v/>
      </c>
      <c r="Z270" s="24"/>
    </row>
    <row r="271" spans="1:26" x14ac:dyDescent="0.25">
      <c r="A271" s="26">
        <v>268</v>
      </c>
      <c r="B271" s="24" t="str">
        <f>IF('ASS START SYNC'!C275="SHOW",FIND(",",'ASS START SYNC'!E275,1),"")</f>
        <v/>
      </c>
      <c r="C271" s="24" t="str">
        <f>IF('ASS START SYNC'!C275="SHOW",FIND(",",'ASS START SYNC'!E275,B271+1),"")</f>
        <v/>
      </c>
      <c r="D271" s="24" t="str">
        <f>IF('ASS START SYNC'!C275="SHOW",FIND(",",'ASS START SYNC'!E275,C271+1),"")</f>
        <v/>
      </c>
      <c r="E271" s="25" t="str">
        <f>IF('ASS START SYNC'!C275="SHOW",FIND(",,",'ASS START SYNC'!E275,1),"")</f>
        <v/>
      </c>
      <c r="F271" s="25" t="str">
        <f>IF('ASS START SYNC'!C275="SHOW",FIND(",,",'ASS START SYNC'!E275,E271+1),"")</f>
        <v/>
      </c>
      <c r="G271" s="23" t="str">
        <f>IF('ASS START SYNC'!C275="SHOW",LEFT('ASS START SYNC'!E275,B271),"")</f>
        <v/>
      </c>
      <c r="H271" s="24" t="str">
        <f>IF(AND('ASS START SYNC'!C275="SHOW",COUNTA('ASS START SYNC'!$E$8:'ASS START SYNC'!E274)=0),MID('ASS START SYNC'!E275,B271+1,C271-B271-1),IF(AND('ASS START SYNC'!C275="SHOW",COUNTA('ASS START SYNC'!$E$8:'ASS START SYNC'!E274)&lt;&gt;0),I270,""))</f>
        <v/>
      </c>
      <c r="I271" s="24" t="str">
        <f>IF('ASS START SYNC'!C275="SHOW",MID('ASS START SYNC'!E275,C271+1,D271-C271-1),I270)</f>
        <v/>
      </c>
      <c r="J271" s="23" t="str">
        <f>IF('ASS START SYNC'!C275="SHOW",MID('ASS START SYNC'!E275,D271+1,F271-D271+1),"")</f>
        <v/>
      </c>
      <c r="K271" s="23" t="str">
        <f>IF('ASS START SYNC'!C275="SHOW",MID('ASS START SYNC'!E275,F271+2,1000),"")</f>
        <v/>
      </c>
      <c r="M271" s="24"/>
      <c r="N271" s="26">
        <v>268</v>
      </c>
      <c r="O271" s="24" t="str">
        <f>IF('ASS END SYNC'!C275="SHOW",FIND(",",'ASS END SYNC'!E275,1),"")</f>
        <v/>
      </c>
      <c r="P271" s="24" t="str">
        <f>IF('ASS END SYNC'!C275="SHOW",FIND(",",'ASS END SYNC'!E275,O271+1),"")</f>
        <v/>
      </c>
      <c r="Q271" s="24" t="str">
        <f>IF('ASS END SYNC'!C275="SHOW",FIND(",",'ASS END SYNC'!E275,P271+1),"")</f>
        <v/>
      </c>
      <c r="R271" s="25" t="str">
        <f>IF('ASS END SYNC'!C275="SHOW",FIND(",,",'ASS END SYNC'!E275,1),"")</f>
        <v/>
      </c>
      <c r="S271" s="25" t="str">
        <f>IF('ASS END SYNC'!C275="SHOW",FIND(",,",'ASS END SYNC'!E275,R271+1),"")</f>
        <v/>
      </c>
      <c r="T271" s="23" t="str">
        <f>IF('ASS END SYNC'!C275="SHOW",LEFT('ASS END SYNC'!E275,O271),"")</f>
        <v/>
      </c>
      <c r="U271" s="24" t="str">
        <f>IF('ASS END SYNC'!C275="SHOW",MID('ASS END SYNC'!E275,O271+1,P271-O271-1),"")</f>
        <v/>
      </c>
      <c r="V271" s="24" t="str">
        <f>IF(AND('ASS END SYNC'!C275="SHOW",'ASS END SYNC'!C276="SHOW"),U272,IF(AND('ASS END SYNC'!C275="SHOW",'ASS END SYNC'!C276&lt;&gt;"SHOW"),MID('ASS END SYNC'!E275,O271+1,P271-O271-1),""))</f>
        <v/>
      </c>
      <c r="W271" s="23" t="str">
        <f>IF('ASS END SYNC'!C275="SHOW",MID('ASS END SYNC'!E275,Q271+1,S271-Q271+1),"")</f>
        <v/>
      </c>
      <c r="X271" s="23" t="str">
        <f>IF('ASS END SYNC'!C275="SHOW",MID('ASS END SYNC'!E275,S271+2,1000),"")</f>
        <v/>
      </c>
      <c r="Z271" s="24"/>
    </row>
    <row r="272" spans="1:26" x14ac:dyDescent="0.25">
      <c r="A272" s="26">
        <v>269</v>
      </c>
      <c r="B272" s="24" t="str">
        <f>IF('ASS START SYNC'!C276="SHOW",FIND(",",'ASS START SYNC'!E276,1),"")</f>
        <v/>
      </c>
      <c r="C272" s="24" t="str">
        <f>IF('ASS START SYNC'!C276="SHOW",FIND(",",'ASS START SYNC'!E276,B272+1),"")</f>
        <v/>
      </c>
      <c r="D272" s="24" t="str">
        <f>IF('ASS START SYNC'!C276="SHOW",FIND(",",'ASS START SYNC'!E276,C272+1),"")</f>
        <v/>
      </c>
      <c r="E272" s="25" t="str">
        <f>IF('ASS START SYNC'!C276="SHOW",FIND(",,",'ASS START SYNC'!E276,1),"")</f>
        <v/>
      </c>
      <c r="F272" s="25" t="str">
        <f>IF('ASS START SYNC'!C276="SHOW",FIND(",,",'ASS START SYNC'!E276,E272+1),"")</f>
        <v/>
      </c>
      <c r="G272" s="23" t="str">
        <f>IF('ASS START SYNC'!C276="SHOW",LEFT('ASS START SYNC'!E276,B272),"")</f>
        <v/>
      </c>
      <c r="H272" s="24" t="str">
        <f>IF(AND('ASS START SYNC'!C276="SHOW",COUNTA('ASS START SYNC'!$E$8:'ASS START SYNC'!E275)=0),MID('ASS START SYNC'!E276,B272+1,C272-B272-1),IF(AND('ASS START SYNC'!C276="SHOW",COUNTA('ASS START SYNC'!$E$8:'ASS START SYNC'!E275)&lt;&gt;0),I271,""))</f>
        <v/>
      </c>
      <c r="I272" s="24" t="str">
        <f>IF('ASS START SYNC'!C276="SHOW",MID('ASS START SYNC'!E276,C272+1,D272-C272-1),I271)</f>
        <v/>
      </c>
      <c r="J272" s="23" t="str">
        <f>IF('ASS START SYNC'!C276="SHOW",MID('ASS START SYNC'!E276,D272+1,F272-D272+1),"")</f>
        <v/>
      </c>
      <c r="K272" s="23" t="str">
        <f>IF('ASS START SYNC'!C276="SHOW",MID('ASS START SYNC'!E276,F272+2,1000),"")</f>
        <v/>
      </c>
      <c r="M272" s="24"/>
      <c r="N272" s="26">
        <v>269</v>
      </c>
      <c r="O272" s="24" t="str">
        <f>IF('ASS END SYNC'!C276="SHOW",FIND(",",'ASS END SYNC'!E276,1),"")</f>
        <v/>
      </c>
      <c r="P272" s="24" t="str">
        <f>IF('ASS END SYNC'!C276="SHOW",FIND(",",'ASS END SYNC'!E276,O272+1),"")</f>
        <v/>
      </c>
      <c r="Q272" s="24" t="str">
        <f>IF('ASS END SYNC'!C276="SHOW",FIND(",",'ASS END SYNC'!E276,P272+1),"")</f>
        <v/>
      </c>
      <c r="R272" s="25" t="str">
        <f>IF('ASS END SYNC'!C276="SHOW",FIND(",,",'ASS END SYNC'!E276,1),"")</f>
        <v/>
      </c>
      <c r="S272" s="25" t="str">
        <f>IF('ASS END SYNC'!C276="SHOW",FIND(",,",'ASS END SYNC'!E276,R272+1),"")</f>
        <v/>
      </c>
      <c r="T272" s="23" t="str">
        <f>IF('ASS END SYNC'!C276="SHOW",LEFT('ASS END SYNC'!E276,O272),"")</f>
        <v/>
      </c>
      <c r="U272" s="24" t="str">
        <f>IF('ASS END SYNC'!C276="SHOW",MID('ASS END SYNC'!E276,O272+1,P272-O272-1),"")</f>
        <v/>
      </c>
      <c r="V272" s="24" t="str">
        <f>IF(AND('ASS END SYNC'!C276="SHOW",'ASS END SYNC'!C277="SHOW"),U273,IF(AND('ASS END SYNC'!C276="SHOW",'ASS END SYNC'!C277&lt;&gt;"SHOW"),MID('ASS END SYNC'!E276,O272+1,P272-O272-1),""))</f>
        <v/>
      </c>
      <c r="W272" s="23" t="str">
        <f>IF('ASS END SYNC'!C276="SHOW",MID('ASS END SYNC'!E276,Q272+1,S272-Q272+1),"")</f>
        <v/>
      </c>
      <c r="X272" s="23" t="str">
        <f>IF('ASS END SYNC'!C276="SHOW",MID('ASS END SYNC'!E276,S272+2,1000),"")</f>
        <v/>
      </c>
      <c r="Z272" s="24"/>
    </row>
    <row r="273" spans="1:26" x14ac:dyDescent="0.25">
      <c r="A273" s="26">
        <v>270</v>
      </c>
      <c r="B273" s="24" t="str">
        <f>IF('ASS START SYNC'!C277="SHOW",FIND(",",'ASS START SYNC'!E277,1),"")</f>
        <v/>
      </c>
      <c r="C273" s="24" t="str">
        <f>IF('ASS START SYNC'!C277="SHOW",FIND(",",'ASS START SYNC'!E277,B273+1),"")</f>
        <v/>
      </c>
      <c r="D273" s="24" t="str">
        <f>IF('ASS START SYNC'!C277="SHOW",FIND(",",'ASS START SYNC'!E277,C273+1),"")</f>
        <v/>
      </c>
      <c r="E273" s="25" t="str">
        <f>IF('ASS START SYNC'!C277="SHOW",FIND(",,",'ASS START SYNC'!E277,1),"")</f>
        <v/>
      </c>
      <c r="F273" s="25" t="str">
        <f>IF('ASS START SYNC'!C277="SHOW",FIND(",,",'ASS START SYNC'!E277,E273+1),"")</f>
        <v/>
      </c>
      <c r="G273" s="23" t="str">
        <f>IF('ASS START SYNC'!C277="SHOW",LEFT('ASS START SYNC'!E277,B273),"")</f>
        <v/>
      </c>
      <c r="H273" s="24" t="str">
        <f>IF(AND('ASS START SYNC'!C277="SHOW",COUNTA('ASS START SYNC'!$E$8:'ASS START SYNC'!E276)=0),MID('ASS START SYNC'!E277,B273+1,C273-B273-1),IF(AND('ASS START SYNC'!C277="SHOW",COUNTA('ASS START SYNC'!$E$8:'ASS START SYNC'!E276)&lt;&gt;0),I272,""))</f>
        <v/>
      </c>
      <c r="I273" s="24" t="str">
        <f>IF('ASS START SYNC'!C277="SHOW",MID('ASS START SYNC'!E277,C273+1,D273-C273-1),I272)</f>
        <v/>
      </c>
      <c r="J273" s="23" t="str">
        <f>IF('ASS START SYNC'!C277="SHOW",MID('ASS START SYNC'!E277,D273+1,F273-D273+1),"")</f>
        <v/>
      </c>
      <c r="K273" s="23" t="str">
        <f>IF('ASS START SYNC'!C277="SHOW",MID('ASS START SYNC'!E277,F273+2,1000),"")</f>
        <v/>
      </c>
      <c r="M273" s="24"/>
      <c r="N273" s="26">
        <v>270</v>
      </c>
      <c r="O273" s="24" t="str">
        <f>IF('ASS END SYNC'!C277="SHOW",FIND(",",'ASS END SYNC'!E277,1),"")</f>
        <v/>
      </c>
      <c r="P273" s="24" t="str">
        <f>IF('ASS END SYNC'!C277="SHOW",FIND(",",'ASS END SYNC'!E277,O273+1),"")</f>
        <v/>
      </c>
      <c r="Q273" s="24" t="str">
        <f>IF('ASS END SYNC'!C277="SHOW",FIND(",",'ASS END SYNC'!E277,P273+1),"")</f>
        <v/>
      </c>
      <c r="R273" s="25" t="str">
        <f>IF('ASS END SYNC'!C277="SHOW",FIND(",,",'ASS END SYNC'!E277,1),"")</f>
        <v/>
      </c>
      <c r="S273" s="25" t="str">
        <f>IF('ASS END SYNC'!C277="SHOW",FIND(",,",'ASS END SYNC'!E277,R273+1),"")</f>
        <v/>
      </c>
      <c r="T273" s="23" t="str">
        <f>IF('ASS END SYNC'!C277="SHOW",LEFT('ASS END SYNC'!E277,O273),"")</f>
        <v/>
      </c>
      <c r="U273" s="24" t="str">
        <f>IF('ASS END SYNC'!C277="SHOW",MID('ASS END SYNC'!E277,O273+1,P273-O273-1),"")</f>
        <v/>
      </c>
      <c r="V273" s="24" t="str">
        <f>IF(AND('ASS END SYNC'!C277="SHOW",'ASS END SYNC'!C278="SHOW"),U274,IF(AND('ASS END SYNC'!C277="SHOW",'ASS END SYNC'!C278&lt;&gt;"SHOW"),MID('ASS END SYNC'!E277,O273+1,P273-O273-1),""))</f>
        <v/>
      </c>
      <c r="W273" s="23" t="str">
        <f>IF('ASS END SYNC'!C277="SHOW",MID('ASS END SYNC'!E277,Q273+1,S273-Q273+1),"")</f>
        <v/>
      </c>
      <c r="X273" s="23" t="str">
        <f>IF('ASS END SYNC'!C277="SHOW",MID('ASS END SYNC'!E277,S273+2,1000),"")</f>
        <v/>
      </c>
      <c r="Z273" s="24"/>
    </row>
    <row r="274" spans="1:26" x14ac:dyDescent="0.25">
      <c r="A274" s="26">
        <v>271</v>
      </c>
      <c r="B274" s="24" t="str">
        <f>IF('ASS START SYNC'!C278="SHOW",FIND(",",'ASS START SYNC'!E278,1),"")</f>
        <v/>
      </c>
      <c r="C274" s="24" t="str">
        <f>IF('ASS START SYNC'!C278="SHOW",FIND(",",'ASS START SYNC'!E278,B274+1),"")</f>
        <v/>
      </c>
      <c r="D274" s="24" t="str">
        <f>IF('ASS START SYNC'!C278="SHOW",FIND(",",'ASS START SYNC'!E278,C274+1),"")</f>
        <v/>
      </c>
      <c r="E274" s="25" t="str">
        <f>IF('ASS START SYNC'!C278="SHOW",FIND(",,",'ASS START SYNC'!E278,1),"")</f>
        <v/>
      </c>
      <c r="F274" s="25" t="str">
        <f>IF('ASS START SYNC'!C278="SHOW",FIND(",,",'ASS START SYNC'!E278,E274+1),"")</f>
        <v/>
      </c>
      <c r="G274" s="23" t="str">
        <f>IF('ASS START SYNC'!C278="SHOW",LEFT('ASS START SYNC'!E278,B274),"")</f>
        <v/>
      </c>
      <c r="H274" s="24" t="str">
        <f>IF(AND('ASS START SYNC'!C278="SHOW",COUNTA('ASS START SYNC'!$E$8:'ASS START SYNC'!E277)=0),MID('ASS START SYNC'!E278,B274+1,C274-B274-1),IF(AND('ASS START SYNC'!C278="SHOW",COUNTA('ASS START SYNC'!$E$8:'ASS START SYNC'!E277)&lt;&gt;0),I273,""))</f>
        <v/>
      </c>
      <c r="I274" s="24" t="str">
        <f>IF('ASS START SYNC'!C278="SHOW",MID('ASS START SYNC'!E278,C274+1,D274-C274-1),I273)</f>
        <v/>
      </c>
      <c r="J274" s="23" t="str">
        <f>IF('ASS START SYNC'!C278="SHOW",MID('ASS START SYNC'!E278,D274+1,F274-D274+1),"")</f>
        <v/>
      </c>
      <c r="K274" s="23" t="str">
        <f>IF('ASS START SYNC'!C278="SHOW",MID('ASS START SYNC'!E278,F274+2,1000),"")</f>
        <v/>
      </c>
      <c r="M274" s="24"/>
      <c r="N274" s="26">
        <v>271</v>
      </c>
      <c r="O274" s="24" t="str">
        <f>IF('ASS END SYNC'!C278="SHOW",FIND(",",'ASS END SYNC'!E278,1),"")</f>
        <v/>
      </c>
      <c r="P274" s="24" t="str">
        <f>IF('ASS END SYNC'!C278="SHOW",FIND(",",'ASS END SYNC'!E278,O274+1),"")</f>
        <v/>
      </c>
      <c r="Q274" s="24" t="str">
        <f>IF('ASS END SYNC'!C278="SHOW",FIND(",",'ASS END SYNC'!E278,P274+1),"")</f>
        <v/>
      </c>
      <c r="R274" s="25" t="str">
        <f>IF('ASS END SYNC'!C278="SHOW",FIND(",,",'ASS END SYNC'!E278,1),"")</f>
        <v/>
      </c>
      <c r="S274" s="25" t="str">
        <f>IF('ASS END SYNC'!C278="SHOW",FIND(",,",'ASS END SYNC'!E278,R274+1),"")</f>
        <v/>
      </c>
      <c r="T274" s="23" t="str">
        <f>IF('ASS END SYNC'!C278="SHOW",LEFT('ASS END SYNC'!E278,O274),"")</f>
        <v/>
      </c>
      <c r="U274" s="24" t="str">
        <f>IF('ASS END SYNC'!C278="SHOW",MID('ASS END SYNC'!E278,O274+1,P274-O274-1),"")</f>
        <v/>
      </c>
      <c r="V274" s="24" t="str">
        <f>IF(AND('ASS END SYNC'!C278="SHOW",'ASS END SYNC'!C279="SHOW"),U275,IF(AND('ASS END SYNC'!C278="SHOW",'ASS END SYNC'!C279&lt;&gt;"SHOW"),MID('ASS END SYNC'!E278,O274+1,P274-O274-1),""))</f>
        <v/>
      </c>
      <c r="W274" s="23" t="str">
        <f>IF('ASS END SYNC'!C278="SHOW",MID('ASS END SYNC'!E278,Q274+1,S274-Q274+1),"")</f>
        <v/>
      </c>
      <c r="X274" s="23" t="str">
        <f>IF('ASS END SYNC'!C278="SHOW",MID('ASS END SYNC'!E278,S274+2,1000),"")</f>
        <v/>
      </c>
      <c r="Z274" s="24"/>
    </row>
    <row r="275" spans="1:26" x14ac:dyDescent="0.25">
      <c r="A275" s="26">
        <v>272</v>
      </c>
      <c r="B275" s="24" t="str">
        <f>IF('ASS START SYNC'!C279="SHOW",FIND(",",'ASS START SYNC'!E279,1),"")</f>
        <v/>
      </c>
      <c r="C275" s="24" t="str">
        <f>IF('ASS START SYNC'!C279="SHOW",FIND(",",'ASS START SYNC'!E279,B275+1),"")</f>
        <v/>
      </c>
      <c r="D275" s="24" t="str">
        <f>IF('ASS START SYNC'!C279="SHOW",FIND(",",'ASS START SYNC'!E279,C275+1),"")</f>
        <v/>
      </c>
      <c r="E275" s="25" t="str">
        <f>IF('ASS START SYNC'!C279="SHOW",FIND(",,",'ASS START SYNC'!E279,1),"")</f>
        <v/>
      </c>
      <c r="F275" s="25" t="str">
        <f>IF('ASS START SYNC'!C279="SHOW",FIND(",,",'ASS START SYNC'!E279,E275+1),"")</f>
        <v/>
      </c>
      <c r="G275" s="23" t="str">
        <f>IF('ASS START SYNC'!C279="SHOW",LEFT('ASS START SYNC'!E279,B275),"")</f>
        <v/>
      </c>
      <c r="H275" s="24" t="str">
        <f>IF(AND('ASS START SYNC'!C279="SHOW",COUNTA('ASS START SYNC'!$E$8:'ASS START SYNC'!E278)=0),MID('ASS START SYNC'!E279,B275+1,C275-B275-1),IF(AND('ASS START SYNC'!C279="SHOW",COUNTA('ASS START SYNC'!$E$8:'ASS START SYNC'!E278)&lt;&gt;0),I274,""))</f>
        <v/>
      </c>
      <c r="I275" s="24" t="str">
        <f>IF('ASS START SYNC'!C279="SHOW",MID('ASS START SYNC'!E279,C275+1,D275-C275-1),I274)</f>
        <v/>
      </c>
      <c r="J275" s="23" t="str">
        <f>IF('ASS START SYNC'!C279="SHOW",MID('ASS START SYNC'!E279,D275+1,F275-D275+1),"")</f>
        <v/>
      </c>
      <c r="K275" s="23" t="str">
        <f>IF('ASS START SYNC'!C279="SHOW",MID('ASS START SYNC'!E279,F275+2,1000),"")</f>
        <v/>
      </c>
      <c r="M275" s="24"/>
      <c r="N275" s="26">
        <v>272</v>
      </c>
      <c r="O275" s="24" t="str">
        <f>IF('ASS END SYNC'!C279="SHOW",FIND(",",'ASS END SYNC'!E279,1),"")</f>
        <v/>
      </c>
      <c r="P275" s="24" t="str">
        <f>IF('ASS END SYNC'!C279="SHOW",FIND(",",'ASS END SYNC'!E279,O275+1),"")</f>
        <v/>
      </c>
      <c r="Q275" s="24" t="str">
        <f>IF('ASS END SYNC'!C279="SHOW",FIND(",",'ASS END SYNC'!E279,P275+1),"")</f>
        <v/>
      </c>
      <c r="R275" s="25" t="str">
        <f>IF('ASS END SYNC'!C279="SHOW",FIND(",,",'ASS END SYNC'!E279,1),"")</f>
        <v/>
      </c>
      <c r="S275" s="25" t="str">
        <f>IF('ASS END SYNC'!C279="SHOW",FIND(",,",'ASS END SYNC'!E279,R275+1),"")</f>
        <v/>
      </c>
      <c r="T275" s="23" t="str">
        <f>IF('ASS END SYNC'!C279="SHOW",LEFT('ASS END SYNC'!E279,O275),"")</f>
        <v/>
      </c>
      <c r="U275" s="24" t="str">
        <f>IF('ASS END SYNC'!C279="SHOW",MID('ASS END SYNC'!E279,O275+1,P275-O275-1),"")</f>
        <v/>
      </c>
      <c r="V275" s="24" t="str">
        <f>IF(AND('ASS END SYNC'!C279="SHOW",'ASS END SYNC'!C280="SHOW"),U276,IF(AND('ASS END SYNC'!C279="SHOW",'ASS END SYNC'!C280&lt;&gt;"SHOW"),MID('ASS END SYNC'!E279,O275+1,P275-O275-1),""))</f>
        <v/>
      </c>
      <c r="W275" s="23" t="str">
        <f>IF('ASS END SYNC'!C279="SHOW",MID('ASS END SYNC'!E279,Q275+1,S275-Q275+1),"")</f>
        <v/>
      </c>
      <c r="X275" s="23" t="str">
        <f>IF('ASS END SYNC'!C279="SHOW",MID('ASS END SYNC'!E279,S275+2,1000),"")</f>
        <v/>
      </c>
      <c r="Z275" s="24"/>
    </row>
    <row r="276" spans="1:26" x14ac:dyDescent="0.25">
      <c r="A276" s="26">
        <v>273</v>
      </c>
      <c r="B276" s="24" t="str">
        <f>IF('ASS START SYNC'!C280="SHOW",FIND(",",'ASS START SYNC'!E280,1),"")</f>
        <v/>
      </c>
      <c r="C276" s="24" t="str">
        <f>IF('ASS START SYNC'!C280="SHOW",FIND(",",'ASS START SYNC'!E280,B276+1),"")</f>
        <v/>
      </c>
      <c r="D276" s="24" t="str">
        <f>IF('ASS START SYNC'!C280="SHOW",FIND(",",'ASS START SYNC'!E280,C276+1),"")</f>
        <v/>
      </c>
      <c r="E276" s="25" t="str">
        <f>IF('ASS START SYNC'!C280="SHOW",FIND(",,",'ASS START SYNC'!E280,1),"")</f>
        <v/>
      </c>
      <c r="F276" s="25" t="str">
        <f>IF('ASS START SYNC'!C280="SHOW",FIND(",,",'ASS START SYNC'!E280,E276+1),"")</f>
        <v/>
      </c>
      <c r="G276" s="23" t="str">
        <f>IF('ASS START SYNC'!C280="SHOW",LEFT('ASS START SYNC'!E280,B276),"")</f>
        <v/>
      </c>
      <c r="H276" s="24" t="str">
        <f>IF(AND('ASS START SYNC'!C280="SHOW",COUNTA('ASS START SYNC'!$E$8:'ASS START SYNC'!E279)=0),MID('ASS START SYNC'!E280,B276+1,C276-B276-1),IF(AND('ASS START SYNC'!C280="SHOW",COUNTA('ASS START SYNC'!$E$8:'ASS START SYNC'!E279)&lt;&gt;0),I275,""))</f>
        <v/>
      </c>
      <c r="I276" s="24" t="str">
        <f>IF('ASS START SYNC'!C280="SHOW",MID('ASS START SYNC'!E280,C276+1,D276-C276-1),I275)</f>
        <v/>
      </c>
      <c r="J276" s="23" t="str">
        <f>IF('ASS START SYNC'!C280="SHOW",MID('ASS START SYNC'!E280,D276+1,F276-D276+1),"")</f>
        <v/>
      </c>
      <c r="K276" s="23" t="str">
        <f>IF('ASS START SYNC'!C280="SHOW",MID('ASS START SYNC'!E280,F276+2,1000),"")</f>
        <v/>
      </c>
      <c r="M276" s="24"/>
      <c r="N276" s="26">
        <v>273</v>
      </c>
      <c r="O276" s="24" t="str">
        <f>IF('ASS END SYNC'!C280="SHOW",FIND(",",'ASS END SYNC'!E280,1),"")</f>
        <v/>
      </c>
      <c r="P276" s="24" t="str">
        <f>IF('ASS END SYNC'!C280="SHOW",FIND(",",'ASS END SYNC'!E280,O276+1),"")</f>
        <v/>
      </c>
      <c r="Q276" s="24" t="str">
        <f>IF('ASS END SYNC'!C280="SHOW",FIND(",",'ASS END SYNC'!E280,P276+1),"")</f>
        <v/>
      </c>
      <c r="R276" s="25" t="str">
        <f>IF('ASS END SYNC'!C280="SHOW",FIND(",,",'ASS END SYNC'!E280,1),"")</f>
        <v/>
      </c>
      <c r="S276" s="25" t="str">
        <f>IF('ASS END SYNC'!C280="SHOW",FIND(",,",'ASS END SYNC'!E280,R276+1),"")</f>
        <v/>
      </c>
      <c r="T276" s="23" t="str">
        <f>IF('ASS END SYNC'!C280="SHOW",LEFT('ASS END SYNC'!E280,O276),"")</f>
        <v/>
      </c>
      <c r="U276" s="24" t="str">
        <f>IF('ASS END SYNC'!C280="SHOW",MID('ASS END SYNC'!E280,O276+1,P276-O276-1),"")</f>
        <v/>
      </c>
      <c r="V276" s="24" t="str">
        <f>IF(AND('ASS END SYNC'!C280="SHOW",'ASS END SYNC'!C281="SHOW"),U277,IF(AND('ASS END SYNC'!C280="SHOW",'ASS END SYNC'!C281&lt;&gt;"SHOW"),MID('ASS END SYNC'!E280,O276+1,P276-O276-1),""))</f>
        <v/>
      </c>
      <c r="W276" s="23" t="str">
        <f>IF('ASS END SYNC'!C280="SHOW",MID('ASS END SYNC'!E280,Q276+1,S276-Q276+1),"")</f>
        <v/>
      </c>
      <c r="X276" s="23" t="str">
        <f>IF('ASS END SYNC'!C280="SHOW",MID('ASS END SYNC'!E280,S276+2,1000),"")</f>
        <v/>
      </c>
      <c r="Z276" s="24"/>
    </row>
    <row r="277" spans="1:26" x14ac:dyDescent="0.25">
      <c r="A277" s="26">
        <v>274</v>
      </c>
      <c r="B277" s="24" t="str">
        <f>IF('ASS START SYNC'!C281="SHOW",FIND(",",'ASS START SYNC'!E281,1),"")</f>
        <v/>
      </c>
      <c r="C277" s="24" t="str">
        <f>IF('ASS START SYNC'!C281="SHOW",FIND(",",'ASS START SYNC'!E281,B277+1),"")</f>
        <v/>
      </c>
      <c r="D277" s="24" t="str">
        <f>IF('ASS START SYNC'!C281="SHOW",FIND(",",'ASS START SYNC'!E281,C277+1),"")</f>
        <v/>
      </c>
      <c r="E277" s="25" t="str">
        <f>IF('ASS START SYNC'!C281="SHOW",FIND(",,",'ASS START SYNC'!E281,1),"")</f>
        <v/>
      </c>
      <c r="F277" s="25" t="str">
        <f>IF('ASS START SYNC'!C281="SHOW",FIND(",,",'ASS START SYNC'!E281,E277+1),"")</f>
        <v/>
      </c>
      <c r="G277" s="23" t="str">
        <f>IF('ASS START SYNC'!C281="SHOW",LEFT('ASS START SYNC'!E281,B277),"")</f>
        <v/>
      </c>
      <c r="H277" s="24" t="str">
        <f>IF(AND('ASS START SYNC'!C281="SHOW",COUNTA('ASS START SYNC'!$E$8:'ASS START SYNC'!E280)=0),MID('ASS START SYNC'!E281,B277+1,C277-B277-1),IF(AND('ASS START SYNC'!C281="SHOW",COUNTA('ASS START SYNC'!$E$8:'ASS START SYNC'!E280)&lt;&gt;0),I276,""))</f>
        <v/>
      </c>
      <c r="I277" s="24" t="str">
        <f>IF('ASS START SYNC'!C281="SHOW",MID('ASS START SYNC'!E281,C277+1,D277-C277-1),I276)</f>
        <v/>
      </c>
      <c r="J277" s="23" t="str">
        <f>IF('ASS START SYNC'!C281="SHOW",MID('ASS START SYNC'!E281,D277+1,F277-D277+1),"")</f>
        <v/>
      </c>
      <c r="K277" s="23" t="str">
        <f>IF('ASS START SYNC'!C281="SHOW",MID('ASS START SYNC'!E281,F277+2,1000),"")</f>
        <v/>
      </c>
      <c r="M277" s="24"/>
      <c r="N277" s="26">
        <v>274</v>
      </c>
      <c r="O277" s="24" t="str">
        <f>IF('ASS END SYNC'!C281="SHOW",FIND(",",'ASS END SYNC'!E281,1),"")</f>
        <v/>
      </c>
      <c r="P277" s="24" t="str">
        <f>IF('ASS END SYNC'!C281="SHOW",FIND(",",'ASS END SYNC'!E281,O277+1),"")</f>
        <v/>
      </c>
      <c r="Q277" s="24" t="str">
        <f>IF('ASS END SYNC'!C281="SHOW",FIND(",",'ASS END SYNC'!E281,P277+1),"")</f>
        <v/>
      </c>
      <c r="R277" s="25" t="str">
        <f>IF('ASS END SYNC'!C281="SHOW",FIND(",,",'ASS END SYNC'!E281,1),"")</f>
        <v/>
      </c>
      <c r="S277" s="25" t="str">
        <f>IF('ASS END SYNC'!C281="SHOW",FIND(",,",'ASS END SYNC'!E281,R277+1),"")</f>
        <v/>
      </c>
      <c r="T277" s="23" t="str">
        <f>IF('ASS END SYNC'!C281="SHOW",LEFT('ASS END SYNC'!E281,O277),"")</f>
        <v/>
      </c>
      <c r="U277" s="24" t="str">
        <f>IF('ASS END SYNC'!C281="SHOW",MID('ASS END SYNC'!E281,O277+1,P277-O277-1),"")</f>
        <v/>
      </c>
      <c r="V277" s="24" t="str">
        <f>IF(AND('ASS END SYNC'!C281="SHOW",'ASS END SYNC'!C282="SHOW"),U278,IF(AND('ASS END SYNC'!C281="SHOW",'ASS END SYNC'!C282&lt;&gt;"SHOW"),MID('ASS END SYNC'!E281,O277+1,P277-O277-1),""))</f>
        <v/>
      </c>
      <c r="W277" s="23" t="str">
        <f>IF('ASS END SYNC'!C281="SHOW",MID('ASS END SYNC'!E281,Q277+1,S277-Q277+1),"")</f>
        <v/>
      </c>
      <c r="X277" s="23" t="str">
        <f>IF('ASS END SYNC'!C281="SHOW",MID('ASS END SYNC'!E281,S277+2,1000),"")</f>
        <v/>
      </c>
      <c r="Z277" s="24"/>
    </row>
    <row r="278" spans="1:26" x14ac:dyDescent="0.25">
      <c r="A278" s="26">
        <v>275</v>
      </c>
      <c r="B278" s="24" t="str">
        <f>IF('ASS START SYNC'!C282="SHOW",FIND(",",'ASS START SYNC'!E282,1),"")</f>
        <v/>
      </c>
      <c r="C278" s="24" t="str">
        <f>IF('ASS START SYNC'!C282="SHOW",FIND(",",'ASS START SYNC'!E282,B278+1),"")</f>
        <v/>
      </c>
      <c r="D278" s="24" t="str">
        <f>IF('ASS START SYNC'!C282="SHOW",FIND(",",'ASS START SYNC'!E282,C278+1),"")</f>
        <v/>
      </c>
      <c r="E278" s="25" t="str">
        <f>IF('ASS START SYNC'!C282="SHOW",FIND(",,",'ASS START SYNC'!E282,1),"")</f>
        <v/>
      </c>
      <c r="F278" s="25" t="str">
        <f>IF('ASS START SYNC'!C282="SHOW",FIND(",,",'ASS START SYNC'!E282,E278+1),"")</f>
        <v/>
      </c>
      <c r="G278" s="23" t="str">
        <f>IF('ASS START SYNC'!C282="SHOW",LEFT('ASS START SYNC'!E282,B278),"")</f>
        <v/>
      </c>
      <c r="H278" s="24" t="str">
        <f>IF(AND('ASS START SYNC'!C282="SHOW",COUNTA('ASS START SYNC'!$E$8:'ASS START SYNC'!E281)=0),MID('ASS START SYNC'!E282,B278+1,C278-B278-1),IF(AND('ASS START SYNC'!C282="SHOW",COUNTA('ASS START SYNC'!$E$8:'ASS START SYNC'!E281)&lt;&gt;0),I277,""))</f>
        <v/>
      </c>
      <c r="I278" s="24" t="str">
        <f>IF('ASS START SYNC'!C282="SHOW",MID('ASS START SYNC'!E282,C278+1,D278-C278-1),I277)</f>
        <v/>
      </c>
      <c r="J278" s="23" t="str">
        <f>IF('ASS START SYNC'!C282="SHOW",MID('ASS START SYNC'!E282,D278+1,F278-D278+1),"")</f>
        <v/>
      </c>
      <c r="K278" s="23" t="str">
        <f>IF('ASS START SYNC'!C282="SHOW",MID('ASS START SYNC'!E282,F278+2,1000),"")</f>
        <v/>
      </c>
      <c r="M278" s="24"/>
      <c r="N278" s="26">
        <v>275</v>
      </c>
      <c r="O278" s="24" t="str">
        <f>IF('ASS END SYNC'!C282="SHOW",FIND(",",'ASS END SYNC'!E282,1),"")</f>
        <v/>
      </c>
      <c r="P278" s="24" t="str">
        <f>IF('ASS END SYNC'!C282="SHOW",FIND(",",'ASS END SYNC'!E282,O278+1),"")</f>
        <v/>
      </c>
      <c r="Q278" s="24" t="str">
        <f>IF('ASS END SYNC'!C282="SHOW",FIND(",",'ASS END SYNC'!E282,P278+1),"")</f>
        <v/>
      </c>
      <c r="R278" s="25" t="str">
        <f>IF('ASS END SYNC'!C282="SHOW",FIND(",,",'ASS END SYNC'!E282,1),"")</f>
        <v/>
      </c>
      <c r="S278" s="25" t="str">
        <f>IF('ASS END SYNC'!C282="SHOW",FIND(",,",'ASS END SYNC'!E282,R278+1),"")</f>
        <v/>
      </c>
      <c r="T278" s="23" t="str">
        <f>IF('ASS END SYNC'!C282="SHOW",LEFT('ASS END SYNC'!E282,O278),"")</f>
        <v/>
      </c>
      <c r="U278" s="24" t="str">
        <f>IF('ASS END SYNC'!C282="SHOW",MID('ASS END SYNC'!E282,O278+1,P278-O278-1),"")</f>
        <v/>
      </c>
      <c r="V278" s="24" t="str">
        <f>IF(AND('ASS END SYNC'!C282="SHOW",'ASS END SYNC'!C283="SHOW"),U279,IF(AND('ASS END SYNC'!C282="SHOW",'ASS END SYNC'!C283&lt;&gt;"SHOW"),MID('ASS END SYNC'!E282,O278+1,P278-O278-1),""))</f>
        <v/>
      </c>
      <c r="W278" s="23" t="str">
        <f>IF('ASS END SYNC'!C282="SHOW",MID('ASS END SYNC'!E282,Q278+1,S278-Q278+1),"")</f>
        <v/>
      </c>
      <c r="X278" s="23" t="str">
        <f>IF('ASS END SYNC'!C282="SHOW",MID('ASS END SYNC'!E282,S278+2,1000),"")</f>
        <v/>
      </c>
      <c r="Z278" s="24"/>
    </row>
    <row r="279" spans="1:26" x14ac:dyDescent="0.25">
      <c r="A279" s="26">
        <v>276</v>
      </c>
      <c r="B279" s="24" t="str">
        <f>IF('ASS START SYNC'!C283="SHOW",FIND(",",'ASS START SYNC'!E283,1),"")</f>
        <v/>
      </c>
      <c r="C279" s="24" t="str">
        <f>IF('ASS START SYNC'!C283="SHOW",FIND(",",'ASS START SYNC'!E283,B279+1),"")</f>
        <v/>
      </c>
      <c r="D279" s="24" t="str">
        <f>IF('ASS START SYNC'!C283="SHOW",FIND(",",'ASS START SYNC'!E283,C279+1),"")</f>
        <v/>
      </c>
      <c r="E279" s="25" t="str">
        <f>IF('ASS START SYNC'!C283="SHOW",FIND(",,",'ASS START SYNC'!E283,1),"")</f>
        <v/>
      </c>
      <c r="F279" s="25" t="str">
        <f>IF('ASS START SYNC'!C283="SHOW",FIND(",,",'ASS START SYNC'!E283,E279+1),"")</f>
        <v/>
      </c>
      <c r="G279" s="23" t="str">
        <f>IF('ASS START SYNC'!C283="SHOW",LEFT('ASS START SYNC'!E283,B279),"")</f>
        <v/>
      </c>
      <c r="H279" s="24" t="str">
        <f>IF(AND('ASS START SYNC'!C283="SHOW",COUNTA('ASS START SYNC'!$E$8:'ASS START SYNC'!E282)=0),MID('ASS START SYNC'!E283,B279+1,C279-B279-1),IF(AND('ASS START SYNC'!C283="SHOW",COUNTA('ASS START SYNC'!$E$8:'ASS START SYNC'!E282)&lt;&gt;0),I278,""))</f>
        <v/>
      </c>
      <c r="I279" s="24" t="str">
        <f>IF('ASS START SYNC'!C283="SHOW",MID('ASS START SYNC'!E283,C279+1,D279-C279-1),I278)</f>
        <v/>
      </c>
      <c r="J279" s="23" t="str">
        <f>IF('ASS START SYNC'!C283="SHOW",MID('ASS START SYNC'!E283,D279+1,F279-D279+1),"")</f>
        <v/>
      </c>
      <c r="K279" s="23" t="str">
        <f>IF('ASS START SYNC'!C283="SHOW",MID('ASS START SYNC'!E283,F279+2,1000),"")</f>
        <v/>
      </c>
      <c r="M279" s="24"/>
      <c r="N279" s="26">
        <v>276</v>
      </c>
      <c r="O279" s="24" t="str">
        <f>IF('ASS END SYNC'!C283="SHOW",FIND(",",'ASS END SYNC'!E283,1),"")</f>
        <v/>
      </c>
      <c r="P279" s="24" t="str">
        <f>IF('ASS END SYNC'!C283="SHOW",FIND(",",'ASS END SYNC'!E283,O279+1),"")</f>
        <v/>
      </c>
      <c r="Q279" s="24" t="str">
        <f>IF('ASS END SYNC'!C283="SHOW",FIND(",",'ASS END SYNC'!E283,P279+1),"")</f>
        <v/>
      </c>
      <c r="R279" s="25" t="str">
        <f>IF('ASS END SYNC'!C283="SHOW",FIND(",,",'ASS END SYNC'!E283,1),"")</f>
        <v/>
      </c>
      <c r="S279" s="25" t="str">
        <f>IF('ASS END SYNC'!C283="SHOW",FIND(",,",'ASS END SYNC'!E283,R279+1),"")</f>
        <v/>
      </c>
      <c r="T279" s="23" t="str">
        <f>IF('ASS END SYNC'!C283="SHOW",LEFT('ASS END SYNC'!E283,O279),"")</f>
        <v/>
      </c>
      <c r="U279" s="24" t="str">
        <f>IF('ASS END SYNC'!C283="SHOW",MID('ASS END SYNC'!E283,O279+1,P279-O279-1),"")</f>
        <v/>
      </c>
      <c r="V279" s="24" t="str">
        <f>IF(AND('ASS END SYNC'!C283="SHOW",'ASS END SYNC'!C284="SHOW"),U280,IF(AND('ASS END SYNC'!C283="SHOW",'ASS END SYNC'!C284&lt;&gt;"SHOW"),MID('ASS END SYNC'!E283,O279+1,P279-O279-1),""))</f>
        <v/>
      </c>
      <c r="W279" s="23" t="str">
        <f>IF('ASS END SYNC'!C283="SHOW",MID('ASS END SYNC'!E283,Q279+1,S279-Q279+1),"")</f>
        <v/>
      </c>
      <c r="X279" s="23" t="str">
        <f>IF('ASS END SYNC'!C283="SHOW",MID('ASS END SYNC'!E283,S279+2,1000),"")</f>
        <v/>
      </c>
      <c r="Z279" s="24"/>
    </row>
    <row r="280" spans="1:26" x14ac:dyDescent="0.25">
      <c r="A280" s="26">
        <v>277</v>
      </c>
      <c r="B280" s="24" t="str">
        <f>IF('ASS START SYNC'!C284="SHOW",FIND(",",'ASS START SYNC'!E284,1),"")</f>
        <v/>
      </c>
      <c r="C280" s="24" t="str">
        <f>IF('ASS START SYNC'!C284="SHOW",FIND(",",'ASS START SYNC'!E284,B280+1),"")</f>
        <v/>
      </c>
      <c r="D280" s="24" t="str">
        <f>IF('ASS START SYNC'!C284="SHOW",FIND(",",'ASS START SYNC'!E284,C280+1),"")</f>
        <v/>
      </c>
      <c r="E280" s="25" t="str">
        <f>IF('ASS START SYNC'!C284="SHOW",FIND(",,",'ASS START SYNC'!E284,1),"")</f>
        <v/>
      </c>
      <c r="F280" s="25" t="str">
        <f>IF('ASS START SYNC'!C284="SHOW",FIND(",,",'ASS START SYNC'!E284,E280+1),"")</f>
        <v/>
      </c>
      <c r="G280" s="23" t="str">
        <f>IF('ASS START SYNC'!C284="SHOW",LEFT('ASS START SYNC'!E284,B280),"")</f>
        <v/>
      </c>
      <c r="H280" s="24" t="str">
        <f>IF(AND('ASS START SYNC'!C284="SHOW",COUNTA('ASS START SYNC'!$E$8:'ASS START SYNC'!E283)=0),MID('ASS START SYNC'!E284,B280+1,C280-B280-1),IF(AND('ASS START SYNC'!C284="SHOW",COUNTA('ASS START SYNC'!$E$8:'ASS START SYNC'!E283)&lt;&gt;0),I279,""))</f>
        <v/>
      </c>
      <c r="I280" s="24" t="str">
        <f>IF('ASS START SYNC'!C284="SHOW",MID('ASS START SYNC'!E284,C280+1,D280-C280-1),I279)</f>
        <v/>
      </c>
      <c r="J280" s="23" t="str">
        <f>IF('ASS START SYNC'!C284="SHOW",MID('ASS START SYNC'!E284,D280+1,F280-D280+1),"")</f>
        <v/>
      </c>
      <c r="K280" s="23" t="str">
        <f>IF('ASS START SYNC'!C284="SHOW",MID('ASS START SYNC'!E284,F280+2,1000),"")</f>
        <v/>
      </c>
      <c r="M280" s="24"/>
      <c r="N280" s="26">
        <v>277</v>
      </c>
      <c r="O280" s="24" t="str">
        <f>IF('ASS END SYNC'!C284="SHOW",FIND(",",'ASS END SYNC'!E284,1),"")</f>
        <v/>
      </c>
      <c r="P280" s="24" t="str">
        <f>IF('ASS END SYNC'!C284="SHOW",FIND(",",'ASS END SYNC'!E284,O280+1),"")</f>
        <v/>
      </c>
      <c r="Q280" s="24" t="str">
        <f>IF('ASS END SYNC'!C284="SHOW",FIND(",",'ASS END SYNC'!E284,P280+1),"")</f>
        <v/>
      </c>
      <c r="R280" s="25" t="str">
        <f>IF('ASS END SYNC'!C284="SHOW",FIND(",,",'ASS END SYNC'!E284,1),"")</f>
        <v/>
      </c>
      <c r="S280" s="25" t="str">
        <f>IF('ASS END SYNC'!C284="SHOW",FIND(",,",'ASS END SYNC'!E284,R280+1),"")</f>
        <v/>
      </c>
      <c r="T280" s="23" t="str">
        <f>IF('ASS END SYNC'!C284="SHOW",LEFT('ASS END SYNC'!E284,O280),"")</f>
        <v/>
      </c>
      <c r="U280" s="24" t="str">
        <f>IF('ASS END SYNC'!C284="SHOW",MID('ASS END SYNC'!E284,O280+1,P280-O280-1),"")</f>
        <v/>
      </c>
      <c r="V280" s="24" t="str">
        <f>IF(AND('ASS END SYNC'!C284="SHOW",'ASS END SYNC'!C285="SHOW"),U281,IF(AND('ASS END SYNC'!C284="SHOW",'ASS END SYNC'!C285&lt;&gt;"SHOW"),MID('ASS END SYNC'!E284,O280+1,P280-O280-1),""))</f>
        <v/>
      </c>
      <c r="W280" s="23" t="str">
        <f>IF('ASS END SYNC'!C284="SHOW",MID('ASS END SYNC'!E284,Q280+1,S280-Q280+1),"")</f>
        <v/>
      </c>
      <c r="X280" s="23" t="str">
        <f>IF('ASS END SYNC'!C284="SHOW",MID('ASS END SYNC'!E284,S280+2,1000),"")</f>
        <v/>
      </c>
      <c r="Z280" s="24"/>
    </row>
    <row r="281" spans="1:26" x14ac:dyDescent="0.25">
      <c r="A281" s="26">
        <v>278</v>
      </c>
      <c r="B281" s="24" t="str">
        <f>IF('ASS START SYNC'!C285="SHOW",FIND(",",'ASS START SYNC'!E285,1),"")</f>
        <v/>
      </c>
      <c r="C281" s="24" t="str">
        <f>IF('ASS START SYNC'!C285="SHOW",FIND(",",'ASS START SYNC'!E285,B281+1),"")</f>
        <v/>
      </c>
      <c r="D281" s="24" t="str">
        <f>IF('ASS START SYNC'!C285="SHOW",FIND(",",'ASS START SYNC'!E285,C281+1),"")</f>
        <v/>
      </c>
      <c r="E281" s="25" t="str">
        <f>IF('ASS START SYNC'!C285="SHOW",FIND(",,",'ASS START SYNC'!E285,1),"")</f>
        <v/>
      </c>
      <c r="F281" s="25" t="str">
        <f>IF('ASS START SYNC'!C285="SHOW",FIND(",,",'ASS START SYNC'!E285,E281+1),"")</f>
        <v/>
      </c>
      <c r="G281" s="23" t="str">
        <f>IF('ASS START SYNC'!C285="SHOW",LEFT('ASS START SYNC'!E285,B281),"")</f>
        <v/>
      </c>
      <c r="H281" s="24" t="str">
        <f>IF(AND('ASS START SYNC'!C285="SHOW",COUNTA('ASS START SYNC'!$E$8:'ASS START SYNC'!E284)=0),MID('ASS START SYNC'!E285,B281+1,C281-B281-1),IF(AND('ASS START SYNC'!C285="SHOW",COUNTA('ASS START SYNC'!$E$8:'ASS START SYNC'!E284)&lt;&gt;0),I280,""))</f>
        <v/>
      </c>
      <c r="I281" s="24" t="str">
        <f>IF('ASS START SYNC'!C285="SHOW",MID('ASS START SYNC'!E285,C281+1,D281-C281-1),I280)</f>
        <v/>
      </c>
      <c r="J281" s="23" t="str">
        <f>IF('ASS START SYNC'!C285="SHOW",MID('ASS START SYNC'!E285,D281+1,F281-D281+1),"")</f>
        <v/>
      </c>
      <c r="K281" s="23" t="str">
        <f>IF('ASS START SYNC'!C285="SHOW",MID('ASS START SYNC'!E285,F281+2,1000),"")</f>
        <v/>
      </c>
      <c r="M281" s="24"/>
      <c r="N281" s="26">
        <v>278</v>
      </c>
      <c r="O281" s="24" t="str">
        <f>IF('ASS END SYNC'!C285="SHOW",FIND(",",'ASS END SYNC'!E285,1),"")</f>
        <v/>
      </c>
      <c r="P281" s="24" t="str">
        <f>IF('ASS END SYNC'!C285="SHOW",FIND(",",'ASS END SYNC'!E285,O281+1),"")</f>
        <v/>
      </c>
      <c r="Q281" s="24" t="str">
        <f>IF('ASS END SYNC'!C285="SHOW",FIND(",",'ASS END SYNC'!E285,P281+1),"")</f>
        <v/>
      </c>
      <c r="R281" s="25" t="str">
        <f>IF('ASS END SYNC'!C285="SHOW",FIND(",,",'ASS END SYNC'!E285,1),"")</f>
        <v/>
      </c>
      <c r="S281" s="25" t="str">
        <f>IF('ASS END SYNC'!C285="SHOW",FIND(",,",'ASS END SYNC'!E285,R281+1),"")</f>
        <v/>
      </c>
      <c r="T281" s="23" t="str">
        <f>IF('ASS END SYNC'!C285="SHOW",LEFT('ASS END SYNC'!E285,O281),"")</f>
        <v/>
      </c>
      <c r="U281" s="24" t="str">
        <f>IF('ASS END SYNC'!C285="SHOW",MID('ASS END SYNC'!E285,O281+1,P281-O281-1),"")</f>
        <v/>
      </c>
      <c r="V281" s="24" t="str">
        <f>IF(AND('ASS END SYNC'!C285="SHOW",'ASS END SYNC'!C286="SHOW"),U282,IF(AND('ASS END SYNC'!C285="SHOW",'ASS END SYNC'!C286&lt;&gt;"SHOW"),MID('ASS END SYNC'!E285,O281+1,P281-O281-1),""))</f>
        <v/>
      </c>
      <c r="W281" s="23" t="str">
        <f>IF('ASS END SYNC'!C285="SHOW",MID('ASS END SYNC'!E285,Q281+1,S281-Q281+1),"")</f>
        <v/>
      </c>
      <c r="X281" s="23" t="str">
        <f>IF('ASS END SYNC'!C285="SHOW",MID('ASS END SYNC'!E285,S281+2,1000),"")</f>
        <v/>
      </c>
      <c r="Z281" s="24"/>
    </row>
    <row r="282" spans="1:26" x14ac:dyDescent="0.25">
      <c r="A282" s="26">
        <v>279</v>
      </c>
      <c r="B282" s="24" t="str">
        <f>IF('ASS START SYNC'!C286="SHOW",FIND(",",'ASS START SYNC'!E286,1),"")</f>
        <v/>
      </c>
      <c r="C282" s="24" t="str">
        <f>IF('ASS START SYNC'!C286="SHOW",FIND(",",'ASS START SYNC'!E286,B282+1),"")</f>
        <v/>
      </c>
      <c r="D282" s="24" t="str">
        <f>IF('ASS START SYNC'!C286="SHOW",FIND(",",'ASS START SYNC'!E286,C282+1),"")</f>
        <v/>
      </c>
      <c r="E282" s="25" t="str">
        <f>IF('ASS START SYNC'!C286="SHOW",FIND(",,",'ASS START SYNC'!E286,1),"")</f>
        <v/>
      </c>
      <c r="F282" s="25" t="str">
        <f>IF('ASS START SYNC'!C286="SHOW",FIND(",,",'ASS START SYNC'!E286,E282+1),"")</f>
        <v/>
      </c>
      <c r="G282" s="23" t="str">
        <f>IF('ASS START SYNC'!C286="SHOW",LEFT('ASS START SYNC'!E286,B282),"")</f>
        <v/>
      </c>
      <c r="H282" s="24" t="str">
        <f>IF(AND('ASS START SYNC'!C286="SHOW",COUNTA('ASS START SYNC'!$E$8:'ASS START SYNC'!E285)=0),MID('ASS START SYNC'!E286,B282+1,C282-B282-1),IF(AND('ASS START SYNC'!C286="SHOW",COUNTA('ASS START SYNC'!$E$8:'ASS START SYNC'!E285)&lt;&gt;0),I281,""))</f>
        <v/>
      </c>
      <c r="I282" s="24" t="str">
        <f>IF('ASS START SYNC'!C286="SHOW",MID('ASS START SYNC'!E286,C282+1,D282-C282-1),I281)</f>
        <v/>
      </c>
      <c r="J282" s="23" t="str">
        <f>IF('ASS START SYNC'!C286="SHOW",MID('ASS START SYNC'!E286,D282+1,F282-D282+1),"")</f>
        <v/>
      </c>
      <c r="K282" s="23" t="str">
        <f>IF('ASS START SYNC'!C286="SHOW",MID('ASS START SYNC'!E286,F282+2,1000),"")</f>
        <v/>
      </c>
      <c r="M282" s="24"/>
      <c r="N282" s="26">
        <v>279</v>
      </c>
      <c r="O282" s="24" t="str">
        <f>IF('ASS END SYNC'!C286="SHOW",FIND(",",'ASS END SYNC'!E286,1),"")</f>
        <v/>
      </c>
      <c r="P282" s="24" t="str">
        <f>IF('ASS END SYNC'!C286="SHOW",FIND(",",'ASS END SYNC'!E286,O282+1),"")</f>
        <v/>
      </c>
      <c r="Q282" s="24" t="str">
        <f>IF('ASS END SYNC'!C286="SHOW",FIND(",",'ASS END SYNC'!E286,P282+1),"")</f>
        <v/>
      </c>
      <c r="R282" s="25" t="str">
        <f>IF('ASS END SYNC'!C286="SHOW",FIND(",,",'ASS END SYNC'!E286,1),"")</f>
        <v/>
      </c>
      <c r="S282" s="25" t="str">
        <f>IF('ASS END SYNC'!C286="SHOW",FIND(",,",'ASS END SYNC'!E286,R282+1),"")</f>
        <v/>
      </c>
      <c r="T282" s="23" t="str">
        <f>IF('ASS END SYNC'!C286="SHOW",LEFT('ASS END SYNC'!E286,O282),"")</f>
        <v/>
      </c>
      <c r="U282" s="24" t="str">
        <f>IF('ASS END SYNC'!C286="SHOW",MID('ASS END SYNC'!E286,O282+1,P282-O282-1),"")</f>
        <v/>
      </c>
      <c r="V282" s="24" t="str">
        <f>IF(AND('ASS END SYNC'!C286="SHOW",'ASS END SYNC'!C287="SHOW"),U283,IF(AND('ASS END SYNC'!C286="SHOW",'ASS END SYNC'!C287&lt;&gt;"SHOW"),MID('ASS END SYNC'!E286,O282+1,P282-O282-1),""))</f>
        <v/>
      </c>
      <c r="W282" s="23" t="str">
        <f>IF('ASS END SYNC'!C286="SHOW",MID('ASS END SYNC'!E286,Q282+1,S282-Q282+1),"")</f>
        <v/>
      </c>
      <c r="X282" s="23" t="str">
        <f>IF('ASS END SYNC'!C286="SHOW",MID('ASS END SYNC'!E286,S282+2,1000),"")</f>
        <v/>
      </c>
      <c r="Z282" s="24"/>
    </row>
    <row r="283" spans="1:26" x14ac:dyDescent="0.25">
      <c r="A283" s="26">
        <v>280</v>
      </c>
      <c r="B283" s="24" t="str">
        <f>IF('ASS START SYNC'!C287="SHOW",FIND(",",'ASS START SYNC'!E287,1),"")</f>
        <v/>
      </c>
      <c r="C283" s="24" t="str">
        <f>IF('ASS START SYNC'!C287="SHOW",FIND(",",'ASS START SYNC'!E287,B283+1),"")</f>
        <v/>
      </c>
      <c r="D283" s="24" t="str">
        <f>IF('ASS START SYNC'!C287="SHOW",FIND(",",'ASS START SYNC'!E287,C283+1),"")</f>
        <v/>
      </c>
      <c r="E283" s="25" t="str">
        <f>IF('ASS START SYNC'!C287="SHOW",FIND(",,",'ASS START SYNC'!E287,1),"")</f>
        <v/>
      </c>
      <c r="F283" s="25" t="str">
        <f>IF('ASS START SYNC'!C287="SHOW",FIND(",,",'ASS START SYNC'!E287,E283+1),"")</f>
        <v/>
      </c>
      <c r="G283" s="23" t="str">
        <f>IF('ASS START SYNC'!C287="SHOW",LEFT('ASS START SYNC'!E287,B283),"")</f>
        <v/>
      </c>
      <c r="H283" s="24" t="str">
        <f>IF(AND('ASS START SYNC'!C287="SHOW",COUNTA('ASS START SYNC'!$E$8:'ASS START SYNC'!E286)=0),MID('ASS START SYNC'!E287,B283+1,C283-B283-1),IF(AND('ASS START SYNC'!C287="SHOW",COUNTA('ASS START SYNC'!$E$8:'ASS START SYNC'!E286)&lt;&gt;0),I282,""))</f>
        <v/>
      </c>
      <c r="I283" s="24" t="str">
        <f>IF('ASS START SYNC'!C287="SHOW",MID('ASS START SYNC'!E287,C283+1,D283-C283-1),I282)</f>
        <v/>
      </c>
      <c r="J283" s="23" t="str">
        <f>IF('ASS START SYNC'!C287="SHOW",MID('ASS START SYNC'!E287,D283+1,F283-D283+1),"")</f>
        <v/>
      </c>
      <c r="K283" s="23" t="str">
        <f>IF('ASS START SYNC'!C287="SHOW",MID('ASS START SYNC'!E287,F283+2,1000),"")</f>
        <v/>
      </c>
      <c r="M283" s="24"/>
      <c r="N283" s="26">
        <v>280</v>
      </c>
      <c r="O283" s="24" t="str">
        <f>IF('ASS END SYNC'!C287="SHOW",FIND(",",'ASS END SYNC'!E287,1),"")</f>
        <v/>
      </c>
      <c r="P283" s="24" t="str">
        <f>IF('ASS END SYNC'!C287="SHOW",FIND(",",'ASS END SYNC'!E287,O283+1),"")</f>
        <v/>
      </c>
      <c r="Q283" s="24" t="str">
        <f>IF('ASS END SYNC'!C287="SHOW",FIND(",",'ASS END SYNC'!E287,P283+1),"")</f>
        <v/>
      </c>
      <c r="R283" s="25" t="str">
        <f>IF('ASS END SYNC'!C287="SHOW",FIND(",,",'ASS END SYNC'!E287,1),"")</f>
        <v/>
      </c>
      <c r="S283" s="25" t="str">
        <f>IF('ASS END SYNC'!C287="SHOW",FIND(",,",'ASS END SYNC'!E287,R283+1),"")</f>
        <v/>
      </c>
      <c r="T283" s="23" t="str">
        <f>IF('ASS END SYNC'!C287="SHOW",LEFT('ASS END SYNC'!E287,O283),"")</f>
        <v/>
      </c>
      <c r="U283" s="24" t="str">
        <f>IF('ASS END SYNC'!C287="SHOW",MID('ASS END SYNC'!E287,O283+1,P283-O283-1),"")</f>
        <v/>
      </c>
      <c r="V283" s="24" t="str">
        <f>IF(AND('ASS END SYNC'!C287="SHOW",'ASS END SYNC'!C288="SHOW"),U284,IF(AND('ASS END SYNC'!C287="SHOW",'ASS END SYNC'!C288&lt;&gt;"SHOW"),MID('ASS END SYNC'!E287,O283+1,P283-O283-1),""))</f>
        <v/>
      </c>
      <c r="W283" s="23" t="str">
        <f>IF('ASS END SYNC'!C287="SHOW",MID('ASS END SYNC'!E287,Q283+1,S283-Q283+1),"")</f>
        <v/>
      </c>
      <c r="X283" s="23" t="str">
        <f>IF('ASS END SYNC'!C287="SHOW",MID('ASS END SYNC'!E287,S283+2,1000),"")</f>
        <v/>
      </c>
      <c r="Z283" s="24"/>
    </row>
    <row r="284" spans="1:26" x14ac:dyDescent="0.25">
      <c r="A284" s="26">
        <v>281</v>
      </c>
      <c r="B284" s="24" t="str">
        <f>IF('ASS START SYNC'!C288="SHOW",FIND(",",'ASS START SYNC'!E288,1),"")</f>
        <v/>
      </c>
      <c r="C284" s="24" t="str">
        <f>IF('ASS START SYNC'!C288="SHOW",FIND(",",'ASS START SYNC'!E288,B284+1),"")</f>
        <v/>
      </c>
      <c r="D284" s="24" t="str">
        <f>IF('ASS START SYNC'!C288="SHOW",FIND(",",'ASS START SYNC'!E288,C284+1),"")</f>
        <v/>
      </c>
      <c r="E284" s="25" t="str">
        <f>IF('ASS START SYNC'!C288="SHOW",FIND(",,",'ASS START SYNC'!E288,1),"")</f>
        <v/>
      </c>
      <c r="F284" s="25" t="str">
        <f>IF('ASS START SYNC'!C288="SHOW",FIND(",,",'ASS START SYNC'!E288,E284+1),"")</f>
        <v/>
      </c>
      <c r="G284" s="23" t="str">
        <f>IF('ASS START SYNC'!C288="SHOW",LEFT('ASS START SYNC'!E288,B284),"")</f>
        <v/>
      </c>
      <c r="H284" s="24" t="str">
        <f>IF(AND('ASS START SYNC'!C288="SHOW",COUNTA('ASS START SYNC'!$E$8:'ASS START SYNC'!E287)=0),MID('ASS START SYNC'!E288,B284+1,C284-B284-1),IF(AND('ASS START SYNC'!C288="SHOW",COUNTA('ASS START SYNC'!$E$8:'ASS START SYNC'!E287)&lt;&gt;0),I283,""))</f>
        <v/>
      </c>
      <c r="I284" s="24" t="str">
        <f>IF('ASS START SYNC'!C288="SHOW",MID('ASS START SYNC'!E288,C284+1,D284-C284-1),I283)</f>
        <v/>
      </c>
      <c r="J284" s="23" t="str">
        <f>IF('ASS START SYNC'!C288="SHOW",MID('ASS START SYNC'!E288,D284+1,F284-D284+1),"")</f>
        <v/>
      </c>
      <c r="K284" s="23" t="str">
        <f>IF('ASS START SYNC'!C288="SHOW",MID('ASS START SYNC'!E288,F284+2,1000),"")</f>
        <v/>
      </c>
      <c r="M284" s="24"/>
      <c r="N284" s="26">
        <v>281</v>
      </c>
      <c r="O284" s="24" t="str">
        <f>IF('ASS END SYNC'!C288="SHOW",FIND(",",'ASS END SYNC'!E288,1),"")</f>
        <v/>
      </c>
      <c r="P284" s="24" t="str">
        <f>IF('ASS END SYNC'!C288="SHOW",FIND(",",'ASS END SYNC'!E288,O284+1),"")</f>
        <v/>
      </c>
      <c r="Q284" s="24" t="str">
        <f>IF('ASS END SYNC'!C288="SHOW",FIND(",",'ASS END SYNC'!E288,P284+1),"")</f>
        <v/>
      </c>
      <c r="R284" s="25" t="str">
        <f>IF('ASS END SYNC'!C288="SHOW",FIND(",,",'ASS END SYNC'!E288,1),"")</f>
        <v/>
      </c>
      <c r="S284" s="25" t="str">
        <f>IF('ASS END SYNC'!C288="SHOW",FIND(",,",'ASS END SYNC'!E288,R284+1),"")</f>
        <v/>
      </c>
      <c r="T284" s="23" t="str">
        <f>IF('ASS END SYNC'!C288="SHOW",LEFT('ASS END SYNC'!E288,O284),"")</f>
        <v/>
      </c>
      <c r="U284" s="24" t="str">
        <f>IF('ASS END SYNC'!C288="SHOW",MID('ASS END SYNC'!E288,O284+1,P284-O284-1),"")</f>
        <v/>
      </c>
      <c r="V284" s="24" t="str">
        <f>IF(AND('ASS END SYNC'!C288="SHOW",'ASS END SYNC'!C289="SHOW"),U285,IF(AND('ASS END SYNC'!C288="SHOW",'ASS END SYNC'!C289&lt;&gt;"SHOW"),MID('ASS END SYNC'!E288,O284+1,P284-O284-1),""))</f>
        <v/>
      </c>
      <c r="W284" s="23" t="str">
        <f>IF('ASS END SYNC'!C288="SHOW",MID('ASS END SYNC'!E288,Q284+1,S284-Q284+1),"")</f>
        <v/>
      </c>
      <c r="X284" s="23" t="str">
        <f>IF('ASS END SYNC'!C288="SHOW",MID('ASS END SYNC'!E288,S284+2,1000),"")</f>
        <v/>
      </c>
      <c r="Z284" s="24"/>
    </row>
    <row r="285" spans="1:26" x14ac:dyDescent="0.25">
      <c r="A285" s="26">
        <v>282</v>
      </c>
      <c r="B285" s="24" t="str">
        <f>IF('ASS START SYNC'!C289="SHOW",FIND(",",'ASS START SYNC'!E289,1),"")</f>
        <v/>
      </c>
      <c r="C285" s="24" t="str">
        <f>IF('ASS START SYNC'!C289="SHOW",FIND(",",'ASS START SYNC'!E289,B285+1),"")</f>
        <v/>
      </c>
      <c r="D285" s="24" t="str">
        <f>IF('ASS START SYNC'!C289="SHOW",FIND(",",'ASS START SYNC'!E289,C285+1),"")</f>
        <v/>
      </c>
      <c r="E285" s="25" t="str">
        <f>IF('ASS START SYNC'!C289="SHOW",FIND(",,",'ASS START SYNC'!E289,1),"")</f>
        <v/>
      </c>
      <c r="F285" s="25" t="str">
        <f>IF('ASS START SYNC'!C289="SHOW",FIND(",,",'ASS START SYNC'!E289,E285+1),"")</f>
        <v/>
      </c>
      <c r="G285" s="23" t="str">
        <f>IF('ASS START SYNC'!C289="SHOW",LEFT('ASS START SYNC'!E289,B285),"")</f>
        <v/>
      </c>
      <c r="H285" s="24" t="str">
        <f>IF(AND('ASS START SYNC'!C289="SHOW",COUNTA('ASS START SYNC'!$E$8:'ASS START SYNC'!E288)=0),MID('ASS START SYNC'!E289,B285+1,C285-B285-1),IF(AND('ASS START SYNC'!C289="SHOW",COUNTA('ASS START SYNC'!$E$8:'ASS START SYNC'!E288)&lt;&gt;0),I284,""))</f>
        <v/>
      </c>
      <c r="I285" s="24" t="str">
        <f>IF('ASS START SYNC'!C289="SHOW",MID('ASS START SYNC'!E289,C285+1,D285-C285-1),I284)</f>
        <v/>
      </c>
      <c r="J285" s="23" t="str">
        <f>IF('ASS START SYNC'!C289="SHOW",MID('ASS START SYNC'!E289,D285+1,F285-D285+1),"")</f>
        <v/>
      </c>
      <c r="K285" s="23" t="str">
        <f>IF('ASS START SYNC'!C289="SHOW",MID('ASS START SYNC'!E289,F285+2,1000),"")</f>
        <v/>
      </c>
      <c r="M285" s="24"/>
      <c r="N285" s="26">
        <v>282</v>
      </c>
      <c r="O285" s="24" t="str">
        <f>IF('ASS END SYNC'!C289="SHOW",FIND(",",'ASS END SYNC'!E289,1),"")</f>
        <v/>
      </c>
      <c r="P285" s="24" t="str">
        <f>IF('ASS END SYNC'!C289="SHOW",FIND(",",'ASS END SYNC'!E289,O285+1),"")</f>
        <v/>
      </c>
      <c r="Q285" s="24" t="str">
        <f>IF('ASS END SYNC'!C289="SHOW",FIND(",",'ASS END SYNC'!E289,P285+1),"")</f>
        <v/>
      </c>
      <c r="R285" s="25" t="str">
        <f>IF('ASS END SYNC'!C289="SHOW",FIND(",,",'ASS END SYNC'!E289,1),"")</f>
        <v/>
      </c>
      <c r="S285" s="25" t="str">
        <f>IF('ASS END SYNC'!C289="SHOW",FIND(",,",'ASS END SYNC'!E289,R285+1),"")</f>
        <v/>
      </c>
      <c r="T285" s="23" t="str">
        <f>IF('ASS END SYNC'!C289="SHOW",LEFT('ASS END SYNC'!E289,O285),"")</f>
        <v/>
      </c>
      <c r="U285" s="24" t="str">
        <f>IF('ASS END SYNC'!C289="SHOW",MID('ASS END SYNC'!E289,O285+1,P285-O285-1),"")</f>
        <v/>
      </c>
      <c r="V285" s="24" t="str">
        <f>IF(AND('ASS END SYNC'!C289="SHOW",'ASS END SYNC'!C290="SHOW"),U286,IF(AND('ASS END SYNC'!C289="SHOW",'ASS END SYNC'!C290&lt;&gt;"SHOW"),MID('ASS END SYNC'!E289,O285+1,P285-O285-1),""))</f>
        <v/>
      </c>
      <c r="W285" s="23" t="str">
        <f>IF('ASS END SYNC'!C289="SHOW",MID('ASS END SYNC'!E289,Q285+1,S285-Q285+1),"")</f>
        <v/>
      </c>
      <c r="X285" s="23" t="str">
        <f>IF('ASS END SYNC'!C289="SHOW",MID('ASS END SYNC'!E289,S285+2,1000),"")</f>
        <v/>
      </c>
      <c r="Z285" s="24"/>
    </row>
    <row r="286" spans="1:26" x14ac:dyDescent="0.25">
      <c r="A286" s="26">
        <v>283</v>
      </c>
      <c r="B286" s="24" t="str">
        <f>IF('ASS START SYNC'!C290="SHOW",FIND(",",'ASS START SYNC'!E290,1),"")</f>
        <v/>
      </c>
      <c r="C286" s="24" t="str">
        <f>IF('ASS START SYNC'!C290="SHOW",FIND(",",'ASS START SYNC'!E290,B286+1),"")</f>
        <v/>
      </c>
      <c r="D286" s="24" t="str">
        <f>IF('ASS START SYNC'!C290="SHOW",FIND(",",'ASS START SYNC'!E290,C286+1),"")</f>
        <v/>
      </c>
      <c r="E286" s="25" t="str">
        <f>IF('ASS START SYNC'!C290="SHOW",FIND(",,",'ASS START SYNC'!E290,1),"")</f>
        <v/>
      </c>
      <c r="F286" s="25" t="str">
        <f>IF('ASS START SYNC'!C290="SHOW",FIND(",,",'ASS START SYNC'!E290,E286+1),"")</f>
        <v/>
      </c>
      <c r="G286" s="23" t="str">
        <f>IF('ASS START SYNC'!C290="SHOW",LEFT('ASS START SYNC'!E290,B286),"")</f>
        <v/>
      </c>
      <c r="H286" s="24" t="str">
        <f>IF(AND('ASS START SYNC'!C290="SHOW",COUNTA('ASS START SYNC'!$E$8:'ASS START SYNC'!E289)=0),MID('ASS START SYNC'!E290,B286+1,C286-B286-1),IF(AND('ASS START SYNC'!C290="SHOW",COUNTA('ASS START SYNC'!$E$8:'ASS START SYNC'!E289)&lt;&gt;0),I285,""))</f>
        <v/>
      </c>
      <c r="I286" s="24" t="str">
        <f>IF('ASS START SYNC'!C290="SHOW",MID('ASS START SYNC'!E290,C286+1,D286-C286-1),I285)</f>
        <v/>
      </c>
      <c r="J286" s="23" t="str">
        <f>IF('ASS START SYNC'!C290="SHOW",MID('ASS START SYNC'!E290,D286+1,F286-D286+1),"")</f>
        <v/>
      </c>
      <c r="K286" s="23" t="str">
        <f>IF('ASS START SYNC'!C290="SHOW",MID('ASS START SYNC'!E290,F286+2,1000),"")</f>
        <v/>
      </c>
      <c r="M286" s="24"/>
      <c r="N286" s="26">
        <v>283</v>
      </c>
      <c r="O286" s="24" t="str">
        <f>IF('ASS END SYNC'!C290="SHOW",FIND(",",'ASS END SYNC'!E290,1),"")</f>
        <v/>
      </c>
      <c r="P286" s="24" t="str">
        <f>IF('ASS END SYNC'!C290="SHOW",FIND(",",'ASS END SYNC'!E290,O286+1),"")</f>
        <v/>
      </c>
      <c r="Q286" s="24" t="str">
        <f>IF('ASS END SYNC'!C290="SHOW",FIND(",",'ASS END SYNC'!E290,P286+1),"")</f>
        <v/>
      </c>
      <c r="R286" s="25" t="str">
        <f>IF('ASS END SYNC'!C290="SHOW",FIND(",,",'ASS END SYNC'!E290,1),"")</f>
        <v/>
      </c>
      <c r="S286" s="25" t="str">
        <f>IF('ASS END SYNC'!C290="SHOW",FIND(",,",'ASS END SYNC'!E290,R286+1),"")</f>
        <v/>
      </c>
      <c r="T286" s="23" t="str">
        <f>IF('ASS END SYNC'!C290="SHOW",LEFT('ASS END SYNC'!E290,O286),"")</f>
        <v/>
      </c>
      <c r="U286" s="24" t="str">
        <f>IF('ASS END SYNC'!C290="SHOW",MID('ASS END SYNC'!E290,O286+1,P286-O286-1),"")</f>
        <v/>
      </c>
      <c r="V286" s="24" t="str">
        <f>IF(AND('ASS END SYNC'!C290="SHOW",'ASS END SYNC'!C291="SHOW"),U287,IF(AND('ASS END SYNC'!C290="SHOW",'ASS END SYNC'!C291&lt;&gt;"SHOW"),MID('ASS END SYNC'!E290,O286+1,P286-O286-1),""))</f>
        <v/>
      </c>
      <c r="W286" s="23" t="str">
        <f>IF('ASS END SYNC'!C290="SHOW",MID('ASS END SYNC'!E290,Q286+1,S286-Q286+1),"")</f>
        <v/>
      </c>
      <c r="X286" s="23" t="str">
        <f>IF('ASS END SYNC'!C290="SHOW",MID('ASS END SYNC'!E290,S286+2,1000),"")</f>
        <v/>
      </c>
      <c r="Z286" s="24"/>
    </row>
    <row r="287" spans="1:26" x14ac:dyDescent="0.25">
      <c r="A287" s="26">
        <v>284</v>
      </c>
      <c r="B287" s="24" t="str">
        <f>IF('ASS START SYNC'!C291="SHOW",FIND(",",'ASS START SYNC'!E291,1),"")</f>
        <v/>
      </c>
      <c r="C287" s="24" t="str">
        <f>IF('ASS START SYNC'!C291="SHOW",FIND(",",'ASS START SYNC'!E291,B287+1),"")</f>
        <v/>
      </c>
      <c r="D287" s="24" t="str">
        <f>IF('ASS START SYNC'!C291="SHOW",FIND(",",'ASS START SYNC'!E291,C287+1),"")</f>
        <v/>
      </c>
      <c r="E287" s="25" t="str">
        <f>IF('ASS START SYNC'!C291="SHOW",FIND(",,",'ASS START SYNC'!E291,1),"")</f>
        <v/>
      </c>
      <c r="F287" s="25" t="str">
        <f>IF('ASS START SYNC'!C291="SHOW",FIND(",,",'ASS START SYNC'!E291,E287+1),"")</f>
        <v/>
      </c>
      <c r="G287" s="23" t="str">
        <f>IF('ASS START SYNC'!C291="SHOW",LEFT('ASS START SYNC'!E291,B287),"")</f>
        <v/>
      </c>
      <c r="H287" s="24" t="str">
        <f>IF(AND('ASS START SYNC'!C291="SHOW",COUNTA('ASS START SYNC'!$E$8:'ASS START SYNC'!E290)=0),MID('ASS START SYNC'!E291,B287+1,C287-B287-1),IF(AND('ASS START SYNC'!C291="SHOW",COUNTA('ASS START SYNC'!$E$8:'ASS START SYNC'!E290)&lt;&gt;0),I286,""))</f>
        <v/>
      </c>
      <c r="I287" s="24" t="str">
        <f>IF('ASS START SYNC'!C291="SHOW",MID('ASS START SYNC'!E291,C287+1,D287-C287-1),I286)</f>
        <v/>
      </c>
      <c r="J287" s="23" t="str">
        <f>IF('ASS START SYNC'!C291="SHOW",MID('ASS START SYNC'!E291,D287+1,F287-D287+1),"")</f>
        <v/>
      </c>
      <c r="K287" s="23" t="str">
        <f>IF('ASS START SYNC'!C291="SHOW",MID('ASS START SYNC'!E291,F287+2,1000),"")</f>
        <v/>
      </c>
      <c r="M287" s="24"/>
      <c r="N287" s="26">
        <v>284</v>
      </c>
      <c r="O287" s="24" t="str">
        <f>IF('ASS END SYNC'!C291="SHOW",FIND(",",'ASS END SYNC'!E291,1),"")</f>
        <v/>
      </c>
      <c r="P287" s="24" t="str">
        <f>IF('ASS END SYNC'!C291="SHOW",FIND(",",'ASS END SYNC'!E291,O287+1),"")</f>
        <v/>
      </c>
      <c r="Q287" s="24" t="str">
        <f>IF('ASS END SYNC'!C291="SHOW",FIND(",",'ASS END SYNC'!E291,P287+1),"")</f>
        <v/>
      </c>
      <c r="R287" s="25" t="str">
        <f>IF('ASS END SYNC'!C291="SHOW",FIND(",,",'ASS END SYNC'!E291,1),"")</f>
        <v/>
      </c>
      <c r="S287" s="25" t="str">
        <f>IF('ASS END SYNC'!C291="SHOW",FIND(",,",'ASS END SYNC'!E291,R287+1),"")</f>
        <v/>
      </c>
      <c r="T287" s="23" t="str">
        <f>IF('ASS END SYNC'!C291="SHOW",LEFT('ASS END SYNC'!E291,O287),"")</f>
        <v/>
      </c>
      <c r="U287" s="24" t="str">
        <f>IF('ASS END SYNC'!C291="SHOW",MID('ASS END SYNC'!E291,O287+1,P287-O287-1),"")</f>
        <v/>
      </c>
      <c r="V287" s="24" t="str">
        <f>IF(AND('ASS END SYNC'!C291="SHOW",'ASS END SYNC'!C292="SHOW"),U288,IF(AND('ASS END SYNC'!C291="SHOW",'ASS END SYNC'!C292&lt;&gt;"SHOW"),MID('ASS END SYNC'!E291,O287+1,P287-O287-1),""))</f>
        <v/>
      </c>
      <c r="W287" s="23" t="str">
        <f>IF('ASS END SYNC'!C291="SHOW",MID('ASS END SYNC'!E291,Q287+1,S287-Q287+1),"")</f>
        <v/>
      </c>
      <c r="X287" s="23" t="str">
        <f>IF('ASS END SYNC'!C291="SHOW",MID('ASS END SYNC'!E291,S287+2,1000),"")</f>
        <v/>
      </c>
      <c r="Z287" s="24"/>
    </row>
    <row r="288" spans="1:26" x14ac:dyDescent="0.25">
      <c r="A288" s="26">
        <v>285</v>
      </c>
      <c r="B288" s="24" t="str">
        <f>IF('ASS START SYNC'!C292="SHOW",FIND(",",'ASS START SYNC'!E292,1),"")</f>
        <v/>
      </c>
      <c r="C288" s="24" t="str">
        <f>IF('ASS START SYNC'!C292="SHOW",FIND(",",'ASS START SYNC'!E292,B288+1),"")</f>
        <v/>
      </c>
      <c r="D288" s="24" t="str">
        <f>IF('ASS START SYNC'!C292="SHOW",FIND(",",'ASS START SYNC'!E292,C288+1),"")</f>
        <v/>
      </c>
      <c r="E288" s="25" t="str">
        <f>IF('ASS START SYNC'!C292="SHOW",FIND(",,",'ASS START SYNC'!E292,1),"")</f>
        <v/>
      </c>
      <c r="F288" s="25" t="str">
        <f>IF('ASS START SYNC'!C292="SHOW",FIND(",,",'ASS START SYNC'!E292,E288+1),"")</f>
        <v/>
      </c>
      <c r="G288" s="23" t="str">
        <f>IF('ASS START SYNC'!C292="SHOW",LEFT('ASS START SYNC'!E292,B288),"")</f>
        <v/>
      </c>
      <c r="H288" s="24" t="str">
        <f>IF(AND('ASS START SYNC'!C292="SHOW",COUNTA('ASS START SYNC'!$E$8:'ASS START SYNC'!E291)=0),MID('ASS START SYNC'!E292,B288+1,C288-B288-1),IF(AND('ASS START SYNC'!C292="SHOW",COUNTA('ASS START SYNC'!$E$8:'ASS START SYNC'!E291)&lt;&gt;0),I287,""))</f>
        <v/>
      </c>
      <c r="I288" s="24" t="str">
        <f>IF('ASS START SYNC'!C292="SHOW",MID('ASS START SYNC'!E292,C288+1,D288-C288-1),I287)</f>
        <v/>
      </c>
      <c r="J288" s="23" t="str">
        <f>IF('ASS START SYNC'!C292="SHOW",MID('ASS START SYNC'!E292,D288+1,F288-D288+1),"")</f>
        <v/>
      </c>
      <c r="K288" s="23" t="str">
        <f>IF('ASS START SYNC'!C292="SHOW",MID('ASS START SYNC'!E292,F288+2,1000),"")</f>
        <v/>
      </c>
      <c r="M288" s="24"/>
      <c r="N288" s="26">
        <v>285</v>
      </c>
      <c r="O288" s="24" t="str">
        <f>IF('ASS END SYNC'!C292="SHOW",FIND(",",'ASS END SYNC'!E292,1),"")</f>
        <v/>
      </c>
      <c r="P288" s="24" t="str">
        <f>IF('ASS END SYNC'!C292="SHOW",FIND(",",'ASS END SYNC'!E292,O288+1),"")</f>
        <v/>
      </c>
      <c r="Q288" s="24" t="str">
        <f>IF('ASS END SYNC'!C292="SHOW",FIND(",",'ASS END SYNC'!E292,P288+1),"")</f>
        <v/>
      </c>
      <c r="R288" s="25" t="str">
        <f>IF('ASS END SYNC'!C292="SHOW",FIND(",,",'ASS END SYNC'!E292,1),"")</f>
        <v/>
      </c>
      <c r="S288" s="25" t="str">
        <f>IF('ASS END SYNC'!C292="SHOW",FIND(",,",'ASS END SYNC'!E292,R288+1),"")</f>
        <v/>
      </c>
      <c r="T288" s="23" t="str">
        <f>IF('ASS END SYNC'!C292="SHOW",LEFT('ASS END SYNC'!E292,O288),"")</f>
        <v/>
      </c>
      <c r="U288" s="24" t="str">
        <f>IF('ASS END SYNC'!C292="SHOW",MID('ASS END SYNC'!E292,O288+1,P288-O288-1),"")</f>
        <v/>
      </c>
      <c r="V288" s="24" t="str">
        <f>IF(AND('ASS END SYNC'!C292="SHOW",'ASS END SYNC'!C293="SHOW"),U289,IF(AND('ASS END SYNC'!C292="SHOW",'ASS END SYNC'!C293&lt;&gt;"SHOW"),MID('ASS END SYNC'!E292,O288+1,P288-O288-1),""))</f>
        <v/>
      </c>
      <c r="W288" s="23" t="str">
        <f>IF('ASS END SYNC'!C292="SHOW",MID('ASS END SYNC'!E292,Q288+1,S288-Q288+1),"")</f>
        <v/>
      </c>
      <c r="X288" s="23" t="str">
        <f>IF('ASS END SYNC'!C292="SHOW",MID('ASS END SYNC'!E292,S288+2,1000),"")</f>
        <v/>
      </c>
      <c r="Z288" s="24"/>
    </row>
    <row r="289" spans="1:26" x14ac:dyDescent="0.25">
      <c r="A289" s="26">
        <v>286</v>
      </c>
      <c r="B289" s="24" t="str">
        <f>IF('ASS START SYNC'!C293="SHOW",FIND(",",'ASS START SYNC'!E293,1),"")</f>
        <v/>
      </c>
      <c r="C289" s="24" t="str">
        <f>IF('ASS START SYNC'!C293="SHOW",FIND(",",'ASS START SYNC'!E293,B289+1),"")</f>
        <v/>
      </c>
      <c r="D289" s="24" t="str">
        <f>IF('ASS START SYNC'!C293="SHOW",FIND(",",'ASS START SYNC'!E293,C289+1),"")</f>
        <v/>
      </c>
      <c r="E289" s="25" t="str">
        <f>IF('ASS START SYNC'!C293="SHOW",FIND(",,",'ASS START SYNC'!E293,1),"")</f>
        <v/>
      </c>
      <c r="F289" s="25" t="str">
        <f>IF('ASS START SYNC'!C293="SHOW",FIND(",,",'ASS START SYNC'!E293,E289+1),"")</f>
        <v/>
      </c>
      <c r="G289" s="23" t="str">
        <f>IF('ASS START SYNC'!C293="SHOW",LEFT('ASS START SYNC'!E293,B289),"")</f>
        <v/>
      </c>
      <c r="H289" s="24" t="str">
        <f>IF(AND('ASS START SYNC'!C293="SHOW",COUNTA('ASS START SYNC'!$E$8:'ASS START SYNC'!E292)=0),MID('ASS START SYNC'!E293,B289+1,C289-B289-1),IF(AND('ASS START SYNC'!C293="SHOW",COUNTA('ASS START SYNC'!$E$8:'ASS START SYNC'!E292)&lt;&gt;0),I288,""))</f>
        <v/>
      </c>
      <c r="I289" s="24" t="str">
        <f>IF('ASS START SYNC'!C293="SHOW",MID('ASS START SYNC'!E293,C289+1,D289-C289-1),I288)</f>
        <v/>
      </c>
      <c r="J289" s="23" t="str">
        <f>IF('ASS START SYNC'!C293="SHOW",MID('ASS START SYNC'!E293,D289+1,F289-D289+1),"")</f>
        <v/>
      </c>
      <c r="K289" s="23" t="str">
        <f>IF('ASS START SYNC'!C293="SHOW",MID('ASS START SYNC'!E293,F289+2,1000),"")</f>
        <v/>
      </c>
      <c r="M289" s="24"/>
      <c r="N289" s="26">
        <v>286</v>
      </c>
      <c r="O289" s="24" t="str">
        <f>IF('ASS END SYNC'!C293="SHOW",FIND(",",'ASS END SYNC'!E293,1),"")</f>
        <v/>
      </c>
      <c r="P289" s="24" t="str">
        <f>IF('ASS END SYNC'!C293="SHOW",FIND(",",'ASS END SYNC'!E293,O289+1),"")</f>
        <v/>
      </c>
      <c r="Q289" s="24" t="str">
        <f>IF('ASS END SYNC'!C293="SHOW",FIND(",",'ASS END SYNC'!E293,P289+1),"")</f>
        <v/>
      </c>
      <c r="R289" s="25" t="str">
        <f>IF('ASS END SYNC'!C293="SHOW",FIND(",,",'ASS END SYNC'!E293,1),"")</f>
        <v/>
      </c>
      <c r="S289" s="25" t="str">
        <f>IF('ASS END SYNC'!C293="SHOW",FIND(",,",'ASS END SYNC'!E293,R289+1),"")</f>
        <v/>
      </c>
      <c r="T289" s="23" t="str">
        <f>IF('ASS END SYNC'!C293="SHOW",LEFT('ASS END SYNC'!E293,O289),"")</f>
        <v/>
      </c>
      <c r="U289" s="24" t="str">
        <f>IF('ASS END SYNC'!C293="SHOW",MID('ASS END SYNC'!E293,O289+1,P289-O289-1),"")</f>
        <v/>
      </c>
      <c r="V289" s="24" t="str">
        <f>IF(AND('ASS END SYNC'!C293="SHOW",'ASS END SYNC'!C294="SHOW"),U290,IF(AND('ASS END SYNC'!C293="SHOW",'ASS END SYNC'!C294&lt;&gt;"SHOW"),MID('ASS END SYNC'!E293,O289+1,P289-O289-1),""))</f>
        <v/>
      </c>
      <c r="W289" s="23" t="str">
        <f>IF('ASS END SYNC'!C293="SHOW",MID('ASS END SYNC'!E293,Q289+1,S289-Q289+1),"")</f>
        <v/>
      </c>
      <c r="X289" s="23" t="str">
        <f>IF('ASS END SYNC'!C293="SHOW",MID('ASS END SYNC'!E293,S289+2,1000),"")</f>
        <v/>
      </c>
      <c r="Z289" s="24"/>
    </row>
    <row r="290" spans="1:26" x14ac:dyDescent="0.25">
      <c r="A290" s="26">
        <v>287</v>
      </c>
      <c r="B290" s="24" t="str">
        <f>IF('ASS START SYNC'!C294="SHOW",FIND(",",'ASS START SYNC'!E294,1),"")</f>
        <v/>
      </c>
      <c r="C290" s="24" t="str">
        <f>IF('ASS START SYNC'!C294="SHOW",FIND(",",'ASS START SYNC'!E294,B290+1),"")</f>
        <v/>
      </c>
      <c r="D290" s="24" t="str">
        <f>IF('ASS START SYNC'!C294="SHOW",FIND(",",'ASS START SYNC'!E294,C290+1),"")</f>
        <v/>
      </c>
      <c r="E290" s="25" t="str">
        <f>IF('ASS START SYNC'!C294="SHOW",FIND(",,",'ASS START SYNC'!E294,1),"")</f>
        <v/>
      </c>
      <c r="F290" s="25" t="str">
        <f>IF('ASS START SYNC'!C294="SHOW",FIND(",,",'ASS START SYNC'!E294,E290+1),"")</f>
        <v/>
      </c>
      <c r="G290" s="23" t="str">
        <f>IF('ASS START SYNC'!C294="SHOW",LEFT('ASS START SYNC'!E294,B290),"")</f>
        <v/>
      </c>
      <c r="H290" s="24" t="str">
        <f>IF(AND('ASS START SYNC'!C294="SHOW",COUNTA('ASS START SYNC'!$E$8:'ASS START SYNC'!E293)=0),MID('ASS START SYNC'!E294,B290+1,C290-B290-1),IF(AND('ASS START SYNC'!C294="SHOW",COUNTA('ASS START SYNC'!$E$8:'ASS START SYNC'!E293)&lt;&gt;0),I289,""))</f>
        <v/>
      </c>
      <c r="I290" s="24" t="str">
        <f>IF('ASS START SYNC'!C294="SHOW",MID('ASS START SYNC'!E294,C290+1,D290-C290-1),I289)</f>
        <v/>
      </c>
      <c r="J290" s="23" t="str">
        <f>IF('ASS START SYNC'!C294="SHOW",MID('ASS START SYNC'!E294,D290+1,F290-D290+1),"")</f>
        <v/>
      </c>
      <c r="K290" s="23" t="str">
        <f>IF('ASS START SYNC'!C294="SHOW",MID('ASS START SYNC'!E294,F290+2,1000),"")</f>
        <v/>
      </c>
      <c r="M290" s="24"/>
      <c r="N290" s="26">
        <v>287</v>
      </c>
      <c r="O290" s="24" t="str">
        <f>IF('ASS END SYNC'!C294="SHOW",FIND(",",'ASS END SYNC'!E294,1),"")</f>
        <v/>
      </c>
      <c r="P290" s="24" t="str">
        <f>IF('ASS END SYNC'!C294="SHOW",FIND(",",'ASS END SYNC'!E294,O290+1),"")</f>
        <v/>
      </c>
      <c r="Q290" s="24" t="str">
        <f>IF('ASS END SYNC'!C294="SHOW",FIND(",",'ASS END SYNC'!E294,P290+1),"")</f>
        <v/>
      </c>
      <c r="R290" s="25" t="str">
        <f>IF('ASS END SYNC'!C294="SHOW",FIND(",,",'ASS END SYNC'!E294,1),"")</f>
        <v/>
      </c>
      <c r="S290" s="25" t="str">
        <f>IF('ASS END SYNC'!C294="SHOW",FIND(",,",'ASS END SYNC'!E294,R290+1),"")</f>
        <v/>
      </c>
      <c r="T290" s="23" t="str">
        <f>IF('ASS END SYNC'!C294="SHOW",LEFT('ASS END SYNC'!E294,O290),"")</f>
        <v/>
      </c>
      <c r="U290" s="24" t="str">
        <f>IF('ASS END SYNC'!C294="SHOW",MID('ASS END SYNC'!E294,O290+1,P290-O290-1),"")</f>
        <v/>
      </c>
      <c r="V290" s="24" t="str">
        <f>IF(AND('ASS END SYNC'!C294="SHOW",'ASS END SYNC'!C295="SHOW"),U291,IF(AND('ASS END SYNC'!C294="SHOW",'ASS END SYNC'!C295&lt;&gt;"SHOW"),MID('ASS END SYNC'!E294,O290+1,P290-O290-1),""))</f>
        <v/>
      </c>
      <c r="W290" s="23" t="str">
        <f>IF('ASS END SYNC'!C294="SHOW",MID('ASS END SYNC'!E294,Q290+1,S290-Q290+1),"")</f>
        <v/>
      </c>
      <c r="X290" s="23" t="str">
        <f>IF('ASS END SYNC'!C294="SHOW",MID('ASS END SYNC'!E294,S290+2,1000),"")</f>
        <v/>
      </c>
      <c r="Z290" s="24"/>
    </row>
    <row r="291" spans="1:26" x14ac:dyDescent="0.25">
      <c r="A291" s="26">
        <v>288</v>
      </c>
      <c r="B291" s="24" t="str">
        <f>IF('ASS START SYNC'!C295="SHOW",FIND(",",'ASS START SYNC'!E295,1),"")</f>
        <v/>
      </c>
      <c r="C291" s="24" t="str">
        <f>IF('ASS START SYNC'!C295="SHOW",FIND(",",'ASS START SYNC'!E295,B291+1),"")</f>
        <v/>
      </c>
      <c r="D291" s="24" t="str">
        <f>IF('ASS START SYNC'!C295="SHOW",FIND(",",'ASS START SYNC'!E295,C291+1),"")</f>
        <v/>
      </c>
      <c r="E291" s="25" t="str">
        <f>IF('ASS START SYNC'!C295="SHOW",FIND(",,",'ASS START SYNC'!E295,1),"")</f>
        <v/>
      </c>
      <c r="F291" s="25" t="str">
        <f>IF('ASS START SYNC'!C295="SHOW",FIND(",,",'ASS START SYNC'!E295,E291+1),"")</f>
        <v/>
      </c>
      <c r="G291" s="23" t="str">
        <f>IF('ASS START SYNC'!C295="SHOW",LEFT('ASS START SYNC'!E295,B291),"")</f>
        <v/>
      </c>
      <c r="H291" s="24" t="str">
        <f>IF(AND('ASS START SYNC'!C295="SHOW",COUNTA('ASS START SYNC'!$E$8:'ASS START SYNC'!E294)=0),MID('ASS START SYNC'!E295,B291+1,C291-B291-1),IF(AND('ASS START SYNC'!C295="SHOW",COUNTA('ASS START SYNC'!$E$8:'ASS START SYNC'!E294)&lt;&gt;0),I290,""))</f>
        <v/>
      </c>
      <c r="I291" s="24" t="str">
        <f>IF('ASS START SYNC'!C295="SHOW",MID('ASS START SYNC'!E295,C291+1,D291-C291-1),I290)</f>
        <v/>
      </c>
      <c r="J291" s="23" t="str">
        <f>IF('ASS START SYNC'!C295="SHOW",MID('ASS START SYNC'!E295,D291+1,F291-D291+1),"")</f>
        <v/>
      </c>
      <c r="K291" s="23" t="str">
        <f>IF('ASS START SYNC'!C295="SHOW",MID('ASS START SYNC'!E295,F291+2,1000),"")</f>
        <v/>
      </c>
      <c r="M291" s="24"/>
      <c r="N291" s="26">
        <v>288</v>
      </c>
      <c r="O291" s="24" t="str">
        <f>IF('ASS END SYNC'!C295="SHOW",FIND(",",'ASS END SYNC'!E295,1),"")</f>
        <v/>
      </c>
      <c r="P291" s="24" t="str">
        <f>IF('ASS END SYNC'!C295="SHOW",FIND(",",'ASS END SYNC'!E295,O291+1),"")</f>
        <v/>
      </c>
      <c r="Q291" s="24" t="str">
        <f>IF('ASS END SYNC'!C295="SHOW",FIND(",",'ASS END SYNC'!E295,P291+1),"")</f>
        <v/>
      </c>
      <c r="R291" s="25" t="str">
        <f>IF('ASS END SYNC'!C295="SHOW",FIND(",,",'ASS END SYNC'!E295,1),"")</f>
        <v/>
      </c>
      <c r="S291" s="25" t="str">
        <f>IF('ASS END SYNC'!C295="SHOW",FIND(",,",'ASS END SYNC'!E295,R291+1),"")</f>
        <v/>
      </c>
      <c r="T291" s="23" t="str">
        <f>IF('ASS END SYNC'!C295="SHOW",LEFT('ASS END SYNC'!E295,O291),"")</f>
        <v/>
      </c>
      <c r="U291" s="24" t="str">
        <f>IF('ASS END SYNC'!C295="SHOW",MID('ASS END SYNC'!E295,O291+1,P291-O291-1),"")</f>
        <v/>
      </c>
      <c r="V291" s="24" t="str">
        <f>IF(AND('ASS END SYNC'!C295="SHOW",'ASS END SYNC'!C296="SHOW"),U292,IF(AND('ASS END SYNC'!C295="SHOW",'ASS END SYNC'!C296&lt;&gt;"SHOW"),MID('ASS END SYNC'!E295,O291+1,P291-O291-1),""))</f>
        <v/>
      </c>
      <c r="W291" s="23" t="str">
        <f>IF('ASS END SYNC'!C295="SHOW",MID('ASS END SYNC'!E295,Q291+1,S291-Q291+1),"")</f>
        <v/>
      </c>
      <c r="X291" s="23" t="str">
        <f>IF('ASS END SYNC'!C295="SHOW",MID('ASS END SYNC'!E295,S291+2,1000),"")</f>
        <v/>
      </c>
      <c r="Z291" s="24"/>
    </row>
    <row r="292" spans="1:26" x14ac:dyDescent="0.25">
      <c r="A292" s="26">
        <v>289</v>
      </c>
      <c r="B292" s="24" t="str">
        <f>IF('ASS START SYNC'!C296="SHOW",FIND(",",'ASS START SYNC'!E296,1),"")</f>
        <v/>
      </c>
      <c r="C292" s="24" t="str">
        <f>IF('ASS START SYNC'!C296="SHOW",FIND(",",'ASS START SYNC'!E296,B292+1),"")</f>
        <v/>
      </c>
      <c r="D292" s="24" t="str">
        <f>IF('ASS START SYNC'!C296="SHOW",FIND(",",'ASS START SYNC'!E296,C292+1),"")</f>
        <v/>
      </c>
      <c r="E292" s="25" t="str">
        <f>IF('ASS START SYNC'!C296="SHOW",FIND(",,",'ASS START SYNC'!E296,1),"")</f>
        <v/>
      </c>
      <c r="F292" s="25" t="str">
        <f>IF('ASS START SYNC'!C296="SHOW",FIND(",,",'ASS START SYNC'!E296,E292+1),"")</f>
        <v/>
      </c>
      <c r="G292" s="23" t="str">
        <f>IF('ASS START SYNC'!C296="SHOW",LEFT('ASS START SYNC'!E296,B292),"")</f>
        <v/>
      </c>
      <c r="H292" s="24" t="str">
        <f>IF(AND('ASS START SYNC'!C296="SHOW",COUNTA('ASS START SYNC'!$E$8:'ASS START SYNC'!E295)=0),MID('ASS START SYNC'!E296,B292+1,C292-B292-1),IF(AND('ASS START SYNC'!C296="SHOW",COUNTA('ASS START SYNC'!$E$8:'ASS START SYNC'!E295)&lt;&gt;0),I291,""))</f>
        <v/>
      </c>
      <c r="I292" s="24" t="str">
        <f>IF('ASS START SYNC'!C296="SHOW",MID('ASS START SYNC'!E296,C292+1,D292-C292-1),I291)</f>
        <v/>
      </c>
      <c r="J292" s="23" t="str">
        <f>IF('ASS START SYNC'!C296="SHOW",MID('ASS START SYNC'!E296,D292+1,F292-D292+1),"")</f>
        <v/>
      </c>
      <c r="K292" s="23" t="str">
        <f>IF('ASS START SYNC'!C296="SHOW",MID('ASS START SYNC'!E296,F292+2,1000),"")</f>
        <v/>
      </c>
      <c r="M292" s="24"/>
      <c r="N292" s="26">
        <v>289</v>
      </c>
      <c r="O292" s="24" t="str">
        <f>IF('ASS END SYNC'!C296="SHOW",FIND(",",'ASS END SYNC'!E296,1),"")</f>
        <v/>
      </c>
      <c r="P292" s="24" t="str">
        <f>IF('ASS END SYNC'!C296="SHOW",FIND(",",'ASS END SYNC'!E296,O292+1),"")</f>
        <v/>
      </c>
      <c r="Q292" s="24" t="str">
        <f>IF('ASS END SYNC'!C296="SHOW",FIND(",",'ASS END SYNC'!E296,P292+1),"")</f>
        <v/>
      </c>
      <c r="R292" s="25" t="str">
        <f>IF('ASS END SYNC'!C296="SHOW",FIND(",,",'ASS END SYNC'!E296,1),"")</f>
        <v/>
      </c>
      <c r="S292" s="25" t="str">
        <f>IF('ASS END SYNC'!C296="SHOW",FIND(",,",'ASS END SYNC'!E296,R292+1),"")</f>
        <v/>
      </c>
      <c r="T292" s="23" t="str">
        <f>IF('ASS END SYNC'!C296="SHOW",LEFT('ASS END SYNC'!E296,O292),"")</f>
        <v/>
      </c>
      <c r="U292" s="24" t="str">
        <f>IF('ASS END SYNC'!C296="SHOW",MID('ASS END SYNC'!E296,O292+1,P292-O292-1),"")</f>
        <v/>
      </c>
      <c r="V292" s="24" t="str">
        <f>IF(AND('ASS END SYNC'!C296="SHOW",'ASS END SYNC'!C297="SHOW"),U293,IF(AND('ASS END SYNC'!C296="SHOW",'ASS END SYNC'!C297&lt;&gt;"SHOW"),MID('ASS END SYNC'!E296,O292+1,P292-O292-1),""))</f>
        <v/>
      </c>
      <c r="W292" s="23" t="str">
        <f>IF('ASS END SYNC'!C296="SHOW",MID('ASS END SYNC'!E296,Q292+1,S292-Q292+1),"")</f>
        <v/>
      </c>
      <c r="X292" s="23" t="str">
        <f>IF('ASS END SYNC'!C296="SHOW",MID('ASS END SYNC'!E296,S292+2,1000),"")</f>
        <v/>
      </c>
      <c r="Z292" s="24"/>
    </row>
    <row r="293" spans="1:26" x14ac:dyDescent="0.25">
      <c r="A293" s="26">
        <v>290</v>
      </c>
      <c r="B293" s="24" t="str">
        <f>IF('ASS START SYNC'!C297="SHOW",FIND(",",'ASS START SYNC'!E297,1),"")</f>
        <v/>
      </c>
      <c r="C293" s="24" t="str">
        <f>IF('ASS START SYNC'!C297="SHOW",FIND(",",'ASS START SYNC'!E297,B293+1),"")</f>
        <v/>
      </c>
      <c r="D293" s="24" t="str">
        <f>IF('ASS START SYNC'!C297="SHOW",FIND(",",'ASS START SYNC'!E297,C293+1),"")</f>
        <v/>
      </c>
      <c r="E293" s="25" t="str">
        <f>IF('ASS START SYNC'!C297="SHOW",FIND(",,",'ASS START SYNC'!E297,1),"")</f>
        <v/>
      </c>
      <c r="F293" s="25" t="str">
        <f>IF('ASS START SYNC'!C297="SHOW",FIND(",,",'ASS START SYNC'!E297,E293+1),"")</f>
        <v/>
      </c>
      <c r="G293" s="23" t="str">
        <f>IF('ASS START SYNC'!C297="SHOW",LEFT('ASS START SYNC'!E297,B293),"")</f>
        <v/>
      </c>
      <c r="H293" s="24" t="str">
        <f>IF(AND('ASS START SYNC'!C297="SHOW",COUNTA('ASS START SYNC'!$E$8:'ASS START SYNC'!E296)=0),MID('ASS START SYNC'!E297,B293+1,C293-B293-1),IF(AND('ASS START SYNC'!C297="SHOW",COUNTA('ASS START SYNC'!$E$8:'ASS START SYNC'!E296)&lt;&gt;0),I292,""))</f>
        <v/>
      </c>
      <c r="I293" s="24" t="str">
        <f>IF('ASS START SYNC'!C297="SHOW",MID('ASS START SYNC'!E297,C293+1,D293-C293-1),I292)</f>
        <v/>
      </c>
      <c r="J293" s="23" t="str">
        <f>IF('ASS START SYNC'!C297="SHOW",MID('ASS START SYNC'!E297,D293+1,F293-D293+1),"")</f>
        <v/>
      </c>
      <c r="K293" s="23" t="str">
        <f>IF('ASS START SYNC'!C297="SHOW",MID('ASS START SYNC'!E297,F293+2,1000),"")</f>
        <v/>
      </c>
      <c r="M293" s="24"/>
      <c r="N293" s="26">
        <v>290</v>
      </c>
      <c r="O293" s="24" t="str">
        <f>IF('ASS END SYNC'!C297="SHOW",FIND(",",'ASS END SYNC'!E297,1),"")</f>
        <v/>
      </c>
      <c r="P293" s="24" t="str">
        <f>IF('ASS END SYNC'!C297="SHOW",FIND(",",'ASS END SYNC'!E297,O293+1),"")</f>
        <v/>
      </c>
      <c r="Q293" s="24" t="str">
        <f>IF('ASS END SYNC'!C297="SHOW",FIND(",",'ASS END SYNC'!E297,P293+1),"")</f>
        <v/>
      </c>
      <c r="R293" s="25" t="str">
        <f>IF('ASS END SYNC'!C297="SHOW",FIND(",,",'ASS END SYNC'!E297,1),"")</f>
        <v/>
      </c>
      <c r="S293" s="25" t="str">
        <f>IF('ASS END SYNC'!C297="SHOW",FIND(",,",'ASS END SYNC'!E297,R293+1),"")</f>
        <v/>
      </c>
      <c r="T293" s="23" t="str">
        <f>IF('ASS END SYNC'!C297="SHOW",LEFT('ASS END SYNC'!E297,O293),"")</f>
        <v/>
      </c>
      <c r="U293" s="24" t="str">
        <f>IF('ASS END SYNC'!C297="SHOW",MID('ASS END SYNC'!E297,O293+1,P293-O293-1),"")</f>
        <v/>
      </c>
      <c r="V293" s="24" t="str">
        <f>IF(AND('ASS END SYNC'!C297="SHOW",'ASS END SYNC'!C298="SHOW"),U294,IF(AND('ASS END SYNC'!C297="SHOW",'ASS END SYNC'!C298&lt;&gt;"SHOW"),MID('ASS END SYNC'!E297,O293+1,P293-O293-1),""))</f>
        <v/>
      </c>
      <c r="W293" s="23" t="str">
        <f>IF('ASS END SYNC'!C297="SHOW",MID('ASS END SYNC'!E297,Q293+1,S293-Q293+1),"")</f>
        <v/>
      </c>
      <c r="X293" s="23" t="str">
        <f>IF('ASS END SYNC'!C297="SHOW",MID('ASS END SYNC'!E297,S293+2,1000),"")</f>
        <v/>
      </c>
      <c r="Z293" s="24"/>
    </row>
    <row r="294" spans="1:26" x14ac:dyDescent="0.25">
      <c r="A294" s="26">
        <v>291</v>
      </c>
      <c r="B294" s="24" t="str">
        <f>IF('ASS START SYNC'!C298="SHOW",FIND(",",'ASS START SYNC'!E298,1),"")</f>
        <v/>
      </c>
      <c r="C294" s="24" t="str">
        <f>IF('ASS START SYNC'!C298="SHOW",FIND(",",'ASS START SYNC'!E298,B294+1),"")</f>
        <v/>
      </c>
      <c r="D294" s="24" t="str">
        <f>IF('ASS START SYNC'!C298="SHOW",FIND(",",'ASS START SYNC'!E298,C294+1),"")</f>
        <v/>
      </c>
      <c r="E294" s="25" t="str">
        <f>IF('ASS START SYNC'!C298="SHOW",FIND(",,",'ASS START SYNC'!E298,1),"")</f>
        <v/>
      </c>
      <c r="F294" s="25" t="str">
        <f>IF('ASS START SYNC'!C298="SHOW",FIND(",,",'ASS START SYNC'!E298,E294+1),"")</f>
        <v/>
      </c>
      <c r="G294" s="23" t="str">
        <f>IF('ASS START SYNC'!C298="SHOW",LEFT('ASS START SYNC'!E298,B294),"")</f>
        <v/>
      </c>
      <c r="H294" s="24" t="str">
        <f>IF(AND('ASS START SYNC'!C298="SHOW",COUNTA('ASS START SYNC'!$E$8:'ASS START SYNC'!E297)=0),MID('ASS START SYNC'!E298,B294+1,C294-B294-1),IF(AND('ASS START SYNC'!C298="SHOW",COUNTA('ASS START SYNC'!$E$8:'ASS START SYNC'!E297)&lt;&gt;0),I293,""))</f>
        <v/>
      </c>
      <c r="I294" s="24" t="str">
        <f>IF('ASS START SYNC'!C298="SHOW",MID('ASS START SYNC'!E298,C294+1,D294-C294-1),I293)</f>
        <v/>
      </c>
      <c r="J294" s="23" t="str">
        <f>IF('ASS START SYNC'!C298="SHOW",MID('ASS START SYNC'!E298,D294+1,F294-D294+1),"")</f>
        <v/>
      </c>
      <c r="K294" s="23" t="str">
        <f>IF('ASS START SYNC'!C298="SHOW",MID('ASS START SYNC'!E298,F294+2,1000),"")</f>
        <v/>
      </c>
      <c r="M294" s="24"/>
      <c r="N294" s="26">
        <v>291</v>
      </c>
      <c r="O294" s="24" t="str">
        <f>IF('ASS END SYNC'!C298="SHOW",FIND(",",'ASS END SYNC'!E298,1),"")</f>
        <v/>
      </c>
      <c r="P294" s="24" t="str">
        <f>IF('ASS END SYNC'!C298="SHOW",FIND(",",'ASS END SYNC'!E298,O294+1),"")</f>
        <v/>
      </c>
      <c r="Q294" s="24" t="str">
        <f>IF('ASS END SYNC'!C298="SHOW",FIND(",",'ASS END SYNC'!E298,P294+1),"")</f>
        <v/>
      </c>
      <c r="R294" s="25" t="str">
        <f>IF('ASS END SYNC'!C298="SHOW",FIND(",,",'ASS END SYNC'!E298,1),"")</f>
        <v/>
      </c>
      <c r="S294" s="25" t="str">
        <f>IF('ASS END SYNC'!C298="SHOW",FIND(",,",'ASS END SYNC'!E298,R294+1),"")</f>
        <v/>
      </c>
      <c r="T294" s="23" t="str">
        <f>IF('ASS END SYNC'!C298="SHOW",LEFT('ASS END SYNC'!E298,O294),"")</f>
        <v/>
      </c>
      <c r="U294" s="24" t="str">
        <f>IF('ASS END SYNC'!C298="SHOW",MID('ASS END SYNC'!E298,O294+1,P294-O294-1),"")</f>
        <v/>
      </c>
      <c r="V294" s="24" t="str">
        <f>IF(AND('ASS END SYNC'!C298="SHOW",'ASS END SYNC'!C299="SHOW"),U295,IF(AND('ASS END SYNC'!C298="SHOW",'ASS END SYNC'!C299&lt;&gt;"SHOW"),MID('ASS END SYNC'!E298,O294+1,P294-O294-1),""))</f>
        <v/>
      </c>
      <c r="W294" s="23" t="str">
        <f>IF('ASS END SYNC'!C298="SHOW",MID('ASS END SYNC'!E298,Q294+1,S294-Q294+1),"")</f>
        <v/>
      </c>
      <c r="X294" s="23" t="str">
        <f>IF('ASS END SYNC'!C298="SHOW",MID('ASS END SYNC'!E298,S294+2,1000),"")</f>
        <v/>
      </c>
      <c r="Z294" s="24"/>
    </row>
    <row r="295" spans="1:26" x14ac:dyDescent="0.25">
      <c r="A295" s="26">
        <v>292</v>
      </c>
      <c r="B295" s="24" t="str">
        <f>IF('ASS START SYNC'!C299="SHOW",FIND(",",'ASS START SYNC'!E299,1),"")</f>
        <v/>
      </c>
      <c r="C295" s="24" t="str">
        <f>IF('ASS START SYNC'!C299="SHOW",FIND(",",'ASS START SYNC'!E299,B295+1),"")</f>
        <v/>
      </c>
      <c r="D295" s="24" t="str">
        <f>IF('ASS START SYNC'!C299="SHOW",FIND(",",'ASS START SYNC'!E299,C295+1),"")</f>
        <v/>
      </c>
      <c r="E295" s="25" t="str">
        <f>IF('ASS START SYNC'!C299="SHOW",FIND(",,",'ASS START SYNC'!E299,1),"")</f>
        <v/>
      </c>
      <c r="F295" s="25" t="str">
        <f>IF('ASS START SYNC'!C299="SHOW",FIND(",,",'ASS START SYNC'!E299,E295+1),"")</f>
        <v/>
      </c>
      <c r="G295" s="23" t="str">
        <f>IF('ASS START SYNC'!C299="SHOW",LEFT('ASS START SYNC'!E299,B295),"")</f>
        <v/>
      </c>
      <c r="H295" s="24" t="str">
        <f>IF(AND('ASS START SYNC'!C299="SHOW",COUNTA('ASS START SYNC'!$E$8:'ASS START SYNC'!E298)=0),MID('ASS START SYNC'!E299,B295+1,C295-B295-1),IF(AND('ASS START SYNC'!C299="SHOW",COUNTA('ASS START SYNC'!$E$8:'ASS START SYNC'!E298)&lt;&gt;0),I294,""))</f>
        <v/>
      </c>
      <c r="I295" s="24" t="str">
        <f>IF('ASS START SYNC'!C299="SHOW",MID('ASS START SYNC'!E299,C295+1,D295-C295-1),I294)</f>
        <v/>
      </c>
      <c r="J295" s="23" t="str">
        <f>IF('ASS START SYNC'!C299="SHOW",MID('ASS START SYNC'!E299,D295+1,F295-D295+1),"")</f>
        <v/>
      </c>
      <c r="K295" s="23" t="str">
        <f>IF('ASS START SYNC'!C299="SHOW",MID('ASS START SYNC'!E299,F295+2,1000),"")</f>
        <v/>
      </c>
      <c r="M295" s="24"/>
      <c r="N295" s="26">
        <v>292</v>
      </c>
      <c r="O295" s="24" t="str">
        <f>IF('ASS END SYNC'!C299="SHOW",FIND(",",'ASS END SYNC'!E299,1),"")</f>
        <v/>
      </c>
      <c r="P295" s="24" t="str">
        <f>IF('ASS END SYNC'!C299="SHOW",FIND(",",'ASS END SYNC'!E299,O295+1),"")</f>
        <v/>
      </c>
      <c r="Q295" s="24" t="str">
        <f>IF('ASS END SYNC'!C299="SHOW",FIND(",",'ASS END SYNC'!E299,P295+1),"")</f>
        <v/>
      </c>
      <c r="R295" s="25" t="str">
        <f>IF('ASS END SYNC'!C299="SHOW",FIND(",,",'ASS END SYNC'!E299,1),"")</f>
        <v/>
      </c>
      <c r="S295" s="25" t="str">
        <f>IF('ASS END SYNC'!C299="SHOW",FIND(",,",'ASS END SYNC'!E299,R295+1),"")</f>
        <v/>
      </c>
      <c r="T295" s="23" t="str">
        <f>IF('ASS END SYNC'!C299="SHOW",LEFT('ASS END SYNC'!E299,O295),"")</f>
        <v/>
      </c>
      <c r="U295" s="24" t="str">
        <f>IF('ASS END SYNC'!C299="SHOW",MID('ASS END SYNC'!E299,O295+1,P295-O295-1),"")</f>
        <v/>
      </c>
      <c r="V295" s="24" t="str">
        <f>IF(AND('ASS END SYNC'!C299="SHOW",'ASS END SYNC'!C300="SHOW"),U296,IF(AND('ASS END SYNC'!C299="SHOW",'ASS END SYNC'!C300&lt;&gt;"SHOW"),MID('ASS END SYNC'!E299,O295+1,P295-O295-1),""))</f>
        <v/>
      </c>
      <c r="W295" s="23" t="str">
        <f>IF('ASS END SYNC'!C299="SHOW",MID('ASS END SYNC'!E299,Q295+1,S295-Q295+1),"")</f>
        <v/>
      </c>
      <c r="X295" s="23" t="str">
        <f>IF('ASS END SYNC'!C299="SHOW",MID('ASS END SYNC'!E299,S295+2,1000),"")</f>
        <v/>
      </c>
      <c r="Z295" s="24"/>
    </row>
    <row r="296" spans="1:26" x14ac:dyDescent="0.25">
      <c r="A296" s="26">
        <v>293</v>
      </c>
      <c r="B296" s="24" t="str">
        <f>IF('ASS START SYNC'!C300="SHOW",FIND(",",'ASS START SYNC'!E300,1),"")</f>
        <v/>
      </c>
      <c r="C296" s="24" t="str">
        <f>IF('ASS START SYNC'!C300="SHOW",FIND(",",'ASS START SYNC'!E300,B296+1),"")</f>
        <v/>
      </c>
      <c r="D296" s="24" t="str">
        <f>IF('ASS START SYNC'!C300="SHOW",FIND(",",'ASS START SYNC'!E300,C296+1),"")</f>
        <v/>
      </c>
      <c r="E296" s="25" t="str">
        <f>IF('ASS START SYNC'!C300="SHOW",FIND(",,",'ASS START SYNC'!E300,1),"")</f>
        <v/>
      </c>
      <c r="F296" s="25" t="str">
        <f>IF('ASS START SYNC'!C300="SHOW",FIND(",,",'ASS START SYNC'!E300,E296+1),"")</f>
        <v/>
      </c>
      <c r="G296" s="23" t="str">
        <f>IF('ASS START SYNC'!C300="SHOW",LEFT('ASS START SYNC'!E300,B296),"")</f>
        <v/>
      </c>
      <c r="H296" s="24" t="str">
        <f>IF(AND('ASS START SYNC'!C300="SHOW",COUNTA('ASS START SYNC'!$E$8:'ASS START SYNC'!E299)=0),MID('ASS START SYNC'!E300,B296+1,C296-B296-1),IF(AND('ASS START SYNC'!C300="SHOW",COUNTA('ASS START SYNC'!$E$8:'ASS START SYNC'!E299)&lt;&gt;0),I295,""))</f>
        <v/>
      </c>
      <c r="I296" s="24" t="str">
        <f>IF('ASS START SYNC'!C300="SHOW",MID('ASS START SYNC'!E300,C296+1,D296-C296-1),I295)</f>
        <v/>
      </c>
      <c r="J296" s="23" t="str">
        <f>IF('ASS START SYNC'!C300="SHOW",MID('ASS START SYNC'!E300,D296+1,F296-D296+1),"")</f>
        <v/>
      </c>
      <c r="K296" s="23" t="str">
        <f>IF('ASS START SYNC'!C300="SHOW",MID('ASS START SYNC'!E300,F296+2,1000),"")</f>
        <v/>
      </c>
      <c r="M296" s="24"/>
      <c r="N296" s="26">
        <v>293</v>
      </c>
      <c r="O296" s="24" t="str">
        <f>IF('ASS END SYNC'!C300="SHOW",FIND(",",'ASS END SYNC'!E300,1),"")</f>
        <v/>
      </c>
      <c r="P296" s="24" t="str">
        <f>IF('ASS END SYNC'!C300="SHOW",FIND(",",'ASS END SYNC'!E300,O296+1),"")</f>
        <v/>
      </c>
      <c r="Q296" s="24" t="str">
        <f>IF('ASS END SYNC'!C300="SHOW",FIND(",",'ASS END SYNC'!E300,P296+1),"")</f>
        <v/>
      </c>
      <c r="R296" s="25" t="str">
        <f>IF('ASS END SYNC'!C300="SHOW",FIND(",,",'ASS END SYNC'!E300,1),"")</f>
        <v/>
      </c>
      <c r="S296" s="25" t="str">
        <f>IF('ASS END SYNC'!C300="SHOW",FIND(",,",'ASS END SYNC'!E300,R296+1),"")</f>
        <v/>
      </c>
      <c r="T296" s="23" t="str">
        <f>IF('ASS END SYNC'!C300="SHOW",LEFT('ASS END SYNC'!E300,O296),"")</f>
        <v/>
      </c>
      <c r="U296" s="24" t="str">
        <f>IF('ASS END SYNC'!C300="SHOW",MID('ASS END SYNC'!E300,O296+1,P296-O296-1),"")</f>
        <v/>
      </c>
      <c r="V296" s="24" t="str">
        <f>IF(AND('ASS END SYNC'!C300="SHOW",'ASS END SYNC'!C301="SHOW"),U297,IF(AND('ASS END SYNC'!C300="SHOW",'ASS END SYNC'!C301&lt;&gt;"SHOW"),MID('ASS END SYNC'!E300,O296+1,P296-O296-1),""))</f>
        <v/>
      </c>
      <c r="W296" s="23" t="str">
        <f>IF('ASS END SYNC'!C300="SHOW",MID('ASS END SYNC'!E300,Q296+1,S296-Q296+1),"")</f>
        <v/>
      </c>
      <c r="X296" s="23" t="str">
        <f>IF('ASS END SYNC'!C300="SHOW",MID('ASS END SYNC'!E300,S296+2,1000),"")</f>
        <v/>
      </c>
      <c r="Z296" s="24"/>
    </row>
    <row r="297" spans="1:26" x14ac:dyDescent="0.25">
      <c r="A297" s="26">
        <v>294</v>
      </c>
      <c r="B297" s="24" t="str">
        <f>IF('ASS START SYNC'!C301="SHOW",FIND(",",'ASS START SYNC'!E301,1),"")</f>
        <v/>
      </c>
      <c r="C297" s="24" t="str">
        <f>IF('ASS START SYNC'!C301="SHOW",FIND(",",'ASS START SYNC'!E301,B297+1),"")</f>
        <v/>
      </c>
      <c r="D297" s="24" t="str">
        <f>IF('ASS START SYNC'!C301="SHOW",FIND(",",'ASS START SYNC'!E301,C297+1),"")</f>
        <v/>
      </c>
      <c r="E297" s="25" t="str">
        <f>IF('ASS START SYNC'!C301="SHOW",FIND(",,",'ASS START SYNC'!E301,1),"")</f>
        <v/>
      </c>
      <c r="F297" s="25" t="str">
        <f>IF('ASS START SYNC'!C301="SHOW",FIND(",,",'ASS START SYNC'!E301,E297+1),"")</f>
        <v/>
      </c>
      <c r="G297" s="23" t="str">
        <f>IF('ASS START SYNC'!C301="SHOW",LEFT('ASS START SYNC'!E301,B297),"")</f>
        <v/>
      </c>
      <c r="H297" s="24" t="str">
        <f>IF(AND('ASS START SYNC'!C301="SHOW",COUNTA('ASS START SYNC'!$E$8:'ASS START SYNC'!E300)=0),MID('ASS START SYNC'!E301,B297+1,C297-B297-1),IF(AND('ASS START SYNC'!C301="SHOW",COUNTA('ASS START SYNC'!$E$8:'ASS START SYNC'!E300)&lt;&gt;0),I296,""))</f>
        <v/>
      </c>
      <c r="I297" s="24" t="str">
        <f>IF('ASS START SYNC'!C301="SHOW",MID('ASS START SYNC'!E301,C297+1,D297-C297-1),I296)</f>
        <v/>
      </c>
      <c r="J297" s="23" t="str">
        <f>IF('ASS START SYNC'!C301="SHOW",MID('ASS START SYNC'!E301,D297+1,F297-D297+1),"")</f>
        <v/>
      </c>
      <c r="K297" s="23" t="str">
        <f>IF('ASS START SYNC'!C301="SHOW",MID('ASS START SYNC'!E301,F297+2,1000),"")</f>
        <v/>
      </c>
      <c r="M297" s="24"/>
      <c r="N297" s="26">
        <v>294</v>
      </c>
      <c r="O297" s="24" t="str">
        <f>IF('ASS END SYNC'!C301="SHOW",FIND(",",'ASS END SYNC'!E301,1),"")</f>
        <v/>
      </c>
      <c r="P297" s="24" t="str">
        <f>IF('ASS END SYNC'!C301="SHOW",FIND(",",'ASS END SYNC'!E301,O297+1),"")</f>
        <v/>
      </c>
      <c r="Q297" s="24" t="str">
        <f>IF('ASS END SYNC'!C301="SHOW",FIND(",",'ASS END SYNC'!E301,P297+1),"")</f>
        <v/>
      </c>
      <c r="R297" s="25" t="str">
        <f>IF('ASS END SYNC'!C301="SHOW",FIND(",,",'ASS END SYNC'!E301,1),"")</f>
        <v/>
      </c>
      <c r="S297" s="25" t="str">
        <f>IF('ASS END SYNC'!C301="SHOW",FIND(",,",'ASS END SYNC'!E301,R297+1),"")</f>
        <v/>
      </c>
      <c r="T297" s="23" t="str">
        <f>IF('ASS END SYNC'!C301="SHOW",LEFT('ASS END SYNC'!E301,O297),"")</f>
        <v/>
      </c>
      <c r="U297" s="24" t="str">
        <f>IF('ASS END SYNC'!C301="SHOW",MID('ASS END SYNC'!E301,O297+1,P297-O297-1),"")</f>
        <v/>
      </c>
      <c r="V297" s="24" t="str">
        <f>IF(AND('ASS END SYNC'!C301="SHOW",'ASS END SYNC'!C302="SHOW"),U298,IF(AND('ASS END SYNC'!C301="SHOW",'ASS END SYNC'!C302&lt;&gt;"SHOW"),MID('ASS END SYNC'!E301,O297+1,P297-O297-1),""))</f>
        <v/>
      </c>
      <c r="W297" s="23" t="str">
        <f>IF('ASS END SYNC'!C301="SHOW",MID('ASS END SYNC'!E301,Q297+1,S297-Q297+1),"")</f>
        <v/>
      </c>
      <c r="X297" s="23" t="str">
        <f>IF('ASS END SYNC'!C301="SHOW",MID('ASS END SYNC'!E301,S297+2,1000),"")</f>
        <v/>
      </c>
      <c r="Z297" s="24"/>
    </row>
    <row r="298" spans="1:26" x14ac:dyDescent="0.25">
      <c r="A298" s="26">
        <v>295</v>
      </c>
      <c r="B298" s="24" t="str">
        <f>IF('ASS START SYNC'!C302="SHOW",FIND(",",'ASS START SYNC'!E302,1),"")</f>
        <v/>
      </c>
      <c r="C298" s="24" t="str">
        <f>IF('ASS START SYNC'!C302="SHOW",FIND(",",'ASS START SYNC'!E302,B298+1),"")</f>
        <v/>
      </c>
      <c r="D298" s="24" t="str">
        <f>IF('ASS START SYNC'!C302="SHOW",FIND(",",'ASS START SYNC'!E302,C298+1),"")</f>
        <v/>
      </c>
      <c r="E298" s="25" t="str">
        <f>IF('ASS START SYNC'!C302="SHOW",FIND(",,",'ASS START SYNC'!E302,1),"")</f>
        <v/>
      </c>
      <c r="F298" s="25" t="str">
        <f>IF('ASS START SYNC'!C302="SHOW",FIND(",,",'ASS START SYNC'!E302,E298+1),"")</f>
        <v/>
      </c>
      <c r="G298" s="23" t="str">
        <f>IF('ASS START SYNC'!C302="SHOW",LEFT('ASS START SYNC'!E302,B298),"")</f>
        <v/>
      </c>
      <c r="H298" s="24" t="str">
        <f>IF(AND('ASS START SYNC'!C302="SHOW",COUNTA('ASS START SYNC'!$E$8:'ASS START SYNC'!E301)=0),MID('ASS START SYNC'!E302,B298+1,C298-B298-1),IF(AND('ASS START SYNC'!C302="SHOW",COUNTA('ASS START SYNC'!$E$8:'ASS START SYNC'!E301)&lt;&gt;0),I297,""))</f>
        <v/>
      </c>
      <c r="I298" s="24" t="str">
        <f>IF('ASS START SYNC'!C302="SHOW",MID('ASS START SYNC'!E302,C298+1,D298-C298-1),I297)</f>
        <v/>
      </c>
      <c r="J298" s="23" t="str">
        <f>IF('ASS START SYNC'!C302="SHOW",MID('ASS START SYNC'!E302,D298+1,F298-D298+1),"")</f>
        <v/>
      </c>
      <c r="K298" s="23" t="str">
        <f>IF('ASS START SYNC'!C302="SHOW",MID('ASS START SYNC'!E302,F298+2,1000),"")</f>
        <v/>
      </c>
      <c r="M298" s="24"/>
      <c r="N298" s="26">
        <v>295</v>
      </c>
      <c r="O298" s="24" t="str">
        <f>IF('ASS END SYNC'!C302="SHOW",FIND(",",'ASS END SYNC'!E302,1),"")</f>
        <v/>
      </c>
      <c r="P298" s="24" t="str">
        <f>IF('ASS END SYNC'!C302="SHOW",FIND(",",'ASS END SYNC'!E302,O298+1),"")</f>
        <v/>
      </c>
      <c r="Q298" s="24" t="str">
        <f>IF('ASS END SYNC'!C302="SHOW",FIND(",",'ASS END SYNC'!E302,P298+1),"")</f>
        <v/>
      </c>
      <c r="R298" s="25" t="str">
        <f>IF('ASS END SYNC'!C302="SHOW",FIND(",,",'ASS END SYNC'!E302,1),"")</f>
        <v/>
      </c>
      <c r="S298" s="25" t="str">
        <f>IF('ASS END SYNC'!C302="SHOW",FIND(",,",'ASS END SYNC'!E302,R298+1),"")</f>
        <v/>
      </c>
      <c r="T298" s="23" t="str">
        <f>IF('ASS END SYNC'!C302="SHOW",LEFT('ASS END SYNC'!E302,O298),"")</f>
        <v/>
      </c>
      <c r="U298" s="24" t="str">
        <f>IF('ASS END SYNC'!C302="SHOW",MID('ASS END SYNC'!E302,O298+1,P298-O298-1),"")</f>
        <v/>
      </c>
      <c r="V298" s="24" t="str">
        <f>IF(AND('ASS END SYNC'!C302="SHOW",'ASS END SYNC'!C303="SHOW"),U299,IF(AND('ASS END SYNC'!C302="SHOW",'ASS END SYNC'!C303&lt;&gt;"SHOW"),MID('ASS END SYNC'!E302,O298+1,P298-O298-1),""))</f>
        <v/>
      </c>
      <c r="W298" s="23" t="str">
        <f>IF('ASS END SYNC'!C302="SHOW",MID('ASS END SYNC'!E302,Q298+1,S298-Q298+1),"")</f>
        <v/>
      </c>
      <c r="X298" s="23" t="str">
        <f>IF('ASS END SYNC'!C302="SHOW",MID('ASS END SYNC'!E302,S298+2,1000),"")</f>
        <v/>
      </c>
      <c r="Z298" s="24"/>
    </row>
    <row r="299" spans="1:26" x14ac:dyDescent="0.25">
      <c r="A299" s="26">
        <v>296</v>
      </c>
      <c r="B299" s="24" t="str">
        <f>IF('ASS START SYNC'!C303="SHOW",FIND(",",'ASS START SYNC'!E303,1),"")</f>
        <v/>
      </c>
      <c r="C299" s="24" t="str">
        <f>IF('ASS START SYNC'!C303="SHOW",FIND(",",'ASS START SYNC'!E303,B299+1),"")</f>
        <v/>
      </c>
      <c r="D299" s="24" t="str">
        <f>IF('ASS START SYNC'!C303="SHOW",FIND(",",'ASS START SYNC'!E303,C299+1),"")</f>
        <v/>
      </c>
      <c r="E299" s="25" t="str">
        <f>IF('ASS START SYNC'!C303="SHOW",FIND(",,",'ASS START SYNC'!E303,1),"")</f>
        <v/>
      </c>
      <c r="F299" s="25" t="str">
        <f>IF('ASS START SYNC'!C303="SHOW",FIND(",,",'ASS START SYNC'!E303,E299+1),"")</f>
        <v/>
      </c>
      <c r="G299" s="23" t="str">
        <f>IF('ASS START SYNC'!C303="SHOW",LEFT('ASS START SYNC'!E303,B299),"")</f>
        <v/>
      </c>
      <c r="H299" s="24" t="str">
        <f>IF(AND('ASS START SYNC'!C303="SHOW",COUNTA('ASS START SYNC'!$E$8:'ASS START SYNC'!E302)=0),MID('ASS START SYNC'!E303,B299+1,C299-B299-1),IF(AND('ASS START SYNC'!C303="SHOW",COUNTA('ASS START SYNC'!$E$8:'ASS START SYNC'!E302)&lt;&gt;0),I298,""))</f>
        <v/>
      </c>
      <c r="I299" s="24" t="str">
        <f>IF('ASS START SYNC'!C303="SHOW",MID('ASS START SYNC'!E303,C299+1,D299-C299-1),I298)</f>
        <v/>
      </c>
      <c r="J299" s="23" t="str">
        <f>IF('ASS START SYNC'!C303="SHOW",MID('ASS START SYNC'!E303,D299+1,F299-D299+1),"")</f>
        <v/>
      </c>
      <c r="K299" s="23" t="str">
        <f>IF('ASS START SYNC'!C303="SHOW",MID('ASS START SYNC'!E303,F299+2,1000),"")</f>
        <v/>
      </c>
      <c r="M299" s="24"/>
      <c r="N299" s="26">
        <v>296</v>
      </c>
      <c r="O299" s="24" t="str">
        <f>IF('ASS END SYNC'!C303="SHOW",FIND(",",'ASS END SYNC'!E303,1),"")</f>
        <v/>
      </c>
      <c r="P299" s="24" t="str">
        <f>IF('ASS END SYNC'!C303="SHOW",FIND(",",'ASS END SYNC'!E303,O299+1),"")</f>
        <v/>
      </c>
      <c r="Q299" s="24" t="str">
        <f>IF('ASS END SYNC'!C303="SHOW",FIND(",",'ASS END SYNC'!E303,P299+1),"")</f>
        <v/>
      </c>
      <c r="R299" s="25" t="str">
        <f>IF('ASS END SYNC'!C303="SHOW",FIND(",,",'ASS END SYNC'!E303,1),"")</f>
        <v/>
      </c>
      <c r="S299" s="25" t="str">
        <f>IF('ASS END SYNC'!C303="SHOW",FIND(",,",'ASS END SYNC'!E303,R299+1),"")</f>
        <v/>
      </c>
      <c r="T299" s="23" t="str">
        <f>IF('ASS END SYNC'!C303="SHOW",LEFT('ASS END SYNC'!E303,O299),"")</f>
        <v/>
      </c>
      <c r="U299" s="24" t="str">
        <f>IF('ASS END SYNC'!C303="SHOW",MID('ASS END SYNC'!E303,O299+1,P299-O299-1),"")</f>
        <v/>
      </c>
      <c r="V299" s="24" t="str">
        <f>IF(AND('ASS END SYNC'!C303="SHOW",'ASS END SYNC'!C304="SHOW"),U300,IF(AND('ASS END SYNC'!C303="SHOW",'ASS END SYNC'!C304&lt;&gt;"SHOW"),MID('ASS END SYNC'!E303,O299+1,P299-O299-1),""))</f>
        <v/>
      </c>
      <c r="W299" s="23" t="str">
        <f>IF('ASS END SYNC'!C303="SHOW",MID('ASS END SYNC'!E303,Q299+1,S299-Q299+1),"")</f>
        <v/>
      </c>
      <c r="X299" s="23" t="str">
        <f>IF('ASS END SYNC'!C303="SHOW",MID('ASS END SYNC'!E303,S299+2,1000),"")</f>
        <v/>
      </c>
      <c r="Z299" s="24"/>
    </row>
    <row r="300" spans="1:26" x14ac:dyDescent="0.25">
      <c r="A300" s="26">
        <v>297</v>
      </c>
      <c r="B300" s="24" t="str">
        <f>IF('ASS START SYNC'!C304="SHOW",FIND(",",'ASS START SYNC'!E304,1),"")</f>
        <v/>
      </c>
      <c r="C300" s="24" t="str">
        <f>IF('ASS START SYNC'!C304="SHOW",FIND(",",'ASS START SYNC'!E304,B300+1),"")</f>
        <v/>
      </c>
      <c r="D300" s="24" t="str">
        <f>IF('ASS START SYNC'!C304="SHOW",FIND(",",'ASS START SYNC'!E304,C300+1),"")</f>
        <v/>
      </c>
      <c r="E300" s="25" t="str">
        <f>IF('ASS START SYNC'!C304="SHOW",FIND(",,",'ASS START SYNC'!E304,1),"")</f>
        <v/>
      </c>
      <c r="F300" s="25" t="str">
        <f>IF('ASS START SYNC'!C304="SHOW",FIND(",,",'ASS START SYNC'!E304,E300+1),"")</f>
        <v/>
      </c>
      <c r="G300" s="23" t="str">
        <f>IF('ASS START SYNC'!C304="SHOW",LEFT('ASS START SYNC'!E304,B300),"")</f>
        <v/>
      </c>
      <c r="H300" s="24" t="str">
        <f>IF(AND('ASS START SYNC'!C304="SHOW",COUNTA('ASS START SYNC'!$E$8:'ASS START SYNC'!E303)=0),MID('ASS START SYNC'!E304,B300+1,C300-B300-1),IF(AND('ASS START SYNC'!C304="SHOW",COUNTA('ASS START SYNC'!$E$8:'ASS START SYNC'!E303)&lt;&gt;0),I299,""))</f>
        <v/>
      </c>
      <c r="I300" s="24" t="str">
        <f>IF('ASS START SYNC'!C304="SHOW",MID('ASS START SYNC'!E304,C300+1,D300-C300-1),I299)</f>
        <v/>
      </c>
      <c r="J300" s="23" t="str">
        <f>IF('ASS START SYNC'!C304="SHOW",MID('ASS START SYNC'!E304,D300+1,F300-D300+1),"")</f>
        <v/>
      </c>
      <c r="K300" s="23" t="str">
        <f>IF('ASS START SYNC'!C304="SHOW",MID('ASS START SYNC'!E304,F300+2,1000),"")</f>
        <v/>
      </c>
      <c r="M300" s="24"/>
      <c r="N300" s="26">
        <v>297</v>
      </c>
      <c r="O300" s="24" t="str">
        <f>IF('ASS END SYNC'!C304="SHOW",FIND(",",'ASS END SYNC'!E304,1),"")</f>
        <v/>
      </c>
      <c r="P300" s="24" t="str">
        <f>IF('ASS END SYNC'!C304="SHOW",FIND(",",'ASS END SYNC'!E304,O300+1),"")</f>
        <v/>
      </c>
      <c r="Q300" s="24" t="str">
        <f>IF('ASS END SYNC'!C304="SHOW",FIND(",",'ASS END SYNC'!E304,P300+1),"")</f>
        <v/>
      </c>
      <c r="R300" s="25" t="str">
        <f>IF('ASS END SYNC'!C304="SHOW",FIND(",,",'ASS END SYNC'!E304,1),"")</f>
        <v/>
      </c>
      <c r="S300" s="25" t="str">
        <f>IF('ASS END SYNC'!C304="SHOW",FIND(",,",'ASS END SYNC'!E304,R300+1),"")</f>
        <v/>
      </c>
      <c r="T300" s="23" t="str">
        <f>IF('ASS END SYNC'!C304="SHOW",LEFT('ASS END SYNC'!E304,O300),"")</f>
        <v/>
      </c>
      <c r="U300" s="24" t="str">
        <f>IF('ASS END SYNC'!C304="SHOW",MID('ASS END SYNC'!E304,O300+1,P300-O300-1),"")</f>
        <v/>
      </c>
      <c r="V300" s="24" t="str">
        <f>IF(AND('ASS END SYNC'!C304="SHOW",'ASS END SYNC'!C305="SHOW"),U301,IF(AND('ASS END SYNC'!C304="SHOW",'ASS END SYNC'!C305&lt;&gt;"SHOW"),MID('ASS END SYNC'!E304,O300+1,P300-O300-1),""))</f>
        <v/>
      </c>
      <c r="W300" s="23" t="str">
        <f>IF('ASS END SYNC'!C304="SHOW",MID('ASS END SYNC'!E304,Q300+1,S300-Q300+1),"")</f>
        <v/>
      </c>
      <c r="X300" s="23" t="str">
        <f>IF('ASS END SYNC'!C304="SHOW",MID('ASS END SYNC'!E304,S300+2,1000),"")</f>
        <v/>
      </c>
      <c r="Z300" s="24"/>
    </row>
    <row r="301" spans="1:26" x14ac:dyDescent="0.25">
      <c r="A301" s="26">
        <v>298</v>
      </c>
      <c r="B301" s="24" t="str">
        <f>IF('ASS START SYNC'!C305="SHOW",FIND(",",'ASS START SYNC'!E305,1),"")</f>
        <v/>
      </c>
      <c r="C301" s="24" t="str">
        <f>IF('ASS START SYNC'!C305="SHOW",FIND(",",'ASS START SYNC'!E305,B301+1),"")</f>
        <v/>
      </c>
      <c r="D301" s="24" t="str">
        <f>IF('ASS START SYNC'!C305="SHOW",FIND(",",'ASS START SYNC'!E305,C301+1),"")</f>
        <v/>
      </c>
      <c r="E301" s="25" t="str">
        <f>IF('ASS START SYNC'!C305="SHOW",FIND(",,",'ASS START SYNC'!E305,1),"")</f>
        <v/>
      </c>
      <c r="F301" s="25" t="str">
        <f>IF('ASS START SYNC'!C305="SHOW",FIND(",,",'ASS START SYNC'!E305,E301+1),"")</f>
        <v/>
      </c>
      <c r="G301" s="23" t="str">
        <f>IF('ASS START SYNC'!C305="SHOW",LEFT('ASS START SYNC'!E305,B301),"")</f>
        <v/>
      </c>
      <c r="H301" s="24" t="str">
        <f>IF(AND('ASS START SYNC'!C305="SHOW",COUNTA('ASS START SYNC'!$E$8:'ASS START SYNC'!E304)=0),MID('ASS START SYNC'!E305,B301+1,C301-B301-1),IF(AND('ASS START SYNC'!C305="SHOW",COUNTA('ASS START SYNC'!$E$8:'ASS START SYNC'!E304)&lt;&gt;0),I300,""))</f>
        <v/>
      </c>
      <c r="I301" s="24" t="str">
        <f>IF('ASS START SYNC'!C305="SHOW",MID('ASS START SYNC'!E305,C301+1,D301-C301-1),I300)</f>
        <v/>
      </c>
      <c r="J301" s="23" t="str">
        <f>IF('ASS START SYNC'!C305="SHOW",MID('ASS START SYNC'!E305,D301+1,F301-D301+1),"")</f>
        <v/>
      </c>
      <c r="K301" s="23" t="str">
        <f>IF('ASS START SYNC'!C305="SHOW",MID('ASS START SYNC'!E305,F301+2,1000),"")</f>
        <v/>
      </c>
      <c r="M301" s="24"/>
      <c r="N301" s="26">
        <v>298</v>
      </c>
      <c r="O301" s="24" t="str">
        <f>IF('ASS END SYNC'!C305="SHOW",FIND(",",'ASS END SYNC'!E305,1),"")</f>
        <v/>
      </c>
      <c r="P301" s="24" t="str">
        <f>IF('ASS END SYNC'!C305="SHOW",FIND(",",'ASS END SYNC'!E305,O301+1),"")</f>
        <v/>
      </c>
      <c r="Q301" s="24" t="str">
        <f>IF('ASS END SYNC'!C305="SHOW",FIND(",",'ASS END SYNC'!E305,P301+1),"")</f>
        <v/>
      </c>
      <c r="R301" s="25" t="str">
        <f>IF('ASS END SYNC'!C305="SHOW",FIND(",,",'ASS END SYNC'!E305,1),"")</f>
        <v/>
      </c>
      <c r="S301" s="25" t="str">
        <f>IF('ASS END SYNC'!C305="SHOW",FIND(",,",'ASS END SYNC'!E305,R301+1),"")</f>
        <v/>
      </c>
      <c r="T301" s="23" t="str">
        <f>IF('ASS END SYNC'!C305="SHOW",LEFT('ASS END SYNC'!E305,O301),"")</f>
        <v/>
      </c>
      <c r="U301" s="24" t="str">
        <f>IF('ASS END SYNC'!C305="SHOW",MID('ASS END SYNC'!E305,O301+1,P301-O301-1),"")</f>
        <v/>
      </c>
      <c r="V301" s="24" t="str">
        <f>IF(AND('ASS END SYNC'!C305="SHOW",'ASS END SYNC'!C306="SHOW"),U302,IF(AND('ASS END SYNC'!C305="SHOW",'ASS END SYNC'!C306&lt;&gt;"SHOW"),MID('ASS END SYNC'!E305,O301+1,P301-O301-1),""))</f>
        <v/>
      </c>
      <c r="W301" s="23" t="str">
        <f>IF('ASS END SYNC'!C305="SHOW",MID('ASS END SYNC'!E305,Q301+1,S301-Q301+1),"")</f>
        <v/>
      </c>
      <c r="X301" s="23" t="str">
        <f>IF('ASS END SYNC'!C305="SHOW",MID('ASS END SYNC'!E305,S301+2,1000),"")</f>
        <v/>
      </c>
      <c r="Z301" s="24"/>
    </row>
    <row r="302" spans="1:26" x14ac:dyDescent="0.25">
      <c r="A302" s="26">
        <v>299</v>
      </c>
      <c r="B302" s="24" t="str">
        <f>IF('ASS START SYNC'!C306="SHOW",FIND(",",'ASS START SYNC'!E306,1),"")</f>
        <v/>
      </c>
      <c r="C302" s="24" t="str">
        <f>IF('ASS START SYNC'!C306="SHOW",FIND(",",'ASS START SYNC'!E306,B302+1),"")</f>
        <v/>
      </c>
      <c r="D302" s="24" t="str">
        <f>IF('ASS START SYNC'!C306="SHOW",FIND(",",'ASS START SYNC'!E306,C302+1),"")</f>
        <v/>
      </c>
      <c r="E302" s="25" t="str">
        <f>IF('ASS START SYNC'!C306="SHOW",FIND(",,",'ASS START SYNC'!E306,1),"")</f>
        <v/>
      </c>
      <c r="F302" s="25" t="str">
        <f>IF('ASS START SYNC'!C306="SHOW",FIND(",,",'ASS START SYNC'!E306,E302+1),"")</f>
        <v/>
      </c>
      <c r="G302" s="23" t="str">
        <f>IF('ASS START SYNC'!C306="SHOW",LEFT('ASS START SYNC'!E306,B302),"")</f>
        <v/>
      </c>
      <c r="H302" s="24" t="str">
        <f>IF(AND('ASS START SYNC'!C306="SHOW",COUNTA('ASS START SYNC'!$E$8:'ASS START SYNC'!E305)=0),MID('ASS START SYNC'!E306,B302+1,C302-B302-1),IF(AND('ASS START SYNC'!C306="SHOW",COUNTA('ASS START SYNC'!$E$8:'ASS START SYNC'!E305)&lt;&gt;0),I301,""))</f>
        <v/>
      </c>
      <c r="I302" s="24" t="str">
        <f>IF('ASS START SYNC'!C306="SHOW",MID('ASS START SYNC'!E306,C302+1,D302-C302-1),I301)</f>
        <v/>
      </c>
      <c r="J302" s="23" t="str">
        <f>IF('ASS START SYNC'!C306="SHOW",MID('ASS START SYNC'!E306,D302+1,F302-D302+1),"")</f>
        <v/>
      </c>
      <c r="K302" s="23" t="str">
        <f>IF('ASS START SYNC'!C306="SHOW",MID('ASS START SYNC'!E306,F302+2,1000),"")</f>
        <v/>
      </c>
      <c r="M302" s="24"/>
      <c r="N302" s="26">
        <v>299</v>
      </c>
      <c r="O302" s="24" t="str">
        <f>IF('ASS END SYNC'!C306="SHOW",FIND(",",'ASS END SYNC'!E306,1),"")</f>
        <v/>
      </c>
      <c r="P302" s="24" t="str">
        <f>IF('ASS END SYNC'!C306="SHOW",FIND(",",'ASS END SYNC'!E306,O302+1),"")</f>
        <v/>
      </c>
      <c r="Q302" s="24" t="str">
        <f>IF('ASS END SYNC'!C306="SHOW",FIND(",",'ASS END SYNC'!E306,P302+1),"")</f>
        <v/>
      </c>
      <c r="R302" s="25" t="str">
        <f>IF('ASS END SYNC'!C306="SHOW",FIND(",,",'ASS END SYNC'!E306,1),"")</f>
        <v/>
      </c>
      <c r="S302" s="25" t="str">
        <f>IF('ASS END SYNC'!C306="SHOW",FIND(",,",'ASS END SYNC'!E306,R302+1),"")</f>
        <v/>
      </c>
      <c r="T302" s="23" t="str">
        <f>IF('ASS END SYNC'!C306="SHOW",LEFT('ASS END SYNC'!E306,O302),"")</f>
        <v/>
      </c>
      <c r="U302" s="24" t="str">
        <f>IF('ASS END SYNC'!C306="SHOW",MID('ASS END SYNC'!E306,O302+1,P302-O302-1),"")</f>
        <v/>
      </c>
      <c r="V302" s="24" t="str">
        <f>IF(AND('ASS END SYNC'!C306="SHOW",'ASS END SYNC'!C307="SHOW"),U303,IF(AND('ASS END SYNC'!C306="SHOW",'ASS END SYNC'!C307&lt;&gt;"SHOW"),MID('ASS END SYNC'!E306,O302+1,P302-O302-1),""))</f>
        <v/>
      </c>
      <c r="W302" s="23" t="str">
        <f>IF('ASS END SYNC'!C306="SHOW",MID('ASS END SYNC'!E306,Q302+1,S302-Q302+1),"")</f>
        <v/>
      </c>
      <c r="X302" s="23" t="str">
        <f>IF('ASS END SYNC'!C306="SHOW",MID('ASS END SYNC'!E306,S302+2,1000),"")</f>
        <v/>
      </c>
      <c r="Z302" s="24"/>
    </row>
    <row r="303" spans="1:26" x14ac:dyDescent="0.25">
      <c r="A303" s="26">
        <v>300</v>
      </c>
      <c r="B303" s="24" t="str">
        <f>IF('ASS START SYNC'!C307="SHOW",FIND(",",'ASS START SYNC'!E307,1),"")</f>
        <v/>
      </c>
      <c r="C303" s="24" t="str">
        <f>IF('ASS START SYNC'!C307="SHOW",FIND(",",'ASS START SYNC'!E307,B303+1),"")</f>
        <v/>
      </c>
      <c r="D303" s="24" t="str">
        <f>IF('ASS START SYNC'!C307="SHOW",FIND(",",'ASS START SYNC'!E307,C303+1),"")</f>
        <v/>
      </c>
      <c r="E303" s="25" t="str">
        <f>IF('ASS START SYNC'!C307="SHOW",FIND(",,",'ASS START SYNC'!E307,1),"")</f>
        <v/>
      </c>
      <c r="F303" s="25" t="str">
        <f>IF('ASS START SYNC'!C307="SHOW",FIND(",,",'ASS START SYNC'!E307,E303+1),"")</f>
        <v/>
      </c>
      <c r="G303" s="23" t="str">
        <f>IF('ASS START SYNC'!C307="SHOW",LEFT('ASS START SYNC'!E307,B303),"")</f>
        <v/>
      </c>
      <c r="H303" s="24" t="str">
        <f>IF(AND('ASS START SYNC'!C307="SHOW",COUNTA('ASS START SYNC'!$E$8:'ASS START SYNC'!E306)=0),MID('ASS START SYNC'!E307,B303+1,C303-B303-1),IF(AND('ASS START SYNC'!C307="SHOW",COUNTA('ASS START SYNC'!$E$8:'ASS START SYNC'!E306)&lt;&gt;0),I302,""))</f>
        <v/>
      </c>
      <c r="I303" s="24" t="str">
        <f>IF('ASS START SYNC'!C307="SHOW",MID('ASS START SYNC'!E307,C303+1,D303-C303-1),I302)</f>
        <v/>
      </c>
      <c r="J303" s="23" t="str">
        <f>IF('ASS START SYNC'!C307="SHOW",MID('ASS START SYNC'!E307,D303+1,F303-D303+1),"")</f>
        <v/>
      </c>
      <c r="K303" s="23" t="str">
        <f>IF('ASS START SYNC'!C307="SHOW",MID('ASS START SYNC'!E307,F303+2,1000),"")</f>
        <v/>
      </c>
      <c r="M303" s="24"/>
      <c r="N303" s="26">
        <v>300</v>
      </c>
      <c r="O303" s="24" t="str">
        <f>IF('ASS END SYNC'!C307="SHOW",FIND(",",'ASS END SYNC'!E307,1),"")</f>
        <v/>
      </c>
      <c r="P303" s="24" t="str">
        <f>IF('ASS END SYNC'!C307="SHOW",FIND(",",'ASS END SYNC'!E307,O303+1),"")</f>
        <v/>
      </c>
      <c r="Q303" s="24" t="str">
        <f>IF('ASS END SYNC'!C307="SHOW",FIND(",",'ASS END SYNC'!E307,P303+1),"")</f>
        <v/>
      </c>
      <c r="R303" s="25" t="str">
        <f>IF('ASS END SYNC'!C307="SHOW",FIND(",,",'ASS END SYNC'!E307,1),"")</f>
        <v/>
      </c>
      <c r="S303" s="25" t="str">
        <f>IF('ASS END SYNC'!C307="SHOW",FIND(",,",'ASS END SYNC'!E307,R303+1),"")</f>
        <v/>
      </c>
      <c r="T303" s="23" t="str">
        <f>IF('ASS END SYNC'!C307="SHOW",LEFT('ASS END SYNC'!E307,O303),"")</f>
        <v/>
      </c>
      <c r="U303" s="24" t="str">
        <f>IF('ASS END SYNC'!C307="SHOW",MID('ASS END SYNC'!E307,O303+1,P303-O303-1),"")</f>
        <v/>
      </c>
      <c r="V303" s="24" t="str">
        <f>IF(AND('ASS END SYNC'!C307="SHOW",'ASS END SYNC'!C308="SHOW"),U304,IF(AND('ASS END SYNC'!C307="SHOW",'ASS END SYNC'!C308&lt;&gt;"SHOW"),MID('ASS END SYNC'!E307,O303+1,P303-O303-1),""))</f>
        <v/>
      </c>
      <c r="W303" s="23" t="str">
        <f>IF('ASS END SYNC'!C307="SHOW",MID('ASS END SYNC'!E307,Q303+1,S303-Q303+1),"")</f>
        <v/>
      </c>
      <c r="X303" s="23" t="str">
        <f>IF('ASS END SYNC'!C307="SHOW",MID('ASS END SYNC'!E307,S303+2,1000),"")</f>
        <v/>
      </c>
      <c r="Z303" s="24"/>
    </row>
    <row r="304" spans="1:26" x14ac:dyDescent="0.25">
      <c r="A304" s="26">
        <v>301</v>
      </c>
      <c r="B304" s="24" t="str">
        <f>IF('ASS START SYNC'!C308="SHOW",FIND(",",'ASS START SYNC'!E308,1),"")</f>
        <v/>
      </c>
      <c r="C304" s="24" t="str">
        <f>IF('ASS START SYNC'!C308="SHOW",FIND(",",'ASS START SYNC'!E308,B304+1),"")</f>
        <v/>
      </c>
      <c r="D304" s="24" t="str">
        <f>IF('ASS START SYNC'!C308="SHOW",FIND(",",'ASS START SYNC'!E308,C304+1),"")</f>
        <v/>
      </c>
      <c r="E304" s="25" t="str">
        <f>IF('ASS START SYNC'!C308="SHOW",FIND(",,",'ASS START SYNC'!E308,1),"")</f>
        <v/>
      </c>
      <c r="F304" s="25" t="str">
        <f>IF('ASS START SYNC'!C308="SHOW",FIND(",,",'ASS START SYNC'!E308,E304+1),"")</f>
        <v/>
      </c>
      <c r="G304" s="23" t="str">
        <f>IF('ASS START SYNC'!C308="SHOW",LEFT('ASS START SYNC'!E308,B304),"")</f>
        <v/>
      </c>
      <c r="H304" s="24" t="str">
        <f>IF(AND('ASS START SYNC'!C308="SHOW",COUNTA('ASS START SYNC'!$E$8:'ASS START SYNC'!E307)=0),MID('ASS START SYNC'!E308,B304+1,C304-B304-1),IF(AND('ASS START SYNC'!C308="SHOW",COUNTA('ASS START SYNC'!$E$8:'ASS START SYNC'!E307)&lt;&gt;0),I303,""))</f>
        <v/>
      </c>
      <c r="I304" s="24" t="str">
        <f>IF('ASS START SYNC'!C308="SHOW",MID('ASS START SYNC'!E308,C304+1,D304-C304-1),I303)</f>
        <v/>
      </c>
      <c r="J304" s="23" t="str">
        <f>IF('ASS START SYNC'!C308="SHOW",MID('ASS START SYNC'!E308,D304+1,F304-D304+1),"")</f>
        <v/>
      </c>
      <c r="K304" s="23" t="str">
        <f>IF('ASS START SYNC'!C308="SHOW",MID('ASS START SYNC'!E308,F304+2,1000),"")</f>
        <v/>
      </c>
      <c r="M304" s="24"/>
      <c r="N304" s="26">
        <v>301</v>
      </c>
      <c r="O304" s="24" t="str">
        <f>IF('ASS END SYNC'!C308="SHOW",FIND(",",'ASS END SYNC'!E308,1),"")</f>
        <v/>
      </c>
      <c r="P304" s="24" t="str">
        <f>IF('ASS END SYNC'!C308="SHOW",FIND(",",'ASS END SYNC'!E308,O304+1),"")</f>
        <v/>
      </c>
      <c r="Q304" s="24" t="str">
        <f>IF('ASS END SYNC'!C308="SHOW",FIND(",",'ASS END SYNC'!E308,P304+1),"")</f>
        <v/>
      </c>
      <c r="R304" s="25" t="str">
        <f>IF('ASS END SYNC'!C308="SHOW",FIND(",,",'ASS END SYNC'!E308,1),"")</f>
        <v/>
      </c>
      <c r="S304" s="25" t="str">
        <f>IF('ASS END SYNC'!C308="SHOW",FIND(",,",'ASS END SYNC'!E308,R304+1),"")</f>
        <v/>
      </c>
      <c r="T304" s="23" t="str">
        <f>IF('ASS END SYNC'!C308="SHOW",LEFT('ASS END SYNC'!E308,O304),"")</f>
        <v/>
      </c>
      <c r="U304" s="24" t="str">
        <f>IF('ASS END SYNC'!C308="SHOW",MID('ASS END SYNC'!E308,O304+1,P304-O304-1),"")</f>
        <v/>
      </c>
      <c r="V304" s="24" t="str">
        <f>IF(AND('ASS END SYNC'!C308="SHOW",'ASS END SYNC'!C309="SHOW"),U305,IF(AND('ASS END SYNC'!C308="SHOW",'ASS END SYNC'!C309&lt;&gt;"SHOW"),MID('ASS END SYNC'!E308,O304+1,P304-O304-1),""))</f>
        <v/>
      </c>
      <c r="W304" s="23" t="str">
        <f>IF('ASS END SYNC'!C308="SHOW",MID('ASS END SYNC'!E308,Q304+1,S304-Q304+1),"")</f>
        <v/>
      </c>
      <c r="X304" s="23" t="str">
        <f>IF('ASS END SYNC'!C308="SHOW",MID('ASS END SYNC'!E308,S304+2,1000),"")</f>
        <v/>
      </c>
      <c r="Z304" s="24"/>
    </row>
    <row r="305" spans="1:26" x14ac:dyDescent="0.25">
      <c r="A305" s="26">
        <v>302</v>
      </c>
      <c r="B305" s="24" t="str">
        <f>IF('ASS START SYNC'!C309="SHOW",FIND(",",'ASS START SYNC'!E309,1),"")</f>
        <v/>
      </c>
      <c r="C305" s="24" t="str">
        <f>IF('ASS START SYNC'!C309="SHOW",FIND(",",'ASS START SYNC'!E309,B305+1),"")</f>
        <v/>
      </c>
      <c r="D305" s="24" t="str">
        <f>IF('ASS START SYNC'!C309="SHOW",FIND(",",'ASS START SYNC'!E309,C305+1),"")</f>
        <v/>
      </c>
      <c r="E305" s="25" t="str">
        <f>IF('ASS START SYNC'!C309="SHOW",FIND(",,",'ASS START SYNC'!E309,1),"")</f>
        <v/>
      </c>
      <c r="F305" s="25" t="str">
        <f>IF('ASS START SYNC'!C309="SHOW",FIND(",,",'ASS START SYNC'!E309,E305+1),"")</f>
        <v/>
      </c>
      <c r="G305" s="23" t="str">
        <f>IF('ASS START SYNC'!C309="SHOW",LEFT('ASS START SYNC'!E309,B305),"")</f>
        <v/>
      </c>
      <c r="H305" s="24" t="str">
        <f>IF(AND('ASS START SYNC'!C309="SHOW",COUNTA('ASS START SYNC'!$E$8:'ASS START SYNC'!E308)=0),MID('ASS START SYNC'!E309,B305+1,C305-B305-1),IF(AND('ASS START SYNC'!C309="SHOW",COUNTA('ASS START SYNC'!$E$8:'ASS START SYNC'!E308)&lt;&gt;0),I304,""))</f>
        <v/>
      </c>
      <c r="I305" s="24" t="str">
        <f>IF('ASS START SYNC'!C309="SHOW",MID('ASS START SYNC'!E309,C305+1,D305-C305-1),I304)</f>
        <v/>
      </c>
      <c r="J305" s="23" t="str">
        <f>IF('ASS START SYNC'!C309="SHOW",MID('ASS START SYNC'!E309,D305+1,F305-D305+1),"")</f>
        <v/>
      </c>
      <c r="K305" s="23" t="str">
        <f>IF('ASS START SYNC'!C309="SHOW",MID('ASS START SYNC'!E309,F305+2,1000),"")</f>
        <v/>
      </c>
      <c r="M305" s="24"/>
      <c r="N305" s="26">
        <v>302</v>
      </c>
      <c r="O305" s="24" t="str">
        <f>IF('ASS END SYNC'!C309="SHOW",FIND(",",'ASS END SYNC'!E309,1),"")</f>
        <v/>
      </c>
      <c r="P305" s="24" t="str">
        <f>IF('ASS END SYNC'!C309="SHOW",FIND(",",'ASS END SYNC'!E309,O305+1),"")</f>
        <v/>
      </c>
      <c r="Q305" s="24" t="str">
        <f>IF('ASS END SYNC'!C309="SHOW",FIND(",",'ASS END SYNC'!E309,P305+1),"")</f>
        <v/>
      </c>
      <c r="R305" s="25" t="str">
        <f>IF('ASS END SYNC'!C309="SHOW",FIND(",,",'ASS END SYNC'!E309,1),"")</f>
        <v/>
      </c>
      <c r="S305" s="25" t="str">
        <f>IF('ASS END SYNC'!C309="SHOW",FIND(",,",'ASS END SYNC'!E309,R305+1),"")</f>
        <v/>
      </c>
      <c r="T305" s="23" t="str">
        <f>IF('ASS END SYNC'!C309="SHOW",LEFT('ASS END SYNC'!E309,O305),"")</f>
        <v/>
      </c>
      <c r="U305" s="24" t="str">
        <f>IF('ASS END SYNC'!C309="SHOW",MID('ASS END SYNC'!E309,O305+1,P305-O305-1),"")</f>
        <v/>
      </c>
      <c r="V305" s="24" t="str">
        <f>IF(AND('ASS END SYNC'!C309="SHOW",'ASS END SYNC'!C310="SHOW"),U306,IF(AND('ASS END SYNC'!C309="SHOW",'ASS END SYNC'!C310&lt;&gt;"SHOW"),MID('ASS END SYNC'!E309,O305+1,P305-O305-1),""))</f>
        <v/>
      </c>
      <c r="W305" s="23" t="str">
        <f>IF('ASS END SYNC'!C309="SHOW",MID('ASS END SYNC'!E309,Q305+1,S305-Q305+1),"")</f>
        <v/>
      </c>
      <c r="X305" s="23" t="str">
        <f>IF('ASS END SYNC'!C309="SHOW",MID('ASS END SYNC'!E309,S305+2,1000),"")</f>
        <v/>
      </c>
      <c r="Z305" s="24"/>
    </row>
    <row r="306" spans="1:26" x14ac:dyDescent="0.25">
      <c r="A306" s="26">
        <v>303</v>
      </c>
      <c r="B306" s="24" t="str">
        <f>IF('ASS START SYNC'!C310="SHOW",FIND(",",'ASS START SYNC'!E310,1),"")</f>
        <v/>
      </c>
      <c r="C306" s="24" t="str">
        <f>IF('ASS START SYNC'!C310="SHOW",FIND(",",'ASS START SYNC'!E310,B306+1),"")</f>
        <v/>
      </c>
      <c r="D306" s="24" t="str">
        <f>IF('ASS START SYNC'!C310="SHOW",FIND(",",'ASS START SYNC'!E310,C306+1),"")</f>
        <v/>
      </c>
      <c r="E306" s="25" t="str">
        <f>IF('ASS START SYNC'!C310="SHOW",FIND(",,",'ASS START SYNC'!E310,1),"")</f>
        <v/>
      </c>
      <c r="F306" s="25" t="str">
        <f>IF('ASS START SYNC'!C310="SHOW",FIND(",,",'ASS START SYNC'!E310,E306+1),"")</f>
        <v/>
      </c>
      <c r="G306" s="23" t="str">
        <f>IF('ASS START SYNC'!C310="SHOW",LEFT('ASS START SYNC'!E310,B306),"")</f>
        <v/>
      </c>
      <c r="H306" s="24" t="str">
        <f>IF(AND('ASS START SYNC'!C310="SHOW",COUNTA('ASS START SYNC'!$E$8:'ASS START SYNC'!E309)=0),MID('ASS START SYNC'!E310,B306+1,C306-B306-1),IF(AND('ASS START SYNC'!C310="SHOW",COUNTA('ASS START SYNC'!$E$8:'ASS START SYNC'!E309)&lt;&gt;0),I305,""))</f>
        <v/>
      </c>
      <c r="I306" s="24" t="str">
        <f>IF('ASS START SYNC'!C310="SHOW",MID('ASS START SYNC'!E310,C306+1,D306-C306-1),I305)</f>
        <v/>
      </c>
      <c r="J306" s="23" t="str">
        <f>IF('ASS START SYNC'!C310="SHOW",MID('ASS START SYNC'!E310,D306+1,F306-D306+1),"")</f>
        <v/>
      </c>
      <c r="K306" s="23" t="str">
        <f>IF('ASS START SYNC'!C310="SHOW",MID('ASS START SYNC'!E310,F306+2,1000),"")</f>
        <v/>
      </c>
      <c r="M306" s="24"/>
      <c r="N306" s="26">
        <v>303</v>
      </c>
      <c r="O306" s="24" t="str">
        <f>IF('ASS END SYNC'!C310="SHOW",FIND(",",'ASS END SYNC'!E310,1),"")</f>
        <v/>
      </c>
      <c r="P306" s="24" t="str">
        <f>IF('ASS END SYNC'!C310="SHOW",FIND(",",'ASS END SYNC'!E310,O306+1),"")</f>
        <v/>
      </c>
      <c r="Q306" s="24" t="str">
        <f>IF('ASS END SYNC'!C310="SHOW",FIND(",",'ASS END SYNC'!E310,P306+1),"")</f>
        <v/>
      </c>
      <c r="R306" s="25" t="str">
        <f>IF('ASS END SYNC'!C310="SHOW",FIND(",,",'ASS END SYNC'!E310,1),"")</f>
        <v/>
      </c>
      <c r="S306" s="25" t="str">
        <f>IF('ASS END SYNC'!C310="SHOW",FIND(",,",'ASS END SYNC'!E310,R306+1),"")</f>
        <v/>
      </c>
      <c r="T306" s="23" t="str">
        <f>IF('ASS END SYNC'!C310="SHOW",LEFT('ASS END SYNC'!E310,O306),"")</f>
        <v/>
      </c>
      <c r="U306" s="24" t="str">
        <f>IF('ASS END SYNC'!C310="SHOW",MID('ASS END SYNC'!E310,O306+1,P306-O306-1),"")</f>
        <v/>
      </c>
      <c r="V306" s="24" t="str">
        <f>IF(AND('ASS END SYNC'!C310="SHOW",'ASS END SYNC'!C311="SHOW"),U307,IF(AND('ASS END SYNC'!C310="SHOW",'ASS END SYNC'!C311&lt;&gt;"SHOW"),MID('ASS END SYNC'!E310,O306+1,P306-O306-1),""))</f>
        <v/>
      </c>
      <c r="W306" s="23" t="str">
        <f>IF('ASS END SYNC'!C310="SHOW",MID('ASS END SYNC'!E310,Q306+1,S306-Q306+1),"")</f>
        <v/>
      </c>
      <c r="X306" s="23" t="str">
        <f>IF('ASS END SYNC'!C310="SHOW",MID('ASS END SYNC'!E310,S306+2,1000),"")</f>
        <v/>
      </c>
      <c r="Z306" s="24"/>
    </row>
    <row r="307" spans="1:26" x14ac:dyDescent="0.25">
      <c r="A307" s="26">
        <v>304</v>
      </c>
      <c r="B307" s="24" t="str">
        <f>IF('ASS START SYNC'!C311="SHOW",FIND(",",'ASS START SYNC'!E311,1),"")</f>
        <v/>
      </c>
      <c r="C307" s="24" t="str">
        <f>IF('ASS START SYNC'!C311="SHOW",FIND(",",'ASS START SYNC'!E311,B307+1),"")</f>
        <v/>
      </c>
      <c r="D307" s="24" t="str">
        <f>IF('ASS START SYNC'!C311="SHOW",FIND(",",'ASS START SYNC'!E311,C307+1),"")</f>
        <v/>
      </c>
      <c r="E307" s="25" t="str">
        <f>IF('ASS START SYNC'!C311="SHOW",FIND(",,",'ASS START SYNC'!E311,1),"")</f>
        <v/>
      </c>
      <c r="F307" s="25" t="str">
        <f>IF('ASS START SYNC'!C311="SHOW",FIND(",,",'ASS START SYNC'!E311,E307+1),"")</f>
        <v/>
      </c>
      <c r="G307" s="23" t="str">
        <f>IF('ASS START SYNC'!C311="SHOW",LEFT('ASS START SYNC'!E311,B307),"")</f>
        <v/>
      </c>
      <c r="H307" s="24" t="str">
        <f>IF(AND('ASS START SYNC'!C311="SHOW",COUNTA('ASS START SYNC'!$E$8:'ASS START SYNC'!E310)=0),MID('ASS START SYNC'!E311,B307+1,C307-B307-1),IF(AND('ASS START SYNC'!C311="SHOW",COUNTA('ASS START SYNC'!$E$8:'ASS START SYNC'!E310)&lt;&gt;0),I306,""))</f>
        <v/>
      </c>
      <c r="I307" s="24" t="str">
        <f>IF('ASS START SYNC'!C311="SHOW",MID('ASS START SYNC'!E311,C307+1,D307-C307-1),I306)</f>
        <v/>
      </c>
      <c r="J307" s="23" t="str">
        <f>IF('ASS START SYNC'!C311="SHOW",MID('ASS START SYNC'!E311,D307+1,F307-D307+1),"")</f>
        <v/>
      </c>
      <c r="K307" s="23" t="str">
        <f>IF('ASS START SYNC'!C311="SHOW",MID('ASS START SYNC'!E311,F307+2,1000),"")</f>
        <v/>
      </c>
      <c r="M307" s="24"/>
      <c r="N307" s="26">
        <v>304</v>
      </c>
      <c r="O307" s="24" t="str">
        <f>IF('ASS END SYNC'!C311="SHOW",FIND(",",'ASS END SYNC'!E311,1),"")</f>
        <v/>
      </c>
      <c r="P307" s="24" t="str">
        <f>IF('ASS END SYNC'!C311="SHOW",FIND(",",'ASS END SYNC'!E311,O307+1),"")</f>
        <v/>
      </c>
      <c r="Q307" s="24" t="str">
        <f>IF('ASS END SYNC'!C311="SHOW",FIND(",",'ASS END SYNC'!E311,P307+1),"")</f>
        <v/>
      </c>
      <c r="R307" s="25" t="str">
        <f>IF('ASS END SYNC'!C311="SHOW",FIND(",,",'ASS END SYNC'!E311,1),"")</f>
        <v/>
      </c>
      <c r="S307" s="25" t="str">
        <f>IF('ASS END SYNC'!C311="SHOW",FIND(",,",'ASS END SYNC'!E311,R307+1),"")</f>
        <v/>
      </c>
      <c r="T307" s="23" t="str">
        <f>IF('ASS END SYNC'!C311="SHOW",LEFT('ASS END SYNC'!E311,O307),"")</f>
        <v/>
      </c>
      <c r="U307" s="24" t="str">
        <f>IF('ASS END SYNC'!C311="SHOW",MID('ASS END SYNC'!E311,O307+1,P307-O307-1),"")</f>
        <v/>
      </c>
      <c r="V307" s="24" t="str">
        <f>IF(AND('ASS END SYNC'!C311="SHOW",'ASS END SYNC'!C312="SHOW"),U308,IF(AND('ASS END SYNC'!C311="SHOW",'ASS END SYNC'!C312&lt;&gt;"SHOW"),MID('ASS END SYNC'!E311,O307+1,P307-O307-1),""))</f>
        <v/>
      </c>
      <c r="W307" s="23" t="str">
        <f>IF('ASS END SYNC'!C311="SHOW",MID('ASS END SYNC'!E311,Q307+1,S307-Q307+1),"")</f>
        <v/>
      </c>
      <c r="X307" s="23" t="str">
        <f>IF('ASS END SYNC'!C311="SHOW",MID('ASS END SYNC'!E311,S307+2,1000),"")</f>
        <v/>
      </c>
      <c r="Z307" s="24"/>
    </row>
    <row r="308" spans="1:26" x14ac:dyDescent="0.25">
      <c r="A308" s="26">
        <v>305</v>
      </c>
      <c r="B308" s="24" t="str">
        <f>IF('ASS START SYNC'!C312="SHOW",FIND(",",'ASS START SYNC'!E312,1),"")</f>
        <v/>
      </c>
      <c r="C308" s="24" t="str">
        <f>IF('ASS START SYNC'!C312="SHOW",FIND(",",'ASS START SYNC'!E312,B308+1),"")</f>
        <v/>
      </c>
      <c r="D308" s="24" t="str">
        <f>IF('ASS START SYNC'!C312="SHOW",FIND(",",'ASS START SYNC'!E312,C308+1),"")</f>
        <v/>
      </c>
      <c r="E308" s="25" t="str">
        <f>IF('ASS START SYNC'!C312="SHOW",FIND(",,",'ASS START SYNC'!E312,1),"")</f>
        <v/>
      </c>
      <c r="F308" s="25" t="str">
        <f>IF('ASS START SYNC'!C312="SHOW",FIND(",,",'ASS START SYNC'!E312,E308+1),"")</f>
        <v/>
      </c>
      <c r="G308" s="23" t="str">
        <f>IF('ASS START SYNC'!C312="SHOW",LEFT('ASS START SYNC'!E312,B308),"")</f>
        <v/>
      </c>
      <c r="H308" s="24" t="str">
        <f>IF(AND('ASS START SYNC'!C312="SHOW",COUNTA('ASS START SYNC'!$E$8:'ASS START SYNC'!E311)=0),MID('ASS START SYNC'!E312,B308+1,C308-B308-1),IF(AND('ASS START SYNC'!C312="SHOW",COUNTA('ASS START SYNC'!$E$8:'ASS START SYNC'!E311)&lt;&gt;0),I307,""))</f>
        <v/>
      </c>
      <c r="I308" s="24" t="str">
        <f>IF('ASS START SYNC'!C312="SHOW",MID('ASS START SYNC'!E312,C308+1,D308-C308-1),I307)</f>
        <v/>
      </c>
      <c r="J308" s="23" t="str">
        <f>IF('ASS START SYNC'!C312="SHOW",MID('ASS START SYNC'!E312,D308+1,F308-D308+1),"")</f>
        <v/>
      </c>
      <c r="K308" s="23" t="str">
        <f>IF('ASS START SYNC'!C312="SHOW",MID('ASS START SYNC'!E312,F308+2,1000),"")</f>
        <v/>
      </c>
      <c r="M308" s="24"/>
      <c r="N308" s="26">
        <v>305</v>
      </c>
      <c r="O308" s="24" t="str">
        <f>IF('ASS END SYNC'!C312="SHOW",FIND(",",'ASS END SYNC'!E312,1),"")</f>
        <v/>
      </c>
      <c r="P308" s="24" t="str">
        <f>IF('ASS END SYNC'!C312="SHOW",FIND(",",'ASS END SYNC'!E312,O308+1),"")</f>
        <v/>
      </c>
      <c r="Q308" s="24" t="str">
        <f>IF('ASS END SYNC'!C312="SHOW",FIND(",",'ASS END SYNC'!E312,P308+1),"")</f>
        <v/>
      </c>
      <c r="R308" s="25" t="str">
        <f>IF('ASS END SYNC'!C312="SHOW",FIND(",,",'ASS END SYNC'!E312,1),"")</f>
        <v/>
      </c>
      <c r="S308" s="25" t="str">
        <f>IF('ASS END SYNC'!C312="SHOW",FIND(",,",'ASS END SYNC'!E312,R308+1),"")</f>
        <v/>
      </c>
      <c r="T308" s="23" t="str">
        <f>IF('ASS END SYNC'!C312="SHOW",LEFT('ASS END SYNC'!E312,O308),"")</f>
        <v/>
      </c>
      <c r="U308" s="24" t="str">
        <f>IF('ASS END SYNC'!C312="SHOW",MID('ASS END SYNC'!E312,O308+1,P308-O308-1),"")</f>
        <v/>
      </c>
      <c r="V308" s="24" t="str">
        <f>IF(AND('ASS END SYNC'!C312="SHOW",'ASS END SYNC'!C313="SHOW"),U309,IF(AND('ASS END SYNC'!C312="SHOW",'ASS END SYNC'!C313&lt;&gt;"SHOW"),MID('ASS END SYNC'!E312,O308+1,P308-O308-1),""))</f>
        <v/>
      </c>
      <c r="W308" s="23" t="str">
        <f>IF('ASS END SYNC'!C312="SHOW",MID('ASS END SYNC'!E312,Q308+1,S308-Q308+1),"")</f>
        <v/>
      </c>
      <c r="X308" s="23" t="str">
        <f>IF('ASS END SYNC'!C312="SHOW",MID('ASS END SYNC'!E312,S308+2,1000),"")</f>
        <v/>
      </c>
      <c r="Z308" s="24"/>
    </row>
    <row r="309" spans="1:26" x14ac:dyDescent="0.25">
      <c r="A309" s="26">
        <v>306</v>
      </c>
      <c r="B309" s="24" t="str">
        <f>IF('ASS START SYNC'!C313="SHOW",FIND(",",'ASS START SYNC'!E313,1),"")</f>
        <v/>
      </c>
      <c r="C309" s="24" t="str">
        <f>IF('ASS START SYNC'!C313="SHOW",FIND(",",'ASS START SYNC'!E313,B309+1),"")</f>
        <v/>
      </c>
      <c r="D309" s="24" t="str">
        <f>IF('ASS START SYNC'!C313="SHOW",FIND(",",'ASS START SYNC'!E313,C309+1),"")</f>
        <v/>
      </c>
      <c r="E309" s="25" t="str">
        <f>IF('ASS START SYNC'!C313="SHOW",FIND(",,",'ASS START SYNC'!E313,1),"")</f>
        <v/>
      </c>
      <c r="F309" s="25" t="str">
        <f>IF('ASS START SYNC'!C313="SHOW",FIND(",,",'ASS START SYNC'!E313,E309+1),"")</f>
        <v/>
      </c>
      <c r="G309" s="23" t="str">
        <f>IF('ASS START SYNC'!C313="SHOW",LEFT('ASS START SYNC'!E313,B309),"")</f>
        <v/>
      </c>
      <c r="H309" s="24" t="str">
        <f>IF(AND('ASS START SYNC'!C313="SHOW",COUNTA('ASS START SYNC'!$E$8:'ASS START SYNC'!E312)=0),MID('ASS START SYNC'!E313,B309+1,C309-B309-1),IF(AND('ASS START SYNC'!C313="SHOW",COUNTA('ASS START SYNC'!$E$8:'ASS START SYNC'!E312)&lt;&gt;0),I308,""))</f>
        <v/>
      </c>
      <c r="I309" s="24" t="str">
        <f>IF('ASS START SYNC'!C313="SHOW",MID('ASS START SYNC'!E313,C309+1,D309-C309-1),I308)</f>
        <v/>
      </c>
      <c r="J309" s="23" t="str">
        <f>IF('ASS START SYNC'!C313="SHOW",MID('ASS START SYNC'!E313,D309+1,F309-D309+1),"")</f>
        <v/>
      </c>
      <c r="K309" s="23" t="str">
        <f>IF('ASS START SYNC'!C313="SHOW",MID('ASS START SYNC'!E313,F309+2,1000),"")</f>
        <v/>
      </c>
      <c r="M309" s="24"/>
      <c r="N309" s="26">
        <v>306</v>
      </c>
      <c r="O309" s="24" t="str">
        <f>IF('ASS END SYNC'!C313="SHOW",FIND(",",'ASS END SYNC'!E313,1),"")</f>
        <v/>
      </c>
      <c r="P309" s="24" t="str">
        <f>IF('ASS END SYNC'!C313="SHOW",FIND(",",'ASS END SYNC'!E313,O309+1),"")</f>
        <v/>
      </c>
      <c r="Q309" s="24" t="str">
        <f>IF('ASS END SYNC'!C313="SHOW",FIND(",",'ASS END SYNC'!E313,P309+1),"")</f>
        <v/>
      </c>
      <c r="R309" s="25" t="str">
        <f>IF('ASS END SYNC'!C313="SHOW",FIND(",,",'ASS END SYNC'!E313,1),"")</f>
        <v/>
      </c>
      <c r="S309" s="25" t="str">
        <f>IF('ASS END SYNC'!C313="SHOW",FIND(",,",'ASS END SYNC'!E313,R309+1),"")</f>
        <v/>
      </c>
      <c r="T309" s="23" t="str">
        <f>IF('ASS END SYNC'!C313="SHOW",LEFT('ASS END SYNC'!E313,O309),"")</f>
        <v/>
      </c>
      <c r="U309" s="24" t="str">
        <f>IF('ASS END SYNC'!C313="SHOW",MID('ASS END SYNC'!E313,O309+1,P309-O309-1),"")</f>
        <v/>
      </c>
      <c r="V309" s="24" t="str">
        <f>IF(AND('ASS END SYNC'!C313="SHOW",'ASS END SYNC'!C314="SHOW"),U310,IF(AND('ASS END SYNC'!C313="SHOW",'ASS END SYNC'!C314&lt;&gt;"SHOW"),MID('ASS END SYNC'!E313,O309+1,P309-O309-1),""))</f>
        <v/>
      </c>
      <c r="W309" s="23" t="str">
        <f>IF('ASS END SYNC'!C313="SHOW",MID('ASS END SYNC'!E313,Q309+1,S309-Q309+1),"")</f>
        <v/>
      </c>
      <c r="X309" s="23" t="str">
        <f>IF('ASS END SYNC'!C313="SHOW",MID('ASS END SYNC'!E313,S309+2,1000),"")</f>
        <v/>
      </c>
      <c r="Z309" s="24"/>
    </row>
    <row r="310" spans="1:26" x14ac:dyDescent="0.25">
      <c r="A310" s="26">
        <v>307</v>
      </c>
      <c r="B310" s="24" t="str">
        <f>IF('ASS START SYNC'!C314="SHOW",FIND(",",'ASS START SYNC'!E314,1),"")</f>
        <v/>
      </c>
      <c r="C310" s="24" t="str">
        <f>IF('ASS START SYNC'!C314="SHOW",FIND(",",'ASS START SYNC'!E314,B310+1),"")</f>
        <v/>
      </c>
      <c r="D310" s="24" t="str">
        <f>IF('ASS START SYNC'!C314="SHOW",FIND(",",'ASS START SYNC'!E314,C310+1),"")</f>
        <v/>
      </c>
      <c r="E310" s="25" t="str">
        <f>IF('ASS START SYNC'!C314="SHOW",FIND(",,",'ASS START SYNC'!E314,1),"")</f>
        <v/>
      </c>
      <c r="F310" s="25" t="str">
        <f>IF('ASS START SYNC'!C314="SHOW",FIND(",,",'ASS START SYNC'!E314,E310+1),"")</f>
        <v/>
      </c>
      <c r="G310" s="23" t="str">
        <f>IF('ASS START SYNC'!C314="SHOW",LEFT('ASS START SYNC'!E314,B310),"")</f>
        <v/>
      </c>
      <c r="H310" s="24" t="str">
        <f>IF(AND('ASS START SYNC'!C314="SHOW",COUNTA('ASS START SYNC'!$E$8:'ASS START SYNC'!E313)=0),MID('ASS START SYNC'!E314,B310+1,C310-B310-1),IF(AND('ASS START SYNC'!C314="SHOW",COUNTA('ASS START SYNC'!$E$8:'ASS START SYNC'!E313)&lt;&gt;0),I309,""))</f>
        <v/>
      </c>
      <c r="I310" s="24" t="str">
        <f>IF('ASS START SYNC'!C314="SHOW",MID('ASS START SYNC'!E314,C310+1,D310-C310-1),I309)</f>
        <v/>
      </c>
      <c r="J310" s="23" t="str">
        <f>IF('ASS START SYNC'!C314="SHOW",MID('ASS START SYNC'!E314,D310+1,F310-D310+1),"")</f>
        <v/>
      </c>
      <c r="K310" s="23" t="str">
        <f>IF('ASS START SYNC'!C314="SHOW",MID('ASS START SYNC'!E314,F310+2,1000),"")</f>
        <v/>
      </c>
      <c r="M310" s="24"/>
      <c r="N310" s="26">
        <v>307</v>
      </c>
      <c r="O310" s="24" t="str">
        <f>IF('ASS END SYNC'!C314="SHOW",FIND(",",'ASS END SYNC'!E314,1),"")</f>
        <v/>
      </c>
      <c r="P310" s="24" t="str">
        <f>IF('ASS END SYNC'!C314="SHOW",FIND(",",'ASS END SYNC'!E314,O310+1),"")</f>
        <v/>
      </c>
      <c r="Q310" s="24" t="str">
        <f>IF('ASS END SYNC'!C314="SHOW",FIND(",",'ASS END SYNC'!E314,P310+1),"")</f>
        <v/>
      </c>
      <c r="R310" s="25" t="str">
        <f>IF('ASS END SYNC'!C314="SHOW",FIND(",,",'ASS END SYNC'!E314,1),"")</f>
        <v/>
      </c>
      <c r="S310" s="25" t="str">
        <f>IF('ASS END SYNC'!C314="SHOW",FIND(",,",'ASS END SYNC'!E314,R310+1),"")</f>
        <v/>
      </c>
      <c r="T310" s="23" t="str">
        <f>IF('ASS END SYNC'!C314="SHOW",LEFT('ASS END SYNC'!E314,O310),"")</f>
        <v/>
      </c>
      <c r="U310" s="24" t="str">
        <f>IF('ASS END SYNC'!C314="SHOW",MID('ASS END SYNC'!E314,O310+1,P310-O310-1),"")</f>
        <v/>
      </c>
      <c r="V310" s="24" t="str">
        <f>IF(AND('ASS END SYNC'!C314="SHOW",'ASS END SYNC'!C315="SHOW"),U311,IF(AND('ASS END SYNC'!C314="SHOW",'ASS END SYNC'!C315&lt;&gt;"SHOW"),MID('ASS END SYNC'!E314,O310+1,P310-O310-1),""))</f>
        <v/>
      </c>
      <c r="W310" s="23" t="str">
        <f>IF('ASS END SYNC'!C314="SHOW",MID('ASS END SYNC'!E314,Q310+1,S310-Q310+1),"")</f>
        <v/>
      </c>
      <c r="X310" s="23" t="str">
        <f>IF('ASS END SYNC'!C314="SHOW",MID('ASS END SYNC'!E314,S310+2,1000),"")</f>
        <v/>
      </c>
      <c r="Z310" s="24"/>
    </row>
    <row r="311" spans="1:26" x14ac:dyDescent="0.25">
      <c r="A311" s="26">
        <v>308</v>
      </c>
      <c r="B311" s="24" t="str">
        <f>IF('ASS START SYNC'!C315="SHOW",FIND(",",'ASS START SYNC'!E315,1),"")</f>
        <v/>
      </c>
      <c r="C311" s="24" t="str">
        <f>IF('ASS START SYNC'!C315="SHOW",FIND(",",'ASS START SYNC'!E315,B311+1),"")</f>
        <v/>
      </c>
      <c r="D311" s="24" t="str">
        <f>IF('ASS START SYNC'!C315="SHOW",FIND(",",'ASS START SYNC'!E315,C311+1),"")</f>
        <v/>
      </c>
      <c r="E311" s="25" t="str">
        <f>IF('ASS START SYNC'!C315="SHOW",FIND(",,",'ASS START SYNC'!E315,1),"")</f>
        <v/>
      </c>
      <c r="F311" s="25" t="str">
        <f>IF('ASS START SYNC'!C315="SHOW",FIND(",,",'ASS START SYNC'!E315,E311+1),"")</f>
        <v/>
      </c>
      <c r="G311" s="23" t="str">
        <f>IF('ASS START SYNC'!C315="SHOW",LEFT('ASS START SYNC'!E315,B311),"")</f>
        <v/>
      </c>
      <c r="H311" s="24" t="str">
        <f>IF(AND('ASS START SYNC'!C315="SHOW",COUNTA('ASS START SYNC'!$E$8:'ASS START SYNC'!E314)=0),MID('ASS START SYNC'!E315,B311+1,C311-B311-1),IF(AND('ASS START SYNC'!C315="SHOW",COUNTA('ASS START SYNC'!$E$8:'ASS START SYNC'!E314)&lt;&gt;0),I310,""))</f>
        <v/>
      </c>
      <c r="I311" s="24" t="str">
        <f>IF('ASS START SYNC'!C315="SHOW",MID('ASS START SYNC'!E315,C311+1,D311-C311-1),I310)</f>
        <v/>
      </c>
      <c r="J311" s="23" t="str">
        <f>IF('ASS START SYNC'!C315="SHOW",MID('ASS START SYNC'!E315,D311+1,F311-D311+1),"")</f>
        <v/>
      </c>
      <c r="K311" s="23" t="str">
        <f>IF('ASS START SYNC'!C315="SHOW",MID('ASS START SYNC'!E315,F311+2,1000),"")</f>
        <v/>
      </c>
      <c r="M311" s="24"/>
      <c r="N311" s="26">
        <v>308</v>
      </c>
      <c r="O311" s="24" t="str">
        <f>IF('ASS END SYNC'!C315="SHOW",FIND(",",'ASS END SYNC'!E315,1),"")</f>
        <v/>
      </c>
      <c r="P311" s="24" t="str">
        <f>IF('ASS END SYNC'!C315="SHOW",FIND(",",'ASS END SYNC'!E315,O311+1),"")</f>
        <v/>
      </c>
      <c r="Q311" s="24" t="str">
        <f>IF('ASS END SYNC'!C315="SHOW",FIND(",",'ASS END SYNC'!E315,P311+1),"")</f>
        <v/>
      </c>
      <c r="R311" s="25" t="str">
        <f>IF('ASS END SYNC'!C315="SHOW",FIND(",,",'ASS END SYNC'!E315,1),"")</f>
        <v/>
      </c>
      <c r="S311" s="25" t="str">
        <f>IF('ASS END SYNC'!C315="SHOW",FIND(",,",'ASS END SYNC'!E315,R311+1),"")</f>
        <v/>
      </c>
      <c r="T311" s="23" t="str">
        <f>IF('ASS END SYNC'!C315="SHOW",LEFT('ASS END SYNC'!E315,O311),"")</f>
        <v/>
      </c>
      <c r="U311" s="24" t="str">
        <f>IF('ASS END SYNC'!C315="SHOW",MID('ASS END SYNC'!E315,O311+1,P311-O311-1),"")</f>
        <v/>
      </c>
      <c r="V311" s="24" t="str">
        <f>IF(AND('ASS END SYNC'!C315="SHOW",'ASS END SYNC'!C316="SHOW"),U312,IF(AND('ASS END SYNC'!C315="SHOW",'ASS END SYNC'!C316&lt;&gt;"SHOW"),MID('ASS END SYNC'!E315,O311+1,P311-O311-1),""))</f>
        <v/>
      </c>
      <c r="W311" s="23" t="str">
        <f>IF('ASS END SYNC'!C315="SHOW",MID('ASS END SYNC'!E315,Q311+1,S311-Q311+1),"")</f>
        <v/>
      </c>
      <c r="X311" s="23" t="str">
        <f>IF('ASS END SYNC'!C315="SHOW",MID('ASS END SYNC'!E315,S311+2,1000),"")</f>
        <v/>
      </c>
      <c r="Z311" s="24"/>
    </row>
    <row r="312" spans="1:26" x14ac:dyDescent="0.25">
      <c r="A312" s="26">
        <v>309</v>
      </c>
      <c r="B312" s="24" t="str">
        <f>IF('ASS START SYNC'!C316="SHOW",FIND(",",'ASS START SYNC'!E316,1),"")</f>
        <v/>
      </c>
      <c r="C312" s="24" t="str">
        <f>IF('ASS START SYNC'!C316="SHOW",FIND(",",'ASS START SYNC'!E316,B312+1),"")</f>
        <v/>
      </c>
      <c r="D312" s="24" t="str">
        <f>IF('ASS START SYNC'!C316="SHOW",FIND(",",'ASS START SYNC'!E316,C312+1),"")</f>
        <v/>
      </c>
      <c r="E312" s="25" t="str">
        <f>IF('ASS START SYNC'!C316="SHOW",FIND(",,",'ASS START SYNC'!E316,1),"")</f>
        <v/>
      </c>
      <c r="F312" s="25" t="str">
        <f>IF('ASS START SYNC'!C316="SHOW",FIND(",,",'ASS START SYNC'!E316,E312+1),"")</f>
        <v/>
      </c>
      <c r="G312" s="23" t="str">
        <f>IF('ASS START SYNC'!C316="SHOW",LEFT('ASS START SYNC'!E316,B312),"")</f>
        <v/>
      </c>
      <c r="H312" s="24" t="str">
        <f>IF(AND('ASS START SYNC'!C316="SHOW",COUNTA('ASS START SYNC'!$E$8:'ASS START SYNC'!E315)=0),MID('ASS START SYNC'!E316,B312+1,C312-B312-1),IF(AND('ASS START SYNC'!C316="SHOW",COUNTA('ASS START SYNC'!$E$8:'ASS START SYNC'!E315)&lt;&gt;0),I311,""))</f>
        <v/>
      </c>
      <c r="I312" s="24" t="str">
        <f>IF('ASS START SYNC'!C316="SHOW",MID('ASS START SYNC'!E316,C312+1,D312-C312-1),I311)</f>
        <v/>
      </c>
      <c r="J312" s="23" t="str">
        <f>IF('ASS START SYNC'!C316="SHOW",MID('ASS START SYNC'!E316,D312+1,F312-D312+1),"")</f>
        <v/>
      </c>
      <c r="K312" s="23" t="str">
        <f>IF('ASS START SYNC'!C316="SHOW",MID('ASS START SYNC'!E316,F312+2,1000),"")</f>
        <v/>
      </c>
      <c r="M312" s="24"/>
      <c r="N312" s="26">
        <v>309</v>
      </c>
      <c r="O312" s="24" t="str">
        <f>IF('ASS END SYNC'!C316="SHOW",FIND(",",'ASS END SYNC'!E316,1),"")</f>
        <v/>
      </c>
      <c r="P312" s="24" t="str">
        <f>IF('ASS END SYNC'!C316="SHOW",FIND(",",'ASS END SYNC'!E316,O312+1),"")</f>
        <v/>
      </c>
      <c r="Q312" s="24" t="str">
        <f>IF('ASS END SYNC'!C316="SHOW",FIND(",",'ASS END SYNC'!E316,P312+1),"")</f>
        <v/>
      </c>
      <c r="R312" s="25" t="str">
        <f>IF('ASS END SYNC'!C316="SHOW",FIND(",,",'ASS END SYNC'!E316,1),"")</f>
        <v/>
      </c>
      <c r="S312" s="25" t="str">
        <f>IF('ASS END SYNC'!C316="SHOW",FIND(",,",'ASS END SYNC'!E316,R312+1),"")</f>
        <v/>
      </c>
      <c r="T312" s="23" t="str">
        <f>IF('ASS END SYNC'!C316="SHOW",LEFT('ASS END SYNC'!E316,O312),"")</f>
        <v/>
      </c>
      <c r="U312" s="24" t="str">
        <f>IF('ASS END SYNC'!C316="SHOW",MID('ASS END SYNC'!E316,O312+1,P312-O312-1),"")</f>
        <v/>
      </c>
      <c r="V312" s="24" t="str">
        <f>IF(AND('ASS END SYNC'!C316="SHOW",'ASS END SYNC'!C317="SHOW"),U313,IF(AND('ASS END SYNC'!C316="SHOW",'ASS END SYNC'!C317&lt;&gt;"SHOW"),MID('ASS END SYNC'!E316,O312+1,P312-O312-1),""))</f>
        <v/>
      </c>
      <c r="W312" s="23" t="str">
        <f>IF('ASS END SYNC'!C316="SHOW",MID('ASS END SYNC'!E316,Q312+1,S312-Q312+1),"")</f>
        <v/>
      </c>
      <c r="X312" s="23" t="str">
        <f>IF('ASS END SYNC'!C316="SHOW",MID('ASS END SYNC'!E316,S312+2,1000),"")</f>
        <v/>
      </c>
      <c r="Z312" s="24"/>
    </row>
    <row r="313" spans="1:26" x14ac:dyDescent="0.25">
      <c r="A313" s="26">
        <v>310</v>
      </c>
      <c r="B313" s="24" t="str">
        <f>IF('ASS START SYNC'!C317="SHOW",FIND(",",'ASS START SYNC'!E317,1),"")</f>
        <v/>
      </c>
      <c r="C313" s="24" t="str">
        <f>IF('ASS START SYNC'!C317="SHOW",FIND(",",'ASS START SYNC'!E317,B313+1),"")</f>
        <v/>
      </c>
      <c r="D313" s="24" t="str">
        <f>IF('ASS START SYNC'!C317="SHOW",FIND(",",'ASS START SYNC'!E317,C313+1),"")</f>
        <v/>
      </c>
      <c r="E313" s="25" t="str">
        <f>IF('ASS START SYNC'!C317="SHOW",FIND(",,",'ASS START SYNC'!E317,1),"")</f>
        <v/>
      </c>
      <c r="F313" s="25" t="str">
        <f>IF('ASS START SYNC'!C317="SHOW",FIND(",,",'ASS START SYNC'!E317,E313+1),"")</f>
        <v/>
      </c>
      <c r="G313" s="23" t="str">
        <f>IF('ASS START SYNC'!C317="SHOW",LEFT('ASS START SYNC'!E317,B313),"")</f>
        <v/>
      </c>
      <c r="H313" s="24" t="str">
        <f>IF(AND('ASS START SYNC'!C317="SHOW",COUNTA('ASS START SYNC'!$E$8:'ASS START SYNC'!E316)=0),MID('ASS START SYNC'!E317,B313+1,C313-B313-1),IF(AND('ASS START SYNC'!C317="SHOW",COUNTA('ASS START SYNC'!$E$8:'ASS START SYNC'!E316)&lt;&gt;0),I312,""))</f>
        <v/>
      </c>
      <c r="I313" s="24" t="str">
        <f>IF('ASS START SYNC'!C317="SHOW",MID('ASS START SYNC'!E317,C313+1,D313-C313-1),I312)</f>
        <v/>
      </c>
      <c r="J313" s="23" t="str">
        <f>IF('ASS START SYNC'!C317="SHOW",MID('ASS START SYNC'!E317,D313+1,F313-D313+1),"")</f>
        <v/>
      </c>
      <c r="K313" s="23" t="str">
        <f>IF('ASS START SYNC'!C317="SHOW",MID('ASS START SYNC'!E317,F313+2,1000),"")</f>
        <v/>
      </c>
      <c r="M313" s="24"/>
      <c r="N313" s="26">
        <v>310</v>
      </c>
      <c r="O313" s="24" t="str">
        <f>IF('ASS END SYNC'!C317="SHOW",FIND(",",'ASS END SYNC'!E317,1),"")</f>
        <v/>
      </c>
      <c r="P313" s="24" t="str">
        <f>IF('ASS END SYNC'!C317="SHOW",FIND(",",'ASS END SYNC'!E317,O313+1),"")</f>
        <v/>
      </c>
      <c r="Q313" s="24" t="str">
        <f>IF('ASS END SYNC'!C317="SHOW",FIND(",",'ASS END SYNC'!E317,P313+1),"")</f>
        <v/>
      </c>
      <c r="R313" s="25" t="str">
        <f>IF('ASS END SYNC'!C317="SHOW",FIND(",,",'ASS END SYNC'!E317,1),"")</f>
        <v/>
      </c>
      <c r="S313" s="25" t="str">
        <f>IF('ASS END SYNC'!C317="SHOW",FIND(",,",'ASS END SYNC'!E317,R313+1),"")</f>
        <v/>
      </c>
      <c r="T313" s="23" t="str">
        <f>IF('ASS END SYNC'!C317="SHOW",LEFT('ASS END SYNC'!E317,O313),"")</f>
        <v/>
      </c>
      <c r="U313" s="24" t="str">
        <f>IF('ASS END SYNC'!C317="SHOW",MID('ASS END SYNC'!E317,O313+1,P313-O313-1),"")</f>
        <v/>
      </c>
      <c r="V313" s="24" t="str">
        <f>IF(AND('ASS END SYNC'!C317="SHOW",'ASS END SYNC'!C318="SHOW"),U314,IF(AND('ASS END SYNC'!C317="SHOW",'ASS END SYNC'!C318&lt;&gt;"SHOW"),MID('ASS END SYNC'!E317,O313+1,P313-O313-1),""))</f>
        <v/>
      </c>
      <c r="W313" s="23" t="str">
        <f>IF('ASS END SYNC'!C317="SHOW",MID('ASS END SYNC'!E317,Q313+1,S313-Q313+1),"")</f>
        <v/>
      </c>
      <c r="X313" s="23" t="str">
        <f>IF('ASS END SYNC'!C317="SHOW",MID('ASS END SYNC'!E317,S313+2,1000),"")</f>
        <v/>
      </c>
      <c r="Z313" s="24"/>
    </row>
    <row r="314" spans="1:26" x14ac:dyDescent="0.25">
      <c r="A314" s="26">
        <v>311</v>
      </c>
      <c r="B314" s="24" t="str">
        <f>IF('ASS START SYNC'!C318="SHOW",FIND(",",'ASS START SYNC'!E318,1),"")</f>
        <v/>
      </c>
      <c r="C314" s="24" t="str">
        <f>IF('ASS START SYNC'!C318="SHOW",FIND(",",'ASS START SYNC'!E318,B314+1),"")</f>
        <v/>
      </c>
      <c r="D314" s="24" t="str">
        <f>IF('ASS START SYNC'!C318="SHOW",FIND(",",'ASS START SYNC'!E318,C314+1),"")</f>
        <v/>
      </c>
      <c r="E314" s="25" t="str">
        <f>IF('ASS START SYNC'!C318="SHOW",FIND(",,",'ASS START SYNC'!E318,1),"")</f>
        <v/>
      </c>
      <c r="F314" s="25" t="str">
        <f>IF('ASS START SYNC'!C318="SHOW",FIND(",,",'ASS START SYNC'!E318,E314+1),"")</f>
        <v/>
      </c>
      <c r="G314" s="23" t="str">
        <f>IF('ASS START SYNC'!C318="SHOW",LEFT('ASS START SYNC'!E318,B314),"")</f>
        <v/>
      </c>
      <c r="H314" s="24" t="str">
        <f>IF(AND('ASS START SYNC'!C318="SHOW",COUNTA('ASS START SYNC'!$E$8:'ASS START SYNC'!E317)=0),MID('ASS START SYNC'!E318,B314+1,C314-B314-1),IF(AND('ASS START SYNC'!C318="SHOW",COUNTA('ASS START SYNC'!$E$8:'ASS START SYNC'!E317)&lt;&gt;0),I313,""))</f>
        <v/>
      </c>
      <c r="I314" s="24" t="str">
        <f>IF('ASS START SYNC'!C318="SHOW",MID('ASS START SYNC'!E318,C314+1,D314-C314-1),I313)</f>
        <v/>
      </c>
      <c r="J314" s="23" t="str">
        <f>IF('ASS START SYNC'!C318="SHOW",MID('ASS START SYNC'!E318,D314+1,F314-D314+1),"")</f>
        <v/>
      </c>
      <c r="K314" s="23" t="str">
        <f>IF('ASS START SYNC'!C318="SHOW",MID('ASS START SYNC'!E318,F314+2,1000),"")</f>
        <v/>
      </c>
      <c r="M314" s="24"/>
      <c r="N314" s="26">
        <v>311</v>
      </c>
      <c r="O314" s="24" t="str">
        <f>IF('ASS END SYNC'!C318="SHOW",FIND(",",'ASS END SYNC'!E318,1),"")</f>
        <v/>
      </c>
      <c r="P314" s="24" t="str">
        <f>IF('ASS END SYNC'!C318="SHOW",FIND(",",'ASS END SYNC'!E318,O314+1),"")</f>
        <v/>
      </c>
      <c r="Q314" s="24" t="str">
        <f>IF('ASS END SYNC'!C318="SHOW",FIND(",",'ASS END SYNC'!E318,P314+1),"")</f>
        <v/>
      </c>
      <c r="R314" s="25" t="str">
        <f>IF('ASS END SYNC'!C318="SHOW",FIND(",,",'ASS END SYNC'!E318,1),"")</f>
        <v/>
      </c>
      <c r="S314" s="25" t="str">
        <f>IF('ASS END SYNC'!C318="SHOW",FIND(",,",'ASS END SYNC'!E318,R314+1),"")</f>
        <v/>
      </c>
      <c r="T314" s="23" t="str">
        <f>IF('ASS END SYNC'!C318="SHOW",LEFT('ASS END SYNC'!E318,O314),"")</f>
        <v/>
      </c>
      <c r="U314" s="24" t="str">
        <f>IF('ASS END SYNC'!C318="SHOW",MID('ASS END SYNC'!E318,O314+1,P314-O314-1),"")</f>
        <v/>
      </c>
      <c r="V314" s="24" t="str">
        <f>IF(AND('ASS END SYNC'!C318="SHOW",'ASS END SYNC'!C319="SHOW"),U315,IF(AND('ASS END SYNC'!C318="SHOW",'ASS END SYNC'!C319&lt;&gt;"SHOW"),MID('ASS END SYNC'!E318,O314+1,P314-O314-1),""))</f>
        <v/>
      </c>
      <c r="W314" s="23" t="str">
        <f>IF('ASS END SYNC'!C318="SHOW",MID('ASS END SYNC'!E318,Q314+1,S314-Q314+1),"")</f>
        <v/>
      </c>
      <c r="X314" s="23" t="str">
        <f>IF('ASS END SYNC'!C318="SHOW",MID('ASS END SYNC'!E318,S314+2,1000),"")</f>
        <v/>
      </c>
      <c r="Z314" s="24"/>
    </row>
    <row r="315" spans="1:26" x14ac:dyDescent="0.25">
      <c r="A315" s="26">
        <v>312</v>
      </c>
      <c r="B315" s="24" t="str">
        <f>IF('ASS START SYNC'!C319="SHOW",FIND(",",'ASS START SYNC'!E319,1),"")</f>
        <v/>
      </c>
      <c r="C315" s="24" t="str">
        <f>IF('ASS START SYNC'!C319="SHOW",FIND(",",'ASS START SYNC'!E319,B315+1),"")</f>
        <v/>
      </c>
      <c r="D315" s="24" t="str">
        <f>IF('ASS START SYNC'!C319="SHOW",FIND(",",'ASS START SYNC'!E319,C315+1),"")</f>
        <v/>
      </c>
      <c r="E315" s="25" t="str">
        <f>IF('ASS START SYNC'!C319="SHOW",FIND(",,",'ASS START SYNC'!E319,1),"")</f>
        <v/>
      </c>
      <c r="F315" s="25" t="str">
        <f>IF('ASS START SYNC'!C319="SHOW",FIND(",,",'ASS START SYNC'!E319,E315+1),"")</f>
        <v/>
      </c>
      <c r="G315" s="23" t="str">
        <f>IF('ASS START SYNC'!C319="SHOW",LEFT('ASS START SYNC'!E319,B315),"")</f>
        <v/>
      </c>
      <c r="H315" s="24" t="str">
        <f>IF(AND('ASS START SYNC'!C319="SHOW",COUNTA('ASS START SYNC'!$E$8:'ASS START SYNC'!E318)=0),MID('ASS START SYNC'!E319,B315+1,C315-B315-1),IF(AND('ASS START SYNC'!C319="SHOW",COUNTA('ASS START SYNC'!$E$8:'ASS START SYNC'!E318)&lt;&gt;0),I314,""))</f>
        <v/>
      </c>
      <c r="I315" s="24" t="str">
        <f>IF('ASS START SYNC'!C319="SHOW",MID('ASS START SYNC'!E319,C315+1,D315-C315-1),I314)</f>
        <v/>
      </c>
      <c r="J315" s="23" t="str">
        <f>IF('ASS START SYNC'!C319="SHOW",MID('ASS START SYNC'!E319,D315+1,F315-D315+1),"")</f>
        <v/>
      </c>
      <c r="K315" s="23" t="str">
        <f>IF('ASS START SYNC'!C319="SHOW",MID('ASS START SYNC'!E319,F315+2,1000),"")</f>
        <v/>
      </c>
      <c r="M315" s="24"/>
      <c r="N315" s="26">
        <v>312</v>
      </c>
      <c r="O315" s="24" t="str">
        <f>IF('ASS END SYNC'!C319="SHOW",FIND(",",'ASS END SYNC'!E319,1),"")</f>
        <v/>
      </c>
      <c r="P315" s="24" t="str">
        <f>IF('ASS END SYNC'!C319="SHOW",FIND(",",'ASS END SYNC'!E319,O315+1),"")</f>
        <v/>
      </c>
      <c r="Q315" s="24" t="str">
        <f>IF('ASS END SYNC'!C319="SHOW",FIND(",",'ASS END SYNC'!E319,P315+1),"")</f>
        <v/>
      </c>
      <c r="R315" s="25" t="str">
        <f>IF('ASS END SYNC'!C319="SHOW",FIND(",,",'ASS END SYNC'!E319,1),"")</f>
        <v/>
      </c>
      <c r="S315" s="25" t="str">
        <f>IF('ASS END SYNC'!C319="SHOW",FIND(",,",'ASS END SYNC'!E319,R315+1),"")</f>
        <v/>
      </c>
      <c r="T315" s="23" t="str">
        <f>IF('ASS END SYNC'!C319="SHOW",LEFT('ASS END SYNC'!E319,O315),"")</f>
        <v/>
      </c>
      <c r="U315" s="24" t="str">
        <f>IF('ASS END SYNC'!C319="SHOW",MID('ASS END SYNC'!E319,O315+1,P315-O315-1),"")</f>
        <v/>
      </c>
      <c r="V315" s="24" t="str">
        <f>IF(AND('ASS END SYNC'!C319="SHOW",'ASS END SYNC'!C320="SHOW"),U316,IF(AND('ASS END SYNC'!C319="SHOW",'ASS END SYNC'!C320&lt;&gt;"SHOW"),MID('ASS END SYNC'!E319,O315+1,P315-O315-1),""))</f>
        <v/>
      </c>
      <c r="W315" s="23" t="str">
        <f>IF('ASS END SYNC'!C319="SHOW",MID('ASS END SYNC'!E319,Q315+1,S315-Q315+1),"")</f>
        <v/>
      </c>
      <c r="X315" s="23" t="str">
        <f>IF('ASS END SYNC'!C319="SHOW",MID('ASS END SYNC'!E319,S315+2,1000),"")</f>
        <v/>
      </c>
      <c r="Z315" s="24"/>
    </row>
    <row r="316" spans="1:26" x14ac:dyDescent="0.25">
      <c r="A316" s="26">
        <v>313</v>
      </c>
      <c r="B316" s="24" t="str">
        <f>IF('ASS START SYNC'!C320="SHOW",FIND(",",'ASS START SYNC'!E320,1),"")</f>
        <v/>
      </c>
      <c r="C316" s="24" t="str">
        <f>IF('ASS START SYNC'!C320="SHOW",FIND(",",'ASS START SYNC'!E320,B316+1),"")</f>
        <v/>
      </c>
      <c r="D316" s="24" t="str">
        <f>IF('ASS START SYNC'!C320="SHOW",FIND(",",'ASS START SYNC'!E320,C316+1),"")</f>
        <v/>
      </c>
      <c r="E316" s="25" t="str">
        <f>IF('ASS START SYNC'!C320="SHOW",FIND(",,",'ASS START SYNC'!E320,1),"")</f>
        <v/>
      </c>
      <c r="F316" s="25" t="str">
        <f>IF('ASS START SYNC'!C320="SHOW",FIND(",,",'ASS START SYNC'!E320,E316+1),"")</f>
        <v/>
      </c>
      <c r="G316" s="23" t="str">
        <f>IF('ASS START SYNC'!C320="SHOW",LEFT('ASS START SYNC'!E320,B316),"")</f>
        <v/>
      </c>
      <c r="H316" s="24" t="str">
        <f>IF(AND('ASS START SYNC'!C320="SHOW",COUNTA('ASS START SYNC'!$E$8:'ASS START SYNC'!E319)=0),MID('ASS START SYNC'!E320,B316+1,C316-B316-1),IF(AND('ASS START SYNC'!C320="SHOW",COUNTA('ASS START SYNC'!$E$8:'ASS START SYNC'!E319)&lt;&gt;0),I315,""))</f>
        <v/>
      </c>
      <c r="I316" s="24" t="str">
        <f>IF('ASS START SYNC'!C320="SHOW",MID('ASS START SYNC'!E320,C316+1,D316-C316-1),I315)</f>
        <v/>
      </c>
      <c r="J316" s="23" t="str">
        <f>IF('ASS START SYNC'!C320="SHOW",MID('ASS START SYNC'!E320,D316+1,F316-D316+1),"")</f>
        <v/>
      </c>
      <c r="K316" s="23" t="str">
        <f>IF('ASS START SYNC'!C320="SHOW",MID('ASS START SYNC'!E320,F316+2,1000),"")</f>
        <v/>
      </c>
      <c r="M316" s="24"/>
      <c r="N316" s="26">
        <v>313</v>
      </c>
      <c r="O316" s="24" t="str">
        <f>IF('ASS END SYNC'!C320="SHOW",FIND(",",'ASS END SYNC'!E320,1),"")</f>
        <v/>
      </c>
      <c r="P316" s="24" t="str">
        <f>IF('ASS END SYNC'!C320="SHOW",FIND(",",'ASS END SYNC'!E320,O316+1),"")</f>
        <v/>
      </c>
      <c r="Q316" s="24" t="str">
        <f>IF('ASS END SYNC'!C320="SHOW",FIND(",",'ASS END SYNC'!E320,P316+1),"")</f>
        <v/>
      </c>
      <c r="R316" s="25" t="str">
        <f>IF('ASS END SYNC'!C320="SHOW",FIND(",,",'ASS END SYNC'!E320,1),"")</f>
        <v/>
      </c>
      <c r="S316" s="25" t="str">
        <f>IF('ASS END SYNC'!C320="SHOW",FIND(",,",'ASS END SYNC'!E320,R316+1),"")</f>
        <v/>
      </c>
      <c r="T316" s="23" t="str">
        <f>IF('ASS END SYNC'!C320="SHOW",LEFT('ASS END SYNC'!E320,O316),"")</f>
        <v/>
      </c>
      <c r="U316" s="24" t="str">
        <f>IF('ASS END SYNC'!C320="SHOW",MID('ASS END SYNC'!E320,O316+1,P316-O316-1),"")</f>
        <v/>
      </c>
      <c r="V316" s="24" t="str">
        <f>IF(AND('ASS END SYNC'!C320="SHOW",'ASS END SYNC'!C321="SHOW"),U317,IF(AND('ASS END SYNC'!C320="SHOW",'ASS END SYNC'!C321&lt;&gt;"SHOW"),MID('ASS END SYNC'!E320,O316+1,P316-O316-1),""))</f>
        <v/>
      </c>
      <c r="W316" s="23" t="str">
        <f>IF('ASS END SYNC'!C320="SHOW",MID('ASS END SYNC'!E320,Q316+1,S316-Q316+1),"")</f>
        <v/>
      </c>
      <c r="X316" s="23" t="str">
        <f>IF('ASS END SYNC'!C320="SHOW",MID('ASS END SYNC'!E320,S316+2,1000),"")</f>
        <v/>
      </c>
      <c r="Z316" s="24"/>
    </row>
    <row r="317" spans="1:26" x14ac:dyDescent="0.25">
      <c r="A317" s="26">
        <v>314</v>
      </c>
      <c r="B317" s="24" t="str">
        <f>IF('ASS START SYNC'!C321="SHOW",FIND(",",'ASS START SYNC'!E321,1),"")</f>
        <v/>
      </c>
      <c r="C317" s="24" t="str">
        <f>IF('ASS START SYNC'!C321="SHOW",FIND(",",'ASS START SYNC'!E321,B317+1),"")</f>
        <v/>
      </c>
      <c r="D317" s="24" t="str">
        <f>IF('ASS START SYNC'!C321="SHOW",FIND(",",'ASS START SYNC'!E321,C317+1),"")</f>
        <v/>
      </c>
      <c r="E317" s="25" t="str">
        <f>IF('ASS START SYNC'!C321="SHOW",FIND(",,",'ASS START SYNC'!E321,1),"")</f>
        <v/>
      </c>
      <c r="F317" s="25" t="str">
        <f>IF('ASS START SYNC'!C321="SHOW",FIND(",,",'ASS START SYNC'!E321,E317+1),"")</f>
        <v/>
      </c>
      <c r="G317" s="23" t="str">
        <f>IF('ASS START SYNC'!C321="SHOW",LEFT('ASS START SYNC'!E321,B317),"")</f>
        <v/>
      </c>
      <c r="H317" s="24" t="str">
        <f>IF(AND('ASS START SYNC'!C321="SHOW",COUNTA('ASS START SYNC'!$E$8:'ASS START SYNC'!E320)=0),MID('ASS START SYNC'!E321,B317+1,C317-B317-1),IF(AND('ASS START SYNC'!C321="SHOW",COUNTA('ASS START SYNC'!$E$8:'ASS START SYNC'!E320)&lt;&gt;0),I316,""))</f>
        <v/>
      </c>
      <c r="I317" s="24" t="str">
        <f>IF('ASS START SYNC'!C321="SHOW",MID('ASS START SYNC'!E321,C317+1,D317-C317-1),I316)</f>
        <v/>
      </c>
      <c r="J317" s="23" t="str">
        <f>IF('ASS START SYNC'!C321="SHOW",MID('ASS START SYNC'!E321,D317+1,F317-D317+1),"")</f>
        <v/>
      </c>
      <c r="K317" s="23" t="str">
        <f>IF('ASS START SYNC'!C321="SHOW",MID('ASS START SYNC'!E321,F317+2,1000),"")</f>
        <v/>
      </c>
      <c r="M317" s="24"/>
      <c r="N317" s="26">
        <v>314</v>
      </c>
      <c r="O317" s="24" t="str">
        <f>IF('ASS END SYNC'!C321="SHOW",FIND(",",'ASS END SYNC'!E321,1),"")</f>
        <v/>
      </c>
      <c r="P317" s="24" t="str">
        <f>IF('ASS END SYNC'!C321="SHOW",FIND(",",'ASS END SYNC'!E321,O317+1),"")</f>
        <v/>
      </c>
      <c r="Q317" s="24" t="str">
        <f>IF('ASS END SYNC'!C321="SHOW",FIND(",",'ASS END SYNC'!E321,P317+1),"")</f>
        <v/>
      </c>
      <c r="R317" s="25" t="str">
        <f>IF('ASS END SYNC'!C321="SHOW",FIND(",,",'ASS END SYNC'!E321,1),"")</f>
        <v/>
      </c>
      <c r="S317" s="25" t="str">
        <f>IF('ASS END SYNC'!C321="SHOW",FIND(",,",'ASS END SYNC'!E321,R317+1),"")</f>
        <v/>
      </c>
      <c r="T317" s="23" t="str">
        <f>IF('ASS END SYNC'!C321="SHOW",LEFT('ASS END SYNC'!E321,O317),"")</f>
        <v/>
      </c>
      <c r="U317" s="24" t="str">
        <f>IF('ASS END SYNC'!C321="SHOW",MID('ASS END SYNC'!E321,O317+1,P317-O317-1),"")</f>
        <v/>
      </c>
      <c r="V317" s="24" t="str">
        <f>IF(AND('ASS END SYNC'!C321="SHOW",'ASS END SYNC'!C322="SHOW"),U318,IF(AND('ASS END SYNC'!C321="SHOW",'ASS END SYNC'!C322&lt;&gt;"SHOW"),MID('ASS END SYNC'!E321,O317+1,P317-O317-1),""))</f>
        <v/>
      </c>
      <c r="W317" s="23" t="str">
        <f>IF('ASS END SYNC'!C321="SHOW",MID('ASS END SYNC'!E321,Q317+1,S317-Q317+1),"")</f>
        <v/>
      </c>
      <c r="X317" s="23" t="str">
        <f>IF('ASS END SYNC'!C321="SHOW",MID('ASS END SYNC'!E321,S317+2,1000),"")</f>
        <v/>
      </c>
      <c r="Z317" s="24"/>
    </row>
    <row r="318" spans="1:26" x14ac:dyDescent="0.25">
      <c r="A318" s="26">
        <v>315</v>
      </c>
      <c r="B318" s="24" t="str">
        <f>IF('ASS START SYNC'!C322="SHOW",FIND(",",'ASS START SYNC'!E322,1),"")</f>
        <v/>
      </c>
      <c r="C318" s="24" t="str">
        <f>IF('ASS START SYNC'!C322="SHOW",FIND(",",'ASS START SYNC'!E322,B318+1),"")</f>
        <v/>
      </c>
      <c r="D318" s="24" t="str">
        <f>IF('ASS START SYNC'!C322="SHOW",FIND(",",'ASS START SYNC'!E322,C318+1),"")</f>
        <v/>
      </c>
      <c r="E318" s="25" t="str">
        <f>IF('ASS START SYNC'!C322="SHOW",FIND(",,",'ASS START SYNC'!E322,1),"")</f>
        <v/>
      </c>
      <c r="F318" s="25" t="str">
        <f>IF('ASS START SYNC'!C322="SHOW",FIND(",,",'ASS START SYNC'!E322,E318+1),"")</f>
        <v/>
      </c>
      <c r="G318" s="23" t="str">
        <f>IF('ASS START SYNC'!C322="SHOW",LEFT('ASS START SYNC'!E322,B318),"")</f>
        <v/>
      </c>
      <c r="H318" s="24" t="str">
        <f>IF(AND('ASS START SYNC'!C322="SHOW",COUNTA('ASS START SYNC'!$E$8:'ASS START SYNC'!E321)=0),MID('ASS START SYNC'!E322,B318+1,C318-B318-1),IF(AND('ASS START SYNC'!C322="SHOW",COUNTA('ASS START SYNC'!$E$8:'ASS START SYNC'!E321)&lt;&gt;0),I317,""))</f>
        <v/>
      </c>
      <c r="I318" s="24" t="str">
        <f>IF('ASS START SYNC'!C322="SHOW",MID('ASS START SYNC'!E322,C318+1,D318-C318-1),I317)</f>
        <v/>
      </c>
      <c r="J318" s="23" t="str">
        <f>IF('ASS START SYNC'!C322="SHOW",MID('ASS START SYNC'!E322,D318+1,F318-D318+1),"")</f>
        <v/>
      </c>
      <c r="K318" s="23" t="str">
        <f>IF('ASS START SYNC'!C322="SHOW",MID('ASS START SYNC'!E322,F318+2,1000),"")</f>
        <v/>
      </c>
      <c r="M318" s="24"/>
      <c r="N318" s="26">
        <v>315</v>
      </c>
      <c r="O318" s="24" t="str">
        <f>IF('ASS END SYNC'!C322="SHOW",FIND(",",'ASS END SYNC'!E322,1),"")</f>
        <v/>
      </c>
      <c r="P318" s="24" t="str">
        <f>IF('ASS END SYNC'!C322="SHOW",FIND(",",'ASS END SYNC'!E322,O318+1),"")</f>
        <v/>
      </c>
      <c r="Q318" s="24" t="str">
        <f>IF('ASS END SYNC'!C322="SHOW",FIND(",",'ASS END SYNC'!E322,P318+1),"")</f>
        <v/>
      </c>
      <c r="R318" s="25" t="str">
        <f>IF('ASS END SYNC'!C322="SHOW",FIND(",,",'ASS END SYNC'!E322,1),"")</f>
        <v/>
      </c>
      <c r="S318" s="25" t="str">
        <f>IF('ASS END SYNC'!C322="SHOW",FIND(",,",'ASS END SYNC'!E322,R318+1),"")</f>
        <v/>
      </c>
      <c r="T318" s="23" t="str">
        <f>IF('ASS END SYNC'!C322="SHOW",LEFT('ASS END SYNC'!E322,O318),"")</f>
        <v/>
      </c>
      <c r="U318" s="24" t="str">
        <f>IF('ASS END SYNC'!C322="SHOW",MID('ASS END SYNC'!E322,O318+1,P318-O318-1),"")</f>
        <v/>
      </c>
      <c r="V318" s="24" t="str">
        <f>IF(AND('ASS END SYNC'!C322="SHOW",'ASS END SYNC'!C323="SHOW"),U319,IF(AND('ASS END SYNC'!C322="SHOW",'ASS END SYNC'!C323&lt;&gt;"SHOW"),MID('ASS END SYNC'!E322,O318+1,P318-O318-1),""))</f>
        <v/>
      </c>
      <c r="W318" s="23" t="str">
        <f>IF('ASS END SYNC'!C322="SHOW",MID('ASS END SYNC'!E322,Q318+1,S318-Q318+1),"")</f>
        <v/>
      </c>
      <c r="X318" s="23" t="str">
        <f>IF('ASS END SYNC'!C322="SHOW",MID('ASS END SYNC'!E322,S318+2,1000),"")</f>
        <v/>
      </c>
      <c r="Z318" s="24"/>
    </row>
    <row r="319" spans="1:26" x14ac:dyDescent="0.25">
      <c r="A319" s="26">
        <v>316</v>
      </c>
      <c r="B319" s="24" t="str">
        <f>IF('ASS START SYNC'!C323="SHOW",FIND(",",'ASS START SYNC'!E323,1),"")</f>
        <v/>
      </c>
      <c r="C319" s="24" t="str">
        <f>IF('ASS START SYNC'!C323="SHOW",FIND(",",'ASS START SYNC'!E323,B319+1),"")</f>
        <v/>
      </c>
      <c r="D319" s="24" t="str">
        <f>IF('ASS START SYNC'!C323="SHOW",FIND(",",'ASS START SYNC'!E323,C319+1),"")</f>
        <v/>
      </c>
      <c r="E319" s="25" t="str">
        <f>IF('ASS START SYNC'!C323="SHOW",FIND(",,",'ASS START SYNC'!E323,1),"")</f>
        <v/>
      </c>
      <c r="F319" s="25" t="str">
        <f>IF('ASS START SYNC'!C323="SHOW",FIND(",,",'ASS START SYNC'!E323,E319+1),"")</f>
        <v/>
      </c>
      <c r="G319" s="23" t="str">
        <f>IF('ASS START SYNC'!C323="SHOW",LEFT('ASS START SYNC'!E323,B319),"")</f>
        <v/>
      </c>
      <c r="H319" s="24" t="str">
        <f>IF(AND('ASS START SYNC'!C323="SHOW",COUNTA('ASS START SYNC'!$E$8:'ASS START SYNC'!E322)=0),MID('ASS START SYNC'!E323,B319+1,C319-B319-1),IF(AND('ASS START SYNC'!C323="SHOW",COUNTA('ASS START SYNC'!$E$8:'ASS START SYNC'!E322)&lt;&gt;0),I318,""))</f>
        <v/>
      </c>
      <c r="I319" s="24" t="str">
        <f>IF('ASS START SYNC'!C323="SHOW",MID('ASS START SYNC'!E323,C319+1,D319-C319-1),I318)</f>
        <v/>
      </c>
      <c r="J319" s="23" t="str">
        <f>IF('ASS START SYNC'!C323="SHOW",MID('ASS START SYNC'!E323,D319+1,F319-D319+1),"")</f>
        <v/>
      </c>
      <c r="K319" s="23" t="str">
        <f>IF('ASS START SYNC'!C323="SHOW",MID('ASS START SYNC'!E323,F319+2,1000),"")</f>
        <v/>
      </c>
      <c r="M319" s="24"/>
      <c r="N319" s="26">
        <v>316</v>
      </c>
      <c r="O319" s="24" t="str">
        <f>IF('ASS END SYNC'!C323="SHOW",FIND(",",'ASS END SYNC'!E323,1),"")</f>
        <v/>
      </c>
      <c r="P319" s="24" t="str">
        <f>IF('ASS END SYNC'!C323="SHOW",FIND(",",'ASS END SYNC'!E323,O319+1),"")</f>
        <v/>
      </c>
      <c r="Q319" s="24" t="str">
        <f>IF('ASS END SYNC'!C323="SHOW",FIND(",",'ASS END SYNC'!E323,P319+1),"")</f>
        <v/>
      </c>
      <c r="R319" s="25" t="str">
        <f>IF('ASS END SYNC'!C323="SHOW",FIND(",,",'ASS END SYNC'!E323,1),"")</f>
        <v/>
      </c>
      <c r="S319" s="25" t="str">
        <f>IF('ASS END SYNC'!C323="SHOW",FIND(",,",'ASS END SYNC'!E323,R319+1),"")</f>
        <v/>
      </c>
      <c r="T319" s="23" t="str">
        <f>IF('ASS END SYNC'!C323="SHOW",LEFT('ASS END SYNC'!E323,O319),"")</f>
        <v/>
      </c>
      <c r="U319" s="24" t="str">
        <f>IF('ASS END SYNC'!C323="SHOW",MID('ASS END SYNC'!E323,O319+1,P319-O319-1),"")</f>
        <v/>
      </c>
      <c r="V319" s="24" t="str">
        <f>IF(AND('ASS END SYNC'!C323="SHOW",'ASS END SYNC'!C324="SHOW"),U320,IF(AND('ASS END SYNC'!C323="SHOW",'ASS END SYNC'!C324&lt;&gt;"SHOW"),MID('ASS END SYNC'!E323,O319+1,P319-O319-1),""))</f>
        <v/>
      </c>
      <c r="W319" s="23" t="str">
        <f>IF('ASS END SYNC'!C323="SHOW",MID('ASS END SYNC'!E323,Q319+1,S319-Q319+1),"")</f>
        <v/>
      </c>
      <c r="X319" s="23" t="str">
        <f>IF('ASS END SYNC'!C323="SHOW",MID('ASS END SYNC'!E323,S319+2,1000),"")</f>
        <v/>
      </c>
      <c r="Z319" s="24"/>
    </row>
    <row r="320" spans="1:26" x14ac:dyDescent="0.25">
      <c r="A320" s="26">
        <v>317</v>
      </c>
      <c r="B320" s="24" t="str">
        <f>IF('ASS START SYNC'!C324="SHOW",FIND(",",'ASS START SYNC'!E324,1),"")</f>
        <v/>
      </c>
      <c r="C320" s="24" t="str">
        <f>IF('ASS START SYNC'!C324="SHOW",FIND(",",'ASS START SYNC'!E324,B320+1),"")</f>
        <v/>
      </c>
      <c r="D320" s="24" t="str">
        <f>IF('ASS START SYNC'!C324="SHOW",FIND(",",'ASS START SYNC'!E324,C320+1),"")</f>
        <v/>
      </c>
      <c r="E320" s="25" t="str">
        <f>IF('ASS START SYNC'!C324="SHOW",FIND(",,",'ASS START SYNC'!E324,1),"")</f>
        <v/>
      </c>
      <c r="F320" s="25" t="str">
        <f>IF('ASS START SYNC'!C324="SHOW",FIND(",,",'ASS START SYNC'!E324,E320+1),"")</f>
        <v/>
      </c>
      <c r="G320" s="23" t="str">
        <f>IF('ASS START SYNC'!C324="SHOW",LEFT('ASS START SYNC'!E324,B320),"")</f>
        <v/>
      </c>
      <c r="H320" s="24" t="str">
        <f>IF(AND('ASS START SYNC'!C324="SHOW",COUNTA('ASS START SYNC'!$E$8:'ASS START SYNC'!E323)=0),MID('ASS START SYNC'!E324,B320+1,C320-B320-1),IF(AND('ASS START SYNC'!C324="SHOW",COUNTA('ASS START SYNC'!$E$8:'ASS START SYNC'!E323)&lt;&gt;0),I319,""))</f>
        <v/>
      </c>
      <c r="I320" s="24" t="str">
        <f>IF('ASS START SYNC'!C324="SHOW",MID('ASS START SYNC'!E324,C320+1,D320-C320-1),I319)</f>
        <v/>
      </c>
      <c r="J320" s="23" t="str">
        <f>IF('ASS START SYNC'!C324="SHOW",MID('ASS START SYNC'!E324,D320+1,F320-D320+1),"")</f>
        <v/>
      </c>
      <c r="K320" s="23" t="str">
        <f>IF('ASS START SYNC'!C324="SHOW",MID('ASS START SYNC'!E324,F320+2,1000),"")</f>
        <v/>
      </c>
      <c r="M320" s="24"/>
      <c r="N320" s="26">
        <v>317</v>
      </c>
      <c r="O320" s="24" t="str">
        <f>IF('ASS END SYNC'!C324="SHOW",FIND(",",'ASS END SYNC'!E324,1),"")</f>
        <v/>
      </c>
      <c r="P320" s="24" t="str">
        <f>IF('ASS END SYNC'!C324="SHOW",FIND(",",'ASS END SYNC'!E324,O320+1),"")</f>
        <v/>
      </c>
      <c r="Q320" s="24" t="str">
        <f>IF('ASS END SYNC'!C324="SHOW",FIND(",",'ASS END SYNC'!E324,P320+1),"")</f>
        <v/>
      </c>
      <c r="R320" s="25" t="str">
        <f>IF('ASS END SYNC'!C324="SHOW",FIND(",,",'ASS END SYNC'!E324,1),"")</f>
        <v/>
      </c>
      <c r="S320" s="25" t="str">
        <f>IF('ASS END SYNC'!C324="SHOW",FIND(",,",'ASS END SYNC'!E324,R320+1),"")</f>
        <v/>
      </c>
      <c r="T320" s="23" t="str">
        <f>IF('ASS END SYNC'!C324="SHOW",LEFT('ASS END SYNC'!E324,O320),"")</f>
        <v/>
      </c>
      <c r="U320" s="24" t="str">
        <f>IF('ASS END SYNC'!C324="SHOW",MID('ASS END SYNC'!E324,O320+1,P320-O320-1),"")</f>
        <v/>
      </c>
      <c r="V320" s="24" t="str">
        <f>IF(AND('ASS END SYNC'!C324="SHOW",'ASS END SYNC'!C325="SHOW"),U321,IF(AND('ASS END SYNC'!C324="SHOW",'ASS END SYNC'!C325&lt;&gt;"SHOW"),MID('ASS END SYNC'!E324,O320+1,P320-O320-1),""))</f>
        <v/>
      </c>
      <c r="W320" s="23" t="str">
        <f>IF('ASS END SYNC'!C324="SHOW",MID('ASS END SYNC'!E324,Q320+1,S320-Q320+1),"")</f>
        <v/>
      </c>
      <c r="X320" s="23" t="str">
        <f>IF('ASS END SYNC'!C324="SHOW",MID('ASS END SYNC'!E324,S320+2,1000),"")</f>
        <v/>
      </c>
      <c r="Z320" s="24"/>
    </row>
    <row r="321" spans="1:26" x14ac:dyDescent="0.25">
      <c r="A321" s="26">
        <v>318</v>
      </c>
      <c r="B321" s="24" t="str">
        <f>IF('ASS START SYNC'!C325="SHOW",FIND(",",'ASS START SYNC'!E325,1),"")</f>
        <v/>
      </c>
      <c r="C321" s="24" t="str">
        <f>IF('ASS START SYNC'!C325="SHOW",FIND(",",'ASS START SYNC'!E325,B321+1),"")</f>
        <v/>
      </c>
      <c r="D321" s="24" t="str">
        <f>IF('ASS START SYNC'!C325="SHOW",FIND(",",'ASS START SYNC'!E325,C321+1),"")</f>
        <v/>
      </c>
      <c r="E321" s="25" t="str">
        <f>IF('ASS START SYNC'!C325="SHOW",FIND(",,",'ASS START SYNC'!E325,1),"")</f>
        <v/>
      </c>
      <c r="F321" s="25" t="str">
        <f>IF('ASS START SYNC'!C325="SHOW",FIND(",,",'ASS START SYNC'!E325,E321+1),"")</f>
        <v/>
      </c>
      <c r="G321" s="23" t="str">
        <f>IF('ASS START SYNC'!C325="SHOW",LEFT('ASS START SYNC'!E325,B321),"")</f>
        <v/>
      </c>
      <c r="H321" s="24" t="str">
        <f>IF(AND('ASS START SYNC'!C325="SHOW",COUNTA('ASS START SYNC'!$E$8:'ASS START SYNC'!E324)=0),MID('ASS START SYNC'!E325,B321+1,C321-B321-1),IF(AND('ASS START SYNC'!C325="SHOW",COUNTA('ASS START SYNC'!$E$8:'ASS START SYNC'!E324)&lt;&gt;0),I320,""))</f>
        <v/>
      </c>
      <c r="I321" s="24" t="str">
        <f>IF('ASS START SYNC'!C325="SHOW",MID('ASS START SYNC'!E325,C321+1,D321-C321-1),I320)</f>
        <v/>
      </c>
      <c r="J321" s="23" t="str">
        <f>IF('ASS START SYNC'!C325="SHOW",MID('ASS START SYNC'!E325,D321+1,F321-D321+1),"")</f>
        <v/>
      </c>
      <c r="K321" s="23" t="str">
        <f>IF('ASS START SYNC'!C325="SHOW",MID('ASS START SYNC'!E325,F321+2,1000),"")</f>
        <v/>
      </c>
      <c r="M321" s="24"/>
      <c r="N321" s="26">
        <v>318</v>
      </c>
      <c r="O321" s="24" t="str">
        <f>IF('ASS END SYNC'!C325="SHOW",FIND(",",'ASS END SYNC'!E325,1),"")</f>
        <v/>
      </c>
      <c r="P321" s="24" t="str">
        <f>IF('ASS END SYNC'!C325="SHOW",FIND(",",'ASS END SYNC'!E325,O321+1),"")</f>
        <v/>
      </c>
      <c r="Q321" s="24" t="str">
        <f>IF('ASS END SYNC'!C325="SHOW",FIND(",",'ASS END SYNC'!E325,P321+1),"")</f>
        <v/>
      </c>
      <c r="R321" s="25" t="str">
        <f>IF('ASS END SYNC'!C325="SHOW",FIND(",,",'ASS END SYNC'!E325,1),"")</f>
        <v/>
      </c>
      <c r="S321" s="25" t="str">
        <f>IF('ASS END SYNC'!C325="SHOW",FIND(",,",'ASS END SYNC'!E325,R321+1),"")</f>
        <v/>
      </c>
      <c r="T321" s="23" t="str">
        <f>IF('ASS END SYNC'!C325="SHOW",LEFT('ASS END SYNC'!E325,O321),"")</f>
        <v/>
      </c>
      <c r="U321" s="24" t="str">
        <f>IF('ASS END SYNC'!C325="SHOW",MID('ASS END SYNC'!E325,O321+1,P321-O321-1),"")</f>
        <v/>
      </c>
      <c r="V321" s="24" t="str">
        <f>IF(AND('ASS END SYNC'!C325="SHOW",'ASS END SYNC'!C326="SHOW"),U322,IF(AND('ASS END SYNC'!C325="SHOW",'ASS END SYNC'!C326&lt;&gt;"SHOW"),MID('ASS END SYNC'!E325,O321+1,P321-O321-1),""))</f>
        <v/>
      </c>
      <c r="W321" s="23" t="str">
        <f>IF('ASS END SYNC'!C325="SHOW",MID('ASS END SYNC'!E325,Q321+1,S321-Q321+1),"")</f>
        <v/>
      </c>
      <c r="X321" s="23" t="str">
        <f>IF('ASS END SYNC'!C325="SHOW",MID('ASS END SYNC'!E325,S321+2,1000),"")</f>
        <v/>
      </c>
      <c r="Z321" s="24"/>
    </row>
    <row r="322" spans="1:26" x14ac:dyDescent="0.25">
      <c r="A322" s="26">
        <v>319</v>
      </c>
      <c r="B322" s="24" t="str">
        <f>IF('ASS START SYNC'!C326="SHOW",FIND(",",'ASS START SYNC'!E326,1),"")</f>
        <v/>
      </c>
      <c r="C322" s="24" t="str">
        <f>IF('ASS START SYNC'!C326="SHOW",FIND(",",'ASS START SYNC'!E326,B322+1),"")</f>
        <v/>
      </c>
      <c r="D322" s="24" t="str">
        <f>IF('ASS START SYNC'!C326="SHOW",FIND(",",'ASS START SYNC'!E326,C322+1),"")</f>
        <v/>
      </c>
      <c r="E322" s="25" t="str">
        <f>IF('ASS START SYNC'!C326="SHOW",FIND(",,",'ASS START SYNC'!E326,1),"")</f>
        <v/>
      </c>
      <c r="F322" s="25" t="str">
        <f>IF('ASS START SYNC'!C326="SHOW",FIND(",,",'ASS START SYNC'!E326,E322+1),"")</f>
        <v/>
      </c>
      <c r="G322" s="23" t="str">
        <f>IF('ASS START SYNC'!C326="SHOW",LEFT('ASS START SYNC'!E326,B322),"")</f>
        <v/>
      </c>
      <c r="H322" s="24" t="str">
        <f>IF(AND('ASS START SYNC'!C326="SHOW",COUNTA('ASS START SYNC'!$E$8:'ASS START SYNC'!E325)=0),MID('ASS START SYNC'!E326,B322+1,C322-B322-1),IF(AND('ASS START SYNC'!C326="SHOW",COUNTA('ASS START SYNC'!$E$8:'ASS START SYNC'!E325)&lt;&gt;0),I321,""))</f>
        <v/>
      </c>
      <c r="I322" s="24" t="str">
        <f>IF('ASS START SYNC'!C326="SHOW",MID('ASS START SYNC'!E326,C322+1,D322-C322-1),I321)</f>
        <v/>
      </c>
      <c r="J322" s="23" t="str">
        <f>IF('ASS START SYNC'!C326="SHOW",MID('ASS START SYNC'!E326,D322+1,F322-D322+1),"")</f>
        <v/>
      </c>
      <c r="K322" s="23" t="str">
        <f>IF('ASS START SYNC'!C326="SHOW",MID('ASS START SYNC'!E326,F322+2,1000),"")</f>
        <v/>
      </c>
      <c r="M322" s="24"/>
      <c r="N322" s="26">
        <v>319</v>
      </c>
      <c r="O322" s="24" t="str">
        <f>IF('ASS END SYNC'!C326="SHOW",FIND(",",'ASS END SYNC'!E326,1),"")</f>
        <v/>
      </c>
      <c r="P322" s="24" t="str">
        <f>IF('ASS END SYNC'!C326="SHOW",FIND(",",'ASS END SYNC'!E326,O322+1),"")</f>
        <v/>
      </c>
      <c r="Q322" s="24" t="str">
        <f>IF('ASS END SYNC'!C326="SHOW",FIND(",",'ASS END SYNC'!E326,P322+1),"")</f>
        <v/>
      </c>
      <c r="R322" s="25" t="str">
        <f>IF('ASS END SYNC'!C326="SHOW",FIND(",,",'ASS END SYNC'!E326,1),"")</f>
        <v/>
      </c>
      <c r="S322" s="25" t="str">
        <f>IF('ASS END SYNC'!C326="SHOW",FIND(",,",'ASS END SYNC'!E326,R322+1),"")</f>
        <v/>
      </c>
      <c r="T322" s="23" t="str">
        <f>IF('ASS END SYNC'!C326="SHOW",LEFT('ASS END SYNC'!E326,O322),"")</f>
        <v/>
      </c>
      <c r="U322" s="24" t="str">
        <f>IF('ASS END SYNC'!C326="SHOW",MID('ASS END SYNC'!E326,O322+1,P322-O322-1),"")</f>
        <v/>
      </c>
      <c r="V322" s="24" t="str">
        <f>IF(AND('ASS END SYNC'!C326="SHOW",'ASS END SYNC'!C327="SHOW"),U323,IF(AND('ASS END SYNC'!C326="SHOW",'ASS END SYNC'!C327&lt;&gt;"SHOW"),MID('ASS END SYNC'!E326,O322+1,P322-O322-1),""))</f>
        <v/>
      </c>
      <c r="W322" s="23" t="str">
        <f>IF('ASS END SYNC'!C326="SHOW",MID('ASS END SYNC'!E326,Q322+1,S322-Q322+1),"")</f>
        <v/>
      </c>
      <c r="X322" s="23" t="str">
        <f>IF('ASS END SYNC'!C326="SHOW",MID('ASS END SYNC'!E326,S322+2,1000),"")</f>
        <v/>
      </c>
      <c r="Z322" s="24"/>
    </row>
    <row r="323" spans="1:26" x14ac:dyDescent="0.25">
      <c r="A323" s="26">
        <v>320</v>
      </c>
      <c r="B323" s="24" t="str">
        <f>IF('ASS START SYNC'!C327="SHOW",FIND(",",'ASS START SYNC'!E327,1),"")</f>
        <v/>
      </c>
      <c r="C323" s="24" t="str">
        <f>IF('ASS START SYNC'!C327="SHOW",FIND(",",'ASS START SYNC'!E327,B323+1),"")</f>
        <v/>
      </c>
      <c r="D323" s="24" t="str">
        <f>IF('ASS START SYNC'!C327="SHOW",FIND(",",'ASS START SYNC'!E327,C323+1),"")</f>
        <v/>
      </c>
      <c r="E323" s="25" t="str">
        <f>IF('ASS START SYNC'!C327="SHOW",FIND(",,",'ASS START SYNC'!E327,1),"")</f>
        <v/>
      </c>
      <c r="F323" s="25" t="str">
        <f>IF('ASS START SYNC'!C327="SHOW",FIND(",,",'ASS START SYNC'!E327,E323+1),"")</f>
        <v/>
      </c>
      <c r="G323" s="23" t="str">
        <f>IF('ASS START SYNC'!C327="SHOW",LEFT('ASS START SYNC'!E327,B323),"")</f>
        <v/>
      </c>
      <c r="H323" s="24" t="str">
        <f>IF(AND('ASS START SYNC'!C327="SHOW",COUNTA('ASS START SYNC'!$E$8:'ASS START SYNC'!E326)=0),MID('ASS START SYNC'!E327,B323+1,C323-B323-1),IF(AND('ASS START SYNC'!C327="SHOW",COUNTA('ASS START SYNC'!$E$8:'ASS START SYNC'!E326)&lt;&gt;0),I322,""))</f>
        <v/>
      </c>
      <c r="I323" s="24" t="str">
        <f>IF('ASS START SYNC'!C327="SHOW",MID('ASS START SYNC'!E327,C323+1,D323-C323-1),I322)</f>
        <v/>
      </c>
      <c r="J323" s="23" t="str">
        <f>IF('ASS START SYNC'!C327="SHOW",MID('ASS START SYNC'!E327,D323+1,F323-D323+1),"")</f>
        <v/>
      </c>
      <c r="K323" s="23" t="str">
        <f>IF('ASS START SYNC'!C327="SHOW",MID('ASS START SYNC'!E327,F323+2,1000),"")</f>
        <v/>
      </c>
      <c r="M323" s="24"/>
      <c r="N323" s="26">
        <v>320</v>
      </c>
      <c r="O323" s="24" t="str">
        <f>IF('ASS END SYNC'!C327="SHOW",FIND(",",'ASS END SYNC'!E327,1),"")</f>
        <v/>
      </c>
      <c r="P323" s="24" t="str">
        <f>IF('ASS END SYNC'!C327="SHOW",FIND(",",'ASS END SYNC'!E327,O323+1),"")</f>
        <v/>
      </c>
      <c r="Q323" s="24" t="str">
        <f>IF('ASS END SYNC'!C327="SHOW",FIND(",",'ASS END SYNC'!E327,P323+1),"")</f>
        <v/>
      </c>
      <c r="R323" s="25" t="str">
        <f>IF('ASS END SYNC'!C327="SHOW",FIND(",,",'ASS END SYNC'!E327,1),"")</f>
        <v/>
      </c>
      <c r="S323" s="25" t="str">
        <f>IF('ASS END SYNC'!C327="SHOW",FIND(",,",'ASS END SYNC'!E327,R323+1),"")</f>
        <v/>
      </c>
      <c r="T323" s="23" t="str">
        <f>IF('ASS END SYNC'!C327="SHOW",LEFT('ASS END SYNC'!E327,O323),"")</f>
        <v/>
      </c>
      <c r="U323" s="24" t="str">
        <f>IF('ASS END SYNC'!C327="SHOW",MID('ASS END SYNC'!E327,O323+1,P323-O323-1),"")</f>
        <v/>
      </c>
      <c r="V323" s="24" t="str">
        <f>IF(AND('ASS END SYNC'!C327="SHOW",'ASS END SYNC'!C328="SHOW"),U324,IF(AND('ASS END SYNC'!C327="SHOW",'ASS END SYNC'!C328&lt;&gt;"SHOW"),MID('ASS END SYNC'!E327,O323+1,P323-O323-1),""))</f>
        <v/>
      </c>
      <c r="W323" s="23" t="str">
        <f>IF('ASS END SYNC'!C327="SHOW",MID('ASS END SYNC'!E327,Q323+1,S323-Q323+1),"")</f>
        <v/>
      </c>
      <c r="X323" s="23" t="str">
        <f>IF('ASS END SYNC'!C327="SHOW",MID('ASS END SYNC'!E327,S323+2,1000),"")</f>
        <v/>
      </c>
      <c r="Z323" s="24"/>
    </row>
    <row r="324" spans="1:26" x14ac:dyDescent="0.25">
      <c r="A324" s="26">
        <v>321</v>
      </c>
      <c r="B324" s="24" t="str">
        <f>IF('ASS START SYNC'!C328="SHOW",FIND(",",'ASS START SYNC'!E328,1),"")</f>
        <v/>
      </c>
      <c r="C324" s="24" t="str">
        <f>IF('ASS START SYNC'!C328="SHOW",FIND(",",'ASS START SYNC'!E328,B324+1),"")</f>
        <v/>
      </c>
      <c r="D324" s="24" t="str">
        <f>IF('ASS START SYNC'!C328="SHOW",FIND(",",'ASS START SYNC'!E328,C324+1),"")</f>
        <v/>
      </c>
      <c r="E324" s="25" t="str">
        <f>IF('ASS START SYNC'!C328="SHOW",FIND(",,",'ASS START SYNC'!E328,1),"")</f>
        <v/>
      </c>
      <c r="F324" s="25" t="str">
        <f>IF('ASS START SYNC'!C328="SHOW",FIND(",,",'ASS START SYNC'!E328,E324+1),"")</f>
        <v/>
      </c>
      <c r="G324" s="23" t="str">
        <f>IF('ASS START SYNC'!C328="SHOW",LEFT('ASS START SYNC'!E328,B324),"")</f>
        <v/>
      </c>
      <c r="H324" s="24" t="str">
        <f>IF(AND('ASS START SYNC'!C328="SHOW",COUNTA('ASS START SYNC'!$E$8:'ASS START SYNC'!E327)=0),MID('ASS START SYNC'!E328,B324+1,C324-B324-1),IF(AND('ASS START SYNC'!C328="SHOW",COUNTA('ASS START SYNC'!$E$8:'ASS START SYNC'!E327)&lt;&gt;0),I323,""))</f>
        <v/>
      </c>
      <c r="I324" s="24" t="str">
        <f>IF('ASS START SYNC'!C328="SHOW",MID('ASS START SYNC'!E328,C324+1,D324-C324-1),I323)</f>
        <v/>
      </c>
      <c r="J324" s="23" t="str">
        <f>IF('ASS START SYNC'!C328="SHOW",MID('ASS START SYNC'!E328,D324+1,F324-D324+1),"")</f>
        <v/>
      </c>
      <c r="K324" s="23" t="str">
        <f>IF('ASS START SYNC'!C328="SHOW",MID('ASS START SYNC'!E328,F324+2,1000),"")</f>
        <v/>
      </c>
      <c r="M324" s="24"/>
      <c r="N324" s="26">
        <v>321</v>
      </c>
      <c r="O324" s="24" t="str">
        <f>IF('ASS END SYNC'!C328="SHOW",FIND(",",'ASS END SYNC'!E328,1),"")</f>
        <v/>
      </c>
      <c r="P324" s="24" t="str">
        <f>IF('ASS END SYNC'!C328="SHOW",FIND(",",'ASS END SYNC'!E328,O324+1),"")</f>
        <v/>
      </c>
      <c r="Q324" s="24" t="str">
        <f>IF('ASS END SYNC'!C328="SHOW",FIND(",",'ASS END SYNC'!E328,P324+1),"")</f>
        <v/>
      </c>
      <c r="R324" s="25" t="str">
        <f>IF('ASS END SYNC'!C328="SHOW",FIND(",,",'ASS END SYNC'!E328,1),"")</f>
        <v/>
      </c>
      <c r="S324" s="25" t="str">
        <f>IF('ASS END SYNC'!C328="SHOW",FIND(",,",'ASS END SYNC'!E328,R324+1),"")</f>
        <v/>
      </c>
      <c r="T324" s="23" t="str">
        <f>IF('ASS END SYNC'!C328="SHOW",LEFT('ASS END SYNC'!E328,O324),"")</f>
        <v/>
      </c>
      <c r="U324" s="24" t="str">
        <f>IF('ASS END SYNC'!C328="SHOW",MID('ASS END SYNC'!E328,O324+1,P324-O324-1),"")</f>
        <v/>
      </c>
      <c r="V324" s="24" t="str">
        <f>IF(AND('ASS END SYNC'!C328="SHOW",'ASS END SYNC'!C329="SHOW"),U325,IF(AND('ASS END SYNC'!C328="SHOW",'ASS END SYNC'!C329&lt;&gt;"SHOW"),MID('ASS END SYNC'!E328,O324+1,P324-O324-1),""))</f>
        <v/>
      </c>
      <c r="W324" s="23" t="str">
        <f>IF('ASS END SYNC'!C328="SHOW",MID('ASS END SYNC'!E328,Q324+1,S324-Q324+1),"")</f>
        <v/>
      </c>
      <c r="X324" s="23" t="str">
        <f>IF('ASS END SYNC'!C328="SHOW",MID('ASS END SYNC'!E328,S324+2,1000),"")</f>
        <v/>
      </c>
      <c r="Z324" s="24"/>
    </row>
    <row r="325" spans="1:26" x14ac:dyDescent="0.25">
      <c r="A325" s="26">
        <v>322</v>
      </c>
      <c r="B325" s="24" t="str">
        <f>IF('ASS START SYNC'!C329="SHOW",FIND(",",'ASS START SYNC'!E329,1),"")</f>
        <v/>
      </c>
      <c r="C325" s="24" t="str">
        <f>IF('ASS START SYNC'!C329="SHOW",FIND(",",'ASS START SYNC'!E329,B325+1),"")</f>
        <v/>
      </c>
      <c r="D325" s="24" t="str">
        <f>IF('ASS START SYNC'!C329="SHOW",FIND(",",'ASS START SYNC'!E329,C325+1),"")</f>
        <v/>
      </c>
      <c r="E325" s="25" t="str">
        <f>IF('ASS START SYNC'!C329="SHOW",FIND(",,",'ASS START SYNC'!E329,1),"")</f>
        <v/>
      </c>
      <c r="F325" s="25" t="str">
        <f>IF('ASS START SYNC'!C329="SHOW",FIND(",,",'ASS START SYNC'!E329,E325+1),"")</f>
        <v/>
      </c>
      <c r="G325" s="23" t="str">
        <f>IF('ASS START SYNC'!C329="SHOW",LEFT('ASS START SYNC'!E329,B325),"")</f>
        <v/>
      </c>
      <c r="H325" s="24" t="str">
        <f>IF(AND('ASS START SYNC'!C329="SHOW",COUNTA('ASS START SYNC'!$E$8:'ASS START SYNC'!E328)=0),MID('ASS START SYNC'!E329,B325+1,C325-B325-1),IF(AND('ASS START SYNC'!C329="SHOW",COUNTA('ASS START SYNC'!$E$8:'ASS START SYNC'!E328)&lt;&gt;0),I324,""))</f>
        <v/>
      </c>
      <c r="I325" s="24" t="str">
        <f>IF('ASS START SYNC'!C329="SHOW",MID('ASS START SYNC'!E329,C325+1,D325-C325-1),I324)</f>
        <v/>
      </c>
      <c r="J325" s="23" t="str">
        <f>IF('ASS START SYNC'!C329="SHOW",MID('ASS START SYNC'!E329,D325+1,F325-D325+1),"")</f>
        <v/>
      </c>
      <c r="K325" s="23" t="str">
        <f>IF('ASS START SYNC'!C329="SHOW",MID('ASS START SYNC'!E329,F325+2,1000),"")</f>
        <v/>
      </c>
      <c r="M325" s="24"/>
      <c r="N325" s="26">
        <v>322</v>
      </c>
      <c r="O325" s="24" t="str">
        <f>IF('ASS END SYNC'!C329="SHOW",FIND(",",'ASS END SYNC'!E329,1),"")</f>
        <v/>
      </c>
      <c r="P325" s="24" t="str">
        <f>IF('ASS END SYNC'!C329="SHOW",FIND(",",'ASS END SYNC'!E329,O325+1),"")</f>
        <v/>
      </c>
      <c r="Q325" s="24" t="str">
        <f>IF('ASS END SYNC'!C329="SHOW",FIND(",",'ASS END SYNC'!E329,P325+1),"")</f>
        <v/>
      </c>
      <c r="R325" s="25" t="str">
        <f>IF('ASS END SYNC'!C329="SHOW",FIND(",,",'ASS END SYNC'!E329,1),"")</f>
        <v/>
      </c>
      <c r="S325" s="25" t="str">
        <f>IF('ASS END SYNC'!C329="SHOW",FIND(",,",'ASS END SYNC'!E329,R325+1),"")</f>
        <v/>
      </c>
      <c r="T325" s="23" t="str">
        <f>IF('ASS END SYNC'!C329="SHOW",LEFT('ASS END SYNC'!E329,O325),"")</f>
        <v/>
      </c>
      <c r="U325" s="24" t="str">
        <f>IF('ASS END SYNC'!C329="SHOW",MID('ASS END SYNC'!E329,O325+1,P325-O325-1),"")</f>
        <v/>
      </c>
      <c r="V325" s="24" t="str">
        <f>IF(AND('ASS END SYNC'!C329="SHOW",'ASS END SYNC'!C330="SHOW"),U326,IF(AND('ASS END SYNC'!C329="SHOW",'ASS END SYNC'!C330&lt;&gt;"SHOW"),MID('ASS END SYNC'!E329,O325+1,P325-O325-1),""))</f>
        <v/>
      </c>
      <c r="W325" s="23" t="str">
        <f>IF('ASS END SYNC'!C329="SHOW",MID('ASS END SYNC'!E329,Q325+1,S325-Q325+1),"")</f>
        <v/>
      </c>
      <c r="X325" s="23" t="str">
        <f>IF('ASS END SYNC'!C329="SHOW",MID('ASS END SYNC'!E329,S325+2,1000),"")</f>
        <v/>
      </c>
      <c r="Z325" s="24"/>
    </row>
    <row r="326" spans="1:26" x14ac:dyDescent="0.25">
      <c r="A326" s="26">
        <v>323</v>
      </c>
      <c r="B326" s="24" t="str">
        <f>IF('ASS START SYNC'!C330="SHOW",FIND(",",'ASS START SYNC'!E330,1),"")</f>
        <v/>
      </c>
      <c r="C326" s="24" t="str">
        <f>IF('ASS START SYNC'!C330="SHOW",FIND(",",'ASS START SYNC'!E330,B326+1),"")</f>
        <v/>
      </c>
      <c r="D326" s="24" t="str">
        <f>IF('ASS START SYNC'!C330="SHOW",FIND(",",'ASS START SYNC'!E330,C326+1),"")</f>
        <v/>
      </c>
      <c r="E326" s="25" t="str">
        <f>IF('ASS START SYNC'!C330="SHOW",FIND(",,",'ASS START SYNC'!E330,1),"")</f>
        <v/>
      </c>
      <c r="F326" s="25" t="str">
        <f>IF('ASS START SYNC'!C330="SHOW",FIND(",,",'ASS START SYNC'!E330,E326+1),"")</f>
        <v/>
      </c>
      <c r="G326" s="23" t="str">
        <f>IF('ASS START SYNC'!C330="SHOW",LEFT('ASS START SYNC'!E330,B326),"")</f>
        <v/>
      </c>
      <c r="H326" s="24" t="str">
        <f>IF(AND('ASS START SYNC'!C330="SHOW",COUNTA('ASS START SYNC'!$E$8:'ASS START SYNC'!E329)=0),MID('ASS START SYNC'!E330,B326+1,C326-B326-1),IF(AND('ASS START SYNC'!C330="SHOW",COUNTA('ASS START SYNC'!$E$8:'ASS START SYNC'!E329)&lt;&gt;0),I325,""))</f>
        <v/>
      </c>
      <c r="I326" s="24" t="str">
        <f>IF('ASS START SYNC'!C330="SHOW",MID('ASS START SYNC'!E330,C326+1,D326-C326-1),I325)</f>
        <v/>
      </c>
      <c r="J326" s="23" t="str">
        <f>IF('ASS START SYNC'!C330="SHOW",MID('ASS START SYNC'!E330,D326+1,F326-D326+1),"")</f>
        <v/>
      </c>
      <c r="K326" s="23" t="str">
        <f>IF('ASS START SYNC'!C330="SHOW",MID('ASS START SYNC'!E330,F326+2,1000),"")</f>
        <v/>
      </c>
      <c r="M326" s="24"/>
      <c r="N326" s="26">
        <v>323</v>
      </c>
      <c r="O326" s="24" t="str">
        <f>IF('ASS END SYNC'!C330="SHOW",FIND(",",'ASS END SYNC'!E330,1),"")</f>
        <v/>
      </c>
      <c r="P326" s="24" t="str">
        <f>IF('ASS END SYNC'!C330="SHOW",FIND(",",'ASS END SYNC'!E330,O326+1),"")</f>
        <v/>
      </c>
      <c r="Q326" s="24" t="str">
        <f>IF('ASS END SYNC'!C330="SHOW",FIND(",",'ASS END SYNC'!E330,P326+1),"")</f>
        <v/>
      </c>
      <c r="R326" s="25" t="str">
        <f>IF('ASS END SYNC'!C330="SHOW",FIND(",,",'ASS END SYNC'!E330,1),"")</f>
        <v/>
      </c>
      <c r="S326" s="25" t="str">
        <f>IF('ASS END SYNC'!C330="SHOW",FIND(",,",'ASS END SYNC'!E330,R326+1),"")</f>
        <v/>
      </c>
      <c r="T326" s="23" t="str">
        <f>IF('ASS END SYNC'!C330="SHOW",LEFT('ASS END SYNC'!E330,O326),"")</f>
        <v/>
      </c>
      <c r="U326" s="24" t="str">
        <f>IF('ASS END SYNC'!C330="SHOW",MID('ASS END SYNC'!E330,O326+1,P326-O326-1),"")</f>
        <v/>
      </c>
      <c r="V326" s="24" t="str">
        <f>IF(AND('ASS END SYNC'!C330="SHOW",'ASS END SYNC'!C331="SHOW"),U327,IF(AND('ASS END SYNC'!C330="SHOW",'ASS END SYNC'!C331&lt;&gt;"SHOW"),MID('ASS END SYNC'!E330,O326+1,P326-O326-1),""))</f>
        <v/>
      </c>
      <c r="W326" s="23" t="str">
        <f>IF('ASS END SYNC'!C330="SHOW",MID('ASS END SYNC'!E330,Q326+1,S326-Q326+1),"")</f>
        <v/>
      </c>
      <c r="X326" s="23" t="str">
        <f>IF('ASS END SYNC'!C330="SHOW",MID('ASS END SYNC'!E330,S326+2,1000),"")</f>
        <v/>
      </c>
      <c r="Z326" s="24"/>
    </row>
    <row r="327" spans="1:26" x14ac:dyDescent="0.25">
      <c r="A327" s="26">
        <v>324</v>
      </c>
      <c r="B327" s="24" t="str">
        <f>IF('ASS START SYNC'!C331="SHOW",FIND(",",'ASS START SYNC'!E331,1),"")</f>
        <v/>
      </c>
      <c r="C327" s="24" t="str">
        <f>IF('ASS START SYNC'!C331="SHOW",FIND(",",'ASS START SYNC'!E331,B327+1),"")</f>
        <v/>
      </c>
      <c r="D327" s="24" t="str">
        <f>IF('ASS START SYNC'!C331="SHOW",FIND(",",'ASS START SYNC'!E331,C327+1),"")</f>
        <v/>
      </c>
      <c r="E327" s="25" t="str">
        <f>IF('ASS START SYNC'!C331="SHOW",FIND(",,",'ASS START SYNC'!E331,1),"")</f>
        <v/>
      </c>
      <c r="F327" s="25" t="str">
        <f>IF('ASS START SYNC'!C331="SHOW",FIND(",,",'ASS START SYNC'!E331,E327+1),"")</f>
        <v/>
      </c>
      <c r="G327" s="23" t="str">
        <f>IF('ASS START SYNC'!C331="SHOW",LEFT('ASS START SYNC'!E331,B327),"")</f>
        <v/>
      </c>
      <c r="H327" s="24" t="str">
        <f>IF(AND('ASS START SYNC'!C331="SHOW",COUNTA('ASS START SYNC'!$E$8:'ASS START SYNC'!E330)=0),MID('ASS START SYNC'!E331,B327+1,C327-B327-1),IF(AND('ASS START SYNC'!C331="SHOW",COUNTA('ASS START SYNC'!$E$8:'ASS START SYNC'!E330)&lt;&gt;0),I326,""))</f>
        <v/>
      </c>
      <c r="I327" s="24" t="str">
        <f>IF('ASS START SYNC'!C331="SHOW",MID('ASS START SYNC'!E331,C327+1,D327-C327-1),I326)</f>
        <v/>
      </c>
      <c r="J327" s="23" t="str">
        <f>IF('ASS START SYNC'!C331="SHOW",MID('ASS START SYNC'!E331,D327+1,F327-D327+1),"")</f>
        <v/>
      </c>
      <c r="K327" s="23" t="str">
        <f>IF('ASS START SYNC'!C331="SHOW",MID('ASS START SYNC'!E331,F327+2,1000),"")</f>
        <v/>
      </c>
      <c r="M327" s="24"/>
      <c r="N327" s="26">
        <v>324</v>
      </c>
      <c r="O327" s="24" t="str">
        <f>IF('ASS END SYNC'!C331="SHOW",FIND(",",'ASS END SYNC'!E331,1),"")</f>
        <v/>
      </c>
      <c r="P327" s="24" t="str">
        <f>IF('ASS END SYNC'!C331="SHOW",FIND(",",'ASS END SYNC'!E331,O327+1),"")</f>
        <v/>
      </c>
      <c r="Q327" s="24" t="str">
        <f>IF('ASS END SYNC'!C331="SHOW",FIND(",",'ASS END SYNC'!E331,P327+1),"")</f>
        <v/>
      </c>
      <c r="R327" s="25" t="str">
        <f>IF('ASS END SYNC'!C331="SHOW",FIND(",,",'ASS END SYNC'!E331,1),"")</f>
        <v/>
      </c>
      <c r="S327" s="25" t="str">
        <f>IF('ASS END SYNC'!C331="SHOW",FIND(",,",'ASS END SYNC'!E331,R327+1),"")</f>
        <v/>
      </c>
      <c r="T327" s="23" t="str">
        <f>IF('ASS END SYNC'!C331="SHOW",LEFT('ASS END SYNC'!E331,O327),"")</f>
        <v/>
      </c>
      <c r="U327" s="24" t="str">
        <f>IF('ASS END SYNC'!C331="SHOW",MID('ASS END SYNC'!E331,O327+1,P327-O327-1),"")</f>
        <v/>
      </c>
      <c r="V327" s="24" t="str">
        <f>IF(AND('ASS END SYNC'!C331="SHOW",'ASS END SYNC'!C332="SHOW"),U328,IF(AND('ASS END SYNC'!C331="SHOW",'ASS END SYNC'!C332&lt;&gt;"SHOW"),MID('ASS END SYNC'!E331,O327+1,P327-O327-1),""))</f>
        <v/>
      </c>
      <c r="W327" s="23" t="str">
        <f>IF('ASS END SYNC'!C331="SHOW",MID('ASS END SYNC'!E331,Q327+1,S327-Q327+1),"")</f>
        <v/>
      </c>
      <c r="X327" s="23" t="str">
        <f>IF('ASS END SYNC'!C331="SHOW",MID('ASS END SYNC'!E331,S327+2,1000),"")</f>
        <v/>
      </c>
      <c r="Z327" s="24"/>
    </row>
    <row r="328" spans="1:26" x14ac:dyDescent="0.25">
      <c r="A328" s="26">
        <v>325</v>
      </c>
      <c r="B328" s="24" t="str">
        <f>IF('ASS START SYNC'!C332="SHOW",FIND(",",'ASS START SYNC'!E332,1),"")</f>
        <v/>
      </c>
      <c r="C328" s="24" t="str">
        <f>IF('ASS START SYNC'!C332="SHOW",FIND(",",'ASS START SYNC'!E332,B328+1),"")</f>
        <v/>
      </c>
      <c r="D328" s="24" t="str">
        <f>IF('ASS START SYNC'!C332="SHOW",FIND(",",'ASS START SYNC'!E332,C328+1),"")</f>
        <v/>
      </c>
      <c r="E328" s="25" t="str">
        <f>IF('ASS START SYNC'!C332="SHOW",FIND(",,",'ASS START SYNC'!E332,1),"")</f>
        <v/>
      </c>
      <c r="F328" s="25" t="str">
        <f>IF('ASS START SYNC'!C332="SHOW",FIND(",,",'ASS START SYNC'!E332,E328+1),"")</f>
        <v/>
      </c>
      <c r="G328" s="23" t="str">
        <f>IF('ASS START SYNC'!C332="SHOW",LEFT('ASS START SYNC'!E332,B328),"")</f>
        <v/>
      </c>
      <c r="H328" s="24" t="str">
        <f>IF(AND('ASS START SYNC'!C332="SHOW",COUNTA('ASS START SYNC'!$E$8:'ASS START SYNC'!E331)=0),MID('ASS START SYNC'!E332,B328+1,C328-B328-1),IF(AND('ASS START SYNC'!C332="SHOW",COUNTA('ASS START SYNC'!$E$8:'ASS START SYNC'!E331)&lt;&gt;0),I327,""))</f>
        <v/>
      </c>
      <c r="I328" s="24" t="str">
        <f>IF('ASS START SYNC'!C332="SHOW",MID('ASS START SYNC'!E332,C328+1,D328-C328-1),I327)</f>
        <v/>
      </c>
      <c r="J328" s="23" t="str">
        <f>IF('ASS START SYNC'!C332="SHOW",MID('ASS START SYNC'!E332,D328+1,F328-D328+1),"")</f>
        <v/>
      </c>
      <c r="K328" s="23" t="str">
        <f>IF('ASS START SYNC'!C332="SHOW",MID('ASS START SYNC'!E332,F328+2,1000),"")</f>
        <v/>
      </c>
      <c r="M328" s="24"/>
      <c r="N328" s="26">
        <v>325</v>
      </c>
      <c r="O328" s="24" t="str">
        <f>IF('ASS END SYNC'!C332="SHOW",FIND(",",'ASS END SYNC'!E332,1),"")</f>
        <v/>
      </c>
      <c r="P328" s="24" t="str">
        <f>IF('ASS END SYNC'!C332="SHOW",FIND(",",'ASS END SYNC'!E332,O328+1),"")</f>
        <v/>
      </c>
      <c r="Q328" s="24" t="str">
        <f>IF('ASS END SYNC'!C332="SHOW",FIND(",",'ASS END SYNC'!E332,P328+1),"")</f>
        <v/>
      </c>
      <c r="R328" s="25" t="str">
        <f>IF('ASS END SYNC'!C332="SHOW",FIND(",,",'ASS END SYNC'!E332,1),"")</f>
        <v/>
      </c>
      <c r="S328" s="25" t="str">
        <f>IF('ASS END SYNC'!C332="SHOW",FIND(",,",'ASS END SYNC'!E332,R328+1),"")</f>
        <v/>
      </c>
      <c r="T328" s="23" t="str">
        <f>IF('ASS END SYNC'!C332="SHOW",LEFT('ASS END SYNC'!E332,O328),"")</f>
        <v/>
      </c>
      <c r="U328" s="24" t="str">
        <f>IF('ASS END SYNC'!C332="SHOW",MID('ASS END SYNC'!E332,O328+1,P328-O328-1),"")</f>
        <v/>
      </c>
      <c r="V328" s="24" t="str">
        <f>IF(AND('ASS END SYNC'!C332="SHOW",'ASS END SYNC'!C333="SHOW"),U329,IF(AND('ASS END SYNC'!C332="SHOW",'ASS END SYNC'!C333&lt;&gt;"SHOW"),MID('ASS END SYNC'!E332,O328+1,P328-O328-1),""))</f>
        <v/>
      </c>
      <c r="W328" s="23" t="str">
        <f>IF('ASS END SYNC'!C332="SHOW",MID('ASS END SYNC'!E332,Q328+1,S328-Q328+1),"")</f>
        <v/>
      </c>
      <c r="X328" s="23" t="str">
        <f>IF('ASS END SYNC'!C332="SHOW",MID('ASS END SYNC'!E332,S328+2,1000),"")</f>
        <v/>
      </c>
      <c r="Z328" s="24"/>
    </row>
    <row r="329" spans="1:26" x14ac:dyDescent="0.25">
      <c r="A329" s="26">
        <v>326</v>
      </c>
      <c r="B329" s="24" t="str">
        <f>IF('ASS START SYNC'!C333="SHOW",FIND(",",'ASS START SYNC'!E333,1),"")</f>
        <v/>
      </c>
      <c r="C329" s="24" t="str">
        <f>IF('ASS START SYNC'!C333="SHOW",FIND(",",'ASS START SYNC'!E333,B329+1),"")</f>
        <v/>
      </c>
      <c r="D329" s="24" t="str">
        <f>IF('ASS START SYNC'!C333="SHOW",FIND(",",'ASS START SYNC'!E333,C329+1),"")</f>
        <v/>
      </c>
      <c r="E329" s="25" t="str">
        <f>IF('ASS START SYNC'!C333="SHOW",FIND(",,",'ASS START SYNC'!E333,1),"")</f>
        <v/>
      </c>
      <c r="F329" s="25" t="str">
        <f>IF('ASS START SYNC'!C333="SHOW",FIND(",,",'ASS START SYNC'!E333,E329+1),"")</f>
        <v/>
      </c>
      <c r="G329" s="23" t="str">
        <f>IF('ASS START SYNC'!C333="SHOW",LEFT('ASS START SYNC'!E333,B329),"")</f>
        <v/>
      </c>
      <c r="H329" s="24" t="str">
        <f>IF(AND('ASS START SYNC'!C333="SHOW",COUNTA('ASS START SYNC'!$E$8:'ASS START SYNC'!E332)=0),MID('ASS START SYNC'!E333,B329+1,C329-B329-1),IF(AND('ASS START SYNC'!C333="SHOW",COUNTA('ASS START SYNC'!$E$8:'ASS START SYNC'!E332)&lt;&gt;0),I328,""))</f>
        <v/>
      </c>
      <c r="I329" s="24" t="str">
        <f>IF('ASS START SYNC'!C333="SHOW",MID('ASS START SYNC'!E333,C329+1,D329-C329-1),I328)</f>
        <v/>
      </c>
      <c r="J329" s="23" t="str">
        <f>IF('ASS START SYNC'!C333="SHOW",MID('ASS START SYNC'!E333,D329+1,F329-D329+1),"")</f>
        <v/>
      </c>
      <c r="K329" s="23" t="str">
        <f>IF('ASS START SYNC'!C333="SHOW",MID('ASS START SYNC'!E333,F329+2,1000),"")</f>
        <v/>
      </c>
      <c r="M329" s="24"/>
      <c r="N329" s="26">
        <v>326</v>
      </c>
      <c r="O329" s="24" t="str">
        <f>IF('ASS END SYNC'!C333="SHOW",FIND(",",'ASS END SYNC'!E333,1),"")</f>
        <v/>
      </c>
      <c r="P329" s="24" t="str">
        <f>IF('ASS END SYNC'!C333="SHOW",FIND(",",'ASS END SYNC'!E333,O329+1),"")</f>
        <v/>
      </c>
      <c r="Q329" s="24" t="str">
        <f>IF('ASS END SYNC'!C333="SHOW",FIND(",",'ASS END SYNC'!E333,P329+1),"")</f>
        <v/>
      </c>
      <c r="R329" s="25" t="str">
        <f>IF('ASS END SYNC'!C333="SHOW",FIND(",,",'ASS END SYNC'!E333,1),"")</f>
        <v/>
      </c>
      <c r="S329" s="25" t="str">
        <f>IF('ASS END SYNC'!C333="SHOW",FIND(",,",'ASS END SYNC'!E333,R329+1),"")</f>
        <v/>
      </c>
      <c r="T329" s="23" t="str">
        <f>IF('ASS END SYNC'!C333="SHOW",LEFT('ASS END SYNC'!E333,O329),"")</f>
        <v/>
      </c>
      <c r="U329" s="24" t="str">
        <f>IF('ASS END SYNC'!C333="SHOW",MID('ASS END SYNC'!E333,O329+1,P329-O329-1),"")</f>
        <v/>
      </c>
      <c r="V329" s="24" t="str">
        <f>IF(AND('ASS END SYNC'!C333="SHOW",'ASS END SYNC'!C334="SHOW"),U330,IF(AND('ASS END SYNC'!C333="SHOW",'ASS END SYNC'!C334&lt;&gt;"SHOW"),MID('ASS END SYNC'!E333,O329+1,P329-O329-1),""))</f>
        <v/>
      </c>
      <c r="W329" s="23" t="str">
        <f>IF('ASS END SYNC'!C333="SHOW",MID('ASS END SYNC'!E333,Q329+1,S329-Q329+1),"")</f>
        <v/>
      </c>
      <c r="X329" s="23" t="str">
        <f>IF('ASS END SYNC'!C333="SHOW",MID('ASS END SYNC'!E333,S329+2,1000),"")</f>
        <v/>
      </c>
      <c r="Z329" s="24"/>
    </row>
    <row r="330" spans="1:26" x14ac:dyDescent="0.25">
      <c r="A330" s="26">
        <v>327</v>
      </c>
      <c r="B330" s="24" t="str">
        <f>IF('ASS START SYNC'!C334="SHOW",FIND(",",'ASS START SYNC'!E334,1),"")</f>
        <v/>
      </c>
      <c r="C330" s="24" t="str">
        <f>IF('ASS START SYNC'!C334="SHOW",FIND(",",'ASS START SYNC'!E334,B330+1),"")</f>
        <v/>
      </c>
      <c r="D330" s="24" t="str">
        <f>IF('ASS START SYNC'!C334="SHOW",FIND(",",'ASS START SYNC'!E334,C330+1),"")</f>
        <v/>
      </c>
      <c r="E330" s="25" t="str">
        <f>IF('ASS START SYNC'!C334="SHOW",FIND(",,",'ASS START SYNC'!E334,1),"")</f>
        <v/>
      </c>
      <c r="F330" s="25" t="str">
        <f>IF('ASS START SYNC'!C334="SHOW",FIND(",,",'ASS START SYNC'!E334,E330+1),"")</f>
        <v/>
      </c>
      <c r="G330" s="23" t="str">
        <f>IF('ASS START SYNC'!C334="SHOW",LEFT('ASS START SYNC'!E334,B330),"")</f>
        <v/>
      </c>
      <c r="H330" s="24" t="str">
        <f>IF(AND('ASS START SYNC'!C334="SHOW",COUNTA('ASS START SYNC'!$E$8:'ASS START SYNC'!E333)=0),MID('ASS START SYNC'!E334,B330+1,C330-B330-1),IF(AND('ASS START SYNC'!C334="SHOW",COUNTA('ASS START SYNC'!$E$8:'ASS START SYNC'!E333)&lt;&gt;0),I329,""))</f>
        <v/>
      </c>
      <c r="I330" s="24" t="str">
        <f>IF('ASS START SYNC'!C334="SHOW",MID('ASS START SYNC'!E334,C330+1,D330-C330-1),I329)</f>
        <v/>
      </c>
      <c r="J330" s="23" t="str">
        <f>IF('ASS START SYNC'!C334="SHOW",MID('ASS START SYNC'!E334,D330+1,F330-D330+1),"")</f>
        <v/>
      </c>
      <c r="K330" s="23" t="str">
        <f>IF('ASS START SYNC'!C334="SHOW",MID('ASS START SYNC'!E334,F330+2,1000),"")</f>
        <v/>
      </c>
      <c r="M330" s="24"/>
      <c r="N330" s="26">
        <v>327</v>
      </c>
      <c r="O330" s="24" t="str">
        <f>IF('ASS END SYNC'!C334="SHOW",FIND(",",'ASS END SYNC'!E334,1),"")</f>
        <v/>
      </c>
      <c r="P330" s="24" t="str">
        <f>IF('ASS END SYNC'!C334="SHOW",FIND(",",'ASS END SYNC'!E334,O330+1),"")</f>
        <v/>
      </c>
      <c r="Q330" s="24" t="str">
        <f>IF('ASS END SYNC'!C334="SHOW",FIND(",",'ASS END SYNC'!E334,P330+1),"")</f>
        <v/>
      </c>
      <c r="R330" s="25" t="str">
        <f>IF('ASS END SYNC'!C334="SHOW",FIND(",,",'ASS END SYNC'!E334,1),"")</f>
        <v/>
      </c>
      <c r="S330" s="25" t="str">
        <f>IF('ASS END SYNC'!C334="SHOW",FIND(",,",'ASS END SYNC'!E334,R330+1),"")</f>
        <v/>
      </c>
      <c r="T330" s="23" t="str">
        <f>IF('ASS END SYNC'!C334="SHOW",LEFT('ASS END SYNC'!E334,O330),"")</f>
        <v/>
      </c>
      <c r="U330" s="24" t="str">
        <f>IF('ASS END SYNC'!C334="SHOW",MID('ASS END SYNC'!E334,O330+1,P330-O330-1),"")</f>
        <v/>
      </c>
      <c r="V330" s="24" t="str">
        <f>IF(AND('ASS END SYNC'!C334="SHOW",'ASS END SYNC'!C335="SHOW"),U331,IF(AND('ASS END SYNC'!C334="SHOW",'ASS END SYNC'!C335&lt;&gt;"SHOW"),MID('ASS END SYNC'!E334,O330+1,P330-O330-1),""))</f>
        <v/>
      </c>
      <c r="W330" s="23" t="str">
        <f>IF('ASS END SYNC'!C334="SHOW",MID('ASS END SYNC'!E334,Q330+1,S330-Q330+1),"")</f>
        <v/>
      </c>
      <c r="X330" s="23" t="str">
        <f>IF('ASS END SYNC'!C334="SHOW",MID('ASS END SYNC'!E334,S330+2,1000),"")</f>
        <v/>
      </c>
      <c r="Z330" s="24"/>
    </row>
    <row r="331" spans="1:26" x14ac:dyDescent="0.25">
      <c r="A331" s="26">
        <v>328</v>
      </c>
      <c r="B331" s="24" t="str">
        <f>IF('ASS START SYNC'!C335="SHOW",FIND(",",'ASS START SYNC'!E335,1),"")</f>
        <v/>
      </c>
      <c r="C331" s="24" t="str">
        <f>IF('ASS START SYNC'!C335="SHOW",FIND(",",'ASS START SYNC'!E335,B331+1),"")</f>
        <v/>
      </c>
      <c r="D331" s="24" t="str">
        <f>IF('ASS START SYNC'!C335="SHOW",FIND(",",'ASS START SYNC'!E335,C331+1),"")</f>
        <v/>
      </c>
      <c r="E331" s="25" t="str">
        <f>IF('ASS START SYNC'!C335="SHOW",FIND(",,",'ASS START SYNC'!E335,1),"")</f>
        <v/>
      </c>
      <c r="F331" s="25" t="str">
        <f>IF('ASS START SYNC'!C335="SHOW",FIND(",,",'ASS START SYNC'!E335,E331+1),"")</f>
        <v/>
      </c>
      <c r="G331" s="23" t="str">
        <f>IF('ASS START SYNC'!C335="SHOW",LEFT('ASS START SYNC'!E335,B331),"")</f>
        <v/>
      </c>
      <c r="H331" s="24" t="str">
        <f>IF(AND('ASS START SYNC'!C335="SHOW",COUNTA('ASS START SYNC'!$E$8:'ASS START SYNC'!E334)=0),MID('ASS START SYNC'!E335,B331+1,C331-B331-1),IF(AND('ASS START SYNC'!C335="SHOW",COUNTA('ASS START SYNC'!$E$8:'ASS START SYNC'!E334)&lt;&gt;0),I330,""))</f>
        <v/>
      </c>
      <c r="I331" s="24" t="str">
        <f>IF('ASS START SYNC'!C335="SHOW",MID('ASS START SYNC'!E335,C331+1,D331-C331-1),I330)</f>
        <v/>
      </c>
      <c r="J331" s="23" t="str">
        <f>IF('ASS START SYNC'!C335="SHOW",MID('ASS START SYNC'!E335,D331+1,F331-D331+1),"")</f>
        <v/>
      </c>
      <c r="K331" s="23" t="str">
        <f>IF('ASS START SYNC'!C335="SHOW",MID('ASS START SYNC'!E335,F331+2,1000),"")</f>
        <v/>
      </c>
      <c r="M331" s="24"/>
      <c r="N331" s="26">
        <v>328</v>
      </c>
      <c r="O331" s="24" t="str">
        <f>IF('ASS END SYNC'!C335="SHOW",FIND(",",'ASS END SYNC'!E335,1),"")</f>
        <v/>
      </c>
      <c r="P331" s="24" t="str">
        <f>IF('ASS END SYNC'!C335="SHOW",FIND(",",'ASS END SYNC'!E335,O331+1),"")</f>
        <v/>
      </c>
      <c r="Q331" s="24" t="str">
        <f>IF('ASS END SYNC'!C335="SHOW",FIND(",",'ASS END SYNC'!E335,P331+1),"")</f>
        <v/>
      </c>
      <c r="R331" s="25" t="str">
        <f>IF('ASS END SYNC'!C335="SHOW",FIND(",,",'ASS END SYNC'!E335,1),"")</f>
        <v/>
      </c>
      <c r="S331" s="25" t="str">
        <f>IF('ASS END SYNC'!C335="SHOW",FIND(",,",'ASS END SYNC'!E335,R331+1),"")</f>
        <v/>
      </c>
      <c r="T331" s="23" t="str">
        <f>IF('ASS END SYNC'!C335="SHOW",LEFT('ASS END SYNC'!E335,O331),"")</f>
        <v/>
      </c>
      <c r="U331" s="24" t="str">
        <f>IF('ASS END SYNC'!C335="SHOW",MID('ASS END SYNC'!E335,O331+1,P331-O331-1),"")</f>
        <v/>
      </c>
      <c r="V331" s="24" t="str">
        <f>IF(AND('ASS END SYNC'!C335="SHOW",'ASS END SYNC'!C336="SHOW"),U332,IF(AND('ASS END SYNC'!C335="SHOW",'ASS END SYNC'!C336&lt;&gt;"SHOW"),MID('ASS END SYNC'!E335,O331+1,P331-O331-1),""))</f>
        <v/>
      </c>
      <c r="W331" s="23" t="str">
        <f>IF('ASS END SYNC'!C335="SHOW",MID('ASS END SYNC'!E335,Q331+1,S331-Q331+1),"")</f>
        <v/>
      </c>
      <c r="X331" s="23" t="str">
        <f>IF('ASS END SYNC'!C335="SHOW",MID('ASS END SYNC'!E335,S331+2,1000),"")</f>
        <v/>
      </c>
      <c r="Z331" s="24"/>
    </row>
    <row r="332" spans="1:26" x14ac:dyDescent="0.25">
      <c r="A332" s="26">
        <v>329</v>
      </c>
      <c r="B332" s="24" t="str">
        <f>IF('ASS START SYNC'!C336="SHOW",FIND(",",'ASS START SYNC'!E336,1),"")</f>
        <v/>
      </c>
      <c r="C332" s="24" t="str">
        <f>IF('ASS START SYNC'!C336="SHOW",FIND(",",'ASS START SYNC'!E336,B332+1),"")</f>
        <v/>
      </c>
      <c r="D332" s="24" t="str">
        <f>IF('ASS START SYNC'!C336="SHOW",FIND(",",'ASS START SYNC'!E336,C332+1),"")</f>
        <v/>
      </c>
      <c r="E332" s="25" t="str">
        <f>IF('ASS START SYNC'!C336="SHOW",FIND(",,",'ASS START SYNC'!E336,1),"")</f>
        <v/>
      </c>
      <c r="F332" s="25" t="str">
        <f>IF('ASS START SYNC'!C336="SHOW",FIND(",,",'ASS START SYNC'!E336,E332+1),"")</f>
        <v/>
      </c>
      <c r="G332" s="23" t="str">
        <f>IF('ASS START SYNC'!C336="SHOW",LEFT('ASS START SYNC'!E336,B332),"")</f>
        <v/>
      </c>
      <c r="H332" s="24" t="str">
        <f>IF(AND('ASS START SYNC'!C336="SHOW",COUNTA('ASS START SYNC'!$E$8:'ASS START SYNC'!E335)=0),MID('ASS START SYNC'!E336,B332+1,C332-B332-1),IF(AND('ASS START SYNC'!C336="SHOW",COUNTA('ASS START SYNC'!$E$8:'ASS START SYNC'!E335)&lt;&gt;0),I331,""))</f>
        <v/>
      </c>
      <c r="I332" s="24" t="str">
        <f>IF('ASS START SYNC'!C336="SHOW",MID('ASS START SYNC'!E336,C332+1,D332-C332-1),I331)</f>
        <v/>
      </c>
      <c r="J332" s="23" t="str">
        <f>IF('ASS START SYNC'!C336="SHOW",MID('ASS START SYNC'!E336,D332+1,F332-D332+1),"")</f>
        <v/>
      </c>
      <c r="K332" s="23" t="str">
        <f>IF('ASS START SYNC'!C336="SHOW",MID('ASS START SYNC'!E336,F332+2,1000),"")</f>
        <v/>
      </c>
      <c r="M332" s="24"/>
      <c r="N332" s="26">
        <v>329</v>
      </c>
      <c r="O332" s="24" t="str">
        <f>IF('ASS END SYNC'!C336="SHOW",FIND(",",'ASS END SYNC'!E336,1),"")</f>
        <v/>
      </c>
      <c r="P332" s="24" t="str">
        <f>IF('ASS END SYNC'!C336="SHOW",FIND(",",'ASS END SYNC'!E336,O332+1),"")</f>
        <v/>
      </c>
      <c r="Q332" s="24" t="str">
        <f>IF('ASS END SYNC'!C336="SHOW",FIND(",",'ASS END SYNC'!E336,P332+1),"")</f>
        <v/>
      </c>
      <c r="R332" s="25" t="str">
        <f>IF('ASS END SYNC'!C336="SHOW",FIND(",,",'ASS END SYNC'!E336,1),"")</f>
        <v/>
      </c>
      <c r="S332" s="25" t="str">
        <f>IF('ASS END SYNC'!C336="SHOW",FIND(",,",'ASS END SYNC'!E336,R332+1),"")</f>
        <v/>
      </c>
      <c r="T332" s="23" t="str">
        <f>IF('ASS END SYNC'!C336="SHOW",LEFT('ASS END SYNC'!E336,O332),"")</f>
        <v/>
      </c>
      <c r="U332" s="24" t="str">
        <f>IF('ASS END SYNC'!C336="SHOW",MID('ASS END SYNC'!E336,O332+1,P332-O332-1),"")</f>
        <v/>
      </c>
      <c r="V332" s="24" t="str">
        <f>IF(AND('ASS END SYNC'!C336="SHOW",'ASS END SYNC'!C337="SHOW"),U333,IF(AND('ASS END SYNC'!C336="SHOW",'ASS END SYNC'!C337&lt;&gt;"SHOW"),MID('ASS END SYNC'!E336,O332+1,P332-O332-1),""))</f>
        <v/>
      </c>
      <c r="W332" s="23" t="str">
        <f>IF('ASS END SYNC'!C336="SHOW",MID('ASS END SYNC'!E336,Q332+1,S332-Q332+1),"")</f>
        <v/>
      </c>
      <c r="X332" s="23" t="str">
        <f>IF('ASS END SYNC'!C336="SHOW",MID('ASS END SYNC'!E336,S332+2,1000),"")</f>
        <v/>
      </c>
      <c r="Z332" s="24"/>
    </row>
    <row r="333" spans="1:26" x14ac:dyDescent="0.25">
      <c r="A333" s="26">
        <v>330</v>
      </c>
      <c r="B333" s="24" t="str">
        <f>IF('ASS START SYNC'!C337="SHOW",FIND(",",'ASS START SYNC'!E337,1),"")</f>
        <v/>
      </c>
      <c r="C333" s="24" t="str">
        <f>IF('ASS START SYNC'!C337="SHOW",FIND(",",'ASS START SYNC'!E337,B333+1),"")</f>
        <v/>
      </c>
      <c r="D333" s="24" t="str">
        <f>IF('ASS START SYNC'!C337="SHOW",FIND(",",'ASS START SYNC'!E337,C333+1),"")</f>
        <v/>
      </c>
      <c r="E333" s="25" t="str">
        <f>IF('ASS START SYNC'!C337="SHOW",FIND(",,",'ASS START SYNC'!E337,1),"")</f>
        <v/>
      </c>
      <c r="F333" s="25" t="str">
        <f>IF('ASS START SYNC'!C337="SHOW",FIND(",,",'ASS START SYNC'!E337,E333+1),"")</f>
        <v/>
      </c>
      <c r="G333" s="23" t="str">
        <f>IF('ASS START SYNC'!C337="SHOW",LEFT('ASS START SYNC'!E337,B333),"")</f>
        <v/>
      </c>
      <c r="H333" s="24" t="str">
        <f>IF(AND('ASS START SYNC'!C337="SHOW",COUNTA('ASS START SYNC'!$E$8:'ASS START SYNC'!E336)=0),MID('ASS START SYNC'!E337,B333+1,C333-B333-1),IF(AND('ASS START SYNC'!C337="SHOW",COUNTA('ASS START SYNC'!$E$8:'ASS START SYNC'!E336)&lt;&gt;0),I332,""))</f>
        <v/>
      </c>
      <c r="I333" s="24" t="str">
        <f>IF('ASS START SYNC'!C337="SHOW",MID('ASS START SYNC'!E337,C333+1,D333-C333-1),I332)</f>
        <v/>
      </c>
      <c r="J333" s="23" t="str">
        <f>IF('ASS START SYNC'!C337="SHOW",MID('ASS START SYNC'!E337,D333+1,F333-D333+1),"")</f>
        <v/>
      </c>
      <c r="K333" s="23" t="str">
        <f>IF('ASS START SYNC'!C337="SHOW",MID('ASS START SYNC'!E337,F333+2,1000),"")</f>
        <v/>
      </c>
      <c r="M333" s="24"/>
      <c r="N333" s="26">
        <v>330</v>
      </c>
      <c r="O333" s="24" t="str">
        <f>IF('ASS END SYNC'!C337="SHOW",FIND(",",'ASS END SYNC'!E337,1),"")</f>
        <v/>
      </c>
      <c r="P333" s="24" t="str">
        <f>IF('ASS END SYNC'!C337="SHOW",FIND(",",'ASS END SYNC'!E337,O333+1),"")</f>
        <v/>
      </c>
      <c r="Q333" s="24" t="str">
        <f>IF('ASS END SYNC'!C337="SHOW",FIND(",",'ASS END SYNC'!E337,P333+1),"")</f>
        <v/>
      </c>
      <c r="R333" s="25" t="str">
        <f>IF('ASS END SYNC'!C337="SHOW",FIND(",,",'ASS END SYNC'!E337,1),"")</f>
        <v/>
      </c>
      <c r="S333" s="25" t="str">
        <f>IF('ASS END SYNC'!C337="SHOW",FIND(",,",'ASS END SYNC'!E337,R333+1),"")</f>
        <v/>
      </c>
      <c r="T333" s="23" t="str">
        <f>IF('ASS END SYNC'!C337="SHOW",LEFT('ASS END SYNC'!E337,O333),"")</f>
        <v/>
      </c>
      <c r="U333" s="24" t="str">
        <f>IF('ASS END SYNC'!C337="SHOW",MID('ASS END SYNC'!E337,O333+1,P333-O333-1),"")</f>
        <v/>
      </c>
      <c r="V333" s="24" t="str">
        <f>IF(AND('ASS END SYNC'!C337="SHOW",'ASS END SYNC'!C338="SHOW"),U334,IF(AND('ASS END SYNC'!C337="SHOW",'ASS END SYNC'!C338&lt;&gt;"SHOW"),MID('ASS END SYNC'!E337,O333+1,P333-O333-1),""))</f>
        <v/>
      </c>
      <c r="W333" s="23" t="str">
        <f>IF('ASS END SYNC'!C337="SHOW",MID('ASS END SYNC'!E337,Q333+1,S333-Q333+1),"")</f>
        <v/>
      </c>
      <c r="X333" s="23" t="str">
        <f>IF('ASS END SYNC'!C337="SHOW",MID('ASS END SYNC'!E337,S333+2,1000),"")</f>
        <v/>
      </c>
      <c r="Z333" s="24"/>
    </row>
    <row r="334" spans="1:26" x14ac:dyDescent="0.25">
      <c r="A334" s="26">
        <v>331</v>
      </c>
      <c r="B334" s="24" t="str">
        <f>IF('ASS START SYNC'!C338="SHOW",FIND(",",'ASS START SYNC'!E338,1),"")</f>
        <v/>
      </c>
      <c r="C334" s="24" t="str">
        <f>IF('ASS START SYNC'!C338="SHOW",FIND(",",'ASS START SYNC'!E338,B334+1),"")</f>
        <v/>
      </c>
      <c r="D334" s="24" t="str">
        <f>IF('ASS START SYNC'!C338="SHOW",FIND(",",'ASS START SYNC'!E338,C334+1),"")</f>
        <v/>
      </c>
      <c r="E334" s="25" t="str">
        <f>IF('ASS START SYNC'!C338="SHOW",FIND(",,",'ASS START SYNC'!E338,1),"")</f>
        <v/>
      </c>
      <c r="F334" s="25" t="str">
        <f>IF('ASS START SYNC'!C338="SHOW",FIND(",,",'ASS START SYNC'!E338,E334+1),"")</f>
        <v/>
      </c>
      <c r="G334" s="23" t="str">
        <f>IF('ASS START SYNC'!C338="SHOW",LEFT('ASS START SYNC'!E338,B334),"")</f>
        <v/>
      </c>
      <c r="H334" s="24" t="str">
        <f>IF(AND('ASS START SYNC'!C338="SHOW",COUNTA('ASS START SYNC'!$E$8:'ASS START SYNC'!E337)=0),MID('ASS START SYNC'!E338,B334+1,C334-B334-1),IF(AND('ASS START SYNC'!C338="SHOW",COUNTA('ASS START SYNC'!$E$8:'ASS START SYNC'!E337)&lt;&gt;0),I333,""))</f>
        <v/>
      </c>
      <c r="I334" s="24" t="str">
        <f>IF('ASS START SYNC'!C338="SHOW",MID('ASS START SYNC'!E338,C334+1,D334-C334-1),I333)</f>
        <v/>
      </c>
      <c r="J334" s="23" t="str">
        <f>IF('ASS START SYNC'!C338="SHOW",MID('ASS START SYNC'!E338,D334+1,F334-D334+1),"")</f>
        <v/>
      </c>
      <c r="K334" s="23" t="str">
        <f>IF('ASS START SYNC'!C338="SHOW",MID('ASS START SYNC'!E338,F334+2,1000),"")</f>
        <v/>
      </c>
      <c r="M334" s="24"/>
      <c r="N334" s="26">
        <v>331</v>
      </c>
      <c r="O334" s="24" t="str">
        <f>IF('ASS END SYNC'!C338="SHOW",FIND(",",'ASS END SYNC'!E338,1),"")</f>
        <v/>
      </c>
      <c r="P334" s="24" t="str">
        <f>IF('ASS END SYNC'!C338="SHOW",FIND(",",'ASS END SYNC'!E338,O334+1),"")</f>
        <v/>
      </c>
      <c r="Q334" s="24" t="str">
        <f>IF('ASS END SYNC'!C338="SHOW",FIND(",",'ASS END SYNC'!E338,P334+1),"")</f>
        <v/>
      </c>
      <c r="R334" s="25" t="str">
        <f>IF('ASS END SYNC'!C338="SHOW",FIND(",,",'ASS END SYNC'!E338,1),"")</f>
        <v/>
      </c>
      <c r="S334" s="25" t="str">
        <f>IF('ASS END SYNC'!C338="SHOW",FIND(",,",'ASS END SYNC'!E338,R334+1),"")</f>
        <v/>
      </c>
      <c r="T334" s="23" t="str">
        <f>IF('ASS END SYNC'!C338="SHOW",LEFT('ASS END SYNC'!E338,O334),"")</f>
        <v/>
      </c>
      <c r="U334" s="24" t="str">
        <f>IF('ASS END SYNC'!C338="SHOW",MID('ASS END SYNC'!E338,O334+1,P334-O334-1),"")</f>
        <v/>
      </c>
      <c r="V334" s="24" t="str">
        <f>IF(AND('ASS END SYNC'!C338="SHOW",'ASS END SYNC'!C339="SHOW"),U335,IF(AND('ASS END SYNC'!C338="SHOW",'ASS END SYNC'!C339&lt;&gt;"SHOW"),MID('ASS END SYNC'!E338,O334+1,P334-O334-1),""))</f>
        <v/>
      </c>
      <c r="W334" s="23" t="str">
        <f>IF('ASS END SYNC'!C338="SHOW",MID('ASS END SYNC'!E338,Q334+1,S334-Q334+1),"")</f>
        <v/>
      </c>
      <c r="X334" s="23" t="str">
        <f>IF('ASS END SYNC'!C338="SHOW",MID('ASS END SYNC'!E338,S334+2,1000),"")</f>
        <v/>
      </c>
      <c r="Z334" s="24"/>
    </row>
    <row r="335" spans="1:26" x14ac:dyDescent="0.25">
      <c r="A335" s="26">
        <v>332</v>
      </c>
      <c r="B335" s="24" t="str">
        <f>IF('ASS START SYNC'!C339="SHOW",FIND(",",'ASS START SYNC'!E339,1),"")</f>
        <v/>
      </c>
      <c r="C335" s="24" t="str">
        <f>IF('ASS START SYNC'!C339="SHOW",FIND(",",'ASS START SYNC'!E339,B335+1),"")</f>
        <v/>
      </c>
      <c r="D335" s="24" t="str">
        <f>IF('ASS START SYNC'!C339="SHOW",FIND(",",'ASS START SYNC'!E339,C335+1),"")</f>
        <v/>
      </c>
      <c r="E335" s="25" t="str">
        <f>IF('ASS START SYNC'!C339="SHOW",FIND(",,",'ASS START SYNC'!E339,1),"")</f>
        <v/>
      </c>
      <c r="F335" s="25" t="str">
        <f>IF('ASS START SYNC'!C339="SHOW",FIND(",,",'ASS START SYNC'!E339,E335+1),"")</f>
        <v/>
      </c>
      <c r="G335" s="23" t="str">
        <f>IF('ASS START SYNC'!C339="SHOW",LEFT('ASS START SYNC'!E339,B335),"")</f>
        <v/>
      </c>
      <c r="H335" s="24" t="str">
        <f>IF(AND('ASS START SYNC'!C339="SHOW",COUNTA('ASS START SYNC'!$E$8:'ASS START SYNC'!E338)=0),MID('ASS START SYNC'!E339,B335+1,C335-B335-1),IF(AND('ASS START SYNC'!C339="SHOW",COUNTA('ASS START SYNC'!$E$8:'ASS START SYNC'!E338)&lt;&gt;0),I334,""))</f>
        <v/>
      </c>
      <c r="I335" s="24" t="str">
        <f>IF('ASS START SYNC'!C339="SHOW",MID('ASS START SYNC'!E339,C335+1,D335-C335-1),I334)</f>
        <v/>
      </c>
      <c r="J335" s="23" t="str">
        <f>IF('ASS START SYNC'!C339="SHOW",MID('ASS START SYNC'!E339,D335+1,F335-D335+1),"")</f>
        <v/>
      </c>
      <c r="K335" s="23" t="str">
        <f>IF('ASS START SYNC'!C339="SHOW",MID('ASS START SYNC'!E339,F335+2,1000),"")</f>
        <v/>
      </c>
      <c r="M335" s="24"/>
      <c r="N335" s="26">
        <v>332</v>
      </c>
      <c r="O335" s="24" t="str">
        <f>IF('ASS END SYNC'!C339="SHOW",FIND(",",'ASS END SYNC'!E339,1),"")</f>
        <v/>
      </c>
      <c r="P335" s="24" t="str">
        <f>IF('ASS END SYNC'!C339="SHOW",FIND(",",'ASS END SYNC'!E339,O335+1),"")</f>
        <v/>
      </c>
      <c r="Q335" s="24" t="str">
        <f>IF('ASS END SYNC'!C339="SHOW",FIND(",",'ASS END SYNC'!E339,P335+1),"")</f>
        <v/>
      </c>
      <c r="R335" s="25" t="str">
        <f>IF('ASS END SYNC'!C339="SHOW",FIND(",,",'ASS END SYNC'!E339,1),"")</f>
        <v/>
      </c>
      <c r="S335" s="25" t="str">
        <f>IF('ASS END SYNC'!C339="SHOW",FIND(",,",'ASS END SYNC'!E339,R335+1),"")</f>
        <v/>
      </c>
      <c r="T335" s="23" t="str">
        <f>IF('ASS END SYNC'!C339="SHOW",LEFT('ASS END SYNC'!E339,O335),"")</f>
        <v/>
      </c>
      <c r="U335" s="24" t="str">
        <f>IF('ASS END SYNC'!C339="SHOW",MID('ASS END SYNC'!E339,O335+1,P335-O335-1),"")</f>
        <v/>
      </c>
      <c r="V335" s="24" t="str">
        <f>IF(AND('ASS END SYNC'!C339="SHOW",'ASS END SYNC'!C340="SHOW"),U336,IF(AND('ASS END SYNC'!C339="SHOW",'ASS END SYNC'!C340&lt;&gt;"SHOW"),MID('ASS END SYNC'!E339,O335+1,P335-O335-1),""))</f>
        <v/>
      </c>
      <c r="W335" s="23" t="str">
        <f>IF('ASS END SYNC'!C339="SHOW",MID('ASS END SYNC'!E339,Q335+1,S335-Q335+1),"")</f>
        <v/>
      </c>
      <c r="X335" s="23" t="str">
        <f>IF('ASS END SYNC'!C339="SHOW",MID('ASS END SYNC'!E339,S335+2,1000),"")</f>
        <v/>
      </c>
      <c r="Z335" s="24"/>
    </row>
    <row r="336" spans="1:26" x14ac:dyDescent="0.25">
      <c r="A336" s="26">
        <v>333</v>
      </c>
      <c r="B336" s="24" t="str">
        <f>IF('ASS START SYNC'!C340="SHOW",FIND(",",'ASS START SYNC'!E340,1),"")</f>
        <v/>
      </c>
      <c r="C336" s="24" t="str">
        <f>IF('ASS START SYNC'!C340="SHOW",FIND(",",'ASS START SYNC'!E340,B336+1),"")</f>
        <v/>
      </c>
      <c r="D336" s="24" t="str">
        <f>IF('ASS START SYNC'!C340="SHOW",FIND(",",'ASS START SYNC'!E340,C336+1),"")</f>
        <v/>
      </c>
      <c r="E336" s="25" t="str">
        <f>IF('ASS START SYNC'!C340="SHOW",FIND(",,",'ASS START SYNC'!E340,1),"")</f>
        <v/>
      </c>
      <c r="F336" s="25" t="str">
        <f>IF('ASS START SYNC'!C340="SHOW",FIND(",,",'ASS START SYNC'!E340,E336+1),"")</f>
        <v/>
      </c>
      <c r="G336" s="23" t="str">
        <f>IF('ASS START SYNC'!C340="SHOW",LEFT('ASS START SYNC'!E340,B336),"")</f>
        <v/>
      </c>
      <c r="H336" s="24" t="str">
        <f>IF(AND('ASS START SYNC'!C340="SHOW",COUNTA('ASS START SYNC'!$E$8:'ASS START SYNC'!E339)=0),MID('ASS START SYNC'!E340,B336+1,C336-B336-1),IF(AND('ASS START SYNC'!C340="SHOW",COUNTA('ASS START SYNC'!$E$8:'ASS START SYNC'!E339)&lt;&gt;0),I335,""))</f>
        <v/>
      </c>
      <c r="I336" s="24" t="str">
        <f>IF('ASS START SYNC'!C340="SHOW",MID('ASS START SYNC'!E340,C336+1,D336-C336-1),I335)</f>
        <v/>
      </c>
      <c r="J336" s="23" t="str">
        <f>IF('ASS START SYNC'!C340="SHOW",MID('ASS START SYNC'!E340,D336+1,F336-D336+1),"")</f>
        <v/>
      </c>
      <c r="K336" s="23" t="str">
        <f>IF('ASS START SYNC'!C340="SHOW",MID('ASS START SYNC'!E340,F336+2,1000),"")</f>
        <v/>
      </c>
      <c r="M336" s="24"/>
      <c r="N336" s="26">
        <v>333</v>
      </c>
      <c r="O336" s="24" t="str">
        <f>IF('ASS END SYNC'!C340="SHOW",FIND(",",'ASS END SYNC'!E340,1),"")</f>
        <v/>
      </c>
      <c r="P336" s="24" t="str">
        <f>IF('ASS END SYNC'!C340="SHOW",FIND(",",'ASS END SYNC'!E340,O336+1),"")</f>
        <v/>
      </c>
      <c r="Q336" s="24" t="str">
        <f>IF('ASS END SYNC'!C340="SHOW",FIND(",",'ASS END SYNC'!E340,P336+1),"")</f>
        <v/>
      </c>
      <c r="R336" s="25" t="str">
        <f>IF('ASS END SYNC'!C340="SHOW",FIND(",,",'ASS END SYNC'!E340,1),"")</f>
        <v/>
      </c>
      <c r="S336" s="25" t="str">
        <f>IF('ASS END SYNC'!C340="SHOW",FIND(",,",'ASS END SYNC'!E340,R336+1),"")</f>
        <v/>
      </c>
      <c r="T336" s="23" t="str">
        <f>IF('ASS END SYNC'!C340="SHOW",LEFT('ASS END SYNC'!E340,O336),"")</f>
        <v/>
      </c>
      <c r="U336" s="24" t="str">
        <f>IF('ASS END SYNC'!C340="SHOW",MID('ASS END SYNC'!E340,O336+1,P336-O336-1),"")</f>
        <v/>
      </c>
      <c r="V336" s="24" t="str">
        <f>IF(AND('ASS END SYNC'!C340="SHOW",'ASS END SYNC'!C341="SHOW"),U337,IF(AND('ASS END SYNC'!C340="SHOW",'ASS END SYNC'!C341&lt;&gt;"SHOW"),MID('ASS END SYNC'!E340,O336+1,P336-O336-1),""))</f>
        <v/>
      </c>
      <c r="W336" s="23" t="str">
        <f>IF('ASS END SYNC'!C340="SHOW",MID('ASS END SYNC'!E340,Q336+1,S336-Q336+1),"")</f>
        <v/>
      </c>
      <c r="X336" s="23" t="str">
        <f>IF('ASS END SYNC'!C340="SHOW",MID('ASS END SYNC'!E340,S336+2,1000),"")</f>
        <v/>
      </c>
      <c r="Z336" s="24"/>
    </row>
    <row r="337" spans="1:26" x14ac:dyDescent="0.25">
      <c r="A337" s="26">
        <v>334</v>
      </c>
      <c r="B337" s="24" t="str">
        <f>IF('ASS START SYNC'!C341="SHOW",FIND(",",'ASS START SYNC'!E341,1),"")</f>
        <v/>
      </c>
      <c r="C337" s="24" t="str">
        <f>IF('ASS START SYNC'!C341="SHOW",FIND(",",'ASS START SYNC'!E341,B337+1),"")</f>
        <v/>
      </c>
      <c r="D337" s="24" t="str">
        <f>IF('ASS START SYNC'!C341="SHOW",FIND(",",'ASS START SYNC'!E341,C337+1),"")</f>
        <v/>
      </c>
      <c r="E337" s="25" t="str">
        <f>IF('ASS START SYNC'!C341="SHOW",FIND(",,",'ASS START SYNC'!E341,1),"")</f>
        <v/>
      </c>
      <c r="F337" s="25" t="str">
        <f>IF('ASS START SYNC'!C341="SHOW",FIND(",,",'ASS START SYNC'!E341,E337+1),"")</f>
        <v/>
      </c>
      <c r="G337" s="23" t="str">
        <f>IF('ASS START SYNC'!C341="SHOW",LEFT('ASS START SYNC'!E341,B337),"")</f>
        <v/>
      </c>
      <c r="H337" s="24" t="str">
        <f>IF(AND('ASS START SYNC'!C341="SHOW",COUNTA('ASS START SYNC'!$E$8:'ASS START SYNC'!E340)=0),MID('ASS START SYNC'!E341,B337+1,C337-B337-1),IF(AND('ASS START SYNC'!C341="SHOW",COUNTA('ASS START SYNC'!$E$8:'ASS START SYNC'!E340)&lt;&gt;0),I336,""))</f>
        <v/>
      </c>
      <c r="I337" s="24" t="str">
        <f>IF('ASS START SYNC'!C341="SHOW",MID('ASS START SYNC'!E341,C337+1,D337-C337-1),I336)</f>
        <v/>
      </c>
      <c r="J337" s="23" t="str">
        <f>IF('ASS START SYNC'!C341="SHOW",MID('ASS START SYNC'!E341,D337+1,F337-D337+1),"")</f>
        <v/>
      </c>
      <c r="K337" s="23" t="str">
        <f>IF('ASS START SYNC'!C341="SHOW",MID('ASS START SYNC'!E341,F337+2,1000),"")</f>
        <v/>
      </c>
      <c r="M337" s="24"/>
      <c r="N337" s="26">
        <v>334</v>
      </c>
      <c r="O337" s="24" t="str">
        <f>IF('ASS END SYNC'!C341="SHOW",FIND(",",'ASS END SYNC'!E341,1),"")</f>
        <v/>
      </c>
      <c r="P337" s="24" t="str">
        <f>IF('ASS END SYNC'!C341="SHOW",FIND(",",'ASS END SYNC'!E341,O337+1),"")</f>
        <v/>
      </c>
      <c r="Q337" s="24" t="str">
        <f>IF('ASS END SYNC'!C341="SHOW",FIND(",",'ASS END SYNC'!E341,P337+1),"")</f>
        <v/>
      </c>
      <c r="R337" s="25" t="str">
        <f>IF('ASS END SYNC'!C341="SHOW",FIND(",,",'ASS END SYNC'!E341,1),"")</f>
        <v/>
      </c>
      <c r="S337" s="25" t="str">
        <f>IF('ASS END SYNC'!C341="SHOW",FIND(",,",'ASS END SYNC'!E341,R337+1),"")</f>
        <v/>
      </c>
      <c r="T337" s="23" t="str">
        <f>IF('ASS END SYNC'!C341="SHOW",LEFT('ASS END SYNC'!E341,O337),"")</f>
        <v/>
      </c>
      <c r="U337" s="24" t="str">
        <f>IF('ASS END SYNC'!C341="SHOW",MID('ASS END SYNC'!E341,O337+1,P337-O337-1),"")</f>
        <v/>
      </c>
      <c r="V337" s="24" t="str">
        <f>IF(AND('ASS END SYNC'!C341="SHOW",'ASS END SYNC'!C342="SHOW"),U338,IF(AND('ASS END SYNC'!C341="SHOW",'ASS END SYNC'!C342&lt;&gt;"SHOW"),MID('ASS END SYNC'!E341,O337+1,P337-O337-1),""))</f>
        <v/>
      </c>
      <c r="W337" s="23" t="str">
        <f>IF('ASS END SYNC'!C341="SHOW",MID('ASS END SYNC'!E341,Q337+1,S337-Q337+1),"")</f>
        <v/>
      </c>
      <c r="X337" s="23" t="str">
        <f>IF('ASS END SYNC'!C341="SHOW",MID('ASS END SYNC'!E341,S337+2,1000),"")</f>
        <v/>
      </c>
      <c r="Z337" s="24"/>
    </row>
    <row r="338" spans="1:26" x14ac:dyDescent="0.25">
      <c r="A338" s="26">
        <v>335</v>
      </c>
      <c r="B338" s="24" t="str">
        <f>IF('ASS START SYNC'!C342="SHOW",FIND(",",'ASS START SYNC'!E342,1),"")</f>
        <v/>
      </c>
      <c r="C338" s="24" t="str">
        <f>IF('ASS START SYNC'!C342="SHOW",FIND(",",'ASS START SYNC'!E342,B338+1),"")</f>
        <v/>
      </c>
      <c r="D338" s="24" t="str">
        <f>IF('ASS START SYNC'!C342="SHOW",FIND(",",'ASS START SYNC'!E342,C338+1),"")</f>
        <v/>
      </c>
      <c r="E338" s="25" t="str">
        <f>IF('ASS START SYNC'!C342="SHOW",FIND(",,",'ASS START SYNC'!E342,1),"")</f>
        <v/>
      </c>
      <c r="F338" s="25" t="str">
        <f>IF('ASS START SYNC'!C342="SHOW",FIND(",,",'ASS START SYNC'!E342,E338+1),"")</f>
        <v/>
      </c>
      <c r="G338" s="23" t="str">
        <f>IF('ASS START SYNC'!C342="SHOW",LEFT('ASS START SYNC'!E342,B338),"")</f>
        <v/>
      </c>
      <c r="H338" s="24" t="str">
        <f>IF(AND('ASS START SYNC'!C342="SHOW",COUNTA('ASS START SYNC'!$E$8:'ASS START SYNC'!E341)=0),MID('ASS START SYNC'!E342,B338+1,C338-B338-1),IF(AND('ASS START SYNC'!C342="SHOW",COUNTA('ASS START SYNC'!$E$8:'ASS START SYNC'!E341)&lt;&gt;0),I337,""))</f>
        <v/>
      </c>
      <c r="I338" s="24" t="str">
        <f>IF('ASS START SYNC'!C342="SHOW",MID('ASS START SYNC'!E342,C338+1,D338-C338-1),I337)</f>
        <v/>
      </c>
      <c r="J338" s="23" t="str">
        <f>IF('ASS START SYNC'!C342="SHOW",MID('ASS START SYNC'!E342,D338+1,F338-D338+1),"")</f>
        <v/>
      </c>
      <c r="K338" s="23" t="str">
        <f>IF('ASS START SYNC'!C342="SHOW",MID('ASS START SYNC'!E342,F338+2,1000),"")</f>
        <v/>
      </c>
      <c r="M338" s="24"/>
      <c r="N338" s="26">
        <v>335</v>
      </c>
      <c r="O338" s="24" t="str">
        <f>IF('ASS END SYNC'!C342="SHOW",FIND(",",'ASS END SYNC'!E342,1),"")</f>
        <v/>
      </c>
      <c r="P338" s="24" t="str">
        <f>IF('ASS END SYNC'!C342="SHOW",FIND(",",'ASS END SYNC'!E342,O338+1),"")</f>
        <v/>
      </c>
      <c r="Q338" s="24" t="str">
        <f>IF('ASS END SYNC'!C342="SHOW",FIND(",",'ASS END SYNC'!E342,P338+1),"")</f>
        <v/>
      </c>
      <c r="R338" s="25" t="str">
        <f>IF('ASS END SYNC'!C342="SHOW",FIND(",,",'ASS END SYNC'!E342,1),"")</f>
        <v/>
      </c>
      <c r="S338" s="25" t="str">
        <f>IF('ASS END SYNC'!C342="SHOW",FIND(",,",'ASS END SYNC'!E342,R338+1),"")</f>
        <v/>
      </c>
      <c r="T338" s="23" t="str">
        <f>IF('ASS END SYNC'!C342="SHOW",LEFT('ASS END SYNC'!E342,O338),"")</f>
        <v/>
      </c>
      <c r="U338" s="24" t="str">
        <f>IF('ASS END SYNC'!C342="SHOW",MID('ASS END SYNC'!E342,O338+1,P338-O338-1),"")</f>
        <v/>
      </c>
      <c r="V338" s="24" t="str">
        <f>IF(AND('ASS END SYNC'!C342="SHOW",'ASS END SYNC'!C343="SHOW"),U339,IF(AND('ASS END SYNC'!C342="SHOW",'ASS END SYNC'!C343&lt;&gt;"SHOW"),MID('ASS END SYNC'!E342,O338+1,P338-O338-1),""))</f>
        <v/>
      </c>
      <c r="W338" s="23" t="str">
        <f>IF('ASS END SYNC'!C342="SHOW",MID('ASS END SYNC'!E342,Q338+1,S338-Q338+1),"")</f>
        <v/>
      </c>
      <c r="X338" s="23" t="str">
        <f>IF('ASS END SYNC'!C342="SHOW",MID('ASS END SYNC'!E342,S338+2,1000),"")</f>
        <v/>
      </c>
      <c r="Z338" s="24"/>
    </row>
    <row r="339" spans="1:26" x14ac:dyDescent="0.25">
      <c r="A339" s="26">
        <v>336</v>
      </c>
      <c r="B339" s="24" t="str">
        <f>IF('ASS START SYNC'!C343="SHOW",FIND(",",'ASS START SYNC'!E343,1),"")</f>
        <v/>
      </c>
      <c r="C339" s="24" t="str">
        <f>IF('ASS START SYNC'!C343="SHOW",FIND(",",'ASS START SYNC'!E343,B339+1),"")</f>
        <v/>
      </c>
      <c r="D339" s="24" t="str">
        <f>IF('ASS START SYNC'!C343="SHOW",FIND(",",'ASS START SYNC'!E343,C339+1),"")</f>
        <v/>
      </c>
      <c r="E339" s="25" t="str">
        <f>IF('ASS START SYNC'!C343="SHOW",FIND(",,",'ASS START SYNC'!E343,1),"")</f>
        <v/>
      </c>
      <c r="F339" s="25" t="str">
        <f>IF('ASS START SYNC'!C343="SHOW",FIND(",,",'ASS START SYNC'!E343,E339+1),"")</f>
        <v/>
      </c>
      <c r="G339" s="23" t="str">
        <f>IF('ASS START SYNC'!C343="SHOW",LEFT('ASS START SYNC'!E343,B339),"")</f>
        <v/>
      </c>
      <c r="H339" s="24" t="str">
        <f>IF(AND('ASS START SYNC'!C343="SHOW",COUNTA('ASS START SYNC'!$E$8:'ASS START SYNC'!E342)=0),MID('ASS START SYNC'!E343,B339+1,C339-B339-1),IF(AND('ASS START SYNC'!C343="SHOW",COUNTA('ASS START SYNC'!$E$8:'ASS START SYNC'!E342)&lt;&gt;0),I338,""))</f>
        <v/>
      </c>
      <c r="I339" s="24" t="str">
        <f>IF('ASS START SYNC'!C343="SHOW",MID('ASS START SYNC'!E343,C339+1,D339-C339-1),I338)</f>
        <v/>
      </c>
      <c r="J339" s="23" t="str">
        <f>IF('ASS START SYNC'!C343="SHOW",MID('ASS START SYNC'!E343,D339+1,F339-D339+1),"")</f>
        <v/>
      </c>
      <c r="K339" s="23" t="str">
        <f>IF('ASS START SYNC'!C343="SHOW",MID('ASS START SYNC'!E343,F339+2,1000),"")</f>
        <v/>
      </c>
      <c r="M339" s="24"/>
      <c r="N339" s="26">
        <v>336</v>
      </c>
      <c r="O339" s="24" t="str">
        <f>IF('ASS END SYNC'!C343="SHOW",FIND(",",'ASS END SYNC'!E343,1),"")</f>
        <v/>
      </c>
      <c r="P339" s="24" t="str">
        <f>IF('ASS END SYNC'!C343="SHOW",FIND(",",'ASS END SYNC'!E343,O339+1),"")</f>
        <v/>
      </c>
      <c r="Q339" s="24" t="str">
        <f>IF('ASS END SYNC'!C343="SHOW",FIND(",",'ASS END SYNC'!E343,P339+1),"")</f>
        <v/>
      </c>
      <c r="R339" s="25" t="str">
        <f>IF('ASS END SYNC'!C343="SHOW",FIND(",,",'ASS END SYNC'!E343,1),"")</f>
        <v/>
      </c>
      <c r="S339" s="25" t="str">
        <f>IF('ASS END SYNC'!C343="SHOW",FIND(",,",'ASS END SYNC'!E343,R339+1),"")</f>
        <v/>
      </c>
      <c r="T339" s="23" t="str">
        <f>IF('ASS END SYNC'!C343="SHOW",LEFT('ASS END SYNC'!E343,O339),"")</f>
        <v/>
      </c>
      <c r="U339" s="24" t="str">
        <f>IF('ASS END SYNC'!C343="SHOW",MID('ASS END SYNC'!E343,O339+1,P339-O339-1),"")</f>
        <v/>
      </c>
      <c r="V339" s="24" t="str">
        <f>IF(AND('ASS END SYNC'!C343="SHOW",'ASS END SYNC'!C344="SHOW"),U340,IF(AND('ASS END SYNC'!C343="SHOW",'ASS END SYNC'!C344&lt;&gt;"SHOW"),MID('ASS END SYNC'!E343,O339+1,P339-O339-1),""))</f>
        <v/>
      </c>
      <c r="W339" s="23" t="str">
        <f>IF('ASS END SYNC'!C343="SHOW",MID('ASS END SYNC'!E343,Q339+1,S339-Q339+1),"")</f>
        <v/>
      </c>
      <c r="X339" s="23" t="str">
        <f>IF('ASS END SYNC'!C343="SHOW",MID('ASS END SYNC'!E343,S339+2,1000),"")</f>
        <v/>
      </c>
      <c r="Z339" s="24"/>
    </row>
    <row r="340" spans="1:26" x14ac:dyDescent="0.25">
      <c r="A340" s="26">
        <v>337</v>
      </c>
      <c r="B340" s="24" t="str">
        <f>IF('ASS START SYNC'!C344="SHOW",FIND(",",'ASS START SYNC'!E344,1),"")</f>
        <v/>
      </c>
      <c r="C340" s="24" t="str">
        <f>IF('ASS START SYNC'!C344="SHOW",FIND(",",'ASS START SYNC'!E344,B340+1),"")</f>
        <v/>
      </c>
      <c r="D340" s="24" t="str">
        <f>IF('ASS START SYNC'!C344="SHOW",FIND(",",'ASS START SYNC'!E344,C340+1),"")</f>
        <v/>
      </c>
      <c r="E340" s="25" t="str">
        <f>IF('ASS START SYNC'!C344="SHOW",FIND(",,",'ASS START SYNC'!E344,1),"")</f>
        <v/>
      </c>
      <c r="F340" s="25" t="str">
        <f>IF('ASS START SYNC'!C344="SHOW",FIND(",,",'ASS START SYNC'!E344,E340+1),"")</f>
        <v/>
      </c>
      <c r="G340" s="23" t="str">
        <f>IF('ASS START SYNC'!C344="SHOW",LEFT('ASS START SYNC'!E344,B340),"")</f>
        <v/>
      </c>
      <c r="H340" s="24" t="str">
        <f>IF(AND('ASS START SYNC'!C344="SHOW",COUNTA('ASS START SYNC'!$E$8:'ASS START SYNC'!E343)=0),MID('ASS START SYNC'!E344,B340+1,C340-B340-1),IF(AND('ASS START SYNC'!C344="SHOW",COUNTA('ASS START SYNC'!$E$8:'ASS START SYNC'!E343)&lt;&gt;0),I339,""))</f>
        <v/>
      </c>
      <c r="I340" s="24" t="str">
        <f>IF('ASS START SYNC'!C344="SHOW",MID('ASS START SYNC'!E344,C340+1,D340-C340-1),I339)</f>
        <v/>
      </c>
      <c r="J340" s="23" t="str">
        <f>IF('ASS START SYNC'!C344="SHOW",MID('ASS START SYNC'!E344,D340+1,F340-D340+1),"")</f>
        <v/>
      </c>
      <c r="K340" s="23" t="str">
        <f>IF('ASS START SYNC'!C344="SHOW",MID('ASS START SYNC'!E344,F340+2,1000),"")</f>
        <v/>
      </c>
      <c r="M340" s="24"/>
      <c r="N340" s="26">
        <v>337</v>
      </c>
      <c r="O340" s="24" t="str">
        <f>IF('ASS END SYNC'!C344="SHOW",FIND(",",'ASS END SYNC'!E344,1),"")</f>
        <v/>
      </c>
      <c r="P340" s="24" t="str">
        <f>IF('ASS END SYNC'!C344="SHOW",FIND(",",'ASS END SYNC'!E344,O340+1),"")</f>
        <v/>
      </c>
      <c r="Q340" s="24" t="str">
        <f>IF('ASS END SYNC'!C344="SHOW",FIND(",",'ASS END SYNC'!E344,P340+1),"")</f>
        <v/>
      </c>
      <c r="R340" s="25" t="str">
        <f>IF('ASS END SYNC'!C344="SHOW",FIND(",,",'ASS END SYNC'!E344,1),"")</f>
        <v/>
      </c>
      <c r="S340" s="25" t="str">
        <f>IF('ASS END SYNC'!C344="SHOW",FIND(",,",'ASS END SYNC'!E344,R340+1),"")</f>
        <v/>
      </c>
      <c r="T340" s="23" t="str">
        <f>IF('ASS END SYNC'!C344="SHOW",LEFT('ASS END SYNC'!E344,O340),"")</f>
        <v/>
      </c>
      <c r="U340" s="24" t="str">
        <f>IF('ASS END SYNC'!C344="SHOW",MID('ASS END SYNC'!E344,O340+1,P340-O340-1),"")</f>
        <v/>
      </c>
      <c r="V340" s="24" t="str">
        <f>IF(AND('ASS END SYNC'!C344="SHOW",'ASS END SYNC'!C345="SHOW"),U341,IF(AND('ASS END SYNC'!C344="SHOW",'ASS END SYNC'!C345&lt;&gt;"SHOW"),MID('ASS END SYNC'!E344,O340+1,P340-O340-1),""))</f>
        <v/>
      </c>
      <c r="W340" s="23" t="str">
        <f>IF('ASS END SYNC'!C344="SHOW",MID('ASS END SYNC'!E344,Q340+1,S340-Q340+1),"")</f>
        <v/>
      </c>
      <c r="X340" s="23" t="str">
        <f>IF('ASS END SYNC'!C344="SHOW",MID('ASS END SYNC'!E344,S340+2,1000),"")</f>
        <v/>
      </c>
      <c r="Z340" s="24"/>
    </row>
    <row r="341" spans="1:26" x14ac:dyDescent="0.25">
      <c r="A341" s="26">
        <v>338</v>
      </c>
      <c r="B341" s="24" t="str">
        <f>IF('ASS START SYNC'!C345="SHOW",FIND(",",'ASS START SYNC'!E345,1),"")</f>
        <v/>
      </c>
      <c r="C341" s="24" t="str">
        <f>IF('ASS START SYNC'!C345="SHOW",FIND(",",'ASS START SYNC'!E345,B341+1),"")</f>
        <v/>
      </c>
      <c r="D341" s="24" t="str">
        <f>IF('ASS START SYNC'!C345="SHOW",FIND(",",'ASS START SYNC'!E345,C341+1),"")</f>
        <v/>
      </c>
      <c r="E341" s="25" t="str">
        <f>IF('ASS START SYNC'!C345="SHOW",FIND(",,",'ASS START SYNC'!E345,1),"")</f>
        <v/>
      </c>
      <c r="F341" s="25" t="str">
        <f>IF('ASS START SYNC'!C345="SHOW",FIND(",,",'ASS START SYNC'!E345,E341+1),"")</f>
        <v/>
      </c>
      <c r="G341" s="23" t="str">
        <f>IF('ASS START SYNC'!C345="SHOW",LEFT('ASS START SYNC'!E345,B341),"")</f>
        <v/>
      </c>
      <c r="H341" s="24" t="str">
        <f>IF(AND('ASS START SYNC'!C345="SHOW",COUNTA('ASS START SYNC'!$E$8:'ASS START SYNC'!E344)=0),MID('ASS START SYNC'!E345,B341+1,C341-B341-1),IF(AND('ASS START SYNC'!C345="SHOW",COUNTA('ASS START SYNC'!$E$8:'ASS START SYNC'!E344)&lt;&gt;0),I340,""))</f>
        <v/>
      </c>
      <c r="I341" s="24" t="str">
        <f>IF('ASS START SYNC'!C345="SHOW",MID('ASS START SYNC'!E345,C341+1,D341-C341-1),I340)</f>
        <v/>
      </c>
      <c r="J341" s="23" t="str">
        <f>IF('ASS START SYNC'!C345="SHOW",MID('ASS START SYNC'!E345,D341+1,F341-D341+1),"")</f>
        <v/>
      </c>
      <c r="K341" s="23" t="str">
        <f>IF('ASS START SYNC'!C345="SHOW",MID('ASS START SYNC'!E345,F341+2,1000),"")</f>
        <v/>
      </c>
      <c r="M341" s="24"/>
      <c r="N341" s="26">
        <v>338</v>
      </c>
      <c r="O341" s="24" t="str">
        <f>IF('ASS END SYNC'!C345="SHOW",FIND(",",'ASS END SYNC'!E345,1),"")</f>
        <v/>
      </c>
      <c r="P341" s="24" t="str">
        <f>IF('ASS END SYNC'!C345="SHOW",FIND(",",'ASS END SYNC'!E345,O341+1),"")</f>
        <v/>
      </c>
      <c r="Q341" s="24" t="str">
        <f>IF('ASS END SYNC'!C345="SHOW",FIND(",",'ASS END SYNC'!E345,P341+1),"")</f>
        <v/>
      </c>
      <c r="R341" s="25" t="str">
        <f>IF('ASS END SYNC'!C345="SHOW",FIND(",,",'ASS END SYNC'!E345,1),"")</f>
        <v/>
      </c>
      <c r="S341" s="25" t="str">
        <f>IF('ASS END SYNC'!C345="SHOW",FIND(",,",'ASS END SYNC'!E345,R341+1),"")</f>
        <v/>
      </c>
      <c r="T341" s="23" t="str">
        <f>IF('ASS END SYNC'!C345="SHOW",LEFT('ASS END SYNC'!E345,O341),"")</f>
        <v/>
      </c>
      <c r="U341" s="24" t="str">
        <f>IF('ASS END SYNC'!C345="SHOW",MID('ASS END SYNC'!E345,O341+1,P341-O341-1),"")</f>
        <v/>
      </c>
      <c r="V341" s="24" t="str">
        <f>IF(AND('ASS END SYNC'!C345="SHOW",'ASS END SYNC'!C346="SHOW"),U342,IF(AND('ASS END SYNC'!C345="SHOW",'ASS END SYNC'!C346&lt;&gt;"SHOW"),MID('ASS END SYNC'!E345,O341+1,P341-O341-1),""))</f>
        <v/>
      </c>
      <c r="W341" s="23" t="str">
        <f>IF('ASS END SYNC'!C345="SHOW",MID('ASS END SYNC'!E345,Q341+1,S341-Q341+1),"")</f>
        <v/>
      </c>
      <c r="X341" s="23" t="str">
        <f>IF('ASS END SYNC'!C345="SHOW",MID('ASS END SYNC'!E345,S341+2,1000),"")</f>
        <v/>
      </c>
      <c r="Z341" s="24"/>
    </row>
    <row r="342" spans="1:26" x14ac:dyDescent="0.25">
      <c r="A342" s="26">
        <v>339</v>
      </c>
      <c r="B342" s="24" t="str">
        <f>IF('ASS START SYNC'!C346="SHOW",FIND(",",'ASS START SYNC'!E346,1),"")</f>
        <v/>
      </c>
      <c r="C342" s="24" t="str">
        <f>IF('ASS START SYNC'!C346="SHOW",FIND(",",'ASS START SYNC'!E346,B342+1),"")</f>
        <v/>
      </c>
      <c r="D342" s="24" t="str">
        <f>IF('ASS START SYNC'!C346="SHOW",FIND(",",'ASS START SYNC'!E346,C342+1),"")</f>
        <v/>
      </c>
      <c r="E342" s="25" t="str">
        <f>IF('ASS START SYNC'!C346="SHOW",FIND(",,",'ASS START SYNC'!E346,1),"")</f>
        <v/>
      </c>
      <c r="F342" s="25" t="str">
        <f>IF('ASS START SYNC'!C346="SHOW",FIND(",,",'ASS START SYNC'!E346,E342+1),"")</f>
        <v/>
      </c>
      <c r="G342" s="23" t="str">
        <f>IF('ASS START SYNC'!C346="SHOW",LEFT('ASS START SYNC'!E346,B342),"")</f>
        <v/>
      </c>
      <c r="H342" s="24" t="str">
        <f>IF(AND('ASS START SYNC'!C346="SHOW",COUNTA('ASS START SYNC'!$E$8:'ASS START SYNC'!E345)=0),MID('ASS START SYNC'!E346,B342+1,C342-B342-1),IF(AND('ASS START SYNC'!C346="SHOW",COUNTA('ASS START SYNC'!$E$8:'ASS START SYNC'!E345)&lt;&gt;0),I341,""))</f>
        <v/>
      </c>
      <c r="I342" s="24" t="str">
        <f>IF('ASS START SYNC'!C346="SHOW",MID('ASS START SYNC'!E346,C342+1,D342-C342-1),I341)</f>
        <v/>
      </c>
      <c r="J342" s="23" t="str">
        <f>IF('ASS START SYNC'!C346="SHOW",MID('ASS START SYNC'!E346,D342+1,F342-D342+1),"")</f>
        <v/>
      </c>
      <c r="K342" s="23" t="str">
        <f>IF('ASS START SYNC'!C346="SHOW",MID('ASS START SYNC'!E346,F342+2,1000),"")</f>
        <v/>
      </c>
      <c r="M342" s="24"/>
      <c r="N342" s="26">
        <v>339</v>
      </c>
      <c r="O342" s="24" t="str">
        <f>IF('ASS END SYNC'!C346="SHOW",FIND(",",'ASS END SYNC'!E346,1),"")</f>
        <v/>
      </c>
      <c r="P342" s="24" t="str">
        <f>IF('ASS END SYNC'!C346="SHOW",FIND(",",'ASS END SYNC'!E346,O342+1),"")</f>
        <v/>
      </c>
      <c r="Q342" s="24" t="str">
        <f>IF('ASS END SYNC'!C346="SHOW",FIND(",",'ASS END SYNC'!E346,P342+1),"")</f>
        <v/>
      </c>
      <c r="R342" s="25" t="str">
        <f>IF('ASS END SYNC'!C346="SHOW",FIND(",,",'ASS END SYNC'!E346,1),"")</f>
        <v/>
      </c>
      <c r="S342" s="25" t="str">
        <f>IF('ASS END SYNC'!C346="SHOW",FIND(",,",'ASS END SYNC'!E346,R342+1),"")</f>
        <v/>
      </c>
      <c r="T342" s="23" t="str">
        <f>IF('ASS END SYNC'!C346="SHOW",LEFT('ASS END SYNC'!E346,O342),"")</f>
        <v/>
      </c>
      <c r="U342" s="24" t="str">
        <f>IF('ASS END SYNC'!C346="SHOW",MID('ASS END SYNC'!E346,O342+1,P342-O342-1),"")</f>
        <v/>
      </c>
      <c r="V342" s="24" t="str">
        <f>IF(AND('ASS END SYNC'!C346="SHOW",'ASS END SYNC'!C347="SHOW"),U343,IF(AND('ASS END SYNC'!C346="SHOW",'ASS END SYNC'!C347&lt;&gt;"SHOW"),MID('ASS END SYNC'!E346,O342+1,P342-O342-1),""))</f>
        <v/>
      </c>
      <c r="W342" s="23" t="str">
        <f>IF('ASS END SYNC'!C346="SHOW",MID('ASS END SYNC'!E346,Q342+1,S342-Q342+1),"")</f>
        <v/>
      </c>
      <c r="X342" s="23" t="str">
        <f>IF('ASS END SYNC'!C346="SHOW",MID('ASS END SYNC'!E346,S342+2,1000),"")</f>
        <v/>
      </c>
      <c r="Z342" s="24"/>
    </row>
    <row r="343" spans="1:26" x14ac:dyDescent="0.25">
      <c r="A343" s="26">
        <v>340</v>
      </c>
      <c r="B343" s="24" t="str">
        <f>IF('ASS START SYNC'!C347="SHOW",FIND(",",'ASS START SYNC'!E347,1),"")</f>
        <v/>
      </c>
      <c r="C343" s="24" t="str">
        <f>IF('ASS START SYNC'!C347="SHOW",FIND(",",'ASS START SYNC'!E347,B343+1),"")</f>
        <v/>
      </c>
      <c r="D343" s="24" t="str">
        <f>IF('ASS START SYNC'!C347="SHOW",FIND(",",'ASS START SYNC'!E347,C343+1),"")</f>
        <v/>
      </c>
      <c r="E343" s="25" t="str">
        <f>IF('ASS START SYNC'!C347="SHOW",FIND(",,",'ASS START SYNC'!E347,1),"")</f>
        <v/>
      </c>
      <c r="F343" s="25" t="str">
        <f>IF('ASS START SYNC'!C347="SHOW",FIND(",,",'ASS START SYNC'!E347,E343+1),"")</f>
        <v/>
      </c>
      <c r="G343" s="23" t="str">
        <f>IF('ASS START SYNC'!C347="SHOW",LEFT('ASS START SYNC'!E347,B343),"")</f>
        <v/>
      </c>
      <c r="H343" s="24" t="str">
        <f>IF(AND('ASS START SYNC'!C347="SHOW",COUNTA('ASS START SYNC'!$E$8:'ASS START SYNC'!E346)=0),MID('ASS START SYNC'!E347,B343+1,C343-B343-1),IF(AND('ASS START SYNC'!C347="SHOW",COUNTA('ASS START SYNC'!$E$8:'ASS START SYNC'!E346)&lt;&gt;0),I342,""))</f>
        <v/>
      </c>
      <c r="I343" s="24" t="str">
        <f>IF('ASS START SYNC'!C347="SHOW",MID('ASS START SYNC'!E347,C343+1,D343-C343-1),I342)</f>
        <v/>
      </c>
      <c r="J343" s="23" t="str">
        <f>IF('ASS START SYNC'!C347="SHOW",MID('ASS START SYNC'!E347,D343+1,F343-D343+1),"")</f>
        <v/>
      </c>
      <c r="K343" s="23" t="str">
        <f>IF('ASS START SYNC'!C347="SHOW",MID('ASS START SYNC'!E347,F343+2,1000),"")</f>
        <v/>
      </c>
      <c r="M343" s="24"/>
      <c r="N343" s="26">
        <v>340</v>
      </c>
      <c r="O343" s="24" t="str">
        <f>IF('ASS END SYNC'!C347="SHOW",FIND(",",'ASS END SYNC'!E347,1),"")</f>
        <v/>
      </c>
      <c r="P343" s="24" t="str">
        <f>IF('ASS END SYNC'!C347="SHOW",FIND(",",'ASS END SYNC'!E347,O343+1),"")</f>
        <v/>
      </c>
      <c r="Q343" s="24" t="str">
        <f>IF('ASS END SYNC'!C347="SHOW",FIND(",",'ASS END SYNC'!E347,P343+1),"")</f>
        <v/>
      </c>
      <c r="R343" s="25" t="str">
        <f>IF('ASS END SYNC'!C347="SHOW",FIND(",,",'ASS END SYNC'!E347,1),"")</f>
        <v/>
      </c>
      <c r="S343" s="25" t="str">
        <f>IF('ASS END SYNC'!C347="SHOW",FIND(",,",'ASS END SYNC'!E347,R343+1),"")</f>
        <v/>
      </c>
      <c r="T343" s="23" t="str">
        <f>IF('ASS END SYNC'!C347="SHOW",LEFT('ASS END SYNC'!E347,O343),"")</f>
        <v/>
      </c>
      <c r="U343" s="24" t="str">
        <f>IF('ASS END SYNC'!C347="SHOW",MID('ASS END SYNC'!E347,O343+1,P343-O343-1),"")</f>
        <v/>
      </c>
      <c r="V343" s="24" t="str">
        <f>IF(AND('ASS END SYNC'!C347="SHOW",'ASS END SYNC'!C348="SHOW"),U344,IF(AND('ASS END SYNC'!C347="SHOW",'ASS END SYNC'!C348&lt;&gt;"SHOW"),MID('ASS END SYNC'!E347,O343+1,P343-O343-1),""))</f>
        <v/>
      </c>
      <c r="W343" s="23" t="str">
        <f>IF('ASS END SYNC'!C347="SHOW",MID('ASS END SYNC'!E347,Q343+1,S343-Q343+1),"")</f>
        <v/>
      </c>
      <c r="X343" s="23" t="str">
        <f>IF('ASS END SYNC'!C347="SHOW",MID('ASS END SYNC'!E347,S343+2,1000),"")</f>
        <v/>
      </c>
      <c r="Z343" s="24"/>
    </row>
    <row r="344" spans="1:26" x14ac:dyDescent="0.25">
      <c r="A344" s="26">
        <v>341</v>
      </c>
      <c r="B344" s="24" t="str">
        <f>IF('ASS START SYNC'!C348="SHOW",FIND(",",'ASS START SYNC'!E348,1),"")</f>
        <v/>
      </c>
      <c r="C344" s="24" t="str">
        <f>IF('ASS START SYNC'!C348="SHOW",FIND(",",'ASS START SYNC'!E348,B344+1),"")</f>
        <v/>
      </c>
      <c r="D344" s="24" t="str">
        <f>IF('ASS START SYNC'!C348="SHOW",FIND(",",'ASS START SYNC'!E348,C344+1),"")</f>
        <v/>
      </c>
      <c r="E344" s="25" t="str">
        <f>IF('ASS START SYNC'!C348="SHOW",FIND(",,",'ASS START SYNC'!E348,1),"")</f>
        <v/>
      </c>
      <c r="F344" s="25" t="str">
        <f>IF('ASS START SYNC'!C348="SHOW",FIND(",,",'ASS START SYNC'!E348,E344+1),"")</f>
        <v/>
      </c>
      <c r="G344" s="23" t="str">
        <f>IF('ASS START SYNC'!C348="SHOW",LEFT('ASS START SYNC'!E348,B344),"")</f>
        <v/>
      </c>
      <c r="H344" s="24" t="str">
        <f>IF(AND('ASS START SYNC'!C348="SHOW",COUNTA('ASS START SYNC'!$E$8:'ASS START SYNC'!E347)=0),MID('ASS START SYNC'!E348,B344+1,C344-B344-1),IF(AND('ASS START SYNC'!C348="SHOW",COUNTA('ASS START SYNC'!$E$8:'ASS START SYNC'!E347)&lt;&gt;0),I343,""))</f>
        <v/>
      </c>
      <c r="I344" s="24" t="str">
        <f>IF('ASS START SYNC'!C348="SHOW",MID('ASS START SYNC'!E348,C344+1,D344-C344-1),I343)</f>
        <v/>
      </c>
      <c r="J344" s="23" t="str">
        <f>IF('ASS START SYNC'!C348="SHOW",MID('ASS START SYNC'!E348,D344+1,F344-D344+1),"")</f>
        <v/>
      </c>
      <c r="K344" s="23" t="str">
        <f>IF('ASS START SYNC'!C348="SHOW",MID('ASS START SYNC'!E348,F344+2,1000),"")</f>
        <v/>
      </c>
      <c r="M344" s="24"/>
      <c r="N344" s="26">
        <v>341</v>
      </c>
      <c r="O344" s="24" t="str">
        <f>IF('ASS END SYNC'!C348="SHOW",FIND(",",'ASS END SYNC'!E348,1),"")</f>
        <v/>
      </c>
      <c r="P344" s="24" t="str">
        <f>IF('ASS END SYNC'!C348="SHOW",FIND(",",'ASS END SYNC'!E348,O344+1),"")</f>
        <v/>
      </c>
      <c r="Q344" s="24" t="str">
        <f>IF('ASS END SYNC'!C348="SHOW",FIND(",",'ASS END SYNC'!E348,P344+1),"")</f>
        <v/>
      </c>
      <c r="R344" s="25" t="str">
        <f>IF('ASS END SYNC'!C348="SHOW",FIND(",,",'ASS END SYNC'!E348,1),"")</f>
        <v/>
      </c>
      <c r="S344" s="25" t="str">
        <f>IF('ASS END SYNC'!C348="SHOW",FIND(",,",'ASS END SYNC'!E348,R344+1),"")</f>
        <v/>
      </c>
      <c r="T344" s="23" t="str">
        <f>IF('ASS END SYNC'!C348="SHOW",LEFT('ASS END SYNC'!E348,O344),"")</f>
        <v/>
      </c>
      <c r="U344" s="24" t="str">
        <f>IF('ASS END SYNC'!C348="SHOW",MID('ASS END SYNC'!E348,O344+1,P344-O344-1),"")</f>
        <v/>
      </c>
      <c r="V344" s="24" t="str">
        <f>IF(AND('ASS END SYNC'!C348="SHOW",'ASS END SYNC'!C349="SHOW"),U345,IF(AND('ASS END SYNC'!C348="SHOW",'ASS END SYNC'!C349&lt;&gt;"SHOW"),MID('ASS END SYNC'!E348,O344+1,P344-O344-1),""))</f>
        <v/>
      </c>
      <c r="W344" s="23" t="str">
        <f>IF('ASS END SYNC'!C348="SHOW",MID('ASS END SYNC'!E348,Q344+1,S344-Q344+1),"")</f>
        <v/>
      </c>
      <c r="X344" s="23" t="str">
        <f>IF('ASS END SYNC'!C348="SHOW",MID('ASS END SYNC'!E348,S344+2,1000),"")</f>
        <v/>
      </c>
      <c r="Z344" s="24"/>
    </row>
    <row r="345" spans="1:26" x14ac:dyDescent="0.25">
      <c r="A345" s="26">
        <v>342</v>
      </c>
      <c r="B345" s="24" t="str">
        <f>IF('ASS START SYNC'!C349="SHOW",FIND(",",'ASS START SYNC'!E349,1),"")</f>
        <v/>
      </c>
      <c r="C345" s="24" t="str">
        <f>IF('ASS START SYNC'!C349="SHOW",FIND(",",'ASS START SYNC'!E349,B345+1),"")</f>
        <v/>
      </c>
      <c r="D345" s="24" t="str">
        <f>IF('ASS START SYNC'!C349="SHOW",FIND(",",'ASS START SYNC'!E349,C345+1),"")</f>
        <v/>
      </c>
      <c r="E345" s="25" t="str">
        <f>IF('ASS START SYNC'!C349="SHOW",FIND(",,",'ASS START SYNC'!E349,1),"")</f>
        <v/>
      </c>
      <c r="F345" s="25" t="str">
        <f>IF('ASS START SYNC'!C349="SHOW",FIND(",,",'ASS START SYNC'!E349,E345+1),"")</f>
        <v/>
      </c>
      <c r="G345" s="23" t="str">
        <f>IF('ASS START SYNC'!C349="SHOW",LEFT('ASS START SYNC'!E349,B345),"")</f>
        <v/>
      </c>
      <c r="H345" s="24" t="str">
        <f>IF(AND('ASS START SYNC'!C349="SHOW",COUNTA('ASS START SYNC'!$E$8:'ASS START SYNC'!E348)=0),MID('ASS START SYNC'!E349,B345+1,C345-B345-1),IF(AND('ASS START SYNC'!C349="SHOW",COUNTA('ASS START SYNC'!$E$8:'ASS START SYNC'!E348)&lt;&gt;0),I344,""))</f>
        <v/>
      </c>
      <c r="I345" s="24" t="str">
        <f>IF('ASS START SYNC'!C349="SHOW",MID('ASS START SYNC'!E349,C345+1,D345-C345-1),I344)</f>
        <v/>
      </c>
      <c r="J345" s="23" t="str">
        <f>IF('ASS START SYNC'!C349="SHOW",MID('ASS START SYNC'!E349,D345+1,F345-D345+1),"")</f>
        <v/>
      </c>
      <c r="K345" s="23" t="str">
        <f>IF('ASS START SYNC'!C349="SHOW",MID('ASS START SYNC'!E349,F345+2,1000),"")</f>
        <v/>
      </c>
      <c r="M345" s="24"/>
      <c r="N345" s="26">
        <v>342</v>
      </c>
      <c r="O345" s="24" t="str">
        <f>IF('ASS END SYNC'!C349="SHOW",FIND(",",'ASS END SYNC'!E349,1),"")</f>
        <v/>
      </c>
      <c r="P345" s="24" t="str">
        <f>IF('ASS END SYNC'!C349="SHOW",FIND(",",'ASS END SYNC'!E349,O345+1),"")</f>
        <v/>
      </c>
      <c r="Q345" s="24" t="str">
        <f>IF('ASS END SYNC'!C349="SHOW",FIND(",",'ASS END SYNC'!E349,P345+1),"")</f>
        <v/>
      </c>
      <c r="R345" s="25" t="str">
        <f>IF('ASS END SYNC'!C349="SHOW",FIND(",,",'ASS END SYNC'!E349,1),"")</f>
        <v/>
      </c>
      <c r="S345" s="25" t="str">
        <f>IF('ASS END SYNC'!C349="SHOW",FIND(",,",'ASS END SYNC'!E349,R345+1),"")</f>
        <v/>
      </c>
      <c r="T345" s="23" t="str">
        <f>IF('ASS END SYNC'!C349="SHOW",LEFT('ASS END SYNC'!E349,O345),"")</f>
        <v/>
      </c>
      <c r="U345" s="24" t="str">
        <f>IF('ASS END SYNC'!C349="SHOW",MID('ASS END SYNC'!E349,O345+1,P345-O345-1),"")</f>
        <v/>
      </c>
      <c r="V345" s="24" t="str">
        <f>IF(AND('ASS END SYNC'!C349="SHOW",'ASS END SYNC'!C350="SHOW"),U346,IF(AND('ASS END SYNC'!C349="SHOW",'ASS END SYNC'!C350&lt;&gt;"SHOW"),MID('ASS END SYNC'!E349,O345+1,P345-O345-1),""))</f>
        <v/>
      </c>
      <c r="W345" s="23" t="str">
        <f>IF('ASS END SYNC'!C349="SHOW",MID('ASS END SYNC'!E349,Q345+1,S345-Q345+1),"")</f>
        <v/>
      </c>
      <c r="X345" s="23" t="str">
        <f>IF('ASS END SYNC'!C349="SHOW",MID('ASS END SYNC'!E349,S345+2,1000),"")</f>
        <v/>
      </c>
      <c r="Z345" s="24"/>
    </row>
    <row r="346" spans="1:26" x14ac:dyDescent="0.25">
      <c r="A346" s="26">
        <v>343</v>
      </c>
      <c r="B346" s="24" t="str">
        <f>IF('ASS START SYNC'!C350="SHOW",FIND(",",'ASS START SYNC'!E350,1),"")</f>
        <v/>
      </c>
      <c r="C346" s="24" t="str">
        <f>IF('ASS START SYNC'!C350="SHOW",FIND(",",'ASS START SYNC'!E350,B346+1),"")</f>
        <v/>
      </c>
      <c r="D346" s="24" t="str">
        <f>IF('ASS START SYNC'!C350="SHOW",FIND(",",'ASS START SYNC'!E350,C346+1),"")</f>
        <v/>
      </c>
      <c r="E346" s="25" t="str">
        <f>IF('ASS START SYNC'!C350="SHOW",FIND(",,",'ASS START SYNC'!E350,1),"")</f>
        <v/>
      </c>
      <c r="F346" s="25" t="str">
        <f>IF('ASS START SYNC'!C350="SHOW",FIND(",,",'ASS START SYNC'!E350,E346+1),"")</f>
        <v/>
      </c>
      <c r="G346" s="23" t="str">
        <f>IF('ASS START SYNC'!C350="SHOW",LEFT('ASS START SYNC'!E350,B346),"")</f>
        <v/>
      </c>
      <c r="H346" s="24" t="str">
        <f>IF(AND('ASS START SYNC'!C350="SHOW",COUNTA('ASS START SYNC'!$E$8:'ASS START SYNC'!E349)=0),MID('ASS START SYNC'!E350,B346+1,C346-B346-1),IF(AND('ASS START SYNC'!C350="SHOW",COUNTA('ASS START SYNC'!$E$8:'ASS START SYNC'!E349)&lt;&gt;0),I345,""))</f>
        <v/>
      </c>
      <c r="I346" s="24" t="str">
        <f>IF('ASS START SYNC'!C350="SHOW",MID('ASS START SYNC'!E350,C346+1,D346-C346-1),I345)</f>
        <v/>
      </c>
      <c r="J346" s="23" t="str">
        <f>IF('ASS START SYNC'!C350="SHOW",MID('ASS START SYNC'!E350,D346+1,F346-D346+1),"")</f>
        <v/>
      </c>
      <c r="K346" s="23" t="str">
        <f>IF('ASS START SYNC'!C350="SHOW",MID('ASS START SYNC'!E350,F346+2,1000),"")</f>
        <v/>
      </c>
      <c r="M346" s="24"/>
      <c r="N346" s="26">
        <v>343</v>
      </c>
      <c r="O346" s="24" t="str">
        <f>IF('ASS END SYNC'!C350="SHOW",FIND(",",'ASS END SYNC'!E350,1),"")</f>
        <v/>
      </c>
      <c r="P346" s="24" t="str">
        <f>IF('ASS END SYNC'!C350="SHOW",FIND(",",'ASS END SYNC'!E350,O346+1),"")</f>
        <v/>
      </c>
      <c r="Q346" s="24" t="str">
        <f>IF('ASS END SYNC'!C350="SHOW",FIND(",",'ASS END SYNC'!E350,P346+1),"")</f>
        <v/>
      </c>
      <c r="R346" s="25" t="str">
        <f>IF('ASS END SYNC'!C350="SHOW",FIND(",,",'ASS END SYNC'!E350,1),"")</f>
        <v/>
      </c>
      <c r="S346" s="25" t="str">
        <f>IF('ASS END SYNC'!C350="SHOW",FIND(",,",'ASS END SYNC'!E350,R346+1),"")</f>
        <v/>
      </c>
      <c r="T346" s="23" t="str">
        <f>IF('ASS END SYNC'!C350="SHOW",LEFT('ASS END SYNC'!E350,O346),"")</f>
        <v/>
      </c>
      <c r="U346" s="24" t="str">
        <f>IF('ASS END SYNC'!C350="SHOW",MID('ASS END SYNC'!E350,O346+1,P346-O346-1),"")</f>
        <v/>
      </c>
      <c r="V346" s="24" t="str">
        <f>IF(AND('ASS END SYNC'!C350="SHOW",'ASS END SYNC'!C351="SHOW"),U347,IF(AND('ASS END SYNC'!C350="SHOW",'ASS END SYNC'!C351&lt;&gt;"SHOW"),MID('ASS END SYNC'!E350,O346+1,P346-O346-1),""))</f>
        <v/>
      </c>
      <c r="W346" s="23" t="str">
        <f>IF('ASS END SYNC'!C350="SHOW",MID('ASS END SYNC'!E350,Q346+1,S346-Q346+1),"")</f>
        <v/>
      </c>
      <c r="X346" s="23" t="str">
        <f>IF('ASS END SYNC'!C350="SHOW",MID('ASS END SYNC'!E350,S346+2,1000),"")</f>
        <v/>
      </c>
      <c r="Z346" s="24"/>
    </row>
    <row r="347" spans="1:26" x14ac:dyDescent="0.25">
      <c r="A347" s="26">
        <v>344</v>
      </c>
      <c r="B347" s="24" t="str">
        <f>IF('ASS START SYNC'!C351="SHOW",FIND(",",'ASS START SYNC'!E351,1),"")</f>
        <v/>
      </c>
      <c r="C347" s="24" t="str">
        <f>IF('ASS START SYNC'!C351="SHOW",FIND(",",'ASS START SYNC'!E351,B347+1),"")</f>
        <v/>
      </c>
      <c r="D347" s="24" t="str">
        <f>IF('ASS START SYNC'!C351="SHOW",FIND(",",'ASS START SYNC'!E351,C347+1),"")</f>
        <v/>
      </c>
      <c r="E347" s="25" t="str">
        <f>IF('ASS START SYNC'!C351="SHOW",FIND(",,",'ASS START SYNC'!E351,1),"")</f>
        <v/>
      </c>
      <c r="F347" s="25" t="str">
        <f>IF('ASS START SYNC'!C351="SHOW",FIND(",,",'ASS START SYNC'!E351,E347+1),"")</f>
        <v/>
      </c>
      <c r="G347" s="23" t="str">
        <f>IF('ASS START SYNC'!C351="SHOW",LEFT('ASS START SYNC'!E351,B347),"")</f>
        <v/>
      </c>
      <c r="H347" s="24" t="str">
        <f>IF(AND('ASS START SYNC'!C351="SHOW",COUNTA('ASS START SYNC'!$E$8:'ASS START SYNC'!E350)=0),MID('ASS START SYNC'!E351,B347+1,C347-B347-1),IF(AND('ASS START SYNC'!C351="SHOW",COUNTA('ASS START SYNC'!$E$8:'ASS START SYNC'!E350)&lt;&gt;0),I346,""))</f>
        <v/>
      </c>
      <c r="I347" s="24" t="str">
        <f>IF('ASS START SYNC'!C351="SHOW",MID('ASS START SYNC'!E351,C347+1,D347-C347-1),I346)</f>
        <v/>
      </c>
      <c r="J347" s="23" t="str">
        <f>IF('ASS START SYNC'!C351="SHOW",MID('ASS START SYNC'!E351,D347+1,F347-D347+1),"")</f>
        <v/>
      </c>
      <c r="K347" s="23" t="str">
        <f>IF('ASS START SYNC'!C351="SHOW",MID('ASS START SYNC'!E351,F347+2,1000),"")</f>
        <v/>
      </c>
      <c r="M347" s="24"/>
      <c r="N347" s="26">
        <v>344</v>
      </c>
      <c r="O347" s="24" t="str">
        <f>IF('ASS END SYNC'!C351="SHOW",FIND(",",'ASS END SYNC'!E351,1),"")</f>
        <v/>
      </c>
      <c r="P347" s="24" t="str">
        <f>IF('ASS END SYNC'!C351="SHOW",FIND(",",'ASS END SYNC'!E351,O347+1),"")</f>
        <v/>
      </c>
      <c r="Q347" s="24" t="str">
        <f>IF('ASS END SYNC'!C351="SHOW",FIND(",",'ASS END SYNC'!E351,P347+1),"")</f>
        <v/>
      </c>
      <c r="R347" s="25" t="str">
        <f>IF('ASS END SYNC'!C351="SHOW",FIND(",,",'ASS END SYNC'!E351,1),"")</f>
        <v/>
      </c>
      <c r="S347" s="25" t="str">
        <f>IF('ASS END SYNC'!C351="SHOW",FIND(",,",'ASS END SYNC'!E351,R347+1),"")</f>
        <v/>
      </c>
      <c r="T347" s="23" t="str">
        <f>IF('ASS END SYNC'!C351="SHOW",LEFT('ASS END SYNC'!E351,O347),"")</f>
        <v/>
      </c>
      <c r="U347" s="24" t="str">
        <f>IF('ASS END SYNC'!C351="SHOW",MID('ASS END SYNC'!E351,O347+1,P347-O347-1),"")</f>
        <v/>
      </c>
      <c r="V347" s="24" t="str">
        <f>IF(AND('ASS END SYNC'!C351="SHOW",'ASS END SYNC'!C352="SHOW"),U348,IF(AND('ASS END SYNC'!C351="SHOW",'ASS END SYNC'!C352&lt;&gt;"SHOW"),MID('ASS END SYNC'!E351,O347+1,P347-O347-1),""))</f>
        <v/>
      </c>
      <c r="W347" s="23" t="str">
        <f>IF('ASS END SYNC'!C351="SHOW",MID('ASS END SYNC'!E351,Q347+1,S347-Q347+1),"")</f>
        <v/>
      </c>
      <c r="X347" s="23" t="str">
        <f>IF('ASS END SYNC'!C351="SHOW",MID('ASS END SYNC'!E351,S347+2,1000),"")</f>
        <v/>
      </c>
      <c r="Z347" s="24"/>
    </row>
    <row r="348" spans="1:26" x14ac:dyDescent="0.25">
      <c r="A348" s="26">
        <v>345</v>
      </c>
      <c r="B348" s="24" t="str">
        <f>IF('ASS START SYNC'!C352="SHOW",FIND(",",'ASS START SYNC'!E352,1),"")</f>
        <v/>
      </c>
      <c r="C348" s="24" t="str">
        <f>IF('ASS START SYNC'!C352="SHOW",FIND(",",'ASS START SYNC'!E352,B348+1),"")</f>
        <v/>
      </c>
      <c r="D348" s="24" t="str">
        <f>IF('ASS START SYNC'!C352="SHOW",FIND(",",'ASS START SYNC'!E352,C348+1),"")</f>
        <v/>
      </c>
      <c r="E348" s="25" t="str">
        <f>IF('ASS START SYNC'!C352="SHOW",FIND(",,",'ASS START SYNC'!E352,1),"")</f>
        <v/>
      </c>
      <c r="F348" s="25" t="str">
        <f>IF('ASS START SYNC'!C352="SHOW",FIND(",,",'ASS START SYNC'!E352,E348+1),"")</f>
        <v/>
      </c>
      <c r="G348" s="23" t="str">
        <f>IF('ASS START SYNC'!C352="SHOW",LEFT('ASS START SYNC'!E352,B348),"")</f>
        <v/>
      </c>
      <c r="H348" s="24" t="str">
        <f>IF(AND('ASS START SYNC'!C352="SHOW",COUNTA('ASS START SYNC'!$E$8:'ASS START SYNC'!E351)=0),MID('ASS START SYNC'!E352,B348+1,C348-B348-1),IF(AND('ASS START SYNC'!C352="SHOW",COUNTA('ASS START SYNC'!$E$8:'ASS START SYNC'!E351)&lt;&gt;0),I347,""))</f>
        <v/>
      </c>
      <c r="I348" s="24" t="str">
        <f>IF('ASS START SYNC'!C352="SHOW",MID('ASS START SYNC'!E352,C348+1,D348-C348-1),I347)</f>
        <v/>
      </c>
      <c r="J348" s="23" t="str">
        <f>IF('ASS START SYNC'!C352="SHOW",MID('ASS START SYNC'!E352,D348+1,F348-D348+1),"")</f>
        <v/>
      </c>
      <c r="K348" s="23" t="str">
        <f>IF('ASS START SYNC'!C352="SHOW",MID('ASS START SYNC'!E352,F348+2,1000),"")</f>
        <v/>
      </c>
      <c r="M348" s="24"/>
      <c r="N348" s="26">
        <v>345</v>
      </c>
      <c r="O348" s="24" t="str">
        <f>IF('ASS END SYNC'!C352="SHOW",FIND(",",'ASS END SYNC'!E352,1),"")</f>
        <v/>
      </c>
      <c r="P348" s="24" t="str">
        <f>IF('ASS END SYNC'!C352="SHOW",FIND(",",'ASS END SYNC'!E352,O348+1),"")</f>
        <v/>
      </c>
      <c r="Q348" s="24" t="str">
        <f>IF('ASS END SYNC'!C352="SHOW",FIND(",",'ASS END SYNC'!E352,P348+1),"")</f>
        <v/>
      </c>
      <c r="R348" s="25" t="str">
        <f>IF('ASS END SYNC'!C352="SHOW",FIND(",,",'ASS END SYNC'!E352,1),"")</f>
        <v/>
      </c>
      <c r="S348" s="25" t="str">
        <f>IF('ASS END SYNC'!C352="SHOW",FIND(",,",'ASS END SYNC'!E352,R348+1),"")</f>
        <v/>
      </c>
      <c r="T348" s="23" t="str">
        <f>IF('ASS END SYNC'!C352="SHOW",LEFT('ASS END SYNC'!E352,O348),"")</f>
        <v/>
      </c>
      <c r="U348" s="24" t="str">
        <f>IF('ASS END SYNC'!C352="SHOW",MID('ASS END SYNC'!E352,O348+1,P348-O348-1),"")</f>
        <v/>
      </c>
      <c r="V348" s="24" t="str">
        <f>IF(AND('ASS END SYNC'!C352="SHOW",'ASS END SYNC'!C353="SHOW"),U349,IF(AND('ASS END SYNC'!C352="SHOW",'ASS END SYNC'!C353&lt;&gt;"SHOW"),MID('ASS END SYNC'!E352,O348+1,P348-O348-1),""))</f>
        <v/>
      </c>
      <c r="W348" s="23" t="str">
        <f>IF('ASS END SYNC'!C352="SHOW",MID('ASS END SYNC'!E352,Q348+1,S348-Q348+1),"")</f>
        <v/>
      </c>
      <c r="X348" s="23" t="str">
        <f>IF('ASS END SYNC'!C352="SHOW",MID('ASS END SYNC'!E352,S348+2,1000),"")</f>
        <v/>
      </c>
      <c r="Z348" s="24"/>
    </row>
    <row r="349" spans="1:26" x14ac:dyDescent="0.25">
      <c r="A349" s="26">
        <v>346</v>
      </c>
      <c r="B349" s="24" t="str">
        <f>IF('ASS START SYNC'!C353="SHOW",FIND(",",'ASS START SYNC'!E353,1),"")</f>
        <v/>
      </c>
      <c r="C349" s="24" t="str">
        <f>IF('ASS START SYNC'!C353="SHOW",FIND(",",'ASS START SYNC'!E353,B349+1),"")</f>
        <v/>
      </c>
      <c r="D349" s="24" t="str">
        <f>IF('ASS START SYNC'!C353="SHOW",FIND(",",'ASS START SYNC'!E353,C349+1),"")</f>
        <v/>
      </c>
      <c r="E349" s="25" t="str">
        <f>IF('ASS START SYNC'!C353="SHOW",FIND(",,",'ASS START SYNC'!E353,1),"")</f>
        <v/>
      </c>
      <c r="F349" s="25" t="str">
        <f>IF('ASS START SYNC'!C353="SHOW",FIND(",,",'ASS START SYNC'!E353,E349+1),"")</f>
        <v/>
      </c>
      <c r="G349" s="23" t="str">
        <f>IF('ASS START SYNC'!C353="SHOW",LEFT('ASS START SYNC'!E353,B349),"")</f>
        <v/>
      </c>
      <c r="H349" s="24" t="str">
        <f>IF(AND('ASS START SYNC'!C353="SHOW",COUNTA('ASS START SYNC'!$E$8:'ASS START SYNC'!E352)=0),MID('ASS START SYNC'!E353,B349+1,C349-B349-1),IF(AND('ASS START SYNC'!C353="SHOW",COUNTA('ASS START SYNC'!$E$8:'ASS START SYNC'!E352)&lt;&gt;0),I348,""))</f>
        <v/>
      </c>
      <c r="I349" s="24" t="str">
        <f>IF('ASS START SYNC'!C353="SHOW",MID('ASS START SYNC'!E353,C349+1,D349-C349-1),I348)</f>
        <v/>
      </c>
      <c r="J349" s="23" t="str">
        <f>IF('ASS START SYNC'!C353="SHOW",MID('ASS START SYNC'!E353,D349+1,F349-D349+1),"")</f>
        <v/>
      </c>
      <c r="K349" s="23" t="str">
        <f>IF('ASS START SYNC'!C353="SHOW",MID('ASS START SYNC'!E353,F349+2,1000),"")</f>
        <v/>
      </c>
      <c r="M349" s="24"/>
      <c r="N349" s="26">
        <v>346</v>
      </c>
      <c r="O349" s="24" t="str">
        <f>IF('ASS END SYNC'!C353="SHOW",FIND(",",'ASS END SYNC'!E353,1),"")</f>
        <v/>
      </c>
      <c r="P349" s="24" t="str">
        <f>IF('ASS END SYNC'!C353="SHOW",FIND(",",'ASS END SYNC'!E353,O349+1),"")</f>
        <v/>
      </c>
      <c r="Q349" s="24" t="str">
        <f>IF('ASS END SYNC'!C353="SHOW",FIND(",",'ASS END SYNC'!E353,P349+1),"")</f>
        <v/>
      </c>
      <c r="R349" s="25" t="str">
        <f>IF('ASS END SYNC'!C353="SHOW",FIND(",,",'ASS END SYNC'!E353,1),"")</f>
        <v/>
      </c>
      <c r="S349" s="25" t="str">
        <f>IF('ASS END SYNC'!C353="SHOW",FIND(",,",'ASS END SYNC'!E353,R349+1),"")</f>
        <v/>
      </c>
      <c r="T349" s="23" t="str">
        <f>IF('ASS END SYNC'!C353="SHOW",LEFT('ASS END SYNC'!E353,O349),"")</f>
        <v/>
      </c>
      <c r="U349" s="24" t="str">
        <f>IF('ASS END SYNC'!C353="SHOW",MID('ASS END SYNC'!E353,O349+1,P349-O349-1),"")</f>
        <v/>
      </c>
      <c r="V349" s="24" t="str">
        <f>IF(AND('ASS END SYNC'!C353="SHOW",'ASS END SYNC'!C354="SHOW"),U350,IF(AND('ASS END SYNC'!C353="SHOW",'ASS END SYNC'!C354&lt;&gt;"SHOW"),MID('ASS END SYNC'!E353,O349+1,P349-O349-1),""))</f>
        <v/>
      </c>
      <c r="W349" s="23" t="str">
        <f>IF('ASS END SYNC'!C353="SHOW",MID('ASS END SYNC'!E353,Q349+1,S349-Q349+1),"")</f>
        <v/>
      </c>
      <c r="X349" s="23" t="str">
        <f>IF('ASS END SYNC'!C353="SHOW",MID('ASS END SYNC'!E353,S349+2,1000),"")</f>
        <v/>
      </c>
      <c r="Z349" s="24"/>
    </row>
    <row r="350" spans="1:26" x14ac:dyDescent="0.25">
      <c r="A350" s="26">
        <v>347</v>
      </c>
      <c r="B350" s="24" t="str">
        <f>IF('ASS START SYNC'!C354="SHOW",FIND(",",'ASS START SYNC'!E354,1),"")</f>
        <v/>
      </c>
      <c r="C350" s="24" t="str">
        <f>IF('ASS START SYNC'!C354="SHOW",FIND(",",'ASS START SYNC'!E354,B350+1),"")</f>
        <v/>
      </c>
      <c r="D350" s="24" t="str">
        <f>IF('ASS START SYNC'!C354="SHOW",FIND(",",'ASS START SYNC'!E354,C350+1),"")</f>
        <v/>
      </c>
      <c r="E350" s="25" t="str">
        <f>IF('ASS START SYNC'!C354="SHOW",FIND(",,",'ASS START SYNC'!E354,1),"")</f>
        <v/>
      </c>
      <c r="F350" s="25" t="str">
        <f>IF('ASS START SYNC'!C354="SHOW",FIND(",,",'ASS START SYNC'!E354,E350+1),"")</f>
        <v/>
      </c>
      <c r="G350" s="23" t="str">
        <f>IF('ASS START SYNC'!C354="SHOW",LEFT('ASS START SYNC'!E354,B350),"")</f>
        <v/>
      </c>
      <c r="H350" s="24" t="str">
        <f>IF(AND('ASS START SYNC'!C354="SHOW",COUNTA('ASS START SYNC'!$E$8:'ASS START SYNC'!E353)=0),MID('ASS START SYNC'!E354,B350+1,C350-B350-1),IF(AND('ASS START SYNC'!C354="SHOW",COUNTA('ASS START SYNC'!$E$8:'ASS START SYNC'!E353)&lt;&gt;0),I349,""))</f>
        <v/>
      </c>
      <c r="I350" s="24" t="str">
        <f>IF('ASS START SYNC'!C354="SHOW",MID('ASS START SYNC'!E354,C350+1,D350-C350-1),I349)</f>
        <v/>
      </c>
      <c r="J350" s="23" t="str">
        <f>IF('ASS START SYNC'!C354="SHOW",MID('ASS START SYNC'!E354,D350+1,F350-D350+1),"")</f>
        <v/>
      </c>
      <c r="K350" s="23" t="str">
        <f>IF('ASS START SYNC'!C354="SHOW",MID('ASS START SYNC'!E354,F350+2,1000),"")</f>
        <v/>
      </c>
      <c r="M350" s="24"/>
      <c r="N350" s="26">
        <v>347</v>
      </c>
      <c r="O350" s="24" t="str">
        <f>IF('ASS END SYNC'!C354="SHOW",FIND(",",'ASS END SYNC'!E354,1),"")</f>
        <v/>
      </c>
      <c r="P350" s="24" t="str">
        <f>IF('ASS END SYNC'!C354="SHOW",FIND(",",'ASS END SYNC'!E354,O350+1),"")</f>
        <v/>
      </c>
      <c r="Q350" s="24" t="str">
        <f>IF('ASS END SYNC'!C354="SHOW",FIND(",",'ASS END SYNC'!E354,P350+1),"")</f>
        <v/>
      </c>
      <c r="R350" s="25" t="str">
        <f>IF('ASS END SYNC'!C354="SHOW",FIND(",,",'ASS END SYNC'!E354,1),"")</f>
        <v/>
      </c>
      <c r="S350" s="25" t="str">
        <f>IF('ASS END SYNC'!C354="SHOW",FIND(",,",'ASS END SYNC'!E354,R350+1),"")</f>
        <v/>
      </c>
      <c r="T350" s="23" t="str">
        <f>IF('ASS END SYNC'!C354="SHOW",LEFT('ASS END SYNC'!E354,O350),"")</f>
        <v/>
      </c>
      <c r="U350" s="24" t="str">
        <f>IF('ASS END SYNC'!C354="SHOW",MID('ASS END SYNC'!E354,O350+1,P350-O350-1),"")</f>
        <v/>
      </c>
      <c r="V350" s="24" t="str">
        <f>IF(AND('ASS END SYNC'!C354="SHOW",'ASS END SYNC'!C355="SHOW"),U351,IF(AND('ASS END SYNC'!C354="SHOW",'ASS END SYNC'!C355&lt;&gt;"SHOW"),MID('ASS END SYNC'!E354,O350+1,P350-O350-1),""))</f>
        <v/>
      </c>
      <c r="W350" s="23" t="str">
        <f>IF('ASS END SYNC'!C354="SHOW",MID('ASS END SYNC'!E354,Q350+1,S350-Q350+1),"")</f>
        <v/>
      </c>
      <c r="X350" s="23" t="str">
        <f>IF('ASS END SYNC'!C354="SHOW",MID('ASS END SYNC'!E354,S350+2,1000),"")</f>
        <v/>
      </c>
      <c r="Z350" s="24"/>
    </row>
    <row r="351" spans="1:26" x14ac:dyDescent="0.25">
      <c r="A351" s="26">
        <v>348</v>
      </c>
      <c r="B351" s="24" t="str">
        <f>IF('ASS START SYNC'!C355="SHOW",FIND(",",'ASS START SYNC'!E355,1),"")</f>
        <v/>
      </c>
      <c r="C351" s="24" t="str">
        <f>IF('ASS START SYNC'!C355="SHOW",FIND(",",'ASS START SYNC'!E355,B351+1),"")</f>
        <v/>
      </c>
      <c r="D351" s="24" t="str">
        <f>IF('ASS START SYNC'!C355="SHOW",FIND(",",'ASS START SYNC'!E355,C351+1),"")</f>
        <v/>
      </c>
      <c r="E351" s="25" t="str">
        <f>IF('ASS START SYNC'!C355="SHOW",FIND(",,",'ASS START SYNC'!E355,1),"")</f>
        <v/>
      </c>
      <c r="F351" s="25" t="str">
        <f>IF('ASS START SYNC'!C355="SHOW",FIND(",,",'ASS START SYNC'!E355,E351+1),"")</f>
        <v/>
      </c>
      <c r="G351" s="23" t="str">
        <f>IF('ASS START SYNC'!C355="SHOW",LEFT('ASS START SYNC'!E355,B351),"")</f>
        <v/>
      </c>
      <c r="H351" s="24" t="str">
        <f>IF(AND('ASS START SYNC'!C355="SHOW",COUNTA('ASS START SYNC'!$E$8:'ASS START SYNC'!E354)=0),MID('ASS START SYNC'!E355,B351+1,C351-B351-1),IF(AND('ASS START SYNC'!C355="SHOW",COUNTA('ASS START SYNC'!$E$8:'ASS START SYNC'!E354)&lt;&gt;0),I350,""))</f>
        <v/>
      </c>
      <c r="I351" s="24" t="str">
        <f>IF('ASS START SYNC'!C355="SHOW",MID('ASS START SYNC'!E355,C351+1,D351-C351-1),I350)</f>
        <v/>
      </c>
      <c r="J351" s="23" t="str">
        <f>IF('ASS START SYNC'!C355="SHOW",MID('ASS START SYNC'!E355,D351+1,F351-D351+1),"")</f>
        <v/>
      </c>
      <c r="K351" s="23" t="str">
        <f>IF('ASS START SYNC'!C355="SHOW",MID('ASS START SYNC'!E355,F351+2,1000),"")</f>
        <v/>
      </c>
      <c r="M351" s="24"/>
      <c r="N351" s="26">
        <v>348</v>
      </c>
      <c r="O351" s="24" t="str">
        <f>IF('ASS END SYNC'!C355="SHOW",FIND(",",'ASS END SYNC'!E355,1),"")</f>
        <v/>
      </c>
      <c r="P351" s="24" t="str">
        <f>IF('ASS END SYNC'!C355="SHOW",FIND(",",'ASS END SYNC'!E355,O351+1),"")</f>
        <v/>
      </c>
      <c r="Q351" s="24" t="str">
        <f>IF('ASS END SYNC'!C355="SHOW",FIND(",",'ASS END SYNC'!E355,P351+1),"")</f>
        <v/>
      </c>
      <c r="R351" s="25" t="str">
        <f>IF('ASS END SYNC'!C355="SHOW",FIND(",,",'ASS END SYNC'!E355,1),"")</f>
        <v/>
      </c>
      <c r="S351" s="25" t="str">
        <f>IF('ASS END SYNC'!C355="SHOW",FIND(",,",'ASS END SYNC'!E355,R351+1),"")</f>
        <v/>
      </c>
      <c r="T351" s="23" t="str">
        <f>IF('ASS END SYNC'!C355="SHOW",LEFT('ASS END SYNC'!E355,O351),"")</f>
        <v/>
      </c>
      <c r="U351" s="24" t="str">
        <f>IF('ASS END SYNC'!C355="SHOW",MID('ASS END SYNC'!E355,O351+1,P351-O351-1),"")</f>
        <v/>
      </c>
      <c r="V351" s="24" t="str">
        <f>IF(AND('ASS END SYNC'!C355="SHOW",'ASS END SYNC'!C356="SHOW"),U352,IF(AND('ASS END SYNC'!C355="SHOW",'ASS END SYNC'!C356&lt;&gt;"SHOW"),MID('ASS END SYNC'!E355,O351+1,P351-O351-1),""))</f>
        <v/>
      </c>
      <c r="W351" s="23" t="str">
        <f>IF('ASS END SYNC'!C355="SHOW",MID('ASS END SYNC'!E355,Q351+1,S351-Q351+1),"")</f>
        <v/>
      </c>
      <c r="X351" s="23" t="str">
        <f>IF('ASS END SYNC'!C355="SHOW",MID('ASS END SYNC'!E355,S351+2,1000),"")</f>
        <v/>
      </c>
      <c r="Z351" s="24"/>
    </row>
    <row r="352" spans="1:26" x14ac:dyDescent="0.25">
      <c r="A352" s="26">
        <v>349</v>
      </c>
      <c r="B352" s="24" t="str">
        <f>IF('ASS START SYNC'!C356="SHOW",FIND(",",'ASS START SYNC'!E356,1),"")</f>
        <v/>
      </c>
      <c r="C352" s="24" t="str">
        <f>IF('ASS START SYNC'!C356="SHOW",FIND(",",'ASS START SYNC'!E356,B352+1),"")</f>
        <v/>
      </c>
      <c r="D352" s="24" t="str">
        <f>IF('ASS START SYNC'!C356="SHOW",FIND(",",'ASS START SYNC'!E356,C352+1),"")</f>
        <v/>
      </c>
      <c r="E352" s="25" t="str">
        <f>IF('ASS START SYNC'!C356="SHOW",FIND(",,",'ASS START SYNC'!E356,1),"")</f>
        <v/>
      </c>
      <c r="F352" s="25" t="str">
        <f>IF('ASS START SYNC'!C356="SHOW",FIND(",,",'ASS START SYNC'!E356,E352+1),"")</f>
        <v/>
      </c>
      <c r="G352" s="23" t="str">
        <f>IF('ASS START SYNC'!C356="SHOW",LEFT('ASS START SYNC'!E356,B352),"")</f>
        <v/>
      </c>
      <c r="H352" s="24" t="str">
        <f>IF(AND('ASS START SYNC'!C356="SHOW",COUNTA('ASS START SYNC'!$E$8:'ASS START SYNC'!E355)=0),MID('ASS START SYNC'!E356,B352+1,C352-B352-1),IF(AND('ASS START SYNC'!C356="SHOW",COUNTA('ASS START SYNC'!$E$8:'ASS START SYNC'!E355)&lt;&gt;0),I351,""))</f>
        <v/>
      </c>
      <c r="I352" s="24" t="str">
        <f>IF('ASS START SYNC'!C356="SHOW",MID('ASS START SYNC'!E356,C352+1,D352-C352-1),I351)</f>
        <v/>
      </c>
      <c r="J352" s="23" t="str">
        <f>IF('ASS START SYNC'!C356="SHOW",MID('ASS START SYNC'!E356,D352+1,F352-D352+1),"")</f>
        <v/>
      </c>
      <c r="K352" s="23" t="str">
        <f>IF('ASS START SYNC'!C356="SHOW",MID('ASS START SYNC'!E356,F352+2,1000),"")</f>
        <v/>
      </c>
      <c r="M352" s="24"/>
      <c r="N352" s="26">
        <v>349</v>
      </c>
      <c r="O352" s="24" t="str">
        <f>IF('ASS END SYNC'!C356="SHOW",FIND(",",'ASS END SYNC'!E356,1),"")</f>
        <v/>
      </c>
      <c r="P352" s="24" t="str">
        <f>IF('ASS END SYNC'!C356="SHOW",FIND(",",'ASS END SYNC'!E356,O352+1),"")</f>
        <v/>
      </c>
      <c r="Q352" s="24" t="str">
        <f>IF('ASS END SYNC'!C356="SHOW",FIND(",",'ASS END SYNC'!E356,P352+1),"")</f>
        <v/>
      </c>
      <c r="R352" s="25" t="str">
        <f>IF('ASS END SYNC'!C356="SHOW",FIND(",,",'ASS END SYNC'!E356,1),"")</f>
        <v/>
      </c>
      <c r="S352" s="25" t="str">
        <f>IF('ASS END SYNC'!C356="SHOW",FIND(",,",'ASS END SYNC'!E356,R352+1),"")</f>
        <v/>
      </c>
      <c r="T352" s="23" t="str">
        <f>IF('ASS END SYNC'!C356="SHOW",LEFT('ASS END SYNC'!E356,O352),"")</f>
        <v/>
      </c>
      <c r="U352" s="24" t="str">
        <f>IF('ASS END SYNC'!C356="SHOW",MID('ASS END SYNC'!E356,O352+1,P352-O352-1),"")</f>
        <v/>
      </c>
      <c r="V352" s="24" t="str">
        <f>IF(AND('ASS END SYNC'!C356="SHOW",'ASS END SYNC'!C357="SHOW"),U353,IF(AND('ASS END SYNC'!C356="SHOW",'ASS END SYNC'!C357&lt;&gt;"SHOW"),MID('ASS END SYNC'!E356,O352+1,P352-O352-1),""))</f>
        <v/>
      </c>
      <c r="W352" s="23" t="str">
        <f>IF('ASS END SYNC'!C356="SHOW",MID('ASS END SYNC'!E356,Q352+1,S352-Q352+1),"")</f>
        <v/>
      </c>
      <c r="X352" s="23" t="str">
        <f>IF('ASS END SYNC'!C356="SHOW",MID('ASS END SYNC'!E356,S352+2,1000),"")</f>
        <v/>
      </c>
      <c r="Z352" s="24"/>
    </row>
    <row r="353" spans="1:26" x14ac:dyDescent="0.25">
      <c r="A353" s="26">
        <v>350</v>
      </c>
      <c r="B353" s="24" t="str">
        <f>IF('ASS START SYNC'!C357="SHOW",FIND(",",'ASS START SYNC'!E357,1),"")</f>
        <v/>
      </c>
      <c r="C353" s="24" t="str">
        <f>IF('ASS START SYNC'!C357="SHOW",FIND(",",'ASS START SYNC'!E357,B353+1),"")</f>
        <v/>
      </c>
      <c r="D353" s="24" t="str">
        <f>IF('ASS START SYNC'!C357="SHOW",FIND(",",'ASS START SYNC'!E357,C353+1),"")</f>
        <v/>
      </c>
      <c r="E353" s="25" t="str">
        <f>IF('ASS START SYNC'!C357="SHOW",FIND(",,",'ASS START SYNC'!E357,1),"")</f>
        <v/>
      </c>
      <c r="F353" s="25" t="str">
        <f>IF('ASS START SYNC'!C357="SHOW",FIND(",,",'ASS START SYNC'!E357,E353+1),"")</f>
        <v/>
      </c>
      <c r="G353" s="23" t="str">
        <f>IF('ASS START SYNC'!C357="SHOW",LEFT('ASS START SYNC'!E357,B353),"")</f>
        <v/>
      </c>
      <c r="H353" s="24" t="str">
        <f>IF(AND('ASS START SYNC'!C357="SHOW",COUNTA('ASS START SYNC'!$E$8:'ASS START SYNC'!E356)=0),MID('ASS START SYNC'!E357,B353+1,C353-B353-1),IF(AND('ASS START SYNC'!C357="SHOW",COUNTA('ASS START SYNC'!$E$8:'ASS START SYNC'!E356)&lt;&gt;0),I352,""))</f>
        <v/>
      </c>
      <c r="I353" s="24" t="str">
        <f>IF('ASS START SYNC'!C357="SHOW",MID('ASS START SYNC'!E357,C353+1,D353-C353-1),I352)</f>
        <v/>
      </c>
      <c r="J353" s="23" t="str">
        <f>IF('ASS START SYNC'!C357="SHOW",MID('ASS START SYNC'!E357,D353+1,F353-D353+1),"")</f>
        <v/>
      </c>
      <c r="K353" s="23" t="str">
        <f>IF('ASS START SYNC'!C357="SHOW",MID('ASS START SYNC'!E357,F353+2,1000),"")</f>
        <v/>
      </c>
      <c r="M353" s="24"/>
      <c r="N353" s="26">
        <v>350</v>
      </c>
      <c r="O353" s="24" t="str">
        <f>IF('ASS END SYNC'!C357="SHOW",FIND(",",'ASS END SYNC'!E357,1),"")</f>
        <v/>
      </c>
      <c r="P353" s="24" t="str">
        <f>IF('ASS END SYNC'!C357="SHOW",FIND(",",'ASS END SYNC'!E357,O353+1),"")</f>
        <v/>
      </c>
      <c r="Q353" s="24" t="str">
        <f>IF('ASS END SYNC'!C357="SHOW",FIND(",",'ASS END SYNC'!E357,P353+1),"")</f>
        <v/>
      </c>
      <c r="R353" s="25" t="str">
        <f>IF('ASS END SYNC'!C357="SHOW",FIND(",,",'ASS END SYNC'!E357,1),"")</f>
        <v/>
      </c>
      <c r="S353" s="25" t="str">
        <f>IF('ASS END SYNC'!C357="SHOW",FIND(",,",'ASS END SYNC'!E357,R353+1),"")</f>
        <v/>
      </c>
      <c r="T353" s="23" t="str">
        <f>IF('ASS END SYNC'!C357="SHOW",LEFT('ASS END SYNC'!E357,O353),"")</f>
        <v/>
      </c>
      <c r="U353" s="24" t="str">
        <f>IF('ASS END SYNC'!C357="SHOW",MID('ASS END SYNC'!E357,O353+1,P353-O353-1),"")</f>
        <v/>
      </c>
      <c r="V353" s="24" t="str">
        <f>IF(AND('ASS END SYNC'!C357="SHOW",'ASS END SYNC'!C358="SHOW"),U354,IF(AND('ASS END SYNC'!C357="SHOW",'ASS END SYNC'!C358&lt;&gt;"SHOW"),MID('ASS END SYNC'!E357,O353+1,P353-O353-1),""))</f>
        <v/>
      </c>
      <c r="W353" s="23" t="str">
        <f>IF('ASS END SYNC'!C357="SHOW",MID('ASS END SYNC'!E357,Q353+1,S353-Q353+1),"")</f>
        <v/>
      </c>
      <c r="X353" s="23" t="str">
        <f>IF('ASS END SYNC'!C357="SHOW",MID('ASS END SYNC'!E357,S353+2,1000),"")</f>
        <v/>
      </c>
      <c r="Z353" s="24"/>
    </row>
    <row r="354" spans="1:26" x14ac:dyDescent="0.25">
      <c r="A354" s="26">
        <v>351</v>
      </c>
      <c r="B354" s="24" t="str">
        <f>IF('ASS START SYNC'!C358="SHOW",FIND(",",'ASS START SYNC'!E358,1),"")</f>
        <v/>
      </c>
      <c r="C354" s="24" t="str">
        <f>IF('ASS START SYNC'!C358="SHOW",FIND(",",'ASS START SYNC'!E358,B354+1),"")</f>
        <v/>
      </c>
      <c r="D354" s="24" t="str">
        <f>IF('ASS START SYNC'!C358="SHOW",FIND(",",'ASS START SYNC'!E358,C354+1),"")</f>
        <v/>
      </c>
      <c r="E354" s="25" t="str">
        <f>IF('ASS START SYNC'!C358="SHOW",FIND(",,",'ASS START SYNC'!E358,1),"")</f>
        <v/>
      </c>
      <c r="F354" s="25" t="str">
        <f>IF('ASS START SYNC'!C358="SHOW",FIND(",,",'ASS START SYNC'!E358,E354+1),"")</f>
        <v/>
      </c>
      <c r="G354" s="23" t="str">
        <f>IF('ASS START SYNC'!C358="SHOW",LEFT('ASS START SYNC'!E358,B354),"")</f>
        <v/>
      </c>
      <c r="H354" s="24" t="str">
        <f>IF(AND('ASS START SYNC'!C358="SHOW",COUNTA('ASS START SYNC'!$E$8:'ASS START SYNC'!E357)=0),MID('ASS START SYNC'!E358,B354+1,C354-B354-1),IF(AND('ASS START SYNC'!C358="SHOW",COUNTA('ASS START SYNC'!$E$8:'ASS START SYNC'!E357)&lt;&gt;0),I353,""))</f>
        <v/>
      </c>
      <c r="I354" s="24" t="str">
        <f>IF('ASS START SYNC'!C358="SHOW",MID('ASS START SYNC'!E358,C354+1,D354-C354-1),I353)</f>
        <v/>
      </c>
      <c r="J354" s="23" t="str">
        <f>IF('ASS START SYNC'!C358="SHOW",MID('ASS START SYNC'!E358,D354+1,F354-D354+1),"")</f>
        <v/>
      </c>
      <c r="K354" s="23" t="str">
        <f>IF('ASS START SYNC'!C358="SHOW",MID('ASS START SYNC'!E358,F354+2,1000),"")</f>
        <v/>
      </c>
      <c r="M354" s="24"/>
      <c r="N354" s="26">
        <v>351</v>
      </c>
      <c r="O354" s="24" t="str">
        <f>IF('ASS END SYNC'!C358="SHOW",FIND(",",'ASS END SYNC'!E358,1),"")</f>
        <v/>
      </c>
      <c r="P354" s="24" t="str">
        <f>IF('ASS END SYNC'!C358="SHOW",FIND(",",'ASS END SYNC'!E358,O354+1),"")</f>
        <v/>
      </c>
      <c r="Q354" s="24" t="str">
        <f>IF('ASS END SYNC'!C358="SHOW",FIND(",",'ASS END SYNC'!E358,P354+1),"")</f>
        <v/>
      </c>
      <c r="R354" s="25" t="str">
        <f>IF('ASS END SYNC'!C358="SHOW",FIND(",,",'ASS END SYNC'!E358,1),"")</f>
        <v/>
      </c>
      <c r="S354" s="25" t="str">
        <f>IF('ASS END SYNC'!C358="SHOW",FIND(",,",'ASS END SYNC'!E358,R354+1),"")</f>
        <v/>
      </c>
      <c r="T354" s="23" t="str">
        <f>IF('ASS END SYNC'!C358="SHOW",LEFT('ASS END SYNC'!E358,O354),"")</f>
        <v/>
      </c>
      <c r="U354" s="24" t="str">
        <f>IF('ASS END SYNC'!C358="SHOW",MID('ASS END SYNC'!E358,O354+1,P354-O354-1),"")</f>
        <v/>
      </c>
      <c r="V354" s="24" t="str">
        <f>IF(AND('ASS END SYNC'!C358="SHOW",'ASS END SYNC'!C359="SHOW"),U355,IF(AND('ASS END SYNC'!C358="SHOW",'ASS END SYNC'!C359&lt;&gt;"SHOW"),MID('ASS END SYNC'!E358,O354+1,P354-O354-1),""))</f>
        <v/>
      </c>
      <c r="W354" s="23" t="str">
        <f>IF('ASS END SYNC'!C358="SHOW",MID('ASS END SYNC'!E358,Q354+1,S354-Q354+1),"")</f>
        <v/>
      </c>
      <c r="X354" s="23" t="str">
        <f>IF('ASS END SYNC'!C358="SHOW",MID('ASS END SYNC'!E358,S354+2,1000),"")</f>
        <v/>
      </c>
      <c r="Z354" s="24"/>
    </row>
    <row r="355" spans="1:26" x14ac:dyDescent="0.25">
      <c r="A355" s="26">
        <v>352</v>
      </c>
      <c r="B355" s="24" t="str">
        <f>IF('ASS START SYNC'!C359="SHOW",FIND(",",'ASS START SYNC'!E359,1),"")</f>
        <v/>
      </c>
      <c r="C355" s="24" t="str">
        <f>IF('ASS START SYNC'!C359="SHOW",FIND(",",'ASS START SYNC'!E359,B355+1),"")</f>
        <v/>
      </c>
      <c r="D355" s="24" t="str">
        <f>IF('ASS START SYNC'!C359="SHOW",FIND(",",'ASS START SYNC'!E359,C355+1),"")</f>
        <v/>
      </c>
      <c r="E355" s="25" t="str">
        <f>IF('ASS START SYNC'!C359="SHOW",FIND(",,",'ASS START SYNC'!E359,1),"")</f>
        <v/>
      </c>
      <c r="F355" s="25" t="str">
        <f>IF('ASS START SYNC'!C359="SHOW",FIND(",,",'ASS START SYNC'!E359,E355+1),"")</f>
        <v/>
      </c>
      <c r="G355" s="23" t="str">
        <f>IF('ASS START SYNC'!C359="SHOW",LEFT('ASS START SYNC'!E359,B355),"")</f>
        <v/>
      </c>
      <c r="H355" s="24" t="str">
        <f>IF(AND('ASS START SYNC'!C359="SHOW",COUNTA('ASS START SYNC'!$E$8:'ASS START SYNC'!E358)=0),MID('ASS START SYNC'!E359,B355+1,C355-B355-1),IF(AND('ASS START SYNC'!C359="SHOW",COUNTA('ASS START SYNC'!$E$8:'ASS START SYNC'!E358)&lt;&gt;0),I354,""))</f>
        <v/>
      </c>
      <c r="I355" s="24" t="str">
        <f>IF('ASS START SYNC'!C359="SHOW",MID('ASS START SYNC'!E359,C355+1,D355-C355-1),I354)</f>
        <v/>
      </c>
      <c r="J355" s="23" t="str">
        <f>IF('ASS START SYNC'!C359="SHOW",MID('ASS START SYNC'!E359,D355+1,F355-D355+1),"")</f>
        <v/>
      </c>
      <c r="K355" s="23" t="str">
        <f>IF('ASS START SYNC'!C359="SHOW",MID('ASS START SYNC'!E359,F355+2,1000),"")</f>
        <v/>
      </c>
      <c r="M355" s="24"/>
      <c r="N355" s="26">
        <v>352</v>
      </c>
      <c r="O355" s="24" t="str">
        <f>IF('ASS END SYNC'!C359="SHOW",FIND(",",'ASS END SYNC'!E359,1),"")</f>
        <v/>
      </c>
      <c r="P355" s="24" t="str">
        <f>IF('ASS END SYNC'!C359="SHOW",FIND(",",'ASS END SYNC'!E359,O355+1),"")</f>
        <v/>
      </c>
      <c r="Q355" s="24" t="str">
        <f>IF('ASS END SYNC'!C359="SHOW",FIND(",",'ASS END SYNC'!E359,P355+1),"")</f>
        <v/>
      </c>
      <c r="R355" s="25" t="str">
        <f>IF('ASS END SYNC'!C359="SHOW",FIND(",,",'ASS END SYNC'!E359,1),"")</f>
        <v/>
      </c>
      <c r="S355" s="25" t="str">
        <f>IF('ASS END SYNC'!C359="SHOW",FIND(",,",'ASS END SYNC'!E359,R355+1),"")</f>
        <v/>
      </c>
      <c r="T355" s="23" t="str">
        <f>IF('ASS END SYNC'!C359="SHOW",LEFT('ASS END SYNC'!E359,O355),"")</f>
        <v/>
      </c>
      <c r="U355" s="24" t="str">
        <f>IF('ASS END SYNC'!C359="SHOW",MID('ASS END SYNC'!E359,O355+1,P355-O355-1),"")</f>
        <v/>
      </c>
      <c r="V355" s="24" t="str">
        <f>IF(AND('ASS END SYNC'!C359="SHOW",'ASS END SYNC'!C360="SHOW"),U356,IF(AND('ASS END SYNC'!C359="SHOW",'ASS END SYNC'!C360&lt;&gt;"SHOW"),MID('ASS END SYNC'!E359,O355+1,P355-O355-1),""))</f>
        <v/>
      </c>
      <c r="W355" s="23" t="str">
        <f>IF('ASS END SYNC'!C359="SHOW",MID('ASS END SYNC'!E359,Q355+1,S355-Q355+1),"")</f>
        <v/>
      </c>
      <c r="X355" s="23" t="str">
        <f>IF('ASS END SYNC'!C359="SHOW",MID('ASS END SYNC'!E359,S355+2,1000),"")</f>
        <v/>
      </c>
      <c r="Z355" s="24"/>
    </row>
    <row r="356" spans="1:26" x14ac:dyDescent="0.25">
      <c r="A356" s="26">
        <v>353</v>
      </c>
      <c r="B356" s="24" t="str">
        <f>IF('ASS START SYNC'!C360="SHOW",FIND(",",'ASS START SYNC'!E360,1),"")</f>
        <v/>
      </c>
      <c r="C356" s="24" t="str">
        <f>IF('ASS START SYNC'!C360="SHOW",FIND(",",'ASS START SYNC'!E360,B356+1),"")</f>
        <v/>
      </c>
      <c r="D356" s="24" t="str">
        <f>IF('ASS START SYNC'!C360="SHOW",FIND(",",'ASS START SYNC'!E360,C356+1),"")</f>
        <v/>
      </c>
      <c r="E356" s="25" t="str">
        <f>IF('ASS START SYNC'!C360="SHOW",FIND(",,",'ASS START SYNC'!E360,1),"")</f>
        <v/>
      </c>
      <c r="F356" s="25" t="str">
        <f>IF('ASS START SYNC'!C360="SHOW",FIND(",,",'ASS START SYNC'!E360,E356+1),"")</f>
        <v/>
      </c>
      <c r="G356" s="23" t="str">
        <f>IF('ASS START SYNC'!C360="SHOW",LEFT('ASS START SYNC'!E360,B356),"")</f>
        <v/>
      </c>
      <c r="H356" s="24" t="str">
        <f>IF(AND('ASS START SYNC'!C360="SHOW",COUNTA('ASS START SYNC'!$E$8:'ASS START SYNC'!E359)=0),MID('ASS START SYNC'!E360,B356+1,C356-B356-1),IF(AND('ASS START SYNC'!C360="SHOW",COUNTA('ASS START SYNC'!$E$8:'ASS START SYNC'!E359)&lt;&gt;0),I355,""))</f>
        <v/>
      </c>
      <c r="I356" s="24" t="str">
        <f>IF('ASS START SYNC'!C360="SHOW",MID('ASS START SYNC'!E360,C356+1,D356-C356-1),I355)</f>
        <v/>
      </c>
      <c r="J356" s="23" t="str">
        <f>IF('ASS START SYNC'!C360="SHOW",MID('ASS START SYNC'!E360,D356+1,F356-D356+1),"")</f>
        <v/>
      </c>
      <c r="K356" s="23" t="str">
        <f>IF('ASS START SYNC'!C360="SHOW",MID('ASS START SYNC'!E360,F356+2,1000),"")</f>
        <v/>
      </c>
      <c r="M356" s="24"/>
      <c r="N356" s="26">
        <v>353</v>
      </c>
      <c r="O356" s="24" t="str">
        <f>IF('ASS END SYNC'!C360="SHOW",FIND(",",'ASS END SYNC'!E360,1),"")</f>
        <v/>
      </c>
      <c r="P356" s="24" t="str">
        <f>IF('ASS END SYNC'!C360="SHOW",FIND(",",'ASS END SYNC'!E360,O356+1),"")</f>
        <v/>
      </c>
      <c r="Q356" s="24" t="str">
        <f>IF('ASS END SYNC'!C360="SHOW",FIND(",",'ASS END SYNC'!E360,P356+1),"")</f>
        <v/>
      </c>
      <c r="R356" s="25" t="str">
        <f>IF('ASS END SYNC'!C360="SHOW",FIND(",,",'ASS END SYNC'!E360,1),"")</f>
        <v/>
      </c>
      <c r="S356" s="25" t="str">
        <f>IF('ASS END SYNC'!C360="SHOW",FIND(",,",'ASS END SYNC'!E360,R356+1),"")</f>
        <v/>
      </c>
      <c r="T356" s="23" t="str">
        <f>IF('ASS END SYNC'!C360="SHOW",LEFT('ASS END SYNC'!E360,O356),"")</f>
        <v/>
      </c>
      <c r="U356" s="24" t="str">
        <f>IF('ASS END SYNC'!C360="SHOW",MID('ASS END SYNC'!E360,O356+1,P356-O356-1),"")</f>
        <v/>
      </c>
      <c r="V356" s="24" t="str">
        <f>IF(AND('ASS END SYNC'!C360="SHOW",'ASS END SYNC'!C361="SHOW"),U357,IF(AND('ASS END SYNC'!C360="SHOW",'ASS END SYNC'!C361&lt;&gt;"SHOW"),MID('ASS END SYNC'!E360,O356+1,P356-O356-1),""))</f>
        <v/>
      </c>
      <c r="W356" s="23" t="str">
        <f>IF('ASS END SYNC'!C360="SHOW",MID('ASS END SYNC'!E360,Q356+1,S356-Q356+1),"")</f>
        <v/>
      </c>
      <c r="X356" s="23" t="str">
        <f>IF('ASS END SYNC'!C360="SHOW",MID('ASS END SYNC'!E360,S356+2,1000),"")</f>
        <v/>
      </c>
      <c r="Z356" s="24"/>
    </row>
    <row r="357" spans="1:26" x14ac:dyDescent="0.25">
      <c r="A357" s="26">
        <v>354</v>
      </c>
      <c r="B357" s="24" t="str">
        <f>IF('ASS START SYNC'!C361="SHOW",FIND(",",'ASS START SYNC'!E361,1),"")</f>
        <v/>
      </c>
      <c r="C357" s="24" t="str">
        <f>IF('ASS START SYNC'!C361="SHOW",FIND(",",'ASS START SYNC'!E361,B357+1),"")</f>
        <v/>
      </c>
      <c r="D357" s="24" t="str">
        <f>IF('ASS START SYNC'!C361="SHOW",FIND(",",'ASS START SYNC'!E361,C357+1),"")</f>
        <v/>
      </c>
      <c r="E357" s="25" t="str">
        <f>IF('ASS START SYNC'!C361="SHOW",FIND(",,",'ASS START SYNC'!E361,1),"")</f>
        <v/>
      </c>
      <c r="F357" s="25" t="str">
        <f>IF('ASS START SYNC'!C361="SHOW",FIND(",,",'ASS START SYNC'!E361,E357+1),"")</f>
        <v/>
      </c>
      <c r="G357" s="23" t="str">
        <f>IF('ASS START SYNC'!C361="SHOW",LEFT('ASS START SYNC'!E361,B357),"")</f>
        <v/>
      </c>
      <c r="H357" s="24" t="str">
        <f>IF(AND('ASS START SYNC'!C361="SHOW",COUNTA('ASS START SYNC'!$E$8:'ASS START SYNC'!E360)=0),MID('ASS START SYNC'!E361,B357+1,C357-B357-1),IF(AND('ASS START SYNC'!C361="SHOW",COUNTA('ASS START SYNC'!$E$8:'ASS START SYNC'!E360)&lt;&gt;0),I356,""))</f>
        <v/>
      </c>
      <c r="I357" s="24" t="str">
        <f>IF('ASS START SYNC'!C361="SHOW",MID('ASS START SYNC'!E361,C357+1,D357-C357-1),I356)</f>
        <v/>
      </c>
      <c r="J357" s="23" t="str">
        <f>IF('ASS START SYNC'!C361="SHOW",MID('ASS START SYNC'!E361,D357+1,F357-D357+1),"")</f>
        <v/>
      </c>
      <c r="K357" s="23" t="str">
        <f>IF('ASS START SYNC'!C361="SHOW",MID('ASS START SYNC'!E361,F357+2,1000),"")</f>
        <v/>
      </c>
      <c r="M357" s="24"/>
      <c r="N357" s="26">
        <v>354</v>
      </c>
      <c r="O357" s="24" t="str">
        <f>IF('ASS END SYNC'!C361="SHOW",FIND(",",'ASS END SYNC'!E361,1),"")</f>
        <v/>
      </c>
      <c r="P357" s="24" t="str">
        <f>IF('ASS END SYNC'!C361="SHOW",FIND(",",'ASS END SYNC'!E361,O357+1),"")</f>
        <v/>
      </c>
      <c r="Q357" s="24" t="str">
        <f>IF('ASS END SYNC'!C361="SHOW",FIND(",",'ASS END SYNC'!E361,P357+1),"")</f>
        <v/>
      </c>
      <c r="R357" s="25" t="str">
        <f>IF('ASS END SYNC'!C361="SHOW",FIND(",,",'ASS END SYNC'!E361,1),"")</f>
        <v/>
      </c>
      <c r="S357" s="25" t="str">
        <f>IF('ASS END SYNC'!C361="SHOW",FIND(",,",'ASS END SYNC'!E361,R357+1),"")</f>
        <v/>
      </c>
      <c r="T357" s="23" t="str">
        <f>IF('ASS END SYNC'!C361="SHOW",LEFT('ASS END SYNC'!E361,O357),"")</f>
        <v/>
      </c>
      <c r="U357" s="24" t="str">
        <f>IF('ASS END SYNC'!C361="SHOW",MID('ASS END SYNC'!E361,O357+1,P357-O357-1),"")</f>
        <v/>
      </c>
      <c r="V357" s="24" t="str">
        <f>IF(AND('ASS END SYNC'!C361="SHOW",'ASS END SYNC'!C362="SHOW"),U358,IF(AND('ASS END SYNC'!C361="SHOW",'ASS END SYNC'!C362&lt;&gt;"SHOW"),MID('ASS END SYNC'!E361,O357+1,P357-O357-1),""))</f>
        <v/>
      </c>
      <c r="W357" s="23" t="str">
        <f>IF('ASS END SYNC'!C361="SHOW",MID('ASS END SYNC'!E361,Q357+1,S357-Q357+1),"")</f>
        <v/>
      </c>
      <c r="X357" s="23" t="str">
        <f>IF('ASS END SYNC'!C361="SHOW",MID('ASS END SYNC'!E361,S357+2,1000),"")</f>
        <v/>
      </c>
      <c r="Z357" s="24"/>
    </row>
    <row r="358" spans="1:26" x14ac:dyDescent="0.25">
      <c r="A358" s="26">
        <v>355</v>
      </c>
      <c r="B358" s="24" t="str">
        <f>IF('ASS START SYNC'!C362="SHOW",FIND(",",'ASS START SYNC'!E362,1),"")</f>
        <v/>
      </c>
      <c r="C358" s="24" t="str">
        <f>IF('ASS START SYNC'!C362="SHOW",FIND(",",'ASS START SYNC'!E362,B358+1),"")</f>
        <v/>
      </c>
      <c r="D358" s="24" t="str">
        <f>IF('ASS START SYNC'!C362="SHOW",FIND(",",'ASS START SYNC'!E362,C358+1),"")</f>
        <v/>
      </c>
      <c r="E358" s="25" t="str">
        <f>IF('ASS START SYNC'!C362="SHOW",FIND(",,",'ASS START SYNC'!E362,1),"")</f>
        <v/>
      </c>
      <c r="F358" s="25" t="str">
        <f>IF('ASS START SYNC'!C362="SHOW",FIND(",,",'ASS START SYNC'!E362,E358+1),"")</f>
        <v/>
      </c>
      <c r="G358" s="23" t="str">
        <f>IF('ASS START SYNC'!C362="SHOW",LEFT('ASS START SYNC'!E362,B358),"")</f>
        <v/>
      </c>
      <c r="H358" s="24" t="str">
        <f>IF(AND('ASS START SYNC'!C362="SHOW",COUNTA('ASS START SYNC'!$E$8:'ASS START SYNC'!E361)=0),MID('ASS START SYNC'!E362,B358+1,C358-B358-1),IF(AND('ASS START SYNC'!C362="SHOW",COUNTA('ASS START SYNC'!$E$8:'ASS START SYNC'!E361)&lt;&gt;0),I357,""))</f>
        <v/>
      </c>
      <c r="I358" s="24" t="str">
        <f>IF('ASS START SYNC'!C362="SHOW",MID('ASS START SYNC'!E362,C358+1,D358-C358-1),I357)</f>
        <v/>
      </c>
      <c r="J358" s="23" t="str">
        <f>IF('ASS START SYNC'!C362="SHOW",MID('ASS START SYNC'!E362,D358+1,F358-D358+1),"")</f>
        <v/>
      </c>
      <c r="K358" s="23" t="str">
        <f>IF('ASS START SYNC'!C362="SHOW",MID('ASS START SYNC'!E362,F358+2,1000),"")</f>
        <v/>
      </c>
      <c r="M358" s="24"/>
      <c r="N358" s="26">
        <v>355</v>
      </c>
      <c r="O358" s="24" t="str">
        <f>IF('ASS END SYNC'!C362="SHOW",FIND(",",'ASS END SYNC'!E362,1),"")</f>
        <v/>
      </c>
      <c r="P358" s="24" t="str">
        <f>IF('ASS END SYNC'!C362="SHOW",FIND(",",'ASS END SYNC'!E362,O358+1),"")</f>
        <v/>
      </c>
      <c r="Q358" s="24" t="str">
        <f>IF('ASS END SYNC'!C362="SHOW",FIND(",",'ASS END SYNC'!E362,P358+1),"")</f>
        <v/>
      </c>
      <c r="R358" s="25" t="str">
        <f>IF('ASS END SYNC'!C362="SHOW",FIND(",,",'ASS END SYNC'!E362,1),"")</f>
        <v/>
      </c>
      <c r="S358" s="25" t="str">
        <f>IF('ASS END SYNC'!C362="SHOW",FIND(",,",'ASS END SYNC'!E362,R358+1),"")</f>
        <v/>
      </c>
      <c r="T358" s="23" t="str">
        <f>IF('ASS END SYNC'!C362="SHOW",LEFT('ASS END SYNC'!E362,O358),"")</f>
        <v/>
      </c>
      <c r="U358" s="24" t="str">
        <f>IF('ASS END SYNC'!C362="SHOW",MID('ASS END SYNC'!E362,O358+1,P358-O358-1),"")</f>
        <v/>
      </c>
      <c r="V358" s="24" t="str">
        <f>IF(AND('ASS END SYNC'!C362="SHOW",'ASS END SYNC'!C363="SHOW"),U359,IF(AND('ASS END SYNC'!C362="SHOW",'ASS END SYNC'!C363&lt;&gt;"SHOW"),MID('ASS END SYNC'!E362,O358+1,P358-O358-1),""))</f>
        <v/>
      </c>
      <c r="W358" s="23" t="str">
        <f>IF('ASS END SYNC'!C362="SHOW",MID('ASS END SYNC'!E362,Q358+1,S358-Q358+1),"")</f>
        <v/>
      </c>
      <c r="X358" s="23" t="str">
        <f>IF('ASS END SYNC'!C362="SHOW",MID('ASS END SYNC'!E362,S358+2,1000),"")</f>
        <v/>
      </c>
      <c r="Z358" s="24"/>
    </row>
    <row r="359" spans="1:26" x14ac:dyDescent="0.25">
      <c r="A359" s="26">
        <v>356</v>
      </c>
      <c r="B359" s="24" t="str">
        <f>IF('ASS START SYNC'!C363="SHOW",FIND(",",'ASS START SYNC'!E363,1),"")</f>
        <v/>
      </c>
      <c r="C359" s="24" t="str">
        <f>IF('ASS START SYNC'!C363="SHOW",FIND(",",'ASS START SYNC'!E363,B359+1),"")</f>
        <v/>
      </c>
      <c r="D359" s="24" t="str">
        <f>IF('ASS START SYNC'!C363="SHOW",FIND(",",'ASS START SYNC'!E363,C359+1),"")</f>
        <v/>
      </c>
      <c r="E359" s="25" t="str">
        <f>IF('ASS START SYNC'!C363="SHOW",FIND(",,",'ASS START SYNC'!E363,1),"")</f>
        <v/>
      </c>
      <c r="F359" s="25" t="str">
        <f>IF('ASS START SYNC'!C363="SHOW",FIND(",,",'ASS START SYNC'!E363,E359+1),"")</f>
        <v/>
      </c>
      <c r="G359" s="23" t="str">
        <f>IF('ASS START SYNC'!C363="SHOW",LEFT('ASS START SYNC'!E363,B359),"")</f>
        <v/>
      </c>
      <c r="H359" s="24" t="str">
        <f>IF(AND('ASS START SYNC'!C363="SHOW",COUNTA('ASS START SYNC'!$E$8:'ASS START SYNC'!E362)=0),MID('ASS START SYNC'!E363,B359+1,C359-B359-1),IF(AND('ASS START SYNC'!C363="SHOW",COUNTA('ASS START SYNC'!$E$8:'ASS START SYNC'!E362)&lt;&gt;0),I358,""))</f>
        <v/>
      </c>
      <c r="I359" s="24" t="str">
        <f>IF('ASS START SYNC'!C363="SHOW",MID('ASS START SYNC'!E363,C359+1,D359-C359-1),I358)</f>
        <v/>
      </c>
      <c r="J359" s="23" t="str">
        <f>IF('ASS START SYNC'!C363="SHOW",MID('ASS START SYNC'!E363,D359+1,F359-D359+1),"")</f>
        <v/>
      </c>
      <c r="K359" s="23" t="str">
        <f>IF('ASS START SYNC'!C363="SHOW",MID('ASS START SYNC'!E363,F359+2,1000),"")</f>
        <v/>
      </c>
      <c r="M359" s="24"/>
      <c r="N359" s="26">
        <v>356</v>
      </c>
      <c r="O359" s="24" t="str">
        <f>IF('ASS END SYNC'!C363="SHOW",FIND(",",'ASS END SYNC'!E363,1),"")</f>
        <v/>
      </c>
      <c r="P359" s="24" t="str">
        <f>IF('ASS END SYNC'!C363="SHOW",FIND(",",'ASS END SYNC'!E363,O359+1),"")</f>
        <v/>
      </c>
      <c r="Q359" s="24" t="str">
        <f>IF('ASS END SYNC'!C363="SHOW",FIND(",",'ASS END SYNC'!E363,P359+1),"")</f>
        <v/>
      </c>
      <c r="R359" s="25" t="str">
        <f>IF('ASS END SYNC'!C363="SHOW",FIND(",,",'ASS END SYNC'!E363,1),"")</f>
        <v/>
      </c>
      <c r="S359" s="25" t="str">
        <f>IF('ASS END SYNC'!C363="SHOW",FIND(",,",'ASS END SYNC'!E363,R359+1),"")</f>
        <v/>
      </c>
      <c r="T359" s="23" t="str">
        <f>IF('ASS END SYNC'!C363="SHOW",LEFT('ASS END SYNC'!E363,O359),"")</f>
        <v/>
      </c>
      <c r="U359" s="24" t="str">
        <f>IF('ASS END SYNC'!C363="SHOW",MID('ASS END SYNC'!E363,O359+1,P359-O359-1),"")</f>
        <v/>
      </c>
      <c r="V359" s="24" t="str">
        <f>IF(AND('ASS END SYNC'!C363="SHOW",'ASS END SYNC'!C364="SHOW"),U360,IF(AND('ASS END SYNC'!C363="SHOW",'ASS END SYNC'!C364&lt;&gt;"SHOW"),MID('ASS END SYNC'!E363,O359+1,P359-O359-1),""))</f>
        <v/>
      </c>
      <c r="W359" s="23" t="str">
        <f>IF('ASS END SYNC'!C363="SHOW",MID('ASS END SYNC'!E363,Q359+1,S359-Q359+1),"")</f>
        <v/>
      </c>
      <c r="X359" s="23" t="str">
        <f>IF('ASS END SYNC'!C363="SHOW",MID('ASS END SYNC'!E363,S359+2,1000),"")</f>
        <v/>
      </c>
      <c r="Z359" s="24"/>
    </row>
    <row r="360" spans="1:26" x14ac:dyDescent="0.25">
      <c r="A360" s="26">
        <v>357</v>
      </c>
      <c r="B360" s="24" t="str">
        <f>IF('ASS START SYNC'!C364="SHOW",FIND(",",'ASS START SYNC'!E364,1),"")</f>
        <v/>
      </c>
      <c r="C360" s="24" t="str">
        <f>IF('ASS START SYNC'!C364="SHOW",FIND(",",'ASS START SYNC'!E364,B360+1),"")</f>
        <v/>
      </c>
      <c r="D360" s="24" t="str">
        <f>IF('ASS START SYNC'!C364="SHOW",FIND(",",'ASS START SYNC'!E364,C360+1),"")</f>
        <v/>
      </c>
      <c r="E360" s="25" t="str">
        <f>IF('ASS START SYNC'!C364="SHOW",FIND(",,",'ASS START SYNC'!E364,1),"")</f>
        <v/>
      </c>
      <c r="F360" s="25" t="str">
        <f>IF('ASS START SYNC'!C364="SHOW",FIND(",,",'ASS START SYNC'!E364,E360+1),"")</f>
        <v/>
      </c>
      <c r="G360" s="23" t="str">
        <f>IF('ASS START SYNC'!C364="SHOW",LEFT('ASS START SYNC'!E364,B360),"")</f>
        <v/>
      </c>
      <c r="H360" s="24" t="str">
        <f>IF(AND('ASS START SYNC'!C364="SHOW",COUNTA('ASS START SYNC'!$E$8:'ASS START SYNC'!E363)=0),MID('ASS START SYNC'!E364,B360+1,C360-B360-1),IF(AND('ASS START SYNC'!C364="SHOW",COUNTA('ASS START SYNC'!$E$8:'ASS START SYNC'!E363)&lt;&gt;0),I359,""))</f>
        <v/>
      </c>
      <c r="I360" s="24" t="str">
        <f>IF('ASS START SYNC'!C364="SHOW",MID('ASS START SYNC'!E364,C360+1,D360-C360-1),I359)</f>
        <v/>
      </c>
      <c r="J360" s="23" t="str">
        <f>IF('ASS START SYNC'!C364="SHOW",MID('ASS START SYNC'!E364,D360+1,F360-D360+1),"")</f>
        <v/>
      </c>
      <c r="K360" s="23" t="str">
        <f>IF('ASS START SYNC'!C364="SHOW",MID('ASS START SYNC'!E364,F360+2,1000),"")</f>
        <v/>
      </c>
      <c r="M360" s="24"/>
      <c r="N360" s="26">
        <v>357</v>
      </c>
      <c r="O360" s="24" t="str">
        <f>IF('ASS END SYNC'!C364="SHOW",FIND(",",'ASS END SYNC'!E364,1),"")</f>
        <v/>
      </c>
      <c r="P360" s="24" t="str">
        <f>IF('ASS END SYNC'!C364="SHOW",FIND(",",'ASS END SYNC'!E364,O360+1),"")</f>
        <v/>
      </c>
      <c r="Q360" s="24" t="str">
        <f>IF('ASS END SYNC'!C364="SHOW",FIND(",",'ASS END SYNC'!E364,P360+1),"")</f>
        <v/>
      </c>
      <c r="R360" s="25" t="str">
        <f>IF('ASS END SYNC'!C364="SHOW",FIND(",,",'ASS END SYNC'!E364,1),"")</f>
        <v/>
      </c>
      <c r="S360" s="25" t="str">
        <f>IF('ASS END SYNC'!C364="SHOW",FIND(",,",'ASS END SYNC'!E364,R360+1),"")</f>
        <v/>
      </c>
      <c r="T360" s="23" t="str">
        <f>IF('ASS END SYNC'!C364="SHOW",LEFT('ASS END SYNC'!E364,O360),"")</f>
        <v/>
      </c>
      <c r="U360" s="24" t="str">
        <f>IF('ASS END SYNC'!C364="SHOW",MID('ASS END SYNC'!E364,O360+1,P360-O360-1),"")</f>
        <v/>
      </c>
      <c r="V360" s="24" t="str">
        <f>IF(AND('ASS END SYNC'!C364="SHOW",'ASS END SYNC'!C365="SHOW"),U361,IF(AND('ASS END SYNC'!C364="SHOW",'ASS END SYNC'!C365&lt;&gt;"SHOW"),MID('ASS END SYNC'!E364,O360+1,P360-O360-1),""))</f>
        <v/>
      </c>
      <c r="W360" s="23" t="str">
        <f>IF('ASS END SYNC'!C364="SHOW",MID('ASS END SYNC'!E364,Q360+1,S360-Q360+1),"")</f>
        <v/>
      </c>
      <c r="X360" s="23" t="str">
        <f>IF('ASS END SYNC'!C364="SHOW",MID('ASS END SYNC'!E364,S360+2,1000),"")</f>
        <v/>
      </c>
      <c r="Z360" s="24"/>
    </row>
    <row r="361" spans="1:26" x14ac:dyDescent="0.25">
      <c r="A361" s="26">
        <v>358</v>
      </c>
      <c r="B361" s="24" t="str">
        <f>IF('ASS START SYNC'!C365="SHOW",FIND(",",'ASS START SYNC'!E365,1),"")</f>
        <v/>
      </c>
      <c r="C361" s="24" t="str">
        <f>IF('ASS START SYNC'!C365="SHOW",FIND(",",'ASS START SYNC'!E365,B361+1),"")</f>
        <v/>
      </c>
      <c r="D361" s="24" t="str">
        <f>IF('ASS START SYNC'!C365="SHOW",FIND(",",'ASS START SYNC'!E365,C361+1),"")</f>
        <v/>
      </c>
      <c r="E361" s="25" t="str">
        <f>IF('ASS START SYNC'!C365="SHOW",FIND(",,",'ASS START SYNC'!E365,1),"")</f>
        <v/>
      </c>
      <c r="F361" s="25" t="str">
        <f>IF('ASS START SYNC'!C365="SHOW",FIND(",,",'ASS START SYNC'!E365,E361+1),"")</f>
        <v/>
      </c>
      <c r="G361" s="23" t="str">
        <f>IF('ASS START SYNC'!C365="SHOW",LEFT('ASS START SYNC'!E365,B361),"")</f>
        <v/>
      </c>
      <c r="H361" s="24" t="str">
        <f>IF(AND('ASS START SYNC'!C365="SHOW",COUNTA('ASS START SYNC'!$E$8:'ASS START SYNC'!E364)=0),MID('ASS START SYNC'!E365,B361+1,C361-B361-1),IF(AND('ASS START SYNC'!C365="SHOW",COUNTA('ASS START SYNC'!$E$8:'ASS START SYNC'!E364)&lt;&gt;0),I360,""))</f>
        <v/>
      </c>
      <c r="I361" s="24" t="str">
        <f>IF('ASS START SYNC'!C365="SHOW",MID('ASS START SYNC'!E365,C361+1,D361-C361-1),I360)</f>
        <v/>
      </c>
      <c r="J361" s="23" t="str">
        <f>IF('ASS START SYNC'!C365="SHOW",MID('ASS START SYNC'!E365,D361+1,F361-D361+1),"")</f>
        <v/>
      </c>
      <c r="K361" s="23" t="str">
        <f>IF('ASS START SYNC'!C365="SHOW",MID('ASS START SYNC'!E365,F361+2,1000),"")</f>
        <v/>
      </c>
      <c r="M361" s="24"/>
      <c r="N361" s="26">
        <v>358</v>
      </c>
      <c r="O361" s="24" t="str">
        <f>IF('ASS END SYNC'!C365="SHOW",FIND(",",'ASS END SYNC'!E365,1),"")</f>
        <v/>
      </c>
      <c r="P361" s="24" t="str">
        <f>IF('ASS END SYNC'!C365="SHOW",FIND(",",'ASS END SYNC'!E365,O361+1),"")</f>
        <v/>
      </c>
      <c r="Q361" s="24" t="str">
        <f>IF('ASS END SYNC'!C365="SHOW",FIND(",",'ASS END SYNC'!E365,P361+1),"")</f>
        <v/>
      </c>
      <c r="R361" s="25" t="str">
        <f>IF('ASS END SYNC'!C365="SHOW",FIND(",,",'ASS END SYNC'!E365,1),"")</f>
        <v/>
      </c>
      <c r="S361" s="25" t="str">
        <f>IF('ASS END SYNC'!C365="SHOW",FIND(",,",'ASS END SYNC'!E365,R361+1),"")</f>
        <v/>
      </c>
      <c r="T361" s="23" t="str">
        <f>IF('ASS END SYNC'!C365="SHOW",LEFT('ASS END SYNC'!E365,O361),"")</f>
        <v/>
      </c>
      <c r="U361" s="24" t="str">
        <f>IF('ASS END SYNC'!C365="SHOW",MID('ASS END SYNC'!E365,O361+1,P361-O361-1),"")</f>
        <v/>
      </c>
      <c r="V361" s="24" t="str">
        <f>IF(AND('ASS END SYNC'!C365="SHOW",'ASS END SYNC'!C366="SHOW"),U362,IF(AND('ASS END SYNC'!C365="SHOW",'ASS END SYNC'!C366&lt;&gt;"SHOW"),MID('ASS END SYNC'!E365,O361+1,P361-O361-1),""))</f>
        <v/>
      </c>
      <c r="W361" s="23" t="str">
        <f>IF('ASS END SYNC'!C365="SHOW",MID('ASS END SYNC'!E365,Q361+1,S361-Q361+1),"")</f>
        <v/>
      </c>
      <c r="X361" s="23" t="str">
        <f>IF('ASS END SYNC'!C365="SHOW",MID('ASS END SYNC'!E365,S361+2,1000),"")</f>
        <v/>
      </c>
      <c r="Z361" s="24"/>
    </row>
    <row r="362" spans="1:26" x14ac:dyDescent="0.25">
      <c r="A362" s="26">
        <v>359</v>
      </c>
      <c r="B362" s="24" t="str">
        <f>IF('ASS START SYNC'!C366="SHOW",FIND(",",'ASS START SYNC'!E366,1),"")</f>
        <v/>
      </c>
      <c r="C362" s="24" t="str">
        <f>IF('ASS START SYNC'!C366="SHOW",FIND(",",'ASS START SYNC'!E366,B362+1),"")</f>
        <v/>
      </c>
      <c r="D362" s="24" t="str">
        <f>IF('ASS START SYNC'!C366="SHOW",FIND(",",'ASS START SYNC'!E366,C362+1),"")</f>
        <v/>
      </c>
      <c r="E362" s="25" t="str">
        <f>IF('ASS START SYNC'!C366="SHOW",FIND(",,",'ASS START SYNC'!E366,1),"")</f>
        <v/>
      </c>
      <c r="F362" s="25" t="str">
        <f>IF('ASS START SYNC'!C366="SHOW",FIND(",,",'ASS START SYNC'!E366,E362+1),"")</f>
        <v/>
      </c>
      <c r="G362" s="23" t="str">
        <f>IF('ASS START SYNC'!C366="SHOW",LEFT('ASS START SYNC'!E366,B362),"")</f>
        <v/>
      </c>
      <c r="H362" s="24" t="str">
        <f>IF(AND('ASS START SYNC'!C366="SHOW",COUNTA('ASS START SYNC'!$E$8:'ASS START SYNC'!E365)=0),MID('ASS START SYNC'!E366,B362+1,C362-B362-1),IF(AND('ASS START SYNC'!C366="SHOW",COUNTA('ASS START SYNC'!$E$8:'ASS START SYNC'!E365)&lt;&gt;0),I361,""))</f>
        <v/>
      </c>
      <c r="I362" s="24" t="str">
        <f>IF('ASS START SYNC'!C366="SHOW",MID('ASS START SYNC'!E366,C362+1,D362-C362-1),I361)</f>
        <v/>
      </c>
      <c r="J362" s="23" t="str">
        <f>IF('ASS START SYNC'!C366="SHOW",MID('ASS START SYNC'!E366,D362+1,F362-D362+1),"")</f>
        <v/>
      </c>
      <c r="K362" s="23" t="str">
        <f>IF('ASS START SYNC'!C366="SHOW",MID('ASS START SYNC'!E366,F362+2,1000),"")</f>
        <v/>
      </c>
      <c r="M362" s="24"/>
      <c r="N362" s="26">
        <v>359</v>
      </c>
      <c r="O362" s="24" t="str">
        <f>IF('ASS END SYNC'!C366="SHOW",FIND(",",'ASS END SYNC'!E366,1),"")</f>
        <v/>
      </c>
      <c r="P362" s="24" t="str">
        <f>IF('ASS END SYNC'!C366="SHOW",FIND(",",'ASS END SYNC'!E366,O362+1),"")</f>
        <v/>
      </c>
      <c r="Q362" s="24" t="str">
        <f>IF('ASS END SYNC'!C366="SHOW",FIND(",",'ASS END SYNC'!E366,P362+1),"")</f>
        <v/>
      </c>
      <c r="R362" s="25" t="str">
        <f>IF('ASS END SYNC'!C366="SHOW",FIND(",,",'ASS END SYNC'!E366,1),"")</f>
        <v/>
      </c>
      <c r="S362" s="25" t="str">
        <f>IF('ASS END SYNC'!C366="SHOW",FIND(",,",'ASS END SYNC'!E366,R362+1),"")</f>
        <v/>
      </c>
      <c r="T362" s="23" t="str">
        <f>IF('ASS END SYNC'!C366="SHOW",LEFT('ASS END SYNC'!E366,O362),"")</f>
        <v/>
      </c>
      <c r="U362" s="24" t="str">
        <f>IF('ASS END SYNC'!C366="SHOW",MID('ASS END SYNC'!E366,O362+1,P362-O362-1),"")</f>
        <v/>
      </c>
      <c r="V362" s="24" t="str">
        <f>IF(AND('ASS END SYNC'!C366="SHOW",'ASS END SYNC'!C367="SHOW"),U363,IF(AND('ASS END SYNC'!C366="SHOW",'ASS END SYNC'!C367&lt;&gt;"SHOW"),MID('ASS END SYNC'!E366,O362+1,P362-O362-1),""))</f>
        <v/>
      </c>
      <c r="W362" s="23" t="str">
        <f>IF('ASS END SYNC'!C366="SHOW",MID('ASS END SYNC'!E366,Q362+1,S362-Q362+1),"")</f>
        <v/>
      </c>
      <c r="X362" s="23" t="str">
        <f>IF('ASS END SYNC'!C366="SHOW",MID('ASS END SYNC'!E366,S362+2,1000),"")</f>
        <v/>
      </c>
      <c r="Z362" s="24"/>
    </row>
    <row r="363" spans="1:26" x14ac:dyDescent="0.25">
      <c r="A363" s="26">
        <v>360</v>
      </c>
      <c r="B363" s="24" t="str">
        <f>IF('ASS START SYNC'!C367="SHOW",FIND(",",'ASS START SYNC'!E367,1),"")</f>
        <v/>
      </c>
      <c r="C363" s="24" t="str">
        <f>IF('ASS START SYNC'!C367="SHOW",FIND(",",'ASS START SYNC'!E367,B363+1),"")</f>
        <v/>
      </c>
      <c r="D363" s="24" t="str">
        <f>IF('ASS START SYNC'!C367="SHOW",FIND(",",'ASS START SYNC'!E367,C363+1),"")</f>
        <v/>
      </c>
      <c r="E363" s="25" t="str">
        <f>IF('ASS START SYNC'!C367="SHOW",FIND(",,",'ASS START SYNC'!E367,1),"")</f>
        <v/>
      </c>
      <c r="F363" s="25" t="str">
        <f>IF('ASS START SYNC'!C367="SHOW",FIND(",,",'ASS START SYNC'!E367,E363+1),"")</f>
        <v/>
      </c>
      <c r="G363" s="23" t="str">
        <f>IF('ASS START SYNC'!C367="SHOW",LEFT('ASS START SYNC'!E367,B363),"")</f>
        <v/>
      </c>
      <c r="H363" s="24" t="str">
        <f>IF(AND('ASS START SYNC'!C367="SHOW",COUNTA('ASS START SYNC'!$E$8:'ASS START SYNC'!E366)=0),MID('ASS START SYNC'!E367,B363+1,C363-B363-1),IF(AND('ASS START SYNC'!C367="SHOW",COUNTA('ASS START SYNC'!$E$8:'ASS START SYNC'!E366)&lt;&gt;0),I362,""))</f>
        <v/>
      </c>
      <c r="I363" s="24" t="str">
        <f>IF('ASS START SYNC'!C367="SHOW",MID('ASS START SYNC'!E367,C363+1,D363-C363-1),I362)</f>
        <v/>
      </c>
      <c r="J363" s="23" t="str">
        <f>IF('ASS START SYNC'!C367="SHOW",MID('ASS START SYNC'!E367,D363+1,F363-D363+1),"")</f>
        <v/>
      </c>
      <c r="K363" s="23" t="str">
        <f>IF('ASS START SYNC'!C367="SHOW",MID('ASS START SYNC'!E367,F363+2,1000),"")</f>
        <v/>
      </c>
      <c r="M363" s="24"/>
      <c r="N363" s="26">
        <v>360</v>
      </c>
      <c r="O363" s="24" t="str">
        <f>IF('ASS END SYNC'!C367="SHOW",FIND(",",'ASS END SYNC'!E367,1),"")</f>
        <v/>
      </c>
      <c r="P363" s="24" t="str">
        <f>IF('ASS END SYNC'!C367="SHOW",FIND(",",'ASS END SYNC'!E367,O363+1),"")</f>
        <v/>
      </c>
      <c r="Q363" s="24" t="str">
        <f>IF('ASS END SYNC'!C367="SHOW",FIND(",",'ASS END SYNC'!E367,P363+1),"")</f>
        <v/>
      </c>
      <c r="R363" s="25" t="str">
        <f>IF('ASS END SYNC'!C367="SHOW",FIND(",,",'ASS END SYNC'!E367,1),"")</f>
        <v/>
      </c>
      <c r="S363" s="25" t="str">
        <f>IF('ASS END SYNC'!C367="SHOW",FIND(",,",'ASS END SYNC'!E367,R363+1),"")</f>
        <v/>
      </c>
      <c r="T363" s="23" t="str">
        <f>IF('ASS END SYNC'!C367="SHOW",LEFT('ASS END SYNC'!E367,O363),"")</f>
        <v/>
      </c>
      <c r="U363" s="24" t="str">
        <f>IF('ASS END SYNC'!C367="SHOW",MID('ASS END SYNC'!E367,O363+1,P363-O363-1),"")</f>
        <v/>
      </c>
      <c r="V363" s="24" t="str">
        <f>IF(AND('ASS END SYNC'!C367="SHOW",'ASS END SYNC'!C368="SHOW"),U364,IF(AND('ASS END SYNC'!C367="SHOW",'ASS END SYNC'!C368&lt;&gt;"SHOW"),MID('ASS END SYNC'!E367,O363+1,P363-O363-1),""))</f>
        <v/>
      </c>
      <c r="W363" s="23" t="str">
        <f>IF('ASS END SYNC'!C367="SHOW",MID('ASS END SYNC'!E367,Q363+1,S363-Q363+1),"")</f>
        <v/>
      </c>
      <c r="X363" s="23" t="str">
        <f>IF('ASS END SYNC'!C367="SHOW",MID('ASS END SYNC'!E367,S363+2,1000),"")</f>
        <v/>
      </c>
      <c r="Z363" s="24"/>
    </row>
    <row r="364" spans="1:26" x14ac:dyDescent="0.25">
      <c r="A364" s="26">
        <v>361</v>
      </c>
      <c r="B364" s="24" t="str">
        <f>IF('ASS START SYNC'!C368="SHOW",FIND(",",'ASS START SYNC'!E368,1),"")</f>
        <v/>
      </c>
      <c r="C364" s="24" t="str">
        <f>IF('ASS START SYNC'!C368="SHOW",FIND(",",'ASS START SYNC'!E368,B364+1),"")</f>
        <v/>
      </c>
      <c r="D364" s="24" t="str">
        <f>IF('ASS START SYNC'!C368="SHOW",FIND(",",'ASS START SYNC'!E368,C364+1),"")</f>
        <v/>
      </c>
      <c r="E364" s="25" t="str">
        <f>IF('ASS START SYNC'!C368="SHOW",FIND(",,",'ASS START SYNC'!E368,1),"")</f>
        <v/>
      </c>
      <c r="F364" s="25" t="str">
        <f>IF('ASS START SYNC'!C368="SHOW",FIND(",,",'ASS START SYNC'!E368,E364+1),"")</f>
        <v/>
      </c>
      <c r="G364" s="23" t="str">
        <f>IF('ASS START SYNC'!C368="SHOW",LEFT('ASS START SYNC'!E368,B364),"")</f>
        <v/>
      </c>
      <c r="H364" s="24" t="str">
        <f>IF(AND('ASS START SYNC'!C368="SHOW",COUNTA('ASS START SYNC'!$E$8:'ASS START SYNC'!E367)=0),MID('ASS START SYNC'!E368,B364+1,C364-B364-1),IF(AND('ASS START SYNC'!C368="SHOW",COUNTA('ASS START SYNC'!$E$8:'ASS START SYNC'!E367)&lt;&gt;0),I363,""))</f>
        <v/>
      </c>
      <c r="I364" s="24" t="str">
        <f>IF('ASS START SYNC'!C368="SHOW",MID('ASS START SYNC'!E368,C364+1,D364-C364-1),I363)</f>
        <v/>
      </c>
      <c r="J364" s="23" t="str">
        <f>IF('ASS START SYNC'!C368="SHOW",MID('ASS START SYNC'!E368,D364+1,F364-D364+1),"")</f>
        <v/>
      </c>
      <c r="K364" s="23" t="str">
        <f>IF('ASS START SYNC'!C368="SHOW",MID('ASS START SYNC'!E368,F364+2,1000),"")</f>
        <v/>
      </c>
      <c r="M364" s="24"/>
      <c r="N364" s="26">
        <v>361</v>
      </c>
      <c r="O364" s="24" t="str">
        <f>IF('ASS END SYNC'!C368="SHOW",FIND(",",'ASS END SYNC'!E368,1),"")</f>
        <v/>
      </c>
      <c r="P364" s="24" t="str">
        <f>IF('ASS END SYNC'!C368="SHOW",FIND(",",'ASS END SYNC'!E368,O364+1),"")</f>
        <v/>
      </c>
      <c r="Q364" s="24" t="str">
        <f>IF('ASS END SYNC'!C368="SHOW",FIND(",",'ASS END SYNC'!E368,P364+1),"")</f>
        <v/>
      </c>
      <c r="R364" s="25" t="str">
        <f>IF('ASS END SYNC'!C368="SHOW",FIND(",,",'ASS END SYNC'!E368,1),"")</f>
        <v/>
      </c>
      <c r="S364" s="25" t="str">
        <f>IF('ASS END SYNC'!C368="SHOW",FIND(",,",'ASS END SYNC'!E368,R364+1),"")</f>
        <v/>
      </c>
      <c r="T364" s="23" t="str">
        <f>IF('ASS END SYNC'!C368="SHOW",LEFT('ASS END SYNC'!E368,O364),"")</f>
        <v/>
      </c>
      <c r="U364" s="24" t="str">
        <f>IF('ASS END SYNC'!C368="SHOW",MID('ASS END SYNC'!E368,O364+1,P364-O364-1),"")</f>
        <v/>
      </c>
      <c r="V364" s="24" t="str">
        <f>IF(AND('ASS END SYNC'!C368="SHOW",'ASS END SYNC'!C369="SHOW"),U365,IF(AND('ASS END SYNC'!C368="SHOW",'ASS END SYNC'!C369&lt;&gt;"SHOW"),MID('ASS END SYNC'!E368,O364+1,P364-O364-1),""))</f>
        <v/>
      </c>
      <c r="W364" s="23" t="str">
        <f>IF('ASS END SYNC'!C368="SHOW",MID('ASS END SYNC'!E368,Q364+1,S364-Q364+1),"")</f>
        <v/>
      </c>
      <c r="X364" s="23" t="str">
        <f>IF('ASS END SYNC'!C368="SHOW",MID('ASS END SYNC'!E368,S364+2,1000),"")</f>
        <v/>
      </c>
      <c r="Z364" s="24"/>
    </row>
    <row r="365" spans="1:26" x14ac:dyDescent="0.25">
      <c r="A365" s="26">
        <v>362</v>
      </c>
      <c r="B365" s="24" t="str">
        <f>IF('ASS START SYNC'!C369="SHOW",FIND(",",'ASS START SYNC'!E369,1),"")</f>
        <v/>
      </c>
      <c r="C365" s="24" t="str">
        <f>IF('ASS START SYNC'!C369="SHOW",FIND(",",'ASS START SYNC'!E369,B365+1),"")</f>
        <v/>
      </c>
      <c r="D365" s="24" t="str">
        <f>IF('ASS START SYNC'!C369="SHOW",FIND(",",'ASS START SYNC'!E369,C365+1),"")</f>
        <v/>
      </c>
      <c r="E365" s="25" t="str">
        <f>IF('ASS START SYNC'!C369="SHOW",FIND(",,",'ASS START SYNC'!E369,1),"")</f>
        <v/>
      </c>
      <c r="F365" s="25" t="str">
        <f>IF('ASS START SYNC'!C369="SHOW",FIND(",,",'ASS START SYNC'!E369,E365+1),"")</f>
        <v/>
      </c>
      <c r="G365" s="23" t="str">
        <f>IF('ASS START SYNC'!C369="SHOW",LEFT('ASS START SYNC'!E369,B365),"")</f>
        <v/>
      </c>
      <c r="H365" s="24" t="str">
        <f>IF(AND('ASS START SYNC'!C369="SHOW",COUNTA('ASS START SYNC'!$E$8:'ASS START SYNC'!E368)=0),MID('ASS START SYNC'!E369,B365+1,C365-B365-1),IF(AND('ASS START SYNC'!C369="SHOW",COUNTA('ASS START SYNC'!$E$8:'ASS START SYNC'!E368)&lt;&gt;0),I364,""))</f>
        <v/>
      </c>
      <c r="I365" s="24" t="str">
        <f>IF('ASS START SYNC'!C369="SHOW",MID('ASS START SYNC'!E369,C365+1,D365-C365-1),I364)</f>
        <v/>
      </c>
      <c r="J365" s="23" t="str">
        <f>IF('ASS START SYNC'!C369="SHOW",MID('ASS START SYNC'!E369,D365+1,F365-D365+1),"")</f>
        <v/>
      </c>
      <c r="K365" s="23" t="str">
        <f>IF('ASS START SYNC'!C369="SHOW",MID('ASS START SYNC'!E369,F365+2,1000),"")</f>
        <v/>
      </c>
      <c r="M365" s="24"/>
      <c r="N365" s="26">
        <v>362</v>
      </c>
      <c r="O365" s="24" t="str">
        <f>IF('ASS END SYNC'!C369="SHOW",FIND(",",'ASS END SYNC'!E369,1),"")</f>
        <v/>
      </c>
      <c r="P365" s="24" t="str">
        <f>IF('ASS END SYNC'!C369="SHOW",FIND(",",'ASS END SYNC'!E369,O365+1),"")</f>
        <v/>
      </c>
      <c r="Q365" s="24" t="str">
        <f>IF('ASS END SYNC'!C369="SHOW",FIND(",",'ASS END SYNC'!E369,P365+1),"")</f>
        <v/>
      </c>
      <c r="R365" s="25" t="str">
        <f>IF('ASS END SYNC'!C369="SHOW",FIND(",,",'ASS END SYNC'!E369,1),"")</f>
        <v/>
      </c>
      <c r="S365" s="25" t="str">
        <f>IF('ASS END SYNC'!C369="SHOW",FIND(",,",'ASS END SYNC'!E369,R365+1),"")</f>
        <v/>
      </c>
      <c r="T365" s="23" t="str">
        <f>IF('ASS END SYNC'!C369="SHOW",LEFT('ASS END SYNC'!E369,O365),"")</f>
        <v/>
      </c>
      <c r="U365" s="24" t="str">
        <f>IF('ASS END SYNC'!C369="SHOW",MID('ASS END SYNC'!E369,O365+1,P365-O365-1),"")</f>
        <v/>
      </c>
      <c r="V365" s="24" t="str">
        <f>IF(AND('ASS END SYNC'!C369="SHOW",'ASS END SYNC'!C370="SHOW"),U366,IF(AND('ASS END SYNC'!C369="SHOW",'ASS END SYNC'!C370&lt;&gt;"SHOW"),MID('ASS END SYNC'!E369,O365+1,P365-O365-1),""))</f>
        <v/>
      </c>
      <c r="W365" s="23" t="str">
        <f>IF('ASS END SYNC'!C369="SHOW",MID('ASS END SYNC'!E369,Q365+1,S365-Q365+1),"")</f>
        <v/>
      </c>
      <c r="X365" s="23" t="str">
        <f>IF('ASS END SYNC'!C369="SHOW",MID('ASS END SYNC'!E369,S365+2,1000),"")</f>
        <v/>
      </c>
      <c r="Z365" s="24"/>
    </row>
    <row r="366" spans="1:26" x14ac:dyDescent="0.25">
      <c r="A366" s="26">
        <v>363</v>
      </c>
      <c r="B366" s="24" t="str">
        <f>IF('ASS START SYNC'!C370="SHOW",FIND(",",'ASS START SYNC'!E370,1),"")</f>
        <v/>
      </c>
      <c r="C366" s="24" t="str">
        <f>IF('ASS START SYNC'!C370="SHOW",FIND(",",'ASS START SYNC'!E370,B366+1),"")</f>
        <v/>
      </c>
      <c r="D366" s="24" t="str">
        <f>IF('ASS START SYNC'!C370="SHOW",FIND(",",'ASS START SYNC'!E370,C366+1),"")</f>
        <v/>
      </c>
      <c r="E366" s="25" t="str">
        <f>IF('ASS START SYNC'!C370="SHOW",FIND(",,",'ASS START SYNC'!E370,1),"")</f>
        <v/>
      </c>
      <c r="F366" s="25" t="str">
        <f>IF('ASS START SYNC'!C370="SHOW",FIND(",,",'ASS START SYNC'!E370,E366+1),"")</f>
        <v/>
      </c>
      <c r="G366" s="23" t="str">
        <f>IF('ASS START SYNC'!C370="SHOW",LEFT('ASS START SYNC'!E370,B366),"")</f>
        <v/>
      </c>
      <c r="H366" s="24" t="str">
        <f>IF(AND('ASS START SYNC'!C370="SHOW",COUNTA('ASS START SYNC'!$E$8:'ASS START SYNC'!E369)=0),MID('ASS START SYNC'!E370,B366+1,C366-B366-1),IF(AND('ASS START SYNC'!C370="SHOW",COUNTA('ASS START SYNC'!$E$8:'ASS START SYNC'!E369)&lt;&gt;0),I365,""))</f>
        <v/>
      </c>
      <c r="I366" s="24" t="str">
        <f>IF('ASS START SYNC'!C370="SHOW",MID('ASS START SYNC'!E370,C366+1,D366-C366-1),I365)</f>
        <v/>
      </c>
      <c r="J366" s="23" t="str">
        <f>IF('ASS START SYNC'!C370="SHOW",MID('ASS START SYNC'!E370,D366+1,F366-D366+1),"")</f>
        <v/>
      </c>
      <c r="K366" s="23" t="str">
        <f>IF('ASS START SYNC'!C370="SHOW",MID('ASS START SYNC'!E370,F366+2,1000),"")</f>
        <v/>
      </c>
      <c r="M366" s="24"/>
      <c r="N366" s="26">
        <v>363</v>
      </c>
      <c r="O366" s="24" t="str">
        <f>IF('ASS END SYNC'!C370="SHOW",FIND(",",'ASS END SYNC'!E370,1),"")</f>
        <v/>
      </c>
      <c r="P366" s="24" t="str">
        <f>IF('ASS END SYNC'!C370="SHOW",FIND(",",'ASS END SYNC'!E370,O366+1),"")</f>
        <v/>
      </c>
      <c r="Q366" s="24" t="str">
        <f>IF('ASS END SYNC'!C370="SHOW",FIND(",",'ASS END SYNC'!E370,P366+1),"")</f>
        <v/>
      </c>
      <c r="R366" s="25" t="str">
        <f>IF('ASS END SYNC'!C370="SHOW",FIND(",,",'ASS END SYNC'!E370,1),"")</f>
        <v/>
      </c>
      <c r="S366" s="25" t="str">
        <f>IF('ASS END SYNC'!C370="SHOW",FIND(",,",'ASS END SYNC'!E370,R366+1),"")</f>
        <v/>
      </c>
      <c r="T366" s="23" t="str">
        <f>IF('ASS END SYNC'!C370="SHOW",LEFT('ASS END SYNC'!E370,O366),"")</f>
        <v/>
      </c>
      <c r="U366" s="24" t="str">
        <f>IF('ASS END SYNC'!C370="SHOW",MID('ASS END SYNC'!E370,O366+1,P366-O366-1),"")</f>
        <v/>
      </c>
      <c r="V366" s="24" t="str">
        <f>IF(AND('ASS END SYNC'!C370="SHOW",'ASS END SYNC'!C371="SHOW"),U367,IF(AND('ASS END SYNC'!C370="SHOW",'ASS END SYNC'!C371&lt;&gt;"SHOW"),MID('ASS END SYNC'!E370,O366+1,P366-O366-1),""))</f>
        <v/>
      </c>
      <c r="W366" s="23" t="str">
        <f>IF('ASS END SYNC'!C370="SHOW",MID('ASS END SYNC'!E370,Q366+1,S366-Q366+1),"")</f>
        <v/>
      </c>
      <c r="X366" s="23" t="str">
        <f>IF('ASS END SYNC'!C370="SHOW",MID('ASS END SYNC'!E370,S366+2,1000),"")</f>
        <v/>
      </c>
      <c r="Z366" s="24"/>
    </row>
    <row r="367" spans="1:26" x14ac:dyDescent="0.25">
      <c r="A367" s="26">
        <v>364</v>
      </c>
      <c r="B367" s="24" t="str">
        <f>IF('ASS START SYNC'!C371="SHOW",FIND(",",'ASS START SYNC'!E371,1),"")</f>
        <v/>
      </c>
      <c r="C367" s="24" t="str">
        <f>IF('ASS START SYNC'!C371="SHOW",FIND(",",'ASS START SYNC'!E371,B367+1),"")</f>
        <v/>
      </c>
      <c r="D367" s="24" t="str">
        <f>IF('ASS START SYNC'!C371="SHOW",FIND(",",'ASS START SYNC'!E371,C367+1),"")</f>
        <v/>
      </c>
      <c r="E367" s="25" t="str">
        <f>IF('ASS START SYNC'!C371="SHOW",FIND(",,",'ASS START SYNC'!E371,1),"")</f>
        <v/>
      </c>
      <c r="F367" s="25" t="str">
        <f>IF('ASS START SYNC'!C371="SHOW",FIND(",,",'ASS START SYNC'!E371,E367+1),"")</f>
        <v/>
      </c>
      <c r="G367" s="23" t="str">
        <f>IF('ASS START SYNC'!C371="SHOW",LEFT('ASS START SYNC'!E371,B367),"")</f>
        <v/>
      </c>
      <c r="H367" s="24" t="str">
        <f>IF(AND('ASS START SYNC'!C371="SHOW",COUNTA('ASS START SYNC'!$E$8:'ASS START SYNC'!E370)=0),MID('ASS START SYNC'!E371,B367+1,C367-B367-1),IF(AND('ASS START SYNC'!C371="SHOW",COUNTA('ASS START SYNC'!$E$8:'ASS START SYNC'!E370)&lt;&gt;0),I366,""))</f>
        <v/>
      </c>
      <c r="I367" s="24" t="str">
        <f>IF('ASS START SYNC'!C371="SHOW",MID('ASS START SYNC'!E371,C367+1,D367-C367-1),I366)</f>
        <v/>
      </c>
      <c r="J367" s="23" t="str">
        <f>IF('ASS START SYNC'!C371="SHOW",MID('ASS START SYNC'!E371,D367+1,F367-D367+1),"")</f>
        <v/>
      </c>
      <c r="K367" s="23" t="str">
        <f>IF('ASS START SYNC'!C371="SHOW",MID('ASS START SYNC'!E371,F367+2,1000),"")</f>
        <v/>
      </c>
      <c r="M367" s="24"/>
      <c r="N367" s="26">
        <v>364</v>
      </c>
      <c r="O367" s="24" t="str">
        <f>IF('ASS END SYNC'!C371="SHOW",FIND(",",'ASS END SYNC'!E371,1),"")</f>
        <v/>
      </c>
      <c r="P367" s="24" t="str">
        <f>IF('ASS END SYNC'!C371="SHOW",FIND(",",'ASS END SYNC'!E371,O367+1),"")</f>
        <v/>
      </c>
      <c r="Q367" s="24" t="str">
        <f>IF('ASS END SYNC'!C371="SHOW",FIND(",",'ASS END SYNC'!E371,P367+1),"")</f>
        <v/>
      </c>
      <c r="R367" s="25" t="str">
        <f>IF('ASS END SYNC'!C371="SHOW",FIND(",,",'ASS END SYNC'!E371,1),"")</f>
        <v/>
      </c>
      <c r="S367" s="25" t="str">
        <f>IF('ASS END SYNC'!C371="SHOW",FIND(",,",'ASS END SYNC'!E371,R367+1),"")</f>
        <v/>
      </c>
      <c r="T367" s="23" t="str">
        <f>IF('ASS END SYNC'!C371="SHOW",LEFT('ASS END SYNC'!E371,O367),"")</f>
        <v/>
      </c>
      <c r="U367" s="24" t="str">
        <f>IF('ASS END SYNC'!C371="SHOW",MID('ASS END SYNC'!E371,O367+1,P367-O367-1),"")</f>
        <v/>
      </c>
      <c r="V367" s="24" t="str">
        <f>IF(AND('ASS END SYNC'!C371="SHOW",'ASS END SYNC'!C372="SHOW"),U368,IF(AND('ASS END SYNC'!C371="SHOW",'ASS END SYNC'!C372&lt;&gt;"SHOW"),MID('ASS END SYNC'!E371,O367+1,P367-O367-1),""))</f>
        <v/>
      </c>
      <c r="W367" s="23" t="str">
        <f>IF('ASS END SYNC'!C371="SHOW",MID('ASS END SYNC'!E371,Q367+1,S367-Q367+1),"")</f>
        <v/>
      </c>
      <c r="X367" s="23" t="str">
        <f>IF('ASS END SYNC'!C371="SHOW",MID('ASS END SYNC'!E371,S367+2,1000),"")</f>
        <v/>
      </c>
      <c r="Z367" s="24"/>
    </row>
    <row r="368" spans="1:26" x14ac:dyDescent="0.25">
      <c r="A368" s="26">
        <v>365</v>
      </c>
      <c r="B368" s="24" t="str">
        <f>IF('ASS START SYNC'!C372="SHOW",FIND(",",'ASS START SYNC'!E372,1),"")</f>
        <v/>
      </c>
      <c r="C368" s="24" t="str">
        <f>IF('ASS START SYNC'!C372="SHOW",FIND(",",'ASS START SYNC'!E372,B368+1),"")</f>
        <v/>
      </c>
      <c r="D368" s="24" t="str">
        <f>IF('ASS START SYNC'!C372="SHOW",FIND(",",'ASS START SYNC'!E372,C368+1),"")</f>
        <v/>
      </c>
      <c r="E368" s="25" t="str">
        <f>IF('ASS START SYNC'!C372="SHOW",FIND(",,",'ASS START SYNC'!E372,1),"")</f>
        <v/>
      </c>
      <c r="F368" s="25" t="str">
        <f>IF('ASS START SYNC'!C372="SHOW",FIND(",,",'ASS START SYNC'!E372,E368+1),"")</f>
        <v/>
      </c>
      <c r="G368" s="23" t="str">
        <f>IF('ASS START SYNC'!C372="SHOW",LEFT('ASS START SYNC'!E372,B368),"")</f>
        <v/>
      </c>
      <c r="H368" s="24" t="str">
        <f>IF(AND('ASS START SYNC'!C372="SHOW",COUNTA('ASS START SYNC'!$E$8:'ASS START SYNC'!E371)=0),MID('ASS START SYNC'!E372,B368+1,C368-B368-1),IF(AND('ASS START SYNC'!C372="SHOW",COUNTA('ASS START SYNC'!$E$8:'ASS START SYNC'!E371)&lt;&gt;0),I367,""))</f>
        <v/>
      </c>
      <c r="I368" s="24" t="str">
        <f>IF('ASS START SYNC'!C372="SHOW",MID('ASS START SYNC'!E372,C368+1,D368-C368-1),I367)</f>
        <v/>
      </c>
      <c r="J368" s="23" t="str">
        <f>IF('ASS START SYNC'!C372="SHOW",MID('ASS START SYNC'!E372,D368+1,F368-D368+1),"")</f>
        <v/>
      </c>
      <c r="K368" s="23" t="str">
        <f>IF('ASS START SYNC'!C372="SHOW",MID('ASS START SYNC'!E372,F368+2,1000),"")</f>
        <v/>
      </c>
      <c r="M368" s="24"/>
      <c r="N368" s="26">
        <v>365</v>
      </c>
      <c r="O368" s="24" t="str">
        <f>IF('ASS END SYNC'!C372="SHOW",FIND(",",'ASS END SYNC'!E372,1),"")</f>
        <v/>
      </c>
      <c r="P368" s="24" t="str">
        <f>IF('ASS END SYNC'!C372="SHOW",FIND(",",'ASS END SYNC'!E372,O368+1),"")</f>
        <v/>
      </c>
      <c r="Q368" s="24" t="str">
        <f>IF('ASS END SYNC'!C372="SHOW",FIND(",",'ASS END SYNC'!E372,P368+1),"")</f>
        <v/>
      </c>
      <c r="R368" s="25" t="str">
        <f>IF('ASS END SYNC'!C372="SHOW",FIND(",,",'ASS END SYNC'!E372,1),"")</f>
        <v/>
      </c>
      <c r="S368" s="25" t="str">
        <f>IF('ASS END SYNC'!C372="SHOW",FIND(",,",'ASS END SYNC'!E372,R368+1),"")</f>
        <v/>
      </c>
      <c r="T368" s="23" t="str">
        <f>IF('ASS END SYNC'!C372="SHOW",LEFT('ASS END SYNC'!E372,O368),"")</f>
        <v/>
      </c>
      <c r="U368" s="24" t="str">
        <f>IF('ASS END SYNC'!C372="SHOW",MID('ASS END SYNC'!E372,O368+1,P368-O368-1),"")</f>
        <v/>
      </c>
      <c r="V368" s="24" t="str">
        <f>IF(AND('ASS END SYNC'!C372="SHOW",'ASS END SYNC'!C373="SHOW"),U369,IF(AND('ASS END SYNC'!C372="SHOW",'ASS END SYNC'!C373&lt;&gt;"SHOW"),MID('ASS END SYNC'!E372,O368+1,P368-O368-1),""))</f>
        <v/>
      </c>
      <c r="W368" s="23" t="str">
        <f>IF('ASS END SYNC'!C372="SHOW",MID('ASS END SYNC'!E372,Q368+1,S368-Q368+1),"")</f>
        <v/>
      </c>
      <c r="X368" s="23" t="str">
        <f>IF('ASS END SYNC'!C372="SHOW",MID('ASS END SYNC'!E372,S368+2,1000),"")</f>
        <v/>
      </c>
      <c r="Z368" s="24"/>
    </row>
    <row r="369" spans="1:26" x14ac:dyDescent="0.25">
      <c r="A369" s="26">
        <v>366</v>
      </c>
      <c r="B369" s="24" t="str">
        <f>IF('ASS START SYNC'!C373="SHOW",FIND(",",'ASS START SYNC'!E373,1),"")</f>
        <v/>
      </c>
      <c r="C369" s="24" t="str">
        <f>IF('ASS START SYNC'!C373="SHOW",FIND(",",'ASS START SYNC'!E373,B369+1),"")</f>
        <v/>
      </c>
      <c r="D369" s="24" t="str">
        <f>IF('ASS START SYNC'!C373="SHOW",FIND(",",'ASS START SYNC'!E373,C369+1),"")</f>
        <v/>
      </c>
      <c r="E369" s="25" t="str">
        <f>IF('ASS START SYNC'!C373="SHOW",FIND(",,",'ASS START SYNC'!E373,1),"")</f>
        <v/>
      </c>
      <c r="F369" s="25" t="str">
        <f>IF('ASS START SYNC'!C373="SHOW",FIND(",,",'ASS START SYNC'!E373,E369+1),"")</f>
        <v/>
      </c>
      <c r="G369" s="23" t="str">
        <f>IF('ASS START SYNC'!C373="SHOW",LEFT('ASS START SYNC'!E373,B369),"")</f>
        <v/>
      </c>
      <c r="H369" s="24" t="str">
        <f>IF(AND('ASS START SYNC'!C373="SHOW",COUNTA('ASS START SYNC'!$E$8:'ASS START SYNC'!E372)=0),MID('ASS START SYNC'!E373,B369+1,C369-B369-1),IF(AND('ASS START SYNC'!C373="SHOW",COUNTA('ASS START SYNC'!$E$8:'ASS START SYNC'!E372)&lt;&gt;0),I368,""))</f>
        <v/>
      </c>
      <c r="I369" s="24" t="str">
        <f>IF('ASS START SYNC'!C373="SHOW",MID('ASS START SYNC'!E373,C369+1,D369-C369-1),I368)</f>
        <v/>
      </c>
      <c r="J369" s="23" t="str">
        <f>IF('ASS START SYNC'!C373="SHOW",MID('ASS START SYNC'!E373,D369+1,F369-D369+1),"")</f>
        <v/>
      </c>
      <c r="K369" s="23" t="str">
        <f>IF('ASS START SYNC'!C373="SHOW",MID('ASS START SYNC'!E373,F369+2,1000),"")</f>
        <v/>
      </c>
      <c r="M369" s="24"/>
      <c r="N369" s="26">
        <v>366</v>
      </c>
      <c r="O369" s="24" t="str">
        <f>IF('ASS END SYNC'!C373="SHOW",FIND(",",'ASS END SYNC'!E373,1),"")</f>
        <v/>
      </c>
      <c r="P369" s="24" t="str">
        <f>IF('ASS END SYNC'!C373="SHOW",FIND(",",'ASS END SYNC'!E373,O369+1),"")</f>
        <v/>
      </c>
      <c r="Q369" s="24" t="str">
        <f>IF('ASS END SYNC'!C373="SHOW",FIND(",",'ASS END SYNC'!E373,P369+1),"")</f>
        <v/>
      </c>
      <c r="R369" s="25" t="str">
        <f>IF('ASS END SYNC'!C373="SHOW",FIND(",,",'ASS END SYNC'!E373,1),"")</f>
        <v/>
      </c>
      <c r="S369" s="25" t="str">
        <f>IF('ASS END SYNC'!C373="SHOW",FIND(",,",'ASS END SYNC'!E373,R369+1),"")</f>
        <v/>
      </c>
      <c r="T369" s="23" t="str">
        <f>IF('ASS END SYNC'!C373="SHOW",LEFT('ASS END SYNC'!E373,O369),"")</f>
        <v/>
      </c>
      <c r="U369" s="24" t="str">
        <f>IF('ASS END SYNC'!C373="SHOW",MID('ASS END SYNC'!E373,O369+1,P369-O369-1),"")</f>
        <v/>
      </c>
      <c r="V369" s="24" t="str">
        <f>IF(AND('ASS END SYNC'!C373="SHOW",'ASS END SYNC'!C374="SHOW"),U370,IF(AND('ASS END SYNC'!C373="SHOW",'ASS END SYNC'!C374&lt;&gt;"SHOW"),MID('ASS END SYNC'!E373,O369+1,P369-O369-1),""))</f>
        <v/>
      </c>
      <c r="W369" s="23" t="str">
        <f>IF('ASS END SYNC'!C373="SHOW",MID('ASS END SYNC'!E373,Q369+1,S369-Q369+1),"")</f>
        <v/>
      </c>
      <c r="X369" s="23" t="str">
        <f>IF('ASS END SYNC'!C373="SHOW",MID('ASS END SYNC'!E373,S369+2,1000),"")</f>
        <v/>
      </c>
      <c r="Z369" s="24"/>
    </row>
    <row r="370" spans="1:26" x14ac:dyDescent="0.25">
      <c r="A370" s="26">
        <v>367</v>
      </c>
      <c r="B370" s="24" t="str">
        <f>IF('ASS START SYNC'!C374="SHOW",FIND(",",'ASS START SYNC'!E374,1),"")</f>
        <v/>
      </c>
      <c r="C370" s="24" t="str">
        <f>IF('ASS START SYNC'!C374="SHOW",FIND(",",'ASS START SYNC'!E374,B370+1),"")</f>
        <v/>
      </c>
      <c r="D370" s="24" t="str">
        <f>IF('ASS START SYNC'!C374="SHOW",FIND(",",'ASS START SYNC'!E374,C370+1),"")</f>
        <v/>
      </c>
      <c r="E370" s="25" t="str">
        <f>IF('ASS START SYNC'!C374="SHOW",FIND(",,",'ASS START SYNC'!E374,1),"")</f>
        <v/>
      </c>
      <c r="F370" s="25" t="str">
        <f>IF('ASS START SYNC'!C374="SHOW",FIND(",,",'ASS START SYNC'!E374,E370+1),"")</f>
        <v/>
      </c>
      <c r="G370" s="23" t="str">
        <f>IF('ASS START SYNC'!C374="SHOW",LEFT('ASS START SYNC'!E374,B370),"")</f>
        <v/>
      </c>
      <c r="H370" s="24" t="str">
        <f>IF(AND('ASS START SYNC'!C374="SHOW",COUNTA('ASS START SYNC'!$E$8:'ASS START SYNC'!E373)=0),MID('ASS START SYNC'!E374,B370+1,C370-B370-1),IF(AND('ASS START SYNC'!C374="SHOW",COUNTA('ASS START SYNC'!$E$8:'ASS START SYNC'!E373)&lt;&gt;0),I369,""))</f>
        <v/>
      </c>
      <c r="I370" s="24" t="str">
        <f>IF('ASS START SYNC'!C374="SHOW",MID('ASS START SYNC'!E374,C370+1,D370-C370-1),I369)</f>
        <v/>
      </c>
      <c r="J370" s="23" t="str">
        <f>IF('ASS START SYNC'!C374="SHOW",MID('ASS START SYNC'!E374,D370+1,F370-D370+1),"")</f>
        <v/>
      </c>
      <c r="K370" s="23" t="str">
        <f>IF('ASS START SYNC'!C374="SHOW",MID('ASS START SYNC'!E374,F370+2,1000),"")</f>
        <v/>
      </c>
      <c r="M370" s="24"/>
      <c r="N370" s="26">
        <v>367</v>
      </c>
      <c r="O370" s="24" t="str">
        <f>IF('ASS END SYNC'!C374="SHOW",FIND(",",'ASS END SYNC'!E374,1),"")</f>
        <v/>
      </c>
      <c r="P370" s="24" t="str">
        <f>IF('ASS END SYNC'!C374="SHOW",FIND(",",'ASS END SYNC'!E374,O370+1),"")</f>
        <v/>
      </c>
      <c r="Q370" s="24" t="str">
        <f>IF('ASS END SYNC'!C374="SHOW",FIND(",",'ASS END SYNC'!E374,P370+1),"")</f>
        <v/>
      </c>
      <c r="R370" s="25" t="str">
        <f>IF('ASS END SYNC'!C374="SHOW",FIND(",,",'ASS END SYNC'!E374,1),"")</f>
        <v/>
      </c>
      <c r="S370" s="25" t="str">
        <f>IF('ASS END SYNC'!C374="SHOW",FIND(",,",'ASS END SYNC'!E374,R370+1),"")</f>
        <v/>
      </c>
      <c r="T370" s="23" t="str">
        <f>IF('ASS END SYNC'!C374="SHOW",LEFT('ASS END SYNC'!E374,O370),"")</f>
        <v/>
      </c>
      <c r="U370" s="24" t="str">
        <f>IF('ASS END SYNC'!C374="SHOW",MID('ASS END SYNC'!E374,O370+1,P370-O370-1),"")</f>
        <v/>
      </c>
      <c r="V370" s="24" t="str">
        <f>IF(AND('ASS END SYNC'!C374="SHOW",'ASS END SYNC'!C375="SHOW"),U371,IF(AND('ASS END SYNC'!C374="SHOW",'ASS END SYNC'!C375&lt;&gt;"SHOW"),MID('ASS END SYNC'!E374,O370+1,P370-O370-1),""))</f>
        <v/>
      </c>
      <c r="W370" s="23" t="str">
        <f>IF('ASS END SYNC'!C374="SHOW",MID('ASS END SYNC'!E374,Q370+1,S370-Q370+1),"")</f>
        <v/>
      </c>
      <c r="X370" s="23" t="str">
        <f>IF('ASS END SYNC'!C374="SHOW",MID('ASS END SYNC'!E374,S370+2,1000),"")</f>
        <v/>
      </c>
      <c r="Z370" s="24"/>
    </row>
    <row r="371" spans="1:26" x14ac:dyDescent="0.25">
      <c r="A371" s="26">
        <v>368</v>
      </c>
      <c r="B371" s="24" t="str">
        <f>IF('ASS START SYNC'!C375="SHOW",FIND(",",'ASS START SYNC'!E375,1),"")</f>
        <v/>
      </c>
      <c r="C371" s="24" t="str">
        <f>IF('ASS START SYNC'!C375="SHOW",FIND(",",'ASS START SYNC'!E375,B371+1),"")</f>
        <v/>
      </c>
      <c r="D371" s="24" t="str">
        <f>IF('ASS START SYNC'!C375="SHOW",FIND(",",'ASS START SYNC'!E375,C371+1),"")</f>
        <v/>
      </c>
      <c r="E371" s="25" t="str">
        <f>IF('ASS START SYNC'!C375="SHOW",FIND(",,",'ASS START SYNC'!E375,1),"")</f>
        <v/>
      </c>
      <c r="F371" s="25" t="str">
        <f>IF('ASS START SYNC'!C375="SHOW",FIND(",,",'ASS START SYNC'!E375,E371+1),"")</f>
        <v/>
      </c>
      <c r="G371" s="23" t="str">
        <f>IF('ASS START SYNC'!C375="SHOW",LEFT('ASS START SYNC'!E375,B371),"")</f>
        <v/>
      </c>
      <c r="H371" s="24" t="str">
        <f>IF(AND('ASS START SYNC'!C375="SHOW",COUNTA('ASS START SYNC'!$E$8:'ASS START SYNC'!E374)=0),MID('ASS START SYNC'!E375,B371+1,C371-B371-1),IF(AND('ASS START SYNC'!C375="SHOW",COUNTA('ASS START SYNC'!$E$8:'ASS START SYNC'!E374)&lt;&gt;0),I370,""))</f>
        <v/>
      </c>
      <c r="I371" s="24" t="str">
        <f>IF('ASS START SYNC'!C375="SHOW",MID('ASS START SYNC'!E375,C371+1,D371-C371-1),I370)</f>
        <v/>
      </c>
      <c r="J371" s="23" t="str">
        <f>IF('ASS START SYNC'!C375="SHOW",MID('ASS START SYNC'!E375,D371+1,F371-D371+1),"")</f>
        <v/>
      </c>
      <c r="K371" s="23" t="str">
        <f>IF('ASS START SYNC'!C375="SHOW",MID('ASS START SYNC'!E375,F371+2,1000),"")</f>
        <v/>
      </c>
      <c r="M371" s="24"/>
      <c r="N371" s="26">
        <v>368</v>
      </c>
      <c r="O371" s="24" t="str">
        <f>IF('ASS END SYNC'!C375="SHOW",FIND(",",'ASS END SYNC'!E375,1),"")</f>
        <v/>
      </c>
      <c r="P371" s="24" t="str">
        <f>IF('ASS END SYNC'!C375="SHOW",FIND(",",'ASS END SYNC'!E375,O371+1),"")</f>
        <v/>
      </c>
      <c r="Q371" s="24" t="str">
        <f>IF('ASS END SYNC'!C375="SHOW",FIND(",",'ASS END SYNC'!E375,P371+1),"")</f>
        <v/>
      </c>
      <c r="R371" s="25" t="str">
        <f>IF('ASS END SYNC'!C375="SHOW",FIND(",,",'ASS END SYNC'!E375,1),"")</f>
        <v/>
      </c>
      <c r="S371" s="25" t="str">
        <f>IF('ASS END SYNC'!C375="SHOW",FIND(",,",'ASS END SYNC'!E375,R371+1),"")</f>
        <v/>
      </c>
      <c r="T371" s="23" t="str">
        <f>IF('ASS END SYNC'!C375="SHOW",LEFT('ASS END SYNC'!E375,O371),"")</f>
        <v/>
      </c>
      <c r="U371" s="24" t="str">
        <f>IF('ASS END SYNC'!C375="SHOW",MID('ASS END SYNC'!E375,O371+1,P371-O371-1),"")</f>
        <v/>
      </c>
      <c r="V371" s="24" t="str">
        <f>IF(AND('ASS END SYNC'!C375="SHOW",'ASS END SYNC'!C376="SHOW"),U372,IF(AND('ASS END SYNC'!C375="SHOW",'ASS END SYNC'!C376&lt;&gt;"SHOW"),MID('ASS END SYNC'!E375,O371+1,P371-O371-1),""))</f>
        <v/>
      </c>
      <c r="W371" s="23" t="str">
        <f>IF('ASS END SYNC'!C375="SHOW",MID('ASS END SYNC'!E375,Q371+1,S371-Q371+1),"")</f>
        <v/>
      </c>
      <c r="X371" s="23" t="str">
        <f>IF('ASS END SYNC'!C375="SHOW",MID('ASS END SYNC'!E375,S371+2,1000),"")</f>
        <v/>
      </c>
      <c r="Z371" s="24"/>
    </row>
    <row r="372" spans="1:26" x14ac:dyDescent="0.25">
      <c r="A372" s="26">
        <v>369</v>
      </c>
      <c r="B372" s="24" t="str">
        <f>IF('ASS START SYNC'!C376="SHOW",FIND(",",'ASS START SYNC'!E376,1),"")</f>
        <v/>
      </c>
      <c r="C372" s="24" t="str">
        <f>IF('ASS START SYNC'!C376="SHOW",FIND(",",'ASS START SYNC'!E376,B372+1),"")</f>
        <v/>
      </c>
      <c r="D372" s="24" t="str">
        <f>IF('ASS START SYNC'!C376="SHOW",FIND(",",'ASS START SYNC'!E376,C372+1),"")</f>
        <v/>
      </c>
      <c r="E372" s="25" t="str">
        <f>IF('ASS START SYNC'!C376="SHOW",FIND(",,",'ASS START SYNC'!E376,1),"")</f>
        <v/>
      </c>
      <c r="F372" s="25" t="str">
        <f>IF('ASS START SYNC'!C376="SHOW",FIND(",,",'ASS START SYNC'!E376,E372+1),"")</f>
        <v/>
      </c>
      <c r="G372" s="23" t="str">
        <f>IF('ASS START SYNC'!C376="SHOW",LEFT('ASS START SYNC'!E376,B372),"")</f>
        <v/>
      </c>
      <c r="H372" s="24" t="str">
        <f>IF(AND('ASS START SYNC'!C376="SHOW",COUNTA('ASS START SYNC'!$E$8:'ASS START SYNC'!E375)=0),MID('ASS START SYNC'!E376,B372+1,C372-B372-1),IF(AND('ASS START SYNC'!C376="SHOW",COUNTA('ASS START SYNC'!$E$8:'ASS START SYNC'!E375)&lt;&gt;0),I371,""))</f>
        <v/>
      </c>
      <c r="I372" s="24" t="str">
        <f>IF('ASS START SYNC'!C376="SHOW",MID('ASS START SYNC'!E376,C372+1,D372-C372-1),I371)</f>
        <v/>
      </c>
      <c r="J372" s="23" t="str">
        <f>IF('ASS START SYNC'!C376="SHOW",MID('ASS START SYNC'!E376,D372+1,F372-D372+1),"")</f>
        <v/>
      </c>
      <c r="K372" s="23" t="str">
        <f>IF('ASS START SYNC'!C376="SHOW",MID('ASS START SYNC'!E376,F372+2,1000),"")</f>
        <v/>
      </c>
      <c r="M372" s="24"/>
      <c r="N372" s="26">
        <v>369</v>
      </c>
      <c r="O372" s="24" t="str">
        <f>IF('ASS END SYNC'!C376="SHOW",FIND(",",'ASS END SYNC'!E376,1),"")</f>
        <v/>
      </c>
      <c r="P372" s="24" t="str">
        <f>IF('ASS END SYNC'!C376="SHOW",FIND(",",'ASS END SYNC'!E376,O372+1),"")</f>
        <v/>
      </c>
      <c r="Q372" s="24" t="str">
        <f>IF('ASS END SYNC'!C376="SHOW",FIND(",",'ASS END SYNC'!E376,P372+1),"")</f>
        <v/>
      </c>
      <c r="R372" s="25" t="str">
        <f>IF('ASS END SYNC'!C376="SHOW",FIND(",,",'ASS END SYNC'!E376,1),"")</f>
        <v/>
      </c>
      <c r="S372" s="25" t="str">
        <f>IF('ASS END SYNC'!C376="SHOW",FIND(",,",'ASS END SYNC'!E376,R372+1),"")</f>
        <v/>
      </c>
      <c r="T372" s="23" t="str">
        <f>IF('ASS END SYNC'!C376="SHOW",LEFT('ASS END SYNC'!E376,O372),"")</f>
        <v/>
      </c>
      <c r="U372" s="24" t="str">
        <f>IF('ASS END SYNC'!C376="SHOW",MID('ASS END SYNC'!E376,O372+1,P372-O372-1),"")</f>
        <v/>
      </c>
      <c r="V372" s="24" t="str">
        <f>IF(AND('ASS END SYNC'!C376="SHOW",'ASS END SYNC'!C377="SHOW"),U373,IF(AND('ASS END SYNC'!C376="SHOW",'ASS END SYNC'!C377&lt;&gt;"SHOW"),MID('ASS END SYNC'!E376,O372+1,P372-O372-1),""))</f>
        <v/>
      </c>
      <c r="W372" s="23" t="str">
        <f>IF('ASS END SYNC'!C376="SHOW",MID('ASS END SYNC'!E376,Q372+1,S372-Q372+1),"")</f>
        <v/>
      </c>
      <c r="X372" s="23" t="str">
        <f>IF('ASS END SYNC'!C376="SHOW",MID('ASS END SYNC'!E376,S372+2,1000),"")</f>
        <v/>
      </c>
      <c r="Z372" s="24"/>
    </row>
    <row r="373" spans="1:26" x14ac:dyDescent="0.25">
      <c r="A373" s="26">
        <v>370</v>
      </c>
      <c r="B373" s="24" t="str">
        <f>IF('ASS START SYNC'!C377="SHOW",FIND(",",'ASS START SYNC'!E377,1),"")</f>
        <v/>
      </c>
      <c r="C373" s="24" t="str">
        <f>IF('ASS START SYNC'!C377="SHOW",FIND(",",'ASS START SYNC'!E377,B373+1),"")</f>
        <v/>
      </c>
      <c r="D373" s="24" t="str">
        <f>IF('ASS START SYNC'!C377="SHOW",FIND(",",'ASS START SYNC'!E377,C373+1),"")</f>
        <v/>
      </c>
      <c r="E373" s="25" t="str">
        <f>IF('ASS START SYNC'!C377="SHOW",FIND(",,",'ASS START SYNC'!E377,1),"")</f>
        <v/>
      </c>
      <c r="F373" s="25" t="str">
        <f>IF('ASS START SYNC'!C377="SHOW",FIND(",,",'ASS START SYNC'!E377,E373+1),"")</f>
        <v/>
      </c>
      <c r="G373" s="23" t="str">
        <f>IF('ASS START SYNC'!C377="SHOW",LEFT('ASS START SYNC'!E377,B373),"")</f>
        <v/>
      </c>
      <c r="H373" s="24" t="str">
        <f>IF(AND('ASS START SYNC'!C377="SHOW",COUNTA('ASS START SYNC'!$E$8:'ASS START SYNC'!E376)=0),MID('ASS START SYNC'!E377,B373+1,C373-B373-1),IF(AND('ASS START SYNC'!C377="SHOW",COUNTA('ASS START SYNC'!$E$8:'ASS START SYNC'!E376)&lt;&gt;0),I372,""))</f>
        <v/>
      </c>
      <c r="I373" s="24" t="str">
        <f>IF('ASS START SYNC'!C377="SHOW",MID('ASS START SYNC'!E377,C373+1,D373-C373-1),I372)</f>
        <v/>
      </c>
      <c r="J373" s="23" t="str">
        <f>IF('ASS START SYNC'!C377="SHOW",MID('ASS START SYNC'!E377,D373+1,F373-D373+1),"")</f>
        <v/>
      </c>
      <c r="K373" s="23" t="str">
        <f>IF('ASS START SYNC'!C377="SHOW",MID('ASS START SYNC'!E377,F373+2,1000),"")</f>
        <v/>
      </c>
      <c r="M373" s="24"/>
      <c r="N373" s="26">
        <v>370</v>
      </c>
      <c r="O373" s="24" t="str">
        <f>IF('ASS END SYNC'!C377="SHOW",FIND(",",'ASS END SYNC'!E377,1),"")</f>
        <v/>
      </c>
      <c r="P373" s="24" t="str">
        <f>IF('ASS END SYNC'!C377="SHOW",FIND(",",'ASS END SYNC'!E377,O373+1),"")</f>
        <v/>
      </c>
      <c r="Q373" s="24" t="str">
        <f>IF('ASS END SYNC'!C377="SHOW",FIND(",",'ASS END SYNC'!E377,P373+1),"")</f>
        <v/>
      </c>
      <c r="R373" s="25" t="str">
        <f>IF('ASS END SYNC'!C377="SHOW",FIND(",,",'ASS END SYNC'!E377,1),"")</f>
        <v/>
      </c>
      <c r="S373" s="25" t="str">
        <f>IF('ASS END SYNC'!C377="SHOW",FIND(",,",'ASS END SYNC'!E377,R373+1),"")</f>
        <v/>
      </c>
      <c r="T373" s="23" t="str">
        <f>IF('ASS END SYNC'!C377="SHOW",LEFT('ASS END SYNC'!E377,O373),"")</f>
        <v/>
      </c>
      <c r="U373" s="24" t="str">
        <f>IF('ASS END SYNC'!C377="SHOW",MID('ASS END SYNC'!E377,O373+1,P373-O373-1),"")</f>
        <v/>
      </c>
      <c r="V373" s="24" t="str">
        <f>IF(AND('ASS END SYNC'!C377="SHOW",'ASS END SYNC'!C378="SHOW"),U374,IF(AND('ASS END SYNC'!C377="SHOW",'ASS END SYNC'!C378&lt;&gt;"SHOW"),MID('ASS END SYNC'!E377,O373+1,P373-O373-1),""))</f>
        <v/>
      </c>
      <c r="W373" s="23" t="str">
        <f>IF('ASS END SYNC'!C377="SHOW",MID('ASS END SYNC'!E377,Q373+1,S373-Q373+1),"")</f>
        <v/>
      </c>
      <c r="X373" s="23" t="str">
        <f>IF('ASS END SYNC'!C377="SHOW",MID('ASS END SYNC'!E377,S373+2,1000),"")</f>
        <v/>
      </c>
      <c r="Z373" s="24"/>
    </row>
    <row r="374" spans="1:26" x14ac:dyDescent="0.25">
      <c r="A374" s="26">
        <v>371</v>
      </c>
      <c r="B374" s="24" t="str">
        <f>IF('ASS START SYNC'!C378="SHOW",FIND(",",'ASS START SYNC'!E378,1),"")</f>
        <v/>
      </c>
      <c r="C374" s="24" t="str">
        <f>IF('ASS START SYNC'!C378="SHOW",FIND(",",'ASS START SYNC'!E378,B374+1),"")</f>
        <v/>
      </c>
      <c r="D374" s="24" t="str">
        <f>IF('ASS START SYNC'!C378="SHOW",FIND(",",'ASS START SYNC'!E378,C374+1),"")</f>
        <v/>
      </c>
      <c r="E374" s="25" t="str">
        <f>IF('ASS START SYNC'!C378="SHOW",FIND(",,",'ASS START SYNC'!E378,1),"")</f>
        <v/>
      </c>
      <c r="F374" s="25" t="str">
        <f>IF('ASS START SYNC'!C378="SHOW",FIND(",,",'ASS START SYNC'!E378,E374+1),"")</f>
        <v/>
      </c>
      <c r="G374" s="23" t="str">
        <f>IF('ASS START SYNC'!C378="SHOW",LEFT('ASS START SYNC'!E378,B374),"")</f>
        <v/>
      </c>
      <c r="H374" s="24" t="str">
        <f>IF(AND('ASS START SYNC'!C378="SHOW",COUNTA('ASS START SYNC'!$E$8:'ASS START SYNC'!E377)=0),MID('ASS START SYNC'!E378,B374+1,C374-B374-1),IF(AND('ASS START SYNC'!C378="SHOW",COUNTA('ASS START SYNC'!$E$8:'ASS START SYNC'!E377)&lt;&gt;0),I373,""))</f>
        <v/>
      </c>
      <c r="I374" s="24" t="str">
        <f>IF('ASS START SYNC'!C378="SHOW",MID('ASS START SYNC'!E378,C374+1,D374-C374-1),I373)</f>
        <v/>
      </c>
      <c r="J374" s="23" t="str">
        <f>IF('ASS START SYNC'!C378="SHOW",MID('ASS START SYNC'!E378,D374+1,F374-D374+1),"")</f>
        <v/>
      </c>
      <c r="K374" s="23" t="str">
        <f>IF('ASS START SYNC'!C378="SHOW",MID('ASS START SYNC'!E378,F374+2,1000),"")</f>
        <v/>
      </c>
      <c r="M374" s="24"/>
      <c r="N374" s="26">
        <v>371</v>
      </c>
      <c r="O374" s="24" t="str">
        <f>IF('ASS END SYNC'!C378="SHOW",FIND(",",'ASS END SYNC'!E378,1),"")</f>
        <v/>
      </c>
      <c r="P374" s="24" t="str">
        <f>IF('ASS END SYNC'!C378="SHOW",FIND(",",'ASS END SYNC'!E378,O374+1),"")</f>
        <v/>
      </c>
      <c r="Q374" s="24" t="str">
        <f>IF('ASS END SYNC'!C378="SHOW",FIND(",",'ASS END SYNC'!E378,P374+1),"")</f>
        <v/>
      </c>
      <c r="R374" s="25" t="str">
        <f>IF('ASS END SYNC'!C378="SHOW",FIND(",,",'ASS END SYNC'!E378,1),"")</f>
        <v/>
      </c>
      <c r="S374" s="25" t="str">
        <f>IF('ASS END SYNC'!C378="SHOW",FIND(",,",'ASS END SYNC'!E378,R374+1),"")</f>
        <v/>
      </c>
      <c r="T374" s="23" t="str">
        <f>IF('ASS END SYNC'!C378="SHOW",LEFT('ASS END SYNC'!E378,O374),"")</f>
        <v/>
      </c>
      <c r="U374" s="24" t="str">
        <f>IF('ASS END SYNC'!C378="SHOW",MID('ASS END SYNC'!E378,O374+1,P374-O374-1),"")</f>
        <v/>
      </c>
      <c r="V374" s="24" t="str">
        <f>IF(AND('ASS END SYNC'!C378="SHOW",'ASS END SYNC'!C379="SHOW"),U375,IF(AND('ASS END SYNC'!C378="SHOW",'ASS END SYNC'!C379&lt;&gt;"SHOW"),MID('ASS END SYNC'!E378,O374+1,P374-O374-1),""))</f>
        <v/>
      </c>
      <c r="W374" s="23" t="str">
        <f>IF('ASS END SYNC'!C378="SHOW",MID('ASS END SYNC'!E378,Q374+1,S374-Q374+1),"")</f>
        <v/>
      </c>
      <c r="X374" s="23" t="str">
        <f>IF('ASS END SYNC'!C378="SHOW",MID('ASS END SYNC'!E378,S374+2,1000),"")</f>
        <v/>
      </c>
      <c r="Z374" s="24"/>
    </row>
    <row r="375" spans="1:26" x14ac:dyDescent="0.25">
      <c r="A375" s="26">
        <v>372</v>
      </c>
      <c r="B375" s="24" t="str">
        <f>IF('ASS START SYNC'!C379="SHOW",FIND(",",'ASS START SYNC'!E379,1),"")</f>
        <v/>
      </c>
      <c r="C375" s="24" t="str">
        <f>IF('ASS START SYNC'!C379="SHOW",FIND(",",'ASS START SYNC'!E379,B375+1),"")</f>
        <v/>
      </c>
      <c r="D375" s="24" t="str">
        <f>IF('ASS START SYNC'!C379="SHOW",FIND(",",'ASS START SYNC'!E379,C375+1),"")</f>
        <v/>
      </c>
      <c r="E375" s="25" t="str">
        <f>IF('ASS START SYNC'!C379="SHOW",FIND(",,",'ASS START SYNC'!E379,1),"")</f>
        <v/>
      </c>
      <c r="F375" s="25" t="str">
        <f>IF('ASS START SYNC'!C379="SHOW",FIND(",,",'ASS START SYNC'!E379,E375+1),"")</f>
        <v/>
      </c>
      <c r="G375" s="23" t="str">
        <f>IF('ASS START SYNC'!C379="SHOW",LEFT('ASS START SYNC'!E379,B375),"")</f>
        <v/>
      </c>
      <c r="H375" s="24" t="str">
        <f>IF(AND('ASS START SYNC'!C379="SHOW",COUNTA('ASS START SYNC'!$E$8:'ASS START SYNC'!E378)=0),MID('ASS START SYNC'!E379,B375+1,C375-B375-1),IF(AND('ASS START SYNC'!C379="SHOW",COUNTA('ASS START SYNC'!$E$8:'ASS START SYNC'!E378)&lt;&gt;0),I374,""))</f>
        <v/>
      </c>
      <c r="I375" s="24" t="str">
        <f>IF('ASS START SYNC'!C379="SHOW",MID('ASS START SYNC'!E379,C375+1,D375-C375-1),I374)</f>
        <v/>
      </c>
      <c r="J375" s="23" t="str">
        <f>IF('ASS START SYNC'!C379="SHOW",MID('ASS START SYNC'!E379,D375+1,F375-D375+1),"")</f>
        <v/>
      </c>
      <c r="K375" s="23" t="str">
        <f>IF('ASS START SYNC'!C379="SHOW",MID('ASS START SYNC'!E379,F375+2,1000),"")</f>
        <v/>
      </c>
      <c r="M375" s="24"/>
      <c r="N375" s="26">
        <v>372</v>
      </c>
      <c r="O375" s="24" t="str">
        <f>IF('ASS END SYNC'!C379="SHOW",FIND(",",'ASS END SYNC'!E379,1),"")</f>
        <v/>
      </c>
      <c r="P375" s="24" t="str">
        <f>IF('ASS END SYNC'!C379="SHOW",FIND(",",'ASS END SYNC'!E379,O375+1),"")</f>
        <v/>
      </c>
      <c r="Q375" s="24" t="str">
        <f>IF('ASS END SYNC'!C379="SHOW",FIND(",",'ASS END SYNC'!E379,P375+1),"")</f>
        <v/>
      </c>
      <c r="R375" s="25" t="str">
        <f>IF('ASS END SYNC'!C379="SHOW",FIND(",,",'ASS END SYNC'!E379,1),"")</f>
        <v/>
      </c>
      <c r="S375" s="25" t="str">
        <f>IF('ASS END SYNC'!C379="SHOW",FIND(",,",'ASS END SYNC'!E379,R375+1),"")</f>
        <v/>
      </c>
      <c r="T375" s="23" t="str">
        <f>IF('ASS END SYNC'!C379="SHOW",LEFT('ASS END SYNC'!E379,O375),"")</f>
        <v/>
      </c>
      <c r="U375" s="24" t="str">
        <f>IF('ASS END SYNC'!C379="SHOW",MID('ASS END SYNC'!E379,O375+1,P375-O375-1),"")</f>
        <v/>
      </c>
      <c r="V375" s="24" t="str">
        <f>IF(AND('ASS END SYNC'!C379="SHOW",'ASS END SYNC'!C380="SHOW"),U376,IF(AND('ASS END SYNC'!C379="SHOW",'ASS END SYNC'!C380&lt;&gt;"SHOW"),MID('ASS END SYNC'!E379,O375+1,P375-O375-1),""))</f>
        <v/>
      </c>
      <c r="W375" s="23" t="str">
        <f>IF('ASS END SYNC'!C379="SHOW",MID('ASS END SYNC'!E379,Q375+1,S375-Q375+1),"")</f>
        <v/>
      </c>
      <c r="X375" s="23" t="str">
        <f>IF('ASS END SYNC'!C379="SHOW",MID('ASS END SYNC'!E379,S375+2,1000),"")</f>
        <v/>
      </c>
      <c r="Z375" s="24"/>
    </row>
    <row r="376" spans="1:26" x14ac:dyDescent="0.25">
      <c r="A376" s="26">
        <v>373</v>
      </c>
      <c r="B376" s="24" t="str">
        <f>IF('ASS START SYNC'!C380="SHOW",FIND(",",'ASS START SYNC'!E380,1),"")</f>
        <v/>
      </c>
      <c r="C376" s="24" t="str">
        <f>IF('ASS START SYNC'!C380="SHOW",FIND(",",'ASS START SYNC'!E380,B376+1),"")</f>
        <v/>
      </c>
      <c r="D376" s="24" t="str">
        <f>IF('ASS START SYNC'!C380="SHOW",FIND(",",'ASS START SYNC'!E380,C376+1),"")</f>
        <v/>
      </c>
      <c r="E376" s="25" t="str">
        <f>IF('ASS START SYNC'!C380="SHOW",FIND(",,",'ASS START SYNC'!E380,1),"")</f>
        <v/>
      </c>
      <c r="F376" s="25" t="str">
        <f>IF('ASS START SYNC'!C380="SHOW",FIND(",,",'ASS START SYNC'!E380,E376+1),"")</f>
        <v/>
      </c>
      <c r="G376" s="23" t="str">
        <f>IF('ASS START SYNC'!C380="SHOW",LEFT('ASS START SYNC'!E380,B376),"")</f>
        <v/>
      </c>
      <c r="H376" s="24" t="str">
        <f>IF(AND('ASS START SYNC'!C380="SHOW",COUNTA('ASS START SYNC'!$E$8:'ASS START SYNC'!E379)=0),MID('ASS START SYNC'!E380,B376+1,C376-B376-1),IF(AND('ASS START SYNC'!C380="SHOW",COUNTA('ASS START SYNC'!$E$8:'ASS START SYNC'!E379)&lt;&gt;0),I375,""))</f>
        <v/>
      </c>
      <c r="I376" s="24" t="str">
        <f>IF('ASS START SYNC'!C380="SHOW",MID('ASS START SYNC'!E380,C376+1,D376-C376-1),I375)</f>
        <v/>
      </c>
      <c r="J376" s="23" t="str">
        <f>IF('ASS START SYNC'!C380="SHOW",MID('ASS START SYNC'!E380,D376+1,F376-D376+1),"")</f>
        <v/>
      </c>
      <c r="K376" s="23" t="str">
        <f>IF('ASS START SYNC'!C380="SHOW",MID('ASS START SYNC'!E380,F376+2,1000),"")</f>
        <v/>
      </c>
      <c r="M376" s="24"/>
      <c r="N376" s="26">
        <v>373</v>
      </c>
      <c r="O376" s="24" t="str">
        <f>IF('ASS END SYNC'!C380="SHOW",FIND(",",'ASS END SYNC'!E380,1),"")</f>
        <v/>
      </c>
      <c r="P376" s="24" t="str">
        <f>IF('ASS END SYNC'!C380="SHOW",FIND(",",'ASS END SYNC'!E380,O376+1),"")</f>
        <v/>
      </c>
      <c r="Q376" s="24" t="str">
        <f>IF('ASS END SYNC'!C380="SHOW",FIND(",",'ASS END SYNC'!E380,P376+1),"")</f>
        <v/>
      </c>
      <c r="R376" s="25" t="str">
        <f>IF('ASS END SYNC'!C380="SHOW",FIND(",,",'ASS END SYNC'!E380,1),"")</f>
        <v/>
      </c>
      <c r="S376" s="25" t="str">
        <f>IF('ASS END SYNC'!C380="SHOW",FIND(",,",'ASS END SYNC'!E380,R376+1),"")</f>
        <v/>
      </c>
      <c r="T376" s="23" t="str">
        <f>IF('ASS END SYNC'!C380="SHOW",LEFT('ASS END SYNC'!E380,O376),"")</f>
        <v/>
      </c>
      <c r="U376" s="24" t="str">
        <f>IF('ASS END SYNC'!C380="SHOW",MID('ASS END SYNC'!E380,O376+1,P376-O376-1),"")</f>
        <v/>
      </c>
      <c r="V376" s="24" t="str">
        <f>IF(AND('ASS END SYNC'!C380="SHOW",'ASS END SYNC'!C381="SHOW"),U377,IF(AND('ASS END SYNC'!C380="SHOW",'ASS END SYNC'!C381&lt;&gt;"SHOW"),MID('ASS END SYNC'!E380,O376+1,P376-O376-1),""))</f>
        <v/>
      </c>
      <c r="W376" s="23" t="str">
        <f>IF('ASS END SYNC'!C380="SHOW",MID('ASS END SYNC'!E380,Q376+1,S376-Q376+1),"")</f>
        <v/>
      </c>
      <c r="X376" s="23" t="str">
        <f>IF('ASS END SYNC'!C380="SHOW",MID('ASS END SYNC'!E380,S376+2,1000),"")</f>
        <v/>
      </c>
      <c r="Z376" s="24"/>
    </row>
    <row r="377" spans="1:26" x14ac:dyDescent="0.25">
      <c r="A377" s="26">
        <v>374</v>
      </c>
      <c r="B377" s="24" t="str">
        <f>IF('ASS START SYNC'!C381="SHOW",FIND(",",'ASS START SYNC'!E381,1),"")</f>
        <v/>
      </c>
      <c r="C377" s="24" t="str">
        <f>IF('ASS START SYNC'!C381="SHOW",FIND(",",'ASS START SYNC'!E381,B377+1),"")</f>
        <v/>
      </c>
      <c r="D377" s="24" t="str">
        <f>IF('ASS START SYNC'!C381="SHOW",FIND(",",'ASS START SYNC'!E381,C377+1),"")</f>
        <v/>
      </c>
      <c r="E377" s="25" t="str">
        <f>IF('ASS START SYNC'!C381="SHOW",FIND(",,",'ASS START SYNC'!E381,1),"")</f>
        <v/>
      </c>
      <c r="F377" s="25" t="str">
        <f>IF('ASS START SYNC'!C381="SHOW",FIND(",,",'ASS START SYNC'!E381,E377+1),"")</f>
        <v/>
      </c>
      <c r="G377" s="23" t="str">
        <f>IF('ASS START SYNC'!C381="SHOW",LEFT('ASS START SYNC'!E381,B377),"")</f>
        <v/>
      </c>
      <c r="H377" s="24" t="str">
        <f>IF(AND('ASS START SYNC'!C381="SHOW",COUNTA('ASS START SYNC'!$E$8:'ASS START SYNC'!E380)=0),MID('ASS START SYNC'!E381,B377+1,C377-B377-1),IF(AND('ASS START SYNC'!C381="SHOW",COUNTA('ASS START SYNC'!$E$8:'ASS START SYNC'!E380)&lt;&gt;0),I376,""))</f>
        <v/>
      </c>
      <c r="I377" s="24" t="str">
        <f>IF('ASS START SYNC'!C381="SHOW",MID('ASS START SYNC'!E381,C377+1,D377-C377-1),I376)</f>
        <v/>
      </c>
      <c r="J377" s="23" t="str">
        <f>IF('ASS START SYNC'!C381="SHOW",MID('ASS START SYNC'!E381,D377+1,F377-D377+1),"")</f>
        <v/>
      </c>
      <c r="K377" s="23" t="str">
        <f>IF('ASS START SYNC'!C381="SHOW",MID('ASS START SYNC'!E381,F377+2,1000),"")</f>
        <v/>
      </c>
      <c r="M377" s="24"/>
      <c r="N377" s="26">
        <v>374</v>
      </c>
      <c r="O377" s="24" t="str">
        <f>IF('ASS END SYNC'!C381="SHOW",FIND(",",'ASS END SYNC'!E381,1),"")</f>
        <v/>
      </c>
      <c r="P377" s="24" t="str">
        <f>IF('ASS END SYNC'!C381="SHOW",FIND(",",'ASS END SYNC'!E381,O377+1),"")</f>
        <v/>
      </c>
      <c r="Q377" s="24" t="str">
        <f>IF('ASS END SYNC'!C381="SHOW",FIND(",",'ASS END SYNC'!E381,P377+1),"")</f>
        <v/>
      </c>
      <c r="R377" s="25" t="str">
        <f>IF('ASS END SYNC'!C381="SHOW",FIND(",,",'ASS END SYNC'!E381,1),"")</f>
        <v/>
      </c>
      <c r="S377" s="25" t="str">
        <f>IF('ASS END SYNC'!C381="SHOW",FIND(",,",'ASS END SYNC'!E381,R377+1),"")</f>
        <v/>
      </c>
      <c r="T377" s="23" t="str">
        <f>IF('ASS END SYNC'!C381="SHOW",LEFT('ASS END SYNC'!E381,O377),"")</f>
        <v/>
      </c>
      <c r="U377" s="24" t="str">
        <f>IF('ASS END SYNC'!C381="SHOW",MID('ASS END SYNC'!E381,O377+1,P377-O377-1),"")</f>
        <v/>
      </c>
      <c r="V377" s="24" t="str">
        <f>IF(AND('ASS END SYNC'!C381="SHOW",'ASS END SYNC'!C382="SHOW"),U378,IF(AND('ASS END SYNC'!C381="SHOW",'ASS END SYNC'!C382&lt;&gt;"SHOW"),MID('ASS END SYNC'!E381,O377+1,P377-O377-1),""))</f>
        <v/>
      </c>
      <c r="W377" s="23" t="str">
        <f>IF('ASS END SYNC'!C381="SHOW",MID('ASS END SYNC'!E381,Q377+1,S377-Q377+1),"")</f>
        <v/>
      </c>
      <c r="X377" s="23" t="str">
        <f>IF('ASS END SYNC'!C381="SHOW",MID('ASS END SYNC'!E381,S377+2,1000),"")</f>
        <v/>
      </c>
      <c r="Z377" s="24"/>
    </row>
    <row r="378" spans="1:26" x14ac:dyDescent="0.25">
      <c r="A378" s="26">
        <v>375</v>
      </c>
      <c r="B378" s="24" t="str">
        <f>IF('ASS START SYNC'!C382="SHOW",FIND(",",'ASS START SYNC'!E382,1),"")</f>
        <v/>
      </c>
      <c r="C378" s="24" t="str">
        <f>IF('ASS START SYNC'!C382="SHOW",FIND(",",'ASS START SYNC'!E382,B378+1),"")</f>
        <v/>
      </c>
      <c r="D378" s="24" t="str">
        <f>IF('ASS START SYNC'!C382="SHOW",FIND(",",'ASS START SYNC'!E382,C378+1),"")</f>
        <v/>
      </c>
      <c r="E378" s="25" t="str">
        <f>IF('ASS START SYNC'!C382="SHOW",FIND(",,",'ASS START SYNC'!E382,1),"")</f>
        <v/>
      </c>
      <c r="F378" s="25" t="str">
        <f>IF('ASS START SYNC'!C382="SHOW",FIND(",,",'ASS START SYNC'!E382,E378+1),"")</f>
        <v/>
      </c>
      <c r="G378" s="23" t="str">
        <f>IF('ASS START SYNC'!C382="SHOW",LEFT('ASS START SYNC'!E382,B378),"")</f>
        <v/>
      </c>
      <c r="H378" s="24" t="str">
        <f>IF(AND('ASS START SYNC'!C382="SHOW",COUNTA('ASS START SYNC'!$E$8:'ASS START SYNC'!E381)=0),MID('ASS START SYNC'!E382,B378+1,C378-B378-1),IF(AND('ASS START SYNC'!C382="SHOW",COUNTA('ASS START SYNC'!$E$8:'ASS START SYNC'!E381)&lt;&gt;0),I377,""))</f>
        <v/>
      </c>
      <c r="I378" s="24" t="str">
        <f>IF('ASS START SYNC'!C382="SHOW",MID('ASS START SYNC'!E382,C378+1,D378-C378-1),I377)</f>
        <v/>
      </c>
      <c r="J378" s="23" t="str">
        <f>IF('ASS START SYNC'!C382="SHOW",MID('ASS START SYNC'!E382,D378+1,F378-D378+1),"")</f>
        <v/>
      </c>
      <c r="K378" s="23" t="str">
        <f>IF('ASS START SYNC'!C382="SHOW",MID('ASS START SYNC'!E382,F378+2,1000),"")</f>
        <v/>
      </c>
      <c r="M378" s="24"/>
      <c r="N378" s="26">
        <v>375</v>
      </c>
      <c r="O378" s="24" t="str">
        <f>IF('ASS END SYNC'!C382="SHOW",FIND(",",'ASS END SYNC'!E382,1),"")</f>
        <v/>
      </c>
      <c r="P378" s="24" t="str">
        <f>IF('ASS END SYNC'!C382="SHOW",FIND(",",'ASS END SYNC'!E382,O378+1),"")</f>
        <v/>
      </c>
      <c r="Q378" s="24" t="str">
        <f>IF('ASS END SYNC'!C382="SHOW",FIND(",",'ASS END SYNC'!E382,P378+1),"")</f>
        <v/>
      </c>
      <c r="R378" s="25" t="str">
        <f>IF('ASS END SYNC'!C382="SHOW",FIND(",,",'ASS END SYNC'!E382,1),"")</f>
        <v/>
      </c>
      <c r="S378" s="25" t="str">
        <f>IF('ASS END SYNC'!C382="SHOW",FIND(",,",'ASS END SYNC'!E382,R378+1),"")</f>
        <v/>
      </c>
      <c r="T378" s="23" t="str">
        <f>IF('ASS END SYNC'!C382="SHOW",LEFT('ASS END SYNC'!E382,O378),"")</f>
        <v/>
      </c>
      <c r="U378" s="24" t="str">
        <f>IF('ASS END SYNC'!C382="SHOW",MID('ASS END SYNC'!E382,O378+1,P378-O378-1),"")</f>
        <v/>
      </c>
      <c r="V378" s="24" t="str">
        <f>IF(AND('ASS END SYNC'!C382="SHOW",'ASS END SYNC'!C383="SHOW"),U379,IF(AND('ASS END SYNC'!C382="SHOW",'ASS END SYNC'!C383&lt;&gt;"SHOW"),MID('ASS END SYNC'!E382,O378+1,P378-O378-1),""))</f>
        <v/>
      </c>
      <c r="W378" s="23" t="str">
        <f>IF('ASS END SYNC'!C382="SHOW",MID('ASS END SYNC'!E382,Q378+1,S378-Q378+1),"")</f>
        <v/>
      </c>
      <c r="X378" s="23" t="str">
        <f>IF('ASS END SYNC'!C382="SHOW",MID('ASS END SYNC'!E382,S378+2,1000),"")</f>
        <v/>
      </c>
      <c r="Z378" s="24"/>
    </row>
    <row r="379" spans="1:26" x14ac:dyDescent="0.25">
      <c r="A379" s="26">
        <v>376</v>
      </c>
      <c r="B379" s="24" t="str">
        <f>IF('ASS START SYNC'!C383="SHOW",FIND(",",'ASS START SYNC'!E383,1),"")</f>
        <v/>
      </c>
      <c r="C379" s="24" t="str">
        <f>IF('ASS START SYNC'!C383="SHOW",FIND(",",'ASS START SYNC'!E383,B379+1),"")</f>
        <v/>
      </c>
      <c r="D379" s="24" t="str">
        <f>IF('ASS START SYNC'!C383="SHOW",FIND(",",'ASS START SYNC'!E383,C379+1),"")</f>
        <v/>
      </c>
      <c r="E379" s="25" t="str">
        <f>IF('ASS START SYNC'!C383="SHOW",FIND(",,",'ASS START SYNC'!E383,1),"")</f>
        <v/>
      </c>
      <c r="F379" s="25" t="str">
        <f>IF('ASS START SYNC'!C383="SHOW",FIND(",,",'ASS START SYNC'!E383,E379+1),"")</f>
        <v/>
      </c>
      <c r="G379" s="23" t="str">
        <f>IF('ASS START SYNC'!C383="SHOW",LEFT('ASS START SYNC'!E383,B379),"")</f>
        <v/>
      </c>
      <c r="H379" s="24" t="str">
        <f>IF(AND('ASS START SYNC'!C383="SHOW",COUNTA('ASS START SYNC'!$E$8:'ASS START SYNC'!E382)=0),MID('ASS START SYNC'!E383,B379+1,C379-B379-1),IF(AND('ASS START SYNC'!C383="SHOW",COUNTA('ASS START SYNC'!$E$8:'ASS START SYNC'!E382)&lt;&gt;0),I378,""))</f>
        <v/>
      </c>
      <c r="I379" s="24" t="str">
        <f>IF('ASS START SYNC'!C383="SHOW",MID('ASS START SYNC'!E383,C379+1,D379-C379-1),I378)</f>
        <v/>
      </c>
      <c r="J379" s="23" t="str">
        <f>IF('ASS START SYNC'!C383="SHOW",MID('ASS START SYNC'!E383,D379+1,F379-D379+1),"")</f>
        <v/>
      </c>
      <c r="K379" s="23" t="str">
        <f>IF('ASS START SYNC'!C383="SHOW",MID('ASS START SYNC'!E383,F379+2,1000),"")</f>
        <v/>
      </c>
      <c r="M379" s="24"/>
      <c r="N379" s="26">
        <v>376</v>
      </c>
      <c r="O379" s="24" t="str">
        <f>IF('ASS END SYNC'!C383="SHOW",FIND(",",'ASS END SYNC'!E383,1),"")</f>
        <v/>
      </c>
      <c r="P379" s="24" t="str">
        <f>IF('ASS END SYNC'!C383="SHOW",FIND(",",'ASS END SYNC'!E383,O379+1),"")</f>
        <v/>
      </c>
      <c r="Q379" s="24" t="str">
        <f>IF('ASS END SYNC'!C383="SHOW",FIND(",",'ASS END SYNC'!E383,P379+1),"")</f>
        <v/>
      </c>
      <c r="R379" s="25" t="str">
        <f>IF('ASS END SYNC'!C383="SHOW",FIND(",,",'ASS END SYNC'!E383,1),"")</f>
        <v/>
      </c>
      <c r="S379" s="25" t="str">
        <f>IF('ASS END SYNC'!C383="SHOW",FIND(",,",'ASS END SYNC'!E383,R379+1),"")</f>
        <v/>
      </c>
      <c r="T379" s="23" t="str">
        <f>IF('ASS END SYNC'!C383="SHOW",LEFT('ASS END SYNC'!E383,O379),"")</f>
        <v/>
      </c>
      <c r="U379" s="24" t="str">
        <f>IF('ASS END SYNC'!C383="SHOW",MID('ASS END SYNC'!E383,O379+1,P379-O379-1),"")</f>
        <v/>
      </c>
      <c r="V379" s="24" t="str">
        <f>IF(AND('ASS END SYNC'!C383="SHOW",'ASS END SYNC'!C384="SHOW"),U380,IF(AND('ASS END SYNC'!C383="SHOW",'ASS END SYNC'!C384&lt;&gt;"SHOW"),MID('ASS END SYNC'!E383,O379+1,P379-O379-1),""))</f>
        <v/>
      </c>
      <c r="W379" s="23" t="str">
        <f>IF('ASS END SYNC'!C383="SHOW",MID('ASS END SYNC'!E383,Q379+1,S379-Q379+1),"")</f>
        <v/>
      </c>
      <c r="X379" s="23" t="str">
        <f>IF('ASS END SYNC'!C383="SHOW",MID('ASS END SYNC'!E383,S379+2,1000),"")</f>
        <v/>
      </c>
      <c r="Z379" s="24"/>
    </row>
    <row r="380" spans="1:26" x14ac:dyDescent="0.25">
      <c r="A380" s="26">
        <v>377</v>
      </c>
      <c r="B380" s="24" t="str">
        <f>IF('ASS START SYNC'!C384="SHOW",FIND(",",'ASS START SYNC'!E384,1),"")</f>
        <v/>
      </c>
      <c r="C380" s="24" t="str">
        <f>IF('ASS START SYNC'!C384="SHOW",FIND(",",'ASS START SYNC'!E384,B380+1),"")</f>
        <v/>
      </c>
      <c r="D380" s="24" t="str">
        <f>IF('ASS START SYNC'!C384="SHOW",FIND(",",'ASS START SYNC'!E384,C380+1),"")</f>
        <v/>
      </c>
      <c r="E380" s="25" t="str">
        <f>IF('ASS START SYNC'!C384="SHOW",FIND(",,",'ASS START SYNC'!E384,1),"")</f>
        <v/>
      </c>
      <c r="F380" s="25" t="str">
        <f>IF('ASS START SYNC'!C384="SHOW",FIND(",,",'ASS START SYNC'!E384,E380+1),"")</f>
        <v/>
      </c>
      <c r="G380" s="23" t="str">
        <f>IF('ASS START SYNC'!C384="SHOW",LEFT('ASS START SYNC'!E384,B380),"")</f>
        <v/>
      </c>
      <c r="H380" s="24" t="str">
        <f>IF(AND('ASS START SYNC'!C384="SHOW",COUNTA('ASS START SYNC'!$E$8:'ASS START SYNC'!E383)=0),MID('ASS START SYNC'!E384,B380+1,C380-B380-1),IF(AND('ASS START SYNC'!C384="SHOW",COUNTA('ASS START SYNC'!$E$8:'ASS START SYNC'!E383)&lt;&gt;0),I379,""))</f>
        <v/>
      </c>
      <c r="I380" s="24" t="str">
        <f>IF('ASS START SYNC'!C384="SHOW",MID('ASS START SYNC'!E384,C380+1,D380-C380-1),I379)</f>
        <v/>
      </c>
      <c r="J380" s="23" t="str">
        <f>IF('ASS START SYNC'!C384="SHOW",MID('ASS START SYNC'!E384,D380+1,F380-D380+1),"")</f>
        <v/>
      </c>
      <c r="K380" s="23" t="str">
        <f>IF('ASS START SYNC'!C384="SHOW",MID('ASS START SYNC'!E384,F380+2,1000),"")</f>
        <v/>
      </c>
      <c r="M380" s="24"/>
      <c r="N380" s="26">
        <v>377</v>
      </c>
      <c r="O380" s="24" t="str">
        <f>IF('ASS END SYNC'!C384="SHOW",FIND(",",'ASS END SYNC'!E384,1),"")</f>
        <v/>
      </c>
      <c r="P380" s="24" t="str">
        <f>IF('ASS END SYNC'!C384="SHOW",FIND(",",'ASS END SYNC'!E384,O380+1),"")</f>
        <v/>
      </c>
      <c r="Q380" s="24" t="str">
        <f>IF('ASS END SYNC'!C384="SHOW",FIND(",",'ASS END SYNC'!E384,P380+1),"")</f>
        <v/>
      </c>
      <c r="R380" s="25" t="str">
        <f>IF('ASS END SYNC'!C384="SHOW",FIND(",,",'ASS END SYNC'!E384,1),"")</f>
        <v/>
      </c>
      <c r="S380" s="25" t="str">
        <f>IF('ASS END SYNC'!C384="SHOW",FIND(",,",'ASS END SYNC'!E384,R380+1),"")</f>
        <v/>
      </c>
      <c r="T380" s="23" t="str">
        <f>IF('ASS END SYNC'!C384="SHOW",LEFT('ASS END SYNC'!E384,O380),"")</f>
        <v/>
      </c>
      <c r="U380" s="24" t="str">
        <f>IF('ASS END SYNC'!C384="SHOW",MID('ASS END SYNC'!E384,O380+1,P380-O380-1),"")</f>
        <v/>
      </c>
      <c r="V380" s="24" t="str">
        <f>IF(AND('ASS END SYNC'!C384="SHOW",'ASS END SYNC'!C385="SHOW"),U381,IF(AND('ASS END SYNC'!C384="SHOW",'ASS END SYNC'!C385&lt;&gt;"SHOW"),MID('ASS END SYNC'!E384,O380+1,P380-O380-1),""))</f>
        <v/>
      </c>
      <c r="W380" s="23" t="str">
        <f>IF('ASS END SYNC'!C384="SHOW",MID('ASS END SYNC'!E384,Q380+1,S380-Q380+1),"")</f>
        <v/>
      </c>
      <c r="X380" s="23" t="str">
        <f>IF('ASS END SYNC'!C384="SHOW",MID('ASS END SYNC'!E384,S380+2,1000),"")</f>
        <v/>
      </c>
      <c r="Z380" s="24"/>
    </row>
    <row r="381" spans="1:26" x14ac:dyDescent="0.25">
      <c r="A381" s="26">
        <v>378</v>
      </c>
      <c r="B381" s="24" t="str">
        <f>IF('ASS START SYNC'!C385="SHOW",FIND(",",'ASS START SYNC'!E385,1),"")</f>
        <v/>
      </c>
      <c r="C381" s="24" t="str">
        <f>IF('ASS START SYNC'!C385="SHOW",FIND(",",'ASS START SYNC'!E385,B381+1),"")</f>
        <v/>
      </c>
      <c r="D381" s="24" t="str">
        <f>IF('ASS START SYNC'!C385="SHOW",FIND(",",'ASS START SYNC'!E385,C381+1),"")</f>
        <v/>
      </c>
      <c r="E381" s="25" t="str">
        <f>IF('ASS START SYNC'!C385="SHOW",FIND(",,",'ASS START SYNC'!E385,1),"")</f>
        <v/>
      </c>
      <c r="F381" s="25" t="str">
        <f>IF('ASS START SYNC'!C385="SHOW",FIND(",,",'ASS START SYNC'!E385,E381+1),"")</f>
        <v/>
      </c>
      <c r="G381" s="23" t="str">
        <f>IF('ASS START SYNC'!C385="SHOW",LEFT('ASS START SYNC'!E385,B381),"")</f>
        <v/>
      </c>
      <c r="H381" s="24" t="str">
        <f>IF(AND('ASS START SYNC'!C385="SHOW",COUNTA('ASS START SYNC'!$E$8:'ASS START SYNC'!E384)=0),MID('ASS START SYNC'!E385,B381+1,C381-B381-1),IF(AND('ASS START SYNC'!C385="SHOW",COUNTA('ASS START SYNC'!$E$8:'ASS START SYNC'!E384)&lt;&gt;0),I380,""))</f>
        <v/>
      </c>
      <c r="I381" s="24" t="str">
        <f>IF('ASS START SYNC'!C385="SHOW",MID('ASS START SYNC'!E385,C381+1,D381-C381-1),I380)</f>
        <v/>
      </c>
      <c r="J381" s="23" t="str">
        <f>IF('ASS START SYNC'!C385="SHOW",MID('ASS START SYNC'!E385,D381+1,F381-D381+1),"")</f>
        <v/>
      </c>
      <c r="K381" s="23" t="str">
        <f>IF('ASS START SYNC'!C385="SHOW",MID('ASS START SYNC'!E385,F381+2,1000),"")</f>
        <v/>
      </c>
      <c r="M381" s="24"/>
      <c r="N381" s="26">
        <v>378</v>
      </c>
      <c r="O381" s="24" t="str">
        <f>IF('ASS END SYNC'!C385="SHOW",FIND(",",'ASS END SYNC'!E385,1),"")</f>
        <v/>
      </c>
      <c r="P381" s="24" t="str">
        <f>IF('ASS END SYNC'!C385="SHOW",FIND(",",'ASS END SYNC'!E385,O381+1),"")</f>
        <v/>
      </c>
      <c r="Q381" s="24" t="str">
        <f>IF('ASS END SYNC'!C385="SHOW",FIND(",",'ASS END SYNC'!E385,P381+1),"")</f>
        <v/>
      </c>
      <c r="R381" s="25" t="str">
        <f>IF('ASS END SYNC'!C385="SHOW",FIND(",,",'ASS END SYNC'!E385,1),"")</f>
        <v/>
      </c>
      <c r="S381" s="25" t="str">
        <f>IF('ASS END SYNC'!C385="SHOW",FIND(",,",'ASS END SYNC'!E385,R381+1),"")</f>
        <v/>
      </c>
      <c r="T381" s="23" t="str">
        <f>IF('ASS END SYNC'!C385="SHOW",LEFT('ASS END SYNC'!E385,O381),"")</f>
        <v/>
      </c>
      <c r="U381" s="24" t="str">
        <f>IF('ASS END SYNC'!C385="SHOW",MID('ASS END SYNC'!E385,O381+1,P381-O381-1),"")</f>
        <v/>
      </c>
      <c r="V381" s="24" t="str">
        <f>IF(AND('ASS END SYNC'!C385="SHOW",'ASS END SYNC'!C386="SHOW"),U382,IF(AND('ASS END SYNC'!C385="SHOW",'ASS END SYNC'!C386&lt;&gt;"SHOW"),MID('ASS END SYNC'!E385,O381+1,P381-O381-1),""))</f>
        <v/>
      </c>
      <c r="W381" s="23" t="str">
        <f>IF('ASS END SYNC'!C385="SHOW",MID('ASS END SYNC'!E385,Q381+1,S381-Q381+1),"")</f>
        <v/>
      </c>
      <c r="X381" s="23" t="str">
        <f>IF('ASS END SYNC'!C385="SHOW",MID('ASS END SYNC'!E385,S381+2,1000),"")</f>
        <v/>
      </c>
      <c r="Z381" s="24"/>
    </row>
    <row r="382" spans="1:26" x14ac:dyDescent="0.25">
      <c r="A382" s="26">
        <v>379</v>
      </c>
      <c r="B382" s="24" t="str">
        <f>IF('ASS START SYNC'!C386="SHOW",FIND(",",'ASS START SYNC'!E386,1),"")</f>
        <v/>
      </c>
      <c r="C382" s="24" t="str">
        <f>IF('ASS START SYNC'!C386="SHOW",FIND(",",'ASS START SYNC'!E386,B382+1),"")</f>
        <v/>
      </c>
      <c r="D382" s="24" t="str">
        <f>IF('ASS START SYNC'!C386="SHOW",FIND(",",'ASS START SYNC'!E386,C382+1),"")</f>
        <v/>
      </c>
      <c r="E382" s="25" t="str">
        <f>IF('ASS START SYNC'!C386="SHOW",FIND(",,",'ASS START SYNC'!E386,1),"")</f>
        <v/>
      </c>
      <c r="F382" s="25" t="str">
        <f>IF('ASS START SYNC'!C386="SHOW",FIND(",,",'ASS START SYNC'!E386,E382+1),"")</f>
        <v/>
      </c>
      <c r="G382" s="23" t="str">
        <f>IF('ASS START SYNC'!C386="SHOW",LEFT('ASS START SYNC'!E386,B382),"")</f>
        <v/>
      </c>
      <c r="H382" s="24" t="str">
        <f>IF(AND('ASS START SYNC'!C386="SHOW",COUNTA('ASS START SYNC'!$E$8:'ASS START SYNC'!E385)=0),MID('ASS START SYNC'!E386,B382+1,C382-B382-1),IF(AND('ASS START SYNC'!C386="SHOW",COUNTA('ASS START SYNC'!$E$8:'ASS START SYNC'!E385)&lt;&gt;0),I381,""))</f>
        <v/>
      </c>
      <c r="I382" s="24" t="str">
        <f>IF('ASS START SYNC'!C386="SHOW",MID('ASS START SYNC'!E386,C382+1,D382-C382-1),I381)</f>
        <v/>
      </c>
      <c r="J382" s="23" t="str">
        <f>IF('ASS START SYNC'!C386="SHOW",MID('ASS START SYNC'!E386,D382+1,F382-D382+1),"")</f>
        <v/>
      </c>
      <c r="K382" s="23" t="str">
        <f>IF('ASS START SYNC'!C386="SHOW",MID('ASS START SYNC'!E386,F382+2,1000),"")</f>
        <v/>
      </c>
      <c r="M382" s="24"/>
      <c r="N382" s="26">
        <v>379</v>
      </c>
      <c r="O382" s="24" t="str">
        <f>IF('ASS END SYNC'!C386="SHOW",FIND(",",'ASS END SYNC'!E386,1),"")</f>
        <v/>
      </c>
      <c r="P382" s="24" t="str">
        <f>IF('ASS END SYNC'!C386="SHOW",FIND(",",'ASS END SYNC'!E386,O382+1),"")</f>
        <v/>
      </c>
      <c r="Q382" s="24" t="str">
        <f>IF('ASS END SYNC'!C386="SHOW",FIND(",",'ASS END SYNC'!E386,P382+1),"")</f>
        <v/>
      </c>
      <c r="R382" s="25" t="str">
        <f>IF('ASS END SYNC'!C386="SHOW",FIND(",,",'ASS END SYNC'!E386,1),"")</f>
        <v/>
      </c>
      <c r="S382" s="25" t="str">
        <f>IF('ASS END SYNC'!C386="SHOW",FIND(",,",'ASS END SYNC'!E386,R382+1),"")</f>
        <v/>
      </c>
      <c r="T382" s="23" t="str">
        <f>IF('ASS END SYNC'!C386="SHOW",LEFT('ASS END SYNC'!E386,O382),"")</f>
        <v/>
      </c>
      <c r="U382" s="24" t="str">
        <f>IF('ASS END SYNC'!C386="SHOW",MID('ASS END SYNC'!E386,O382+1,P382-O382-1),"")</f>
        <v/>
      </c>
      <c r="V382" s="24" t="str">
        <f>IF(AND('ASS END SYNC'!C386="SHOW",'ASS END SYNC'!C387="SHOW"),U383,IF(AND('ASS END SYNC'!C386="SHOW",'ASS END SYNC'!C387&lt;&gt;"SHOW"),MID('ASS END SYNC'!E386,O382+1,P382-O382-1),""))</f>
        <v/>
      </c>
      <c r="W382" s="23" t="str">
        <f>IF('ASS END SYNC'!C386="SHOW",MID('ASS END SYNC'!E386,Q382+1,S382-Q382+1),"")</f>
        <v/>
      </c>
      <c r="X382" s="23" t="str">
        <f>IF('ASS END SYNC'!C386="SHOW",MID('ASS END SYNC'!E386,S382+2,1000),"")</f>
        <v/>
      </c>
      <c r="Z382" s="24"/>
    </row>
    <row r="383" spans="1:26" x14ac:dyDescent="0.25">
      <c r="A383" s="26">
        <v>380</v>
      </c>
      <c r="B383" s="24" t="str">
        <f>IF('ASS START SYNC'!C387="SHOW",FIND(",",'ASS START SYNC'!E387,1),"")</f>
        <v/>
      </c>
      <c r="C383" s="24" t="str">
        <f>IF('ASS START SYNC'!C387="SHOW",FIND(",",'ASS START SYNC'!E387,B383+1),"")</f>
        <v/>
      </c>
      <c r="D383" s="24" t="str">
        <f>IF('ASS START SYNC'!C387="SHOW",FIND(",",'ASS START SYNC'!E387,C383+1),"")</f>
        <v/>
      </c>
      <c r="E383" s="25" t="str">
        <f>IF('ASS START SYNC'!C387="SHOW",FIND(",,",'ASS START SYNC'!E387,1),"")</f>
        <v/>
      </c>
      <c r="F383" s="25" t="str">
        <f>IF('ASS START SYNC'!C387="SHOW",FIND(",,",'ASS START SYNC'!E387,E383+1),"")</f>
        <v/>
      </c>
      <c r="G383" s="23" t="str">
        <f>IF('ASS START SYNC'!C387="SHOW",LEFT('ASS START SYNC'!E387,B383),"")</f>
        <v/>
      </c>
      <c r="H383" s="24" t="str">
        <f>IF(AND('ASS START SYNC'!C387="SHOW",COUNTA('ASS START SYNC'!$E$8:'ASS START SYNC'!E386)=0),MID('ASS START SYNC'!E387,B383+1,C383-B383-1),IF(AND('ASS START SYNC'!C387="SHOW",COUNTA('ASS START SYNC'!$E$8:'ASS START SYNC'!E386)&lt;&gt;0),I382,""))</f>
        <v/>
      </c>
      <c r="I383" s="24" t="str">
        <f>IF('ASS START SYNC'!C387="SHOW",MID('ASS START SYNC'!E387,C383+1,D383-C383-1),I382)</f>
        <v/>
      </c>
      <c r="J383" s="23" t="str">
        <f>IF('ASS START SYNC'!C387="SHOW",MID('ASS START SYNC'!E387,D383+1,F383-D383+1),"")</f>
        <v/>
      </c>
      <c r="K383" s="23" t="str">
        <f>IF('ASS START SYNC'!C387="SHOW",MID('ASS START SYNC'!E387,F383+2,1000),"")</f>
        <v/>
      </c>
      <c r="M383" s="24"/>
      <c r="N383" s="26">
        <v>380</v>
      </c>
      <c r="O383" s="24" t="str">
        <f>IF('ASS END SYNC'!C387="SHOW",FIND(",",'ASS END SYNC'!E387,1),"")</f>
        <v/>
      </c>
      <c r="P383" s="24" t="str">
        <f>IF('ASS END SYNC'!C387="SHOW",FIND(",",'ASS END SYNC'!E387,O383+1),"")</f>
        <v/>
      </c>
      <c r="Q383" s="24" t="str">
        <f>IF('ASS END SYNC'!C387="SHOW",FIND(",",'ASS END SYNC'!E387,P383+1),"")</f>
        <v/>
      </c>
      <c r="R383" s="25" t="str">
        <f>IF('ASS END SYNC'!C387="SHOW",FIND(",,",'ASS END SYNC'!E387,1),"")</f>
        <v/>
      </c>
      <c r="S383" s="25" t="str">
        <f>IF('ASS END SYNC'!C387="SHOW",FIND(",,",'ASS END SYNC'!E387,R383+1),"")</f>
        <v/>
      </c>
      <c r="T383" s="23" t="str">
        <f>IF('ASS END SYNC'!C387="SHOW",LEFT('ASS END SYNC'!E387,O383),"")</f>
        <v/>
      </c>
      <c r="U383" s="24" t="str">
        <f>IF('ASS END SYNC'!C387="SHOW",MID('ASS END SYNC'!E387,O383+1,P383-O383-1),"")</f>
        <v/>
      </c>
      <c r="V383" s="24" t="str">
        <f>IF(AND('ASS END SYNC'!C387="SHOW",'ASS END SYNC'!C388="SHOW"),U384,IF(AND('ASS END SYNC'!C387="SHOW",'ASS END SYNC'!C388&lt;&gt;"SHOW"),MID('ASS END SYNC'!E387,O383+1,P383-O383-1),""))</f>
        <v/>
      </c>
      <c r="W383" s="23" t="str">
        <f>IF('ASS END SYNC'!C387="SHOW",MID('ASS END SYNC'!E387,Q383+1,S383-Q383+1),"")</f>
        <v/>
      </c>
      <c r="X383" s="23" t="str">
        <f>IF('ASS END SYNC'!C387="SHOW",MID('ASS END SYNC'!E387,S383+2,1000),"")</f>
        <v/>
      </c>
      <c r="Z383" s="24"/>
    </row>
    <row r="384" spans="1:26" x14ac:dyDescent="0.25">
      <c r="A384" s="26">
        <v>381</v>
      </c>
      <c r="B384" s="24" t="str">
        <f>IF('ASS START SYNC'!C388="SHOW",FIND(",",'ASS START SYNC'!E388,1),"")</f>
        <v/>
      </c>
      <c r="C384" s="24" t="str">
        <f>IF('ASS START SYNC'!C388="SHOW",FIND(",",'ASS START SYNC'!E388,B384+1),"")</f>
        <v/>
      </c>
      <c r="D384" s="24" t="str">
        <f>IF('ASS START SYNC'!C388="SHOW",FIND(",",'ASS START SYNC'!E388,C384+1),"")</f>
        <v/>
      </c>
      <c r="E384" s="25" t="str">
        <f>IF('ASS START SYNC'!C388="SHOW",FIND(",,",'ASS START SYNC'!E388,1),"")</f>
        <v/>
      </c>
      <c r="F384" s="25" t="str">
        <f>IF('ASS START SYNC'!C388="SHOW",FIND(",,",'ASS START SYNC'!E388,E384+1),"")</f>
        <v/>
      </c>
      <c r="G384" s="23" t="str">
        <f>IF('ASS START SYNC'!C388="SHOW",LEFT('ASS START SYNC'!E388,B384),"")</f>
        <v/>
      </c>
      <c r="H384" s="24" t="str">
        <f>IF(AND('ASS START SYNC'!C388="SHOW",COUNTA('ASS START SYNC'!$E$8:'ASS START SYNC'!E387)=0),MID('ASS START SYNC'!E388,B384+1,C384-B384-1),IF(AND('ASS START SYNC'!C388="SHOW",COUNTA('ASS START SYNC'!$E$8:'ASS START SYNC'!E387)&lt;&gt;0),I383,""))</f>
        <v/>
      </c>
      <c r="I384" s="24" t="str">
        <f>IF('ASS START SYNC'!C388="SHOW",MID('ASS START SYNC'!E388,C384+1,D384-C384-1),I383)</f>
        <v/>
      </c>
      <c r="J384" s="23" t="str">
        <f>IF('ASS START SYNC'!C388="SHOW",MID('ASS START SYNC'!E388,D384+1,F384-D384+1),"")</f>
        <v/>
      </c>
      <c r="K384" s="23" t="str">
        <f>IF('ASS START SYNC'!C388="SHOW",MID('ASS START SYNC'!E388,F384+2,1000),"")</f>
        <v/>
      </c>
      <c r="M384" s="24"/>
      <c r="N384" s="26">
        <v>381</v>
      </c>
      <c r="O384" s="24" t="str">
        <f>IF('ASS END SYNC'!C388="SHOW",FIND(",",'ASS END SYNC'!E388,1),"")</f>
        <v/>
      </c>
      <c r="P384" s="24" t="str">
        <f>IF('ASS END SYNC'!C388="SHOW",FIND(",",'ASS END SYNC'!E388,O384+1),"")</f>
        <v/>
      </c>
      <c r="Q384" s="24" t="str">
        <f>IF('ASS END SYNC'!C388="SHOW",FIND(",",'ASS END SYNC'!E388,P384+1),"")</f>
        <v/>
      </c>
      <c r="R384" s="25" t="str">
        <f>IF('ASS END SYNC'!C388="SHOW",FIND(",,",'ASS END SYNC'!E388,1),"")</f>
        <v/>
      </c>
      <c r="S384" s="25" t="str">
        <f>IF('ASS END SYNC'!C388="SHOW",FIND(",,",'ASS END SYNC'!E388,R384+1),"")</f>
        <v/>
      </c>
      <c r="T384" s="23" t="str">
        <f>IF('ASS END SYNC'!C388="SHOW",LEFT('ASS END SYNC'!E388,O384),"")</f>
        <v/>
      </c>
      <c r="U384" s="24" t="str">
        <f>IF('ASS END SYNC'!C388="SHOW",MID('ASS END SYNC'!E388,O384+1,P384-O384-1),"")</f>
        <v/>
      </c>
      <c r="V384" s="24" t="str">
        <f>IF(AND('ASS END SYNC'!C388="SHOW",'ASS END SYNC'!C389="SHOW"),U385,IF(AND('ASS END SYNC'!C388="SHOW",'ASS END SYNC'!C389&lt;&gt;"SHOW"),MID('ASS END SYNC'!E388,O384+1,P384-O384-1),""))</f>
        <v/>
      </c>
      <c r="W384" s="23" t="str">
        <f>IF('ASS END SYNC'!C388="SHOW",MID('ASS END SYNC'!E388,Q384+1,S384-Q384+1),"")</f>
        <v/>
      </c>
      <c r="X384" s="23" t="str">
        <f>IF('ASS END SYNC'!C388="SHOW",MID('ASS END SYNC'!E388,S384+2,1000),"")</f>
        <v/>
      </c>
      <c r="Z384" s="24"/>
    </row>
    <row r="385" spans="1:26" x14ac:dyDescent="0.25">
      <c r="A385" s="26">
        <v>382</v>
      </c>
      <c r="B385" s="24" t="str">
        <f>IF('ASS START SYNC'!C389="SHOW",FIND(",",'ASS START SYNC'!E389,1),"")</f>
        <v/>
      </c>
      <c r="C385" s="24" t="str">
        <f>IF('ASS START SYNC'!C389="SHOW",FIND(",",'ASS START SYNC'!E389,B385+1),"")</f>
        <v/>
      </c>
      <c r="D385" s="24" t="str">
        <f>IF('ASS START SYNC'!C389="SHOW",FIND(",",'ASS START SYNC'!E389,C385+1),"")</f>
        <v/>
      </c>
      <c r="E385" s="25" t="str">
        <f>IF('ASS START SYNC'!C389="SHOW",FIND(",,",'ASS START SYNC'!E389,1),"")</f>
        <v/>
      </c>
      <c r="F385" s="25" t="str">
        <f>IF('ASS START SYNC'!C389="SHOW",FIND(",,",'ASS START SYNC'!E389,E385+1),"")</f>
        <v/>
      </c>
      <c r="G385" s="23" t="str">
        <f>IF('ASS START SYNC'!C389="SHOW",LEFT('ASS START SYNC'!E389,B385),"")</f>
        <v/>
      </c>
      <c r="H385" s="24" t="str">
        <f>IF(AND('ASS START SYNC'!C389="SHOW",COUNTA('ASS START SYNC'!$E$8:'ASS START SYNC'!E388)=0),MID('ASS START SYNC'!E389,B385+1,C385-B385-1),IF(AND('ASS START SYNC'!C389="SHOW",COUNTA('ASS START SYNC'!$E$8:'ASS START SYNC'!E388)&lt;&gt;0),I384,""))</f>
        <v/>
      </c>
      <c r="I385" s="24" t="str">
        <f>IF('ASS START SYNC'!C389="SHOW",MID('ASS START SYNC'!E389,C385+1,D385-C385-1),I384)</f>
        <v/>
      </c>
      <c r="J385" s="23" t="str">
        <f>IF('ASS START SYNC'!C389="SHOW",MID('ASS START SYNC'!E389,D385+1,F385-D385+1),"")</f>
        <v/>
      </c>
      <c r="K385" s="23" t="str">
        <f>IF('ASS START SYNC'!C389="SHOW",MID('ASS START SYNC'!E389,F385+2,1000),"")</f>
        <v/>
      </c>
      <c r="M385" s="24"/>
      <c r="N385" s="26">
        <v>382</v>
      </c>
      <c r="O385" s="24" t="str">
        <f>IF('ASS END SYNC'!C389="SHOW",FIND(",",'ASS END SYNC'!E389,1),"")</f>
        <v/>
      </c>
      <c r="P385" s="24" t="str">
        <f>IF('ASS END SYNC'!C389="SHOW",FIND(",",'ASS END SYNC'!E389,O385+1),"")</f>
        <v/>
      </c>
      <c r="Q385" s="24" t="str">
        <f>IF('ASS END SYNC'!C389="SHOW",FIND(",",'ASS END SYNC'!E389,P385+1),"")</f>
        <v/>
      </c>
      <c r="R385" s="25" t="str">
        <f>IF('ASS END SYNC'!C389="SHOW",FIND(",,",'ASS END SYNC'!E389,1),"")</f>
        <v/>
      </c>
      <c r="S385" s="25" t="str">
        <f>IF('ASS END SYNC'!C389="SHOW",FIND(",,",'ASS END SYNC'!E389,R385+1),"")</f>
        <v/>
      </c>
      <c r="T385" s="23" t="str">
        <f>IF('ASS END SYNC'!C389="SHOW",LEFT('ASS END SYNC'!E389,O385),"")</f>
        <v/>
      </c>
      <c r="U385" s="24" t="str">
        <f>IF('ASS END SYNC'!C389="SHOW",MID('ASS END SYNC'!E389,O385+1,P385-O385-1),"")</f>
        <v/>
      </c>
      <c r="V385" s="24" t="str">
        <f>IF(AND('ASS END SYNC'!C389="SHOW",'ASS END SYNC'!C390="SHOW"),U386,IF(AND('ASS END SYNC'!C389="SHOW",'ASS END SYNC'!C390&lt;&gt;"SHOW"),MID('ASS END SYNC'!E389,O385+1,P385-O385-1),""))</f>
        <v/>
      </c>
      <c r="W385" s="23" t="str">
        <f>IF('ASS END SYNC'!C389="SHOW",MID('ASS END SYNC'!E389,Q385+1,S385-Q385+1),"")</f>
        <v/>
      </c>
      <c r="X385" s="23" t="str">
        <f>IF('ASS END SYNC'!C389="SHOW",MID('ASS END SYNC'!E389,S385+2,1000),"")</f>
        <v/>
      </c>
      <c r="Z385" s="24"/>
    </row>
    <row r="386" spans="1:26" x14ac:dyDescent="0.25">
      <c r="A386" s="26">
        <v>383</v>
      </c>
      <c r="B386" s="24" t="str">
        <f>IF('ASS START SYNC'!C390="SHOW",FIND(",",'ASS START SYNC'!E390,1),"")</f>
        <v/>
      </c>
      <c r="C386" s="24" t="str">
        <f>IF('ASS START SYNC'!C390="SHOW",FIND(",",'ASS START SYNC'!E390,B386+1),"")</f>
        <v/>
      </c>
      <c r="D386" s="24" t="str">
        <f>IF('ASS START SYNC'!C390="SHOW",FIND(",",'ASS START SYNC'!E390,C386+1),"")</f>
        <v/>
      </c>
      <c r="E386" s="25" t="str">
        <f>IF('ASS START SYNC'!C390="SHOW",FIND(",,",'ASS START SYNC'!E390,1),"")</f>
        <v/>
      </c>
      <c r="F386" s="25" t="str">
        <f>IF('ASS START SYNC'!C390="SHOW",FIND(",,",'ASS START SYNC'!E390,E386+1),"")</f>
        <v/>
      </c>
      <c r="G386" s="23" t="str">
        <f>IF('ASS START SYNC'!C390="SHOW",LEFT('ASS START SYNC'!E390,B386),"")</f>
        <v/>
      </c>
      <c r="H386" s="24" t="str">
        <f>IF(AND('ASS START SYNC'!C390="SHOW",COUNTA('ASS START SYNC'!$E$8:'ASS START SYNC'!E389)=0),MID('ASS START SYNC'!E390,B386+1,C386-B386-1),IF(AND('ASS START SYNC'!C390="SHOW",COUNTA('ASS START SYNC'!$E$8:'ASS START SYNC'!E389)&lt;&gt;0),I385,""))</f>
        <v/>
      </c>
      <c r="I386" s="24" t="str">
        <f>IF('ASS START SYNC'!C390="SHOW",MID('ASS START SYNC'!E390,C386+1,D386-C386-1),I385)</f>
        <v/>
      </c>
      <c r="J386" s="23" t="str">
        <f>IF('ASS START SYNC'!C390="SHOW",MID('ASS START SYNC'!E390,D386+1,F386-D386+1),"")</f>
        <v/>
      </c>
      <c r="K386" s="23" t="str">
        <f>IF('ASS START SYNC'!C390="SHOW",MID('ASS START SYNC'!E390,F386+2,1000),"")</f>
        <v/>
      </c>
      <c r="M386" s="24"/>
      <c r="N386" s="26">
        <v>383</v>
      </c>
      <c r="O386" s="24" t="str">
        <f>IF('ASS END SYNC'!C390="SHOW",FIND(",",'ASS END SYNC'!E390,1),"")</f>
        <v/>
      </c>
      <c r="P386" s="24" t="str">
        <f>IF('ASS END SYNC'!C390="SHOW",FIND(",",'ASS END SYNC'!E390,O386+1),"")</f>
        <v/>
      </c>
      <c r="Q386" s="24" t="str">
        <f>IF('ASS END SYNC'!C390="SHOW",FIND(",",'ASS END SYNC'!E390,P386+1),"")</f>
        <v/>
      </c>
      <c r="R386" s="25" t="str">
        <f>IF('ASS END SYNC'!C390="SHOW",FIND(",,",'ASS END SYNC'!E390,1),"")</f>
        <v/>
      </c>
      <c r="S386" s="25" t="str">
        <f>IF('ASS END SYNC'!C390="SHOW",FIND(",,",'ASS END SYNC'!E390,R386+1),"")</f>
        <v/>
      </c>
      <c r="T386" s="23" t="str">
        <f>IF('ASS END SYNC'!C390="SHOW",LEFT('ASS END SYNC'!E390,O386),"")</f>
        <v/>
      </c>
      <c r="U386" s="24" t="str">
        <f>IF('ASS END SYNC'!C390="SHOW",MID('ASS END SYNC'!E390,O386+1,P386-O386-1),"")</f>
        <v/>
      </c>
      <c r="V386" s="24" t="str">
        <f>IF(AND('ASS END SYNC'!C390="SHOW",'ASS END SYNC'!C391="SHOW"),U387,IF(AND('ASS END SYNC'!C390="SHOW",'ASS END SYNC'!C391&lt;&gt;"SHOW"),MID('ASS END SYNC'!E390,O386+1,P386-O386-1),""))</f>
        <v/>
      </c>
      <c r="W386" s="23" t="str">
        <f>IF('ASS END SYNC'!C390="SHOW",MID('ASS END SYNC'!E390,Q386+1,S386-Q386+1),"")</f>
        <v/>
      </c>
      <c r="X386" s="23" t="str">
        <f>IF('ASS END SYNC'!C390="SHOW",MID('ASS END SYNC'!E390,S386+2,1000),"")</f>
        <v/>
      </c>
      <c r="Z386" s="24"/>
    </row>
    <row r="387" spans="1:26" x14ac:dyDescent="0.25">
      <c r="A387" s="26">
        <v>384</v>
      </c>
      <c r="B387" s="24" t="str">
        <f>IF('ASS START SYNC'!C391="SHOW",FIND(",",'ASS START SYNC'!E391,1),"")</f>
        <v/>
      </c>
      <c r="C387" s="24" t="str">
        <f>IF('ASS START SYNC'!C391="SHOW",FIND(",",'ASS START SYNC'!E391,B387+1),"")</f>
        <v/>
      </c>
      <c r="D387" s="24" t="str">
        <f>IF('ASS START SYNC'!C391="SHOW",FIND(",",'ASS START SYNC'!E391,C387+1),"")</f>
        <v/>
      </c>
      <c r="E387" s="25" t="str">
        <f>IF('ASS START SYNC'!C391="SHOW",FIND(",,",'ASS START SYNC'!E391,1),"")</f>
        <v/>
      </c>
      <c r="F387" s="25" t="str">
        <f>IF('ASS START SYNC'!C391="SHOW",FIND(",,",'ASS START SYNC'!E391,E387+1),"")</f>
        <v/>
      </c>
      <c r="G387" s="23" t="str">
        <f>IF('ASS START SYNC'!C391="SHOW",LEFT('ASS START SYNC'!E391,B387),"")</f>
        <v/>
      </c>
      <c r="H387" s="24" t="str">
        <f>IF(AND('ASS START SYNC'!C391="SHOW",COUNTA('ASS START SYNC'!$E$8:'ASS START SYNC'!E390)=0),MID('ASS START SYNC'!E391,B387+1,C387-B387-1),IF(AND('ASS START SYNC'!C391="SHOW",COUNTA('ASS START SYNC'!$E$8:'ASS START SYNC'!E390)&lt;&gt;0),I386,""))</f>
        <v/>
      </c>
      <c r="I387" s="24" t="str">
        <f>IF('ASS START SYNC'!C391="SHOW",MID('ASS START SYNC'!E391,C387+1,D387-C387-1),I386)</f>
        <v/>
      </c>
      <c r="J387" s="23" t="str">
        <f>IF('ASS START SYNC'!C391="SHOW",MID('ASS START SYNC'!E391,D387+1,F387-D387+1),"")</f>
        <v/>
      </c>
      <c r="K387" s="23" t="str">
        <f>IF('ASS START SYNC'!C391="SHOW",MID('ASS START SYNC'!E391,F387+2,1000),"")</f>
        <v/>
      </c>
      <c r="M387" s="24"/>
      <c r="N387" s="26">
        <v>384</v>
      </c>
      <c r="O387" s="24" t="str">
        <f>IF('ASS END SYNC'!C391="SHOW",FIND(",",'ASS END SYNC'!E391,1),"")</f>
        <v/>
      </c>
      <c r="P387" s="24" t="str">
        <f>IF('ASS END SYNC'!C391="SHOW",FIND(",",'ASS END SYNC'!E391,O387+1),"")</f>
        <v/>
      </c>
      <c r="Q387" s="24" t="str">
        <f>IF('ASS END SYNC'!C391="SHOW",FIND(",",'ASS END SYNC'!E391,P387+1),"")</f>
        <v/>
      </c>
      <c r="R387" s="25" t="str">
        <f>IF('ASS END SYNC'!C391="SHOW",FIND(",,",'ASS END SYNC'!E391,1),"")</f>
        <v/>
      </c>
      <c r="S387" s="25" t="str">
        <f>IF('ASS END SYNC'!C391="SHOW",FIND(",,",'ASS END SYNC'!E391,R387+1),"")</f>
        <v/>
      </c>
      <c r="T387" s="23" t="str">
        <f>IF('ASS END SYNC'!C391="SHOW",LEFT('ASS END SYNC'!E391,O387),"")</f>
        <v/>
      </c>
      <c r="U387" s="24" t="str">
        <f>IF('ASS END SYNC'!C391="SHOW",MID('ASS END SYNC'!E391,O387+1,P387-O387-1),"")</f>
        <v/>
      </c>
      <c r="V387" s="24" t="str">
        <f>IF(AND('ASS END SYNC'!C391="SHOW",'ASS END SYNC'!C392="SHOW"),U388,IF(AND('ASS END SYNC'!C391="SHOW",'ASS END SYNC'!C392&lt;&gt;"SHOW"),MID('ASS END SYNC'!E391,O387+1,P387-O387-1),""))</f>
        <v/>
      </c>
      <c r="W387" s="23" t="str">
        <f>IF('ASS END SYNC'!C391="SHOW",MID('ASS END SYNC'!E391,Q387+1,S387-Q387+1),"")</f>
        <v/>
      </c>
      <c r="X387" s="23" t="str">
        <f>IF('ASS END SYNC'!C391="SHOW",MID('ASS END SYNC'!E391,S387+2,1000),"")</f>
        <v/>
      </c>
      <c r="Z387" s="24"/>
    </row>
    <row r="388" spans="1:26" x14ac:dyDescent="0.25">
      <c r="A388" s="26">
        <v>385</v>
      </c>
      <c r="B388" s="24" t="str">
        <f>IF('ASS START SYNC'!C392="SHOW",FIND(",",'ASS START SYNC'!E392,1),"")</f>
        <v/>
      </c>
      <c r="C388" s="24" t="str">
        <f>IF('ASS START SYNC'!C392="SHOW",FIND(",",'ASS START SYNC'!E392,B388+1),"")</f>
        <v/>
      </c>
      <c r="D388" s="24" t="str">
        <f>IF('ASS START SYNC'!C392="SHOW",FIND(",",'ASS START SYNC'!E392,C388+1),"")</f>
        <v/>
      </c>
      <c r="E388" s="25" t="str">
        <f>IF('ASS START SYNC'!C392="SHOW",FIND(",,",'ASS START SYNC'!E392,1),"")</f>
        <v/>
      </c>
      <c r="F388" s="25" t="str">
        <f>IF('ASS START SYNC'!C392="SHOW",FIND(",,",'ASS START SYNC'!E392,E388+1),"")</f>
        <v/>
      </c>
      <c r="G388" s="23" t="str">
        <f>IF('ASS START SYNC'!C392="SHOW",LEFT('ASS START SYNC'!E392,B388),"")</f>
        <v/>
      </c>
      <c r="H388" s="24" t="str">
        <f>IF(AND('ASS START SYNC'!C392="SHOW",COUNTA('ASS START SYNC'!$E$8:'ASS START SYNC'!E391)=0),MID('ASS START SYNC'!E392,B388+1,C388-B388-1),IF(AND('ASS START SYNC'!C392="SHOW",COUNTA('ASS START SYNC'!$E$8:'ASS START SYNC'!E391)&lt;&gt;0),I387,""))</f>
        <v/>
      </c>
      <c r="I388" s="24" t="str">
        <f>IF('ASS START SYNC'!C392="SHOW",MID('ASS START SYNC'!E392,C388+1,D388-C388-1),I387)</f>
        <v/>
      </c>
      <c r="J388" s="23" t="str">
        <f>IF('ASS START SYNC'!C392="SHOW",MID('ASS START SYNC'!E392,D388+1,F388-D388+1),"")</f>
        <v/>
      </c>
      <c r="K388" s="23" t="str">
        <f>IF('ASS START SYNC'!C392="SHOW",MID('ASS START SYNC'!E392,F388+2,1000),"")</f>
        <v/>
      </c>
      <c r="M388" s="24"/>
      <c r="N388" s="26">
        <v>385</v>
      </c>
      <c r="O388" s="24" t="str">
        <f>IF('ASS END SYNC'!C392="SHOW",FIND(",",'ASS END SYNC'!E392,1),"")</f>
        <v/>
      </c>
      <c r="P388" s="24" t="str">
        <f>IF('ASS END SYNC'!C392="SHOW",FIND(",",'ASS END SYNC'!E392,O388+1),"")</f>
        <v/>
      </c>
      <c r="Q388" s="24" t="str">
        <f>IF('ASS END SYNC'!C392="SHOW",FIND(",",'ASS END SYNC'!E392,P388+1),"")</f>
        <v/>
      </c>
      <c r="R388" s="25" t="str">
        <f>IF('ASS END SYNC'!C392="SHOW",FIND(",,",'ASS END SYNC'!E392,1),"")</f>
        <v/>
      </c>
      <c r="S388" s="25" t="str">
        <f>IF('ASS END SYNC'!C392="SHOW",FIND(",,",'ASS END SYNC'!E392,R388+1),"")</f>
        <v/>
      </c>
      <c r="T388" s="23" t="str">
        <f>IF('ASS END SYNC'!C392="SHOW",LEFT('ASS END SYNC'!E392,O388),"")</f>
        <v/>
      </c>
      <c r="U388" s="24" t="str">
        <f>IF('ASS END SYNC'!C392="SHOW",MID('ASS END SYNC'!E392,O388+1,P388-O388-1),"")</f>
        <v/>
      </c>
      <c r="V388" s="24" t="str">
        <f>IF(AND('ASS END SYNC'!C392="SHOW",'ASS END SYNC'!C393="SHOW"),U389,IF(AND('ASS END SYNC'!C392="SHOW",'ASS END SYNC'!C393&lt;&gt;"SHOW"),MID('ASS END SYNC'!E392,O388+1,P388-O388-1),""))</f>
        <v/>
      </c>
      <c r="W388" s="23" t="str">
        <f>IF('ASS END SYNC'!C392="SHOW",MID('ASS END SYNC'!E392,Q388+1,S388-Q388+1),"")</f>
        <v/>
      </c>
      <c r="X388" s="23" t="str">
        <f>IF('ASS END SYNC'!C392="SHOW",MID('ASS END SYNC'!E392,S388+2,1000),"")</f>
        <v/>
      </c>
      <c r="Z388" s="24"/>
    </row>
    <row r="389" spans="1:26" x14ac:dyDescent="0.25">
      <c r="A389" s="26">
        <v>386</v>
      </c>
      <c r="B389" s="24" t="str">
        <f>IF('ASS START SYNC'!C393="SHOW",FIND(",",'ASS START SYNC'!E393,1),"")</f>
        <v/>
      </c>
      <c r="C389" s="24" t="str">
        <f>IF('ASS START SYNC'!C393="SHOW",FIND(",",'ASS START SYNC'!E393,B389+1),"")</f>
        <v/>
      </c>
      <c r="D389" s="24" t="str">
        <f>IF('ASS START SYNC'!C393="SHOW",FIND(",",'ASS START SYNC'!E393,C389+1),"")</f>
        <v/>
      </c>
      <c r="E389" s="25" t="str">
        <f>IF('ASS START SYNC'!C393="SHOW",FIND(",,",'ASS START SYNC'!E393,1),"")</f>
        <v/>
      </c>
      <c r="F389" s="25" t="str">
        <f>IF('ASS START SYNC'!C393="SHOW",FIND(",,",'ASS START SYNC'!E393,E389+1),"")</f>
        <v/>
      </c>
      <c r="G389" s="23" t="str">
        <f>IF('ASS START SYNC'!C393="SHOW",LEFT('ASS START SYNC'!E393,B389),"")</f>
        <v/>
      </c>
      <c r="H389" s="24" t="str">
        <f>IF(AND('ASS START SYNC'!C393="SHOW",COUNTA('ASS START SYNC'!$E$8:'ASS START SYNC'!E392)=0),MID('ASS START SYNC'!E393,B389+1,C389-B389-1),IF(AND('ASS START SYNC'!C393="SHOW",COUNTA('ASS START SYNC'!$E$8:'ASS START SYNC'!E392)&lt;&gt;0),I388,""))</f>
        <v/>
      </c>
      <c r="I389" s="24" t="str">
        <f>IF('ASS START SYNC'!C393="SHOW",MID('ASS START SYNC'!E393,C389+1,D389-C389-1),I388)</f>
        <v/>
      </c>
      <c r="J389" s="23" t="str">
        <f>IF('ASS START SYNC'!C393="SHOW",MID('ASS START SYNC'!E393,D389+1,F389-D389+1),"")</f>
        <v/>
      </c>
      <c r="K389" s="23" t="str">
        <f>IF('ASS START SYNC'!C393="SHOW",MID('ASS START SYNC'!E393,F389+2,1000),"")</f>
        <v/>
      </c>
      <c r="M389" s="24"/>
      <c r="N389" s="26">
        <v>386</v>
      </c>
      <c r="O389" s="24" t="str">
        <f>IF('ASS END SYNC'!C393="SHOW",FIND(",",'ASS END SYNC'!E393,1),"")</f>
        <v/>
      </c>
      <c r="P389" s="24" t="str">
        <f>IF('ASS END SYNC'!C393="SHOW",FIND(",",'ASS END SYNC'!E393,O389+1),"")</f>
        <v/>
      </c>
      <c r="Q389" s="24" t="str">
        <f>IF('ASS END SYNC'!C393="SHOW",FIND(",",'ASS END SYNC'!E393,P389+1),"")</f>
        <v/>
      </c>
      <c r="R389" s="25" t="str">
        <f>IF('ASS END SYNC'!C393="SHOW",FIND(",,",'ASS END SYNC'!E393,1),"")</f>
        <v/>
      </c>
      <c r="S389" s="25" t="str">
        <f>IF('ASS END SYNC'!C393="SHOW",FIND(",,",'ASS END SYNC'!E393,R389+1),"")</f>
        <v/>
      </c>
      <c r="T389" s="23" t="str">
        <f>IF('ASS END SYNC'!C393="SHOW",LEFT('ASS END SYNC'!E393,O389),"")</f>
        <v/>
      </c>
      <c r="U389" s="24" t="str">
        <f>IF('ASS END SYNC'!C393="SHOW",MID('ASS END SYNC'!E393,O389+1,P389-O389-1),"")</f>
        <v/>
      </c>
      <c r="V389" s="24" t="str">
        <f>IF(AND('ASS END SYNC'!C393="SHOW",'ASS END SYNC'!C394="SHOW"),U390,IF(AND('ASS END SYNC'!C393="SHOW",'ASS END SYNC'!C394&lt;&gt;"SHOW"),MID('ASS END SYNC'!E393,O389+1,P389-O389-1),""))</f>
        <v/>
      </c>
      <c r="W389" s="23" t="str">
        <f>IF('ASS END SYNC'!C393="SHOW",MID('ASS END SYNC'!E393,Q389+1,S389-Q389+1),"")</f>
        <v/>
      </c>
      <c r="X389" s="23" t="str">
        <f>IF('ASS END SYNC'!C393="SHOW",MID('ASS END SYNC'!E393,S389+2,1000),"")</f>
        <v/>
      </c>
      <c r="Z389" s="24"/>
    </row>
    <row r="390" spans="1:26" x14ac:dyDescent="0.25">
      <c r="A390" s="26">
        <v>387</v>
      </c>
      <c r="B390" s="24" t="str">
        <f>IF('ASS START SYNC'!C394="SHOW",FIND(",",'ASS START SYNC'!E394,1),"")</f>
        <v/>
      </c>
      <c r="C390" s="24" t="str">
        <f>IF('ASS START SYNC'!C394="SHOW",FIND(",",'ASS START SYNC'!E394,B390+1),"")</f>
        <v/>
      </c>
      <c r="D390" s="24" t="str">
        <f>IF('ASS START SYNC'!C394="SHOW",FIND(",",'ASS START SYNC'!E394,C390+1),"")</f>
        <v/>
      </c>
      <c r="E390" s="25" t="str">
        <f>IF('ASS START SYNC'!C394="SHOW",FIND(",,",'ASS START SYNC'!E394,1),"")</f>
        <v/>
      </c>
      <c r="F390" s="25" t="str">
        <f>IF('ASS START SYNC'!C394="SHOW",FIND(",,",'ASS START SYNC'!E394,E390+1),"")</f>
        <v/>
      </c>
      <c r="G390" s="23" t="str">
        <f>IF('ASS START SYNC'!C394="SHOW",LEFT('ASS START SYNC'!E394,B390),"")</f>
        <v/>
      </c>
      <c r="H390" s="24" t="str">
        <f>IF(AND('ASS START SYNC'!C394="SHOW",COUNTA('ASS START SYNC'!$E$8:'ASS START SYNC'!E393)=0),MID('ASS START SYNC'!E394,B390+1,C390-B390-1),IF(AND('ASS START SYNC'!C394="SHOW",COUNTA('ASS START SYNC'!$E$8:'ASS START SYNC'!E393)&lt;&gt;0),I389,""))</f>
        <v/>
      </c>
      <c r="I390" s="24" t="str">
        <f>IF('ASS START SYNC'!C394="SHOW",MID('ASS START SYNC'!E394,C390+1,D390-C390-1),I389)</f>
        <v/>
      </c>
      <c r="J390" s="23" t="str">
        <f>IF('ASS START SYNC'!C394="SHOW",MID('ASS START SYNC'!E394,D390+1,F390-D390+1),"")</f>
        <v/>
      </c>
      <c r="K390" s="23" t="str">
        <f>IF('ASS START SYNC'!C394="SHOW",MID('ASS START SYNC'!E394,F390+2,1000),"")</f>
        <v/>
      </c>
      <c r="M390" s="24"/>
      <c r="N390" s="26">
        <v>387</v>
      </c>
      <c r="O390" s="24" t="str">
        <f>IF('ASS END SYNC'!C394="SHOW",FIND(",",'ASS END SYNC'!E394,1),"")</f>
        <v/>
      </c>
      <c r="P390" s="24" t="str">
        <f>IF('ASS END SYNC'!C394="SHOW",FIND(",",'ASS END SYNC'!E394,O390+1),"")</f>
        <v/>
      </c>
      <c r="Q390" s="24" t="str">
        <f>IF('ASS END SYNC'!C394="SHOW",FIND(",",'ASS END SYNC'!E394,P390+1),"")</f>
        <v/>
      </c>
      <c r="R390" s="25" t="str">
        <f>IF('ASS END SYNC'!C394="SHOW",FIND(",,",'ASS END SYNC'!E394,1),"")</f>
        <v/>
      </c>
      <c r="S390" s="25" t="str">
        <f>IF('ASS END SYNC'!C394="SHOW",FIND(",,",'ASS END SYNC'!E394,R390+1),"")</f>
        <v/>
      </c>
      <c r="T390" s="23" t="str">
        <f>IF('ASS END SYNC'!C394="SHOW",LEFT('ASS END SYNC'!E394,O390),"")</f>
        <v/>
      </c>
      <c r="U390" s="24" t="str">
        <f>IF('ASS END SYNC'!C394="SHOW",MID('ASS END SYNC'!E394,O390+1,P390-O390-1),"")</f>
        <v/>
      </c>
      <c r="V390" s="24" t="str">
        <f>IF(AND('ASS END SYNC'!C394="SHOW",'ASS END SYNC'!C395="SHOW"),U391,IF(AND('ASS END SYNC'!C394="SHOW",'ASS END SYNC'!C395&lt;&gt;"SHOW"),MID('ASS END SYNC'!E394,O390+1,P390-O390-1),""))</f>
        <v/>
      </c>
      <c r="W390" s="23" t="str">
        <f>IF('ASS END SYNC'!C394="SHOW",MID('ASS END SYNC'!E394,Q390+1,S390-Q390+1),"")</f>
        <v/>
      </c>
      <c r="X390" s="23" t="str">
        <f>IF('ASS END SYNC'!C394="SHOW",MID('ASS END SYNC'!E394,S390+2,1000),"")</f>
        <v/>
      </c>
      <c r="Z390" s="24"/>
    </row>
    <row r="391" spans="1:26" x14ac:dyDescent="0.25">
      <c r="A391" s="26">
        <v>388</v>
      </c>
      <c r="B391" s="24" t="str">
        <f>IF('ASS START SYNC'!C395="SHOW",FIND(",",'ASS START SYNC'!E395,1),"")</f>
        <v/>
      </c>
      <c r="C391" s="24" t="str">
        <f>IF('ASS START SYNC'!C395="SHOW",FIND(",",'ASS START SYNC'!E395,B391+1),"")</f>
        <v/>
      </c>
      <c r="D391" s="24" t="str">
        <f>IF('ASS START SYNC'!C395="SHOW",FIND(",",'ASS START SYNC'!E395,C391+1),"")</f>
        <v/>
      </c>
      <c r="E391" s="25" t="str">
        <f>IF('ASS START SYNC'!C395="SHOW",FIND(",,",'ASS START SYNC'!E395,1),"")</f>
        <v/>
      </c>
      <c r="F391" s="25" t="str">
        <f>IF('ASS START SYNC'!C395="SHOW",FIND(",,",'ASS START SYNC'!E395,E391+1),"")</f>
        <v/>
      </c>
      <c r="G391" s="23" t="str">
        <f>IF('ASS START SYNC'!C395="SHOW",LEFT('ASS START SYNC'!E395,B391),"")</f>
        <v/>
      </c>
      <c r="H391" s="24" t="str">
        <f>IF(AND('ASS START SYNC'!C395="SHOW",COUNTA('ASS START SYNC'!$E$8:'ASS START SYNC'!E394)=0),MID('ASS START SYNC'!E395,B391+1,C391-B391-1),IF(AND('ASS START SYNC'!C395="SHOW",COUNTA('ASS START SYNC'!$E$8:'ASS START SYNC'!E394)&lt;&gt;0),I390,""))</f>
        <v/>
      </c>
      <c r="I391" s="24" t="str">
        <f>IF('ASS START SYNC'!C395="SHOW",MID('ASS START SYNC'!E395,C391+1,D391-C391-1),I390)</f>
        <v/>
      </c>
      <c r="J391" s="23" t="str">
        <f>IF('ASS START SYNC'!C395="SHOW",MID('ASS START SYNC'!E395,D391+1,F391-D391+1),"")</f>
        <v/>
      </c>
      <c r="K391" s="23" t="str">
        <f>IF('ASS START SYNC'!C395="SHOW",MID('ASS START SYNC'!E395,F391+2,1000),"")</f>
        <v/>
      </c>
      <c r="M391" s="24"/>
      <c r="N391" s="26">
        <v>388</v>
      </c>
      <c r="O391" s="24" t="str">
        <f>IF('ASS END SYNC'!C395="SHOW",FIND(",",'ASS END SYNC'!E395,1),"")</f>
        <v/>
      </c>
      <c r="P391" s="24" t="str">
        <f>IF('ASS END SYNC'!C395="SHOW",FIND(",",'ASS END SYNC'!E395,O391+1),"")</f>
        <v/>
      </c>
      <c r="Q391" s="24" t="str">
        <f>IF('ASS END SYNC'!C395="SHOW",FIND(",",'ASS END SYNC'!E395,P391+1),"")</f>
        <v/>
      </c>
      <c r="R391" s="25" t="str">
        <f>IF('ASS END SYNC'!C395="SHOW",FIND(",,",'ASS END SYNC'!E395,1),"")</f>
        <v/>
      </c>
      <c r="S391" s="25" t="str">
        <f>IF('ASS END SYNC'!C395="SHOW",FIND(",,",'ASS END SYNC'!E395,R391+1),"")</f>
        <v/>
      </c>
      <c r="T391" s="23" t="str">
        <f>IF('ASS END SYNC'!C395="SHOW",LEFT('ASS END SYNC'!E395,O391),"")</f>
        <v/>
      </c>
      <c r="U391" s="24" t="str">
        <f>IF('ASS END SYNC'!C395="SHOW",MID('ASS END SYNC'!E395,O391+1,P391-O391-1),"")</f>
        <v/>
      </c>
      <c r="V391" s="24" t="str">
        <f>IF(AND('ASS END SYNC'!C395="SHOW",'ASS END SYNC'!C396="SHOW"),U392,IF(AND('ASS END SYNC'!C395="SHOW",'ASS END SYNC'!C396&lt;&gt;"SHOW"),MID('ASS END SYNC'!E395,O391+1,P391-O391-1),""))</f>
        <v/>
      </c>
      <c r="W391" s="23" t="str">
        <f>IF('ASS END SYNC'!C395="SHOW",MID('ASS END SYNC'!E395,Q391+1,S391-Q391+1),"")</f>
        <v/>
      </c>
      <c r="X391" s="23" t="str">
        <f>IF('ASS END SYNC'!C395="SHOW",MID('ASS END SYNC'!E395,S391+2,1000),"")</f>
        <v/>
      </c>
      <c r="Z391" s="24"/>
    </row>
    <row r="392" spans="1:26" x14ac:dyDescent="0.25">
      <c r="A392" s="26">
        <v>389</v>
      </c>
      <c r="B392" s="24" t="str">
        <f>IF('ASS START SYNC'!C396="SHOW",FIND(",",'ASS START SYNC'!E396,1),"")</f>
        <v/>
      </c>
      <c r="C392" s="24" t="str">
        <f>IF('ASS START SYNC'!C396="SHOW",FIND(",",'ASS START SYNC'!E396,B392+1),"")</f>
        <v/>
      </c>
      <c r="D392" s="24" t="str">
        <f>IF('ASS START SYNC'!C396="SHOW",FIND(",",'ASS START SYNC'!E396,C392+1),"")</f>
        <v/>
      </c>
      <c r="E392" s="25" t="str">
        <f>IF('ASS START SYNC'!C396="SHOW",FIND(",,",'ASS START SYNC'!E396,1),"")</f>
        <v/>
      </c>
      <c r="F392" s="25" t="str">
        <f>IF('ASS START SYNC'!C396="SHOW",FIND(",,",'ASS START SYNC'!E396,E392+1),"")</f>
        <v/>
      </c>
      <c r="G392" s="23" t="str">
        <f>IF('ASS START SYNC'!C396="SHOW",LEFT('ASS START SYNC'!E396,B392),"")</f>
        <v/>
      </c>
      <c r="H392" s="24" t="str">
        <f>IF(AND('ASS START SYNC'!C396="SHOW",COUNTA('ASS START SYNC'!$E$8:'ASS START SYNC'!E395)=0),MID('ASS START SYNC'!E396,B392+1,C392-B392-1),IF(AND('ASS START SYNC'!C396="SHOW",COUNTA('ASS START SYNC'!$E$8:'ASS START SYNC'!E395)&lt;&gt;0),I391,""))</f>
        <v/>
      </c>
      <c r="I392" s="24" t="str">
        <f>IF('ASS START SYNC'!C396="SHOW",MID('ASS START SYNC'!E396,C392+1,D392-C392-1),I391)</f>
        <v/>
      </c>
      <c r="J392" s="23" t="str">
        <f>IF('ASS START SYNC'!C396="SHOW",MID('ASS START SYNC'!E396,D392+1,F392-D392+1),"")</f>
        <v/>
      </c>
      <c r="K392" s="23" t="str">
        <f>IF('ASS START SYNC'!C396="SHOW",MID('ASS START SYNC'!E396,F392+2,1000),"")</f>
        <v/>
      </c>
      <c r="M392" s="24"/>
      <c r="N392" s="26">
        <v>389</v>
      </c>
      <c r="O392" s="24" t="str">
        <f>IF('ASS END SYNC'!C396="SHOW",FIND(",",'ASS END SYNC'!E396,1),"")</f>
        <v/>
      </c>
      <c r="P392" s="24" t="str">
        <f>IF('ASS END SYNC'!C396="SHOW",FIND(",",'ASS END SYNC'!E396,O392+1),"")</f>
        <v/>
      </c>
      <c r="Q392" s="24" t="str">
        <f>IF('ASS END SYNC'!C396="SHOW",FIND(",",'ASS END SYNC'!E396,P392+1),"")</f>
        <v/>
      </c>
      <c r="R392" s="25" t="str">
        <f>IF('ASS END SYNC'!C396="SHOW",FIND(",,",'ASS END SYNC'!E396,1),"")</f>
        <v/>
      </c>
      <c r="S392" s="25" t="str">
        <f>IF('ASS END SYNC'!C396="SHOW",FIND(",,",'ASS END SYNC'!E396,R392+1),"")</f>
        <v/>
      </c>
      <c r="T392" s="23" t="str">
        <f>IF('ASS END SYNC'!C396="SHOW",LEFT('ASS END SYNC'!E396,O392),"")</f>
        <v/>
      </c>
      <c r="U392" s="24" t="str">
        <f>IF('ASS END SYNC'!C396="SHOW",MID('ASS END SYNC'!E396,O392+1,P392-O392-1),"")</f>
        <v/>
      </c>
      <c r="V392" s="24" t="str">
        <f>IF(AND('ASS END SYNC'!C396="SHOW",'ASS END SYNC'!C397="SHOW"),U393,IF(AND('ASS END SYNC'!C396="SHOW",'ASS END SYNC'!C397&lt;&gt;"SHOW"),MID('ASS END SYNC'!E396,O392+1,P392-O392-1),""))</f>
        <v/>
      </c>
      <c r="W392" s="23" t="str">
        <f>IF('ASS END SYNC'!C396="SHOW",MID('ASS END SYNC'!E396,Q392+1,S392-Q392+1),"")</f>
        <v/>
      </c>
      <c r="X392" s="23" t="str">
        <f>IF('ASS END SYNC'!C396="SHOW",MID('ASS END SYNC'!E396,S392+2,1000),"")</f>
        <v/>
      </c>
      <c r="Z392" s="24"/>
    </row>
    <row r="393" spans="1:26" x14ac:dyDescent="0.25">
      <c r="A393" s="26">
        <v>390</v>
      </c>
      <c r="B393" s="24" t="str">
        <f>IF('ASS START SYNC'!C397="SHOW",FIND(",",'ASS START SYNC'!E397,1),"")</f>
        <v/>
      </c>
      <c r="C393" s="24" t="str">
        <f>IF('ASS START SYNC'!C397="SHOW",FIND(",",'ASS START SYNC'!E397,B393+1),"")</f>
        <v/>
      </c>
      <c r="D393" s="24" t="str">
        <f>IF('ASS START SYNC'!C397="SHOW",FIND(",",'ASS START SYNC'!E397,C393+1),"")</f>
        <v/>
      </c>
      <c r="E393" s="25" t="str">
        <f>IF('ASS START SYNC'!C397="SHOW",FIND(",,",'ASS START SYNC'!E397,1),"")</f>
        <v/>
      </c>
      <c r="F393" s="25" t="str">
        <f>IF('ASS START SYNC'!C397="SHOW",FIND(",,",'ASS START SYNC'!E397,E393+1),"")</f>
        <v/>
      </c>
      <c r="G393" s="23" t="str">
        <f>IF('ASS START SYNC'!C397="SHOW",LEFT('ASS START SYNC'!E397,B393),"")</f>
        <v/>
      </c>
      <c r="H393" s="24" t="str">
        <f>IF(AND('ASS START SYNC'!C397="SHOW",COUNTA('ASS START SYNC'!$E$8:'ASS START SYNC'!E396)=0),MID('ASS START SYNC'!E397,B393+1,C393-B393-1),IF(AND('ASS START SYNC'!C397="SHOW",COUNTA('ASS START SYNC'!$E$8:'ASS START SYNC'!E396)&lt;&gt;0),I392,""))</f>
        <v/>
      </c>
      <c r="I393" s="24" t="str">
        <f>IF('ASS START SYNC'!C397="SHOW",MID('ASS START SYNC'!E397,C393+1,D393-C393-1),I392)</f>
        <v/>
      </c>
      <c r="J393" s="23" t="str">
        <f>IF('ASS START SYNC'!C397="SHOW",MID('ASS START SYNC'!E397,D393+1,F393-D393+1),"")</f>
        <v/>
      </c>
      <c r="K393" s="23" t="str">
        <f>IF('ASS START SYNC'!C397="SHOW",MID('ASS START SYNC'!E397,F393+2,1000),"")</f>
        <v/>
      </c>
      <c r="M393" s="24"/>
      <c r="N393" s="26">
        <v>390</v>
      </c>
      <c r="O393" s="24" t="str">
        <f>IF('ASS END SYNC'!C397="SHOW",FIND(",",'ASS END SYNC'!E397,1),"")</f>
        <v/>
      </c>
      <c r="P393" s="24" t="str">
        <f>IF('ASS END SYNC'!C397="SHOW",FIND(",",'ASS END SYNC'!E397,O393+1),"")</f>
        <v/>
      </c>
      <c r="Q393" s="24" t="str">
        <f>IF('ASS END SYNC'!C397="SHOW",FIND(",",'ASS END SYNC'!E397,P393+1),"")</f>
        <v/>
      </c>
      <c r="R393" s="25" t="str">
        <f>IF('ASS END SYNC'!C397="SHOW",FIND(",,",'ASS END SYNC'!E397,1),"")</f>
        <v/>
      </c>
      <c r="S393" s="25" t="str">
        <f>IF('ASS END SYNC'!C397="SHOW",FIND(",,",'ASS END SYNC'!E397,R393+1),"")</f>
        <v/>
      </c>
      <c r="T393" s="23" t="str">
        <f>IF('ASS END SYNC'!C397="SHOW",LEFT('ASS END SYNC'!E397,O393),"")</f>
        <v/>
      </c>
      <c r="U393" s="24" t="str">
        <f>IF('ASS END SYNC'!C397="SHOW",MID('ASS END SYNC'!E397,O393+1,P393-O393-1),"")</f>
        <v/>
      </c>
      <c r="V393" s="24" t="str">
        <f>IF(AND('ASS END SYNC'!C397="SHOW",'ASS END SYNC'!C398="SHOW"),U394,IF(AND('ASS END SYNC'!C397="SHOW",'ASS END SYNC'!C398&lt;&gt;"SHOW"),MID('ASS END SYNC'!E397,O393+1,P393-O393-1),""))</f>
        <v/>
      </c>
      <c r="W393" s="23" t="str">
        <f>IF('ASS END SYNC'!C397="SHOW",MID('ASS END SYNC'!E397,Q393+1,S393-Q393+1),"")</f>
        <v/>
      </c>
      <c r="X393" s="23" t="str">
        <f>IF('ASS END SYNC'!C397="SHOW",MID('ASS END SYNC'!E397,S393+2,1000),"")</f>
        <v/>
      </c>
      <c r="Z393" s="24"/>
    </row>
    <row r="394" spans="1:26" x14ac:dyDescent="0.25">
      <c r="A394" s="26">
        <v>391</v>
      </c>
      <c r="B394" s="24" t="str">
        <f>IF('ASS START SYNC'!C398="SHOW",FIND(",",'ASS START SYNC'!E398,1),"")</f>
        <v/>
      </c>
      <c r="C394" s="24" t="str">
        <f>IF('ASS START SYNC'!C398="SHOW",FIND(",",'ASS START SYNC'!E398,B394+1),"")</f>
        <v/>
      </c>
      <c r="D394" s="24" t="str">
        <f>IF('ASS START SYNC'!C398="SHOW",FIND(",",'ASS START SYNC'!E398,C394+1),"")</f>
        <v/>
      </c>
      <c r="E394" s="25" t="str">
        <f>IF('ASS START SYNC'!C398="SHOW",FIND(",,",'ASS START SYNC'!E398,1),"")</f>
        <v/>
      </c>
      <c r="F394" s="25" t="str">
        <f>IF('ASS START SYNC'!C398="SHOW",FIND(",,",'ASS START SYNC'!E398,E394+1),"")</f>
        <v/>
      </c>
      <c r="G394" s="23" t="str">
        <f>IF('ASS START SYNC'!C398="SHOW",LEFT('ASS START SYNC'!E398,B394),"")</f>
        <v/>
      </c>
      <c r="H394" s="24" t="str">
        <f>IF(AND('ASS START SYNC'!C398="SHOW",COUNTA('ASS START SYNC'!$E$8:'ASS START SYNC'!E397)=0),MID('ASS START SYNC'!E398,B394+1,C394-B394-1),IF(AND('ASS START SYNC'!C398="SHOW",COUNTA('ASS START SYNC'!$E$8:'ASS START SYNC'!E397)&lt;&gt;0),I393,""))</f>
        <v/>
      </c>
      <c r="I394" s="24" t="str">
        <f>IF('ASS START SYNC'!C398="SHOW",MID('ASS START SYNC'!E398,C394+1,D394-C394-1),I393)</f>
        <v/>
      </c>
      <c r="J394" s="23" t="str">
        <f>IF('ASS START SYNC'!C398="SHOW",MID('ASS START SYNC'!E398,D394+1,F394-D394+1),"")</f>
        <v/>
      </c>
      <c r="K394" s="23" t="str">
        <f>IF('ASS START SYNC'!C398="SHOW",MID('ASS START SYNC'!E398,F394+2,1000),"")</f>
        <v/>
      </c>
      <c r="M394" s="24"/>
      <c r="N394" s="26">
        <v>391</v>
      </c>
      <c r="O394" s="24" t="str">
        <f>IF('ASS END SYNC'!C398="SHOW",FIND(",",'ASS END SYNC'!E398,1),"")</f>
        <v/>
      </c>
      <c r="P394" s="24" t="str">
        <f>IF('ASS END SYNC'!C398="SHOW",FIND(",",'ASS END SYNC'!E398,O394+1),"")</f>
        <v/>
      </c>
      <c r="Q394" s="24" t="str">
        <f>IF('ASS END SYNC'!C398="SHOW",FIND(",",'ASS END SYNC'!E398,P394+1),"")</f>
        <v/>
      </c>
      <c r="R394" s="25" t="str">
        <f>IF('ASS END SYNC'!C398="SHOW",FIND(",,",'ASS END SYNC'!E398,1),"")</f>
        <v/>
      </c>
      <c r="S394" s="25" t="str">
        <f>IF('ASS END SYNC'!C398="SHOW",FIND(",,",'ASS END SYNC'!E398,R394+1),"")</f>
        <v/>
      </c>
      <c r="T394" s="23" t="str">
        <f>IF('ASS END SYNC'!C398="SHOW",LEFT('ASS END SYNC'!E398,O394),"")</f>
        <v/>
      </c>
      <c r="U394" s="24" t="str">
        <f>IF('ASS END SYNC'!C398="SHOW",MID('ASS END SYNC'!E398,O394+1,P394-O394-1),"")</f>
        <v/>
      </c>
      <c r="V394" s="24" t="str">
        <f>IF(AND('ASS END SYNC'!C398="SHOW",'ASS END SYNC'!C399="SHOW"),U395,IF(AND('ASS END SYNC'!C398="SHOW",'ASS END SYNC'!C399&lt;&gt;"SHOW"),MID('ASS END SYNC'!E398,O394+1,P394-O394-1),""))</f>
        <v/>
      </c>
      <c r="W394" s="23" t="str">
        <f>IF('ASS END SYNC'!C398="SHOW",MID('ASS END SYNC'!E398,Q394+1,S394-Q394+1),"")</f>
        <v/>
      </c>
      <c r="X394" s="23" t="str">
        <f>IF('ASS END SYNC'!C398="SHOW",MID('ASS END SYNC'!E398,S394+2,1000),"")</f>
        <v/>
      </c>
      <c r="Z394" s="24"/>
    </row>
    <row r="395" spans="1:26" x14ac:dyDescent="0.25">
      <c r="A395" s="26">
        <v>392</v>
      </c>
      <c r="B395" s="24" t="str">
        <f>IF('ASS START SYNC'!C399="SHOW",FIND(",",'ASS START SYNC'!E399,1),"")</f>
        <v/>
      </c>
      <c r="C395" s="24" t="str">
        <f>IF('ASS START SYNC'!C399="SHOW",FIND(",",'ASS START SYNC'!E399,B395+1),"")</f>
        <v/>
      </c>
      <c r="D395" s="24" t="str">
        <f>IF('ASS START SYNC'!C399="SHOW",FIND(",",'ASS START SYNC'!E399,C395+1),"")</f>
        <v/>
      </c>
      <c r="E395" s="25" t="str">
        <f>IF('ASS START SYNC'!C399="SHOW",FIND(",,",'ASS START SYNC'!E399,1),"")</f>
        <v/>
      </c>
      <c r="F395" s="25" t="str">
        <f>IF('ASS START SYNC'!C399="SHOW",FIND(",,",'ASS START SYNC'!E399,E395+1),"")</f>
        <v/>
      </c>
      <c r="G395" s="23" t="str">
        <f>IF('ASS START SYNC'!C399="SHOW",LEFT('ASS START SYNC'!E399,B395),"")</f>
        <v/>
      </c>
      <c r="H395" s="24" t="str">
        <f>IF(AND('ASS START SYNC'!C399="SHOW",COUNTA('ASS START SYNC'!$E$8:'ASS START SYNC'!E398)=0),MID('ASS START SYNC'!E399,B395+1,C395-B395-1),IF(AND('ASS START SYNC'!C399="SHOW",COUNTA('ASS START SYNC'!$E$8:'ASS START SYNC'!E398)&lt;&gt;0),I394,""))</f>
        <v/>
      </c>
      <c r="I395" s="24" t="str">
        <f>IF('ASS START SYNC'!C399="SHOW",MID('ASS START SYNC'!E399,C395+1,D395-C395-1),I394)</f>
        <v/>
      </c>
      <c r="J395" s="23" t="str">
        <f>IF('ASS START SYNC'!C399="SHOW",MID('ASS START SYNC'!E399,D395+1,F395-D395+1),"")</f>
        <v/>
      </c>
      <c r="K395" s="23" t="str">
        <f>IF('ASS START SYNC'!C399="SHOW",MID('ASS START SYNC'!E399,F395+2,1000),"")</f>
        <v/>
      </c>
      <c r="M395" s="24"/>
      <c r="N395" s="26">
        <v>392</v>
      </c>
      <c r="O395" s="24" t="str">
        <f>IF('ASS END SYNC'!C399="SHOW",FIND(",",'ASS END SYNC'!E399,1),"")</f>
        <v/>
      </c>
      <c r="P395" s="24" t="str">
        <f>IF('ASS END SYNC'!C399="SHOW",FIND(",",'ASS END SYNC'!E399,O395+1),"")</f>
        <v/>
      </c>
      <c r="Q395" s="24" t="str">
        <f>IF('ASS END SYNC'!C399="SHOW",FIND(",",'ASS END SYNC'!E399,P395+1),"")</f>
        <v/>
      </c>
      <c r="R395" s="25" t="str">
        <f>IF('ASS END SYNC'!C399="SHOW",FIND(",,",'ASS END SYNC'!E399,1),"")</f>
        <v/>
      </c>
      <c r="S395" s="25" t="str">
        <f>IF('ASS END SYNC'!C399="SHOW",FIND(",,",'ASS END SYNC'!E399,R395+1),"")</f>
        <v/>
      </c>
      <c r="T395" s="23" t="str">
        <f>IF('ASS END SYNC'!C399="SHOW",LEFT('ASS END SYNC'!E399,O395),"")</f>
        <v/>
      </c>
      <c r="U395" s="24" t="str">
        <f>IF('ASS END SYNC'!C399="SHOW",MID('ASS END SYNC'!E399,O395+1,P395-O395-1),"")</f>
        <v/>
      </c>
      <c r="V395" s="24" t="str">
        <f>IF(AND('ASS END SYNC'!C399="SHOW",'ASS END SYNC'!C400="SHOW"),U396,IF(AND('ASS END SYNC'!C399="SHOW",'ASS END SYNC'!C400&lt;&gt;"SHOW"),MID('ASS END SYNC'!E399,O395+1,P395-O395-1),""))</f>
        <v/>
      </c>
      <c r="W395" s="23" t="str">
        <f>IF('ASS END SYNC'!C399="SHOW",MID('ASS END SYNC'!E399,Q395+1,S395-Q395+1),"")</f>
        <v/>
      </c>
      <c r="X395" s="23" t="str">
        <f>IF('ASS END SYNC'!C399="SHOW",MID('ASS END SYNC'!E399,S395+2,1000),"")</f>
        <v/>
      </c>
      <c r="Z395" s="24"/>
    </row>
    <row r="396" spans="1:26" x14ac:dyDescent="0.25">
      <c r="A396" s="26">
        <v>393</v>
      </c>
      <c r="B396" s="24" t="str">
        <f>IF('ASS START SYNC'!C400="SHOW",FIND(",",'ASS START SYNC'!E400,1),"")</f>
        <v/>
      </c>
      <c r="C396" s="24" t="str">
        <f>IF('ASS START SYNC'!C400="SHOW",FIND(",",'ASS START SYNC'!E400,B396+1),"")</f>
        <v/>
      </c>
      <c r="D396" s="24" t="str">
        <f>IF('ASS START SYNC'!C400="SHOW",FIND(",",'ASS START SYNC'!E400,C396+1),"")</f>
        <v/>
      </c>
      <c r="E396" s="25" t="str">
        <f>IF('ASS START SYNC'!C400="SHOW",FIND(",,",'ASS START SYNC'!E400,1),"")</f>
        <v/>
      </c>
      <c r="F396" s="25" t="str">
        <f>IF('ASS START SYNC'!C400="SHOW",FIND(",,",'ASS START SYNC'!E400,E396+1),"")</f>
        <v/>
      </c>
      <c r="G396" s="23" t="str">
        <f>IF('ASS START SYNC'!C400="SHOW",LEFT('ASS START SYNC'!E400,B396),"")</f>
        <v/>
      </c>
      <c r="H396" s="24" t="str">
        <f>IF(AND('ASS START SYNC'!C400="SHOW",COUNTA('ASS START SYNC'!$E$8:'ASS START SYNC'!E399)=0),MID('ASS START SYNC'!E400,B396+1,C396-B396-1),IF(AND('ASS START SYNC'!C400="SHOW",COUNTA('ASS START SYNC'!$E$8:'ASS START SYNC'!E399)&lt;&gt;0),I395,""))</f>
        <v/>
      </c>
      <c r="I396" s="24" t="str">
        <f>IF('ASS START SYNC'!C400="SHOW",MID('ASS START SYNC'!E400,C396+1,D396-C396-1),I395)</f>
        <v/>
      </c>
      <c r="J396" s="23" t="str">
        <f>IF('ASS START SYNC'!C400="SHOW",MID('ASS START SYNC'!E400,D396+1,F396-D396+1),"")</f>
        <v/>
      </c>
      <c r="K396" s="23" t="str">
        <f>IF('ASS START SYNC'!C400="SHOW",MID('ASS START SYNC'!E400,F396+2,1000),"")</f>
        <v/>
      </c>
      <c r="M396" s="24"/>
      <c r="N396" s="26">
        <v>393</v>
      </c>
      <c r="O396" s="24" t="str">
        <f>IF('ASS END SYNC'!C400="SHOW",FIND(",",'ASS END SYNC'!E400,1),"")</f>
        <v/>
      </c>
      <c r="P396" s="24" t="str">
        <f>IF('ASS END SYNC'!C400="SHOW",FIND(",",'ASS END SYNC'!E400,O396+1),"")</f>
        <v/>
      </c>
      <c r="Q396" s="24" t="str">
        <f>IF('ASS END SYNC'!C400="SHOW",FIND(",",'ASS END SYNC'!E400,P396+1),"")</f>
        <v/>
      </c>
      <c r="R396" s="25" t="str">
        <f>IF('ASS END SYNC'!C400="SHOW",FIND(",,",'ASS END SYNC'!E400,1),"")</f>
        <v/>
      </c>
      <c r="S396" s="25" t="str">
        <f>IF('ASS END SYNC'!C400="SHOW",FIND(",,",'ASS END SYNC'!E400,R396+1),"")</f>
        <v/>
      </c>
      <c r="T396" s="23" t="str">
        <f>IF('ASS END SYNC'!C400="SHOW",LEFT('ASS END SYNC'!E400,O396),"")</f>
        <v/>
      </c>
      <c r="U396" s="24" t="str">
        <f>IF('ASS END SYNC'!C400="SHOW",MID('ASS END SYNC'!E400,O396+1,P396-O396-1),"")</f>
        <v/>
      </c>
      <c r="V396" s="24" t="str">
        <f>IF(AND('ASS END SYNC'!C400="SHOW",'ASS END SYNC'!C401="SHOW"),U397,IF(AND('ASS END SYNC'!C400="SHOW",'ASS END SYNC'!C401&lt;&gt;"SHOW"),MID('ASS END SYNC'!E400,O396+1,P396-O396-1),""))</f>
        <v/>
      </c>
      <c r="W396" s="23" t="str">
        <f>IF('ASS END SYNC'!C400="SHOW",MID('ASS END SYNC'!E400,Q396+1,S396-Q396+1),"")</f>
        <v/>
      </c>
      <c r="X396" s="23" t="str">
        <f>IF('ASS END SYNC'!C400="SHOW",MID('ASS END SYNC'!E400,S396+2,1000),"")</f>
        <v/>
      </c>
      <c r="Z396" s="24"/>
    </row>
    <row r="397" spans="1:26" x14ac:dyDescent="0.25">
      <c r="A397" s="26">
        <v>394</v>
      </c>
      <c r="B397" s="24" t="str">
        <f>IF('ASS START SYNC'!C401="SHOW",FIND(",",'ASS START SYNC'!E401,1),"")</f>
        <v/>
      </c>
      <c r="C397" s="24" t="str">
        <f>IF('ASS START SYNC'!C401="SHOW",FIND(",",'ASS START SYNC'!E401,B397+1),"")</f>
        <v/>
      </c>
      <c r="D397" s="24" t="str">
        <f>IF('ASS START SYNC'!C401="SHOW",FIND(",",'ASS START SYNC'!E401,C397+1),"")</f>
        <v/>
      </c>
      <c r="E397" s="25" t="str">
        <f>IF('ASS START SYNC'!C401="SHOW",FIND(",,",'ASS START SYNC'!E401,1),"")</f>
        <v/>
      </c>
      <c r="F397" s="25" t="str">
        <f>IF('ASS START SYNC'!C401="SHOW",FIND(",,",'ASS START SYNC'!E401,E397+1),"")</f>
        <v/>
      </c>
      <c r="G397" s="23" t="str">
        <f>IF('ASS START SYNC'!C401="SHOW",LEFT('ASS START SYNC'!E401,B397),"")</f>
        <v/>
      </c>
      <c r="H397" s="24" t="str">
        <f>IF(AND('ASS START SYNC'!C401="SHOW",COUNTA('ASS START SYNC'!$E$8:'ASS START SYNC'!E400)=0),MID('ASS START SYNC'!E401,B397+1,C397-B397-1),IF(AND('ASS START SYNC'!C401="SHOW",COUNTA('ASS START SYNC'!$E$8:'ASS START SYNC'!E400)&lt;&gt;0),I396,""))</f>
        <v/>
      </c>
      <c r="I397" s="24" t="str">
        <f>IF('ASS START SYNC'!C401="SHOW",MID('ASS START SYNC'!E401,C397+1,D397-C397-1),I396)</f>
        <v/>
      </c>
      <c r="J397" s="23" t="str">
        <f>IF('ASS START SYNC'!C401="SHOW",MID('ASS START SYNC'!E401,D397+1,F397-D397+1),"")</f>
        <v/>
      </c>
      <c r="K397" s="23" t="str">
        <f>IF('ASS START SYNC'!C401="SHOW",MID('ASS START SYNC'!E401,F397+2,1000),"")</f>
        <v/>
      </c>
      <c r="M397" s="24"/>
      <c r="N397" s="26">
        <v>394</v>
      </c>
      <c r="O397" s="24" t="str">
        <f>IF('ASS END SYNC'!C401="SHOW",FIND(",",'ASS END SYNC'!E401,1),"")</f>
        <v/>
      </c>
      <c r="P397" s="24" t="str">
        <f>IF('ASS END SYNC'!C401="SHOW",FIND(",",'ASS END SYNC'!E401,O397+1),"")</f>
        <v/>
      </c>
      <c r="Q397" s="24" t="str">
        <f>IF('ASS END SYNC'!C401="SHOW",FIND(",",'ASS END SYNC'!E401,P397+1),"")</f>
        <v/>
      </c>
      <c r="R397" s="25" t="str">
        <f>IF('ASS END SYNC'!C401="SHOW",FIND(",,",'ASS END SYNC'!E401,1),"")</f>
        <v/>
      </c>
      <c r="S397" s="25" t="str">
        <f>IF('ASS END SYNC'!C401="SHOW",FIND(",,",'ASS END SYNC'!E401,R397+1),"")</f>
        <v/>
      </c>
      <c r="T397" s="23" t="str">
        <f>IF('ASS END SYNC'!C401="SHOW",LEFT('ASS END SYNC'!E401,O397),"")</f>
        <v/>
      </c>
      <c r="U397" s="24" t="str">
        <f>IF('ASS END SYNC'!C401="SHOW",MID('ASS END SYNC'!E401,O397+1,P397-O397-1),"")</f>
        <v/>
      </c>
      <c r="V397" s="24" t="str">
        <f>IF(AND('ASS END SYNC'!C401="SHOW",'ASS END SYNC'!C402="SHOW"),U398,IF(AND('ASS END SYNC'!C401="SHOW",'ASS END SYNC'!C402&lt;&gt;"SHOW"),MID('ASS END SYNC'!E401,O397+1,P397-O397-1),""))</f>
        <v/>
      </c>
      <c r="W397" s="23" t="str">
        <f>IF('ASS END SYNC'!C401="SHOW",MID('ASS END SYNC'!E401,Q397+1,S397-Q397+1),"")</f>
        <v/>
      </c>
      <c r="X397" s="23" t="str">
        <f>IF('ASS END SYNC'!C401="SHOW",MID('ASS END SYNC'!E401,S397+2,1000),"")</f>
        <v/>
      </c>
      <c r="Z397" s="24"/>
    </row>
    <row r="398" spans="1:26" x14ac:dyDescent="0.25">
      <c r="A398" s="26">
        <v>395</v>
      </c>
      <c r="B398" s="24" t="str">
        <f>IF('ASS START SYNC'!C402="SHOW",FIND(",",'ASS START SYNC'!E402,1),"")</f>
        <v/>
      </c>
      <c r="C398" s="24" t="str">
        <f>IF('ASS START SYNC'!C402="SHOW",FIND(",",'ASS START SYNC'!E402,B398+1),"")</f>
        <v/>
      </c>
      <c r="D398" s="24" t="str">
        <f>IF('ASS START SYNC'!C402="SHOW",FIND(",",'ASS START SYNC'!E402,C398+1),"")</f>
        <v/>
      </c>
      <c r="E398" s="25" t="str">
        <f>IF('ASS START SYNC'!C402="SHOW",FIND(",,",'ASS START SYNC'!E402,1),"")</f>
        <v/>
      </c>
      <c r="F398" s="25" t="str">
        <f>IF('ASS START SYNC'!C402="SHOW",FIND(",,",'ASS START SYNC'!E402,E398+1),"")</f>
        <v/>
      </c>
      <c r="G398" s="23" t="str">
        <f>IF('ASS START SYNC'!C402="SHOW",LEFT('ASS START SYNC'!E402,B398),"")</f>
        <v/>
      </c>
      <c r="H398" s="24" t="str">
        <f>IF(AND('ASS START SYNC'!C402="SHOW",COUNTA('ASS START SYNC'!$E$8:'ASS START SYNC'!E401)=0),MID('ASS START SYNC'!E402,B398+1,C398-B398-1),IF(AND('ASS START SYNC'!C402="SHOW",COUNTA('ASS START SYNC'!$E$8:'ASS START SYNC'!E401)&lt;&gt;0),I397,""))</f>
        <v/>
      </c>
      <c r="I398" s="24" t="str">
        <f>IF('ASS START SYNC'!C402="SHOW",MID('ASS START SYNC'!E402,C398+1,D398-C398-1),I397)</f>
        <v/>
      </c>
      <c r="J398" s="23" t="str">
        <f>IF('ASS START SYNC'!C402="SHOW",MID('ASS START SYNC'!E402,D398+1,F398-D398+1),"")</f>
        <v/>
      </c>
      <c r="K398" s="23" t="str">
        <f>IF('ASS START SYNC'!C402="SHOW",MID('ASS START SYNC'!E402,F398+2,1000),"")</f>
        <v/>
      </c>
      <c r="M398" s="24"/>
      <c r="N398" s="26">
        <v>395</v>
      </c>
      <c r="O398" s="24" t="str">
        <f>IF('ASS END SYNC'!C402="SHOW",FIND(",",'ASS END SYNC'!E402,1),"")</f>
        <v/>
      </c>
      <c r="P398" s="24" t="str">
        <f>IF('ASS END SYNC'!C402="SHOW",FIND(",",'ASS END SYNC'!E402,O398+1),"")</f>
        <v/>
      </c>
      <c r="Q398" s="24" t="str">
        <f>IF('ASS END SYNC'!C402="SHOW",FIND(",",'ASS END SYNC'!E402,P398+1),"")</f>
        <v/>
      </c>
      <c r="R398" s="25" t="str">
        <f>IF('ASS END SYNC'!C402="SHOW",FIND(",,",'ASS END SYNC'!E402,1),"")</f>
        <v/>
      </c>
      <c r="S398" s="25" t="str">
        <f>IF('ASS END SYNC'!C402="SHOW",FIND(",,",'ASS END SYNC'!E402,R398+1),"")</f>
        <v/>
      </c>
      <c r="T398" s="23" t="str">
        <f>IF('ASS END SYNC'!C402="SHOW",LEFT('ASS END SYNC'!E402,O398),"")</f>
        <v/>
      </c>
      <c r="U398" s="24" t="str">
        <f>IF('ASS END SYNC'!C402="SHOW",MID('ASS END SYNC'!E402,O398+1,P398-O398-1),"")</f>
        <v/>
      </c>
      <c r="V398" s="24" t="str">
        <f>IF(AND('ASS END SYNC'!C402="SHOW",'ASS END SYNC'!C403="SHOW"),U399,IF(AND('ASS END SYNC'!C402="SHOW",'ASS END SYNC'!C403&lt;&gt;"SHOW"),MID('ASS END SYNC'!E402,O398+1,P398-O398-1),""))</f>
        <v/>
      </c>
      <c r="W398" s="23" t="str">
        <f>IF('ASS END SYNC'!C402="SHOW",MID('ASS END SYNC'!E402,Q398+1,S398-Q398+1),"")</f>
        <v/>
      </c>
      <c r="X398" s="23" t="str">
        <f>IF('ASS END SYNC'!C402="SHOW",MID('ASS END SYNC'!E402,S398+2,1000),"")</f>
        <v/>
      </c>
      <c r="Z398" s="24"/>
    </row>
    <row r="399" spans="1:26" x14ac:dyDescent="0.25">
      <c r="A399" s="26">
        <v>396</v>
      </c>
      <c r="B399" s="24" t="str">
        <f>IF('ASS START SYNC'!C403="SHOW",FIND(",",'ASS START SYNC'!E403,1),"")</f>
        <v/>
      </c>
      <c r="C399" s="24" t="str">
        <f>IF('ASS START SYNC'!C403="SHOW",FIND(",",'ASS START SYNC'!E403,B399+1),"")</f>
        <v/>
      </c>
      <c r="D399" s="24" t="str">
        <f>IF('ASS START SYNC'!C403="SHOW",FIND(",",'ASS START SYNC'!E403,C399+1),"")</f>
        <v/>
      </c>
      <c r="E399" s="25" t="str">
        <f>IF('ASS START SYNC'!C403="SHOW",FIND(",,",'ASS START SYNC'!E403,1),"")</f>
        <v/>
      </c>
      <c r="F399" s="25" t="str">
        <f>IF('ASS START SYNC'!C403="SHOW",FIND(",,",'ASS START SYNC'!E403,E399+1),"")</f>
        <v/>
      </c>
      <c r="G399" s="23" t="str">
        <f>IF('ASS START SYNC'!C403="SHOW",LEFT('ASS START SYNC'!E403,B399),"")</f>
        <v/>
      </c>
      <c r="H399" s="24" t="str">
        <f>IF(AND('ASS START SYNC'!C403="SHOW",COUNTA('ASS START SYNC'!$E$8:'ASS START SYNC'!E402)=0),MID('ASS START SYNC'!E403,B399+1,C399-B399-1),IF(AND('ASS START SYNC'!C403="SHOW",COUNTA('ASS START SYNC'!$E$8:'ASS START SYNC'!E402)&lt;&gt;0),I398,""))</f>
        <v/>
      </c>
      <c r="I399" s="24" t="str">
        <f>IF('ASS START SYNC'!C403="SHOW",MID('ASS START SYNC'!E403,C399+1,D399-C399-1),I398)</f>
        <v/>
      </c>
      <c r="J399" s="23" t="str">
        <f>IF('ASS START SYNC'!C403="SHOW",MID('ASS START SYNC'!E403,D399+1,F399-D399+1),"")</f>
        <v/>
      </c>
      <c r="K399" s="23" t="str">
        <f>IF('ASS START SYNC'!C403="SHOW",MID('ASS START SYNC'!E403,F399+2,1000),"")</f>
        <v/>
      </c>
      <c r="M399" s="24"/>
      <c r="N399" s="26">
        <v>396</v>
      </c>
      <c r="O399" s="24" t="str">
        <f>IF('ASS END SYNC'!C403="SHOW",FIND(",",'ASS END SYNC'!E403,1),"")</f>
        <v/>
      </c>
      <c r="P399" s="24" t="str">
        <f>IF('ASS END SYNC'!C403="SHOW",FIND(",",'ASS END SYNC'!E403,O399+1),"")</f>
        <v/>
      </c>
      <c r="Q399" s="24" t="str">
        <f>IF('ASS END SYNC'!C403="SHOW",FIND(",",'ASS END SYNC'!E403,P399+1),"")</f>
        <v/>
      </c>
      <c r="R399" s="25" t="str">
        <f>IF('ASS END SYNC'!C403="SHOW",FIND(",,",'ASS END SYNC'!E403,1),"")</f>
        <v/>
      </c>
      <c r="S399" s="25" t="str">
        <f>IF('ASS END SYNC'!C403="SHOW",FIND(",,",'ASS END SYNC'!E403,R399+1),"")</f>
        <v/>
      </c>
      <c r="T399" s="23" t="str">
        <f>IF('ASS END SYNC'!C403="SHOW",LEFT('ASS END SYNC'!E403,O399),"")</f>
        <v/>
      </c>
      <c r="U399" s="24" t="str">
        <f>IF('ASS END SYNC'!C403="SHOW",MID('ASS END SYNC'!E403,O399+1,P399-O399-1),"")</f>
        <v/>
      </c>
      <c r="V399" s="24" t="str">
        <f>IF(AND('ASS END SYNC'!C403="SHOW",'ASS END SYNC'!C404="SHOW"),U400,IF(AND('ASS END SYNC'!C403="SHOW",'ASS END SYNC'!C404&lt;&gt;"SHOW"),MID('ASS END SYNC'!E403,O399+1,P399-O399-1),""))</f>
        <v/>
      </c>
      <c r="W399" s="23" t="str">
        <f>IF('ASS END SYNC'!C403="SHOW",MID('ASS END SYNC'!E403,Q399+1,S399-Q399+1),"")</f>
        <v/>
      </c>
      <c r="X399" s="23" t="str">
        <f>IF('ASS END SYNC'!C403="SHOW",MID('ASS END SYNC'!E403,S399+2,1000),"")</f>
        <v/>
      </c>
      <c r="Z399" s="24"/>
    </row>
    <row r="400" spans="1:26" x14ac:dyDescent="0.25">
      <c r="A400" s="26">
        <v>397</v>
      </c>
      <c r="B400" s="24" t="str">
        <f>IF('ASS START SYNC'!C404="SHOW",FIND(",",'ASS START SYNC'!E404,1),"")</f>
        <v/>
      </c>
      <c r="C400" s="24" t="str">
        <f>IF('ASS START SYNC'!C404="SHOW",FIND(",",'ASS START SYNC'!E404,B400+1),"")</f>
        <v/>
      </c>
      <c r="D400" s="24" t="str">
        <f>IF('ASS START SYNC'!C404="SHOW",FIND(",",'ASS START SYNC'!E404,C400+1),"")</f>
        <v/>
      </c>
      <c r="E400" s="25" t="str">
        <f>IF('ASS START SYNC'!C404="SHOW",FIND(",,",'ASS START SYNC'!E404,1),"")</f>
        <v/>
      </c>
      <c r="F400" s="25" t="str">
        <f>IF('ASS START SYNC'!C404="SHOW",FIND(",,",'ASS START SYNC'!E404,E400+1),"")</f>
        <v/>
      </c>
      <c r="G400" s="23" t="str">
        <f>IF('ASS START SYNC'!C404="SHOW",LEFT('ASS START SYNC'!E404,B400),"")</f>
        <v/>
      </c>
      <c r="H400" s="24" t="str">
        <f>IF(AND('ASS START SYNC'!C404="SHOW",COUNTA('ASS START SYNC'!$E$8:'ASS START SYNC'!E403)=0),MID('ASS START SYNC'!E404,B400+1,C400-B400-1),IF(AND('ASS START SYNC'!C404="SHOW",COUNTA('ASS START SYNC'!$E$8:'ASS START SYNC'!E403)&lt;&gt;0),I399,""))</f>
        <v/>
      </c>
      <c r="I400" s="24" t="str">
        <f>IF('ASS START SYNC'!C404="SHOW",MID('ASS START SYNC'!E404,C400+1,D400-C400-1),I399)</f>
        <v/>
      </c>
      <c r="J400" s="23" t="str">
        <f>IF('ASS START SYNC'!C404="SHOW",MID('ASS START SYNC'!E404,D400+1,F400-D400+1),"")</f>
        <v/>
      </c>
      <c r="K400" s="23" t="str">
        <f>IF('ASS START SYNC'!C404="SHOW",MID('ASS START SYNC'!E404,F400+2,1000),"")</f>
        <v/>
      </c>
      <c r="M400" s="24"/>
      <c r="N400" s="26">
        <v>397</v>
      </c>
      <c r="O400" s="24" t="str">
        <f>IF('ASS END SYNC'!C404="SHOW",FIND(",",'ASS END SYNC'!E404,1),"")</f>
        <v/>
      </c>
      <c r="P400" s="24" t="str">
        <f>IF('ASS END SYNC'!C404="SHOW",FIND(",",'ASS END SYNC'!E404,O400+1),"")</f>
        <v/>
      </c>
      <c r="Q400" s="24" t="str">
        <f>IF('ASS END SYNC'!C404="SHOW",FIND(",",'ASS END SYNC'!E404,P400+1),"")</f>
        <v/>
      </c>
      <c r="R400" s="25" t="str">
        <f>IF('ASS END SYNC'!C404="SHOW",FIND(",,",'ASS END SYNC'!E404,1),"")</f>
        <v/>
      </c>
      <c r="S400" s="25" t="str">
        <f>IF('ASS END SYNC'!C404="SHOW",FIND(",,",'ASS END SYNC'!E404,R400+1),"")</f>
        <v/>
      </c>
      <c r="T400" s="23" t="str">
        <f>IF('ASS END SYNC'!C404="SHOW",LEFT('ASS END SYNC'!E404,O400),"")</f>
        <v/>
      </c>
      <c r="U400" s="24" t="str">
        <f>IF('ASS END SYNC'!C404="SHOW",MID('ASS END SYNC'!E404,O400+1,P400-O400-1),"")</f>
        <v/>
      </c>
      <c r="V400" s="24" t="str">
        <f>IF(AND('ASS END SYNC'!C404="SHOW",'ASS END SYNC'!C405="SHOW"),U401,IF(AND('ASS END SYNC'!C404="SHOW",'ASS END SYNC'!C405&lt;&gt;"SHOW"),MID('ASS END SYNC'!E404,O400+1,P400-O400-1),""))</f>
        <v/>
      </c>
      <c r="W400" s="23" t="str">
        <f>IF('ASS END SYNC'!C404="SHOW",MID('ASS END SYNC'!E404,Q400+1,S400-Q400+1),"")</f>
        <v/>
      </c>
      <c r="X400" s="23" t="str">
        <f>IF('ASS END SYNC'!C404="SHOW",MID('ASS END SYNC'!E404,S400+2,1000),"")</f>
        <v/>
      </c>
      <c r="Z400" s="24"/>
    </row>
    <row r="401" spans="1:26" x14ac:dyDescent="0.25">
      <c r="A401" s="26">
        <v>398</v>
      </c>
      <c r="B401" s="24" t="str">
        <f>IF('ASS START SYNC'!C405="SHOW",FIND(",",'ASS START SYNC'!E405,1),"")</f>
        <v/>
      </c>
      <c r="C401" s="24" t="str">
        <f>IF('ASS START SYNC'!C405="SHOW",FIND(",",'ASS START SYNC'!E405,B401+1),"")</f>
        <v/>
      </c>
      <c r="D401" s="24" t="str">
        <f>IF('ASS START SYNC'!C405="SHOW",FIND(",",'ASS START SYNC'!E405,C401+1),"")</f>
        <v/>
      </c>
      <c r="E401" s="25" t="str">
        <f>IF('ASS START SYNC'!C405="SHOW",FIND(",,",'ASS START SYNC'!E405,1),"")</f>
        <v/>
      </c>
      <c r="F401" s="25" t="str">
        <f>IF('ASS START SYNC'!C405="SHOW",FIND(",,",'ASS START SYNC'!E405,E401+1),"")</f>
        <v/>
      </c>
      <c r="G401" s="23" t="str">
        <f>IF('ASS START SYNC'!C405="SHOW",LEFT('ASS START SYNC'!E405,B401),"")</f>
        <v/>
      </c>
      <c r="H401" s="24" t="str">
        <f>IF(AND('ASS START SYNC'!C405="SHOW",COUNTA('ASS START SYNC'!$E$8:'ASS START SYNC'!E404)=0),MID('ASS START SYNC'!E405,B401+1,C401-B401-1),IF(AND('ASS START SYNC'!C405="SHOW",COUNTA('ASS START SYNC'!$E$8:'ASS START SYNC'!E404)&lt;&gt;0),I400,""))</f>
        <v/>
      </c>
      <c r="I401" s="24" t="str">
        <f>IF('ASS START SYNC'!C405="SHOW",MID('ASS START SYNC'!E405,C401+1,D401-C401-1),I400)</f>
        <v/>
      </c>
      <c r="J401" s="23" t="str">
        <f>IF('ASS START SYNC'!C405="SHOW",MID('ASS START SYNC'!E405,D401+1,F401-D401+1),"")</f>
        <v/>
      </c>
      <c r="K401" s="23" t="str">
        <f>IF('ASS START SYNC'!C405="SHOW",MID('ASS START SYNC'!E405,F401+2,1000),"")</f>
        <v/>
      </c>
      <c r="M401" s="24"/>
      <c r="N401" s="26">
        <v>398</v>
      </c>
      <c r="O401" s="24" t="str">
        <f>IF('ASS END SYNC'!C405="SHOW",FIND(",",'ASS END SYNC'!E405,1),"")</f>
        <v/>
      </c>
      <c r="P401" s="24" t="str">
        <f>IF('ASS END SYNC'!C405="SHOW",FIND(",",'ASS END SYNC'!E405,O401+1),"")</f>
        <v/>
      </c>
      <c r="Q401" s="24" t="str">
        <f>IF('ASS END SYNC'!C405="SHOW",FIND(",",'ASS END SYNC'!E405,P401+1),"")</f>
        <v/>
      </c>
      <c r="R401" s="25" t="str">
        <f>IF('ASS END SYNC'!C405="SHOW",FIND(",,",'ASS END SYNC'!E405,1),"")</f>
        <v/>
      </c>
      <c r="S401" s="25" t="str">
        <f>IF('ASS END SYNC'!C405="SHOW",FIND(",,",'ASS END SYNC'!E405,R401+1),"")</f>
        <v/>
      </c>
      <c r="T401" s="23" t="str">
        <f>IF('ASS END SYNC'!C405="SHOW",LEFT('ASS END SYNC'!E405,O401),"")</f>
        <v/>
      </c>
      <c r="U401" s="24" t="str">
        <f>IF('ASS END SYNC'!C405="SHOW",MID('ASS END SYNC'!E405,O401+1,P401-O401-1),"")</f>
        <v/>
      </c>
      <c r="V401" s="24" t="str">
        <f>IF(AND('ASS END SYNC'!C405="SHOW",'ASS END SYNC'!C406="SHOW"),U402,IF(AND('ASS END SYNC'!C405="SHOW",'ASS END SYNC'!C406&lt;&gt;"SHOW"),MID('ASS END SYNC'!E405,O401+1,P401-O401-1),""))</f>
        <v/>
      </c>
      <c r="W401" s="23" t="str">
        <f>IF('ASS END SYNC'!C405="SHOW",MID('ASS END SYNC'!E405,Q401+1,S401-Q401+1),"")</f>
        <v/>
      </c>
      <c r="X401" s="23" t="str">
        <f>IF('ASS END SYNC'!C405="SHOW",MID('ASS END SYNC'!E405,S401+2,1000),"")</f>
        <v/>
      </c>
      <c r="Z401" s="24"/>
    </row>
    <row r="402" spans="1:26" x14ac:dyDescent="0.25">
      <c r="A402" s="26">
        <v>399</v>
      </c>
      <c r="B402" s="24" t="str">
        <f>IF('ASS START SYNC'!C406="SHOW",FIND(",",'ASS START SYNC'!E406,1),"")</f>
        <v/>
      </c>
      <c r="C402" s="24" t="str">
        <f>IF('ASS START SYNC'!C406="SHOW",FIND(",",'ASS START SYNC'!E406,B402+1),"")</f>
        <v/>
      </c>
      <c r="D402" s="24" t="str">
        <f>IF('ASS START SYNC'!C406="SHOW",FIND(",",'ASS START SYNC'!E406,C402+1),"")</f>
        <v/>
      </c>
      <c r="E402" s="25" t="str">
        <f>IF('ASS START SYNC'!C406="SHOW",FIND(",,",'ASS START SYNC'!E406,1),"")</f>
        <v/>
      </c>
      <c r="F402" s="25" t="str">
        <f>IF('ASS START SYNC'!C406="SHOW",FIND(",,",'ASS START SYNC'!E406,E402+1),"")</f>
        <v/>
      </c>
      <c r="G402" s="23" t="str">
        <f>IF('ASS START SYNC'!C406="SHOW",LEFT('ASS START SYNC'!E406,B402),"")</f>
        <v/>
      </c>
      <c r="H402" s="24" t="str">
        <f>IF(AND('ASS START SYNC'!C406="SHOW",COUNTA('ASS START SYNC'!$E$8:'ASS START SYNC'!E405)=0),MID('ASS START SYNC'!E406,B402+1,C402-B402-1),IF(AND('ASS START SYNC'!C406="SHOW",COUNTA('ASS START SYNC'!$E$8:'ASS START SYNC'!E405)&lt;&gt;0),I401,""))</f>
        <v/>
      </c>
      <c r="I402" s="24" t="str">
        <f>IF('ASS START SYNC'!C406="SHOW",MID('ASS START SYNC'!E406,C402+1,D402-C402-1),I401)</f>
        <v/>
      </c>
      <c r="J402" s="23" t="str">
        <f>IF('ASS START SYNC'!C406="SHOW",MID('ASS START SYNC'!E406,D402+1,F402-D402+1),"")</f>
        <v/>
      </c>
      <c r="K402" s="23" t="str">
        <f>IF('ASS START SYNC'!C406="SHOW",MID('ASS START SYNC'!E406,F402+2,1000),"")</f>
        <v/>
      </c>
      <c r="M402" s="24"/>
      <c r="N402" s="26">
        <v>399</v>
      </c>
      <c r="O402" s="24" t="str">
        <f>IF('ASS END SYNC'!C406="SHOW",FIND(",",'ASS END SYNC'!E406,1),"")</f>
        <v/>
      </c>
      <c r="P402" s="24" t="str">
        <f>IF('ASS END SYNC'!C406="SHOW",FIND(",",'ASS END SYNC'!E406,O402+1),"")</f>
        <v/>
      </c>
      <c r="Q402" s="24" t="str">
        <f>IF('ASS END SYNC'!C406="SHOW",FIND(",",'ASS END SYNC'!E406,P402+1),"")</f>
        <v/>
      </c>
      <c r="R402" s="25" t="str">
        <f>IF('ASS END SYNC'!C406="SHOW",FIND(",,",'ASS END SYNC'!E406,1),"")</f>
        <v/>
      </c>
      <c r="S402" s="25" t="str">
        <f>IF('ASS END SYNC'!C406="SHOW",FIND(",,",'ASS END SYNC'!E406,R402+1),"")</f>
        <v/>
      </c>
      <c r="T402" s="23" t="str">
        <f>IF('ASS END SYNC'!C406="SHOW",LEFT('ASS END SYNC'!E406,O402),"")</f>
        <v/>
      </c>
      <c r="U402" s="24" t="str">
        <f>IF('ASS END SYNC'!C406="SHOW",MID('ASS END SYNC'!E406,O402+1,P402-O402-1),"")</f>
        <v/>
      </c>
      <c r="V402" s="24" t="str">
        <f>IF(AND('ASS END SYNC'!C406="SHOW",'ASS END SYNC'!C407="SHOW"),U403,IF(AND('ASS END SYNC'!C406="SHOW",'ASS END SYNC'!C407&lt;&gt;"SHOW"),MID('ASS END SYNC'!E406,O402+1,P402-O402-1),""))</f>
        <v/>
      </c>
      <c r="W402" s="23" t="str">
        <f>IF('ASS END SYNC'!C406="SHOW",MID('ASS END SYNC'!E406,Q402+1,S402-Q402+1),"")</f>
        <v/>
      </c>
      <c r="X402" s="23" t="str">
        <f>IF('ASS END SYNC'!C406="SHOW",MID('ASS END SYNC'!E406,S402+2,1000),"")</f>
        <v/>
      </c>
      <c r="Z402" s="24"/>
    </row>
    <row r="403" spans="1:26" x14ac:dyDescent="0.25">
      <c r="A403" s="26">
        <v>400</v>
      </c>
      <c r="B403" s="24" t="str">
        <f>IF('ASS START SYNC'!C407="SHOW",FIND(",",'ASS START SYNC'!E407,1),"")</f>
        <v/>
      </c>
      <c r="C403" s="24" t="str">
        <f>IF('ASS START SYNC'!C407="SHOW",FIND(",",'ASS START SYNC'!E407,B403+1),"")</f>
        <v/>
      </c>
      <c r="D403" s="24" t="str">
        <f>IF('ASS START SYNC'!C407="SHOW",FIND(",",'ASS START SYNC'!E407,C403+1),"")</f>
        <v/>
      </c>
      <c r="E403" s="25" t="str">
        <f>IF('ASS START SYNC'!C407="SHOW",FIND(",,",'ASS START SYNC'!E407,1),"")</f>
        <v/>
      </c>
      <c r="F403" s="25" t="str">
        <f>IF('ASS START SYNC'!C407="SHOW",FIND(",,",'ASS START SYNC'!E407,E403+1),"")</f>
        <v/>
      </c>
      <c r="G403" s="23" t="str">
        <f>IF('ASS START SYNC'!C407="SHOW",LEFT('ASS START SYNC'!E407,B403),"")</f>
        <v/>
      </c>
      <c r="H403" s="24" t="str">
        <f>IF(AND('ASS START SYNC'!C407="SHOW",COUNTA('ASS START SYNC'!$E$8:'ASS START SYNC'!E406)=0),MID('ASS START SYNC'!E407,B403+1,C403-B403-1),IF(AND('ASS START SYNC'!C407="SHOW",COUNTA('ASS START SYNC'!$E$8:'ASS START SYNC'!E406)&lt;&gt;0),I402,""))</f>
        <v/>
      </c>
      <c r="I403" s="24" t="str">
        <f>IF('ASS START SYNC'!C407="SHOW",MID('ASS START SYNC'!E407,C403+1,D403-C403-1),I402)</f>
        <v/>
      </c>
      <c r="J403" s="23" t="str">
        <f>IF('ASS START SYNC'!C407="SHOW",MID('ASS START SYNC'!E407,D403+1,F403-D403+1),"")</f>
        <v/>
      </c>
      <c r="K403" s="23" t="str">
        <f>IF('ASS START SYNC'!C407="SHOW",MID('ASS START SYNC'!E407,F403+2,1000),"")</f>
        <v/>
      </c>
      <c r="M403" s="24"/>
      <c r="N403" s="26">
        <v>400</v>
      </c>
      <c r="O403" s="24" t="str">
        <f>IF('ASS END SYNC'!C407="SHOW",FIND(",",'ASS END SYNC'!E407,1),"")</f>
        <v/>
      </c>
      <c r="P403" s="24" t="str">
        <f>IF('ASS END SYNC'!C407="SHOW",FIND(",",'ASS END SYNC'!E407,O403+1),"")</f>
        <v/>
      </c>
      <c r="Q403" s="24" t="str">
        <f>IF('ASS END SYNC'!C407="SHOW",FIND(",",'ASS END SYNC'!E407,P403+1),"")</f>
        <v/>
      </c>
      <c r="R403" s="25" t="str">
        <f>IF('ASS END SYNC'!C407="SHOW",FIND(",,",'ASS END SYNC'!E407,1),"")</f>
        <v/>
      </c>
      <c r="S403" s="25" t="str">
        <f>IF('ASS END SYNC'!C407="SHOW",FIND(",,",'ASS END SYNC'!E407,R403+1),"")</f>
        <v/>
      </c>
      <c r="T403" s="23" t="str">
        <f>IF('ASS END SYNC'!C407="SHOW",LEFT('ASS END SYNC'!E407,O403),"")</f>
        <v/>
      </c>
      <c r="U403" s="24" t="str">
        <f>IF('ASS END SYNC'!C407="SHOW",MID('ASS END SYNC'!E407,O403+1,P403-O403-1),"")</f>
        <v/>
      </c>
      <c r="V403" s="24" t="str">
        <f>IF(AND('ASS END SYNC'!C407="SHOW",'ASS END SYNC'!C408="SHOW"),U404,IF(AND('ASS END SYNC'!C407="SHOW",'ASS END SYNC'!C408&lt;&gt;"SHOW"),MID('ASS END SYNC'!E407,O403+1,P403-O403-1),""))</f>
        <v/>
      </c>
      <c r="W403" s="23" t="str">
        <f>IF('ASS END SYNC'!C407="SHOW",MID('ASS END SYNC'!E407,Q403+1,S403-Q403+1),"")</f>
        <v/>
      </c>
      <c r="X403" s="23" t="str">
        <f>IF('ASS END SYNC'!C407="SHOW",MID('ASS END SYNC'!E407,S403+2,1000),"")</f>
        <v/>
      </c>
      <c r="Z403" s="24"/>
    </row>
    <row r="404" spans="1:26" x14ac:dyDescent="0.25">
      <c r="A404" s="26">
        <v>401</v>
      </c>
      <c r="B404" s="24" t="str">
        <f>IF('ASS START SYNC'!C408="SHOW",FIND(",",'ASS START SYNC'!E408,1),"")</f>
        <v/>
      </c>
      <c r="C404" s="24" t="str">
        <f>IF('ASS START SYNC'!C408="SHOW",FIND(",",'ASS START SYNC'!E408,B404+1),"")</f>
        <v/>
      </c>
      <c r="D404" s="24" t="str">
        <f>IF('ASS START SYNC'!C408="SHOW",FIND(",",'ASS START SYNC'!E408,C404+1),"")</f>
        <v/>
      </c>
      <c r="E404" s="25" t="str">
        <f>IF('ASS START SYNC'!C408="SHOW",FIND(",,",'ASS START SYNC'!E408,1),"")</f>
        <v/>
      </c>
      <c r="F404" s="25" t="str">
        <f>IF('ASS START SYNC'!C408="SHOW",FIND(",,",'ASS START SYNC'!E408,E404+1),"")</f>
        <v/>
      </c>
      <c r="G404" s="23" t="str">
        <f>IF('ASS START SYNC'!C408="SHOW",LEFT('ASS START SYNC'!E408,B404),"")</f>
        <v/>
      </c>
      <c r="H404" s="24" t="str">
        <f>IF(AND('ASS START SYNC'!C408="SHOW",COUNTA('ASS START SYNC'!$E$8:'ASS START SYNC'!E407)=0),MID('ASS START SYNC'!E408,B404+1,C404-B404-1),IF(AND('ASS START SYNC'!C408="SHOW",COUNTA('ASS START SYNC'!$E$8:'ASS START SYNC'!E407)&lt;&gt;0),I403,""))</f>
        <v/>
      </c>
      <c r="I404" s="24" t="str">
        <f>IF('ASS START SYNC'!C408="SHOW",MID('ASS START SYNC'!E408,C404+1,D404-C404-1),I403)</f>
        <v/>
      </c>
      <c r="J404" s="23" t="str">
        <f>IF('ASS START SYNC'!C408="SHOW",MID('ASS START SYNC'!E408,D404+1,F404-D404+1),"")</f>
        <v/>
      </c>
      <c r="K404" s="23" t="str">
        <f>IF('ASS START SYNC'!C408="SHOW",MID('ASS START SYNC'!E408,F404+2,1000),"")</f>
        <v/>
      </c>
      <c r="M404" s="24"/>
      <c r="N404" s="26">
        <v>401</v>
      </c>
      <c r="O404" s="24" t="str">
        <f>IF('ASS END SYNC'!C408="SHOW",FIND(",",'ASS END SYNC'!E408,1),"")</f>
        <v/>
      </c>
      <c r="P404" s="24" t="str">
        <f>IF('ASS END SYNC'!C408="SHOW",FIND(",",'ASS END SYNC'!E408,O404+1),"")</f>
        <v/>
      </c>
      <c r="Q404" s="24" t="str">
        <f>IF('ASS END SYNC'!C408="SHOW",FIND(",",'ASS END SYNC'!E408,P404+1),"")</f>
        <v/>
      </c>
      <c r="R404" s="25" t="str">
        <f>IF('ASS END SYNC'!C408="SHOW",FIND(",,",'ASS END SYNC'!E408,1),"")</f>
        <v/>
      </c>
      <c r="S404" s="25" t="str">
        <f>IF('ASS END SYNC'!C408="SHOW",FIND(",,",'ASS END SYNC'!E408,R404+1),"")</f>
        <v/>
      </c>
      <c r="T404" s="23" t="str">
        <f>IF('ASS END SYNC'!C408="SHOW",LEFT('ASS END SYNC'!E408,O404),"")</f>
        <v/>
      </c>
      <c r="U404" s="24" t="str">
        <f>IF('ASS END SYNC'!C408="SHOW",MID('ASS END SYNC'!E408,O404+1,P404-O404-1),"")</f>
        <v/>
      </c>
      <c r="V404" s="24" t="str">
        <f>IF(AND('ASS END SYNC'!C408="SHOW",'ASS END SYNC'!C409="SHOW"),U405,IF(AND('ASS END SYNC'!C408="SHOW",'ASS END SYNC'!C409&lt;&gt;"SHOW"),MID('ASS END SYNC'!E408,O404+1,P404-O404-1),""))</f>
        <v/>
      </c>
      <c r="W404" s="23" t="str">
        <f>IF('ASS END SYNC'!C408="SHOW",MID('ASS END SYNC'!E408,Q404+1,S404-Q404+1),"")</f>
        <v/>
      </c>
      <c r="X404" s="23" t="str">
        <f>IF('ASS END SYNC'!C408="SHOW",MID('ASS END SYNC'!E408,S404+2,1000),"")</f>
        <v/>
      </c>
      <c r="Z404" s="24"/>
    </row>
    <row r="405" spans="1:26" x14ac:dyDescent="0.25">
      <c r="A405" s="26">
        <v>402</v>
      </c>
      <c r="B405" s="24" t="str">
        <f>IF('ASS START SYNC'!C409="SHOW",FIND(",",'ASS START SYNC'!E409,1),"")</f>
        <v/>
      </c>
      <c r="C405" s="24" t="str">
        <f>IF('ASS START SYNC'!C409="SHOW",FIND(",",'ASS START SYNC'!E409,B405+1),"")</f>
        <v/>
      </c>
      <c r="D405" s="24" t="str">
        <f>IF('ASS START SYNC'!C409="SHOW",FIND(",",'ASS START SYNC'!E409,C405+1),"")</f>
        <v/>
      </c>
      <c r="E405" s="25" t="str">
        <f>IF('ASS START SYNC'!C409="SHOW",FIND(",,",'ASS START SYNC'!E409,1),"")</f>
        <v/>
      </c>
      <c r="F405" s="25" t="str">
        <f>IF('ASS START SYNC'!C409="SHOW",FIND(",,",'ASS START SYNC'!E409,E405+1),"")</f>
        <v/>
      </c>
      <c r="G405" s="23" t="str">
        <f>IF('ASS START SYNC'!C409="SHOW",LEFT('ASS START SYNC'!E409,B405),"")</f>
        <v/>
      </c>
      <c r="H405" s="24" t="str">
        <f>IF(AND('ASS START SYNC'!C409="SHOW",COUNTA('ASS START SYNC'!$E$8:'ASS START SYNC'!E408)=0),MID('ASS START SYNC'!E409,B405+1,C405-B405-1),IF(AND('ASS START SYNC'!C409="SHOW",COUNTA('ASS START SYNC'!$E$8:'ASS START SYNC'!E408)&lt;&gt;0),I404,""))</f>
        <v/>
      </c>
      <c r="I405" s="24" t="str">
        <f>IF('ASS START SYNC'!C409="SHOW",MID('ASS START SYNC'!E409,C405+1,D405-C405-1),I404)</f>
        <v/>
      </c>
      <c r="J405" s="23" t="str">
        <f>IF('ASS START SYNC'!C409="SHOW",MID('ASS START SYNC'!E409,D405+1,F405-D405+1),"")</f>
        <v/>
      </c>
      <c r="K405" s="23" t="str">
        <f>IF('ASS START SYNC'!C409="SHOW",MID('ASS START SYNC'!E409,F405+2,1000),"")</f>
        <v/>
      </c>
      <c r="M405" s="24"/>
      <c r="N405" s="26">
        <v>402</v>
      </c>
      <c r="O405" s="24" t="str">
        <f>IF('ASS END SYNC'!C409="SHOW",FIND(",",'ASS END SYNC'!E409,1),"")</f>
        <v/>
      </c>
      <c r="P405" s="24" t="str">
        <f>IF('ASS END SYNC'!C409="SHOW",FIND(",",'ASS END SYNC'!E409,O405+1),"")</f>
        <v/>
      </c>
      <c r="Q405" s="24" t="str">
        <f>IF('ASS END SYNC'!C409="SHOW",FIND(",",'ASS END SYNC'!E409,P405+1),"")</f>
        <v/>
      </c>
      <c r="R405" s="25" t="str">
        <f>IF('ASS END SYNC'!C409="SHOW",FIND(",,",'ASS END SYNC'!E409,1),"")</f>
        <v/>
      </c>
      <c r="S405" s="25" t="str">
        <f>IF('ASS END SYNC'!C409="SHOW",FIND(",,",'ASS END SYNC'!E409,R405+1),"")</f>
        <v/>
      </c>
      <c r="T405" s="23" t="str">
        <f>IF('ASS END SYNC'!C409="SHOW",LEFT('ASS END SYNC'!E409,O405),"")</f>
        <v/>
      </c>
      <c r="U405" s="24" t="str">
        <f>IF('ASS END SYNC'!C409="SHOW",MID('ASS END SYNC'!E409,O405+1,P405-O405-1),"")</f>
        <v/>
      </c>
      <c r="V405" s="24" t="str">
        <f>IF(AND('ASS END SYNC'!C409="SHOW",'ASS END SYNC'!C410="SHOW"),U406,IF(AND('ASS END SYNC'!C409="SHOW",'ASS END SYNC'!C410&lt;&gt;"SHOW"),MID('ASS END SYNC'!E409,O405+1,P405-O405-1),""))</f>
        <v/>
      </c>
      <c r="W405" s="23" t="str">
        <f>IF('ASS END SYNC'!C409="SHOW",MID('ASS END SYNC'!E409,Q405+1,S405-Q405+1),"")</f>
        <v/>
      </c>
      <c r="X405" s="23" t="str">
        <f>IF('ASS END SYNC'!C409="SHOW",MID('ASS END SYNC'!E409,S405+2,1000),"")</f>
        <v/>
      </c>
      <c r="Z405" s="24"/>
    </row>
    <row r="406" spans="1:26" x14ac:dyDescent="0.25">
      <c r="A406" s="26">
        <v>403</v>
      </c>
      <c r="B406" s="24" t="str">
        <f>IF('ASS START SYNC'!C410="SHOW",FIND(",",'ASS START SYNC'!E410,1),"")</f>
        <v/>
      </c>
      <c r="C406" s="24" t="str">
        <f>IF('ASS START SYNC'!C410="SHOW",FIND(",",'ASS START SYNC'!E410,B406+1),"")</f>
        <v/>
      </c>
      <c r="D406" s="24" t="str">
        <f>IF('ASS START SYNC'!C410="SHOW",FIND(",",'ASS START SYNC'!E410,C406+1),"")</f>
        <v/>
      </c>
      <c r="E406" s="25" t="str">
        <f>IF('ASS START SYNC'!C410="SHOW",FIND(",,",'ASS START SYNC'!E410,1),"")</f>
        <v/>
      </c>
      <c r="F406" s="25" t="str">
        <f>IF('ASS START SYNC'!C410="SHOW",FIND(",,",'ASS START SYNC'!E410,E406+1),"")</f>
        <v/>
      </c>
      <c r="G406" s="23" t="str">
        <f>IF('ASS START SYNC'!C410="SHOW",LEFT('ASS START SYNC'!E410,B406),"")</f>
        <v/>
      </c>
      <c r="H406" s="24" t="str">
        <f>IF(AND('ASS START SYNC'!C410="SHOW",COUNTA('ASS START SYNC'!$E$8:'ASS START SYNC'!E409)=0),MID('ASS START SYNC'!E410,B406+1,C406-B406-1),IF(AND('ASS START SYNC'!C410="SHOW",COUNTA('ASS START SYNC'!$E$8:'ASS START SYNC'!E409)&lt;&gt;0),I405,""))</f>
        <v/>
      </c>
      <c r="I406" s="24" t="str">
        <f>IF('ASS START SYNC'!C410="SHOW",MID('ASS START SYNC'!E410,C406+1,D406-C406-1),I405)</f>
        <v/>
      </c>
      <c r="J406" s="23" t="str">
        <f>IF('ASS START SYNC'!C410="SHOW",MID('ASS START SYNC'!E410,D406+1,F406-D406+1),"")</f>
        <v/>
      </c>
      <c r="K406" s="23" t="str">
        <f>IF('ASS START SYNC'!C410="SHOW",MID('ASS START SYNC'!E410,F406+2,1000),"")</f>
        <v/>
      </c>
      <c r="M406" s="24"/>
      <c r="N406" s="26">
        <v>403</v>
      </c>
      <c r="O406" s="24" t="str">
        <f>IF('ASS END SYNC'!C410="SHOW",FIND(",",'ASS END SYNC'!E410,1),"")</f>
        <v/>
      </c>
      <c r="P406" s="24" t="str">
        <f>IF('ASS END SYNC'!C410="SHOW",FIND(",",'ASS END SYNC'!E410,O406+1),"")</f>
        <v/>
      </c>
      <c r="Q406" s="24" t="str">
        <f>IF('ASS END SYNC'!C410="SHOW",FIND(",",'ASS END SYNC'!E410,P406+1),"")</f>
        <v/>
      </c>
      <c r="R406" s="25" t="str">
        <f>IF('ASS END SYNC'!C410="SHOW",FIND(",,",'ASS END SYNC'!E410,1),"")</f>
        <v/>
      </c>
      <c r="S406" s="25" t="str">
        <f>IF('ASS END SYNC'!C410="SHOW",FIND(",,",'ASS END SYNC'!E410,R406+1),"")</f>
        <v/>
      </c>
      <c r="T406" s="23" t="str">
        <f>IF('ASS END SYNC'!C410="SHOW",LEFT('ASS END SYNC'!E410,O406),"")</f>
        <v/>
      </c>
      <c r="U406" s="24" t="str">
        <f>IF('ASS END SYNC'!C410="SHOW",MID('ASS END SYNC'!E410,O406+1,P406-O406-1),"")</f>
        <v/>
      </c>
      <c r="V406" s="24" t="str">
        <f>IF(AND('ASS END SYNC'!C410="SHOW",'ASS END SYNC'!C411="SHOW"),U407,IF(AND('ASS END SYNC'!C410="SHOW",'ASS END SYNC'!C411&lt;&gt;"SHOW"),MID('ASS END SYNC'!E410,O406+1,P406-O406-1),""))</f>
        <v/>
      </c>
      <c r="W406" s="23" t="str">
        <f>IF('ASS END SYNC'!C410="SHOW",MID('ASS END SYNC'!E410,Q406+1,S406-Q406+1),"")</f>
        <v/>
      </c>
      <c r="X406" s="23" t="str">
        <f>IF('ASS END SYNC'!C410="SHOW",MID('ASS END SYNC'!E410,S406+2,1000),"")</f>
        <v/>
      </c>
      <c r="Z406" s="24"/>
    </row>
    <row r="407" spans="1:26" x14ac:dyDescent="0.25">
      <c r="A407" s="26">
        <v>404</v>
      </c>
      <c r="B407" s="24" t="str">
        <f>IF('ASS START SYNC'!C411="SHOW",FIND(",",'ASS START SYNC'!E411,1),"")</f>
        <v/>
      </c>
      <c r="C407" s="24" t="str">
        <f>IF('ASS START SYNC'!C411="SHOW",FIND(",",'ASS START SYNC'!E411,B407+1),"")</f>
        <v/>
      </c>
      <c r="D407" s="24" t="str">
        <f>IF('ASS START SYNC'!C411="SHOW",FIND(",",'ASS START SYNC'!E411,C407+1),"")</f>
        <v/>
      </c>
      <c r="E407" s="25" t="str">
        <f>IF('ASS START SYNC'!C411="SHOW",FIND(",,",'ASS START SYNC'!E411,1),"")</f>
        <v/>
      </c>
      <c r="F407" s="25" t="str">
        <f>IF('ASS START SYNC'!C411="SHOW",FIND(",,",'ASS START SYNC'!E411,E407+1),"")</f>
        <v/>
      </c>
      <c r="G407" s="23" t="str">
        <f>IF('ASS START SYNC'!C411="SHOW",LEFT('ASS START SYNC'!E411,B407),"")</f>
        <v/>
      </c>
      <c r="H407" s="24" t="str">
        <f>IF(AND('ASS START SYNC'!C411="SHOW",COUNTA('ASS START SYNC'!$E$8:'ASS START SYNC'!E410)=0),MID('ASS START SYNC'!E411,B407+1,C407-B407-1),IF(AND('ASS START SYNC'!C411="SHOW",COUNTA('ASS START SYNC'!$E$8:'ASS START SYNC'!E410)&lt;&gt;0),I406,""))</f>
        <v/>
      </c>
      <c r="I407" s="24" t="str">
        <f>IF('ASS START SYNC'!C411="SHOW",MID('ASS START SYNC'!E411,C407+1,D407-C407-1),I406)</f>
        <v/>
      </c>
      <c r="J407" s="23" t="str">
        <f>IF('ASS START SYNC'!C411="SHOW",MID('ASS START SYNC'!E411,D407+1,F407-D407+1),"")</f>
        <v/>
      </c>
      <c r="K407" s="23" t="str">
        <f>IF('ASS START SYNC'!C411="SHOW",MID('ASS START SYNC'!E411,F407+2,1000),"")</f>
        <v/>
      </c>
      <c r="M407" s="24"/>
      <c r="N407" s="26">
        <v>404</v>
      </c>
      <c r="O407" s="24" t="str">
        <f>IF('ASS END SYNC'!C411="SHOW",FIND(",",'ASS END SYNC'!E411,1),"")</f>
        <v/>
      </c>
      <c r="P407" s="24" t="str">
        <f>IF('ASS END SYNC'!C411="SHOW",FIND(",",'ASS END SYNC'!E411,O407+1),"")</f>
        <v/>
      </c>
      <c r="Q407" s="24" t="str">
        <f>IF('ASS END SYNC'!C411="SHOW",FIND(",",'ASS END SYNC'!E411,P407+1),"")</f>
        <v/>
      </c>
      <c r="R407" s="25" t="str">
        <f>IF('ASS END SYNC'!C411="SHOW",FIND(",,",'ASS END SYNC'!E411,1),"")</f>
        <v/>
      </c>
      <c r="S407" s="25" t="str">
        <f>IF('ASS END SYNC'!C411="SHOW",FIND(",,",'ASS END SYNC'!E411,R407+1),"")</f>
        <v/>
      </c>
      <c r="T407" s="23" t="str">
        <f>IF('ASS END SYNC'!C411="SHOW",LEFT('ASS END SYNC'!E411,O407),"")</f>
        <v/>
      </c>
      <c r="U407" s="24" t="str">
        <f>IF('ASS END SYNC'!C411="SHOW",MID('ASS END SYNC'!E411,O407+1,P407-O407-1),"")</f>
        <v/>
      </c>
      <c r="V407" s="24" t="str">
        <f>IF(AND('ASS END SYNC'!C411="SHOW",'ASS END SYNC'!C412="SHOW"),U408,IF(AND('ASS END SYNC'!C411="SHOW",'ASS END SYNC'!C412&lt;&gt;"SHOW"),MID('ASS END SYNC'!E411,O407+1,P407-O407-1),""))</f>
        <v/>
      </c>
      <c r="W407" s="23" t="str">
        <f>IF('ASS END SYNC'!C411="SHOW",MID('ASS END SYNC'!E411,Q407+1,S407-Q407+1),"")</f>
        <v/>
      </c>
      <c r="X407" s="23" t="str">
        <f>IF('ASS END SYNC'!C411="SHOW",MID('ASS END SYNC'!E411,S407+2,1000),"")</f>
        <v/>
      </c>
      <c r="Z407" s="24"/>
    </row>
    <row r="408" spans="1:26" x14ac:dyDescent="0.25">
      <c r="A408" s="26">
        <v>405</v>
      </c>
      <c r="B408" s="24" t="str">
        <f>IF('ASS START SYNC'!C412="SHOW",FIND(",",'ASS START SYNC'!E412,1),"")</f>
        <v/>
      </c>
      <c r="C408" s="24" t="str">
        <f>IF('ASS START SYNC'!C412="SHOW",FIND(",",'ASS START SYNC'!E412,B408+1),"")</f>
        <v/>
      </c>
      <c r="D408" s="24" t="str">
        <f>IF('ASS START SYNC'!C412="SHOW",FIND(",",'ASS START SYNC'!E412,C408+1),"")</f>
        <v/>
      </c>
      <c r="E408" s="25" t="str">
        <f>IF('ASS START SYNC'!C412="SHOW",FIND(",,",'ASS START SYNC'!E412,1),"")</f>
        <v/>
      </c>
      <c r="F408" s="25" t="str">
        <f>IF('ASS START SYNC'!C412="SHOW",FIND(",,",'ASS START SYNC'!E412,E408+1),"")</f>
        <v/>
      </c>
      <c r="G408" s="23" t="str">
        <f>IF('ASS START SYNC'!C412="SHOW",LEFT('ASS START SYNC'!E412,B408),"")</f>
        <v/>
      </c>
      <c r="H408" s="24" t="str">
        <f>IF(AND('ASS START SYNC'!C412="SHOW",COUNTA('ASS START SYNC'!$E$8:'ASS START SYNC'!E411)=0),MID('ASS START SYNC'!E412,B408+1,C408-B408-1),IF(AND('ASS START SYNC'!C412="SHOW",COUNTA('ASS START SYNC'!$E$8:'ASS START SYNC'!E411)&lt;&gt;0),I407,""))</f>
        <v/>
      </c>
      <c r="I408" s="24" t="str">
        <f>IF('ASS START SYNC'!C412="SHOW",MID('ASS START SYNC'!E412,C408+1,D408-C408-1),I407)</f>
        <v/>
      </c>
      <c r="J408" s="23" t="str">
        <f>IF('ASS START SYNC'!C412="SHOW",MID('ASS START SYNC'!E412,D408+1,F408-D408+1),"")</f>
        <v/>
      </c>
      <c r="K408" s="23" t="str">
        <f>IF('ASS START SYNC'!C412="SHOW",MID('ASS START SYNC'!E412,F408+2,1000),"")</f>
        <v/>
      </c>
      <c r="M408" s="24"/>
      <c r="N408" s="26">
        <v>405</v>
      </c>
      <c r="O408" s="24" t="str">
        <f>IF('ASS END SYNC'!C412="SHOW",FIND(",",'ASS END SYNC'!E412,1),"")</f>
        <v/>
      </c>
      <c r="P408" s="24" t="str">
        <f>IF('ASS END SYNC'!C412="SHOW",FIND(",",'ASS END SYNC'!E412,O408+1),"")</f>
        <v/>
      </c>
      <c r="Q408" s="24" t="str">
        <f>IF('ASS END SYNC'!C412="SHOW",FIND(",",'ASS END SYNC'!E412,P408+1),"")</f>
        <v/>
      </c>
      <c r="R408" s="25" t="str">
        <f>IF('ASS END SYNC'!C412="SHOW",FIND(",,",'ASS END SYNC'!E412,1),"")</f>
        <v/>
      </c>
      <c r="S408" s="25" t="str">
        <f>IF('ASS END SYNC'!C412="SHOW",FIND(",,",'ASS END SYNC'!E412,R408+1),"")</f>
        <v/>
      </c>
      <c r="T408" s="23" t="str">
        <f>IF('ASS END SYNC'!C412="SHOW",LEFT('ASS END SYNC'!E412,O408),"")</f>
        <v/>
      </c>
      <c r="U408" s="24" t="str">
        <f>IF('ASS END SYNC'!C412="SHOW",MID('ASS END SYNC'!E412,O408+1,P408-O408-1),"")</f>
        <v/>
      </c>
      <c r="V408" s="24" t="str">
        <f>IF(AND('ASS END SYNC'!C412="SHOW",'ASS END SYNC'!C413="SHOW"),U409,IF(AND('ASS END SYNC'!C412="SHOW",'ASS END SYNC'!C413&lt;&gt;"SHOW"),MID('ASS END SYNC'!E412,O408+1,P408-O408-1),""))</f>
        <v/>
      </c>
      <c r="W408" s="23" t="str">
        <f>IF('ASS END SYNC'!C412="SHOW",MID('ASS END SYNC'!E412,Q408+1,S408-Q408+1),"")</f>
        <v/>
      </c>
      <c r="X408" s="23" t="str">
        <f>IF('ASS END SYNC'!C412="SHOW",MID('ASS END SYNC'!E412,S408+2,1000),"")</f>
        <v/>
      </c>
      <c r="Z408" s="24"/>
    </row>
    <row r="409" spans="1:26" x14ac:dyDescent="0.25">
      <c r="A409" s="26">
        <v>406</v>
      </c>
      <c r="B409" s="24" t="str">
        <f>IF('ASS START SYNC'!C413="SHOW",FIND(",",'ASS START SYNC'!E413,1),"")</f>
        <v/>
      </c>
      <c r="C409" s="24" t="str">
        <f>IF('ASS START SYNC'!C413="SHOW",FIND(",",'ASS START SYNC'!E413,B409+1),"")</f>
        <v/>
      </c>
      <c r="D409" s="24" t="str">
        <f>IF('ASS START SYNC'!C413="SHOW",FIND(",",'ASS START SYNC'!E413,C409+1),"")</f>
        <v/>
      </c>
      <c r="E409" s="25" t="str">
        <f>IF('ASS START SYNC'!C413="SHOW",FIND(",,",'ASS START SYNC'!E413,1),"")</f>
        <v/>
      </c>
      <c r="F409" s="25" t="str">
        <f>IF('ASS START SYNC'!C413="SHOW",FIND(",,",'ASS START SYNC'!E413,E409+1),"")</f>
        <v/>
      </c>
      <c r="G409" s="23" t="str">
        <f>IF('ASS START SYNC'!C413="SHOW",LEFT('ASS START SYNC'!E413,B409),"")</f>
        <v/>
      </c>
      <c r="H409" s="24" t="str">
        <f>IF(AND('ASS START SYNC'!C413="SHOW",COUNTA('ASS START SYNC'!$E$8:'ASS START SYNC'!E412)=0),MID('ASS START SYNC'!E413,B409+1,C409-B409-1),IF(AND('ASS START SYNC'!C413="SHOW",COUNTA('ASS START SYNC'!$E$8:'ASS START SYNC'!E412)&lt;&gt;0),I408,""))</f>
        <v/>
      </c>
      <c r="I409" s="24" t="str">
        <f>IF('ASS START SYNC'!C413="SHOW",MID('ASS START SYNC'!E413,C409+1,D409-C409-1),I408)</f>
        <v/>
      </c>
      <c r="J409" s="23" t="str">
        <f>IF('ASS START SYNC'!C413="SHOW",MID('ASS START SYNC'!E413,D409+1,F409-D409+1),"")</f>
        <v/>
      </c>
      <c r="K409" s="23" t="str">
        <f>IF('ASS START SYNC'!C413="SHOW",MID('ASS START SYNC'!E413,F409+2,1000),"")</f>
        <v/>
      </c>
      <c r="M409" s="24"/>
      <c r="N409" s="26">
        <v>406</v>
      </c>
      <c r="O409" s="24" t="str">
        <f>IF('ASS END SYNC'!C413="SHOW",FIND(",",'ASS END SYNC'!E413,1),"")</f>
        <v/>
      </c>
      <c r="P409" s="24" t="str">
        <f>IF('ASS END SYNC'!C413="SHOW",FIND(",",'ASS END SYNC'!E413,O409+1),"")</f>
        <v/>
      </c>
      <c r="Q409" s="24" t="str">
        <f>IF('ASS END SYNC'!C413="SHOW",FIND(",",'ASS END SYNC'!E413,P409+1),"")</f>
        <v/>
      </c>
      <c r="R409" s="25" t="str">
        <f>IF('ASS END SYNC'!C413="SHOW",FIND(",,",'ASS END SYNC'!E413,1),"")</f>
        <v/>
      </c>
      <c r="S409" s="25" t="str">
        <f>IF('ASS END SYNC'!C413="SHOW",FIND(",,",'ASS END SYNC'!E413,R409+1),"")</f>
        <v/>
      </c>
      <c r="T409" s="23" t="str">
        <f>IF('ASS END SYNC'!C413="SHOW",LEFT('ASS END SYNC'!E413,O409),"")</f>
        <v/>
      </c>
      <c r="U409" s="24" t="str">
        <f>IF('ASS END SYNC'!C413="SHOW",MID('ASS END SYNC'!E413,O409+1,P409-O409-1),"")</f>
        <v/>
      </c>
      <c r="V409" s="24" t="str">
        <f>IF(AND('ASS END SYNC'!C413="SHOW",'ASS END SYNC'!C414="SHOW"),U410,IF(AND('ASS END SYNC'!C413="SHOW",'ASS END SYNC'!C414&lt;&gt;"SHOW"),MID('ASS END SYNC'!E413,O409+1,P409-O409-1),""))</f>
        <v/>
      </c>
      <c r="W409" s="23" t="str">
        <f>IF('ASS END SYNC'!C413="SHOW",MID('ASS END SYNC'!E413,Q409+1,S409-Q409+1),"")</f>
        <v/>
      </c>
      <c r="X409" s="23" t="str">
        <f>IF('ASS END SYNC'!C413="SHOW",MID('ASS END SYNC'!E413,S409+2,1000),"")</f>
        <v/>
      </c>
      <c r="Z409" s="24"/>
    </row>
    <row r="410" spans="1:26" x14ac:dyDescent="0.25">
      <c r="A410" s="26">
        <v>407</v>
      </c>
      <c r="B410" s="24" t="str">
        <f>IF('ASS START SYNC'!C414="SHOW",FIND(",",'ASS START SYNC'!E414,1),"")</f>
        <v/>
      </c>
      <c r="C410" s="24" t="str">
        <f>IF('ASS START SYNC'!C414="SHOW",FIND(",",'ASS START SYNC'!E414,B410+1),"")</f>
        <v/>
      </c>
      <c r="D410" s="24" t="str">
        <f>IF('ASS START SYNC'!C414="SHOW",FIND(",",'ASS START SYNC'!E414,C410+1),"")</f>
        <v/>
      </c>
      <c r="E410" s="25" t="str">
        <f>IF('ASS START SYNC'!C414="SHOW",FIND(",,",'ASS START SYNC'!E414,1),"")</f>
        <v/>
      </c>
      <c r="F410" s="25" t="str">
        <f>IF('ASS START SYNC'!C414="SHOW",FIND(",,",'ASS START SYNC'!E414,E410+1),"")</f>
        <v/>
      </c>
      <c r="G410" s="23" t="str">
        <f>IF('ASS START SYNC'!C414="SHOW",LEFT('ASS START SYNC'!E414,B410),"")</f>
        <v/>
      </c>
      <c r="H410" s="24" t="str">
        <f>IF(AND('ASS START SYNC'!C414="SHOW",COUNTA('ASS START SYNC'!$E$8:'ASS START SYNC'!E413)=0),MID('ASS START SYNC'!E414,B410+1,C410-B410-1),IF(AND('ASS START SYNC'!C414="SHOW",COUNTA('ASS START SYNC'!$E$8:'ASS START SYNC'!E413)&lt;&gt;0),I409,""))</f>
        <v/>
      </c>
      <c r="I410" s="24" t="str">
        <f>IF('ASS START SYNC'!C414="SHOW",MID('ASS START SYNC'!E414,C410+1,D410-C410-1),I409)</f>
        <v/>
      </c>
      <c r="J410" s="23" t="str">
        <f>IF('ASS START SYNC'!C414="SHOW",MID('ASS START SYNC'!E414,D410+1,F410-D410+1),"")</f>
        <v/>
      </c>
      <c r="K410" s="23" t="str">
        <f>IF('ASS START SYNC'!C414="SHOW",MID('ASS START SYNC'!E414,F410+2,1000),"")</f>
        <v/>
      </c>
      <c r="M410" s="24"/>
      <c r="N410" s="26">
        <v>407</v>
      </c>
      <c r="O410" s="24" t="str">
        <f>IF('ASS END SYNC'!C414="SHOW",FIND(",",'ASS END SYNC'!E414,1),"")</f>
        <v/>
      </c>
      <c r="P410" s="24" t="str">
        <f>IF('ASS END SYNC'!C414="SHOW",FIND(",",'ASS END SYNC'!E414,O410+1),"")</f>
        <v/>
      </c>
      <c r="Q410" s="24" t="str">
        <f>IF('ASS END SYNC'!C414="SHOW",FIND(",",'ASS END SYNC'!E414,P410+1),"")</f>
        <v/>
      </c>
      <c r="R410" s="25" t="str">
        <f>IF('ASS END SYNC'!C414="SHOW",FIND(",,",'ASS END SYNC'!E414,1),"")</f>
        <v/>
      </c>
      <c r="S410" s="25" t="str">
        <f>IF('ASS END SYNC'!C414="SHOW",FIND(",,",'ASS END SYNC'!E414,R410+1),"")</f>
        <v/>
      </c>
      <c r="T410" s="23" t="str">
        <f>IF('ASS END SYNC'!C414="SHOW",LEFT('ASS END SYNC'!E414,O410),"")</f>
        <v/>
      </c>
      <c r="U410" s="24" t="str">
        <f>IF('ASS END SYNC'!C414="SHOW",MID('ASS END SYNC'!E414,O410+1,P410-O410-1),"")</f>
        <v/>
      </c>
      <c r="V410" s="24" t="str">
        <f>IF(AND('ASS END SYNC'!C414="SHOW",'ASS END SYNC'!C415="SHOW"),U411,IF(AND('ASS END SYNC'!C414="SHOW",'ASS END SYNC'!C415&lt;&gt;"SHOW"),MID('ASS END SYNC'!E414,O410+1,P410-O410-1),""))</f>
        <v/>
      </c>
      <c r="W410" s="23" t="str">
        <f>IF('ASS END SYNC'!C414="SHOW",MID('ASS END SYNC'!E414,Q410+1,S410-Q410+1),"")</f>
        <v/>
      </c>
      <c r="X410" s="23" t="str">
        <f>IF('ASS END SYNC'!C414="SHOW",MID('ASS END SYNC'!E414,S410+2,1000),"")</f>
        <v/>
      </c>
      <c r="Z410" s="24"/>
    </row>
    <row r="411" spans="1:26" x14ac:dyDescent="0.25">
      <c r="A411" s="26">
        <v>408</v>
      </c>
      <c r="B411" s="24" t="str">
        <f>IF('ASS START SYNC'!C415="SHOW",FIND(",",'ASS START SYNC'!E415,1),"")</f>
        <v/>
      </c>
      <c r="C411" s="24" t="str">
        <f>IF('ASS START SYNC'!C415="SHOW",FIND(",",'ASS START SYNC'!E415,B411+1),"")</f>
        <v/>
      </c>
      <c r="D411" s="24" t="str">
        <f>IF('ASS START SYNC'!C415="SHOW",FIND(",",'ASS START SYNC'!E415,C411+1),"")</f>
        <v/>
      </c>
      <c r="E411" s="25" t="str">
        <f>IF('ASS START SYNC'!C415="SHOW",FIND(",,",'ASS START SYNC'!E415,1),"")</f>
        <v/>
      </c>
      <c r="F411" s="25" t="str">
        <f>IF('ASS START SYNC'!C415="SHOW",FIND(",,",'ASS START SYNC'!E415,E411+1),"")</f>
        <v/>
      </c>
      <c r="G411" s="23" t="str">
        <f>IF('ASS START SYNC'!C415="SHOW",LEFT('ASS START SYNC'!E415,B411),"")</f>
        <v/>
      </c>
      <c r="H411" s="24" t="str">
        <f>IF(AND('ASS START SYNC'!C415="SHOW",COUNTA('ASS START SYNC'!$E$8:'ASS START SYNC'!E414)=0),MID('ASS START SYNC'!E415,B411+1,C411-B411-1),IF(AND('ASS START SYNC'!C415="SHOW",COUNTA('ASS START SYNC'!$E$8:'ASS START SYNC'!E414)&lt;&gt;0),I410,""))</f>
        <v/>
      </c>
      <c r="I411" s="24" t="str">
        <f>IF('ASS START SYNC'!C415="SHOW",MID('ASS START SYNC'!E415,C411+1,D411-C411-1),I410)</f>
        <v/>
      </c>
      <c r="J411" s="23" t="str">
        <f>IF('ASS START SYNC'!C415="SHOW",MID('ASS START SYNC'!E415,D411+1,F411-D411+1),"")</f>
        <v/>
      </c>
      <c r="K411" s="23" t="str">
        <f>IF('ASS START SYNC'!C415="SHOW",MID('ASS START SYNC'!E415,F411+2,1000),"")</f>
        <v/>
      </c>
      <c r="M411" s="24"/>
      <c r="N411" s="26">
        <v>408</v>
      </c>
      <c r="O411" s="24" t="str">
        <f>IF('ASS END SYNC'!C415="SHOW",FIND(",",'ASS END SYNC'!E415,1),"")</f>
        <v/>
      </c>
      <c r="P411" s="24" t="str">
        <f>IF('ASS END SYNC'!C415="SHOW",FIND(",",'ASS END SYNC'!E415,O411+1),"")</f>
        <v/>
      </c>
      <c r="Q411" s="24" t="str">
        <f>IF('ASS END SYNC'!C415="SHOW",FIND(",",'ASS END SYNC'!E415,P411+1),"")</f>
        <v/>
      </c>
      <c r="R411" s="25" t="str">
        <f>IF('ASS END SYNC'!C415="SHOW",FIND(",,",'ASS END SYNC'!E415,1),"")</f>
        <v/>
      </c>
      <c r="S411" s="25" t="str">
        <f>IF('ASS END SYNC'!C415="SHOW",FIND(",,",'ASS END SYNC'!E415,R411+1),"")</f>
        <v/>
      </c>
      <c r="T411" s="23" t="str">
        <f>IF('ASS END SYNC'!C415="SHOW",LEFT('ASS END SYNC'!E415,O411),"")</f>
        <v/>
      </c>
      <c r="U411" s="24" t="str">
        <f>IF('ASS END SYNC'!C415="SHOW",MID('ASS END SYNC'!E415,O411+1,P411-O411-1),"")</f>
        <v/>
      </c>
      <c r="V411" s="24" t="str">
        <f>IF(AND('ASS END SYNC'!C415="SHOW",'ASS END SYNC'!C416="SHOW"),U412,IF(AND('ASS END SYNC'!C415="SHOW",'ASS END SYNC'!C416&lt;&gt;"SHOW"),MID('ASS END SYNC'!E415,O411+1,P411-O411-1),""))</f>
        <v/>
      </c>
      <c r="W411" s="23" t="str">
        <f>IF('ASS END SYNC'!C415="SHOW",MID('ASS END SYNC'!E415,Q411+1,S411-Q411+1),"")</f>
        <v/>
      </c>
      <c r="X411" s="23" t="str">
        <f>IF('ASS END SYNC'!C415="SHOW",MID('ASS END SYNC'!E415,S411+2,1000),"")</f>
        <v/>
      </c>
      <c r="Z411" s="24"/>
    </row>
    <row r="412" spans="1:26" x14ac:dyDescent="0.25">
      <c r="A412" s="26">
        <v>409</v>
      </c>
      <c r="B412" s="24" t="str">
        <f>IF('ASS START SYNC'!C416="SHOW",FIND(",",'ASS START SYNC'!E416,1),"")</f>
        <v/>
      </c>
      <c r="C412" s="24" t="str">
        <f>IF('ASS START SYNC'!C416="SHOW",FIND(",",'ASS START SYNC'!E416,B412+1),"")</f>
        <v/>
      </c>
      <c r="D412" s="24" t="str">
        <f>IF('ASS START SYNC'!C416="SHOW",FIND(",",'ASS START SYNC'!E416,C412+1),"")</f>
        <v/>
      </c>
      <c r="E412" s="25" t="str">
        <f>IF('ASS START SYNC'!C416="SHOW",FIND(",,",'ASS START SYNC'!E416,1),"")</f>
        <v/>
      </c>
      <c r="F412" s="25" t="str">
        <f>IF('ASS START SYNC'!C416="SHOW",FIND(",,",'ASS START SYNC'!E416,E412+1),"")</f>
        <v/>
      </c>
      <c r="G412" s="23" t="str">
        <f>IF('ASS START SYNC'!C416="SHOW",LEFT('ASS START SYNC'!E416,B412),"")</f>
        <v/>
      </c>
      <c r="H412" s="24" t="str">
        <f>IF(AND('ASS START SYNC'!C416="SHOW",COUNTA('ASS START SYNC'!$E$8:'ASS START SYNC'!E415)=0),MID('ASS START SYNC'!E416,B412+1,C412-B412-1),IF(AND('ASS START SYNC'!C416="SHOW",COUNTA('ASS START SYNC'!$E$8:'ASS START SYNC'!E415)&lt;&gt;0),I411,""))</f>
        <v/>
      </c>
      <c r="I412" s="24" t="str">
        <f>IF('ASS START SYNC'!C416="SHOW",MID('ASS START SYNC'!E416,C412+1,D412-C412-1),I411)</f>
        <v/>
      </c>
      <c r="J412" s="23" t="str">
        <f>IF('ASS START SYNC'!C416="SHOW",MID('ASS START SYNC'!E416,D412+1,F412-D412+1),"")</f>
        <v/>
      </c>
      <c r="K412" s="23" t="str">
        <f>IF('ASS START SYNC'!C416="SHOW",MID('ASS START SYNC'!E416,F412+2,1000),"")</f>
        <v/>
      </c>
      <c r="M412" s="24"/>
      <c r="N412" s="26">
        <v>409</v>
      </c>
      <c r="O412" s="24" t="str">
        <f>IF('ASS END SYNC'!C416="SHOW",FIND(",",'ASS END SYNC'!E416,1),"")</f>
        <v/>
      </c>
      <c r="P412" s="24" t="str">
        <f>IF('ASS END SYNC'!C416="SHOW",FIND(",",'ASS END SYNC'!E416,O412+1),"")</f>
        <v/>
      </c>
      <c r="Q412" s="24" t="str">
        <f>IF('ASS END SYNC'!C416="SHOW",FIND(",",'ASS END SYNC'!E416,P412+1),"")</f>
        <v/>
      </c>
      <c r="R412" s="25" t="str">
        <f>IF('ASS END SYNC'!C416="SHOW",FIND(",,",'ASS END SYNC'!E416,1),"")</f>
        <v/>
      </c>
      <c r="S412" s="25" t="str">
        <f>IF('ASS END SYNC'!C416="SHOW",FIND(",,",'ASS END SYNC'!E416,R412+1),"")</f>
        <v/>
      </c>
      <c r="T412" s="23" t="str">
        <f>IF('ASS END SYNC'!C416="SHOW",LEFT('ASS END SYNC'!E416,O412),"")</f>
        <v/>
      </c>
      <c r="U412" s="24" t="str">
        <f>IF('ASS END SYNC'!C416="SHOW",MID('ASS END SYNC'!E416,O412+1,P412-O412-1),"")</f>
        <v/>
      </c>
      <c r="V412" s="24" t="str">
        <f>IF(AND('ASS END SYNC'!C416="SHOW",'ASS END SYNC'!C417="SHOW"),U413,IF(AND('ASS END SYNC'!C416="SHOW",'ASS END SYNC'!C417&lt;&gt;"SHOW"),MID('ASS END SYNC'!E416,O412+1,P412-O412-1),""))</f>
        <v/>
      </c>
      <c r="W412" s="23" t="str">
        <f>IF('ASS END SYNC'!C416="SHOW",MID('ASS END SYNC'!E416,Q412+1,S412-Q412+1),"")</f>
        <v/>
      </c>
      <c r="X412" s="23" t="str">
        <f>IF('ASS END SYNC'!C416="SHOW",MID('ASS END SYNC'!E416,S412+2,1000),"")</f>
        <v/>
      </c>
      <c r="Z412" s="24"/>
    </row>
    <row r="413" spans="1:26" x14ac:dyDescent="0.25">
      <c r="A413" s="26">
        <v>410</v>
      </c>
      <c r="B413" s="24" t="str">
        <f>IF('ASS START SYNC'!C417="SHOW",FIND(",",'ASS START SYNC'!E417,1),"")</f>
        <v/>
      </c>
      <c r="C413" s="24" t="str">
        <f>IF('ASS START SYNC'!C417="SHOW",FIND(",",'ASS START SYNC'!E417,B413+1),"")</f>
        <v/>
      </c>
      <c r="D413" s="24" t="str">
        <f>IF('ASS START SYNC'!C417="SHOW",FIND(",",'ASS START SYNC'!E417,C413+1),"")</f>
        <v/>
      </c>
      <c r="E413" s="25" t="str">
        <f>IF('ASS START SYNC'!C417="SHOW",FIND(",,",'ASS START SYNC'!E417,1),"")</f>
        <v/>
      </c>
      <c r="F413" s="25" t="str">
        <f>IF('ASS START SYNC'!C417="SHOW",FIND(",,",'ASS START SYNC'!E417,E413+1),"")</f>
        <v/>
      </c>
      <c r="G413" s="23" t="str">
        <f>IF('ASS START SYNC'!C417="SHOW",LEFT('ASS START SYNC'!E417,B413),"")</f>
        <v/>
      </c>
      <c r="H413" s="24" t="str">
        <f>IF(AND('ASS START SYNC'!C417="SHOW",COUNTA('ASS START SYNC'!$E$8:'ASS START SYNC'!E416)=0),MID('ASS START SYNC'!E417,B413+1,C413-B413-1),IF(AND('ASS START SYNC'!C417="SHOW",COUNTA('ASS START SYNC'!$E$8:'ASS START SYNC'!E416)&lt;&gt;0),I412,""))</f>
        <v/>
      </c>
      <c r="I413" s="24" t="str">
        <f>IF('ASS START SYNC'!C417="SHOW",MID('ASS START SYNC'!E417,C413+1,D413-C413-1),I412)</f>
        <v/>
      </c>
      <c r="J413" s="23" t="str">
        <f>IF('ASS START SYNC'!C417="SHOW",MID('ASS START SYNC'!E417,D413+1,F413-D413+1),"")</f>
        <v/>
      </c>
      <c r="K413" s="23" t="str">
        <f>IF('ASS START SYNC'!C417="SHOW",MID('ASS START SYNC'!E417,F413+2,1000),"")</f>
        <v/>
      </c>
      <c r="M413" s="24"/>
      <c r="N413" s="26">
        <v>410</v>
      </c>
      <c r="O413" s="24" t="str">
        <f>IF('ASS END SYNC'!C417="SHOW",FIND(",",'ASS END SYNC'!E417,1),"")</f>
        <v/>
      </c>
      <c r="P413" s="24" t="str">
        <f>IF('ASS END SYNC'!C417="SHOW",FIND(",",'ASS END SYNC'!E417,O413+1),"")</f>
        <v/>
      </c>
      <c r="Q413" s="24" t="str">
        <f>IF('ASS END SYNC'!C417="SHOW",FIND(",",'ASS END SYNC'!E417,P413+1),"")</f>
        <v/>
      </c>
      <c r="R413" s="25" t="str">
        <f>IF('ASS END SYNC'!C417="SHOW",FIND(",,",'ASS END SYNC'!E417,1),"")</f>
        <v/>
      </c>
      <c r="S413" s="25" t="str">
        <f>IF('ASS END SYNC'!C417="SHOW",FIND(",,",'ASS END SYNC'!E417,R413+1),"")</f>
        <v/>
      </c>
      <c r="T413" s="23" t="str">
        <f>IF('ASS END SYNC'!C417="SHOW",LEFT('ASS END SYNC'!E417,O413),"")</f>
        <v/>
      </c>
      <c r="U413" s="24" t="str">
        <f>IF('ASS END SYNC'!C417="SHOW",MID('ASS END SYNC'!E417,O413+1,P413-O413-1),"")</f>
        <v/>
      </c>
      <c r="V413" s="24" t="str">
        <f>IF(AND('ASS END SYNC'!C417="SHOW",'ASS END SYNC'!C418="SHOW"),U414,IF(AND('ASS END SYNC'!C417="SHOW",'ASS END SYNC'!C418&lt;&gt;"SHOW"),MID('ASS END SYNC'!E417,O413+1,P413-O413-1),""))</f>
        <v/>
      </c>
      <c r="W413" s="23" t="str">
        <f>IF('ASS END SYNC'!C417="SHOW",MID('ASS END SYNC'!E417,Q413+1,S413-Q413+1),"")</f>
        <v/>
      </c>
      <c r="X413" s="23" t="str">
        <f>IF('ASS END SYNC'!C417="SHOW",MID('ASS END SYNC'!E417,S413+2,1000),"")</f>
        <v/>
      </c>
      <c r="Z413" s="24"/>
    </row>
    <row r="414" spans="1:26" x14ac:dyDescent="0.25">
      <c r="A414" s="26">
        <v>411</v>
      </c>
      <c r="B414" s="24" t="str">
        <f>IF('ASS START SYNC'!C418="SHOW",FIND(",",'ASS START SYNC'!E418,1),"")</f>
        <v/>
      </c>
      <c r="C414" s="24" t="str">
        <f>IF('ASS START SYNC'!C418="SHOW",FIND(",",'ASS START SYNC'!E418,B414+1),"")</f>
        <v/>
      </c>
      <c r="D414" s="24" t="str">
        <f>IF('ASS START SYNC'!C418="SHOW",FIND(",",'ASS START SYNC'!E418,C414+1),"")</f>
        <v/>
      </c>
      <c r="E414" s="25" t="str">
        <f>IF('ASS START SYNC'!C418="SHOW",FIND(",,",'ASS START SYNC'!E418,1),"")</f>
        <v/>
      </c>
      <c r="F414" s="25" t="str">
        <f>IF('ASS START SYNC'!C418="SHOW",FIND(",,",'ASS START SYNC'!E418,E414+1),"")</f>
        <v/>
      </c>
      <c r="G414" s="23" t="str">
        <f>IF('ASS START SYNC'!C418="SHOW",LEFT('ASS START SYNC'!E418,B414),"")</f>
        <v/>
      </c>
      <c r="H414" s="24" t="str">
        <f>IF(AND('ASS START SYNC'!C418="SHOW",COUNTA('ASS START SYNC'!$E$8:'ASS START SYNC'!E417)=0),MID('ASS START SYNC'!E418,B414+1,C414-B414-1),IF(AND('ASS START SYNC'!C418="SHOW",COUNTA('ASS START SYNC'!$E$8:'ASS START SYNC'!E417)&lt;&gt;0),I413,""))</f>
        <v/>
      </c>
      <c r="I414" s="24" t="str">
        <f>IF('ASS START SYNC'!C418="SHOW",MID('ASS START SYNC'!E418,C414+1,D414-C414-1),I413)</f>
        <v/>
      </c>
      <c r="J414" s="23" t="str">
        <f>IF('ASS START SYNC'!C418="SHOW",MID('ASS START SYNC'!E418,D414+1,F414-D414+1),"")</f>
        <v/>
      </c>
      <c r="K414" s="23" t="str">
        <f>IF('ASS START SYNC'!C418="SHOW",MID('ASS START SYNC'!E418,F414+2,1000),"")</f>
        <v/>
      </c>
      <c r="M414" s="24"/>
      <c r="N414" s="26">
        <v>411</v>
      </c>
      <c r="O414" s="24" t="str">
        <f>IF('ASS END SYNC'!C418="SHOW",FIND(",",'ASS END SYNC'!E418,1),"")</f>
        <v/>
      </c>
      <c r="P414" s="24" t="str">
        <f>IF('ASS END SYNC'!C418="SHOW",FIND(",",'ASS END SYNC'!E418,O414+1),"")</f>
        <v/>
      </c>
      <c r="Q414" s="24" t="str">
        <f>IF('ASS END SYNC'!C418="SHOW",FIND(",",'ASS END SYNC'!E418,P414+1),"")</f>
        <v/>
      </c>
      <c r="R414" s="25" t="str">
        <f>IF('ASS END SYNC'!C418="SHOW",FIND(",,",'ASS END SYNC'!E418,1),"")</f>
        <v/>
      </c>
      <c r="S414" s="25" t="str">
        <f>IF('ASS END SYNC'!C418="SHOW",FIND(",,",'ASS END SYNC'!E418,R414+1),"")</f>
        <v/>
      </c>
      <c r="T414" s="23" t="str">
        <f>IF('ASS END SYNC'!C418="SHOW",LEFT('ASS END SYNC'!E418,O414),"")</f>
        <v/>
      </c>
      <c r="U414" s="24" t="str">
        <f>IF('ASS END SYNC'!C418="SHOW",MID('ASS END SYNC'!E418,O414+1,P414-O414-1),"")</f>
        <v/>
      </c>
      <c r="V414" s="24" t="str">
        <f>IF(AND('ASS END SYNC'!C418="SHOW",'ASS END SYNC'!C419="SHOW"),U415,IF(AND('ASS END SYNC'!C418="SHOW",'ASS END SYNC'!C419&lt;&gt;"SHOW"),MID('ASS END SYNC'!E418,O414+1,P414-O414-1),""))</f>
        <v/>
      </c>
      <c r="W414" s="23" t="str">
        <f>IF('ASS END SYNC'!C418="SHOW",MID('ASS END SYNC'!E418,Q414+1,S414-Q414+1),"")</f>
        <v/>
      </c>
      <c r="X414" s="23" t="str">
        <f>IF('ASS END SYNC'!C418="SHOW",MID('ASS END SYNC'!E418,S414+2,1000),"")</f>
        <v/>
      </c>
      <c r="Z414" s="24"/>
    </row>
    <row r="415" spans="1:26" x14ac:dyDescent="0.25">
      <c r="A415" s="26">
        <v>412</v>
      </c>
      <c r="B415" s="24" t="str">
        <f>IF('ASS START SYNC'!C419="SHOW",FIND(",",'ASS START SYNC'!E419,1),"")</f>
        <v/>
      </c>
      <c r="C415" s="24" t="str">
        <f>IF('ASS START SYNC'!C419="SHOW",FIND(",",'ASS START SYNC'!E419,B415+1),"")</f>
        <v/>
      </c>
      <c r="D415" s="24" t="str">
        <f>IF('ASS START SYNC'!C419="SHOW",FIND(",",'ASS START SYNC'!E419,C415+1),"")</f>
        <v/>
      </c>
      <c r="E415" s="25" t="str">
        <f>IF('ASS START SYNC'!C419="SHOW",FIND(",,",'ASS START SYNC'!E419,1),"")</f>
        <v/>
      </c>
      <c r="F415" s="25" t="str">
        <f>IF('ASS START SYNC'!C419="SHOW",FIND(",,",'ASS START SYNC'!E419,E415+1),"")</f>
        <v/>
      </c>
      <c r="G415" s="23" t="str">
        <f>IF('ASS START SYNC'!C419="SHOW",LEFT('ASS START SYNC'!E419,B415),"")</f>
        <v/>
      </c>
      <c r="H415" s="24" t="str">
        <f>IF(AND('ASS START SYNC'!C419="SHOW",COUNTA('ASS START SYNC'!$E$8:'ASS START SYNC'!E418)=0),MID('ASS START SYNC'!E419,B415+1,C415-B415-1),IF(AND('ASS START SYNC'!C419="SHOW",COUNTA('ASS START SYNC'!$E$8:'ASS START SYNC'!E418)&lt;&gt;0),I414,""))</f>
        <v/>
      </c>
      <c r="I415" s="24" t="str">
        <f>IF('ASS START SYNC'!C419="SHOW",MID('ASS START SYNC'!E419,C415+1,D415-C415-1),I414)</f>
        <v/>
      </c>
      <c r="J415" s="23" t="str">
        <f>IF('ASS START SYNC'!C419="SHOW",MID('ASS START SYNC'!E419,D415+1,F415-D415+1),"")</f>
        <v/>
      </c>
      <c r="K415" s="23" t="str">
        <f>IF('ASS START SYNC'!C419="SHOW",MID('ASS START SYNC'!E419,F415+2,1000),"")</f>
        <v/>
      </c>
      <c r="M415" s="24"/>
      <c r="N415" s="26">
        <v>412</v>
      </c>
      <c r="O415" s="24" t="str">
        <f>IF('ASS END SYNC'!C419="SHOW",FIND(",",'ASS END SYNC'!E419,1),"")</f>
        <v/>
      </c>
      <c r="P415" s="24" t="str">
        <f>IF('ASS END SYNC'!C419="SHOW",FIND(",",'ASS END SYNC'!E419,O415+1),"")</f>
        <v/>
      </c>
      <c r="Q415" s="24" t="str">
        <f>IF('ASS END SYNC'!C419="SHOW",FIND(",",'ASS END SYNC'!E419,P415+1),"")</f>
        <v/>
      </c>
      <c r="R415" s="25" t="str">
        <f>IF('ASS END SYNC'!C419="SHOW",FIND(",,",'ASS END SYNC'!E419,1),"")</f>
        <v/>
      </c>
      <c r="S415" s="25" t="str">
        <f>IF('ASS END SYNC'!C419="SHOW",FIND(",,",'ASS END SYNC'!E419,R415+1),"")</f>
        <v/>
      </c>
      <c r="T415" s="23" t="str">
        <f>IF('ASS END SYNC'!C419="SHOW",LEFT('ASS END SYNC'!E419,O415),"")</f>
        <v/>
      </c>
      <c r="U415" s="24" t="str">
        <f>IF('ASS END SYNC'!C419="SHOW",MID('ASS END SYNC'!E419,O415+1,P415-O415-1),"")</f>
        <v/>
      </c>
      <c r="V415" s="24" t="str">
        <f>IF(AND('ASS END SYNC'!C419="SHOW",'ASS END SYNC'!C420="SHOW"),U416,IF(AND('ASS END SYNC'!C419="SHOW",'ASS END SYNC'!C420&lt;&gt;"SHOW"),MID('ASS END SYNC'!E419,O415+1,P415-O415-1),""))</f>
        <v/>
      </c>
      <c r="W415" s="23" t="str">
        <f>IF('ASS END SYNC'!C419="SHOW",MID('ASS END SYNC'!E419,Q415+1,S415-Q415+1),"")</f>
        <v/>
      </c>
      <c r="X415" s="23" t="str">
        <f>IF('ASS END SYNC'!C419="SHOW",MID('ASS END SYNC'!E419,S415+2,1000),"")</f>
        <v/>
      </c>
      <c r="Z415" s="24"/>
    </row>
    <row r="416" spans="1:26" x14ac:dyDescent="0.25">
      <c r="A416" s="26">
        <v>413</v>
      </c>
      <c r="B416" s="24" t="str">
        <f>IF('ASS START SYNC'!C420="SHOW",FIND(",",'ASS START SYNC'!E420,1),"")</f>
        <v/>
      </c>
      <c r="C416" s="24" t="str">
        <f>IF('ASS START SYNC'!C420="SHOW",FIND(",",'ASS START SYNC'!E420,B416+1),"")</f>
        <v/>
      </c>
      <c r="D416" s="24" t="str">
        <f>IF('ASS START SYNC'!C420="SHOW",FIND(",",'ASS START SYNC'!E420,C416+1),"")</f>
        <v/>
      </c>
      <c r="E416" s="25" t="str">
        <f>IF('ASS START SYNC'!C420="SHOW",FIND(",,",'ASS START SYNC'!E420,1),"")</f>
        <v/>
      </c>
      <c r="F416" s="25" t="str">
        <f>IF('ASS START SYNC'!C420="SHOW",FIND(",,",'ASS START SYNC'!E420,E416+1),"")</f>
        <v/>
      </c>
      <c r="G416" s="23" t="str">
        <f>IF('ASS START SYNC'!C420="SHOW",LEFT('ASS START SYNC'!E420,B416),"")</f>
        <v/>
      </c>
      <c r="H416" s="24" t="str">
        <f>IF(AND('ASS START SYNC'!C420="SHOW",COUNTA('ASS START SYNC'!$E$8:'ASS START SYNC'!E419)=0),MID('ASS START SYNC'!E420,B416+1,C416-B416-1),IF(AND('ASS START SYNC'!C420="SHOW",COUNTA('ASS START SYNC'!$E$8:'ASS START SYNC'!E419)&lt;&gt;0),I415,""))</f>
        <v/>
      </c>
      <c r="I416" s="24" t="str">
        <f>IF('ASS START SYNC'!C420="SHOW",MID('ASS START SYNC'!E420,C416+1,D416-C416-1),I415)</f>
        <v/>
      </c>
      <c r="J416" s="23" t="str">
        <f>IF('ASS START SYNC'!C420="SHOW",MID('ASS START SYNC'!E420,D416+1,F416-D416+1),"")</f>
        <v/>
      </c>
      <c r="K416" s="23" t="str">
        <f>IF('ASS START SYNC'!C420="SHOW",MID('ASS START SYNC'!E420,F416+2,1000),"")</f>
        <v/>
      </c>
      <c r="M416" s="24"/>
      <c r="N416" s="26">
        <v>413</v>
      </c>
      <c r="O416" s="24" t="str">
        <f>IF('ASS END SYNC'!C420="SHOW",FIND(",",'ASS END SYNC'!E420,1),"")</f>
        <v/>
      </c>
      <c r="P416" s="24" t="str">
        <f>IF('ASS END SYNC'!C420="SHOW",FIND(",",'ASS END SYNC'!E420,O416+1),"")</f>
        <v/>
      </c>
      <c r="Q416" s="24" t="str">
        <f>IF('ASS END SYNC'!C420="SHOW",FIND(",",'ASS END SYNC'!E420,P416+1),"")</f>
        <v/>
      </c>
      <c r="R416" s="25" t="str">
        <f>IF('ASS END SYNC'!C420="SHOW",FIND(",,",'ASS END SYNC'!E420,1),"")</f>
        <v/>
      </c>
      <c r="S416" s="25" t="str">
        <f>IF('ASS END SYNC'!C420="SHOW",FIND(",,",'ASS END SYNC'!E420,R416+1),"")</f>
        <v/>
      </c>
      <c r="T416" s="23" t="str">
        <f>IF('ASS END SYNC'!C420="SHOW",LEFT('ASS END SYNC'!E420,O416),"")</f>
        <v/>
      </c>
      <c r="U416" s="24" t="str">
        <f>IF('ASS END SYNC'!C420="SHOW",MID('ASS END SYNC'!E420,O416+1,P416-O416-1),"")</f>
        <v/>
      </c>
      <c r="V416" s="24" t="str">
        <f>IF(AND('ASS END SYNC'!C420="SHOW",'ASS END SYNC'!C421="SHOW"),U417,IF(AND('ASS END SYNC'!C420="SHOW",'ASS END SYNC'!C421&lt;&gt;"SHOW"),MID('ASS END SYNC'!E420,O416+1,P416-O416-1),""))</f>
        <v/>
      </c>
      <c r="W416" s="23" t="str">
        <f>IF('ASS END SYNC'!C420="SHOW",MID('ASS END SYNC'!E420,Q416+1,S416-Q416+1),"")</f>
        <v/>
      </c>
      <c r="X416" s="23" t="str">
        <f>IF('ASS END SYNC'!C420="SHOW",MID('ASS END SYNC'!E420,S416+2,1000),"")</f>
        <v/>
      </c>
      <c r="Z416" s="24"/>
    </row>
    <row r="417" spans="1:26" x14ac:dyDescent="0.25">
      <c r="A417" s="26">
        <v>414</v>
      </c>
      <c r="B417" s="24" t="str">
        <f>IF('ASS START SYNC'!C421="SHOW",FIND(",",'ASS START SYNC'!E421,1),"")</f>
        <v/>
      </c>
      <c r="C417" s="24" t="str">
        <f>IF('ASS START SYNC'!C421="SHOW",FIND(",",'ASS START SYNC'!E421,B417+1),"")</f>
        <v/>
      </c>
      <c r="D417" s="24" t="str">
        <f>IF('ASS START SYNC'!C421="SHOW",FIND(",",'ASS START SYNC'!E421,C417+1),"")</f>
        <v/>
      </c>
      <c r="E417" s="25" t="str">
        <f>IF('ASS START SYNC'!C421="SHOW",FIND(",,",'ASS START SYNC'!E421,1),"")</f>
        <v/>
      </c>
      <c r="F417" s="25" t="str">
        <f>IF('ASS START SYNC'!C421="SHOW",FIND(",,",'ASS START SYNC'!E421,E417+1),"")</f>
        <v/>
      </c>
      <c r="G417" s="23" t="str">
        <f>IF('ASS START SYNC'!C421="SHOW",LEFT('ASS START SYNC'!E421,B417),"")</f>
        <v/>
      </c>
      <c r="H417" s="24" t="str">
        <f>IF(AND('ASS START SYNC'!C421="SHOW",COUNTA('ASS START SYNC'!$E$8:'ASS START SYNC'!E420)=0),MID('ASS START SYNC'!E421,B417+1,C417-B417-1),IF(AND('ASS START SYNC'!C421="SHOW",COUNTA('ASS START SYNC'!$E$8:'ASS START SYNC'!E420)&lt;&gt;0),I416,""))</f>
        <v/>
      </c>
      <c r="I417" s="24" t="str">
        <f>IF('ASS START SYNC'!C421="SHOW",MID('ASS START SYNC'!E421,C417+1,D417-C417-1),I416)</f>
        <v/>
      </c>
      <c r="J417" s="23" t="str">
        <f>IF('ASS START SYNC'!C421="SHOW",MID('ASS START SYNC'!E421,D417+1,F417-D417+1),"")</f>
        <v/>
      </c>
      <c r="K417" s="23" t="str">
        <f>IF('ASS START SYNC'!C421="SHOW",MID('ASS START SYNC'!E421,F417+2,1000),"")</f>
        <v/>
      </c>
      <c r="M417" s="24"/>
      <c r="N417" s="26">
        <v>414</v>
      </c>
      <c r="O417" s="24" t="str">
        <f>IF('ASS END SYNC'!C421="SHOW",FIND(",",'ASS END SYNC'!E421,1),"")</f>
        <v/>
      </c>
      <c r="P417" s="24" t="str">
        <f>IF('ASS END SYNC'!C421="SHOW",FIND(",",'ASS END SYNC'!E421,O417+1),"")</f>
        <v/>
      </c>
      <c r="Q417" s="24" t="str">
        <f>IF('ASS END SYNC'!C421="SHOW",FIND(",",'ASS END SYNC'!E421,P417+1),"")</f>
        <v/>
      </c>
      <c r="R417" s="25" t="str">
        <f>IF('ASS END SYNC'!C421="SHOW",FIND(",,",'ASS END SYNC'!E421,1),"")</f>
        <v/>
      </c>
      <c r="S417" s="25" t="str">
        <f>IF('ASS END SYNC'!C421="SHOW",FIND(",,",'ASS END SYNC'!E421,R417+1),"")</f>
        <v/>
      </c>
      <c r="T417" s="23" t="str">
        <f>IF('ASS END SYNC'!C421="SHOW",LEFT('ASS END SYNC'!E421,O417),"")</f>
        <v/>
      </c>
      <c r="U417" s="24" t="str">
        <f>IF('ASS END SYNC'!C421="SHOW",MID('ASS END SYNC'!E421,O417+1,P417-O417-1),"")</f>
        <v/>
      </c>
      <c r="V417" s="24" t="str">
        <f>IF(AND('ASS END SYNC'!C421="SHOW",'ASS END SYNC'!C422="SHOW"),U418,IF(AND('ASS END SYNC'!C421="SHOW",'ASS END SYNC'!C422&lt;&gt;"SHOW"),MID('ASS END SYNC'!E421,O417+1,P417-O417-1),""))</f>
        <v/>
      </c>
      <c r="W417" s="23" t="str">
        <f>IF('ASS END SYNC'!C421="SHOW",MID('ASS END SYNC'!E421,Q417+1,S417-Q417+1),"")</f>
        <v/>
      </c>
      <c r="X417" s="23" t="str">
        <f>IF('ASS END SYNC'!C421="SHOW",MID('ASS END SYNC'!E421,S417+2,1000),"")</f>
        <v/>
      </c>
      <c r="Z417" s="24"/>
    </row>
    <row r="418" spans="1:26" x14ac:dyDescent="0.25">
      <c r="A418" s="26">
        <v>415</v>
      </c>
      <c r="B418" s="24" t="str">
        <f>IF('ASS START SYNC'!C422="SHOW",FIND(",",'ASS START SYNC'!E422,1),"")</f>
        <v/>
      </c>
      <c r="C418" s="24" t="str">
        <f>IF('ASS START SYNC'!C422="SHOW",FIND(",",'ASS START SYNC'!E422,B418+1),"")</f>
        <v/>
      </c>
      <c r="D418" s="24" t="str">
        <f>IF('ASS START SYNC'!C422="SHOW",FIND(",",'ASS START SYNC'!E422,C418+1),"")</f>
        <v/>
      </c>
      <c r="E418" s="25" t="str">
        <f>IF('ASS START SYNC'!C422="SHOW",FIND(",,",'ASS START SYNC'!E422,1),"")</f>
        <v/>
      </c>
      <c r="F418" s="25" t="str">
        <f>IF('ASS START SYNC'!C422="SHOW",FIND(",,",'ASS START SYNC'!E422,E418+1),"")</f>
        <v/>
      </c>
      <c r="G418" s="23" t="str">
        <f>IF('ASS START SYNC'!C422="SHOW",LEFT('ASS START SYNC'!E422,B418),"")</f>
        <v/>
      </c>
      <c r="H418" s="24" t="str">
        <f>IF(AND('ASS START SYNC'!C422="SHOW",COUNTA('ASS START SYNC'!$E$8:'ASS START SYNC'!E421)=0),MID('ASS START SYNC'!E422,B418+1,C418-B418-1),IF(AND('ASS START SYNC'!C422="SHOW",COUNTA('ASS START SYNC'!$E$8:'ASS START SYNC'!E421)&lt;&gt;0),I417,""))</f>
        <v/>
      </c>
      <c r="I418" s="24" t="str">
        <f>IF('ASS START SYNC'!C422="SHOW",MID('ASS START SYNC'!E422,C418+1,D418-C418-1),I417)</f>
        <v/>
      </c>
      <c r="J418" s="23" t="str">
        <f>IF('ASS START SYNC'!C422="SHOW",MID('ASS START SYNC'!E422,D418+1,F418-D418+1),"")</f>
        <v/>
      </c>
      <c r="K418" s="23" t="str">
        <f>IF('ASS START SYNC'!C422="SHOW",MID('ASS START SYNC'!E422,F418+2,1000),"")</f>
        <v/>
      </c>
      <c r="M418" s="24"/>
      <c r="N418" s="26">
        <v>415</v>
      </c>
      <c r="O418" s="24" t="str">
        <f>IF('ASS END SYNC'!C422="SHOW",FIND(",",'ASS END SYNC'!E422,1),"")</f>
        <v/>
      </c>
      <c r="P418" s="24" t="str">
        <f>IF('ASS END SYNC'!C422="SHOW",FIND(",",'ASS END SYNC'!E422,O418+1),"")</f>
        <v/>
      </c>
      <c r="Q418" s="24" t="str">
        <f>IF('ASS END SYNC'!C422="SHOW",FIND(",",'ASS END SYNC'!E422,P418+1),"")</f>
        <v/>
      </c>
      <c r="R418" s="25" t="str">
        <f>IF('ASS END SYNC'!C422="SHOW",FIND(",,",'ASS END SYNC'!E422,1),"")</f>
        <v/>
      </c>
      <c r="S418" s="25" t="str">
        <f>IF('ASS END SYNC'!C422="SHOW",FIND(",,",'ASS END SYNC'!E422,R418+1),"")</f>
        <v/>
      </c>
      <c r="T418" s="23" t="str">
        <f>IF('ASS END SYNC'!C422="SHOW",LEFT('ASS END SYNC'!E422,O418),"")</f>
        <v/>
      </c>
      <c r="U418" s="24" t="str">
        <f>IF('ASS END SYNC'!C422="SHOW",MID('ASS END SYNC'!E422,O418+1,P418-O418-1),"")</f>
        <v/>
      </c>
      <c r="V418" s="24" t="str">
        <f>IF(AND('ASS END SYNC'!C422="SHOW",'ASS END SYNC'!C423="SHOW"),U419,IF(AND('ASS END SYNC'!C422="SHOW",'ASS END SYNC'!C423&lt;&gt;"SHOW"),MID('ASS END SYNC'!E422,O418+1,P418-O418-1),""))</f>
        <v/>
      </c>
      <c r="W418" s="23" t="str">
        <f>IF('ASS END SYNC'!C422="SHOW",MID('ASS END SYNC'!E422,Q418+1,S418-Q418+1),"")</f>
        <v/>
      </c>
      <c r="X418" s="23" t="str">
        <f>IF('ASS END SYNC'!C422="SHOW",MID('ASS END SYNC'!E422,S418+2,1000),"")</f>
        <v/>
      </c>
      <c r="Z418" s="24"/>
    </row>
    <row r="419" spans="1:26" x14ac:dyDescent="0.25">
      <c r="A419" s="26">
        <v>416</v>
      </c>
      <c r="B419" s="24" t="str">
        <f>IF('ASS START SYNC'!C423="SHOW",FIND(",",'ASS START SYNC'!E423,1),"")</f>
        <v/>
      </c>
      <c r="C419" s="24" t="str">
        <f>IF('ASS START SYNC'!C423="SHOW",FIND(",",'ASS START SYNC'!E423,B419+1),"")</f>
        <v/>
      </c>
      <c r="D419" s="24" t="str">
        <f>IF('ASS START SYNC'!C423="SHOW",FIND(",",'ASS START SYNC'!E423,C419+1),"")</f>
        <v/>
      </c>
      <c r="E419" s="25" t="str">
        <f>IF('ASS START SYNC'!C423="SHOW",FIND(",,",'ASS START SYNC'!E423,1),"")</f>
        <v/>
      </c>
      <c r="F419" s="25" t="str">
        <f>IF('ASS START SYNC'!C423="SHOW",FIND(",,",'ASS START SYNC'!E423,E419+1),"")</f>
        <v/>
      </c>
      <c r="G419" s="23" t="str">
        <f>IF('ASS START SYNC'!C423="SHOW",LEFT('ASS START SYNC'!E423,B419),"")</f>
        <v/>
      </c>
      <c r="H419" s="24" t="str">
        <f>IF(AND('ASS START SYNC'!C423="SHOW",COUNTA('ASS START SYNC'!$E$8:'ASS START SYNC'!E422)=0),MID('ASS START SYNC'!E423,B419+1,C419-B419-1),IF(AND('ASS START SYNC'!C423="SHOW",COUNTA('ASS START SYNC'!$E$8:'ASS START SYNC'!E422)&lt;&gt;0),I418,""))</f>
        <v/>
      </c>
      <c r="I419" s="24" t="str">
        <f>IF('ASS START SYNC'!C423="SHOW",MID('ASS START SYNC'!E423,C419+1,D419-C419-1),I418)</f>
        <v/>
      </c>
      <c r="J419" s="23" t="str">
        <f>IF('ASS START SYNC'!C423="SHOW",MID('ASS START SYNC'!E423,D419+1,F419-D419+1),"")</f>
        <v/>
      </c>
      <c r="K419" s="23" t="str">
        <f>IF('ASS START SYNC'!C423="SHOW",MID('ASS START SYNC'!E423,F419+2,1000),"")</f>
        <v/>
      </c>
      <c r="M419" s="24"/>
      <c r="N419" s="26">
        <v>416</v>
      </c>
      <c r="O419" s="24" t="str">
        <f>IF('ASS END SYNC'!C423="SHOW",FIND(",",'ASS END SYNC'!E423,1),"")</f>
        <v/>
      </c>
      <c r="P419" s="24" t="str">
        <f>IF('ASS END SYNC'!C423="SHOW",FIND(",",'ASS END SYNC'!E423,O419+1),"")</f>
        <v/>
      </c>
      <c r="Q419" s="24" t="str">
        <f>IF('ASS END SYNC'!C423="SHOW",FIND(",",'ASS END SYNC'!E423,P419+1),"")</f>
        <v/>
      </c>
      <c r="R419" s="25" t="str">
        <f>IF('ASS END SYNC'!C423="SHOW",FIND(",,",'ASS END SYNC'!E423,1),"")</f>
        <v/>
      </c>
      <c r="S419" s="25" t="str">
        <f>IF('ASS END SYNC'!C423="SHOW",FIND(",,",'ASS END SYNC'!E423,R419+1),"")</f>
        <v/>
      </c>
      <c r="T419" s="23" t="str">
        <f>IF('ASS END SYNC'!C423="SHOW",LEFT('ASS END SYNC'!E423,O419),"")</f>
        <v/>
      </c>
      <c r="U419" s="24" t="str">
        <f>IF('ASS END SYNC'!C423="SHOW",MID('ASS END SYNC'!E423,O419+1,P419-O419-1),"")</f>
        <v/>
      </c>
      <c r="V419" s="24" t="str">
        <f>IF(AND('ASS END SYNC'!C423="SHOW",'ASS END SYNC'!C424="SHOW"),U420,IF(AND('ASS END SYNC'!C423="SHOW",'ASS END SYNC'!C424&lt;&gt;"SHOW"),MID('ASS END SYNC'!E423,O419+1,P419-O419-1),""))</f>
        <v/>
      </c>
      <c r="W419" s="23" t="str">
        <f>IF('ASS END SYNC'!C423="SHOW",MID('ASS END SYNC'!E423,Q419+1,S419-Q419+1),"")</f>
        <v/>
      </c>
      <c r="X419" s="23" t="str">
        <f>IF('ASS END SYNC'!C423="SHOW",MID('ASS END SYNC'!E423,S419+2,1000),"")</f>
        <v/>
      </c>
      <c r="Z419" s="24"/>
    </row>
    <row r="420" spans="1:26" x14ac:dyDescent="0.25">
      <c r="A420" s="26">
        <v>417</v>
      </c>
      <c r="B420" s="24" t="str">
        <f>IF('ASS START SYNC'!C424="SHOW",FIND(",",'ASS START SYNC'!E424,1),"")</f>
        <v/>
      </c>
      <c r="C420" s="24" t="str">
        <f>IF('ASS START SYNC'!C424="SHOW",FIND(",",'ASS START SYNC'!E424,B420+1),"")</f>
        <v/>
      </c>
      <c r="D420" s="24" t="str">
        <f>IF('ASS START SYNC'!C424="SHOW",FIND(",",'ASS START SYNC'!E424,C420+1),"")</f>
        <v/>
      </c>
      <c r="E420" s="25" t="str">
        <f>IF('ASS START SYNC'!C424="SHOW",FIND(",,",'ASS START SYNC'!E424,1),"")</f>
        <v/>
      </c>
      <c r="F420" s="25" t="str">
        <f>IF('ASS START SYNC'!C424="SHOW",FIND(",,",'ASS START SYNC'!E424,E420+1),"")</f>
        <v/>
      </c>
      <c r="G420" s="23" t="str">
        <f>IF('ASS START SYNC'!C424="SHOW",LEFT('ASS START SYNC'!E424,B420),"")</f>
        <v/>
      </c>
      <c r="H420" s="24" t="str">
        <f>IF(AND('ASS START SYNC'!C424="SHOW",COUNTA('ASS START SYNC'!$E$8:'ASS START SYNC'!E423)=0),MID('ASS START SYNC'!E424,B420+1,C420-B420-1),IF(AND('ASS START SYNC'!C424="SHOW",COUNTA('ASS START SYNC'!$E$8:'ASS START SYNC'!E423)&lt;&gt;0),I419,""))</f>
        <v/>
      </c>
      <c r="I420" s="24" t="str">
        <f>IF('ASS START SYNC'!C424="SHOW",MID('ASS START SYNC'!E424,C420+1,D420-C420-1),I419)</f>
        <v/>
      </c>
      <c r="J420" s="23" t="str">
        <f>IF('ASS START SYNC'!C424="SHOW",MID('ASS START SYNC'!E424,D420+1,F420-D420+1),"")</f>
        <v/>
      </c>
      <c r="K420" s="23" t="str">
        <f>IF('ASS START SYNC'!C424="SHOW",MID('ASS START SYNC'!E424,F420+2,1000),"")</f>
        <v/>
      </c>
      <c r="M420" s="24"/>
      <c r="N420" s="26">
        <v>417</v>
      </c>
      <c r="O420" s="24" t="str">
        <f>IF('ASS END SYNC'!C424="SHOW",FIND(",",'ASS END SYNC'!E424,1),"")</f>
        <v/>
      </c>
      <c r="P420" s="24" t="str">
        <f>IF('ASS END SYNC'!C424="SHOW",FIND(",",'ASS END SYNC'!E424,O420+1),"")</f>
        <v/>
      </c>
      <c r="Q420" s="24" t="str">
        <f>IF('ASS END SYNC'!C424="SHOW",FIND(",",'ASS END SYNC'!E424,P420+1),"")</f>
        <v/>
      </c>
      <c r="R420" s="25" t="str">
        <f>IF('ASS END SYNC'!C424="SHOW",FIND(",,",'ASS END SYNC'!E424,1),"")</f>
        <v/>
      </c>
      <c r="S420" s="25" t="str">
        <f>IF('ASS END SYNC'!C424="SHOW",FIND(",,",'ASS END SYNC'!E424,R420+1),"")</f>
        <v/>
      </c>
      <c r="T420" s="23" t="str">
        <f>IF('ASS END SYNC'!C424="SHOW",LEFT('ASS END SYNC'!E424,O420),"")</f>
        <v/>
      </c>
      <c r="U420" s="24" t="str">
        <f>IF('ASS END SYNC'!C424="SHOW",MID('ASS END SYNC'!E424,O420+1,P420-O420-1),"")</f>
        <v/>
      </c>
      <c r="V420" s="24" t="str">
        <f>IF(AND('ASS END SYNC'!C424="SHOW",'ASS END SYNC'!C425="SHOW"),U421,IF(AND('ASS END SYNC'!C424="SHOW",'ASS END SYNC'!C425&lt;&gt;"SHOW"),MID('ASS END SYNC'!E424,O420+1,P420-O420-1),""))</f>
        <v/>
      </c>
      <c r="W420" s="23" t="str">
        <f>IF('ASS END SYNC'!C424="SHOW",MID('ASS END SYNC'!E424,Q420+1,S420-Q420+1),"")</f>
        <v/>
      </c>
      <c r="X420" s="23" t="str">
        <f>IF('ASS END SYNC'!C424="SHOW",MID('ASS END SYNC'!E424,S420+2,1000),"")</f>
        <v/>
      </c>
      <c r="Z420" s="24"/>
    </row>
    <row r="421" spans="1:26" x14ac:dyDescent="0.25">
      <c r="A421" s="26">
        <v>418</v>
      </c>
      <c r="B421" s="24" t="str">
        <f>IF('ASS START SYNC'!C425="SHOW",FIND(",",'ASS START SYNC'!E425,1),"")</f>
        <v/>
      </c>
      <c r="C421" s="24" t="str">
        <f>IF('ASS START SYNC'!C425="SHOW",FIND(",",'ASS START SYNC'!E425,B421+1),"")</f>
        <v/>
      </c>
      <c r="D421" s="24" t="str">
        <f>IF('ASS START SYNC'!C425="SHOW",FIND(",",'ASS START SYNC'!E425,C421+1),"")</f>
        <v/>
      </c>
      <c r="E421" s="25" t="str">
        <f>IF('ASS START SYNC'!C425="SHOW",FIND(",,",'ASS START SYNC'!E425,1),"")</f>
        <v/>
      </c>
      <c r="F421" s="25" t="str">
        <f>IF('ASS START SYNC'!C425="SHOW",FIND(",,",'ASS START SYNC'!E425,E421+1),"")</f>
        <v/>
      </c>
      <c r="G421" s="23" t="str">
        <f>IF('ASS START SYNC'!C425="SHOW",LEFT('ASS START SYNC'!E425,B421),"")</f>
        <v/>
      </c>
      <c r="H421" s="24" t="str">
        <f>IF(AND('ASS START SYNC'!C425="SHOW",COUNTA('ASS START SYNC'!$E$8:'ASS START SYNC'!E424)=0),MID('ASS START SYNC'!E425,B421+1,C421-B421-1),IF(AND('ASS START SYNC'!C425="SHOW",COUNTA('ASS START SYNC'!$E$8:'ASS START SYNC'!E424)&lt;&gt;0),I420,""))</f>
        <v/>
      </c>
      <c r="I421" s="24" t="str">
        <f>IF('ASS START SYNC'!C425="SHOW",MID('ASS START SYNC'!E425,C421+1,D421-C421-1),I420)</f>
        <v/>
      </c>
      <c r="J421" s="23" t="str">
        <f>IF('ASS START SYNC'!C425="SHOW",MID('ASS START SYNC'!E425,D421+1,F421-D421+1),"")</f>
        <v/>
      </c>
      <c r="K421" s="23" t="str">
        <f>IF('ASS START SYNC'!C425="SHOW",MID('ASS START SYNC'!E425,F421+2,1000),"")</f>
        <v/>
      </c>
      <c r="M421" s="24"/>
      <c r="N421" s="26">
        <v>418</v>
      </c>
      <c r="O421" s="24" t="str">
        <f>IF('ASS END SYNC'!C425="SHOW",FIND(",",'ASS END SYNC'!E425,1),"")</f>
        <v/>
      </c>
      <c r="P421" s="24" t="str">
        <f>IF('ASS END SYNC'!C425="SHOW",FIND(",",'ASS END SYNC'!E425,O421+1),"")</f>
        <v/>
      </c>
      <c r="Q421" s="24" t="str">
        <f>IF('ASS END SYNC'!C425="SHOW",FIND(",",'ASS END SYNC'!E425,P421+1),"")</f>
        <v/>
      </c>
      <c r="R421" s="25" t="str">
        <f>IF('ASS END SYNC'!C425="SHOW",FIND(",,",'ASS END SYNC'!E425,1),"")</f>
        <v/>
      </c>
      <c r="S421" s="25" t="str">
        <f>IF('ASS END SYNC'!C425="SHOW",FIND(",,",'ASS END SYNC'!E425,R421+1),"")</f>
        <v/>
      </c>
      <c r="T421" s="23" t="str">
        <f>IF('ASS END SYNC'!C425="SHOW",LEFT('ASS END SYNC'!E425,O421),"")</f>
        <v/>
      </c>
      <c r="U421" s="24" t="str">
        <f>IF('ASS END SYNC'!C425="SHOW",MID('ASS END SYNC'!E425,O421+1,P421-O421-1),"")</f>
        <v/>
      </c>
      <c r="V421" s="24" t="str">
        <f>IF(AND('ASS END SYNC'!C425="SHOW",'ASS END SYNC'!C426="SHOW"),U422,IF(AND('ASS END SYNC'!C425="SHOW",'ASS END SYNC'!C426&lt;&gt;"SHOW"),MID('ASS END SYNC'!E425,O421+1,P421-O421-1),""))</f>
        <v/>
      </c>
      <c r="W421" s="23" t="str">
        <f>IF('ASS END SYNC'!C425="SHOW",MID('ASS END SYNC'!E425,Q421+1,S421-Q421+1),"")</f>
        <v/>
      </c>
      <c r="X421" s="23" t="str">
        <f>IF('ASS END SYNC'!C425="SHOW",MID('ASS END SYNC'!E425,S421+2,1000),"")</f>
        <v/>
      </c>
      <c r="Z421" s="24"/>
    </row>
    <row r="422" spans="1:26" x14ac:dyDescent="0.25">
      <c r="A422" s="26">
        <v>419</v>
      </c>
      <c r="B422" s="24" t="str">
        <f>IF('ASS START SYNC'!C426="SHOW",FIND(",",'ASS START SYNC'!E426,1),"")</f>
        <v/>
      </c>
      <c r="C422" s="24" t="str">
        <f>IF('ASS START SYNC'!C426="SHOW",FIND(",",'ASS START SYNC'!E426,B422+1),"")</f>
        <v/>
      </c>
      <c r="D422" s="24" t="str">
        <f>IF('ASS START SYNC'!C426="SHOW",FIND(",",'ASS START SYNC'!E426,C422+1),"")</f>
        <v/>
      </c>
      <c r="E422" s="25" t="str">
        <f>IF('ASS START SYNC'!C426="SHOW",FIND(",,",'ASS START SYNC'!E426,1),"")</f>
        <v/>
      </c>
      <c r="F422" s="25" t="str">
        <f>IF('ASS START SYNC'!C426="SHOW",FIND(",,",'ASS START SYNC'!E426,E422+1),"")</f>
        <v/>
      </c>
      <c r="G422" s="23" t="str">
        <f>IF('ASS START SYNC'!C426="SHOW",LEFT('ASS START SYNC'!E426,B422),"")</f>
        <v/>
      </c>
      <c r="H422" s="24" t="str">
        <f>IF(AND('ASS START SYNC'!C426="SHOW",COUNTA('ASS START SYNC'!$E$8:'ASS START SYNC'!E425)=0),MID('ASS START SYNC'!E426,B422+1,C422-B422-1),IF(AND('ASS START SYNC'!C426="SHOW",COUNTA('ASS START SYNC'!$E$8:'ASS START SYNC'!E425)&lt;&gt;0),I421,""))</f>
        <v/>
      </c>
      <c r="I422" s="24" t="str">
        <f>IF('ASS START SYNC'!C426="SHOW",MID('ASS START SYNC'!E426,C422+1,D422-C422-1),I421)</f>
        <v/>
      </c>
      <c r="J422" s="23" t="str">
        <f>IF('ASS START SYNC'!C426="SHOW",MID('ASS START SYNC'!E426,D422+1,F422-D422+1),"")</f>
        <v/>
      </c>
      <c r="K422" s="23" t="str">
        <f>IF('ASS START SYNC'!C426="SHOW",MID('ASS START SYNC'!E426,F422+2,1000),"")</f>
        <v/>
      </c>
      <c r="M422" s="24"/>
      <c r="N422" s="26">
        <v>419</v>
      </c>
      <c r="O422" s="24" t="str">
        <f>IF('ASS END SYNC'!C426="SHOW",FIND(",",'ASS END SYNC'!E426,1),"")</f>
        <v/>
      </c>
      <c r="P422" s="24" t="str">
        <f>IF('ASS END SYNC'!C426="SHOW",FIND(",",'ASS END SYNC'!E426,O422+1),"")</f>
        <v/>
      </c>
      <c r="Q422" s="24" t="str">
        <f>IF('ASS END SYNC'!C426="SHOW",FIND(",",'ASS END SYNC'!E426,P422+1),"")</f>
        <v/>
      </c>
      <c r="R422" s="25" t="str">
        <f>IF('ASS END SYNC'!C426="SHOW",FIND(",,",'ASS END SYNC'!E426,1),"")</f>
        <v/>
      </c>
      <c r="S422" s="25" t="str">
        <f>IF('ASS END SYNC'!C426="SHOW",FIND(",,",'ASS END SYNC'!E426,R422+1),"")</f>
        <v/>
      </c>
      <c r="T422" s="23" t="str">
        <f>IF('ASS END SYNC'!C426="SHOW",LEFT('ASS END SYNC'!E426,O422),"")</f>
        <v/>
      </c>
      <c r="U422" s="24" t="str">
        <f>IF('ASS END SYNC'!C426="SHOW",MID('ASS END SYNC'!E426,O422+1,P422-O422-1),"")</f>
        <v/>
      </c>
      <c r="V422" s="24" t="str">
        <f>IF(AND('ASS END SYNC'!C426="SHOW",'ASS END SYNC'!C427="SHOW"),U423,IF(AND('ASS END SYNC'!C426="SHOW",'ASS END SYNC'!C427&lt;&gt;"SHOW"),MID('ASS END SYNC'!E426,O422+1,P422-O422-1),""))</f>
        <v/>
      </c>
      <c r="W422" s="23" t="str">
        <f>IF('ASS END SYNC'!C426="SHOW",MID('ASS END SYNC'!E426,Q422+1,S422-Q422+1),"")</f>
        <v/>
      </c>
      <c r="X422" s="23" t="str">
        <f>IF('ASS END SYNC'!C426="SHOW",MID('ASS END SYNC'!E426,S422+2,1000),"")</f>
        <v/>
      </c>
      <c r="Z422" s="24"/>
    </row>
    <row r="423" spans="1:26" x14ac:dyDescent="0.25">
      <c r="A423" s="26">
        <v>420</v>
      </c>
      <c r="B423" s="24" t="str">
        <f>IF('ASS START SYNC'!C427="SHOW",FIND(",",'ASS START SYNC'!E427,1),"")</f>
        <v/>
      </c>
      <c r="C423" s="24" t="str">
        <f>IF('ASS START SYNC'!C427="SHOW",FIND(",",'ASS START SYNC'!E427,B423+1),"")</f>
        <v/>
      </c>
      <c r="D423" s="24" t="str">
        <f>IF('ASS START SYNC'!C427="SHOW",FIND(",",'ASS START SYNC'!E427,C423+1),"")</f>
        <v/>
      </c>
      <c r="E423" s="25" t="str">
        <f>IF('ASS START SYNC'!C427="SHOW",FIND(",,",'ASS START SYNC'!E427,1),"")</f>
        <v/>
      </c>
      <c r="F423" s="25" t="str">
        <f>IF('ASS START SYNC'!C427="SHOW",FIND(",,",'ASS START SYNC'!E427,E423+1),"")</f>
        <v/>
      </c>
      <c r="G423" s="23" t="str">
        <f>IF('ASS START SYNC'!C427="SHOW",LEFT('ASS START SYNC'!E427,B423),"")</f>
        <v/>
      </c>
      <c r="H423" s="24" t="str">
        <f>IF(AND('ASS START SYNC'!C427="SHOW",COUNTA('ASS START SYNC'!$E$8:'ASS START SYNC'!E426)=0),MID('ASS START SYNC'!E427,B423+1,C423-B423-1),IF(AND('ASS START SYNC'!C427="SHOW",COUNTA('ASS START SYNC'!$E$8:'ASS START SYNC'!E426)&lt;&gt;0),I422,""))</f>
        <v/>
      </c>
      <c r="I423" s="24" t="str">
        <f>IF('ASS START SYNC'!C427="SHOW",MID('ASS START SYNC'!E427,C423+1,D423-C423-1),I422)</f>
        <v/>
      </c>
      <c r="J423" s="23" t="str">
        <f>IF('ASS START SYNC'!C427="SHOW",MID('ASS START SYNC'!E427,D423+1,F423-D423+1),"")</f>
        <v/>
      </c>
      <c r="K423" s="23" t="str">
        <f>IF('ASS START SYNC'!C427="SHOW",MID('ASS START SYNC'!E427,F423+2,1000),"")</f>
        <v/>
      </c>
      <c r="M423" s="24"/>
      <c r="N423" s="26">
        <v>420</v>
      </c>
      <c r="O423" s="24" t="str">
        <f>IF('ASS END SYNC'!C427="SHOW",FIND(",",'ASS END SYNC'!E427,1),"")</f>
        <v/>
      </c>
      <c r="P423" s="24" t="str">
        <f>IF('ASS END SYNC'!C427="SHOW",FIND(",",'ASS END SYNC'!E427,O423+1),"")</f>
        <v/>
      </c>
      <c r="Q423" s="24" t="str">
        <f>IF('ASS END SYNC'!C427="SHOW",FIND(",",'ASS END SYNC'!E427,P423+1),"")</f>
        <v/>
      </c>
      <c r="R423" s="25" t="str">
        <f>IF('ASS END SYNC'!C427="SHOW",FIND(",,",'ASS END SYNC'!E427,1),"")</f>
        <v/>
      </c>
      <c r="S423" s="25" t="str">
        <f>IF('ASS END SYNC'!C427="SHOW",FIND(",,",'ASS END SYNC'!E427,R423+1),"")</f>
        <v/>
      </c>
      <c r="T423" s="23" t="str">
        <f>IF('ASS END SYNC'!C427="SHOW",LEFT('ASS END SYNC'!E427,O423),"")</f>
        <v/>
      </c>
      <c r="U423" s="24" t="str">
        <f>IF('ASS END SYNC'!C427="SHOW",MID('ASS END SYNC'!E427,O423+1,P423-O423-1),"")</f>
        <v/>
      </c>
      <c r="V423" s="24" t="str">
        <f>IF(AND('ASS END SYNC'!C427="SHOW",'ASS END SYNC'!C428="SHOW"),U424,IF(AND('ASS END SYNC'!C427="SHOW",'ASS END SYNC'!C428&lt;&gt;"SHOW"),MID('ASS END SYNC'!E427,O423+1,P423-O423-1),""))</f>
        <v/>
      </c>
      <c r="W423" s="23" t="str">
        <f>IF('ASS END SYNC'!C427="SHOW",MID('ASS END SYNC'!E427,Q423+1,S423-Q423+1),"")</f>
        <v/>
      </c>
      <c r="X423" s="23" t="str">
        <f>IF('ASS END SYNC'!C427="SHOW",MID('ASS END SYNC'!E427,S423+2,1000),"")</f>
        <v/>
      </c>
      <c r="Z423" s="24"/>
    </row>
    <row r="424" spans="1:26" x14ac:dyDescent="0.25">
      <c r="A424" s="26">
        <v>421</v>
      </c>
      <c r="B424" s="24" t="str">
        <f>IF('ASS START SYNC'!C428="SHOW",FIND(",",'ASS START SYNC'!E428,1),"")</f>
        <v/>
      </c>
      <c r="C424" s="24" t="str">
        <f>IF('ASS START SYNC'!C428="SHOW",FIND(",",'ASS START SYNC'!E428,B424+1),"")</f>
        <v/>
      </c>
      <c r="D424" s="24" t="str">
        <f>IF('ASS START SYNC'!C428="SHOW",FIND(",",'ASS START SYNC'!E428,C424+1),"")</f>
        <v/>
      </c>
      <c r="E424" s="25" t="str">
        <f>IF('ASS START SYNC'!C428="SHOW",FIND(",,",'ASS START SYNC'!E428,1),"")</f>
        <v/>
      </c>
      <c r="F424" s="25" t="str">
        <f>IF('ASS START SYNC'!C428="SHOW",FIND(",,",'ASS START SYNC'!E428,E424+1),"")</f>
        <v/>
      </c>
      <c r="G424" s="23" t="str">
        <f>IF('ASS START SYNC'!C428="SHOW",LEFT('ASS START SYNC'!E428,B424),"")</f>
        <v/>
      </c>
      <c r="H424" s="24" t="str">
        <f>IF(AND('ASS START SYNC'!C428="SHOW",COUNTA('ASS START SYNC'!$E$8:'ASS START SYNC'!E427)=0),MID('ASS START SYNC'!E428,B424+1,C424-B424-1),IF(AND('ASS START SYNC'!C428="SHOW",COUNTA('ASS START SYNC'!$E$8:'ASS START SYNC'!E427)&lt;&gt;0),I423,""))</f>
        <v/>
      </c>
      <c r="I424" s="24" t="str">
        <f>IF('ASS START SYNC'!C428="SHOW",MID('ASS START SYNC'!E428,C424+1,D424-C424-1),I423)</f>
        <v/>
      </c>
      <c r="J424" s="23" t="str">
        <f>IF('ASS START SYNC'!C428="SHOW",MID('ASS START SYNC'!E428,D424+1,F424-D424+1),"")</f>
        <v/>
      </c>
      <c r="K424" s="23" t="str">
        <f>IF('ASS START SYNC'!C428="SHOW",MID('ASS START SYNC'!E428,F424+2,1000),"")</f>
        <v/>
      </c>
      <c r="M424" s="24"/>
      <c r="N424" s="26">
        <v>421</v>
      </c>
      <c r="O424" s="24" t="str">
        <f>IF('ASS END SYNC'!C428="SHOW",FIND(",",'ASS END SYNC'!E428,1),"")</f>
        <v/>
      </c>
      <c r="P424" s="24" t="str">
        <f>IF('ASS END SYNC'!C428="SHOW",FIND(",",'ASS END SYNC'!E428,O424+1),"")</f>
        <v/>
      </c>
      <c r="Q424" s="24" t="str">
        <f>IF('ASS END SYNC'!C428="SHOW",FIND(",",'ASS END SYNC'!E428,P424+1),"")</f>
        <v/>
      </c>
      <c r="R424" s="25" t="str">
        <f>IF('ASS END SYNC'!C428="SHOW",FIND(",,",'ASS END SYNC'!E428,1),"")</f>
        <v/>
      </c>
      <c r="S424" s="25" t="str">
        <f>IF('ASS END SYNC'!C428="SHOW",FIND(",,",'ASS END SYNC'!E428,R424+1),"")</f>
        <v/>
      </c>
      <c r="T424" s="23" t="str">
        <f>IF('ASS END SYNC'!C428="SHOW",LEFT('ASS END SYNC'!E428,O424),"")</f>
        <v/>
      </c>
      <c r="U424" s="24" t="str">
        <f>IF('ASS END SYNC'!C428="SHOW",MID('ASS END SYNC'!E428,O424+1,P424-O424-1),"")</f>
        <v/>
      </c>
      <c r="V424" s="24" t="str">
        <f>IF(AND('ASS END SYNC'!C428="SHOW",'ASS END SYNC'!C429="SHOW"),U425,IF(AND('ASS END SYNC'!C428="SHOW",'ASS END SYNC'!C429&lt;&gt;"SHOW"),MID('ASS END SYNC'!E428,O424+1,P424-O424-1),""))</f>
        <v/>
      </c>
      <c r="W424" s="23" t="str">
        <f>IF('ASS END SYNC'!C428="SHOW",MID('ASS END SYNC'!E428,Q424+1,S424-Q424+1),"")</f>
        <v/>
      </c>
      <c r="X424" s="23" t="str">
        <f>IF('ASS END SYNC'!C428="SHOW",MID('ASS END SYNC'!E428,S424+2,1000),"")</f>
        <v/>
      </c>
      <c r="Z424" s="24"/>
    </row>
    <row r="425" spans="1:26" x14ac:dyDescent="0.25">
      <c r="A425" s="26">
        <v>422</v>
      </c>
      <c r="B425" s="24" t="str">
        <f>IF('ASS START SYNC'!C429="SHOW",FIND(",",'ASS START SYNC'!E429,1),"")</f>
        <v/>
      </c>
      <c r="C425" s="24" t="str">
        <f>IF('ASS START SYNC'!C429="SHOW",FIND(",",'ASS START SYNC'!E429,B425+1),"")</f>
        <v/>
      </c>
      <c r="D425" s="24" t="str">
        <f>IF('ASS START SYNC'!C429="SHOW",FIND(",",'ASS START SYNC'!E429,C425+1),"")</f>
        <v/>
      </c>
      <c r="E425" s="25" t="str">
        <f>IF('ASS START SYNC'!C429="SHOW",FIND(",,",'ASS START SYNC'!E429,1),"")</f>
        <v/>
      </c>
      <c r="F425" s="25" t="str">
        <f>IF('ASS START SYNC'!C429="SHOW",FIND(",,",'ASS START SYNC'!E429,E425+1),"")</f>
        <v/>
      </c>
      <c r="G425" s="23" t="str">
        <f>IF('ASS START SYNC'!C429="SHOW",LEFT('ASS START SYNC'!E429,B425),"")</f>
        <v/>
      </c>
      <c r="H425" s="24" t="str">
        <f>IF(AND('ASS START SYNC'!C429="SHOW",COUNTA('ASS START SYNC'!$E$8:'ASS START SYNC'!E428)=0),MID('ASS START SYNC'!E429,B425+1,C425-B425-1),IF(AND('ASS START SYNC'!C429="SHOW",COUNTA('ASS START SYNC'!$E$8:'ASS START SYNC'!E428)&lt;&gt;0),I424,""))</f>
        <v/>
      </c>
      <c r="I425" s="24" t="str">
        <f>IF('ASS START SYNC'!C429="SHOW",MID('ASS START SYNC'!E429,C425+1,D425-C425-1),I424)</f>
        <v/>
      </c>
      <c r="J425" s="23" t="str">
        <f>IF('ASS START SYNC'!C429="SHOW",MID('ASS START SYNC'!E429,D425+1,F425-D425+1),"")</f>
        <v/>
      </c>
      <c r="K425" s="23" t="str">
        <f>IF('ASS START SYNC'!C429="SHOW",MID('ASS START SYNC'!E429,F425+2,1000),"")</f>
        <v/>
      </c>
      <c r="M425" s="24"/>
      <c r="N425" s="26">
        <v>422</v>
      </c>
      <c r="O425" s="24" t="str">
        <f>IF('ASS END SYNC'!C429="SHOW",FIND(",",'ASS END SYNC'!E429,1),"")</f>
        <v/>
      </c>
      <c r="P425" s="24" t="str">
        <f>IF('ASS END SYNC'!C429="SHOW",FIND(",",'ASS END SYNC'!E429,O425+1),"")</f>
        <v/>
      </c>
      <c r="Q425" s="24" t="str">
        <f>IF('ASS END SYNC'!C429="SHOW",FIND(",",'ASS END SYNC'!E429,P425+1),"")</f>
        <v/>
      </c>
      <c r="R425" s="25" t="str">
        <f>IF('ASS END SYNC'!C429="SHOW",FIND(",,",'ASS END SYNC'!E429,1),"")</f>
        <v/>
      </c>
      <c r="S425" s="25" t="str">
        <f>IF('ASS END SYNC'!C429="SHOW",FIND(",,",'ASS END SYNC'!E429,R425+1),"")</f>
        <v/>
      </c>
      <c r="T425" s="23" t="str">
        <f>IF('ASS END SYNC'!C429="SHOW",LEFT('ASS END SYNC'!E429,O425),"")</f>
        <v/>
      </c>
      <c r="U425" s="24" t="str">
        <f>IF('ASS END SYNC'!C429="SHOW",MID('ASS END SYNC'!E429,O425+1,P425-O425-1),"")</f>
        <v/>
      </c>
      <c r="V425" s="24" t="str">
        <f>IF(AND('ASS END SYNC'!C429="SHOW",'ASS END SYNC'!C430="SHOW"),U426,IF(AND('ASS END SYNC'!C429="SHOW",'ASS END SYNC'!C430&lt;&gt;"SHOW"),MID('ASS END SYNC'!E429,O425+1,P425-O425-1),""))</f>
        <v/>
      </c>
      <c r="W425" s="23" t="str">
        <f>IF('ASS END SYNC'!C429="SHOW",MID('ASS END SYNC'!E429,Q425+1,S425-Q425+1),"")</f>
        <v/>
      </c>
      <c r="X425" s="23" t="str">
        <f>IF('ASS END SYNC'!C429="SHOW",MID('ASS END SYNC'!E429,S425+2,1000),"")</f>
        <v/>
      </c>
      <c r="Z425" s="24"/>
    </row>
    <row r="426" spans="1:26" x14ac:dyDescent="0.25">
      <c r="A426" s="26">
        <v>423</v>
      </c>
      <c r="B426" s="24" t="str">
        <f>IF('ASS START SYNC'!C430="SHOW",FIND(",",'ASS START SYNC'!E430,1),"")</f>
        <v/>
      </c>
      <c r="C426" s="24" t="str">
        <f>IF('ASS START SYNC'!C430="SHOW",FIND(",",'ASS START SYNC'!E430,B426+1),"")</f>
        <v/>
      </c>
      <c r="D426" s="24" t="str">
        <f>IF('ASS START SYNC'!C430="SHOW",FIND(",",'ASS START SYNC'!E430,C426+1),"")</f>
        <v/>
      </c>
      <c r="E426" s="25" t="str">
        <f>IF('ASS START SYNC'!C430="SHOW",FIND(",,",'ASS START SYNC'!E430,1),"")</f>
        <v/>
      </c>
      <c r="F426" s="25" t="str">
        <f>IF('ASS START SYNC'!C430="SHOW",FIND(",,",'ASS START SYNC'!E430,E426+1),"")</f>
        <v/>
      </c>
      <c r="G426" s="23" t="str">
        <f>IF('ASS START SYNC'!C430="SHOW",LEFT('ASS START SYNC'!E430,B426),"")</f>
        <v/>
      </c>
      <c r="H426" s="24" t="str">
        <f>IF(AND('ASS START SYNC'!C430="SHOW",COUNTA('ASS START SYNC'!$E$8:'ASS START SYNC'!E429)=0),MID('ASS START SYNC'!E430,B426+1,C426-B426-1),IF(AND('ASS START SYNC'!C430="SHOW",COUNTA('ASS START SYNC'!$E$8:'ASS START SYNC'!E429)&lt;&gt;0),I425,""))</f>
        <v/>
      </c>
      <c r="I426" s="24" t="str">
        <f>IF('ASS START SYNC'!C430="SHOW",MID('ASS START SYNC'!E430,C426+1,D426-C426-1),I425)</f>
        <v/>
      </c>
      <c r="J426" s="23" t="str">
        <f>IF('ASS START SYNC'!C430="SHOW",MID('ASS START SYNC'!E430,D426+1,F426-D426+1),"")</f>
        <v/>
      </c>
      <c r="K426" s="23" t="str">
        <f>IF('ASS START SYNC'!C430="SHOW",MID('ASS START SYNC'!E430,F426+2,1000),"")</f>
        <v/>
      </c>
      <c r="M426" s="24"/>
      <c r="N426" s="26">
        <v>423</v>
      </c>
      <c r="O426" s="24" t="str">
        <f>IF('ASS END SYNC'!C430="SHOW",FIND(",",'ASS END SYNC'!E430,1),"")</f>
        <v/>
      </c>
      <c r="P426" s="24" t="str">
        <f>IF('ASS END SYNC'!C430="SHOW",FIND(",",'ASS END SYNC'!E430,O426+1),"")</f>
        <v/>
      </c>
      <c r="Q426" s="24" t="str">
        <f>IF('ASS END SYNC'!C430="SHOW",FIND(",",'ASS END SYNC'!E430,P426+1),"")</f>
        <v/>
      </c>
      <c r="R426" s="25" t="str">
        <f>IF('ASS END SYNC'!C430="SHOW",FIND(",,",'ASS END SYNC'!E430,1),"")</f>
        <v/>
      </c>
      <c r="S426" s="25" t="str">
        <f>IF('ASS END SYNC'!C430="SHOW",FIND(",,",'ASS END SYNC'!E430,R426+1),"")</f>
        <v/>
      </c>
      <c r="T426" s="23" t="str">
        <f>IF('ASS END SYNC'!C430="SHOW",LEFT('ASS END SYNC'!E430,O426),"")</f>
        <v/>
      </c>
      <c r="U426" s="24" t="str">
        <f>IF('ASS END SYNC'!C430="SHOW",MID('ASS END SYNC'!E430,O426+1,P426-O426-1),"")</f>
        <v/>
      </c>
      <c r="V426" s="24" t="str">
        <f>IF(AND('ASS END SYNC'!C430="SHOW",'ASS END SYNC'!C431="SHOW"),U427,IF(AND('ASS END SYNC'!C430="SHOW",'ASS END SYNC'!C431&lt;&gt;"SHOW"),MID('ASS END SYNC'!E430,O426+1,P426-O426-1),""))</f>
        <v/>
      </c>
      <c r="W426" s="23" t="str">
        <f>IF('ASS END SYNC'!C430="SHOW",MID('ASS END SYNC'!E430,Q426+1,S426-Q426+1),"")</f>
        <v/>
      </c>
      <c r="X426" s="23" t="str">
        <f>IF('ASS END SYNC'!C430="SHOW",MID('ASS END SYNC'!E430,S426+2,1000),"")</f>
        <v/>
      </c>
      <c r="Z426" s="24"/>
    </row>
    <row r="427" spans="1:26" x14ac:dyDescent="0.25">
      <c r="A427" s="26">
        <v>424</v>
      </c>
      <c r="B427" s="24" t="str">
        <f>IF('ASS START SYNC'!C431="SHOW",FIND(",",'ASS START SYNC'!E431,1),"")</f>
        <v/>
      </c>
      <c r="C427" s="24" t="str">
        <f>IF('ASS START SYNC'!C431="SHOW",FIND(",",'ASS START SYNC'!E431,B427+1),"")</f>
        <v/>
      </c>
      <c r="D427" s="24" t="str">
        <f>IF('ASS START SYNC'!C431="SHOW",FIND(",",'ASS START SYNC'!E431,C427+1),"")</f>
        <v/>
      </c>
      <c r="E427" s="25" t="str">
        <f>IF('ASS START SYNC'!C431="SHOW",FIND(",,",'ASS START SYNC'!E431,1),"")</f>
        <v/>
      </c>
      <c r="F427" s="25" t="str">
        <f>IF('ASS START SYNC'!C431="SHOW",FIND(",,",'ASS START SYNC'!E431,E427+1),"")</f>
        <v/>
      </c>
      <c r="G427" s="23" t="str">
        <f>IF('ASS START SYNC'!C431="SHOW",LEFT('ASS START SYNC'!E431,B427),"")</f>
        <v/>
      </c>
      <c r="H427" s="24" t="str">
        <f>IF(AND('ASS START SYNC'!C431="SHOW",COUNTA('ASS START SYNC'!$E$8:'ASS START SYNC'!E430)=0),MID('ASS START SYNC'!E431,B427+1,C427-B427-1),IF(AND('ASS START SYNC'!C431="SHOW",COUNTA('ASS START SYNC'!$E$8:'ASS START SYNC'!E430)&lt;&gt;0),I426,""))</f>
        <v/>
      </c>
      <c r="I427" s="24" t="str">
        <f>IF('ASS START SYNC'!C431="SHOW",MID('ASS START SYNC'!E431,C427+1,D427-C427-1),I426)</f>
        <v/>
      </c>
      <c r="J427" s="23" t="str">
        <f>IF('ASS START SYNC'!C431="SHOW",MID('ASS START SYNC'!E431,D427+1,F427-D427+1),"")</f>
        <v/>
      </c>
      <c r="K427" s="23" t="str">
        <f>IF('ASS START SYNC'!C431="SHOW",MID('ASS START SYNC'!E431,F427+2,1000),"")</f>
        <v/>
      </c>
      <c r="M427" s="24"/>
      <c r="N427" s="26">
        <v>424</v>
      </c>
      <c r="O427" s="24" t="str">
        <f>IF('ASS END SYNC'!C431="SHOW",FIND(",",'ASS END SYNC'!E431,1),"")</f>
        <v/>
      </c>
      <c r="P427" s="24" t="str">
        <f>IF('ASS END SYNC'!C431="SHOW",FIND(",",'ASS END SYNC'!E431,O427+1),"")</f>
        <v/>
      </c>
      <c r="Q427" s="24" t="str">
        <f>IF('ASS END SYNC'!C431="SHOW",FIND(",",'ASS END SYNC'!E431,P427+1),"")</f>
        <v/>
      </c>
      <c r="R427" s="25" t="str">
        <f>IF('ASS END SYNC'!C431="SHOW",FIND(",,",'ASS END SYNC'!E431,1),"")</f>
        <v/>
      </c>
      <c r="S427" s="25" t="str">
        <f>IF('ASS END SYNC'!C431="SHOW",FIND(",,",'ASS END SYNC'!E431,R427+1),"")</f>
        <v/>
      </c>
      <c r="T427" s="23" t="str">
        <f>IF('ASS END SYNC'!C431="SHOW",LEFT('ASS END SYNC'!E431,O427),"")</f>
        <v/>
      </c>
      <c r="U427" s="24" t="str">
        <f>IF('ASS END SYNC'!C431="SHOW",MID('ASS END SYNC'!E431,O427+1,P427-O427-1),"")</f>
        <v/>
      </c>
      <c r="V427" s="24" t="str">
        <f>IF(AND('ASS END SYNC'!C431="SHOW",'ASS END SYNC'!C432="SHOW"),U428,IF(AND('ASS END SYNC'!C431="SHOW",'ASS END SYNC'!C432&lt;&gt;"SHOW"),MID('ASS END SYNC'!E431,O427+1,P427-O427-1),""))</f>
        <v/>
      </c>
      <c r="W427" s="23" t="str">
        <f>IF('ASS END SYNC'!C431="SHOW",MID('ASS END SYNC'!E431,Q427+1,S427-Q427+1),"")</f>
        <v/>
      </c>
      <c r="X427" s="23" t="str">
        <f>IF('ASS END SYNC'!C431="SHOW",MID('ASS END SYNC'!E431,S427+2,1000),"")</f>
        <v/>
      </c>
      <c r="Z427" s="24"/>
    </row>
    <row r="428" spans="1:26" x14ac:dyDescent="0.25">
      <c r="A428" s="26">
        <v>425</v>
      </c>
      <c r="B428" s="24" t="str">
        <f>IF('ASS START SYNC'!C432="SHOW",FIND(",",'ASS START SYNC'!E432,1),"")</f>
        <v/>
      </c>
      <c r="C428" s="24" t="str">
        <f>IF('ASS START SYNC'!C432="SHOW",FIND(",",'ASS START SYNC'!E432,B428+1),"")</f>
        <v/>
      </c>
      <c r="D428" s="24" t="str">
        <f>IF('ASS START SYNC'!C432="SHOW",FIND(",",'ASS START SYNC'!E432,C428+1),"")</f>
        <v/>
      </c>
      <c r="E428" s="25" t="str">
        <f>IF('ASS START SYNC'!C432="SHOW",FIND(",,",'ASS START SYNC'!E432,1),"")</f>
        <v/>
      </c>
      <c r="F428" s="25" t="str">
        <f>IF('ASS START SYNC'!C432="SHOW",FIND(",,",'ASS START SYNC'!E432,E428+1),"")</f>
        <v/>
      </c>
      <c r="G428" s="23" t="str">
        <f>IF('ASS START SYNC'!C432="SHOW",LEFT('ASS START SYNC'!E432,B428),"")</f>
        <v/>
      </c>
      <c r="H428" s="24" t="str">
        <f>IF(AND('ASS START SYNC'!C432="SHOW",COUNTA('ASS START SYNC'!$E$8:'ASS START SYNC'!E431)=0),MID('ASS START SYNC'!E432,B428+1,C428-B428-1),IF(AND('ASS START SYNC'!C432="SHOW",COUNTA('ASS START SYNC'!$E$8:'ASS START SYNC'!E431)&lt;&gt;0),I427,""))</f>
        <v/>
      </c>
      <c r="I428" s="24" t="str">
        <f>IF('ASS START SYNC'!C432="SHOW",MID('ASS START SYNC'!E432,C428+1,D428-C428-1),I427)</f>
        <v/>
      </c>
      <c r="J428" s="23" t="str">
        <f>IF('ASS START SYNC'!C432="SHOW",MID('ASS START SYNC'!E432,D428+1,F428-D428+1),"")</f>
        <v/>
      </c>
      <c r="K428" s="23" t="str">
        <f>IF('ASS START SYNC'!C432="SHOW",MID('ASS START SYNC'!E432,F428+2,1000),"")</f>
        <v/>
      </c>
      <c r="M428" s="24"/>
      <c r="N428" s="26">
        <v>425</v>
      </c>
      <c r="O428" s="24" t="str">
        <f>IF('ASS END SYNC'!C432="SHOW",FIND(",",'ASS END SYNC'!E432,1),"")</f>
        <v/>
      </c>
      <c r="P428" s="24" t="str">
        <f>IF('ASS END SYNC'!C432="SHOW",FIND(",",'ASS END SYNC'!E432,O428+1),"")</f>
        <v/>
      </c>
      <c r="Q428" s="24" t="str">
        <f>IF('ASS END SYNC'!C432="SHOW",FIND(",",'ASS END SYNC'!E432,P428+1),"")</f>
        <v/>
      </c>
      <c r="R428" s="25" t="str">
        <f>IF('ASS END SYNC'!C432="SHOW",FIND(",,",'ASS END SYNC'!E432,1),"")</f>
        <v/>
      </c>
      <c r="S428" s="25" t="str">
        <f>IF('ASS END SYNC'!C432="SHOW",FIND(",,",'ASS END SYNC'!E432,R428+1),"")</f>
        <v/>
      </c>
      <c r="T428" s="23" t="str">
        <f>IF('ASS END SYNC'!C432="SHOW",LEFT('ASS END SYNC'!E432,O428),"")</f>
        <v/>
      </c>
      <c r="U428" s="24" t="str">
        <f>IF('ASS END SYNC'!C432="SHOW",MID('ASS END SYNC'!E432,O428+1,P428-O428-1),"")</f>
        <v/>
      </c>
      <c r="V428" s="24" t="str">
        <f>IF(AND('ASS END SYNC'!C432="SHOW",'ASS END SYNC'!C433="SHOW"),U429,IF(AND('ASS END SYNC'!C432="SHOW",'ASS END SYNC'!C433&lt;&gt;"SHOW"),MID('ASS END SYNC'!E432,O428+1,P428-O428-1),""))</f>
        <v/>
      </c>
      <c r="W428" s="23" t="str">
        <f>IF('ASS END SYNC'!C432="SHOW",MID('ASS END SYNC'!E432,Q428+1,S428-Q428+1),"")</f>
        <v/>
      </c>
      <c r="X428" s="23" t="str">
        <f>IF('ASS END SYNC'!C432="SHOW",MID('ASS END SYNC'!E432,S428+2,1000),"")</f>
        <v/>
      </c>
      <c r="Z428" s="24"/>
    </row>
    <row r="429" spans="1:26" x14ac:dyDescent="0.25">
      <c r="A429" s="26">
        <v>426</v>
      </c>
      <c r="B429" s="24" t="str">
        <f>IF('ASS START SYNC'!C433="SHOW",FIND(",",'ASS START SYNC'!E433,1),"")</f>
        <v/>
      </c>
      <c r="C429" s="24" t="str">
        <f>IF('ASS START SYNC'!C433="SHOW",FIND(",",'ASS START SYNC'!E433,B429+1),"")</f>
        <v/>
      </c>
      <c r="D429" s="24" t="str">
        <f>IF('ASS START SYNC'!C433="SHOW",FIND(",",'ASS START SYNC'!E433,C429+1),"")</f>
        <v/>
      </c>
      <c r="E429" s="25" t="str">
        <f>IF('ASS START SYNC'!C433="SHOW",FIND(",,",'ASS START SYNC'!E433,1),"")</f>
        <v/>
      </c>
      <c r="F429" s="25" t="str">
        <f>IF('ASS START SYNC'!C433="SHOW",FIND(",,",'ASS START SYNC'!E433,E429+1),"")</f>
        <v/>
      </c>
      <c r="G429" s="23" t="str">
        <f>IF('ASS START SYNC'!C433="SHOW",LEFT('ASS START SYNC'!E433,B429),"")</f>
        <v/>
      </c>
      <c r="H429" s="24" t="str">
        <f>IF(AND('ASS START SYNC'!C433="SHOW",COUNTA('ASS START SYNC'!$E$8:'ASS START SYNC'!E432)=0),MID('ASS START SYNC'!E433,B429+1,C429-B429-1),IF(AND('ASS START SYNC'!C433="SHOW",COUNTA('ASS START SYNC'!$E$8:'ASS START SYNC'!E432)&lt;&gt;0),I428,""))</f>
        <v/>
      </c>
      <c r="I429" s="24" t="str">
        <f>IF('ASS START SYNC'!C433="SHOW",MID('ASS START SYNC'!E433,C429+1,D429-C429-1),I428)</f>
        <v/>
      </c>
      <c r="J429" s="23" t="str">
        <f>IF('ASS START SYNC'!C433="SHOW",MID('ASS START SYNC'!E433,D429+1,F429-D429+1),"")</f>
        <v/>
      </c>
      <c r="K429" s="23" t="str">
        <f>IF('ASS START SYNC'!C433="SHOW",MID('ASS START SYNC'!E433,F429+2,1000),"")</f>
        <v/>
      </c>
      <c r="M429" s="24"/>
      <c r="N429" s="26">
        <v>426</v>
      </c>
      <c r="O429" s="24" t="str">
        <f>IF('ASS END SYNC'!C433="SHOW",FIND(",",'ASS END SYNC'!E433,1),"")</f>
        <v/>
      </c>
      <c r="P429" s="24" t="str">
        <f>IF('ASS END SYNC'!C433="SHOW",FIND(",",'ASS END SYNC'!E433,O429+1),"")</f>
        <v/>
      </c>
      <c r="Q429" s="24" t="str">
        <f>IF('ASS END SYNC'!C433="SHOW",FIND(",",'ASS END SYNC'!E433,P429+1),"")</f>
        <v/>
      </c>
      <c r="R429" s="25" t="str">
        <f>IF('ASS END SYNC'!C433="SHOW",FIND(",,",'ASS END SYNC'!E433,1),"")</f>
        <v/>
      </c>
      <c r="S429" s="25" t="str">
        <f>IF('ASS END SYNC'!C433="SHOW",FIND(",,",'ASS END SYNC'!E433,R429+1),"")</f>
        <v/>
      </c>
      <c r="T429" s="23" t="str">
        <f>IF('ASS END SYNC'!C433="SHOW",LEFT('ASS END SYNC'!E433,O429),"")</f>
        <v/>
      </c>
      <c r="U429" s="24" t="str">
        <f>IF('ASS END SYNC'!C433="SHOW",MID('ASS END SYNC'!E433,O429+1,P429-O429-1),"")</f>
        <v/>
      </c>
      <c r="V429" s="24" t="str">
        <f>IF(AND('ASS END SYNC'!C433="SHOW",'ASS END SYNC'!C434="SHOW"),U430,IF(AND('ASS END SYNC'!C433="SHOW",'ASS END SYNC'!C434&lt;&gt;"SHOW"),MID('ASS END SYNC'!E433,O429+1,P429-O429-1),""))</f>
        <v/>
      </c>
      <c r="W429" s="23" t="str">
        <f>IF('ASS END SYNC'!C433="SHOW",MID('ASS END SYNC'!E433,Q429+1,S429-Q429+1),"")</f>
        <v/>
      </c>
      <c r="X429" s="23" t="str">
        <f>IF('ASS END SYNC'!C433="SHOW",MID('ASS END SYNC'!E433,S429+2,1000),"")</f>
        <v/>
      </c>
      <c r="Z429" s="24"/>
    </row>
    <row r="430" spans="1:26" x14ac:dyDescent="0.25">
      <c r="A430" s="26">
        <v>427</v>
      </c>
      <c r="B430" s="24" t="str">
        <f>IF('ASS START SYNC'!C434="SHOW",FIND(",",'ASS START SYNC'!E434,1),"")</f>
        <v/>
      </c>
      <c r="C430" s="24" t="str">
        <f>IF('ASS START SYNC'!C434="SHOW",FIND(",",'ASS START SYNC'!E434,B430+1),"")</f>
        <v/>
      </c>
      <c r="D430" s="24" t="str">
        <f>IF('ASS START SYNC'!C434="SHOW",FIND(",",'ASS START SYNC'!E434,C430+1),"")</f>
        <v/>
      </c>
      <c r="E430" s="25" t="str">
        <f>IF('ASS START SYNC'!C434="SHOW",FIND(",,",'ASS START SYNC'!E434,1),"")</f>
        <v/>
      </c>
      <c r="F430" s="25" t="str">
        <f>IF('ASS START SYNC'!C434="SHOW",FIND(",,",'ASS START SYNC'!E434,E430+1),"")</f>
        <v/>
      </c>
      <c r="G430" s="23" t="str">
        <f>IF('ASS START SYNC'!C434="SHOW",LEFT('ASS START SYNC'!E434,B430),"")</f>
        <v/>
      </c>
      <c r="H430" s="24" t="str">
        <f>IF(AND('ASS START SYNC'!C434="SHOW",COUNTA('ASS START SYNC'!$E$8:'ASS START SYNC'!E433)=0),MID('ASS START SYNC'!E434,B430+1,C430-B430-1),IF(AND('ASS START SYNC'!C434="SHOW",COUNTA('ASS START SYNC'!$E$8:'ASS START SYNC'!E433)&lt;&gt;0),I429,""))</f>
        <v/>
      </c>
      <c r="I430" s="24" t="str">
        <f>IF('ASS START SYNC'!C434="SHOW",MID('ASS START SYNC'!E434,C430+1,D430-C430-1),I429)</f>
        <v/>
      </c>
      <c r="J430" s="23" t="str">
        <f>IF('ASS START SYNC'!C434="SHOW",MID('ASS START SYNC'!E434,D430+1,F430-D430+1),"")</f>
        <v/>
      </c>
      <c r="K430" s="23" t="str">
        <f>IF('ASS START SYNC'!C434="SHOW",MID('ASS START SYNC'!E434,F430+2,1000),"")</f>
        <v/>
      </c>
      <c r="M430" s="24"/>
      <c r="N430" s="26">
        <v>427</v>
      </c>
      <c r="O430" s="24" t="str">
        <f>IF('ASS END SYNC'!C434="SHOW",FIND(",",'ASS END SYNC'!E434,1),"")</f>
        <v/>
      </c>
      <c r="P430" s="24" t="str">
        <f>IF('ASS END SYNC'!C434="SHOW",FIND(",",'ASS END SYNC'!E434,O430+1),"")</f>
        <v/>
      </c>
      <c r="Q430" s="24" t="str">
        <f>IF('ASS END SYNC'!C434="SHOW",FIND(",",'ASS END SYNC'!E434,P430+1),"")</f>
        <v/>
      </c>
      <c r="R430" s="25" t="str">
        <f>IF('ASS END SYNC'!C434="SHOW",FIND(",,",'ASS END SYNC'!E434,1),"")</f>
        <v/>
      </c>
      <c r="S430" s="25" t="str">
        <f>IF('ASS END SYNC'!C434="SHOW",FIND(",,",'ASS END SYNC'!E434,R430+1),"")</f>
        <v/>
      </c>
      <c r="T430" s="23" t="str">
        <f>IF('ASS END SYNC'!C434="SHOW",LEFT('ASS END SYNC'!E434,O430),"")</f>
        <v/>
      </c>
      <c r="U430" s="24" t="str">
        <f>IF('ASS END SYNC'!C434="SHOW",MID('ASS END SYNC'!E434,O430+1,P430-O430-1),"")</f>
        <v/>
      </c>
      <c r="V430" s="24" t="str">
        <f>IF(AND('ASS END SYNC'!C434="SHOW",'ASS END SYNC'!C435="SHOW"),U431,IF(AND('ASS END SYNC'!C434="SHOW",'ASS END SYNC'!C435&lt;&gt;"SHOW"),MID('ASS END SYNC'!E434,O430+1,P430-O430-1),""))</f>
        <v/>
      </c>
      <c r="W430" s="23" t="str">
        <f>IF('ASS END SYNC'!C434="SHOW",MID('ASS END SYNC'!E434,Q430+1,S430-Q430+1),"")</f>
        <v/>
      </c>
      <c r="X430" s="23" t="str">
        <f>IF('ASS END SYNC'!C434="SHOW",MID('ASS END SYNC'!E434,S430+2,1000),"")</f>
        <v/>
      </c>
      <c r="Z430" s="24"/>
    </row>
    <row r="431" spans="1:26" x14ac:dyDescent="0.25">
      <c r="A431" s="26">
        <v>428</v>
      </c>
      <c r="B431" s="24" t="str">
        <f>IF('ASS START SYNC'!C435="SHOW",FIND(",",'ASS START SYNC'!E435,1),"")</f>
        <v/>
      </c>
      <c r="C431" s="24" t="str">
        <f>IF('ASS START SYNC'!C435="SHOW",FIND(",",'ASS START SYNC'!E435,B431+1),"")</f>
        <v/>
      </c>
      <c r="D431" s="24" t="str">
        <f>IF('ASS START SYNC'!C435="SHOW",FIND(",",'ASS START SYNC'!E435,C431+1),"")</f>
        <v/>
      </c>
      <c r="E431" s="25" t="str">
        <f>IF('ASS START SYNC'!C435="SHOW",FIND(",,",'ASS START SYNC'!E435,1),"")</f>
        <v/>
      </c>
      <c r="F431" s="25" t="str">
        <f>IF('ASS START SYNC'!C435="SHOW",FIND(",,",'ASS START SYNC'!E435,E431+1),"")</f>
        <v/>
      </c>
      <c r="G431" s="23" t="str">
        <f>IF('ASS START SYNC'!C435="SHOW",LEFT('ASS START SYNC'!E435,B431),"")</f>
        <v/>
      </c>
      <c r="H431" s="24" t="str">
        <f>IF(AND('ASS START SYNC'!C435="SHOW",COUNTA('ASS START SYNC'!$E$8:'ASS START SYNC'!E434)=0),MID('ASS START SYNC'!E435,B431+1,C431-B431-1),IF(AND('ASS START SYNC'!C435="SHOW",COUNTA('ASS START SYNC'!$E$8:'ASS START SYNC'!E434)&lt;&gt;0),I430,""))</f>
        <v/>
      </c>
      <c r="I431" s="24" t="str">
        <f>IF('ASS START SYNC'!C435="SHOW",MID('ASS START SYNC'!E435,C431+1,D431-C431-1),I430)</f>
        <v/>
      </c>
      <c r="J431" s="23" t="str">
        <f>IF('ASS START SYNC'!C435="SHOW",MID('ASS START SYNC'!E435,D431+1,F431-D431+1),"")</f>
        <v/>
      </c>
      <c r="K431" s="23" t="str">
        <f>IF('ASS START SYNC'!C435="SHOW",MID('ASS START SYNC'!E435,F431+2,1000),"")</f>
        <v/>
      </c>
      <c r="M431" s="24"/>
      <c r="N431" s="26">
        <v>428</v>
      </c>
      <c r="O431" s="24" t="str">
        <f>IF('ASS END SYNC'!C435="SHOW",FIND(",",'ASS END SYNC'!E435,1),"")</f>
        <v/>
      </c>
      <c r="P431" s="24" t="str">
        <f>IF('ASS END SYNC'!C435="SHOW",FIND(",",'ASS END SYNC'!E435,O431+1),"")</f>
        <v/>
      </c>
      <c r="Q431" s="24" t="str">
        <f>IF('ASS END SYNC'!C435="SHOW",FIND(",",'ASS END SYNC'!E435,P431+1),"")</f>
        <v/>
      </c>
      <c r="R431" s="25" t="str">
        <f>IF('ASS END SYNC'!C435="SHOW",FIND(",,",'ASS END SYNC'!E435,1),"")</f>
        <v/>
      </c>
      <c r="S431" s="25" t="str">
        <f>IF('ASS END SYNC'!C435="SHOW",FIND(",,",'ASS END SYNC'!E435,R431+1),"")</f>
        <v/>
      </c>
      <c r="T431" s="23" t="str">
        <f>IF('ASS END SYNC'!C435="SHOW",LEFT('ASS END SYNC'!E435,O431),"")</f>
        <v/>
      </c>
      <c r="U431" s="24" t="str">
        <f>IF('ASS END SYNC'!C435="SHOW",MID('ASS END SYNC'!E435,O431+1,P431-O431-1),"")</f>
        <v/>
      </c>
      <c r="V431" s="24" t="str">
        <f>IF(AND('ASS END SYNC'!C435="SHOW",'ASS END SYNC'!C436="SHOW"),U432,IF(AND('ASS END SYNC'!C435="SHOW",'ASS END SYNC'!C436&lt;&gt;"SHOW"),MID('ASS END SYNC'!E435,O431+1,P431-O431-1),""))</f>
        <v/>
      </c>
      <c r="W431" s="23" t="str">
        <f>IF('ASS END SYNC'!C435="SHOW",MID('ASS END SYNC'!E435,Q431+1,S431-Q431+1),"")</f>
        <v/>
      </c>
      <c r="X431" s="23" t="str">
        <f>IF('ASS END SYNC'!C435="SHOW",MID('ASS END SYNC'!E435,S431+2,1000),"")</f>
        <v/>
      </c>
      <c r="Z431" s="24"/>
    </row>
    <row r="432" spans="1:26" x14ac:dyDescent="0.25">
      <c r="A432" s="26">
        <v>429</v>
      </c>
      <c r="B432" s="24" t="str">
        <f>IF('ASS START SYNC'!C436="SHOW",FIND(",",'ASS START SYNC'!E436,1),"")</f>
        <v/>
      </c>
      <c r="C432" s="24" t="str">
        <f>IF('ASS START SYNC'!C436="SHOW",FIND(",",'ASS START SYNC'!E436,B432+1),"")</f>
        <v/>
      </c>
      <c r="D432" s="24" t="str">
        <f>IF('ASS START SYNC'!C436="SHOW",FIND(",",'ASS START SYNC'!E436,C432+1),"")</f>
        <v/>
      </c>
      <c r="E432" s="25" t="str">
        <f>IF('ASS START SYNC'!C436="SHOW",FIND(",,",'ASS START SYNC'!E436,1),"")</f>
        <v/>
      </c>
      <c r="F432" s="25" t="str">
        <f>IF('ASS START SYNC'!C436="SHOW",FIND(",,",'ASS START SYNC'!E436,E432+1),"")</f>
        <v/>
      </c>
      <c r="G432" s="23" t="str">
        <f>IF('ASS START SYNC'!C436="SHOW",LEFT('ASS START SYNC'!E436,B432),"")</f>
        <v/>
      </c>
      <c r="H432" s="24" t="str">
        <f>IF(AND('ASS START SYNC'!C436="SHOW",COUNTA('ASS START SYNC'!$E$8:'ASS START SYNC'!E435)=0),MID('ASS START SYNC'!E436,B432+1,C432-B432-1),IF(AND('ASS START SYNC'!C436="SHOW",COUNTA('ASS START SYNC'!$E$8:'ASS START SYNC'!E435)&lt;&gt;0),I431,""))</f>
        <v/>
      </c>
      <c r="I432" s="24" t="str">
        <f>IF('ASS START SYNC'!C436="SHOW",MID('ASS START SYNC'!E436,C432+1,D432-C432-1),I431)</f>
        <v/>
      </c>
      <c r="J432" s="23" t="str">
        <f>IF('ASS START SYNC'!C436="SHOW",MID('ASS START SYNC'!E436,D432+1,F432-D432+1),"")</f>
        <v/>
      </c>
      <c r="K432" s="23" t="str">
        <f>IF('ASS START SYNC'!C436="SHOW",MID('ASS START SYNC'!E436,F432+2,1000),"")</f>
        <v/>
      </c>
      <c r="M432" s="24"/>
      <c r="N432" s="26">
        <v>429</v>
      </c>
      <c r="O432" s="24" t="str">
        <f>IF('ASS END SYNC'!C436="SHOW",FIND(",",'ASS END SYNC'!E436,1),"")</f>
        <v/>
      </c>
      <c r="P432" s="24" t="str">
        <f>IF('ASS END SYNC'!C436="SHOW",FIND(",",'ASS END SYNC'!E436,O432+1),"")</f>
        <v/>
      </c>
      <c r="Q432" s="24" t="str">
        <f>IF('ASS END SYNC'!C436="SHOW",FIND(",",'ASS END SYNC'!E436,P432+1),"")</f>
        <v/>
      </c>
      <c r="R432" s="25" t="str">
        <f>IF('ASS END SYNC'!C436="SHOW",FIND(",,",'ASS END SYNC'!E436,1),"")</f>
        <v/>
      </c>
      <c r="S432" s="25" t="str">
        <f>IF('ASS END SYNC'!C436="SHOW",FIND(",,",'ASS END SYNC'!E436,R432+1),"")</f>
        <v/>
      </c>
      <c r="T432" s="23" t="str">
        <f>IF('ASS END SYNC'!C436="SHOW",LEFT('ASS END SYNC'!E436,O432),"")</f>
        <v/>
      </c>
      <c r="U432" s="24" t="str">
        <f>IF('ASS END SYNC'!C436="SHOW",MID('ASS END SYNC'!E436,O432+1,P432-O432-1),"")</f>
        <v/>
      </c>
      <c r="V432" s="24" t="str">
        <f>IF(AND('ASS END SYNC'!C436="SHOW",'ASS END SYNC'!C437="SHOW"),U433,IF(AND('ASS END SYNC'!C436="SHOW",'ASS END SYNC'!C437&lt;&gt;"SHOW"),MID('ASS END SYNC'!E436,O432+1,P432-O432-1),""))</f>
        <v/>
      </c>
      <c r="W432" s="23" t="str">
        <f>IF('ASS END SYNC'!C436="SHOW",MID('ASS END SYNC'!E436,Q432+1,S432-Q432+1),"")</f>
        <v/>
      </c>
      <c r="X432" s="23" t="str">
        <f>IF('ASS END SYNC'!C436="SHOW",MID('ASS END SYNC'!E436,S432+2,1000),"")</f>
        <v/>
      </c>
      <c r="Z432" s="24"/>
    </row>
    <row r="433" spans="1:26" x14ac:dyDescent="0.25">
      <c r="A433" s="26">
        <v>430</v>
      </c>
      <c r="B433" s="24" t="str">
        <f>IF('ASS START SYNC'!C437="SHOW",FIND(",",'ASS START SYNC'!E437,1),"")</f>
        <v/>
      </c>
      <c r="C433" s="24" t="str">
        <f>IF('ASS START SYNC'!C437="SHOW",FIND(",",'ASS START SYNC'!E437,B433+1),"")</f>
        <v/>
      </c>
      <c r="D433" s="24" t="str">
        <f>IF('ASS START SYNC'!C437="SHOW",FIND(",",'ASS START SYNC'!E437,C433+1),"")</f>
        <v/>
      </c>
      <c r="E433" s="25" t="str">
        <f>IF('ASS START SYNC'!C437="SHOW",FIND(",,",'ASS START SYNC'!E437,1),"")</f>
        <v/>
      </c>
      <c r="F433" s="25" t="str">
        <f>IF('ASS START SYNC'!C437="SHOW",FIND(",,",'ASS START SYNC'!E437,E433+1),"")</f>
        <v/>
      </c>
      <c r="G433" s="23" t="str">
        <f>IF('ASS START SYNC'!C437="SHOW",LEFT('ASS START SYNC'!E437,B433),"")</f>
        <v/>
      </c>
      <c r="H433" s="24" t="str">
        <f>IF(AND('ASS START SYNC'!C437="SHOW",COUNTA('ASS START SYNC'!$E$8:'ASS START SYNC'!E436)=0),MID('ASS START SYNC'!E437,B433+1,C433-B433-1),IF(AND('ASS START SYNC'!C437="SHOW",COUNTA('ASS START SYNC'!$E$8:'ASS START SYNC'!E436)&lt;&gt;0),I432,""))</f>
        <v/>
      </c>
      <c r="I433" s="24" t="str">
        <f>IF('ASS START SYNC'!C437="SHOW",MID('ASS START SYNC'!E437,C433+1,D433-C433-1),I432)</f>
        <v/>
      </c>
      <c r="J433" s="23" t="str">
        <f>IF('ASS START SYNC'!C437="SHOW",MID('ASS START SYNC'!E437,D433+1,F433-D433+1),"")</f>
        <v/>
      </c>
      <c r="K433" s="23" t="str">
        <f>IF('ASS START SYNC'!C437="SHOW",MID('ASS START SYNC'!E437,F433+2,1000),"")</f>
        <v/>
      </c>
      <c r="M433" s="24"/>
      <c r="N433" s="26">
        <v>430</v>
      </c>
      <c r="O433" s="24" t="str">
        <f>IF('ASS END SYNC'!C437="SHOW",FIND(",",'ASS END SYNC'!E437,1),"")</f>
        <v/>
      </c>
      <c r="P433" s="24" t="str">
        <f>IF('ASS END SYNC'!C437="SHOW",FIND(",",'ASS END SYNC'!E437,O433+1),"")</f>
        <v/>
      </c>
      <c r="Q433" s="24" t="str">
        <f>IF('ASS END SYNC'!C437="SHOW",FIND(",",'ASS END SYNC'!E437,P433+1),"")</f>
        <v/>
      </c>
      <c r="R433" s="25" t="str">
        <f>IF('ASS END SYNC'!C437="SHOW",FIND(",,",'ASS END SYNC'!E437,1),"")</f>
        <v/>
      </c>
      <c r="S433" s="25" t="str">
        <f>IF('ASS END SYNC'!C437="SHOW",FIND(",,",'ASS END SYNC'!E437,R433+1),"")</f>
        <v/>
      </c>
      <c r="T433" s="23" t="str">
        <f>IF('ASS END SYNC'!C437="SHOW",LEFT('ASS END SYNC'!E437,O433),"")</f>
        <v/>
      </c>
      <c r="U433" s="24" t="str">
        <f>IF('ASS END SYNC'!C437="SHOW",MID('ASS END SYNC'!E437,O433+1,P433-O433-1),"")</f>
        <v/>
      </c>
      <c r="V433" s="24" t="str">
        <f>IF(AND('ASS END SYNC'!C437="SHOW",'ASS END SYNC'!C438="SHOW"),U434,IF(AND('ASS END SYNC'!C437="SHOW",'ASS END SYNC'!C438&lt;&gt;"SHOW"),MID('ASS END SYNC'!E437,O433+1,P433-O433-1),""))</f>
        <v/>
      </c>
      <c r="W433" s="23" t="str">
        <f>IF('ASS END SYNC'!C437="SHOW",MID('ASS END SYNC'!E437,Q433+1,S433-Q433+1),"")</f>
        <v/>
      </c>
      <c r="X433" s="23" t="str">
        <f>IF('ASS END SYNC'!C437="SHOW",MID('ASS END SYNC'!E437,S433+2,1000),"")</f>
        <v/>
      </c>
      <c r="Z433" s="24"/>
    </row>
    <row r="434" spans="1:26" x14ac:dyDescent="0.25">
      <c r="A434" s="26">
        <v>431</v>
      </c>
      <c r="B434" s="24" t="str">
        <f>IF('ASS START SYNC'!C438="SHOW",FIND(",",'ASS START SYNC'!E438,1),"")</f>
        <v/>
      </c>
      <c r="C434" s="24" t="str">
        <f>IF('ASS START SYNC'!C438="SHOW",FIND(",",'ASS START SYNC'!E438,B434+1),"")</f>
        <v/>
      </c>
      <c r="D434" s="24" t="str">
        <f>IF('ASS START SYNC'!C438="SHOW",FIND(",",'ASS START SYNC'!E438,C434+1),"")</f>
        <v/>
      </c>
      <c r="E434" s="25" t="str">
        <f>IF('ASS START SYNC'!C438="SHOW",FIND(",,",'ASS START SYNC'!E438,1),"")</f>
        <v/>
      </c>
      <c r="F434" s="25" t="str">
        <f>IF('ASS START SYNC'!C438="SHOW",FIND(",,",'ASS START SYNC'!E438,E434+1),"")</f>
        <v/>
      </c>
      <c r="G434" s="23" t="str">
        <f>IF('ASS START SYNC'!C438="SHOW",LEFT('ASS START SYNC'!E438,B434),"")</f>
        <v/>
      </c>
      <c r="H434" s="24" t="str">
        <f>IF(AND('ASS START SYNC'!C438="SHOW",COUNTA('ASS START SYNC'!$E$8:'ASS START SYNC'!E437)=0),MID('ASS START SYNC'!E438,B434+1,C434-B434-1),IF(AND('ASS START SYNC'!C438="SHOW",COUNTA('ASS START SYNC'!$E$8:'ASS START SYNC'!E437)&lt;&gt;0),I433,""))</f>
        <v/>
      </c>
      <c r="I434" s="24" t="str">
        <f>IF('ASS START SYNC'!C438="SHOW",MID('ASS START SYNC'!E438,C434+1,D434-C434-1),I433)</f>
        <v/>
      </c>
      <c r="J434" s="23" t="str">
        <f>IF('ASS START SYNC'!C438="SHOW",MID('ASS START SYNC'!E438,D434+1,F434-D434+1),"")</f>
        <v/>
      </c>
      <c r="K434" s="23" t="str">
        <f>IF('ASS START SYNC'!C438="SHOW",MID('ASS START SYNC'!E438,F434+2,1000),"")</f>
        <v/>
      </c>
      <c r="M434" s="24"/>
      <c r="N434" s="26">
        <v>431</v>
      </c>
      <c r="O434" s="24" t="str">
        <f>IF('ASS END SYNC'!C438="SHOW",FIND(",",'ASS END SYNC'!E438,1),"")</f>
        <v/>
      </c>
      <c r="P434" s="24" t="str">
        <f>IF('ASS END SYNC'!C438="SHOW",FIND(",",'ASS END SYNC'!E438,O434+1),"")</f>
        <v/>
      </c>
      <c r="Q434" s="24" t="str">
        <f>IF('ASS END SYNC'!C438="SHOW",FIND(",",'ASS END SYNC'!E438,P434+1),"")</f>
        <v/>
      </c>
      <c r="R434" s="25" t="str">
        <f>IF('ASS END SYNC'!C438="SHOW",FIND(",,",'ASS END SYNC'!E438,1),"")</f>
        <v/>
      </c>
      <c r="S434" s="25" t="str">
        <f>IF('ASS END SYNC'!C438="SHOW",FIND(",,",'ASS END SYNC'!E438,R434+1),"")</f>
        <v/>
      </c>
      <c r="T434" s="23" t="str">
        <f>IF('ASS END SYNC'!C438="SHOW",LEFT('ASS END SYNC'!E438,O434),"")</f>
        <v/>
      </c>
      <c r="U434" s="24" t="str">
        <f>IF('ASS END SYNC'!C438="SHOW",MID('ASS END SYNC'!E438,O434+1,P434-O434-1),"")</f>
        <v/>
      </c>
      <c r="V434" s="24" t="str">
        <f>IF(AND('ASS END SYNC'!C438="SHOW",'ASS END SYNC'!C439="SHOW"),U435,IF(AND('ASS END SYNC'!C438="SHOW",'ASS END SYNC'!C439&lt;&gt;"SHOW"),MID('ASS END SYNC'!E438,O434+1,P434-O434-1),""))</f>
        <v/>
      </c>
      <c r="W434" s="23" t="str">
        <f>IF('ASS END SYNC'!C438="SHOW",MID('ASS END SYNC'!E438,Q434+1,S434-Q434+1),"")</f>
        <v/>
      </c>
      <c r="X434" s="23" t="str">
        <f>IF('ASS END SYNC'!C438="SHOW",MID('ASS END SYNC'!E438,S434+2,1000),"")</f>
        <v/>
      </c>
      <c r="Z434" s="24"/>
    </row>
    <row r="435" spans="1:26" x14ac:dyDescent="0.25">
      <c r="A435" s="26">
        <v>432</v>
      </c>
      <c r="B435" s="24" t="str">
        <f>IF('ASS START SYNC'!C439="SHOW",FIND(",",'ASS START SYNC'!E439,1),"")</f>
        <v/>
      </c>
      <c r="C435" s="24" t="str">
        <f>IF('ASS START SYNC'!C439="SHOW",FIND(",",'ASS START SYNC'!E439,B435+1),"")</f>
        <v/>
      </c>
      <c r="D435" s="24" t="str">
        <f>IF('ASS START SYNC'!C439="SHOW",FIND(",",'ASS START SYNC'!E439,C435+1),"")</f>
        <v/>
      </c>
      <c r="E435" s="25" t="str">
        <f>IF('ASS START SYNC'!C439="SHOW",FIND(",,",'ASS START SYNC'!E439,1),"")</f>
        <v/>
      </c>
      <c r="F435" s="25" t="str">
        <f>IF('ASS START SYNC'!C439="SHOW",FIND(",,",'ASS START SYNC'!E439,E435+1),"")</f>
        <v/>
      </c>
      <c r="G435" s="23" t="str">
        <f>IF('ASS START SYNC'!C439="SHOW",LEFT('ASS START SYNC'!E439,B435),"")</f>
        <v/>
      </c>
      <c r="H435" s="24" t="str">
        <f>IF(AND('ASS START SYNC'!C439="SHOW",COUNTA('ASS START SYNC'!$E$8:'ASS START SYNC'!E438)=0),MID('ASS START SYNC'!E439,B435+1,C435-B435-1),IF(AND('ASS START SYNC'!C439="SHOW",COUNTA('ASS START SYNC'!$E$8:'ASS START SYNC'!E438)&lt;&gt;0),I434,""))</f>
        <v/>
      </c>
      <c r="I435" s="24" t="str">
        <f>IF('ASS START SYNC'!C439="SHOW",MID('ASS START SYNC'!E439,C435+1,D435-C435-1),I434)</f>
        <v/>
      </c>
      <c r="J435" s="23" t="str">
        <f>IF('ASS START SYNC'!C439="SHOW",MID('ASS START SYNC'!E439,D435+1,F435-D435+1),"")</f>
        <v/>
      </c>
      <c r="K435" s="23" t="str">
        <f>IF('ASS START SYNC'!C439="SHOW",MID('ASS START SYNC'!E439,F435+2,1000),"")</f>
        <v/>
      </c>
      <c r="M435" s="24"/>
      <c r="N435" s="26">
        <v>432</v>
      </c>
      <c r="O435" s="24" t="str">
        <f>IF('ASS END SYNC'!C439="SHOW",FIND(",",'ASS END SYNC'!E439,1),"")</f>
        <v/>
      </c>
      <c r="P435" s="24" t="str">
        <f>IF('ASS END SYNC'!C439="SHOW",FIND(",",'ASS END SYNC'!E439,O435+1),"")</f>
        <v/>
      </c>
      <c r="Q435" s="24" t="str">
        <f>IF('ASS END SYNC'!C439="SHOW",FIND(",",'ASS END SYNC'!E439,P435+1),"")</f>
        <v/>
      </c>
      <c r="R435" s="25" t="str">
        <f>IF('ASS END SYNC'!C439="SHOW",FIND(",,",'ASS END SYNC'!E439,1),"")</f>
        <v/>
      </c>
      <c r="S435" s="25" t="str">
        <f>IF('ASS END SYNC'!C439="SHOW",FIND(",,",'ASS END SYNC'!E439,R435+1),"")</f>
        <v/>
      </c>
      <c r="T435" s="23" t="str">
        <f>IF('ASS END SYNC'!C439="SHOW",LEFT('ASS END SYNC'!E439,O435),"")</f>
        <v/>
      </c>
      <c r="U435" s="24" t="str">
        <f>IF('ASS END SYNC'!C439="SHOW",MID('ASS END SYNC'!E439,O435+1,P435-O435-1),"")</f>
        <v/>
      </c>
      <c r="V435" s="24" t="str">
        <f>IF(AND('ASS END SYNC'!C439="SHOW",'ASS END SYNC'!C440="SHOW"),U436,IF(AND('ASS END SYNC'!C439="SHOW",'ASS END SYNC'!C440&lt;&gt;"SHOW"),MID('ASS END SYNC'!E439,O435+1,P435-O435-1),""))</f>
        <v/>
      </c>
      <c r="W435" s="23" t="str">
        <f>IF('ASS END SYNC'!C439="SHOW",MID('ASS END SYNC'!E439,Q435+1,S435-Q435+1),"")</f>
        <v/>
      </c>
      <c r="X435" s="23" t="str">
        <f>IF('ASS END SYNC'!C439="SHOW",MID('ASS END SYNC'!E439,S435+2,1000),"")</f>
        <v/>
      </c>
      <c r="Z435" s="24"/>
    </row>
    <row r="436" spans="1:26" x14ac:dyDescent="0.25">
      <c r="A436" s="26">
        <v>433</v>
      </c>
      <c r="B436" s="24" t="str">
        <f>IF('ASS START SYNC'!C440="SHOW",FIND(",",'ASS START SYNC'!E440,1),"")</f>
        <v/>
      </c>
      <c r="C436" s="24" t="str">
        <f>IF('ASS START SYNC'!C440="SHOW",FIND(",",'ASS START SYNC'!E440,B436+1),"")</f>
        <v/>
      </c>
      <c r="D436" s="24" t="str">
        <f>IF('ASS START SYNC'!C440="SHOW",FIND(",",'ASS START SYNC'!E440,C436+1),"")</f>
        <v/>
      </c>
      <c r="E436" s="25" t="str">
        <f>IF('ASS START SYNC'!C440="SHOW",FIND(",,",'ASS START SYNC'!E440,1),"")</f>
        <v/>
      </c>
      <c r="F436" s="25" t="str">
        <f>IF('ASS START SYNC'!C440="SHOW",FIND(",,",'ASS START SYNC'!E440,E436+1),"")</f>
        <v/>
      </c>
      <c r="G436" s="23" t="str">
        <f>IF('ASS START SYNC'!C440="SHOW",LEFT('ASS START SYNC'!E440,B436),"")</f>
        <v/>
      </c>
      <c r="H436" s="24" t="str">
        <f>IF(AND('ASS START SYNC'!C440="SHOW",COUNTA('ASS START SYNC'!$E$8:'ASS START SYNC'!E439)=0),MID('ASS START SYNC'!E440,B436+1,C436-B436-1),IF(AND('ASS START SYNC'!C440="SHOW",COUNTA('ASS START SYNC'!$E$8:'ASS START SYNC'!E439)&lt;&gt;0),I435,""))</f>
        <v/>
      </c>
      <c r="I436" s="24" t="str">
        <f>IF('ASS START SYNC'!C440="SHOW",MID('ASS START SYNC'!E440,C436+1,D436-C436-1),I435)</f>
        <v/>
      </c>
      <c r="J436" s="23" t="str">
        <f>IF('ASS START SYNC'!C440="SHOW",MID('ASS START SYNC'!E440,D436+1,F436-D436+1),"")</f>
        <v/>
      </c>
      <c r="K436" s="23" t="str">
        <f>IF('ASS START SYNC'!C440="SHOW",MID('ASS START SYNC'!E440,F436+2,1000),"")</f>
        <v/>
      </c>
      <c r="M436" s="24"/>
      <c r="N436" s="26">
        <v>433</v>
      </c>
      <c r="O436" s="24" t="str">
        <f>IF('ASS END SYNC'!C440="SHOW",FIND(",",'ASS END SYNC'!E440,1),"")</f>
        <v/>
      </c>
      <c r="P436" s="24" t="str">
        <f>IF('ASS END SYNC'!C440="SHOW",FIND(",",'ASS END SYNC'!E440,O436+1),"")</f>
        <v/>
      </c>
      <c r="Q436" s="24" t="str">
        <f>IF('ASS END SYNC'!C440="SHOW",FIND(",",'ASS END SYNC'!E440,P436+1),"")</f>
        <v/>
      </c>
      <c r="R436" s="25" t="str">
        <f>IF('ASS END SYNC'!C440="SHOW",FIND(",,",'ASS END SYNC'!E440,1),"")</f>
        <v/>
      </c>
      <c r="S436" s="25" t="str">
        <f>IF('ASS END SYNC'!C440="SHOW",FIND(",,",'ASS END SYNC'!E440,R436+1),"")</f>
        <v/>
      </c>
      <c r="T436" s="23" t="str">
        <f>IF('ASS END SYNC'!C440="SHOW",LEFT('ASS END SYNC'!E440,O436),"")</f>
        <v/>
      </c>
      <c r="U436" s="24" t="str">
        <f>IF('ASS END SYNC'!C440="SHOW",MID('ASS END SYNC'!E440,O436+1,P436-O436-1),"")</f>
        <v/>
      </c>
      <c r="V436" s="24" t="str">
        <f>IF(AND('ASS END SYNC'!C440="SHOW",'ASS END SYNC'!C441="SHOW"),U437,IF(AND('ASS END SYNC'!C440="SHOW",'ASS END SYNC'!C441&lt;&gt;"SHOW"),MID('ASS END SYNC'!E440,O436+1,P436-O436-1),""))</f>
        <v/>
      </c>
      <c r="W436" s="23" t="str">
        <f>IF('ASS END SYNC'!C440="SHOW",MID('ASS END SYNC'!E440,Q436+1,S436-Q436+1),"")</f>
        <v/>
      </c>
      <c r="X436" s="23" t="str">
        <f>IF('ASS END SYNC'!C440="SHOW",MID('ASS END SYNC'!E440,S436+2,1000),"")</f>
        <v/>
      </c>
      <c r="Z436" s="24"/>
    </row>
    <row r="437" spans="1:26" x14ac:dyDescent="0.25">
      <c r="A437" s="26">
        <v>434</v>
      </c>
      <c r="B437" s="24" t="str">
        <f>IF('ASS START SYNC'!C441="SHOW",FIND(",",'ASS START SYNC'!E441,1),"")</f>
        <v/>
      </c>
      <c r="C437" s="24" t="str">
        <f>IF('ASS START SYNC'!C441="SHOW",FIND(",",'ASS START SYNC'!E441,B437+1),"")</f>
        <v/>
      </c>
      <c r="D437" s="24" t="str">
        <f>IF('ASS START SYNC'!C441="SHOW",FIND(",",'ASS START SYNC'!E441,C437+1),"")</f>
        <v/>
      </c>
      <c r="E437" s="25" t="str">
        <f>IF('ASS START SYNC'!C441="SHOW",FIND(",,",'ASS START SYNC'!E441,1),"")</f>
        <v/>
      </c>
      <c r="F437" s="25" t="str">
        <f>IF('ASS START SYNC'!C441="SHOW",FIND(",,",'ASS START SYNC'!E441,E437+1),"")</f>
        <v/>
      </c>
      <c r="G437" s="23" t="str">
        <f>IF('ASS START SYNC'!C441="SHOW",LEFT('ASS START SYNC'!E441,B437),"")</f>
        <v/>
      </c>
      <c r="H437" s="24" t="str">
        <f>IF(AND('ASS START SYNC'!C441="SHOW",COUNTA('ASS START SYNC'!$E$8:'ASS START SYNC'!E440)=0),MID('ASS START SYNC'!E441,B437+1,C437-B437-1),IF(AND('ASS START SYNC'!C441="SHOW",COUNTA('ASS START SYNC'!$E$8:'ASS START SYNC'!E440)&lt;&gt;0),I436,""))</f>
        <v/>
      </c>
      <c r="I437" s="24" t="str">
        <f>IF('ASS START SYNC'!C441="SHOW",MID('ASS START SYNC'!E441,C437+1,D437-C437-1),I436)</f>
        <v/>
      </c>
      <c r="J437" s="23" t="str">
        <f>IF('ASS START SYNC'!C441="SHOW",MID('ASS START SYNC'!E441,D437+1,F437-D437+1),"")</f>
        <v/>
      </c>
      <c r="K437" s="23" t="str">
        <f>IF('ASS START SYNC'!C441="SHOW",MID('ASS START SYNC'!E441,F437+2,1000),"")</f>
        <v/>
      </c>
      <c r="M437" s="24"/>
      <c r="N437" s="26">
        <v>434</v>
      </c>
      <c r="O437" s="24" t="str">
        <f>IF('ASS END SYNC'!C441="SHOW",FIND(",",'ASS END SYNC'!E441,1),"")</f>
        <v/>
      </c>
      <c r="P437" s="24" t="str">
        <f>IF('ASS END SYNC'!C441="SHOW",FIND(",",'ASS END SYNC'!E441,O437+1),"")</f>
        <v/>
      </c>
      <c r="Q437" s="24" t="str">
        <f>IF('ASS END SYNC'!C441="SHOW",FIND(",",'ASS END SYNC'!E441,P437+1),"")</f>
        <v/>
      </c>
      <c r="R437" s="25" t="str">
        <f>IF('ASS END SYNC'!C441="SHOW",FIND(",,",'ASS END SYNC'!E441,1),"")</f>
        <v/>
      </c>
      <c r="S437" s="25" t="str">
        <f>IF('ASS END SYNC'!C441="SHOW",FIND(",,",'ASS END SYNC'!E441,R437+1),"")</f>
        <v/>
      </c>
      <c r="T437" s="23" t="str">
        <f>IF('ASS END SYNC'!C441="SHOW",LEFT('ASS END SYNC'!E441,O437),"")</f>
        <v/>
      </c>
      <c r="U437" s="24" t="str">
        <f>IF('ASS END SYNC'!C441="SHOW",MID('ASS END SYNC'!E441,O437+1,P437-O437-1),"")</f>
        <v/>
      </c>
      <c r="V437" s="24" t="str">
        <f>IF(AND('ASS END SYNC'!C441="SHOW",'ASS END SYNC'!C442="SHOW"),U438,IF(AND('ASS END SYNC'!C441="SHOW",'ASS END SYNC'!C442&lt;&gt;"SHOW"),MID('ASS END SYNC'!E441,O437+1,P437-O437-1),""))</f>
        <v/>
      </c>
      <c r="W437" s="23" t="str">
        <f>IF('ASS END SYNC'!C441="SHOW",MID('ASS END SYNC'!E441,Q437+1,S437-Q437+1),"")</f>
        <v/>
      </c>
      <c r="X437" s="23" t="str">
        <f>IF('ASS END SYNC'!C441="SHOW",MID('ASS END SYNC'!E441,S437+2,1000),"")</f>
        <v/>
      </c>
      <c r="Z437" s="24"/>
    </row>
    <row r="438" spans="1:26" x14ac:dyDescent="0.25">
      <c r="A438" s="26">
        <v>435</v>
      </c>
      <c r="B438" s="24" t="str">
        <f>IF('ASS START SYNC'!C442="SHOW",FIND(",",'ASS START SYNC'!E442,1),"")</f>
        <v/>
      </c>
      <c r="C438" s="24" t="str">
        <f>IF('ASS START SYNC'!C442="SHOW",FIND(",",'ASS START SYNC'!E442,B438+1),"")</f>
        <v/>
      </c>
      <c r="D438" s="24" t="str">
        <f>IF('ASS START SYNC'!C442="SHOW",FIND(",",'ASS START SYNC'!E442,C438+1),"")</f>
        <v/>
      </c>
      <c r="E438" s="25" t="str">
        <f>IF('ASS START SYNC'!C442="SHOW",FIND(",,",'ASS START SYNC'!E442,1),"")</f>
        <v/>
      </c>
      <c r="F438" s="25" t="str">
        <f>IF('ASS START SYNC'!C442="SHOW",FIND(",,",'ASS START SYNC'!E442,E438+1),"")</f>
        <v/>
      </c>
      <c r="G438" s="23" t="str">
        <f>IF('ASS START SYNC'!C442="SHOW",LEFT('ASS START SYNC'!E442,B438),"")</f>
        <v/>
      </c>
      <c r="H438" s="24" t="str">
        <f>IF(AND('ASS START SYNC'!C442="SHOW",COUNTA('ASS START SYNC'!$E$8:'ASS START SYNC'!E441)=0),MID('ASS START SYNC'!E442,B438+1,C438-B438-1),IF(AND('ASS START SYNC'!C442="SHOW",COUNTA('ASS START SYNC'!$E$8:'ASS START SYNC'!E441)&lt;&gt;0),I437,""))</f>
        <v/>
      </c>
      <c r="I438" s="24" t="str">
        <f>IF('ASS START SYNC'!C442="SHOW",MID('ASS START SYNC'!E442,C438+1,D438-C438-1),I437)</f>
        <v/>
      </c>
      <c r="J438" s="23" t="str">
        <f>IF('ASS START SYNC'!C442="SHOW",MID('ASS START SYNC'!E442,D438+1,F438-D438+1),"")</f>
        <v/>
      </c>
      <c r="K438" s="23" t="str">
        <f>IF('ASS START SYNC'!C442="SHOW",MID('ASS START SYNC'!E442,F438+2,1000),"")</f>
        <v/>
      </c>
      <c r="M438" s="24"/>
      <c r="N438" s="26">
        <v>435</v>
      </c>
      <c r="O438" s="24" t="str">
        <f>IF('ASS END SYNC'!C442="SHOW",FIND(",",'ASS END SYNC'!E442,1),"")</f>
        <v/>
      </c>
      <c r="P438" s="24" t="str">
        <f>IF('ASS END SYNC'!C442="SHOW",FIND(",",'ASS END SYNC'!E442,O438+1),"")</f>
        <v/>
      </c>
      <c r="Q438" s="24" t="str">
        <f>IF('ASS END SYNC'!C442="SHOW",FIND(",",'ASS END SYNC'!E442,P438+1),"")</f>
        <v/>
      </c>
      <c r="R438" s="25" t="str">
        <f>IF('ASS END SYNC'!C442="SHOW",FIND(",,",'ASS END SYNC'!E442,1),"")</f>
        <v/>
      </c>
      <c r="S438" s="25" t="str">
        <f>IF('ASS END SYNC'!C442="SHOW",FIND(",,",'ASS END SYNC'!E442,R438+1),"")</f>
        <v/>
      </c>
      <c r="T438" s="23" t="str">
        <f>IF('ASS END SYNC'!C442="SHOW",LEFT('ASS END SYNC'!E442,O438),"")</f>
        <v/>
      </c>
      <c r="U438" s="24" t="str">
        <f>IF('ASS END SYNC'!C442="SHOW",MID('ASS END SYNC'!E442,O438+1,P438-O438-1),"")</f>
        <v/>
      </c>
      <c r="V438" s="24" t="str">
        <f>IF(AND('ASS END SYNC'!C442="SHOW",'ASS END SYNC'!C443="SHOW"),U439,IF(AND('ASS END SYNC'!C442="SHOW",'ASS END SYNC'!C443&lt;&gt;"SHOW"),MID('ASS END SYNC'!E442,O438+1,P438-O438-1),""))</f>
        <v/>
      </c>
      <c r="W438" s="23" t="str">
        <f>IF('ASS END SYNC'!C442="SHOW",MID('ASS END SYNC'!E442,Q438+1,S438-Q438+1),"")</f>
        <v/>
      </c>
      <c r="X438" s="23" t="str">
        <f>IF('ASS END SYNC'!C442="SHOW",MID('ASS END SYNC'!E442,S438+2,1000),"")</f>
        <v/>
      </c>
      <c r="Z438" s="24"/>
    </row>
    <row r="439" spans="1:26" x14ac:dyDescent="0.25">
      <c r="A439" s="26">
        <v>436</v>
      </c>
      <c r="B439" s="24" t="str">
        <f>IF('ASS START SYNC'!C443="SHOW",FIND(",",'ASS START SYNC'!E443,1),"")</f>
        <v/>
      </c>
      <c r="C439" s="24" t="str">
        <f>IF('ASS START SYNC'!C443="SHOW",FIND(",",'ASS START SYNC'!E443,B439+1),"")</f>
        <v/>
      </c>
      <c r="D439" s="24" t="str">
        <f>IF('ASS START SYNC'!C443="SHOW",FIND(",",'ASS START SYNC'!E443,C439+1),"")</f>
        <v/>
      </c>
      <c r="E439" s="25" t="str">
        <f>IF('ASS START SYNC'!C443="SHOW",FIND(",,",'ASS START SYNC'!E443,1),"")</f>
        <v/>
      </c>
      <c r="F439" s="25" t="str">
        <f>IF('ASS START SYNC'!C443="SHOW",FIND(",,",'ASS START SYNC'!E443,E439+1),"")</f>
        <v/>
      </c>
      <c r="G439" s="23" t="str">
        <f>IF('ASS START SYNC'!C443="SHOW",LEFT('ASS START SYNC'!E443,B439),"")</f>
        <v/>
      </c>
      <c r="H439" s="24" t="str">
        <f>IF(AND('ASS START SYNC'!C443="SHOW",COUNTA('ASS START SYNC'!$E$8:'ASS START SYNC'!E442)=0),MID('ASS START SYNC'!E443,B439+1,C439-B439-1),IF(AND('ASS START SYNC'!C443="SHOW",COUNTA('ASS START SYNC'!$E$8:'ASS START SYNC'!E442)&lt;&gt;0),I438,""))</f>
        <v/>
      </c>
      <c r="I439" s="24" t="str">
        <f>IF('ASS START SYNC'!C443="SHOW",MID('ASS START SYNC'!E443,C439+1,D439-C439-1),I438)</f>
        <v/>
      </c>
      <c r="J439" s="23" t="str">
        <f>IF('ASS START SYNC'!C443="SHOW",MID('ASS START SYNC'!E443,D439+1,F439-D439+1),"")</f>
        <v/>
      </c>
      <c r="K439" s="23" t="str">
        <f>IF('ASS START SYNC'!C443="SHOW",MID('ASS START SYNC'!E443,F439+2,1000),"")</f>
        <v/>
      </c>
      <c r="M439" s="24"/>
      <c r="N439" s="26">
        <v>436</v>
      </c>
      <c r="O439" s="24" t="str">
        <f>IF('ASS END SYNC'!C443="SHOW",FIND(",",'ASS END SYNC'!E443,1),"")</f>
        <v/>
      </c>
      <c r="P439" s="24" t="str">
        <f>IF('ASS END SYNC'!C443="SHOW",FIND(",",'ASS END SYNC'!E443,O439+1),"")</f>
        <v/>
      </c>
      <c r="Q439" s="24" t="str">
        <f>IF('ASS END SYNC'!C443="SHOW",FIND(",",'ASS END SYNC'!E443,P439+1),"")</f>
        <v/>
      </c>
      <c r="R439" s="25" t="str">
        <f>IF('ASS END SYNC'!C443="SHOW",FIND(",,",'ASS END SYNC'!E443,1),"")</f>
        <v/>
      </c>
      <c r="S439" s="25" t="str">
        <f>IF('ASS END SYNC'!C443="SHOW",FIND(",,",'ASS END SYNC'!E443,R439+1),"")</f>
        <v/>
      </c>
      <c r="T439" s="23" t="str">
        <f>IF('ASS END SYNC'!C443="SHOW",LEFT('ASS END SYNC'!E443,O439),"")</f>
        <v/>
      </c>
      <c r="U439" s="24" t="str">
        <f>IF('ASS END SYNC'!C443="SHOW",MID('ASS END SYNC'!E443,O439+1,P439-O439-1),"")</f>
        <v/>
      </c>
      <c r="V439" s="24" t="str">
        <f>IF(AND('ASS END SYNC'!C443="SHOW",'ASS END SYNC'!C444="SHOW"),U440,IF(AND('ASS END SYNC'!C443="SHOW",'ASS END SYNC'!C444&lt;&gt;"SHOW"),MID('ASS END SYNC'!E443,O439+1,P439-O439-1),""))</f>
        <v/>
      </c>
      <c r="W439" s="23" t="str">
        <f>IF('ASS END SYNC'!C443="SHOW",MID('ASS END SYNC'!E443,Q439+1,S439-Q439+1),"")</f>
        <v/>
      </c>
      <c r="X439" s="23" t="str">
        <f>IF('ASS END SYNC'!C443="SHOW",MID('ASS END SYNC'!E443,S439+2,1000),"")</f>
        <v/>
      </c>
      <c r="Z439" s="24"/>
    </row>
    <row r="440" spans="1:26" x14ac:dyDescent="0.25">
      <c r="A440" s="26">
        <v>437</v>
      </c>
      <c r="B440" s="24" t="str">
        <f>IF('ASS START SYNC'!C444="SHOW",FIND(",",'ASS START SYNC'!E444,1),"")</f>
        <v/>
      </c>
      <c r="C440" s="24" t="str">
        <f>IF('ASS START SYNC'!C444="SHOW",FIND(",",'ASS START SYNC'!E444,B440+1),"")</f>
        <v/>
      </c>
      <c r="D440" s="24" t="str">
        <f>IF('ASS START SYNC'!C444="SHOW",FIND(",",'ASS START SYNC'!E444,C440+1),"")</f>
        <v/>
      </c>
      <c r="E440" s="25" t="str">
        <f>IF('ASS START SYNC'!C444="SHOW",FIND(",,",'ASS START SYNC'!E444,1),"")</f>
        <v/>
      </c>
      <c r="F440" s="25" t="str">
        <f>IF('ASS START SYNC'!C444="SHOW",FIND(",,",'ASS START SYNC'!E444,E440+1),"")</f>
        <v/>
      </c>
      <c r="G440" s="23" t="str">
        <f>IF('ASS START SYNC'!C444="SHOW",LEFT('ASS START SYNC'!E444,B440),"")</f>
        <v/>
      </c>
      <c r="H440" s="24" t="str">
        <f>IF(AND('ASS START SYNC'!C444="SHOW",COUNTA('ASS START SYNC'!$E$8:'ASS START SYNC'!E443)=0),MID('ASS START SYNC'!E444,B440+1,C440-B440-1),IF(AND('ASS START SYNC'!C444="SHOW",COUNTA('ASS START SYNC'!$E$8:'ASS START SYNC'!E443)&lt;&gt;0),I439,""))</f>
        <v/>
      </c>
      <c r="I440" s="24" t="str">
        <f>IF('ASS START SYNC'!C444="SHOW",MID('ASS START SYNC'!E444,C440+1,D440-C440-1),I439)</f>
        <v/>
      </c>
      <c r="J440" s="23" t="str">
        <f>IF('ASS START SYNC'!C444="SHOW",MID('ASS START SYNC'!E444,D440+1,F440-D440+1),"")</f>
        <v/>
      </c>
      <c r="K440" s="23" t="str">
        <f>IF('ASS START SYNC'!C444="SHOW",MID('ASS START SYNC'!E444,F440+2,1000),"")</f>
        <v/>
      </c>
      <c r="M440" s="24"/>
      <c r="N440" s="26">
        <v>437</v>
      </c>
      <c r="O440" s="24" t="str">
        <f>IF('ASS END SYNC'!C444="SHOW",FIND(",",'ASS END SYNC'!E444,1),"")</f>
        <v/>
      </c>
      <c r="P440" s="24" t="str">
        <f>IF('ASS END SYNC'!C444="SHOW",FIND(",",'ASS END SYNC'!E444,O440+1),"")</f>
        <v/>
      </c>
      <c r="Q440" s="24" t="str">
        <f>IF('ASS END SYNC'!C444="SHOW",FIND(",",'ASS END SYNC'!E444,P440+1),"")</f>
        <v/>
      </c>
      <c r="R440" s="25" t="str">
        <f>IF('ASS END SYNC'!C444="SHOW",FIND(",,",'ASS END SYNC'!E444,1),"")</f>
        <v/>
      </c>
      <c r="S440" s="25" t="str">
        <f>IF('ASS END SYNC'!C444="SHOW",FIND(",,",'ASS END SYNC'!E444,R440+1),"")</f>
        <v/>
      </c>
      <c r="T440" s="23" t="str">
        <f>IF('ASS END SYNC'!C444="SHOW",LEFT('ASS END SYNC'!E444,O440),"")</f>
        <v/>
      </c>
      <c r="U440" s="24" t="str">
        <f>IF('ASS END SYNC'!C444="SHOW",MID('ASS END SYNC'!E444,O440+1,P440-O440-1),"")</f>
        <v/>
      </c>
      <c r="V440" s="24" t="str">
        <f>IF(AND('ASS END SYNC'!C444="SHOW",'ASS END SYNC'!C445="SHOW"),U441,IF(AND('ASS END SYNC'!C444="SHOW",'ASS END SYNC'!C445&lt;&gt;"SHOW"),MID('ASS END SYNC'!E444,O440+1,P440-O440-1),""))</f>
        <v/>
      </c>
      <c r="W440" s="23" t="str">
        <f>IF('ASS END SYNC'!C444="SHOW",MID('ASS END SYNC'!E444,Q440+1,S440-Q440+1),"")</f>
        <v/>
      </c>
      <c r="X440" s="23" t="str">
        <f>IF('ASS END SYNC'!C444="SHOW",MID('ASS END SYNC'!E444,S440+2,1000),"")</f>
        <v/>
      </c>
      <c r="Z440" s="24"/>
    </row>
    <row r="441" spans="1:26" x14ac:dyDescent="0.25">
      <c r="A441" s="26">
        <v>438</v>
      </c>
      <c r="B441" s="24" t="str">
        <f>IF('ASS START SYNC'!C445="SHOW",FIND(",",'ASS START SYNC'!E445,1),"")</f>
        <v/>
      </c>
      <c r="C441" s="24" t="str">
        <f>IF('ASS START SYNC'!C445="SHOW",FIND(",",'ASS START SYNC'!E445,B441+1),"")</f>
        <v/>
      </c>
      <c r="D441" s="24" t="str">
        <f>IF('ASS START SYNC'!C445="SHOW",FIND(",",'ASS START SYNC'!E445,C441+1),"")</f>
        <v/>
      </c>
      <c r="E441" s="25" t="str">
        <f>IF('ASS START SYNC'!C445="SHOW",FIND(",,",'ASS START SYNC'!E445,1),"")</f>
        <v/>
      </c>
      <c r="F441" s="25" t="str">
        <f>IF('ASS START SYNC'!C445="SHOW",FIND(",,",'ASS START SYNC'!E445,E441+1),"")</f>
        <v/>
      </c>
      <c r="G441" s="23" t="str">
        <f>IF('ASS START SYNC'!C445="SHOW",LEFT('ASS START SYNC'!E445,B441),"")</f>
        <v/>
      </c>
      <c r="H441" s="24" t="str">
        <f>IF(AND('ASS START SYNC'!C445="SHOW",COUNTA('ASS START SYNC'!$E$8:'ASS START SYNC'!E444)=0),MID('ASS START SYNC'!E445,B441+1,C441-B441-1),IF(AND('ASS START SYNC'!C445="SHOW",COUNTA('ASS START SYNC'!$E$8:'ASS START SYNC'!E444)&lt;&gt;0),I440,""))</f>
        <v/>
      </c>
      <c r="I441" s="24" t="str">
        <f>IF('ASS START SYNC'!C445="SHOW",MID('ASS START SYNC'!E445,C441+1,D441-C441-1),I440)</f>
        <v/>
      </c>
      <c r="J441" s="23" t="str">
        <f>IF('ASS START SYNC'!C445="SHOW",MID('ASS START SYNC'!E445,D441+1,F441-D441+1),"")</f>
        <v/>
      </c>
      <c r="K441" s="23" t="str">
        <f>IF('ASS START SYNC'!C445="SHOW",MID('ASS START SYNC'!E445,F441+2,1000),"")</f>
        <v/>
      </c>
      <c r="M441" s="24"/>
      <c r="N441" s="26">
        <v>438</v>
      </c>
      <c r="O441" s="24" t="str">
        <f>IF('ASS END SYNC'!C445="SHOW",FIND(",",'ASS END SYNC'!E445,1),"")</f>
        <v/>
      </c>
      <c r="P441" s="24" t="str">
        <f>IF('ASS END SYNC'!C445="SHOW",FIND(",",'ASS END SYNC'!E445,O441+1),"")</f>
        <v/>
      </c>
      <c r="Q441" s="24" t="str">
        <f>IF('ASS END SYNC'!C445="SHOW",FIND(",",'ASS END SYNC'!E445,P441+1),"")</f>
        <v/>
      </c>
      <c r="R441" s="25" t="str">
        <f>IF('ASS END SYNC'!C445="SHOW",FIND(",,",'ASS END SYNC'!E445,1),"")</f>
        <v/>
      </c>
      <c r="S441" s="25" t="str">
        <f>IF('ASS END SYNC'!C445="SHOW",FIND(",,",'ASS END SYNC'!E445,R441+1),"")</f>
        <v/>
      </c>
      <c r="T441" s="23" t="str">
        <f>IF('ASS END SYNC'!C445="SHOW",LEFT('ASS END SYNC'!E445,O441),"")</f>
        <v/>
      </c>
      <c r="U441" s="24" t="str">
        <f>IF('ASS END SYNC'!C445="SHOW",MID('ASS END SYNC'!E445,O441+1,P441-O441-1),"")</f>
        <v/>
      </c>
      <c r="V441" s="24" t="str">
        <f>IF(AND('ASS END SYNC'!C445="SHOW",'ASS END SYNC'!C446="SHOW"),U442,IF(AND('ASS END SYNC'!C445="SHOW",'ASS END SYNC'!C446&lt;&gt;"SHOW"),MID('ASS END SYNC'!E445,O441+1,P441-O441-1),""))</f>
        <v/>
      </c>
      <c r="W441" s="23" t="str">
        <f>IF('ASS END SYNC'!C445="SHOW",MID('ASS END SYNC'!E445,Q441+1,S441-Q441+1),"")</f>
        <v/>
      </c>
      <c r="X441" s="23" t="str">
        <f>IF('ASS END SYNC'!C445="SHOW",MID('ASS END SYNC'!E445,S441+2,1000),"")</f>
        <v/>
      </c>
      <c r="Z441" s="24"/>
    </row>
    <row r="442" spans="1:26" x14ac:dyDescent="0.25">
      <c r="A442" s="26">
        <v>439</v>
      </c>
      <c r="B442" s="24" t="str">
        <f>IF('ASS START SYNC'!C446="SHOW",FIND(",",'ASS START SYNC'!E446,1),"")</f>
        <v/>
      </c>
      <c r="C442" s="24" t="str">
        <f>IF('ASS START SYNC'!C446="SHOW",FIND(",",'ASS START SYNC'!E446,B442+1),"")</f>
        <v/>
      </c>
      <c r="D442" s="24" t="str">
        <f>IF('ASS START SYNC'!C446="SHOW",FIND(",",'ASS START SYNC'!E446,C442+1),"")</f>
        <v/>
      </c>
      <c r="E442" s="25" t="str">
        <f>IF('ASS START SYNC'!C446="SHOW",FIND(",,",'ASS START SYNC'!E446,1),"")</f>
        <v/>
      </c>
      <c r="F442" s="25" t="str">
        <f>IF('ASS START SYNC'!C446="SHOW",FIND(",,",'ASS START SYNC'!E446,E442+1),"")</f>
        <v/>
      </c>
      <c r="G442" s="23" t="str">
        <f>IF('ASS START SYNC'!C446="SHOW",LEFT('ASS START SYNC'!E446,B442),"")</f>
        <v/>
      </c>
      <c r="H442" s="24" t="str">
        <f>IF(AND('ASS START SYNC'!C446="SHOW",COUNTA('ASS START SYNC'!$E$8:'ASS START SYNC'!E445)=0),MID('ASS START SYNC'!E446,B442+1,C442-B442-1),IF(AND('ASS START SYNC'!C446="SHOW",COUNTA('ASS START SYNC'!$E$8:'ASS START SYNC'!E445)&lt;&gt;0),I441,""))</f>
        <v/>
      </c>
      <c r="I442" s="24" t="str">
        <f>IF('ASS START SYNC'!C446="SHOW",MID('ASS START SYNC'!E446,C442+1,D442-C442-1),I441)</f>
        <v/>
      </c>
      <c r="J442" s="23" t="str">
        <f>IF('ASS START SYNC'!C446="SHOW",MID('ASS START SYNC'!E446,D442+1,F442-D442+1),"")</f>
        <v/>
      </c>
      <c r="K442" s="23" t="str">
        <f>IF('ASS START SYNC'!C446="SHOW",MID('ASS START SYNC'!E446,F442+2,1000),"")</f>
        <v/>
      </c>
      <c r="M442" s="24"/>
      <c r="N442" s="26">
        <v>439</v>
      </c>
      <c r="O442" s="24" t="str">
        <f>IF('ASS END SYNC'!C446="SHOW",FIND(",",'ASS END SYNC'!E446,1),"")</f>
        <v/>
      </c>
      <c r="P442" s="24" t="str">
        <f>IF('ASS END SYNC'!C446="SHOW",FIND(",",'ASS END SYNC'!E446,O442+1),"")</f>
        <v/>
      </c>
      <c r="Q442" s="24" t="str">
        <f>IF('ASS END SYNC'!C446="SHOW",FIND(",",'ASS END SYNC'!E446,P442+1),"")</f>
        <v/>
      </c>
      <c r="R442" s="25" t="str">
        <f>IF('ASS END SYNC'!C446="SHOW",FIND(",,",'ASS END SYNC'!E446,1),"")</f>
        <v/>
      </c>
      <c r="S442" s="25" t="str">
        <f>IF('ASS END SYNC'!C446="SHOW",FIND(",,",'ASS END SYNC'!E446,R442+1),"")</f>
        <v/>
      </c>
      <c r="T442" s="23" t="str">
        <f>IF('ASS END SYNC'!C446="SHOW",LEFT('ASS END SYNC'!E446,O442),"")</f>
        <v/>
      </c>
      <c r="U442" s="24" t="str">
        <f>IF('ASS END SYNC'!C446="SHOW",MID('ASS END SYNC'!E446,O442+1,P442-O442-1),"")</f>
        <v/>
      </c>
      <c r="V442" s="24" t="str">
        <f>IF(AND('ASS END SYNC'!C446="SHOW",'ASS END SYNC'!C447="SHOW"),U443,IF(AND('ASS END SYNC'!C446="SHOW",'ASS END SYNC'!C447&lt;&gt;"SHOW"),MID('ASS END SYNC'!E446,O442+1,P442-O442-1),""))</f>
        <v/>
      </c>
      <c r="W442" s="23" t="str">
        <f>IF('ASS END SYNC'!C446="SHOW",MID('ASS END SYNC'!E446,Q442+1,S442-Q442+1),"")</f>
        <v/>
      </c>
      <c r="X442" s="23" t="str">
        <f>IF('ASS END SYNC'!C446="SHOW",MID('ASS END SYNC'!E446,S442+2,1000),"")</f>
        <v/>
      </c>
      <c r="Z442" s="24"/>
    </row>
    <row r="443" spans="1:26" x14ac:dyDescent="0.25">
      <c r="A443" s="26">
        <v>440</v>
      </c>
      <c r="B443" s="24" t="str">
        <f>IF('ASS START SYNC'!C447="SHOW",FIND(",",'ASS START SYNC'!E447,1),"")</f>
        <v/>
      </c>
      <c r="C443" s="24" t="str">
        <f>IF('ASS START SYNC'!C447="SHOW",FIND(",",'ASS START SYNC'!E447,B443+1),"")</f>
        <v/>
      </c>
      <c r="D443" s="24" t="str">
        <f>IF('ASS START SYNC'!C447="SHOW",FIND(",",'ASS START SYNC'!E447,C443+1),"")</f>
        <v/>
      </c>
      <c r="E443" s="25" t="str">
        <f>IF('ASS START SYNC'!C447="SHOW",FIND(",,",'ASS START SYNC'!E447,1),"")</f>
        <v/>
      </c>
      <c r="F443" s="25" t="str">
        <f>IF('ASS START SYNC'!C447="SHOW",FIND(",,",'ASS START SYNC'!E447,E443+1),"")</f>
        <v/>
      </c>
      <c r="G443" s="23" t="str">
        <f>IF('ASS START SYNC'!C447="SHOW",LEFT('ASS START SYNC'!E447,B443),"")</f>
        <v/>
      </c>
      <c r="H443" s="24" t="str">
        <f>IF(AND('ASS START SYNC'!C447="SHOW",COUNTA('ASS START SYNC'!$E$8:'ASS START SYNC'!E446)=0),MID('ASS START SYNC'!E447,B443+1,C443-B443-1),IF(AND('ASS START SYNC'!C447="SHOW",COUNTA('ASS START SYNC'!$E$8:'ASS START SYNC'!E446)&lt;&gt;0),I442,""))</f>
        <v/>
      </c>
      <c r="I443" s="24" t="str">
        <f>IF('ASS START SYNC'!C447="SHOW",MID('ASS START SYNC'!E447,C443+1,D443-C443-1),I442)</f>
        <v/>
      </c>
      <c r="J443" s="23" t="str">
        <f>IF('ASS START SYNC'!C447="SHOW",MID('ASS START SYNC'!E447,D443+1,F443-D443+1),"")</f>
        <v/>
      </c>
      <c r="K443" s="23" t="str">
        <f>IF('ASS START SYNC'!C447="SHOW",MID('ASS START SYNC'!E447,F443+2,1000),"")</f>
        <v/>
      </c>
      <c r="M443" s="24"/>
      <c r="N443" s="26">
        <v>440</v>
      </c>
      <c r="O443" s="24" t="str">
        <f>IF('ASS END SYNC'!C447="SHOW",FIND(",",'ASS END SYNC'!E447,1),"")</f>
        <v/>
      </c>
      <c r="P443" s="24" t="str">
        <f>IF('ASS END SYNC'!C447="SHOW",FIND(",",'ASS END SYNC'!E447,O443+1),"")</f>
        <v/>
      </c>
      <c r="Q443" s="24" t="str">
        <f>IF('ASS END SYNC'!C447="SHOW",FIND(",",'ASS END SYNC'!E447,P443+1),"")</f>
        <v/>
      </c>
      <c r="R443" s="25" t="str">
        <f>IF('ASS END SYNC'!C447="SHOW",FIND(",,",'ASS END SYNC'!E447,1),"")</f>
        <v/>
      </c>
      <c r="S443" s="25" t="str">
        <f>IF('ASS END SYNC'!C447="SHOW",FIND(",,",'ASS END SYNC'!E447,R443+1),"")</f>
        <v/>
      </c>
      <c r="T443" s="23" t="str">
        <f>IF('ASS END SYNC'!C447="SHOW",LEFT('ASS END SYNC'!E447,O443),"")</f>
        <v/>
      </c>
      <c r="U443" s="24" t="str">
        <f>IF('ASS END SYNC'!C447="SHOW",MID('ASS END SYNC'!E447,O443+1,P443-O443-1),"")</f>
        <v/>
      </c>
      <c r="V443" s="24" t="str">
        <f>IF(AND('ASS END SYNC'!C447="SHOW",'ASS END SYNC'!C448="SHOW"),U444,IF(AND('ASS END SYNC'!C447="SHOW",'ASS END SYNC'!C448&lt;&gt;"SHOW"),MID('ASS END SYNC'!E447,O443+1,P443-O443-1),""))</f>
        <v/>
      </c>
      <c r="W443" s="23" t="str">
        <f>IF('ASS END SYNC'!C447="SHOW",MID('ASS END SYNC'!E447,Q443+1,S443-Q443+1),"")</f>
        <v/>
      </c>
      <c r="X443" s="23" t="str">
        <f>IF('ASS END SYNC'!C447="SHOW",MID('ASS END SYNC'!E447,S443+2,1000),"")</f>
        <v/>
      </c>
      <c r="Z443" s="24"/>
    </row>
    <row r="444" spans="1:26" x14ac:dyDescent="0.25">
      <c r="A444" s="26">
        <v>441</v>
      </c>
      <c r="B444" s="24" t="str">
        <f>IF('ASS START SYNC'!C448="SHOW",FIND(",",'ASS START SYNC'!E448,1),"")</f>
        <v/>
      </c>
      <c r="C444" s="24" t="str">
        <f>IF('ASS START SYNC'!C448="SHOW",FIND(",",'ASS START SYNC'!E448,B444+1),"")</f>
        <v/>
      </c>
      <c r="D444" s="24" t="str">
        <f>IF('ASS START SYNC'!C448="SHOW",FIND(",",'ASS START SYNC'!E448,C444+1),"")</f>
        <v/>
      </c>
      <c r="E444" s="25" t="str">
        <f>IF('ASS START SYNC'!C448="SHOW",FIND(",,",'ASS START SYNC'!E448,1),"")</f>
        <v/>
      </c>
      <c r="F444" s="25" t="str">
        <f>IF('ASS START SYNC'!C448="SHOW",FIND(",,",'ASS START SYNC'!E448,E444+1),"")</f>
        <v/>
      </c>
      <c r="G444" s="23" t="str">
        <f>IF('ASS START SYNC'!C448="SHOW",LEFT('ASS START SYNC'!E448,B444),"")</f>
        <v/>
      </c>
      <c r="H444" s="24" t="str">
        <f>IF(AND('ASS START SYNC'!C448="SHOW",COUNTA('ASS START SYNC'!$E$8:'ASS START SYNC'!E447)=0),MID('ASS START SYNC'!E448,B444+1,C444-B444-1),IF(AND('ASS START SYNC'!C448="SHOW",COUNTA('ASS START SYNC'!$E$8:'ASS START SYNC'!E447)&lt;&gt;0),I443,""))</f>
        <v/>
      </c>
      <c r="I444" s="24" t="str">
        <f>IF('ASS START SYNC'!C448="SHOW",MID('ASS START SYNC'!E448,C444+1,D444-C444-1),I443)</f>
        <v/>
      </c>
      <c r="J444" s="23" t="str">
        <f>IF('ASS START SYNC'!C448="SHOW",MID('ASS START SYNC'!E448,D444+1,F444-D444+1),"")</f>
        <v/>
      </c>
      <c r="K444" s="23" t="str">
        <f>IF('ASS START SYNC'!C448="SHOW",MID('ASS START SYNC'!E448,F444+2,1000),"")</f>
        <v/>
      </c>
      <c r="M444" s="24"/>
      <c r="N444" s="26">
        <v>441</v>
      </c>
      <c r="O444" s="24" t="str">
        <f>IF('ASS END SYNC'!C448="SHOW",FIND(",",'ASS END SYNC'!E448,1),"")</f>
        <v/>
      </c>
      <c r="P444" s="24" t="str">
        <f>IF('ASS END SYNC'!C448="SHOW",FIND(",",'ASS END SYNC'!E448,O444+1),"")</f>
        <v/>
      </c>
      <c r="Q444" s="24" t="str">
        <f>IF('ASS END SYNC'!C448="SHOW",FIND(",",'ASS END SYNC'!E448,P444+1),"")</f>
        <v/>
      </c>
      <c r="R444" s="25" t="str">
        <f>IF('ASS END SYNC'!C448="SHOW",FIND(",,",'ASS END SYNC'!E448,1),"")</f>
        <v/>
      </c>
      <c r="S444" s="25" t="str">
        <f>IF('ASS END SYNC'!C448="SHOW",FIND(",,",'ASS END SYNC'!E448,R444+1),"")</f>
        <v/>
      </c>
      <c r="T444" s="23" t="str">
        <f>IF('ASS END SYNC'!C448="SHOW",LEFT('ASS END SYNC'!E448,O444),"")</f>
        <v/>
      </c>
      <c r="U444" s="24" t="str">
        <f>IF('ASS END SYNC'!C448="SHOW",MID('ASS END SYNC'!E448,O444+1,P444-O444-1),"")</f>
        <v/>
      </c>
      <c r="V444" s="24" t="str">
        <f>IF(AND('ASS END SYNC'!C448="SHOW",'ASS END SYNC'!C449="SHOW"),U445,IF(AND('ASS END SYNC'!C448="SHOW",'ASS END SYNC'!C449&lt;&gt;"SHOW"),MID('ASS END SYNC'!E448,O444+1,P444-O444-1),""))</f>
        <v/>
      </c>
      <c r="W444" s="23" t="str">
        <f>IF('ASS END SYNC'!C448="SHOW",MID('ASS END SYNC'!E448,Q444+1,S444-Q444+1),"")</f>
        <v/>
      </c>
      <c r="X444" s="23" t="str">
        <f>IF('ASS END SYNC'!C448="SHOW",MID('ASS END SYNC'!E448,S444+2,1000),"")</f>
        <v/>
      </c>
      <c r="Z444" s="24"/>
    </row>
    <row r="445" spans="1:26" x14ac:dyDescent="0.25">
      <c r="A445" s="26">
        <v>442</v>
      </c>
      <c r="B445" s="24" t="str">
        <f>IF('ASS START SYNC'!C449="SHOW",FIND(",",'ASS START SYNC'!E449,1),"")</f>
        <v/>
      </c>
      <c r="C445" s="24" t="str">
        <f>IF('ASS START SYNC'!C449="SHOW",FIND(",",'ASS START SYNC'!E449,B445+1),"")</f>
        <v/>
      </c>
      <c r="D445" s="24" t="str">
        <f>IF('ASS START SYNC'!C449="SHOW",FIND(",",'ASS START SYNC'!E449,C445+1),"")</f>
        <v/>
      </c>
      <c r="E445" s="25" t="str">
        <f>IF('ASS START SYNC'!C449="SHOW",FIND(",,",'ASS START SYNC'!E449,1),"")</f>
        <v/>
      </c>
      <c r="F445" s="25" t="str">
        <f>IF('ASS START SYNC'!C449="SHOW",FIND(",,",'ASS START SYNC'!E449,E445+1),"")</f>
        <v/>
      </c>
      <c r="G445" s="23" t="str">
        <f>IF('ASS START SYNC'!C449="SHOW",LEFT('ASS START SYNC'!E449,B445),"")</f>
        <v/>
      </c>
      <c r="H445" s="24" t="str">
        <f>IF(AND('ASS START SYNC'!C449="SHOW",COUNTA('ASS START SYNC'!$E$8:'ASS START SYNC'!E448)=0),MID('ASS START SYNC'!E449,B445+1,C445-B445-1),IF(AND('ASS START SYNC'!C449="SHOW",COUNTA('ASS START SYNC'!$E$8:'ASS START SYNC'!E448)&lt;&gt;0),I444,""))</f>
        <v/>
      </c>
      <c r="I445" s="24" t="str">
        <f>IF('ASS START SYNC'!C449="SHOW",MID('ASS START SYNC'!E449,C445+1,D445-C445-1),I444)</f>
        <v/>
      </c>
      <c r="J445" s="23" t="str">
        <f>IF('ASS START SYNC'!C449="SHOW",MID('ASS START SYNC'!E449,D445+1,F445-D445+1),"")</f>
        <v/>
      </c>
      <c r="K445" s="23" t="str">
        <f>IF('ASS START SYNC'!C449="SHOW",MID('ASS START SYNC'!E449,F445+2,1000),"")</f>
        <v/>
      </c>
      <c r="M445" s="24"/>
      <c r="N445" s="26">
        <v>442</v>
      </c>
      <c r="O445" s="24" t="str">
        <f>IF('ASS END SYNC'!C449="SHOW",FIND(",",'ASS END SYNC'!E449,1),"")</f>
        <v/>
      </c>
      <c r="P445" s="24" t="str">
        <f>IF('ASS END SYNC'!C449="SHOW",FIND(",",'ASS END SYNC'!E449,O445+1),"")</f>
        <v/>
      </c>
      <c r="Q445" s="24" t="str">
        <f>IF('ASS END SYNC'!C449="SHOW",FIND(",",'ASS END SYNC'!E449,P445+1),"")</f>
        <v/>
      </c>
      <c r="R445" s="25" t="str">
        <f>IF('ASS END SYNC'!C449="SHOW",FIND(",,",'ASS END SYNC'!E449,1),"")</f>
        <v/>
      </c>
      <c r="S445" s="25" t="str">
        <f>IF('ASS END SYNC'!C449="SHOW",FIND(",,",'ASS END SYNC'!E449,R445+1),"")</f>
        <v/>
      </c>
      <c r="T445" s="23" t="str">
        <f>IF('ASS END SYNC'!C449="SHOW",LEFT('ASS END SYNC'!E449,O445),"")</f>
        <v/>
      </c>
      <c r="U445" s="24" t="str">
        <f>IF('ASS END SYNC'!C449="SHOW",MID('ASS END SYNC'!E449,O445+1,P445-O445-1),"")</f>
        <v/>
      </c>
      <c r="V445" s="24" t="str">
        <f>IF(AND('ASS END SYNC'!C449="SHOW",'ASS END SYNC'!C450="SHOW"),U446,IF(AND('ASS END SYNC'!C449="SHOW",'ASS END SYNC'!C450&lt;&gt;"SHOW"),MID('ASS END SYNC'!E449,O445+1,P445-O445-1),""))</f>
        <v/>
      </c>
      <c r="W445" s="23" t="str">
        <f>IF('ASS END SYNC'!C449="SHOW",MID('ASS END SYNC'!E449,Q445+1,S445-Q445+1),"")</f>
        <v/>
      </c>
      <c r="X445" s="23" t="str">
        <f>IF('ASS END SYNC'!C449="SHOW",MID('ASS END SYNC'!E449,S445+2,1000),"")</f>
        <v/>
      </c>
      <c r="Z445" s="24"/>
    </row>
    <row r="446" spans="1:26" x14ac:dyDescent="0.25">
      <c r="A446" s="26">
        <v>443</v>
      </c>
      <c r="B446" s="24" t="str">
        <f>IF('ASS START SYNC'!C450="SHOW",FIND(",",'ASS START SYNC'!E450,1),"")</f>
        <v/>
      </c>
      <c r="C446" s="24" t="str">
        <f>IF('ASS START SYNC'!C450="SHOW",FIND(",",'ASS START SYNC'!E450,B446+1),"")</f>
        <v/>
      </c>
      <c r="D446" s="24" t="str">
        <f>IF('ASS START SYNC'!C450="SHOW",FIND(",",'ASS START SYNC'!E450,C446+1),"")</f>
        <v/>
      </c>
      <c r="E446" s="25" t="str">
        <f>IF('ASS START SYNC'!C450="SHOW",FIND(",,",'ASS START SYNC'!E450,1),"")</f>
        <v/>
      </c>
      <c r="F446" s="25" t="str">
        <f>IF('ASS START SYNC'!C450="SHOW",FIND(",,",'ASS START SYNC'!E450,E446+1),"")</f>
        <v/>
      </c>
      <c r="G446" s="23" t="str">
        <f>IF('ASS START SYNC'!C450="SHOW",LEFT('ASS START SYNC'!E450,B446),"")</f>
        <v/>
      </c>
      <c r="H446" s="24" t="str">
        <f>IF(AND('ASS START SYNC'!C450="SHOW",COUNTA('ASS START SYNC'!$E$8:'ASS START SYNC'!E449)=0),MID('ASS START SYNC'!E450,B446+1,C446-B446-1),IF(AND('ASS START SYNC'!C450="SHOW",COUNTA('ASS START SYNC'!$E$8:'ASS START SYNC'!E449)&lt;&gt;0),I445,""))</f>
        <v/>
      </c>
      <c r="I446" s="24" t="str">
        <f>IF('ASS START SYNC'!C450="SHOW",MID('ASS START SYNC'!E450,C446+1,D446-C446-1),I445)</f>
        <v/>
      </c>
      <c r="J446" s="23" t="str">
        <f>IF('ASS START SYNC'!C450="SHOW",MID('ASS START SYNC'!E450,D446+1,F446-D446+1),"")</f>
        <v/>
      </c>
      <c r="K446" s="23" t="str">
        <f>IF('ASS START SYNC'!C450="SHOW",MID('ASS START SYNC'!E450,F446+2,1000),"")</f>
        <v/>
      </c>
      <c r="M446" s="24"/>
      <c r="N446" s="26">
        <v>443</v>
      </c>
      <c r="O446" s="24" t="str">
        <f>IF('ASS END SYNC'!C450="SHOW",FIND(",",'ASS END SYNC'!E450,1),"")</f>
        <v/>
      </c>
      <c r="P446" s="24" t="str">
        <f>IF('ASS END SYNC'!C450="SHOW",FIND(",",'ASS END SYNC'!E450,O446+1),"")</f>
        <v/>
      </c>
      <c r="Q446" s="24" t="str">
        <f>IF('ASS END SYNC'!C450="SHOW",FIND(",",'ASS END SYNC'!E450,P446+1),"")</f>
        <v/>
      </c>
      <c r="R446" s="25" t="str">
        <f>IF('ASS END SYNC'!C450="SHOW",FIND(",,",'ASS END SYNC'!E450,1),"")</f>
        <v/>
      </c>
      <c r="S446" s="25" t="str">
        <f>IF('ASS END SYNC'!C450="SHOW",FIND(",,",'ASS END SYNC'!E450,R446+1),"")</f>
        <v/>
      </c>
      <c r="T446" s="23" t="str">
        <f>IF('ASS END SYNC'!C450="SHOW",LEFT('ASS END SYNC'!E450,O446),"")</f>
        <v/>
      </c>
      <c r="U446" s="24" t="str">
        <f>IF('ASS END SYNC'!C450="SHOW",MID('ASS END SYNC'!E450,O446+1,P446-O446-1),"")</f>
        <v/>
      </c>
      <c r="V446" s="24" t="str">
        <f>IF(AND('ASS END SYNC'!C450="SHOW",'ASS END SYNC'!C451="SHOW"),U447,IF(AND('ASS END SYNC'!C450="SHOW",'ASS END SYNC'!C451&lt;&gt;"SHOW"),MID('ASS END SYNC'!E450,O446+1,P446-O446-1),""))</f>
        <v/>
      </c>
      <c r="W446" s="23" t="str">
        <f>IF('ASS END SYNC'!C450="SHOW",MID('ASS END SYNC'!E450,Q446+1,S446-Q446+1),"")</f>
        <v/>
      </c>
      <c r="X446" s="23" t="str">
        <f>IF('ASS END SYNC'!C450="SHOW",MID('ASS END SYNC'!E450,S446+2,1000),"")</f>
        <v/>
      </c>
      <c r="Z446" s="24"/>
    </row>
    <row r="447" spans="1:26" x14ac:dyDescent="0.25">
      <c r="A447" s="26">
        <v>444</v>
      </c>
      <c r="B447" s="24" t="str">
        <f>IF('ASS START SYNC'!C451="SHOW",FIND(",",'ASS START SYNC'!E451,1),"")</f>
        <v/>
      </c>
      <c r="C447" s="24" t="str">
        <f>IF('ASS START SYNC'!C451="SHOW",FIND(",",'ASS START SYNC'!E451,B447+1),"")</f>
        <v/>
      </c>
      <c r="D447" s="24" t="str">
        <f>IF('ASS START SYNC'!C451="SHOW",FIND(",",'ASS START SYNC'!E451,C447+1),"")</f>
        <v/>
      </c>
      <c r="E447" s="25" t="str">
        <f>IF('ASS START SYNC'!C451="SHOW",FIND(",,",'ASS START SYNC'!E451,1),"")</f>
        <v/>
      </c>
      <c r="F447" s="25" t="str">
        <f>IF('ASS START SYNC'!C451="SHOW",FIND(",,",'ASS START SYNC'!E451,E447+1),"")</f>
        <v/>
      </c>
      <c r="G447" s="23" t="str">
        <f>IF('ASS START SYNC'!C451="SHOW",LEFT('ASS START SYNC'!E451,B447),"")</f>
        <v/>
      </c>
      <c r="H447" s="24" t="str">
        <f>IF(AND('ASS START SYNC'!C451="SHOW",COUNTA('ASS START SYNC'!$E$8:'ASS START SYNC'!E450)=0),MID('ASS START SYNC'!E451,B447+1,C447-B447-1),IF(AND('ASS START SYNC'!C451="SHOW",COUNTA('ASS START SYNC'!$E$8:'ASS START SYNC'!E450)&lt;&gt;0),I446,""))</f>
        <v/>
      </c>
      <c r="I447" s="24" t="str">
        <f>IF('ASS START SYNC'!C451="SHOW",MID('ASS START SYNC'!E451,C447+1,D447-C447-1),I446)</f>
        <v/>
      </c>
      <c r="J447" s="23" t="str">
        <f>IF('ASS START SYNC'!C451="SHOW",MID('ASS START SYNC'!E451,D447+1,F447-D447+1),"")</f>
        <v/>
      </c>
      <c r="K447" s="23" t="str">
        <f>IF('ASS START SYNC'!C451="SHOW",MID('ASS START SYNC'!E451,F447+2,1000),"")</f>
        <v/>
      </c>
      <c r="M447" s="24"/>
      <c r="N447" s="26">
        <v>444</v>
      </c>
      <c r="O447" s="24" t="str">
        <f>IF('ASS END SYNC'!C451="SHOW",FIND(",",'ASS END SYNC'!E451,1),"")</f>
        <v/>
      </c>
      <c r="P447" s="24" t="str">
        <f>IF('ASS END SYNC'!C451="SHOW",FIND(",",'ASS END SYNC'!E451,O447+1),"")</f>
        <v/>
      </c>
      <c r="Q447" s="24" t="str">
        <f>IF('ASS END SYNC'!C451="SHOW",FIND(",",'ASS END SYNC'!E451,P447+1),"")</f>
        <v/>
      </c>
      <c r="R447" s="25" t="str">
        <f>IF('ASS END SYNC'!C451="SHOW",FIND(",,",'ASS END SYNC'!E451,1),"")</f>
        <v/>
      </c>
      <c r="S447" s="25" t="str">
        <f>IF('ASS END SYNC'!C451="SHOW",FIND(",,",'ASS END SYNC'!E451,R447+1),"")</f>
        <v/>
      </c>
      <c r="T447" s="23" t="str">
        <f>IF('ASS END SYNC'!C451="SHOW",LEFT('ASS END SYNC'!E451,O447),"")</f>
        <v/>
      </c>
      <c r="U447" s="24" t="str">
        <f>IF('ASS END SYNC'!C451="SHOW",MID('ASS END SYNC'!E451,O447+1,P447-O447-1),"")</f>
        <v/>
      </c>
      <c r="V447" s="24" t="str">
        <f>IF(AND('ASS END SYNC'!C451="SHOW",'ASS END SYNC'!C452="SHOW"),U448,IF(AND('ASS END SYNC'!C451="SHOW",'ASS END SYNC'!C452&lt;&gt;"SHOW"),MID('ASS END SYNC'!E451,O447+1,P447-O447-1),""))</f>
        <v/>
      </c>
      <c r="W447" s="23" t="str">
        <f>IF('ASS END SYNC'!C451="SHOW",MID('ASS END SYNC'!E451,Q447+1,S447-Q447+1),"")</f>
        <v/>
      </c>
      <c r="X447" s="23" t="str">
        <f>IF('ASS END SYNC'!C451="SHOW",MID('ASS END SYNC'!E451,S447+2,1000),"")</f>
        <v/>
      </c>
      <c r="Z447" s="24"/>
    </row>
    <row r="448" spans="1:26" x14ac:dyDescent="0.25">
      <c r="A448" s="26">
        <v>445</v>
      </c>
      <c r="B448" s="24" t="str">
        <f>IF('ASS START SYNC'!C452="SHOW",FIND(",",'ASS START SYNC'!E452,1),"")</f>
        <v/>
      </c>
      <c r="C448" s="24" t="str">
        <f>IF('ASS START SYNC'!C452="SHOW",FIND(",",'ASS START SYNC'!E452,B448+1),"")</f>
        <v/>
      </c>
      <c r="D448" s="24" t="str">
        <f>IF('ASS START SYNC'!C452="SHOW",FIND(",",'ASS START SYNC'!E452,C448+1),"")</f>
        <v/>
      </c>
      <c r="E448" s="25" t="str">
        <f>IF('ASS START SYNC'!C452="SHOW",FIND(",,",'ASS START SYNC'!E452,1),"")</f>
        <v/>
      </c>
      <c r="F448" s="25" t="str">
        <f>IF('ASS START SYNC'!C452="SHOW",FIND(",,",'ASS START SYNC'!E452,E448+1),"")</f>
        <v/>
      </c>
      <c r="G448" s="23" t="str">
        <f>IF('ASS START SYNC'!C452="SHOW",LEFT('ASS START SYNC'!E452,B448),"")</f>
        <v/>
      </c>
      <c r="H448" s="24" t="str">
        <f>IF(AND('ASS START SYNC'!C452="SHOW",COUNTA('ASS START SYNC'!$E$8:'ASS START SYNC'!E451)=0),MID('ASS START SYNC'!E452,B448+1,C448-B448-1),IF(AND('ASS START SYNC'!C452="SHOW",COUNTA('ASS START SYNC'!$E$8:'ASS START SYNC'!E451)&lt;&gt;0),I447,""))</f>
        <v/>
      </c>
      <c r="I448" s="24" t="str">
        <f>IF('ASS START SYNC'!C452="SHOW",MID('ASS START SYNC'!E452,C448+1,D448-C448-1),I447)</f>
        <v/>
      </c>
      <c r="J448" s="23" t="str">
        <f>IF('ASS START SYNC'!C452="SHOW",MID('ASS START SYNC'!E452,D448+1,F448-D448+1),"")</f>
        <v/>
      </c>
      <c r="K448" s="23" t="str">
        <f>IF('ASS START SYNC'!C452="SHOW",MID('ASS START SYNC'!E452,F448+2,1000),"")</f>
        <v/>
      </c>
      <c r="M448" s="24"/>
      <c r="N448" s="26">
        <v>445</v>
      </c>
      <c r="O448" s="24" t="str">
        <f>IF('ASS END SYNC'!C452="SHOW",FIND(",",'ASS END SYNC'!E452,1),"")</f>
        <v/>
      </c>
      <c r="P448" s="24" t="str">
        <f>IF('ASS END SYNC'!C452="SHOW",FIND(",",'ASS END SYNC'!E452,O448+1),"")</f>
        <v/>
      </c>
      <c r="Q448" s="24" t="str">
        <f>IF('ASS END SYNC'!C452="SHOW",FIND(",",'ASS END SYNC'!E452,P448+1),"")</f>
        <v/>
      </c>
      <c r="R448" s="25" t="str">
        <f>IF('ASS END SYNC'!C452="SHOW",FIND(",,",'ASS END SYNC'!E452,1),"")</f>
        <v/>
      </c>
      <c r="S448" s="25" t="str">
        <f>IF('ASS END SYNC'!C452="SHOW",FIND(",,",'ASS END SYNC'!E452,R448+1),"")</f>
        <v/>
      </c>
      <c r="T448" s="23" t="str">
        <f>IF('ASS END SYNC'!C452="SHOW",LEFT('ASS END SYNC'!E452,O448),"")</f>
        <v/>
      </c>
      <c r="U448" s="24" t="str">
        <f>IF('ASS END SYNC'!C452="SHOW",MID('ASS END SYNC'!E452,O448+1,P448-O448-1),"")</f>
        <v/>
      </c>
      <c r="V448" s="24" t="str">
        <f>IF(AND('ASS END SYNC'!C452="SHOW",'ASS END SYNC'!C453="SHOW"),U449,IF(AND('ASS END SYNC'!C452="SHOW",'ASS END SYNC'!C453&lt;&gt;"SHOW"),MID('ASS END SYNC'!E452,O448+1,P448-O448-1),""))</f>
        <v/>
      </c>
      <c r="W448" s="23" t="str">
        <f>IF('ASS END SYNC'!C452="SHOW",MID('ASS END SYNC'!E452,Q448+1,S448-Q448+1),"")</f>
        <v/>
      </c>
      <c r="X448" s="23" t="str">
        <f>IF('ASS END SYNC'!C452="SHOW",MID('ASS END SYNC'!E452,S448+2,1000),"")</f>
        <v/>
      </c>
      <c r="Z448" s="24"/>
    </row>
    <row r="449" spans="1:26" x14ac:dyDescent="0.25">
      <c r="A449" s="26">
        <v>446</v>
      </c>
      <c r="B449" s="24" t="str">
        <f>IF('ASS START SYNC'!C453="SHOW",FIND(",",'ASS START SYNC'!E453,1),"")</f>
        <v/>
      </c>
      <c r="C449" s="24" t="str">
        <f>IF('ASS START SYNC'!C453="SHOW",FIND(",",'ASS START SYNC'!E453,B449+1),"")</f>
        <v/>
      </c>
      <c r="D449" s="24" t="str">
        <f>IF('ASS START SYNC'!C453="SHOW",FIND(",",'ASS START SYNC'!E453,C449+1),"")</f>
        <v/>
      </c>
      <c r="E449" s="25" t="str">
        <f>IF('ASS START SYNC'!C453="SHOW",FIND(",,",'ASS START SYNC'!E453,1),"")</f>
        <v/>
      </c>
      <c r="F449" s="25" t="str">
        <f>IF('ASS START SYNC'!C453="SHOW",FIND(",,",'ASS START SYNC'!E453,E449+1),"")</f>
        <v/>
      </c>
      <c r="G449" s="23" t="str">
        <f>IF('ASS START SYNC'!C453="SHOW",LEFT('ASS START SYNC'!E453,B449),"")</f>
        <v/>
      </c>
      <c r="H449" s="24" t="str">
        <f>IF(AND('ASS START SYNC'!C453="SHOW",COUNTA('ASS START SYNC'!$E$8:'ASS START SYNC'!E452)=0),MID('ASS START SYNC'!E453,B449+1,C449-B449-1),IF(AND('ASS START SYNC'!C453="SHOW",COUNTA('ASS START SYNC'!$E$8:'ASS START SYNC'!E452)&lt;&gt;0),I448,""))</f>
        <v/>
      </c>
      <c r="I449" s="24" t="str">
        <f>IF('ASS START SYNC'!C453="SHOW",MID('ASS START SYNC'!E453,C449+1,D449-C449-1),I448)</f>
        <v/>
      </c>
      <c r="J449" s="23" t="str">
        <f>IF('ASS START SYNC'!C453="SHOW",MID('ASS START SYNC'!E453,D449+1,F449-D449+1),"")</f>
        <v/>
      </c>
      <c r="K449" s="23" t="str">
        <f>IF('ASS START SYNC'!C453="SHOW",MID('ASS START SYNC'!E453,F449+2,1000),"")</f>
        <v/>
      </c>
      <c r="M449" s="24"/>
      <c r="N449" s="26">
        <v>446</v>
      </c>
      <c r="O449" s="24" t="str">
        <f>IF('ASS END SYNC'!C453="SHOW",FIND(",",'ASS END SYNC'!E453,1),"")</f>
        <v/>
      </c>
      <c r="P449" s="24" t="str">
        <f>IF('ASS END SYNC'!C453="SHOW",FIND(",",'ASS END SYNC'!E453,O449+1),"")</f>
        <v/>
      </c>
      <c r="Q449" s="24" t="str">
        <f>IF('ASS END SYNC'!C453="SHOW",FIND(",",'ASS END SYNC'!E453,P449+1),"")</f>
        <v/>
      </c>
      <c r="R449" s="25" t="str">
        <f>IF('ASS END SYNC'!C453="SHOW",FIND(",,",'ASS END SYNC'!E453,1),"")</f>
        <v/>
      </c>
      <c r="S449" s="25" t="str">
        <f>IF('ASS END SYNC'!C453="SHOW",FIND(",,",'ASS END SYNC'!E453,R449+1),"")</f>
        <v/>
      </c>
      <c r="T449" s="23" t="str">
        <f>IF('ASS END SYNC'!C453="SHOW",LEFT('ASS END SYNC'!E453,O449),"")</f>
        <v/>
      </c>
      <c r="U449" s="24" t="str">
        <f>IF('ASS END SYNC'!C453="SHOW",MID('ASS END SYNC'!E453,O449+1,P449-O449-1),"")</f>
        <v/>
      </c>
      <c r="V449" s="24" t="str">
        <f>IF(AND('ASS END SYNC'!C453="SHOW",'ASS END SYNC'!C454="SHOW"),U450,IF(AND('ASS END SYNC'!C453="SHOW",'ASS END SYNC'!C454&lt;&gt;"SHOW"),MID('ASS END SYNC'!E453,O449+1,P449-O449-1),""))</f>
        <v/>
      </c>
      <c r="W449" s="23" t="str">
        <f>IF('ASS END SYNC'!C453="SHOW",MID('ASS END SYNC'!E453,Q449+1,S449-Q449+1),"")</f>
        <v/>
      </c>
      <c r="X449" s="23" t="str">
        <f>IF('ASS END SYNC'!C453="SHOW",MID('ASS END SYNC'!E453,S449+2,1000),"")</f>
        <v/>
      </c>
      <c r="Z449" s="24"/>
    </row>
    <row r="450" spans="1:26" x14ac:dyDescent="0.25">
      <c r="A450" s="26">
        <v>447</v>
      </c>
      <c r="B450" s="24" t="str">
        <f>IF('ASS START SYNC'!C454="SHOW",FIND(",",'ASS START SYNC'!E454,1),"")</f>
        <v/>
      </c>
      <c r="C450" s="24" t="str">
        <f>IF('ASS START SYNC'!C454="SHOW",FIND(",",'ASS START SYNC'!E454,B450+1),"")</f>
        <v/>
      </c>
      <c r="D450" s="24" t="str">
        <f>IF('ASS START SYNC'!C454="SHOW",FIND(",",'ASS START SYNC'!E454,C450+1),"")</f>
        <v/>
      </c>
      <c r="E450" s="25" t="str">
        <f>IF('ASS START SYNC'!C454="SHOW",FIND(",,",'ASS START SYNC'!E454,1),"")</f>
        <v/>
      </c>
      <c r="F450" s="25" t="str">
        <f>IF('ASS START SYNC'!C454="SHOW",FIND(",,",'ASS START SYNC'!E454,E450+1),"")</f>
        <v/>
      </c>
      <c r="G450" s="23" t="str">
        <f>IF('ASS START SYNC'!C454="SHOW",LEFT('ASS START SYNC'!E454,B450),"")</f>
        <v/>
      </c>
      <c r="H450" s="24" t="str">
        <f>IF(AND('ASS START SYNC'!C454="SHOW",COUNTA('ASS START SYNC'!$E$8:'ASS START SYNC'!E453)=0),MID('ASS START SYNC'!E454,B450+1,C450-B450-1),IF(AND('ASS START SYNC'!C454="SHOW",COUNTA('ASS START SYNC'!$E$8:'ASS START SYNC'!E453)&lt;&gt;0),I449,""))</f>
        <v/>
      </c>
      <c r="I450" s="24" t="str">
        <f>IF('ASS START SYNC'!C454="SHOW",MID('ASS START SYNC'!E454,C450+1,D450-C450-1),I449)</f>
        <v/>
      </c>
      <c r="J450" s="23" t="str">
        <f>IF('ASS START SYNC'!C454="SHOW",MID('ASS START SYNC'!E454,D450+1,F450-D450+1),"")</f>
        <v/>
      </c>
      <c r="K450" s="23" t="str">
        <f>IF('ASS START SYNC'!C454="SHOW",MID('ASS START SYNC'!E454,F450+2,1000),"")</f>
        <v/>
      </c>
      <c r="M450" s="24"/>
      <c r="N450" s="26">
        <v>447</v>
      </c>
      <c r="O450" s="24" t="str">
        <f>IF('ASS END SYNC'!C454="SHOW",FIND(",",'ASS END SYNC'!E454,1),"")</f>
        <v/>
      </c>
      <c r="P450" s="24" t="str">
        <f>IF('ASS END SYNC'!C454="SHOW",FIND(",",'ASS END SYNC'!E454,O450+1),"")</f>
        <v/>
      </c>
      <c r="Q450" s="24" t="str">
        <f>IF('ASS END SYNC'!C454="SHOW",FIND(",",'ASS END SYNC'!E454,P450+1),"")</f>
        <v/>
      </c>
      <c r="R450" s="25" t="str">
        <f>IF('ASS END SYNC'!C454="SHOW",FIND(",,",'ASS END SYNC'!E454,1),"")</f>
        <v/>
      </c>
      <c r="S450" s="25" t="str">
        <f>IF('ASS END SYNC'!C454="SHOW",FIND(",,",'ASS END SYNC'!E454,R450+1),"")</f>
        <v/>
      </c>
      <c r="T450" s="23" t="str">
        <f>IF('ASS END SYNC'!C454="SHOW",LEFT('ASS END SYNC'!E454,O450),"")</f>
        <v/>
      </c>
      <c r="U450" s="24" t="str">
        <f>IF('ASS END SYNC'!C454="SHOW",MID('ASS END SYNC'!E454,O450+1,P450-O450-1),"")</f>
        <v/>
      </c>
      <c r="V450" s="24" t="str">
        <f>IF(AND('ASS END SYNC'!C454="SHOW",'ASS END SYNC'!C455="SHOW"),U451,IF(AND('ASS END SYNC'!C454="SHOW",'ASS END SYNC'!C455&lt;&gt;"SHOW"),MID('ASS END SYNC'!E454,O450+1,P450-O450-1),""))</f>
        <v/>
      </c>
      <c r="W450" s="23" t="str">
        <f>IF('ASS END SYNC'!C454="SHOW",MID('ASS END SYNC'!E454,Q450+1,S450-Q450+1),"")</f>
        <v/>
      </c>
      <c r="X450" s="23" t="str">
        <f>IF('ASS END SYNC'!C454="SHOW",MID('ASS END SYNC'!E454,S450+2,1000),"")</f>
        <v/>
      </c>
      <c r="Z450" s="24"/>
    </row>
    <row r="451" spans="1:26" x14ac:dyDescent="0.25">
      <c r="A451" s="26">
        <v>448</v>
      </c>
      <c r="B451" s="24" t="str">
        <f>IF('ASS START SYNC'!C455="SHOW",FIND(",",'ASS START SYNC'!E455,1),"")</f>
        <v/>
      </c>
      <c r="C451" s="24" t="str">
        <f>IF('ASS START SYNC'!C455="SHOW",FIND(",",'ASS START SYNC'!E455,B451+1),"")</f>
        <v/>
      </c>
      <c r="D451" s="24" t="str">
        <f>IF('ASS START SYNC'!C455="SHOW",FIND(",",'ASS START SYNC'!E455,C451+1),"")</f>
        <v/>
      </c>
      <c r="E451" s="25" t="str">
        <f>IF('ASS START SYNC'!C455="SHOW",FIND(",,",'ASS START SYNC'!E455,1),"")</f>
        <v/>
      </c>
      <c r="F451" s="25" t="str">
        <f>IF('ASS START SYNC'!C455="SHOW",FIND(",,",'ASS START SYNC'!E455,E451+1),"")</f>
        <v/>
      </c>
      <c r="G451" s="23" t="str">
        <f>IF('ASS START SYNC'!C455="SHOW",LEFT('ASS START SYNC'!E455,B451),"")</f>
        <v/>
      </c>
      <c r="H451" s="24" t="str">
        <f>IF(AND('ASS START SYNC'!C455="SHOW",COUNTA('ASS START SYNC'!$E$8:'ASS START SYNC'!E454)=0),MID('ASS START SYNC'!E455,B451+1,C451-B451-1),IF(AND('ASS START SYNC'!C455="SHOW",COUNTA('ASS START SYNC'!$E$8:'ASS START SYNC'!E454)&lt;&gt;0),I450,""))</f>
        <v/>
      </c>
      <c r="I451" s="24" t="str">
        <f>IF('ASS START SYNC'!C455="SHOW",MID('ASS START SYNC'!E455,C451+1,D451-C451-1),I450)</f>
        <v/>
      </c>
      <c r="J451" s="23" t="str">
        <f>IF('ASS START SYNC'!C455="SHOW",MID('ASS START SYNC'!E455,D451+1,F451-D451+1),"")</f>
        <v/>
      </c>
      <c r="K451" s="23" t="str">
        <f>IF('ASS START SYNC'!C455="SHOW",MID('ASS START SYNC'!E455,F451+2,1000),"")</f>
        <v/>
      </c>
      <c r="M451" s="24"/>
      <c r="N451" s="26">
        <v>448</v>
      </c>
      <c r="O451" s="24" t="str">
        <f>IF('ASS END SYNC'!C455="SHOW",FIND(",",'ASS END SYNC'!E455,1),"")</f>
        <v/>
      </c>
      <c r="P451" s="24" t="str">
        <f>IF('ASS END SYNC'!C455="SHOW",FIND(",",'ASS END SYNC'!E455,O451+1),"")</f>
        <v/>
      </c>
      <c r="Q451" s="24" t="str">
        <f>IF('ASS END SYNC'!C455="SHOW",FIND(",",'ASS END SYNC'!E455,P451+1),"")</f>
        <v/>
      </c>
      <c r="R451" s="25" t="str">
        <f>IF('ASS END SYNC'!C455="SHOW",FIND(",,",'ASS END SYNC'!E455,1),"")</f>
        <v/>
      </c>
      <c r="S451" s="25" t="str">
        <f>IF('ASS END SYNC'!C455="SHOW",FIND(",,",'ASS END SYNC'!E455,R451+1),"")</f>
        <v/>
      </c>
      <c r="T451" s="23" t="str">
        <f>IF('ASS END SYNC'!C455="SHOW",LEFT('ASS END SYNC'!E455,O451),"")</f>
        <v/>
      </c>
      <c r="U451" s="24" t="str">
        <f>IF('ASS END SYNC'!C455="SHOW",MID('ASS END SYNC'!E455,O451+1,P451-O451-1),"")</f>
        <v/>
      </c>
      <c r="V451" s="24" t="str">
        <f>IF(AND('ASS END SYNC'!C455="SHOW",'ASS END SYNC'!C456="SHOW"),U452,IF(AND('ASS END SYNC'!C455="SHOW",'ASS END SYNC'!C456&lt;&gt;"SHOW"),MID('ASS END SYNC'!E455,O451+1,P451-O451-1),""))</f>
        <v/>
      </c>
      <c r="W451" s="23" t="str">
        <f>IF('ASS END SYNC'!C455="SHOW",MID('ASS END SYNC'!E455,Q451+1,S451-Q451+1),"")</f>
        <v/>
      </c>
      <c r="X451" s="23" t="str">
        <f>IF('ASS END SYNC'!C455="SHOW",MID('ASS END SYNC'!E455,S451+2,1000),"")</f>
        <v/>
      </c>
      <c r="Z451" s="24"/>
    </row>
    <row r="452" spans="1:26" x14ac:dyDescent="0.25">
      <c r="A452" s="26">
        <v>449</v>
      </c>
      <c r="B452" s="24" t="str">
        <f>IF('ASS START SYNC'!C456="SHOW",FIND(",",'ASS START SYNC'!E456,1),"")</f>
        <v/>
      </c>
      <c r="C452" s="24" t="str">
        <f>IF('ASS START SYNC'!C456="SHOW",FIND(",",'ASS START SYNC'!E456,B452+1),"")</f>
        <v/>
      </c>
      <c r="D452" s="24" t="str">
        <f>IF('ASS START SYNC'!C456="SHOW",FIND(",",'ASS START SYNC'!E456,C452+1),"")</f>
        <v/>
      </c>
      <c r="E452" s="25" t="str">
        <f>IF('ASS START SYNC'!C456="SHOW",FIND(",,",'ASS START SYNC'!E456,1),"")</f>
        <v/>
      </c>
      <c r="F452" s="25" t="str">
        <f>IF('ASS START SYNC'!C456="SHOW",FIND(",,",'ASS START SYNC'!E456,E452+1),"")</f>
        <v/>
      </c>
      <c r="G452" s="23" t="str">
        <f>IF('ASS START SYNC'!C456="SHOW",LEFT('ASS START SYNC'!E456,B452),"")</f>
        <v/>
      </c>
      <c r="H452" s="24" t="str">
        <f>IF(AND('ASS START SYNC'!C456="SHOW",COUNTA('ASS START SYNC'!$E$8:'ASS START SYNC'!E455)=0),MID('ASS START SYNC'!E456,B452+1,C452-B452-1),IF(AND('ASS START SYNC'!C456="SHOW",COUNTA('ASS START SYNC'!$E$8:'ASS START SYNC'!E455)&lt;&gt;0),I451,""))</f>
        <v/>
      </c>
      <c r="I452" s="24" t="str">
        <f>IF('ASS START SYNC'!C456="SHOW",MID('ASS START SYNC'!E456,C452+1,D452-C452-1),I451)</f>
        <v/>
      </c>
      <c r="J452" s="23" t="str">
        <f>IF('ASS START SYNC'!C456="SHOW",MID('ASS START SYNC'!E456,D452+1,F452-D452+1),"")</f>
        <v/>
      </c>
      <c r="K452" s="23" t="str">
        <f>IF('ASS START SYNC'!C456="SHOW",MID('ASS START SYNC'!E456,F452+2,1000),"")</f>
        <v/>
      </c>
      <c r="M452" s="24"/>
      <c r="N452" s="26">
        <v>449</v>
      </c>
      <c r="O452" s="24" t="str">
        <f>IF('ASS END SYNC'!C456="SHOW",FIND(",",'ASS END SYNC'!E456,1),"")</f>
        <v/>
      </c>
      <c r="P452" s="24" t="str">
        <f>IF('ASS END SYNC'!C456="SHOW",FIND(",",'ASS END SYNC'!E456,O452+1),"")</f>
        <v/>
      </c>
      <c r="Q452" s="24" t="str">
        <f>IF('ASS END SYNC'!C456="SHOW",FIND(",",'ASS END SYNC'!E456,P452+1),"")</f>
        <v/>
      </c>
      <c r="R452" s="25" t="str">
        <f>IF('ASS END SYNC'!C456="SHOW",FIND(",,",'ASS END SYNC'!E456,1),"")</f>
        <v/>
      </c>
      <c r="S452" s="25" t="str">
        <f>IF('ASS END SYNC'!C456="SHOW",FIND(",,",'ASS END SYNC'!E456,R452+1),"")</f>
        <v/>
      </c>
      <c r="T452" s="23" t="str">
        <f>IF('ASS END SYNC'!C456="SHOW",LEFT('ASS END SYNC'!E456,O452),"")</f>
        <v/>
      </c>
      <c r="U452" s="24" t="str">
        <f>IF('ASS END SYNC'!C456="SHOW",MID('ASS END SYNC'!E456,O452+1,P452-O452-1),"")</f>
        <v/>
      </c>
      <c r="V452" s="24" t="str">
        <f>IF(AND('ASS END SYNC'!C456="SHOW",'ASS END SYNC'!C457="SHOW"),U453,IF(AND('ASS END SYNC'!C456="SHOW",'ASS END SYNC'!C457&lt;&gt;"SHOW"),MID('ASS END SYNC'!E456,O452+1,P452-O452-1),""))</f>
        <v/>
      </c>
      <c r="W452" s="23" t="str">
        <f>IF('ASS END SYNC'!C456="SHOW",MID('ASS END SYNC'!E456,Q452+1,S452-Q452+1),"")</f>
        <v/>
      </c>
      <c r="X452" s="23" t="str">
        <f>IF('ASS END SYNC'!C456="SHOW",MID('ASS END SYNC'!E456,S452+2,1000),"")</f>
        <v/>
      </c>
      <c r="Z452" s="24"/>
    </row>
    <row r="453" spans="1:26" x14ac:dyDescent="0.25">
      <c r="A453" s="26">
        <v>450</v>
      </c>
      <c r="B453" s="24" t="str">
        <f>IF('ASS START SYNC'!C457="SHOW",FIND(",",'ASS START SYNC'!E457,1),"")</f>
        <v/>
      </c>
      <c r="C453" s="24" t="str">
        <f>IF('ASS START SYNC'!C457="SHOW",FIND(",",'ASS START SYNC'!E457,B453+1),"")</f>
        <v/>
      </c>
      <c r="D453" s="24" t="str">
        <f>IF('ASS START SYNC'!C457="SHOW",FIND(",",'ASS START SYNC'!E457,C453+1),"")</f>
        <v/>
      </c>
      <c r="E453" s="25" t="str">
        <f>IF('ASS START SYNC'!C457="SHOW",FIND(",,",'ASS START SYNC'!E457,1),"")</f>
        <v/>
      </c>
      <c r="F453" s="25" t="str">
        <f>IF('ASS START SYNC'!C457="SHOW",FIND(",,",'ASS START SYNC'!E457,E453+1),"")</f>
        <v/>
      </c>
      <c r="G453" s="23" t="str">
        <f>IF('ASS START SYNC'!C457="SHOW",LEFT('ASS START SYNC'!E457,B453),"")</f>
        <v/>
      </c>
      <c r="H453" s="24" t="str">
        <f>IF(AND('ASS START SYNC'!C457="SHOW",COUNTA('ASS START SYNC'!$E$8:'ASS START SYNC'!E456)=0),MID('ASS START SYNC'!E457,B453+1,C453-B453-1),IF(AND('ASS START SYNC'!C457="SHOW",COUNTA('ASS START SYNC'!$E$8:'ASS START SYNC'!E456)&lt;&gt;0),I452,""))</f>
        <v/>
      </c>
      <c r="I453" s="24" t="str">
        <f>IF('ASS START SYNC'!C457="SHOW",MID('ASS START SYNC'!E457,C453+1,D453-C453-1),I452)</f>
        <v/>
      </c>
      <c r="J453" s="23" t="str">
        <f>IF('ASS START SYNC'!C457="SHOW",MID('ASS START SYNC'!E457,D453+1,F453-D453+1),"")</f>
        <v/>
      </c>
      <c r="K453" s="23" t="str">
        <f>IF('ASS START SYNC'!C457="SHOW",MID('ASS START SYNC'!E457,F453+2,1000),"")</f>
        <v/>
      </c>
      <c r="M453" s="24"/>
      <c r="N453" s="26">
        <v>450</v>
      </c>
      <c r="O453" s="24" t="str">
        <f>IF('ASS END SYNC'!C457="SHOW",FIND(",",'ASS END SYNC'!E457,1),"")</f>
        <v/>
      </c>
      <c r="P453" s="24" t="str">
        <f>IF('ASS END SYNC'!C457="SHOW",FIND(",",'ASS END SYNC'!E457,O453+1),"")</f>
        <v/>
      </c>
      <c r="Q453" s="24" t="str">
        <f>IF('ASS END SYNC'!C457="SHOW",FIND(",",'ASS END SYNC'!E457,P453+1),"")</f>
        <v/>
      </c>
      <c r="R453" s="25" t="str">
        <f>IF('ASS END SYNC'!C457="SHOW",FIND(",,",'ASS END SYNC'!E457,1),"")</f>
        <v/>
      </c>
      <c r="S453" s="25" t="str">
        <f>IF('ASS END SYNC'!C457="SHOW",FIND(",,",'ASS END SYNC'!E457,R453+1),"")</f>
        <v/>
      </c>
      <c r="T453" s="23" t="str">
        <f>IF('ASS END SYNC'!C457="SHOW",LEFT('ASS END SYNC'!E457,O453),"")</f>
        <v/>
      </c>
      <c r="U453" s="24" t="str">
        <f>IF('ASS END SYNC'!C457="SHOW",MID('ASS END SYNC'!E457,O453+1,P453-O453-1),"")</f>
        <v/>
      </c>
      <c r="V453" s="24" t="str">
        <f>IF(AND('ASS END SYNC'!C457="SHOW",'ASS END SYNC'!C458="SHOW"),U454,IF(AND('ASS END SYNC'!C457="SHOW",'ASS END SYNC'!C458&lt;&gt;"SHOW"),MID('ASS END SYNC'!E457,O453+1,P453-O453-1),""))</f>
        <v/>
      </c>
      <c r="W453" s="23" t="str">
        <f>IF('ASS END SYNC'!C457="SHOW",MID('ASS END SYNC'!E457,Q453+1,S453-Q453+1),"")</f>
        <v/>
      </c>
      <c r="X453" s="23" t="str">
        <f>IF('ASS END SYNC'!C457="SHOW",MID('ASS END SYNC'!E457,S453+2,1000),"")</f>
        <v/>
      </c>
      <c r="Z453" s="24"/>
    </row>
    <row r="454" spans="1:26" x14ac:dyDescent="0.25">
      <c r="A454" s="26">
        <v>451</v>
      </c>
      <c r="B454" s="24" t="str">
        <f>IF('ASS START SYNC'!C458="SHOW",FIND(",",'ASS START SYNC'!E458,1),"")</f>
        <v/>
      </c>
      <c r="C454" s="24" t="str">
        <f>IF('ASS START SYNC'!C458="SHOW",FIND(",",'ASS START SYNC'!E458,B454+1),"")</f>
        <v/>
      </c>
      <c r="D454" s="24" t="str">
        <f>IF('ASS START SYNC'!C458="SHOW",FIND(",",'ASS START SYNC'!E458,C454+1),"")</f>
        <v/>
      </c>
      <c r="E454" s="25" t="str">
        <f>IF('ASS START SYNC'!C458="SHOW",FIND(",,",'ASS START SYNC'!E458,1),"")</f>
        <v/>
      </c>
      <c r="F454" s="25" t="str">
        <f>IF('ASS START SYNC'!C458="SHOW",FIND(",,",'ASS START SYNC'!E458,E454+1),"")</f>
        <v/>
      </c>
      <c r="G454" s="23" t="str">
        <f>IF('ASS START SYNC'!C458="SHOW",LEFT('ASS START SYNC'!E458,B454),"")</f>
        <v/>
      </c>
      <c r="H454" s="24" t="str">
        <f>IF(AND('ASS START SYNC'!C458="SHOW",COUNTA('ASS START SYNC'!$E$8:'ASS START SYNC'!E457)=0),MID('ASS START SYNC'!E458,B454+1,C454-B454-1),IF(AND('ASS START SYNC'!C458="SHOW",COUNTA('ASS START SYNC'!$E$8:'ASS START SYNC'!E457)&lt;&gt;0),I453,""))</f>
        <v/>
      </c>
      <c r="I454" s="24" t="str">
        <f>IF('ASS START SYNC'!C458="SHOW",MID('ASS START SYNC'!E458,C454+1,D454-C454-1),I453)</f>
        <v/>
      </c>
      <c r="J454" s="23" t="str">
        <f>IF('ASS START SYNC'!C458="SHOW",MID('ASS START SYNC'!E458,D454+1,F454-D454+1),"")</f>
        <v/>
      </c>
      <c r="K454" s="23" t="str">
        <f>IF('ASS START SYNC'!C458="SHOW",MID('ASS START SYNC'!E458,F454+2,1000),"")</f>
        <v/>
      </c>
      <c r="M454" s="24"/>
      <c r="N454" s="26">
        <v>451</v>
      </c>
      <c r="O454" s="24" t="str">
        <f>IF('ASS END SYNC'!C458="SHOW",FIND(",",'ASS END SYNC'!E458,1),"")</f>
        <v/>
      </c>
      <c r="P454" s="24" t="str">
        <f>IF('ASS END SYNC'!C458="SHOW",FIND(",",'ASS END SYNC'!E458,O454+1),"")</f>
        <v/>
      </c>
      <c r="Q454" s="24" t="str">
        <f>IF('ASS END SYNC'!C458="SHOW",FIND(",",'ASS END SYNC'!E458,P454+1),"")</f>
        <v/>
      </c>
      <c r="R454" s="25" t="str">
        <f>IF('ASS END SYNC'!C458="SHOW",FIND(",,",'ASS END SYNC'!E458,1),"")</f>
        <v/>
      </c>
      <c r="S454" s="25" t="str">
        <f>IF('ASS END SYNC'!C458="SHOW",FIND(",,",'ASS END SYNC'!E458,R454+1),"")</f>
        <v/>
      </c>
      <c r="T454" s="23" t="str">
        <f>IF('ASS END SYNC'!C458="SHOW",LEFT('ASS END SYNC'!E458,O454),"")</f>
        <v/>
      </c>
      <c r="U454" s="24" t="str">
        <f>IF('ASS END SYNC'!C458="SHOW",MID('ASS END SYNC'!E458,O454+1,P454-O454-1),"")</f>
        <v/>
      </c>
      <c r="V454" s="24" t="str">
        <f>IF(AND('ASS END SYNC'!C458="SHOW",'ASS END SYNC'!C459="SHOW"),U455,IF(AND('ASS END SYNC'!C458="SHOW",'ASS END SYNC'!C459&lt;&gt;"SHOW"),MID('ASS END SYNC'!E458,O454+1,P454-O454-1),""))</f>
        <v/>
      </c>
      <c r="W454" s="23" t="str">
        <f>IF('ASS END SYNC'!C458="SHOW",MID('ASS END SYNC'!E458,Q454+1,S454-Q454+1),"")</f>
        <v/>
      </c>
      <c r="X454" s="23" t="str">
        <f>IF('ASS END SYNC'!C458="SHOW",MID('ASS END SYNC'!E458,S454+2,1000),"")</f>
        <v/>
      </c>
      <c r="Z454" s="24"/>
    </row>
    <row r="455" spans="1:26" x14ac:dyDescent="0.25">
      <c r="A455" s="26">
        <v>452</v>
      </c>
      <c r="B455" s="24" t="str">
        <f>IF('ASS START SYNC'!C459="SHOW",FIND(",",'ASS START SYNC'!E459,1),"")</f>
        <v/>
      </c>
      <c r="C455" s="24" t="str">
        <f>IF('ASS START SYNC'!C459="SHOW",FIND(",",'ASS START SYNC'!E459,B455+1),"")</f>
        <v/>
      </c>
      <c r="D455" s="24" t="str">
        <f>IF('ASS START SYNC'!C459="SHOW",FIND(",",'ASS START SYNC'!E459,C455+1),"")</f>
        <v/>
      </c>
      <c r="E455" s="25" t="str">
        <f>IF('ASS START SYNC'!C459="SHOW",FIND(",,",'ASS START SYNC'!E459,1),"")</f>
        <v/>
      </c>
      <c r="F455" s="25" t="str">
        <f>IF('ASS START SYNC'!C459="SHOW",FIND(",,",'ASS START SYNC'!E459,E455+1),"")</f>
        <v/>
      </c>
      <c r="G455" s="23" t="str">
        <f>IF('ASS START SYNC'!C459="SHOW",LEFT('ASS START SYNC'!E459,B455),"")</f>
        <v/>
      </c>
      <c r="H455" s="24" t="str">
        <f>IF(AND('ASS START SYNC'!C459="SHOW",COUNTA('ASS START SYNC'!$E$8:'ASS START SYNC'!E458)=0),MID('ASS START SYNC'!E459,B455+1,C455-B455-1),IF(AND('ASS START SYNC'!C459="SHOW",COUNTA('ASS START SYNC'!$E$8:'ASS START SYNC'!E458)&lt;&gt;0),I454,""))</f>
        <v/>
      </c>
      <c r="I455" s="24" t="str">
        <f>IF('ASS START SYNC'!C459="SHOW",MID('ASS START SYNC'!E459,C455+1,D455-C455-1),I454)</f>
        <v/>
      </c>
      <c r="J455" s="23" t="str">
        <f>IF('ASS START SYNC'!C459="SHOW",MID('ASS START SYNC'!E459,D455+1,F455-D455+1),"")</f>
        <v/>
      </c>
      <c r="K455" s="23" t="str">
        <f>IF('ASS START SYNC'!C459="SHOW",MID('ASS START SYNC'!E459,F455+2,1000),"")</f>
        <v/>
      </c>
      <c r="M455" s="24"/>
      <c r="N455" s="26">
        <v>452</v>
      </c>
      <c r="O455" s="24" t="str">
        <f>IF('ASS END SYNC'!C459="SHOW",FIND(",",'ASS END SYNC'!E459,1),"")</f>
        <v/>
      </c>
      <c r="P455" s="24" t="str">
        <f>IF('ASS END SYNC'!C459="SHOW",FIND(",",'ASS END SYNC'!E459,O455+1),"")</f>
        <v/>
      </c>
      <c r="Q455" s="24" t="str">
        <f>IF('ASS END SYNC'!C459="SHOW",FIND(",",'ASS END SYNC'!E459,P455+1),"")</f>
        <v/>
      </c>
      <c r="R455" s="25" t="str">
        <f>IF('ASS END SYNC'!C459="SHOW",FIND(",,",'ASS END SYNC'!E459,1),"")</f>
        <v/>
      </c>
      <c r="S455" s="25" t="str">
        <f>IF('ASS END SYNC'!C459="SHOW",FIND(",,",'ASS END SYNC'!E459,R455+1),"")</f>
        <v/>
      </c>
      <c r="T455" s="23" t="str">
        <f>IF('ASS END SYNC'!C459="SHOW",LEFT('ASS END SYNC'!E459,O455),"")</f>
        <v/>
      </c>
      <c r="U455" s="24" t="str">
        <f>IF('ASS END SYNC'!C459="SHOW",MID('ASS END SYNC'!E459,O455+1,P455-O455-1),"")</f>
        <v/>
      </c>
      <c r="V455" s="24" t="str">
        <f>IF(AND('ASS END SYNC'!C459="SHOW",'ASS END SYNC'!C460="SHOW"),U456,IF(AND('ASS END SYNC'!C459="SHOW",'ASS END SYNC'!C460&lt;&gt;"SHOW"),MID('ASS END SYNC'!E459,O455+1,P455-O455-1),""))</f>
        <v/>
      </c>
      <c r="W455" s="23" t="str">
        <f>IF('ASS END SYNC'!C459="SHOW",MID('ASS END SYNC'!E459,Q455+1,S455-Q455+1),"")</f>
        <v/>
      </c>
      <c r="X455" s="23" t="str">
        <f>IF('ASS END SYNC'!C459="SHOW",MID('ASS END SYNC'!E459,S455+2,1000),"")</f>
        <v/>
      </c>
      <c r="Z455" s="24"/>
    </row>
    <row r="456" spans="1:26" x14ac:dyDescent="0.25">
      <c r="A456" s="26">
        <v>453</v>
      </c>
      <c r="B456" s="24" t="str">
        <f>IF('ASS START SYNC'!C460="SHOW",FIND(",",'ASS START SYNC'!E460,1),"")</f>
        <v/>
      </c>
      <c r="C456" s="24" t="str">
        <f>IF('ASS START SYNC'!C460="SHOW",FIND(",",'ASS START SYNC'!E460,B456+1),"")</f>
        <v/>
      </c>
      <c r="D456" s="24" t="str">
        <f>IF('ASS START SYNC'!C460="SHOW",FIND(",",'ASS START SYNC'!E460,C456+1),"")</f>
        <v/>
      </c>
      <c r="E456" s="25" t="str">
        <f>IF('ASS START SYNC'!C460="SHOW",FIND(",,",'ASS START SYNC'!E460,1),"")</f>
        <v/>
      </c>
      <c r="F456" s="25" t="str">
        <f>IF('ASS START SYNC'!C460="SHOW",FIND(",,",'ASS START SYNC'!E460,E456+1),"")</f>
        <v/>
      </c>
      <c r="G456" s="23" t="str">
        <f>IF('ASS START SYNC'!C460="SHOW",LEFT('ASS START SYNC'!E460,B456),"")</f>
        <v/>
      </c>
      <c r="H456" s="24" t="str">
        <f>IF(AND('ASS START SYNC'!C460="SHOW",COUNTA('ASS START SYNC'!$E$8:'ASS START SYNC'!E459)=0),MID('ASS START SYNC'!E460,B456+1,C456-B456-1),IF(AND('ASS START SYNC'!C460="SHOW",COUNTA('ASS START SYNC'!$E$8:'ASS START SYNC'!E459)&lt;&gt;0),I455,""))</f>
        <v/>
      </c>
      <c r="I456" s="24" t="str">
        <f>IF('ASS START SYNC'!C460="SHOW",MID('ASS START SYNC'!E460,C456+1,D456-C456-1),I455)</f>
        <v/>
      </c>
      <c r="J456" s="23" t="str">
        <f>IF('ASS START SYNC'!C460="SHOW",MID('ASS START SYNC'!E460,D456+1,F456-D456+1),"")</f>
        <v/>
      </c>
      <c r="K456" s="23" t="str">
        <f>IF('ASS START SYNC'!C460="SHOW",MID('ASS START SYNC'!E460,F456+2,1000),"")</f>
        <v/>
      </c>
      <c r="M456" s="24"/>
      <c r="N456" s="26">
        <v>453</v>
      </c>
      <c r="O456" s="24" t="str">
        <f>IF('ASS END SYNC'!C460="SHOW",FIND(",",'ASS END SYNC'!E460,1),"")</f>
        <v/>
      </c>
      <c r="P456" s="24" t="str">
        <f>IF('ASS END SYNC'!C460="SHOW",FIND(",",'ASS END SYNC'!E460,O456+1),"")</f>
        <v/>
      </c>
      <c r="Q456" s="24" t="str">
        <f>IF('ASS END SYNC'!C460="SHOW",FIND(",",'ASS END SYNC'!E460,P456+1),"")</f>
        <v/>
      </c>
      <c r="R456" s="25" t="str">
        <f>IF('ASS END SYNC'!C460="SHOW",FIND(",,",'ASS END SYNC'!E460,1),"")</f>
        <v/>
      </c>
      <c r="S456" s="25" t="str">
        <f>IF('ASS END SYNC'!C460="SHOW",FIND(",,",'ASS END SYNC'!E460,R456+1),"")</f>
        <v/>
      </c>
      <c r="T456" s="23" t="str">
        <f>IF('ASS END SYNC'!C460="SHOW",LEFT('ASS END SYNC'!E460,O456),"")</f>
        <v/>
      </c>
      <c r="U456" s="24" t="str">
        <f>IF('ASS END SYNC'!C460="SHOW",MID('ASS END SYNC'!E460,O456+1,P456-O456-1),"")</f>
        <v/>
      </c>
      <c r="V456" s="24" t="str">
        <f>IF(AND('ASS END SYNC'!C460="SHOW",'ASS END SYNC'!C461="SHOW"),U457,IF(AND('ASS END SYNC'!C460="SHOW",'ASS END SYNC'!C461&lt;&gt;"SHOW"),MID('ASS END SYNC'!E460,O456+1,P456-O456-1),""))</f>
        <v/>
      </c>
      <c r="W456" s="23" t="str">
        <f>IF('ASS END SYNC'!C460="SHOW",MID('ASS END SYNC'!E460,Q456+1,S456-Q456+1),"")</f>
        <v/>
      </c>
      <c r="X456" s="23" t="str">
        <f>IF('ASS END SYNC'!C460="SHOW",MID('ASS END SYNC'!E460,S456+2,1000),"")</f>
        <v/>
      </c>
      <c r="Z456" s="24"/>
    </row>
    <row r="457" spans="1:26" x14ac:dyDescent="0.25">
      <c r="A457" s="26">
        <v>454</v>
      </c>
      <c r="B457" s="24" t="str">
        <f>IF('ASS START SYNC'!C461="SHOW",FIND(",",'ASS START SYNC'!E461,1),"")</f>
        <v/>
      </c>
      <c r="C457" s="24" t="str">
        <f>IF('ASS START SYNC'!C461="SHOW",FIND(",",'ASS START SYNC'!E461,B457+1),"")</f>
        <v/>
      </c>
      <c r="D457" s="24" t="str">
        <f>IF('ASS START SYNC'!C461="SHOW",FIND(",",'ASS START SYNC'!E461,C457+1),"")</f>
        <v/>
      </c>
      <c r="E457" s="25" t="str">
        <f>IF('ASS START SYNC'!C461="SHOW",FIND(",,",'ASS START SYNC'!E461,1),"")</f>
        <v/>
      </c>
      <c r="F457" s="25" t="str">
        <f>IF('ASS START SYNC'!C461="SHOW",FIND(",,",'ASS START SYNC'!E461,E457+1),"")</f>
        <v/>
      </c>
      <c r="G457" s="23" t="str">
        <f>IF('ASS START SYNC'!C461="SHOW",LEFT('ASS START SYNC'!E461,B457),"")</f>
        <v/>
      </c>
      <c r="H457" s="24" t="str">
        <f>IF(AND('ASS START SYNC'!C461="SHOW",COUNTA('ASS START SYNC'!$E$8:'ASS START SYNC'!E460)=0),MID('ASS START SYNC'!E461,B457+1,C457-B457-1),IF(AND('ASS START SYNC'!C461="SHOW",COUNTA('ASS START SYNC'!$E$8:'ASS START SYNC'!E460)&lt;&gt;0),I456,""))</f>
        <v/>
      </c>
      <c r="I457" s="24" t="str">
        <f>IF('ASS START SYNC'!C461="SHOW",MID('ASS START SYNC'!E461,C457+1,D457-C457-1),I456)</f>
        <v/>
      </c>
      <c r="J457" s="23" t="str">
        <f>IF('ASS START SYNC'!C461="SHOW",MID('ASS START SYNC'!E461,D457+1,F457-D457+1),"")</f>
        <v/>
      </c>
      <c r="K457" s="23" t="str">
        <f>IF('ASS START SYNC'!C461="SHOW",MID('ASS START SYNC'!E461,F457+2,1000),"")</f>
        <v/>
      </c>
      <c r="M457" s="24"/>
      <c r="N457" s="26">
        <v>454</v>
      </c>
      <c r="O457" s="24" t="str">
        <f>IF('ASS END SYNC'!C461="SHOW",FIND(",",'ASS END SYNC'!E461,1),"")</f>
        <v/>
      </c>
      <c r="P457" s="24" t="str">
        <f>IF('ASS END SYNC'!C461="SHOW",FIND(",",'ASS END SYNC'!E461,O457+1),"")</f>
        <v/>
      </c>
      <c r="Q457" s="24" t="str">
        <f>IF('ASS END SYNC'!C461="SHOW",FIND(",",'ASS END SYNC'!E461,P457+1),"")</f>
        <v/>
      </c>
      <c r="R457" s="25" t="str">
        <f>IF('ASS END SYNC'!C461="SHOW",FIND(",,",'ASS END SYNC'!E461,1),"")</f>
        <v/>
      </c>
      <c r="S457" s="25" t="str">
        <f>IF('ASS END SYNC'!C461="SHOW",FIND(",,",'ASS END SYNC'!E461,R457+1),"")</f>
        <v/>
      </c>
      <c r="T457" s="23" t="str">
        <f>IF('ASS END SYNC'!C461="SHOW",LEFT('ASS END SYNC'!E461,O457),"")</f>
        <v/>
      </c>
      <c r="U457" s="24" t="str">
        <f>IF('ASS END SYNC'!C461="SHOW",MID('ASS END SYNC'!E461,O457+1,P457-O457-1),"")</f>
        <v/>
      </c>
      <c r="V457" s="24" t="str">
        <f>IF(AND('ASS END SYNC'!C461="SHOW",'ASS END SYNC'!C462="SHOW"),U458,IF(AND('ASS END SYNC'!C461="SHOW",'ASS END SYNC'!C462&lt;&gt;"SHOW"),MID('ASS END SYNC'!E461,O457+1,P457-O457-1),""))</f>
        <v/>
      </c>
      <c r="W457" s="23" t="str">
        <f>IF('ASS END SYNC'!C461="SHOW",MID('ASS END SYNC'!E461,Q457+1,S457-Q457+1),"")</f>
        <v/>
      </c>
      <c r="X457" s="23" t="str">
        <f>IF('ASS END SYNC'!C461="SHOW",MID('ASS END SYNC'!E461,S457+2,1000),"")</f>
        <v/>
      </c>
      <c r="Z457" s="24"/>
    </row>
    <row r="458" spans="1:26" x14ac:dyDescent="0.25">
      <c r="A458" s="26">
        <v>455</v>
      </c>
      <c r="B458" s="24" t="str">
        <f>IF('ASS START SYNC'!C462="SHOW",FIND(",",'ASS START SYNC'!E462,1),"")</f>
        <v/>
      </c>
      <c r="C458" s="24" t="str">
        <f>IF('ASS START SYNC'!C462="SHOW",FIND(",",'ASS START SYNC'!E462,B458+1),"")</f>
        <v/>
      </c>
      <c r="D458" s="24" t="str">
        <f>IF('ASS START SYNC'!C462="SHOW",FIND(",",'ASS START SYNC'!E462,C458+1),"")</f>
        <v/>
      </c>
      <c r="E458" s="25" t="str">
        <f>IF('ASS START SYNC'!C462="SHOW",FIND(",,",'ASS START SYNC'!E462,1),"")</f>
        <v/>
      </c>
      <c r="F458" s="25" t="str">
        <f>IF('ASS START SYNC'!C462="SHOW",FIND(",,",'ASS START SYNC'!E462,E458+1),"")</f>
        <v/>
      </c>
      <c r="G458" s="23" t="str">
        <f>IF('ASS START SYNC'!C462="SHOW",LEFT('ASS START SYNC'!E462,B458),"")</f>
        <v/>
      </c>
      <c r="H458" s="24" t="str">
        <f>IF(AND('ASS START SYNC'!C462="SHOW",COUNTA('ASS START SYNC'!$E$8:'ASS START SYNC'!E461)=0),MID('ASS START SYNC'!E462,B458+1,C458-B458-1),IF(AND('ASS START SYNC'!C462="SHOW",COUNTA('ASS START SYNC'!$E$8:'ASS START SYNC'!E461)&lt;&gt;0),I457,""))</f>
        <v/>
      </c>
      <c r="I458" s="24" t="str">
        <f>IF('ASS START SYNC'!C462="SHOW",MID('ASS START SYNC'!E462,C458+1,D458-C458-1),I457)</f>
        <v/>
      </c>
      <c r="J458" s="23" t="str">
        <f>IF('ASS START SYNC'!C462="SHOW",MID('ASS START SYNC'!E462,D458+1,F458-D458+1),"")</f>
        <v/>
      </c>
      <c r="K458" s="23" t="str">
        <f>IF('ASS START SYNC'!C462="SHOW",MID('ASS START SYNC'!E462,F458+2,1000),"")</f>
        <v/>
      </c>
      <c r="M458" s="24"/>
      <c r="N458" s="26">
        <v>455</v>
      </c>
      <c r="O458" s="24" t="str">
        <f>IF('ASS END SYNC'!C462="SHOW",FIND(",",'ASS END SYNC'!E462,1),"")</f>
        <v/>
      </c>
      <c r="P458" s="24" t="str">
        <f>IF('ASS END SYNC'!C462="SHOW",FIND(",",'ASS END SYNC'!E462,O458+1),"")</f>
        <v/>
      </c>
      <c r="Q458" s="24" t="str">
        <f>IF('ASS END SYNC'!C462="SHOW",FIND(",",'ASS END SYNC'!E462,P458+1),"")</f>
        <v/>
      </c>
      <c r="R458" s="25" t="str">
        <f>IF('ASS END SYNC'!C462="SHOW",FIND(",,",'ASS END SYNC'!E462,1),"")</f>
        <v/>
      </c>
      <c r="S458" s="25" t="str">
        <f>IF('ASS END SYNC'!C462="SHOW",FIND(",,",'ASS END SYNC'!E462,R458+1),"")</f>
        <v/>
      </c>
      <c r="T458" s="23" t="str">
        <f>IF('ASS END SYNC'!C462="SHOW",LEFT('ASS END SYNC'!E462,O458),"")</f>
        <v/>
      </c>
      <c r="U458" s="24" t="str">
        <f>IF('ASS END SYNC'!C462="SHOW",MID('ASS END SYNC'!E462,O458+1,P458-O458-1),"")</f>
        <v/>
      </c>
      <c r="V458" s="24" t="str">
        <f>IF(AND('ASS END SYNC'!C462="SHOW",'ASS END SYNC'!C463="SHOW"),U459,IF(AND('ASS END SYNC'!C462="SHOW",'ASS END SYNC'!C463&lt;&gt;"SHOW"),MID('ASS END SYNC'!E462,O458+1,P458-O458-1),""))</f>
        <v/>
      </c>
      <c r="W458" s="23" t="str">
        <f>IF('ASS END SYNC'!C462="SHOW",MID('ASS END SYNC'!E462,Q458+1,S458-Q458+1),"")</f>
        <v/>
      </c>
      <c r="X458" s="23" t="str">
        <f>IF('ASS END SYNC'!C462="SHOW",MID('ASS END SYNC'!E462,S458+2,1000),"")</f>
        <v/>
      </c>
      <c r="Z458" s="24"/>
    </row>
    <row r="459" spans="1:26" x14ac:dyDescent="0.25">
      <c r="A459" s="26">
        <v>456</v>
      </c>
      <c r="B459" s="24" t="str">
        <f>IF('ASS START SYNC'!C463="SHOW",FIND(",",'ASS START SYNC'!E463,1),"")</f>
        <v/>
      </c>
      <c r="C459" s="24" t="str">
        <f>IF('ASS START SYNC'!C463="SHOW",FIND(",",'ASS START SYNC'!E463,B459+1),"")</f>
        <v/>
      </c>
      <c r="D459" s="24" t="str">
        <f>IF('ASS START SYNC'!C463="SHOW",FIND(",",'ASS START SYNC'!E463,C459+1),"")</f>
        <v/>
      </c>
      <c r="E459" s="25" t="str">
        <f>IF('ASS START SYNC'!C463="SHOW",FIND(",,",'ASS START SYNC'!E463,1),"")</f>
        <v/>
      </c>
      <c r="F459" s="25" t="str">
        <f>IF('ASS START SYNC'!C463="SHOW",FIND(",,",'ASS START SYNC'!E463,E459+1),"")</f>
        <v/>
      </c>
      <c r="G459" s="23" t="str">
        <f>IF('ASS START SYNC'!C463="SHOW",LEFT('ASS START SYNC'!E463,B459),"")</f>
        <v/>
      </c>
      <c r="H459" s="24" t="str">
        <f>IF(AND('ASS START SYNC'!C463="SHOW",COUNTA('ASS START SYNC'!$E$8:'ASS START SYNC'!E462)=0),MID('ASS START SYNC'!E463,B459+1,C459-B459-1),IF(AND('ASS START SYNC'!C463="SHOW",COUNTA('ASS START SYNC'!$E$8:'ASS START SYNC'!E462)&lt;&gt;0),I458,""))</f>
        <v/>
      </c>
      <c r="I459" s="24" t="str">
        <f>IF('ASS START SYNC'!C463="SHOW",MID('ASS START SYNC'!E463,C459+1,D459-C459-1),I458)</f>
        <v/>
      </c>
      <c r="J459" s="23" t="str">
        <f>IF('ASS START SYNC'!C463="SHOW",MID('ASS START SYNC'!E463,D459+1,F459-D459+1),"")</f>
        <v/>
      </c>
      <c r="K459" s="23" t="str">
        <f>IF('ASS START SYNC'!C463="SHOW",MID('ASS START SYNC'!E463,F459+2,1000),"")</f>
        <v/>
      </c>
      <c r="M459" s="24"/>
      <c r="N459" s="26">
        <v>456</v>
      </c>
      <c r="O459" s="24" t="str">
        <f>IF('ASS END SYNC'!C463="SHOW",FIND(",",'ASS END SYNC'!E463,1),"")</f>
        <v/>
      </c>
      <c r="P459" s="24" t="str">
        <f>IF('ASS END SYNC'!C463="SHOW",FIND(",",'ASS END SYNC'!E463,O459+1),"")</f>
        <v/>
      </c>
      <c r="Q459" s="24" t="str">
        <f>IF('ASS END SYNC'!C463="SHOW",FIND(",",'ASS END SYNC'!E463,P459+1),"")</f>
        <v/>
      </c>
      <c r="R459" s="25" t="str">
        <f>IF('ASS END SYNC'!C463="SHOW",FIND(",,",'ASS END SYNC'!E463,1),"")</f>
        <v/>
      </c>
      <c r="S459" s="25" t="str">
        <f>IF('ASS END SYNC'!C463="SHOW",FIND(",,",'ASS END SYNC'!E463,R459+1),"")</f>
        <v/>
      </c>
      <c r="T459" s="23" t="str">
        <f>IF('ASS END SYNC'!C463="SHOW",LEFT('ASS END SYNC'!E463,O459),"")</f>
        <v/>
      </c>
      <c r="U459" s="24" t="str">
        <f>IF('ASS END SYNC'!C463="SHOW",MID('ASS END SYNC'!E463,O459+1,P459-O459-1),"")</f>
        <v/>
      </c>
      <c r="V459" s="24" t="str">
        <f>IF(AND('ASS END SYNC'!C463="SHOW",'ASS END SYNC'!C464="SHOW"),U460,IF(AND('ASS END SYNC'!C463="SHOW",'ASS END SYNC'!C464&lt;&gt;"SHOW"),MID('ASS END SYNC'!E463,O459+1,P459-O459-1),""))</f>
        <v/>
      </c>
      <c r="W459" s="23" t="str">
        <f>IF('ASS END SYNC'!C463="SHOW",MID('ASS END SYNC'!E463,Q459+1,S459-Q459+1),"")</f>
        <v/>
      </c>
      <c r="X459" s="23" t="str">
        <f>IF('ASS END SYNC'!C463="SHOW",MID('ASS END SYNC'!E463,S459+2,1000),"")</f>
        <v/>
      </c>
      <c r="Z459" s="24"/>
    </row>
    <row r="460" spans="1:26" x14ac:dyDescent="0.25">
      <c r="A460" s="26">
        <v>457</v>
      </c>
      <c r="B460" s="24" t="str">
        <f>IF('ASS START SYNC'!C464="SHOW",FIND(",",'ASS START SYNC'!E464,1),"")</f>
        <v/>
      </c>
      <c r="C460" s="24" t="str">
        <f>IF('ASS START SYNC'!C464="SHOW",FIND(",",'ASS START SYNC'!E464,B460+1),"")</f>
        <v/>
      </c>
      <c r="D460" s="24" t="str">
        <f>IF('ASS START SYNC'!C464="SHOW",FIND(",",'ASS START SYNC'!E464,C460+1),"")</f>
        <v/>
      </c>
      <c r="E460" s="25" t="str">
        <f>IF('ASS START SYNC'!C464="SHOW",FIND(",,",'ASS START SYNC'!E464,1),"")</f>
        <v/>
      </c>
      <c r="F460" s="25" t="str">
        <f>IF('ASS START SYNC'!C464="SHOW",FIND(",,",'ASS START SYNC'!E464,E460+1),"")</f>
        <v/>
      </c>
      <c r="G460" s="23" t="str">
        <f>IF('ASS START SYNC'!C464="SHOW",LEFT('ASS START SYNC'!E464,B460),"")</f>
        <v/>
      </c>
      <c r="H460" s="24" t="str">
        <f>IF(AND('ASS START SYNC'!C464="SHOW",COUNTA('ASS START SYNC'!$E$8:'ASS START SYNC'!E463)=0),MID('ASS START SYNC'!E464,B460+1,C460-B460-1),IF(AND('ASS START SYNC'!C464="SHOW",COUNTA('ASS START SYNC'!$E$8:'ASS START SYNC'!E463)&lt;&gt;0),I459,""))</f>
        <v/>
      </c>
      <c r="I460" s="24" t="str">
        <f>IF('ASS START SYNC'!C464="SHOW",MID('ASS START SYNC'!E464,C460+1,D460-C460-1),I459)</f>
        <v/>
      </c>
      <c r="J460" s="23" t="str">
        <f>IF('ASS START SYNC'!C464="SHOW",MID('ASS START SYNC'!E464,D460+1,F460-D460+1),"")</f>
        <v/>
      </c>
      <c r="K460" s="23" t="str">
        <f>IF('ASS START SYNC'!C464="SHOW",MID('ASS START SYNC'!E464,F460+2,1000),"")</f>
        <v/>
      </c>
      <c r="M460" s="24"/>
      <c r="N460" s="26">
        <v>457</v>
      </c>
      <c r="O460" s="24" t="str">
        <f>IF('ASS END SYNC'!C464="SHOW",FIND(",",'ASS END SYNC'!E464,1),"")</f>
        <v/>
      </c>
      <c r="P460" s="24" t="str">
        <f>IF('ASS END SYNC'!C464="SHOW",FIND(",",'ASS END SYNC'!E464,O460+1),"")</f>
        <v/>
      </c>
      <c r="Q460" s="24" t="str">
        <f>IF('ASS END SYNC'!C464="SHOW",FIND(",",'ASS END SYNC'!E464,P460+1),"")</f>
        <v/>
      </c>
      <c r="R460" s="25" t="str">
        <f>IF('ASS END SYNC'!C464="SHOW",FIND(",,",'ASS END SYNC'!E464,1),"")</f>
        <v/>
      </c>
      <c r="S460" s="25" t="str">
        <f>IF('ASS END SYNC'!C464="SHOW",FIND(",,",'ASS END SYNC'!E464,R460+1),"")</f>
        <v/>
      </c>
      <c r="T460" s="23" t="str">
        <f>IF('ASS END SYNC'!C464="SHOW",LEFT('ASS END SYNC'!E464,O460),"")</f>
        <v/>
      </c>
      <c r="U460" s="24" t="str">
        <f>IF('ASS END SYNC'!C464="SHOW",MID('ASS END SYNC'!E464,O460+1,P460-O460-1),"")</f>
        <v/>
      </c>
      <c r="V460" s="24" t="str">
        <f>IF(AND('ASS END SYNC'!C464="SHOW",'ASS END SYNC'!C465="SHOW"),U461,IF(AND('ASS END SYNC'!C464="SHOW",'ASS END SYNC'!C465&lt;&gt;"SHOW"),MID('ASS END SYNC'!E464,O460+1,P460-O460-1),""))</f>
        <v/>
      </c>
      <c r="W460" s="23" t="str">
        <f>IF('ASS END SYNC'!C464="SHOW",MID('ASS END SYNC'!E464,Q460+1,S460-Q460+1),"")</f>
        <v/>
      </c>
      <c r="X460" s="23" t="str">
        <f>IF('ASS END SYNC'!C464="SHOW",MID('ASS END SYNC'!E464,S460+2,1000),"")</f>
        <v/>
      </c>
      <c r="Z460" s="24"/>
    </row>
    <row r="461" spans="1:26" x14ac:dyDescent="0.25">
      <c r="A461" s="26">
        <v>458</v>
      </c>
      <c r="B461" s="24" t="str">
        <f>IF('ASS START SYNC'!C465="SHOW",FIND(",",'ASS START SYNC'!E465,1),"")</f>
        <v/>
      </c>
      <c r="C461" s="24" t="str">
        <f>IF('ASS START SYNC'!C465="SHOW",FIND(",",'ASS START SYNC'!E465,B461+1),"")</f>
        <v/>
      </c>
      <c r="D461" s="24" t="str">
        <f>IF('ASS START SYNC'!C465="SHOW",FIND(",",'ASS START SYNC'!E465,C461+1),"")</f>
        <v/>
      </c>
      <c r="E461" s="25" t="str">
        <f>IF('ASS START SYNC'!C465="SHOW",FIND(",,",'ASS START SYNC'!E465,1),"")</f>
        <v/>
      </c>
      <c r="F461" s="25" t="str">
        <f>IF('ASS START SYNC'!C465="SHOW",FIND(",,",'ASS START SYNC'!E465,E461+1),"")</f>
        <v/>
      </c>
      <c r="G461" s="23" t="str">
        <f>IF('ASS START SYNC'!C465="SHOW",LEFT('ASS START SYNC'!E465,B461),"")</f>
        <v/>
      </c>
      <c r="H461" s="24" t="str">
        <f>IF(AND('ASS START SYNC'!C465="SHOW",COUNTA('ASS START SYNC'!$E$8:'ASS START SYNC'!E464)=0),MID('ASS START SYNC'!E465,B461+1,C461-B461-1),IF(AND('ASS START SYNC'!C465="SHOW",COUNTA('ASS START SYNC'!$E$8:'ASS START SYNC'!E464)&lt;&gt;0),I460,""))</f>
        <v/>
      </c>
      <c r="I461" s="24" t="str">
        <f>IF('ASS START SYNC'!C465="SHOW",MID('ASS START SYNC'!E465,C461+1,D461-C461-1),I460)</f>
        <v/>
      </c>
      <c r="J461" s="23" t="str">
        <f>IF('ASS START SYNC'!C465="SHOW",MID('ASS START SYNC'!E465,D461+1,F461-D461+1),"")</f>
        <v/>
      </c>
      <c r="K461" s="23" t="str">
        <f>IF('ASS START SYNC'!C465="SHOW",MID('ASS START SYNC'!E465,F461+2,1000),"")</f>
        <v/>
      </c>
      <c r="M461" s="24"/>
      <c r="N461" s="26">
        <v>458</v>
      </c>
      <c r="O461" s="24" t="str">
        <f>IF('ASS END SYNC'!C465="SHOW",FIND(",",'ASS END SYNC'!E465,1),"")</f>
        <v/>
      </c>
      <c r="P461" s="24" t="str">
        <f>IF('ASS END SYNC'!C465="SHOW",FIND(",",'ASS END SYNC'!E465,O461+1),"")</f>
        <v/>
      </c>
      <c r="Q461" s="24" t="str">
        <f>IF('ASS END SYNC'!C465="SHOW",FIND(",",'ASS END SYNC'!E465,P461+1),"")</f>
        <v/>
      </c>
      <c r="R461" s="25" t="str">
        <f>IF('ASS END SYNC'!C465="SHOW",FIND(",,",'ASS END SYNC'!E465,1),"")</f>
        <v/>
      </c>
      <c r="S461" s="25" t="str">
        <f>IF('ASS END SYNC'!C465="SHOW",FIND(",,",'ASS END SYNC'!E465,R461+1),"")</f>
        <v/>
      </c>
      <c r="T461" s="23" t="str">
        <f>IF('ASS END SYNC'!C465="SHOW",LEFT('ASS END SYNC'!E465,O461),"")</f>
        <v/>
      </c>
      <c r="U461" s="24" t="str">
        <f>IF('ASS END SYNC'!C465="SHOW",MID('ASS END SYNC'!E465,O461+1,P461-O461-1),"")</f>
        <v/>
      </c>
      <c r="V461" s="24" t="str">
        <f>IF(AND('ASS END SYNC'!C465="SHOW",'ASS END SYNC'!C466="SHOW"),U462,IF(AND('ASS END SYNC'!C465="SHOW",'ASS END SYNC'!C466&lt;&gt;"SHOW"),MID('ASS END SYNC'!E465,O461+1,P461-O461-1),""))</f>
        <v/>
      </c>
      <c r="W461" s="23" t="str">
        <f>IF('ASS END SYNC'!C465="SHOW",MID('ASS END SYNC'!E465,Q461+1,S461-Q461+1),"")</f>
        <v/>
      </c>
      <c r="X461" s="23" t="str">
        <f>IF('ASS END SYNC'!C465="SHOW",MID('ASS END SYNC'!E465,S461+2,1000),"")</f>
        <v/>
      </c>
      <c r="Z461" s="24"/>
    </row>
    <row r="462" spans="1:26" x14ac:dyDescent="0.25">
      <c r="A462" s="26">
        <v>459</v>
      </c>
      <c r="B462" s="24" t="str">
        <f>IF('ASS START SYNC'!C466="SHOW",FIND(",",'ASS START SYNC'!E466,1),"")</f>
        <v/>
      </c>
      <c r="C462" s="24" t="str">
        <f>IF('ASS START SYNC'!C466="SHOW",FIND(",",'ASS START SYNC'!E466,B462+1),"")</f>
        <v/>
      </c>
      <c r="D462" s="24" t="str">
        <f>IF('ASS START SYNC'!C466="SHOW",FIND(",",'ASS START SYNC'!E466,C462+1),"")</f>
        <v/>
      </c>
      <c r="E462" s="25" t="str">
        <f>IF('ASS START SYNC'!C466="SHOW",FIND(",,",'ASS START SYNC'!E466,1),"")</f>
        <v/>
      </c>
      <c r="F462" s="25" t="str">
        <f>IF('ASS START SYNC'!C466="SHOW",FIND(",,",'ASS START SYNC'!E466,E462+1),"")</f>
        <v/>
      </c>
      <c r="G462" s="23" t="str">
        <f>IF('ASS START SYNC'!C466="SHOW",LEFT('ASS START SYNC'!E466,B462),"")</f>
        <v/>
      </c>
      <c r="H462" s="24" t="str">
        <f>IF(AND('ASS START SYNC'!C466="SHOW",COUNTA('ASS START SYNC'!$E$8:'ASS START SYNC'!E465)=0),MID('ASS START SYNC'!E466,B462+1,C462-B462-1),IF(AND('ASS START SYNC'!C466="SHOW",COUNTA('ASS START SYNC'!$E$8:'ASS START SYNC'!E465)&lt;&gt;0),I461,""))</f>
        <v/>
      </c>
      <c r="I462" s="24" t="str">
        <f>IF('ASS START SYNC'!C466="SHOW",MID('ASS START SYNC'!E466,C462+1,D462-C462-1),I461)</f>
        <v/>
      </c>
      <c r="J462" s="23" t="str">
        <f>IF('ASS START SYNC'!C466="SHOW",MID('ASS START SYNC'!E466,D462+1,F462-D462+1),"")</f>
        <v/>
      </c>
      <c r="K462" s="23" t="str">
        <f>IF('ASS START SYNC'!C466="SHOW",MID('ASS START SYNC'!E466,F462+2,1000),"")</f>
        <v/>
      </c>
      <c r="M462" s="24"/>
      <c r="N462" s="26">
        <v>459</v>
      </c>
      <c r="O462" s="24" t="str">
        <f>IF('ASS END SYNC'!C466="SHOW",FIND(",",'ASS END SYNC'!E466,1),"")</f>
        <v/>
      </c>
      <c r="P462" s="24" t="str">
        <f>IF('ASS END SYNC'!C466="SHOW",FIND(",",'ASS END SYNC'!E466,O462+1),"")</f>
        <v/>
      </c>
      <c r="Q462" s="24" t="str">
        <f>IF('ASS END SYNC'!C466="SHOW",FIND(",",'ASS END SYNC'!E466,P462+1),"")</f>
        <v/>
      </c>
      <c r="R462" s="25" t="str">
        <f>IF('ASS END SYNC'!C466="SHOW",FIND(",,",'ASS END SYNC'!E466,1),"")</f>
        <v/>
      </c>
      <c r="S462" s="25" t="str">
        <f>IF('ASS END SYNC'!C466="SHOW",FIND(",,",'ASS END SYNC'!E466,R462+1),"")</f>
        <v/>
      </c>
      <c r="T462" s="23" t="str">
        <f>IF('ASS END SYNC'!C466="SHOW",LEFT('ASS END SYNC'!E466,O462),"")</f>
        <v/>
      </c>
      <c r="U462" s="24" t="str">
        <f>IF('ASS END SYNC'!C466="SHOW",MID('ASS END SYNC'!E466,O462+1,P462-O462-1),"")</f>
        <v/>
      </c>
      <c r="V462" s="24" t="str">
        <f>IF(AND('ASS END SYNC'!C466="SHOW",'ASS END SYNC'!C467="SHOW"),U463,IF(AND('ASS END SYNC'!C466="SHOW",'ASS END SYNC'!C467&lt;&gt;"SHOW"),MID('ASS END SYNC'!E466,O462+1,P462-O462-1),""))</f>
        <v/>
      </c>
      <c r="W462" s="23" t="str">
        <f>IF('ASS END SYNC'!C466="SHOW",MID('ASS END SYNC'!E466,Q462+1,S462-Q462+1),"")</f>
        <v/>
      </c>
      <c r="X462" s="23" t="str">
        <f>IF('ASS END SYNC'!C466="SHOW",MID('ASS END SYNC'!E466,S462+2,1000),"")</f>
        <v/>
      </c>
      <c r="Z462" s="24"/>
    </row>
    <row r="463" spans="1:26" x14ac:dyDescent="0.25">
      <c r="A463" s="26">
        <v>460</v>
      </c>
      <c r="B463" s="24" t="str">
        <f>IF('ASS START SYNC'!C467="SHOW",FIND(",",'ASS START SYNC'!E467,1),"")</f>
        <v/>
      </c>
      <c r="C463" s="24" t="str">
        <f>IF('ASS START SYNC'!C467="SHOW",FIND(",",'ASS START SYNC'!E467,B463+1),"")</f>
        <v/>
      </c>
      <c r="D463" s="24" t="str">
        <f>IF('ASS START SYNC'!C467="SHOW",FIND(",",'ASS START SYNC'!E467,C463+1),"")</f>
        <v/>
      </c>
      <c r="E463" s="25" t="str">
        <f>IF('ASS START SYNC'!C467="SHOW",FIND(",,",'ASS START SYNC'!E467,1),"")</f>
        <v/>
      </c>
      <c r="F463" s="25" t="str">
        <f>IF('ASS START SYNC'!C467="SHOW",FIND(",,",'ASS START SYNC'!E467,E463+1),"")</f>
        <v/>
      </c>
      <c r="G463" s="23" t="str">
        <f>IF('ASS START SYNC'!C467="SHOW",LEFT('ASS START SYNC'!E467,B463),"")</f>
        <v/>
      </c>
      <c r="H463" s="24" t="str">
        <f>IF(AND('ASS START SYNC'!C467="SHOW",COUNTA('ASS START SYNC'!$E$8:'ASS START SYNC'!E466)=0),MID('ASS START SYNC'!E467,B463+1,C463-B463-1),IF(AND('ASS START SYNC'!C467="SHOW",COUNTA('ASS START SYNC'!$E$8:'ASS START SYNC'!E466)&lt;&gt;0),I462,""))</f>
        <v/>
      </c>
      <c r="I463" s="24" t="str">
        <f>IF('ASS START SYNC'!C467="SHOW",MID('ASS START SYNC'!E467,C463+1,D463-C463-1),I462)</f>
        <v/>
      </c>
      <c r="J463" s="23" t="str">
        <f>IF('ASS START SYNC'!C467="SHOW",MID('ASS START SYNC'!E467,D463+1,F463-D463+1),"")</f>
        <v/>
      </c>
      <c r="K463" s="23" t="str">
        <f>IF('ASS START SYNC'!C467="SHOW",MID('ASS START SYNC'!E467,F463+2,1000),"")</f>
        <v/>
      </c>
      <c r="M463" s="24"/>
      <c r="N463" s="26">
        <v>460</v>
      </c>
      <c r="O463" s="24" t="str">
        <f>IF('ASS END SYNC'!C467="SHOW",FIND(",",'ASS END SYNC'!E467,1),"")</f>
        <v/>
      </c>
      <c r="P463" s="24" t="str">
        <f>IF('ASS END SYNC'!C467="SHOW",FIND(",",'ASS END SYNC'!E467,O463+1),"")</f>
        <v/>
      </c>
      <c r="Q463" s="24" t="str">
        <f>IF('ASS END SYNC'!C467="SHOW",FIND(",",'ASS END SYNC'!E467,P463+1),"")</f>
        <v/>
      </c>
      <c r="R463" s="25" t="str">
        <f>IF('ASS END SYNC'!C467="SHOW",FIND(",,",'ASS END SYNC'!E467,1),"")</f>
        <v/>
      </c>
      <c r="S463" s="25" t="str">
        <f>IF('ASS END SYNC'!C467="SHOW",FIND(",,",'ASS END SYNC'!E467,R463+1),"")</f>
        <v/>
      </c>
      <c r="T463" s="23" t="str">
        <f>IF('ASS END SYNC'!C467="SHOW",LEFT('ASS END SYNC'!E467,O463),"")</f>
        <v/>
      </c>
      <c r="U463" s="24" t="str">
        <f>IF('ASS END SYNC'!C467="SHOW",MID('ASS END SYNC'!E467,O463+1,P463-O463-1),"")</f>
        <v/>
      </c>
      <c r="V463" s="24" t="str">
        <f>IF(AND('ASS END SYNC'!C467="SHOW",'ASS END SYNC'!C468="SHOW"),U464,IF(AND('ASS END SYNC'!C467="SHOW",'ASS END SYNC'!C468&lt;&gt;"SHOW"),MID('ASS END SYNC'!E467,O463+1,P463-O463-1),""))</f>
        <v/>
      </c>
      <c r="W463" s="23" t="str">
        <f>IF('ASS END SYNC'!C467="SHOW",MID('ASS END SYNC'!E467,Q463+1,S463-Q463+1),"")</f>
        <v/>
      </c>
      <c r="X463" s="23" t="str">
        <f>IF('ASS END SYNC'!C467="SHOW",MID('ASS END SYNC'!E467,S463+2,1000),"")</f>
        <v/>
      </c>
      <c r="Z463" s="24"/>
    </row>
    <row r="464" spans="1:26" x14ac:dyDescent="0.25">
      <c r="A464" s="26">
        <v>461</v>
      </c>
      <c r="B464" s="24" t="str">
        <f>IF('ASS START SYNC'!C468="SHOW",FIND(",",'ASS START SYNC'!E468,1),"")</f>
        <v/>
      </c>
      <c r="C464" s="24" t="str">
        <f>IF('ASS START SYNC'!C468="SHOW",FIND(",",'ASS START SYNC'!E468,B464+1),"")</f>
        <v/>
      </c>
      <c r="D464" s="24" t="str">
        <f>IF('ASS START SYNC'!C468="SHOW",FIND(",",'ASS START SYNC'!E468,C464+1),"")</f>
        <v/>
      </c>
      <c r="E464" s="25" t="str">
        <f>IF('ASS START SYNC'!C468="SHOW",FIND(",,",'ASS START SYNC'!E468,1),"")</f>
        <v/>
      </c>
      <c r="F464" s="25" t="str">
        <f>IF('ASS START SYNC'!C468="SHOW",FIND(",,",'ASS START SYNC'!E468,E464+1),"")</f>
        <v/>
      </c>
      <c r="G464" s="23" t="str">
        <f>IF('ASS START SYNC'!C468="SHOW",LEFT('ASS START SYNC'!E468,B464),"")</f>
        <v/>
      </c>
      <c r="H464" s="24" t="str">
        <f>IF(AND('ASS START SYNC'!C468="SHOW",COUNTA('ASS START SYNC'!$E$8:'ASS START SYNC'!E467)=0),MID('ASS START SYNC'!E468,B464+1,C464-B464-1),IF(AND('ASS START SYNC'!C468="SHOW",COUNTA('ASS START SYNC'!$E$8:'ASS START SYNC'!E467)&lt;&gt;0),I463,""))</f>
        <v/>
      </c>
      <c r="I464" s="24" t="str">
        <f>IF('ASS START SYNC'!C468="SHOW",MID('ASS START SYNC'!E468,C464+1,D464-C464-1),I463)</f>
        <v/>
      </c>
      <c r="J464" s="23" t="str">
        <f>IF('ASS START SYNC'!C468="SHOW",MID('ASS START SYNC'!E468,D464+1,F464-D464+1),"")</f>
        <v/>
      </c>
      <c r="K464" s="23" t="str">
        <f>IF('ASS START SYNC'!C468="SHOW",MID('ASS START SYNC'!E468,F464+2,1000),"")</f>
        <v/>
      </c>
      <c r="M464" s="24"/>
      <c r="N464" s="26">
        <v>461</v>
      </c>
      <c r="O464" s="24" t="str">
        <f>IF('ASS END SYNC'!C468="SHOW",FIND(",",'ASS END SYNC'!E468,1),"")</f>
        <v/>
      </c>
      <c r="P464" s="24" t="str">
        <f>IF('ASS END SYNC'!C468="SHOW",FIND(",",'ASS END SYNC'!E468,O464+1),"")</f>
        <v/>
      </c>
      <c r="Q464" s="24" t="str">
        <f>IF('ASS END SYNC'!C468="SHOW",FIND(",",'ASS END SYNC'!E468,P464+1),"")</f>
        <v/>
      </c>
      <c r="R464" s="25" t="str">
        <f>IF('ASS END SYNC'!C468="SHOW",FIND(",,",'ASS END SYNC'!E468,1),"")</f>
        <v/>
      </c>
      <c r="S464" s="25" t="str">
        <f>IF('ASS END SYNC'!C468="SHOW",FIND(",,",'ASS END SYNC'!E468,R464+1),"")</f>
        <v/>
      </c>
      <c r="T464" s="23" t="str">
        <f>IF('ASS END SYNC'!C468="SHOW",LEFT('ASS END SYNC'!E468,O464),"")</f>
        <v/>
      </c>
      <c r="U464" s="24" t="str">
        <f>IF('ASS END SYNC'!C468="SHOW",MID('ASS END SYNC'!E468,O464+1,P464-O464-1),"")</f>
        <v/>
      </c>
      <c r="V464" s="24" t="str">
        <f>IF(AND('ASS END SYNC'!C468="SHOW",'ASS END SYNC'!C469="SHOW"),U465,IF(AND('ASS END SYNC'!C468="SHOW",'ASS END SYNC'!C469&lt;&gt;"SHOW"),MID('ASS END SYNC'!E468,O464+1,P464-O464-1),""))</f>
        <v/>
      </c>
      <c r="W464" s="23" t="str">
        <f>IF('ASS END SYNC'!C468="SHOW",MID('ASS END SYNC'!E468,Q464+1,S464-Q464+1),"")</f>
        <v/>
      </c>
      <c r="X464" s="23" t="str">
        <f>IF('ASS END SYNC'!C468="SHOW",MID('ASS END SYNC'!E468,S464+2,1000),"")</f>
        <v/>
      </c>
      <c r="Z464" s="24"/>
    </row>
    <row r="465" spans="1:26" x14ac:dyDescent="0.25">
      <c r="A465" s="26">
        <v>462</v>
      </c>
      <c r="B465" s="24" t="str">
        <f>IF('ASS START SYNC'!C469="SHOW",FIND(",",'ASS START SYNC'!E469,1),"")</f>
        <v/>
      </c>
      <c r="C465" s="24" t="str">
        <f>IF('ASS START SYNC'!C469="SHOW",FIND(",",'ASS START SYNC'!E469,B465+1),"")</f>
        <v/>
      </c>
      <c r="D465" s="24" t="str">
        <f>IF('ASS START SYNC'!C469="SHOW",FIND(",",'ASS START SYNC'!E469,C465+1),"")</f>
        <v/>
      </c>
      <c r="E465" s="25" t="str">
        <f>IF('ASS START SYNC'!C469="SHOW",FIND(",,",'ASS START SYNC'!E469,1),"")</f>
        <v/>
      </c>
      <c r="F465" s="25" t="str">
        <f>IF('ASS START SYNC'!C469="SHOW",FIND(",,",'ASS START SYNC'!E469,E465+1),"")</f>
        <v/>
      </c>
      <c r="G465" s="23" t="str">
        <f>IF('ASS START SYNC'!C469="SHOW",LEFT('ASS START SYNC'!E469,B465),"")</f>
        <v/>
      </c>
      <c r="H465" s="24" t="str">
        <f>IF(AND('ASS START SYNC'!C469="SHOW",COUNTA('ASS START SYNC'!$E$8:'ASS START SYNC'!E468)=0),MID('ASS START SYNC'!E469,B465+1,C465-B465-1),IF(AND('ASS START SYNC'!C469="SHOW",COUNTA('ASS START SYNC'!$E$8:'ASS START SYNC'!E468)&lt;&gt;0),I464,""))</f>
        <v/>
      </c>
      <c r="I465" s="24" t="str">
        <f>IF('ASS START SYNC'!C469="SHOW",MID('ASS START SYNC'!E469,C465+1,D465-C465-1),I464)</f>
        <v/>
      </c>
      <c r="J465" s="23" t="str">
        <f>IF('ASS START SYNC'!C469="SHOW",MID('ASS START SYNC'!E469,D465+1,F465-D465+1),"")</f>
        <v/>
      </c>
      <c r="K465" s="23" t="str">
        <f>IF('ASS START SYNC'!C469="SHOW",MID('ASS START SYNC'!E469,F465+2,1000),"")</f>
        <v/>
      </c>
      <c r="M465" s="24"/>
      <c r="N465" s="26">
        <v>462</v>
      </c>
      <c r="O465" s="24" t="str">
        <f>IF('ASS END SYNC'!C469="SHOW",FIND(",",'ASS END SYNC'!E469,1),"")</f>
        <v/>
      </c>
      <c r="P465" s="24" t="str">
        <f>IF('ASS END SYNC'!C469="SHOW",FIND(",",'ASS END SYNC'!E469,O465+1),"")</f>
        <v/>
      </c>
      <c r="Q465" s="24" t="str">
        <f>IF('ASS END SYNC'!C469="SHOW",FIND(",",'ASS END SYNC'!E469,P465+1),"")</f>
        <v/>
      </c>
      <c r="R465" s="25" t="str">
        <f>IF('ASS END SYNC'!C469="SHOW",FIND(",,",'ASS END SYNC'!E469,1),"")</f>
        <v/>
      </c>
      <c r="S465" s="25" t="str">
        <f>IF('ASS END SYNC'!C469="SHOW",FIND(",,",'ASS END SYNC'!E469,R465+1),"")</f>
        <v/>
      </c>
      <c r="T465" s="23" t="str">
        <f>IF('ASS END SYNC'!C469="SHOW",LEFT('ASS END SYNC'!E469,O465),"")</f>
        <v/>
      </c>
      <c r="U465" s="24" t="str">
        <f>IF('ASS END SYNC'!C469="SHOW",MID('ASS END SYNC'!E469,O465+1,P465-O465-1),"")</f>
        <v/>
      </c>
      <c r="V465" s="24" t="str">
        <f>IF(AND('ASS END SYNC'!C469="SHOW",'ASS END SYNC'!C470="SHOW"),U466,IF(AND('ASS END SYNC'!C469="SHOW",'ASS END SYNC'!C470&lt;&gt;"SHOW"),MID('ASS END SYNC'!E469,O465+1,P465-O465-1),""))</f>
        <v/>
      </c>
      <c r="W465" s="23" t="str">
        <f>IF('ASS END SYNC'!C469="SHOW",MID('ASS END SYNC'!E469,Q465+1,S465-Q465+1),"")</f>
        <v/>
      </c>
      <c r="X465" s="23" t="str">
        <f>IF('ASS END SYNC'!C469="SHOW",MID('ASS END SYNC'!E469,S465+2,1000),"")</f>
        <v/>
      </c>
      <c r="Z465" s="24"/>
    </row>
    <row r="466" spans="1:26" x14ac:dyDescent="0.25">
      <c r="A466" s="26">
        <v>463</v>
      </c>
      <c r="B466" s="24" t="str">
        <f>IF('ASS START SYNC'!C470="SHOW",FIND(",",'ASS START SYNC'!E470,1),"")</f>
        <v/>
      </c>
      <c r="C466" s="24" t="str">
        <f>IF('ASS START SYNC'!C470="SHOW",FIND(",",'ASS START SYNC'!E470,B466+1),"")</f>
        <v/>
      </c>
      <c r="D466" s="24" t="str">
        <f>IF('ASS START SYNC'!C470="SHOW",FIND(",",'ASS START SYNC'!E470,C466+1),"")</f>
        <v/>
      </c>
      <c r="E466" s="25" t="str">
        <f>IF('ASS START SYNC'!C470="SHOW",FIND(",,",'ASS START SYNC'!E470,1),"")</f>
        <v/>
      </c>
      <c r="F466" s="25" t="str">
        <f>IF('ASS START SYNC'!C470="SHOW",FIND(",,",'ASS START SYNC'!E470,E466+1),"")</f>
        <v/>
      </c>
      <c r="G466" s="23" t="str">
        <f>IF('ASS START SYNC'!C470="SHOW",LEFT('ASS START SYNC'!E470,B466),"")</f>
        <v/>
      </c>
      <c r="H466" s="24" t="str">
        <f>IF(AND('ASS START SYNC'!C470="SHOW",COUNTA('ASS START SYNC'!$E$8:'ASS START SYNC'!E469)=0),MID('ASS START SYNC'!E470,B466+1,C466-B466-1),IF(AND('ASS START SYNC'!C470="SHOW",COUNTA('ASS START SYNC'!$E$8:'ASS START SYNC'!E469)&lt;&gt;0),I465,""))</f>
        <v/>
      </c>
      <c r="I466" s="24" t="str">
        <f>IF('ASS START SYNC'!C470="SHOW",MID('ASS START SYNC'!E470,C466+1,D466-C466-1),I465)</f>
        <v/>
      </c>
      <c r="J466" s="23" t="str">
        <f>IF('ASS START SYNC'!C470="SHOW",MID('ASS START SYNC'!E470,D466+1,F466-D466+1),"")</f>
        <v/>
      </c>
      <c r="K466" s="23" t="str">
        <f>IF('ASS START SYNC'!C470="SHOW",MID('ASS START SYNC'!E470,F466+2,1000),"")</f>
        <v/>
      </c>
      <c r="M466" s="24"/>
      <c r="N466" s="26">
        <v>463</v>
      </c>
      <c r="O466" s="24" t="str">
        <f>IF('ASS END SYNC'!C470="SHOW",FIND(",",'ASS END SYNC'!E470,1),"")</f>
        <v/>
      </c>
      <c r="P466" s="24" t="str">
        <f>IF('ASS END SYNC'!C470="SHOW",FIND(",",'ASS END SYNC'!E470,O466+1),"")</f>
        <v/>
      </c>
      <c r="Q466" s="24" t="str">
        <f>IF('ASS END SYNC'!C470="SHOW",FIND(",",'ASS END SYNC'!E470,P466+1),"")</f>
        <v/>
      </c>
      <c r="R466" s="25" t="str">
        <f>IF('ASS END SYNC'!C470="SHOW",FIND(",,",'ASS END SYNC'!E470,1),"")</f>
        <v/>
      </c>
      <c r="S466" s="25" t="str">
        <f>IF('ASS END SYNC'!C470="SHOW",FIND(",,",'ASS END SYNC'!E470,R466+1),"")</f>
        <v/>
      </c>
      <c r="T466" s="23" t="str">
        <f>IF('ASS END SYNC'!C470="SHOW",LEFT('ASS END SYNC'!E470,O466),"")</f>
        <v/>
      </c>
      <c r="U466" s="24" t="str">
        <f>IF('ASS END SYNC'!C470="SHOW",MID('ASS END SYNC'!E470,O466+1,P466-O466-1),"")</f>
        <v/>
      </c>
      <c r="V466" s="24" t="str">
        <f>IF(AND('ASS END SYNC'!C470="SHOW",'ASS END SYNC'!C471="SHOW"),U467,IF(AND('ASS END SYNC'!C470="SHOW",'ASS END SYNC'!C471&lt;&gt;"SHOW"),MID('ASS END SYNC'!E470,O466+1,P466-O466-1),""))</f>
        <v/>
      </c>
      <c r="W466" s="23" t="str">
        <f>IF('ASS END SYNC'!C470="SHOW",MID('ASS END SYNC'!E470,Q466+1,S466-Q466+1),"")</f>
        <v/>
      </c>
      <c r="X466" s="23" t="str">
        <f>IF('ASS END SYNC'!C470="SHOW",MID('ASS END SYNC'!E470,S466+2,1000),"")</f>
        <v/>
      </c>
      <c r="Z466" s="24"/>
    </row>
    <row r="467" spans="1:26" x14ac:dyDescent="0.25">
      <c r="A467" s="26">
        <v>464</v>
      </c>
      <c r="B467" s="24" t="str">
        <f>IF('ASS START SYNC'!C471="SHOW",FIND(",",'ASS START SYNC'!E471,1),"")</f>
        <v/>
      </c>
      <c r="C467" s="24" t="str">
        <f>IF('ASS START SYNC'!C471="SHOW",FIND(",",'ASS START SYNC'!E471,B467+1),"")</f>
        <v/>
      </c>
      <c r="D467" s="24" t="str">
        <f>IF('ASS START SYNC'!C471="SHOW",FIND(",",'ASS START SYNC'!E471,C467+1),"")</f>
        <v/>
      </c>
      <c r="E467" s="25" t="str">
        <f>IF('ASS START SYNC'!C471="SHOW",FIND(",,",'ASS START SYNC'!E471,1),"")</f>
        <v/>
      </c>
      <c r="F467" s="25" t="str">
        <f>IF('ASS START SYNC'!C471="SHOW",FIND(",,",'ASS START SYNC'!E471,E467+1),"")</f>
        <v/>
      </c>
      <c r="G467" s="23" t="str">
        <f>IF('ASS START SYNC'!C471="SHOW",LEFT('ASS START SYNC'!E471,B467),"")</f>
        <v/>
      </c>
      <c r="H467" s="24" t="str">
        <f>IF(AND('ASS START SYNC'!C471="SHOW",COUNTA('ASS START SYNC'!$E$8:'ASS START SYNC'!E470)=0),MID('ASS START SYNC'!E471,B467+1,C467-B467-1),IF(AND('ASS START SYNC'!C471="SHOW",COUNTA('ASS START SYNC'!$E$8:'ASS START SYNC'!E470)&lt;&gt;0),I466,""))</f>
        <v/>
      </c>
      <c r="I467" s="24" t="str">
        <f>IF('ASS START SYNC'!C471="SHOW",MID('ASS START SYNC'!E471,C467+1,D467-C467-1),I466)</f>
        <v/>
      </c>
      <c r="J467" s="23" t="str">
        <f>IF('ASS START SYNC'!C471="SHOW",MID('ASS START SYNC'!E471,D467+1,F467-D467+1),"")</f>
        <v/>
      </c>
      <c r="K467" s="23" t="str">
        <f>IF('ASS START SYNC'!C471="SHOW",MID('ASS START SYNC'!E471,F467+2,1000),"")</f>
        <v/>
      </c>
      <c r="M467" s="24"/>
      <c r="N467" s="26">
        <v>464</v>
      </c>
      <c r="O467" s="24" t="str">
        <f>IF('ASS END SYNC'!C471="SHOW",FIND(",",'ASS END SYNC'!E471,1),"")</f>
        <v/>
      </c>
      <c r="P467" s="24" t="str">
        <f>IF('ASS END SYNC'!C471="SHOW",FIND(",",'ASS END SYNC'!E471,O467+1),"")</f>
        <v/>
      </c>
      <c r="Q467" s="24" t="str">
        <f>IF('ASS END SYNC'!C471="SHOW",FIND(",",'ASS END SYNC'!E471,P467+1),"")</f>
        <v/>
      </c>
      <c r="R467" s="25" t="str">
        <f>IF('ASS END SYNC'!C471="SHOW",FIND(",,",'ASS END SYNC'!E471,1),"")</f>
        <v/>
      </c>
      <c r="S467" s="25" t="str">
        <f>IF('ASS END SYNC'!C471="SHOW",FIND(",,",'ASS END SYNC'!E471,R467+1),"")</f>
        <v/>
      </c>
      <c r="T467" s="23" t="str">
        <f>IF('ASS END SYNC'!C471="SHOW",LEFT('ASS END SYNC'!E471,O467),"")</f>
        <v/>
      </c>
      <c r="U467" s="24" t="str">
        <f>IF('ASS END SYNC'!C471="SHOW",MID('ASS END SYNC'!E471,O467+1,P467-O467-1),"")</f>
        <v/>
      </c>
      <c r="V467" s="24" t="str">
        <f>IF(AND('ASS END SYNC'!C471="SHOW",'ASS END SYNC'!C472="SHOW"),U468,IF(AND('ASS END SYNC'!C471="SHOW",'ASS END SYNC'!C472&lt;&gt;"SHOW"),MID('ASS END SYNC'!E471,O467+1,P467-O467-1),""))</f>
        <v/>
      </c>
      <c r="W467" s="23" t="str">
        <f>IF('ASS END SYNC'!C471="SHOW",MID('ASS END SYNC'!E471,Q467+1,S467-Q467+1),"")</f>
        <v/>
      </c>
      <c r="X467" s="23" t="str">
        <f>IF('ASS END SYNC'!C471="SHOW",MID('ASS END SYNC'!E471,S467+2,1000),"")</f>
        <v/>
      </c>
      <c r="Z467" s="24"/>
    </row>
    <row r="468" spans="1:26" x14ac:dyDescent="0.25">
      <c r="A468" s="26">
        <v>465</v>
      </c>
      <c r="B468" s="24" t="str">
        <f>IF('ASS START SYNC'!C472="SHOW",FIND(",",'ASS START SYNC'!E472,1),"")</f>
        <v/>
      </c>
      <c r="C468" s="24" t="str">
        <f>IF('ASS START SYNC'!C472="SHOW",FIND(",",'ASS START SYNC'!E472,B468+1),"")</f>
        <v/>
      </c>
      <c r="D468" s="24" t="str">
        <f>IF('ASS START SYNC'!C472="SHOW",FIND(",",'ASS START SYNC'!E472,C468+1),"")</f>
        <v/>
      </c>
      <c r="E468" s="25" t="str">
        <f>IF('ASS START SYNC'!C472="SHOW",FIND(",,",'ASS START SYNC'!E472,1),"")</f>
        <v/>
      </c>
      <c r="F468" s="25" t="str">
        <f>IF('ASS START SYNC'!C472="SHOW",FIND(",,",'ASS START SYNC'!E472,E468+1),"")</f>
        <v/>
      </c>
      <c r="G468" s="23" t="str">
        <f>IF('ASS START SYNC'!C472="SHOW",LEFT('ASS START SYNC'!E472,B468),"")</f>
        <v/>
      </c>
      <c r="H468" s="24" t="str">
        <f>IF(AND('ASS START SYNC'!C472="SHOW",COUNTA('ASS START SYNC'!$E$8:'ASS START SYNC'!E471)=0),MID('ASS START SYNC'!E472,B468+1,C468-B468-1),IF(AND('ASS START SYNC'!C472="SHOW",COUNTA('ASS START SYNC'!$E$8:'ASS START SYNC'!E471)&lt;&gt;0),I467,""))</f>
        <v/>
      </c>
      <c r="I468" s="24" t="str">
        <f>IF('ASS START SYNC'!C472="SHOW",MID('ASS START SYNC'!E472,C468+1,D468-C468-1),I467)</f>
        <v/>
      </c>
      <c r="J468" s="23" t="str">
        <f>IF('ASS START SYNC'!C472="SHOW",MID('ASS START SYNC'!E472,D468+1,F468-D468+1),"")</f>
        <v/>
      </c>
      <c r="K468" s="23" t="str">
        <f>IF('ASS START SYNC'!C472="SHOW",MID('ASS START SYNC'!E472,F468+2,1000),"")</f>
        <v/>
      </c>
      <c r="M468" s="24"/>
      <c r="N468" s="26">
        <v>465</v>
      </c>
      <c r="O468" s="24" t="str">
        <f>IF('ASS END SYNC'!C472="SHOW",FIND(",",'ASS END SYNC'!E472,1),"")</f>
        <v/>
      </c>
      <c r="P468" s="24" t="str">
        <f>IF('ASS END SYNC'!C472="SHOW",FIND(",",'ASS END SYNC'!E472,O468+1),"")</f>
        <v/>
      </c>
      <c r="Q468" s="24" t="str">
        <f>IF('ASS END SYNC'!C472="SHOW",FIND(",",'ASS END SYNC'!E472,P468+1),"")</f>
        <v/>
      </c>
      <c r="R468" s="25" t="str">
        <f>IF('ASS END SYNC'!C472="SHOW",FIND(",,",'ASS END SYNC'!E472,1),"")</f>
        <v/>
      </c>
      <c r="S468" s="25" t="str">
        <f>IF('ASS END SYNC'!C472="SHOW",FIND(",,",'ASS END SYNC'!E472,R468+1),"")</f>
        <v/>
      </c>
      <c r="T468" s="23" t="str">
        <f>IF('ASS END SYNC'!C472="SHOW",LEFT('ASS END SYNC'!E472,O468),"")</f>
        <v/>
      </c>
      <c r="U468" s="24" t="str">
        <f>IF('ASS END SYNC'!C472="SHOW",MID('ASS END SYNC'!E472,O468+1,P468-O468-1),"")</f>
        <v/>
      </c>
      <c r="V468" s="24" t="str">
        <f>IF(AND('ASS END SYNC'!C472="SHOW",'ASS END SYNC'!C473="SHOW"),U469,IF(AND('ASS END SYNC'!C472="SHOW",'ASS END SYNC'!C473&lt;&gt;"SHOW"),MID('ASS END SYNC'!E472,O468+1,P468-O468-1),""))</f>
        <v/>
      </c>
      <c r="W468" s="23" t="str">
        <f>IF('ASS END SYNC'!C472="SHOW",MID('ASS END SYNC'!E472,Q468+1,S468-Q468+1),"")</f>
        <v/>
      </c>
      <c r="X468" s="23" t="str">
        <f>IF('ASS END SYNC'!C472="SHOW",MID('ASS END SYNC'!E472,S468+2,1000),"")</f>
        <v/>
      </c>
      <c r="Z468" s="24"/>
    </row>
    <row r="469" spans="1:26" x14ac:dyDescent="0.25">
      <c r="A469" s="26">
        <v>466</v>
      </c>
      <c r="B469" s="24" t="str">
        <f>IF('ASS START SYNC'!C473="SHOW",FIND(",",'ASS START SYNC'!E473,1),"")</f>
        <v/>
      </c>
      <c r="C469" s="24" t="str">
        <f>IF('ASS START SYNC'!C473="SHOW",FIND(",",'ASS START SYNC'!E473,B469+1),"")</f>
        <v/>
      </c>
      <c r="D469" s="24" t="str">
        <f>IF('ASS START SYNC'!C473="SHOW",FIND(",",'ASS START SYNC'!E473,C469+1),"")</f>
        <v/>
      </c>
      <c r="E469" s="25" t="str">
        <f>IF('ASS START SYNC'!C473="SHOW",FIND(",,",'ASS START SYNC'!E473,1),"")</f>
        <v/>
      </c>
      <c r="F469" s="25" t="str">
        <f>IF('ASS START SYNC'!C473="SHOW",FIND(",,",'ASS START SYNC'!E473,E469+1),"")</f>
        <v/>
      </c>
      <c r="G469" s="23" t="str">
        <f>IF('ASS START SYNC'!C473="SHOW",LEFT('ASS START SYNC'!E473,B469),"")</f>
        <v/>
      </c>
      <c r="H469" s="24" t="str">
        <f>IF(AND('ASS START SYNC'!C473="SHOW",COUNTA('ASS START SYNC'!$E$8:'ASS START SYNC'!E472)=0),MID('ASS START SYNC'!E473,B469+1,C469-B469-1),IF(AND('ASS START SYNC'!C473="SHOW",COUNTA('ASS START SYNC'!$E$8:'ASS START SYNC'!E472)&lt;&gt;0),I468,""))</f>
        <v/>
      </c>
      <c r="I469" s="24" t="str">
        <f>IF('ASS START SYNC'!C473="SHOW",MID('ASS START SYNC'!E473,C469+1,D469-C469-1),I468)</f>
        <v/>
      </c>
      <c r="J469" s="23" t="str">
        <f>IF('ASS START SYNC'!C473="SHOW",MID('ASS START SYNC'!E473,D469+1,F469-D469+1),"")</f>
        <v/>
      </c>
      <c r="K469" s="23" t="str">
        <f>IF('ASS START SYNC'!C473="SHOW",MID('ASS START SYNC'!E473,F469+2,1000),"")</f>
        <v/>
      </c>
      <c r="M469" s="24"/>
      <c r="N469" s="26">
        <v>466</v>
      </c>
      <c r="O469" s="24" t="str">
        <f>IF('ASS END SYNC'!C473="SHOW",FIND(",",'ASS END SYNC'!E473,1),"")</f>
        <v/>
      </c>
      <c r="P469" s="24" t="str">
        <f>IF('ASS END SYNC'!C473="SHOW",FIND(",",'ASS END SYNC'!E473,O469+1),"")</f>
        <v/>
      </c>
      <c r="Q469" s="24" t="str">
        <f>IF('ASS END SYNC'!C473="SHOW",FIND(",",'ASS END SYNC'!E473,P469+1),"")</f>
        <v/>
      </c>
      <c r="R469" s="25" t="str">
        <f>IF('ASS END SYNC'!C473="SHOW",FIND(",,",'ASS END SYNC'!E473,1),"")</f>
        <v/>
      </c>
      <c r="S469" s="25" t="str">
        <f>IF('ASS END SYNC'!C473="SHOW",FIND(",,",'ASS END SYNC'!E473,R469+1),"")</f>
        <v/>
      </c>
      <c r="T469" s="23" t="str">
        <f>IF('ASS END SYNC'!C473="SHOW",LEFT('ASS END SYNC'!E473,O469),"")</f>
        <v/>
      </c>
      <c r="U469" s="24" t="str">
        <f>IF('ASS END SYNC'!C473="SHOW",MID('ASS END SYNC'!E473,O469+1,P469-O469-1),"")</f>
        <v/>
      </c>
      <c r="V469" s="24" t="str">
        <f>IF(AND('ASS END SYNC'!C473="SHOW",'ASS END SYNC'!C474="SHOW"),U470,IF(AND('ASS END SYNC'!C473="SHOW",'ASS END SYNC'!C474&lt;&gt;"SHOW"),MID('ASS END SYNC'!E473,O469+1,P469-O469-1),""))</f>
        <v/>
      </c>
      <c r="W469" s="23" t="str">
        <f>IF('ASS END SYNC'!C473="SHOW",MID('ASS END SYNC'!E473,Q469+1,S469-Q469+1),"")</f>
        <v/>
      </c>
      <c r="X469" s="23" t="str">
        <f>IF('ASS END SYNC'!C473="SHOW",MID('ASS END SYNC'!E473,S469+2,1000),"")</f>
        <v/>
      </c>
      <c r="Z469" s="24"/>
    </row>
    <row r="470" spans="1:26" x14ac:dyDescent="0.25">
      <c r="A470" s="26">
        <v>467</v>
      </c>
      <c r="B470" s="24" t="str">
        <f>IF('ASS START SYNC'!C474="SHOW",FIND(",",'ASS START SYNC'!E474,1),"")</f>
        <v/>
      </c>
      <c r="C470" s="24" t="str">
        <f>IF('ASS START SYNC'!C474="SHOW",FIND(",",'ASS START SYNC'!E474,B470+1),"")</f>
        <v/>
      </c>
      <c r="D470" s="24" t="str">
        <f>IF('ASS START SYNC'!C474="SHOW",FIND(",",'ASS START SYNC'!E474,C470+1),"")</f>
        <v/>
      </c>
      <c r="E470" s="25" t="str">
        <f>IF('ASS START SYNC'!C474="SHOW",FIND(",,",'ASS START SYNC'!E474,1),"")</f>
        <v/>
      </c>
      <c r="F470" s="25" t="str">
        <f>IF('ASS START SYNC'!C474="SHOW",FIND(",,",'ASS START SYNC'!E474,E470+1),"")</f>
        <v/>
      </c>
      <c r="G470" s="23" t="str">
        <f>IF('ASS START SYNC'!C474="SHOW",LEFT('ASS START SYNC'!E474,B470),"")</f>
        <v/>
      </c>
      <c r="H470" s="24" t="str">
        <f>IF(AND('ASS START SYNC'!C474="SHOW",COUNTA('ASS START SYNC'!$E$8:'ASS START SYNC'!E473)=0),MID('ASS START SYNC'!E474,B470+1,C470-B470-1),IF(AND('ASS START SYNC'!C474="SHOW",COUNTA('ASS START SYNC'!$E$8:'ASS START SYNC'!E473)&lt;&gt;0),I469,""))</f>
        <v/>
      </c>
      <c r="I470" s="24" t="str">
        <f>IF('ASS START SYNC'!C474="SHOW",MID('ASS START SYNC'!E474,C470+1,D470-C470-1),I469)</f>
        <v/>
      </c>
      <c r="J470" s="23" t="str">
        <f>IF('ASS START SYNC'!C474="SHOW",MID('ASS START SYNC'!E474,D470+1,F470-D470+1),"")</f>
        <v/>
      </c>
      <c r="K470" s="23" t="str">
        <f>IF('ASS START SYNC'!C474="SHOW",MID('ASS START SYNC'!E474,F470+2,1000),"")</f>
        <v/>
      </c>
      <c r="M470" s="24"/>
      <c r="N470" s="26">
        <v>467</v>
      </c>
      <c r="O470" s="24" t="str">
        <f>IF('ASS END SYNC'!C474="SHOW",FIND(",",'ASS END SYNC'!E474,1),"")</f>
        <v/>
      </c>
      <c r="P470" s="24" t="str">
        <f>IF('ASS END SYNC'!C474="SHOW",FIND(",",'ASS END SYNC'!E474,O470+1),"")</f>
        <v/>
      </c>
      <c r="Q470" s="24" t="str">
        <f>IF('ASS END SYNC'!C474="SHOW",FIND(",",'ASS END SYNC'!E474,P470+1),"")</f>
        <v/>
      </c>
      <c r="R470" s="25" t="str">
        <f>IF('ASS END SYNC'!C474="SHOW",FIND(",,",'ASS END SYNC'!E474,1),"")</f>
        <v/>
      </c>
      <c r="S470" s="25" t="str">
        <f>IF('ASS END SYNC'!C474="SHOW",FIND(",,",'ASS END SYNC'!E474,R470+1),"")</f>
        <v/>
      </c>
      <c r="T470" s="23" t="str">
        <f>IF('ASS END SYNC'!C474="SHOW",LEFT('ASS END SYNC'!E474,O470),"")</f>
        <v/>
      </c>
      <c r="U470" s="24" t="str">
        <f>IF('ASS END SYNC'!C474="SHOW",MID('ASS END SYNC'!E474,O470+1,P470-O470-1),"")</f>
        <v/>
      </c>
      <c r="V470" s="24" t="str">
        <f>IF(AND('ASS END SYNC'!C474="SHOW",'ASS END SYNC'!C475="SHOW"),U471,IF(AND('ASS END SYNC'!C474="SHOW",'ASS END SYNC'!C475&lt;&gt;"SHOW"),MID('ASS END SYNC'!E474,O470+1,P470-O470-1),""))</f>
        <v/>
      </c>
      <c r="W470" s="23" t="str">
        <f>IF('ASS END SYNC'!C474="SHOW",MID('ASS END SYNC'!E474,Q470+1,S470-Q470+1),"")</f>
        <v/>
      </c>
      <c r="X470" s="23" t="str">
        <f>IF('ASS END SYNC'!C474="SHOW",MID('ASS END SYNC'!E474,S470+2,1000),"")</f>
        <v/>
      </c>
      <c r="Z470" s="24"/>
    </row>
    <row r="471" spans="1:26" x14ac:dyDescent="0.25">
      <c r="A471" s="26">
        <v>468</v>
      </c>
      <c r="B471" s="24" t="str">
        <f>IF('ASS START SYNC'!C475="SHOW",FIND(",",'ASS START SYNC'!E475,1),"")</f>
        <v/>
      </c>
      <c r="C471" s="24" t="str">
        <f>IF('ASS START SYNC'!C475="SHOW",FIND(",",'ASS START SYNC'!E475,B471+1),"")</f>
        <v/>
      </c>
      <c r="D471" s="24" t="str">
        <f>IF('ASS START SYNC'!C475="SHOW",FIND(",",'ASS START SYNC'!E475,C471+1),"")</f>
        <v/>
      </c>
      <c r="E471" s="25" t="str">
        <f>IF('ASS START SYNC'!C475="SHOW",FIND(",,",'ASS START SYNC'!E475,1),"")</f>
        <v/>
      </c>
      <c r="F471" s="25" t="str">
        <f>IF('ASS START SYNC'!C475="SHOW",FIND(",,",'ASS START SYNC'!E475,E471+1),"")</f>
        <v/>
      </c>
      <c r="G471" s="23" t="str">
        <f>IF('ASS START SYNC'!C475="SHOW",LEFT('ASS START SYNC'!E475,B471),"")</f>
        <v/>
      </c>
      <c r="H471" s="24" t="str">
        <f>IF(AND('ASS START SYNC'!C475="SHOW",COUNTA('ASS START SYNC'!$E$8:'ASS START SYNC'!E474)=0),MID('ASS START SYNC'!E475,B471+1,C471-B471-1),IF(AND('ASS START SYNC'!C475="SHOW",COUNTA('ASS START SYNC'!$E$8:'ASS START SYNC'!E474)&lt;&gt;0),I470,""))</f>
        <v/>
      </c>
      <c r="I471" s="24" t="str">
        <f>IF('ASS START SYNC'!C475="SHOW",MID('ASS START SYNC'!E475,C471+1,D471-C471-1),I470)</f>
        <v/>
      </c>
      <c r="J471" s="23" t="str">
        <f>IF('ASS START SYNC'!C475="SHOW",MID('ASS START SYNC'!E475,D471+1,F471-D471+1),"")</f>
        <v/>
      </c>
      <c r="K471" s="23" t="str">
        <f>IF('ASS START SYNC'!C475="SHOW",MID('ASS START SYNC'!E475,F471+2,1000),"")</f>
        <v/>
      </c>
      <c r="M471" s="24"/>
      <c r="N471" s="26">
        <v>468</v>
      </c>
      <c r="O471" s="24" t="str">
        <f>IF('ASS END SYNC'!C475="SHOW",FIND(",",'ASS END SYNC'!E475,1),"")</f>
        <v/>
      </c>
      <c r="P471" s="24" t="str">
        <f>IF('ASS END SYNC'!C475="SHOW",FIND(",",'ASS END SYNC'!E475,O471+1),"")</f>
        <v/>
      </c>
      <c r="Q471" s="24" t="str">
        <f>IF('ASS END SYNC'!C475="SHOW",FIND(",",'ASS END SYNC'!E475,P471+1),"")</f>
        <v/>
      </c>
      <c r="R471" s="25" t="str">
        <f>IF('ASS END SYNC'!C475="SHOW",FIND(",,",'ASS END SYNC'!E475,1),"")</f>
        <v/>
      </c>
      <c r="S471" s="25" t="str">
        <f>IF('ASS END SYNC'!C475="SHOW",FIND(",,",'ASS END SYNC'!E475,R471+1),"")</f>
        <v/>
      </c>
      <c r="T471" s="23" t="str">
        <f>IF('ASS END SYNC'!C475="SHOW",LEFT('ASS END SYNC'!E475,O471),"")</f>
        <v/>
      </c>
      <c r="U471" s="24" t="str">
        <f>IF('ASS END SYNC'!C475="SHOW",MID('ASS END SYNC'!E475,O471+1,P471-O471-1),"")</f>
        <v/>
      </c>
      <c r="V471" s="24" t="str">
        <f>IF(AND('ASS END SYNC'!C475="SHOW",'ASS END SYNC'!C476="SHOW"),U472,IF(AND('ASS END SYNC'!C475="SHOW",'ASS END SYNC'!C476&lt;&gt;"SHOW"),MID('ASS END SYNC'!E475,O471+1,P471-O471-1),""))</f>
        <v/>
      </c>
      <c r="W471" s="23" t="str">
        <f>IF('ASS END SYNC'!C475="SHOW",MID('ASS END SYNC'!E475,Q471+1,S471-Q471+1),"")</f>
        <v/>
      </c>
      <c r="X471" s="23" t="str">
        <f>IF('ASS END SYNC'!C475="SHOW",MID('ASS END SYNC'!E475,S471+2,1000),"")</f>
        <v/>
      </c>
      <c r="Z471" s="24"/>
    </row>
    <row r="472" spans="1:26" x14ac:dyDescent="0.25">
      <c r="A472" s="26">
        <v>469</v>
      </c>
      <c r="B472" s="24" t="str">
        <f>IF('ASS START SYNC'!C476="SHOW",FIND(",",'ASS START SYNC'!E476,1),"")</f>
        <v/>
      </c>
      <c r="C472" s="24" t="str">
        <f>IF('ASS START SYNC'!C476="SHOW",FIND(",",'ASS START SYNC'!E476,B472+1),"")</f>
        <v/>
      </c>
      <c r="D472" s="24" t="str">
        <f>IF('ASS START SYNC'!C476="SHOW",FIND(",",'ASS START SYNC'!E476,C472+1),"")</f>
        <v/>
      </c>
      <c r="E472" s="25" t="str">
        <f>IF('ASS START SYNC'!C476="SHOW",FIND(",,",'ASS START SYNC'!E476,1),"")</f>
        <v/>
      </c>
      <c r="F472" s="25" t="str">
        <f>IF('ASS START SYNC'!C476="SHOW",FIND(",,",'ASS START SYNC'!E476,E472+1),"")</f>
        <v/>
      </c>
      <c r="G472" s="23" t="str">
        <f>IF('ASS START SYNC'!C476="SHOW",LEFT('ASS START SYNC'!E476,B472),"")</f>
        <v/>
      </c>
      <c r="H472" s="24" t="str">
        <f>IF(AND('ASS START SYNC'!C476="SHOW",COUNTA('ASS START SYNC'!$E$8:'ASS START SYNC'!E475)=0),MID('ASS START SYNC'!E476,B472+1,C472-B472-1),IF(AND('ASS START SYNC'!C476="SHOW",COUNTA('ASS START SYNC'!$E$8:'ASS START SYNC'!E475)&lt;&gt;0),I471,""))</f>
        <v/>
      </c>
      <c r="I472" s="24" t="str">
        <f>IF('ASS START SYNC'!C476="SHOW",MID('ASS START SYNC'!E476,C472+1,D472-C472-1),I471)</f>
        <v/>
      </c>
      <c r="J472" s="23" t="str">
        <f>IF('ASS START SYNC'!C476="SHOW",MID('ASS START SYNC'!E476,D472+1,F472-D472+1),"")</f>
        <v/>
      </c>
      <c r="K472" s="23" t="str">
        <f>IF('ASS START SYNC'!C476="SHOW",MID('ASS START SYNC'!E476,F472+2,1000),"")</f>
        <v/>
      </c>
      <c r="M472" s="24"/>
      <c r="N472" s="26">
        <v>469</v>
      </c>
      <c r="O472" s="24" t="str">
        <f>IF('ASS END SYNC'!C476="SHOW",FIND(",",'ASS END SYNC'!E476,1),"")</f>
        <v/>
      </c>
      <c r="P472" s="24" t="str">
        <f>IF('ASS END SYNC'!C476="SHOW",FIND(",",'ASS END SYNC'!E476,O472+1),"")</f>
        <v/>
      </c>
      <c r="Q472" s="24" t="str">
        <f>IF('ASS END SYNC'!C476="SHOW",FIND(",",'ASS END SYNC'!E476,P472+1),"")</f>
        <v/>
      </c>
      <c r="R472" s="25" t="str">
        <f>IF('ASS END SYNC'!C476="SHOW",FIND(",,",'ASS END SYNC'!E476,1),"")</f>
        <v/>
      </c>
      <c r="S472" s="25" t="str">
        <f>IF('ASS END SYNC'!C476="SHOW",FIND(",,",'ASS END SYNC'!E476,R472+1),"")</f>
        <v/>
      </c>
      <c r="T472" s="23" t="str">
        <f>IF('ASS END SYNC'!C476="SHOW",LEFT('ASS END SYNC'!E476,O472),"")</f>
        <v/>
      </c>
      <c r="U472" s="24" t="str">
        <f>IF('ASS END SYNC'!C476="SHOW",MID('ASS END SYNC'!E476,O472+1,P472-O472-1),"")</f>
        <v/>
      </c>
      <c r="V472" s="24" t="str">
        <f>IF(AND('ASS END SYNC'!C476="SHOW",'ASS END SYNC'!C477="SHOW"),U473,IF(AND('ASS END SYNC'!C476="SHOW",'ASS END SYNC'!C477&lt;&gt;"SHOW"),MID('ASS END SYNC'!E476,O472+1,P472-O472-1),""))</f>
        <v/>
      </c>
      <c r="W472" s="23" t="str">
        <f>IF('ASS END SYNC'!C476="SHOW",MID('ASS END SYNC'!E476,Q472+1,S472-Q472+1),"")</f>
        <v/>
      </c>
      <c r="X472" s="23" t="str">
        <f>IF('ASS END SYNC'!C476="SHOW",MID('ASS END SYNC'!E476,S472+2,1000),"")</f>
        <v/>
      </c>
      <c r="Z472" s="24"/>
    </row>
    <row r="473" spans="1:26" x14ac:dyDescent="0.25">
      <c r="A473" s="26">
        <v>470</v>
      </c>
      <c r="B473" s="24" t="str">
        <f>IF('ASS START SYNC'!C477="SHOW",FIND(",",'ASS START SYNC'!E477,1),"")</f>
        <v/>
      </c>
      <c r="C473" s="24" t="str">
        <f>IF('ASS START SYNC'!C477="SHOW",FIND(",",'ASS START SYNC'!E477,B473+1),"")</f>
        <v/>
      </c>
      <c r="D473" s="24" t="str">
        <f>IF('ASS START SYNC'!C477="SHOW",FIND(",",'ASS START SYNC'!E477,C473+1),"")</f>
        <v/>
      </c>
      <c r="E473" s="25" t="str">
        <f>IF('ASS START SYNC'!C477="SHOW",FIND(",,",'ASS START SYNC'!E477,1),"")</f>
        <v/>
      </c>
      <c r="F473" s="25" t="str">
        <f>IF('ASS START SYNC'!C477="SHOW",FIND(",,",'ASS START SYNC'!E477,E473+1),"")</f>
        <v/>
      </c>
      <c r="G473" s="23" t="str">
        <f>IF('ASS START SYNC'!C477="SHOW",LEFT('ASS START SYNC'!E477,B473),"")</f>
        <v/>
      </c>
      <c r="H473" s="24" t="str">
        <f>IF(AND('ASS START SYNC'!C477="SHOW",COUNTA('ASS START SYNC'!$E$8:'ASS START SYNC'!E476)=0),MID('ASS START SYNC'!E477,B473+1,C473-B473-1),IF(AND('ASS START SYNC'!C477="SHOW",COUNTA('ASS START SYNC'!$E$8:'ASS START SYNC'!E476)&lt;&gt;0),I472,""))</f>
        <v/>
      </c>
      <c r="I473" s="24" t="str">
        <f>IF('ASS START SYNC'!C477="SHOW",MID('ASS START SYNC'!E477,C473+1,D473-C473-1),I472)</f>
        <v/>
      </c>
      <c r="J473" s="23" t="str">
        <f>IF('ASS START SYNC'!C477="SHOW",MID('ASS START SYNC'!E477,D473+1,F473-D473+1),"")</f>
        <v/>
      </c>
      <c r="K473" s="23" t="str">
        <f>IF('ASS START SYNC'!C477="SHOW",MID('ASS START SYNC'!E477,F473+2,1000),"")</f>
        <v/>
      </c>
      <c r="M473" s="24"/>
      <c r="N473" s="26">
        <v>470</v>
      </c>
      <c r="O473" s="24" t="str">
        <f>IF('ASS END SYNC'!C477="SHOW",FIND(",",'ASS END SYNC'!E477,1),"")</f>
        <v/>
      </c>
      <c r="P473" s="24" t="str">
        <f>IF('ASS END SYNC'!C477="SHOW",FIND(",",'ASS END SYNC'!E477,O473+1),"")</f>
        <v/>
      </c>
      <c r="Q473" s="24" t="str">
        <f>IF('ASS END SYNC'!C477="SHOW",FIND(",",'ASS END SYNC'!E477,P473+1),"")</f>
        <v/>
      </c>
      <c r="R473" s="25" t="str">
        <f>IF('ASS END SYNC'!C477="SHOW",FIND(",,",'ASS END SYNC'!E477,1),"")</f>
        <v/>
      </c>
      <c r="S473" s="25" t="str">
        <f>IF('ASS END SYNC'!C477="SHOW",FIND(",,",'ASS END SYNC'!E477,R473+1),"")</f>
        <v/>
      </c>
      <c r="T473" s="23" t="str">
        <f>IF('ASS END SYNC'!C477="SHOW",LEFT('ASS END SYNC'!E477,O473),"")</f>
        <v/>
      </c>
      <c r="U473" s="24" t="str">
        <f>IF('ASS END SYNC'!C477="SHOW",MID('ASS END SYNC'!E477,O473+1,P473-O473-1),"")</f>
        <v/>
      </c>
      <c r="V473" s="24" t="str">
        <f>IF(AND('ASS END SYNC'!C477="SHOW",'ASS END SYNC'!C478="SHOW"),U474,IF(AND('ASS END SYNC'!C477="SHOW",'ASS END SYNC'!C478&lt;&gt;"SHOW"),MID('ASS END SYNC'!E477,O473+1,P473-O473-1),""))</f>
        <v/>
      </c>
      <c r="W473" s="23" t="str">
        <f>IF('ASS END SYNC'!C477="SHOW",MID('ASS END SYNC'!E477,Q473+1,S473-Q473+1),"")</f>
        <v/>
      </c>
      <c r="X473" s="23" t="str">
        <f>IF('ASS END SYNC'!C477="SHOW",MID('ASS END SYNC'!E477,S473+2,1000),"")</f>
        <v/>
      </c>
      <c r="Z473" s="24"/>
    </row>
    <row r="474" spans="1:26" x14ac:dyDescent="0.25">
      <c r="A474" s="26">
        <v>471</v>
      </c>
      <c r="B474" s="24" t="str">
        <f>IF('ASS START SYNC'!C478="SHOW",FIND(",",'ASS START SYNC'!E478,1),"")</f>
        <v/>
      </c>
      <c r="C474" s="24" t="str">
        <f>IF('ASS START SYNC'!C478="SHOW",FIND(",",'ASS START SYNC'!E478,B474+1),"")</f>
        <v/>
      </c>
      <c r="D474" s="24" t="str">
        <f>IF('ASS START SYNC'!C478="SHOW",FIND(",",'ASS START SYNC'!E478,C474+1),"")</f>
        <v/>
      </c>
      <c r="E474" s="25" t="str">
        <f>IF('ASS START SYNC'!C478="SHOW",FIND(",,",'ASS START SYNC'!E478,1),"")</f>
        <v/>
      </c>
      <c r="F474" s="25" t="str">
        <f>IF('ASS START SYNC'!C478="SHOW",FIND(",,",'ASS START SYNC'!E478,E474+1),"")</f>
        <v/>
      </c>
      <c r="G474" s="23" t="str">
        <f>IF('ASS START SYNC'!C478="SHOW",LEFT('ASS START SYNC'!E478,B474),"")</f>
        <v/>
      </c>
      <c r="H474" s="24" t="str">
        <f>IF(AND('ASS START SYNC'!C478="SHOW",COUNTA('ASS START SYNC'!$E$8:'ASS START SYNC'!E477)=0),MID('ASS START SYNC'!E478,B474+1,C474-B474-1),IF(AND('ASS START SYNC'!C478="SHOW",COUNTA('ASS START SYNC'!$E$8:'ASS START SYNC'!E477)&lt;&gt;0),I473,""))</f>
        <v/>
      </c>
      <c r="I474" s="24" t="str">
        <f>IF('ASS START SYNC'!C478="SHOW",MID('ASS START SYNC'!E478,C474+1,D474-C474-1),I473)</f>
        <v/>
      </c>
      <c r="J474" s="23" t="str">
        <f>IF('ASS START SYNC'!C478="SHOW",MID('ASS START SYNC'!E478,D474+1,F474-D474+1),"")</f>
        <v/>
      </c>
      <c r="K474" s="23" t="str">
        <f>IF('ASS START SYNC'!C478="SHOW",MID('ASS START SYNC'!E478,F474+2,1000),"")</f>
        <v/>
      </c>
      <c r="M474" s="24"/>
      <c r="N474" s="26">
        <v>471</v>
      </c>
      <c r="O474" s="24" t="str">
        <f>IF('ASS END SYNC'!C478="SHOW",FIND(",",'ASS END SYNC'!E478,1),"")</f>
        <v/>
      </c>
      <c r="P474" s="24" t="str">
        <f>IF('ASS END SYNC'!C478="SHOW",FIND(",",'ASS END SYNC'!E478,O474+1),"")</f>
        <v/>
      </c>
      <c r="Q474" s="24" t="str">
        <f>IF('ASS END SYNC'!C478="SHOW",FIND(",",'ASS END SYNC'!E478,P474+1),"")</f>
        <v/>
      </c>
      <c r="R474" s="25" t="str">
        <f>IF('ASS END SYNC'!C478="SHOW",FIND(",,",'ASS END SYNC'!E478,1),"")</f>
        <v/>
      </c>
      <c r="S474" s="25" t="str">
        <f>IF('ASS END SYNC'!C478="SHOW",FIND(",,",'ASS END SYNC'!E478,R474+1),"")</f>
        <v/>
      </c>
      <c r="T474" s="23" t="str">
        <f>IF('ASS END SYNC'!C478="SHOW",LEFT('ASS END SYNC'!E478,O474),"")</f>
        <v/>
      </c>
      <c r="U474" s="24" t="str">
        <f>IF('ASS END SYNC'!C478="SHOW",MID('ASS END SYNC'!E478,O474+1,P474-O474-1),"")</f>
        <v/>
      </c>
      <c r="V474" s="24" t="str">
        <f>IF(AND('ASS END SYNC'!C478="SHOW",'ASS END SYNC'!C479="SHOW"),U475,IF(AND('ASS END SYNC'!C478="SHOW",'ASS END SYNC'!C479&lt;&gt;"SHOW"),MID('ASS END SYNC'!E478,O474+1,P474-O474-1),""))</f>
        <v/>
      </c>
      <c r="W474" s="23" t="str">
        <f>IF('ASS END SYNC'!C478="SHOW",MID('ASS END SYNC'!E478,Q474+1,S474-Q474+1),"")</f>
        <v/>
      </c>
      <c r="X474" s="23" t="str">
        <f>IF('ASS END SYNC'!C478="SHOW",MID('ASS END SYNC'!E478,S474+2,1000),"")</f>
        <v/>
      </c>
      <c r="Z474" s="24"/>
    </row>
    <row r="475" spans="1:26" x14ac:dyDescent="0.25">
      <c r="A475" s="26">
        <v>472</v>
      </c>
      <c r="B475" s="24" t="str">
        <f>IF('ASS START SYNC'!C479="SHOW",FIND(",",'ASS START SYNC'!E479,1),"")</f>
        <v/>
      </c>
      <c r="C475" s="24" t="str">
        <f>IF('ASS START SYNC'!C479="SHOW",FIND(",",'ASS START SYNC'!E479,B475+1),"")</f>
        <v/>
      </c>
      <c r="D475" s="24" t="str">
        <f>IF('ASS START SYNC'!C479="SHOW",FIND(",",'ASS START SYNC'!E479,C475+1),"")</f>
        <v/>
      </c>
      <c r="E475" s="25" t="str">
        <f>IF('ASS START SYNC'!C479="SHOW",FIND(",,",'ASS START SYNC'!E479,1),"")</f>
        <v/>
      </c>
      <c r="F475" s="25" t="str">
        <f>IF('ASS START SYNC'!C479="SHOW",FIND(",,",'ASS START SYNC'!E479,E475+1),"")</f>
        <v/>
      </c>
      <c r="G475" s="23" t="str">
        <f>IF('ASS START SYNC'!C479="SHOW",LEFT('ASS START SYNC'!E479,B475),"")</f>
        <v/>
      </c>
      <c r="H475" s="24" t="str">
        <f>IF(AND('ASS START SYNC'!C479="SHOW",COUNTA('ASS START SYNC'!$E$8:'ASS START SYNC'!E478)=0),MID('ASS START SYNC'!E479,B475+1,C475-B475-1),IF(AND('ASS START SYNC'!C479="SHOW",COUNTA('ASS START SYNC'!$E$8:'ASS START SYNC'!E478)&lt;&gt;0),I474,""))</f>
        <v/>
      </c>
      <c r="I475" s="24" t="str">
        <f>IF('ASS START SYNC'!C479="SHOW",MID('ASS START SYNC'!E479,C475+1,D475-C475-1),I474)</f>
        <v/>
      </c>
      <c r="J475" s="23" t="str">
        <f>IF('ASS START SYNC'!C479="SHOW",MID('ASS START SYNC'!E479,D475+1,F475-D475+1),"")</f>
        <v/>
      </c>
      <c r="K475" s="23" t="str">
        <f>IF('ASS START SYNC'!C479="SHOW",MID('ASS START SYNC'!E479,F475+2,1000),"")</f>
        <v/>
      </c>
      <c r="M475" s="24"/>
      <c r="N475" s="26">
        <v>472</v>
      </c>
      <c r="O475" s="24" t="str">
        <f>IF('ASS END SYNC'!C479="SHOW",FIND(",",'ASS END SYNC'!E479,1),"")</f>
        <v/>
      </c>
      <c r="P475" s="24" t="str">
        <f>IF('ASS END SYNC'!C479="SHOW",FIND(",",'ASS END SYNC'!E479,O475+1),"")</f>
        <v/>
      </c>
      <c r="Q475" s="24" t="str">
        <f>IF('ASS END SYNC'!C479="SHOW",FIND(",",'ASS END SYNC'!E479,P475+1),"")</f>
        <v/>
      </c>
      <c r="R475" s="25" t="str">
        <f>IF('ASS END SYNC'!C479="SHOW",FIND(",,",'ASS END SYNC'!E479,1),"")</f>
        <v/>
      </c>
      <c r="S475" s="25" t="str">
        <f>IF('ASS END SYNC'!C479="SHOW",FIND(",,",'ASS END SYNC'!E479,R475+1),"")</f>
        <v/>
      </c>
      <c r="T475" s="23" t="str">
        <f>IF('ASS END SYNC'!C479="SHOW",LEFT('ASS END SYNC'!E479,O475),"")</f>
        <v/>
      </c>
      <c r="U475" s="24" t="str">
        <f>IF('ASS END SYNC'!C479="SHOW",MID('ASS END SYNC'!E479,O475+1,P475-O475-1),"")</f>
        <v/>
      </c>
      <c r="V475" s="24" t="str">
        <f>IF(AND('ASS END SYNC'!C479="SHOW",'ASS END SYNC'!C480="SHOW"),U476,IF(AND('ASS END SYNC'!C479="SHOW",'ASS END SYNC'!C480&lt;&gt;"SHOW"),MID('ASS END SYNC'!E479,O475+1,P475-O475-1),""))</f>
        <v/>
      </c>
      <c r="W475" s="23" t="str">
        <f>IF('ASS END SYNC'!C479="SHOW",MID('ASS END SYNC'!E479,Q475+1,S475-Q475+1),"")</f>
        <v/>
      </c>
      <c r="X475" s="23" t="str">
        <f>IF('ASS END SYNC'!C479="SHOW",MID('ASS END SYNC'!E479,S475+2,1000),"")</f>
        <v/>
      </c>
      <c r="Z475" s="24"/>
    </row>
    <row r="476" spans="1:26" x14ac:dyDescent="0.25">
      <c r="A476" s="26">
        <v>473</v>
      </c>
      <c r="B476" s="24" t="str">
        <f>IF('ASS START SYNC'!C480="SHOW",FIND(",",'ASS START SYNC'!E480,1),"")</f>
        <v/>
      </c>
      <c r="C476" s="24" t="str">
        <f>IF('ASS START SYNC'!C480="SHOW",FIND(",",'ASS START SYNC'!E480,B476+1),"")</f>
        <v/>
      </c>
      <c r="D476" s="24" t="str">
        <f>IF('ASS START SYNC'!C480="SHOW",FIND(",",'ASS START SYNC'!E480,C476+1),"")</f>
        <v/>
      </c>
      <c r="E476" s="25" t="str">
        <f>IF('ASS START SYNC'!C480="SHOW",FIND(",,",'ASS START SYNC'!E480,1),"")</f>
        <v/>
      </c>
      <c r="F476" s="25" t="str">
        <f>IF('ASS START SYNC'!C480="SHOW",FIND(",,",'ASS START SYNC'!E480,E476+1),"")</f>
        <v/>
      </c>
      <c r="G476" s="23" t="str">
        <f>IF('ASS START SYNC'!C480="SHOW",LEFT('ASS START SYNC'!E480,B476),"")</f>
        <v/>
      </c>
      <c r="H476" s="24" t="str">
        <f>IF(AND('ASS START SYNC'!C480="SHOW",COUNTA('ASS START SYNC'!$E$8:'ASS START SYNC'!E479)=0),MID('ASS START SYNC'!E480,B476+1,C476-B476-1),IF(AND('ASS START SYNC'!C480="SHOW",COUNTA('ASS START SYNC'!$E$8:'ASS START SYNC'!E479)&lt;&gt;0),I475,""))</f>
        <v/>
      </c>
      <c r="I476" s="24" t="str">
        <f>IF('ASS START SYNC'!C480="SHOW",MID('ASS START SYNC'!E480,C476+1,D476-C476-1),I475)</f>
        <v/>
      </c>
      <c r="J476" s="23" t="str">
        <f>IF('ASS START SYNC'!C480="SHOW",MID('ASS START SYNC'!E480,D476+1,F476-D476+1),"")</f>
        <v/>
      </c>
      <c r="K476" s="23" t="str">
        <f>IF('ASS START SYNC'!C480="SHOW",MID('ASS START SYNC'!E480,F476+2,1000),"")</f>
        <v/>
      </c>
      <c r="M476" s="24"/>
      <c r="N476" s="26">
        <v>473</v>
      </c>
      <c r="O476" s="24" t="str">
        <f>IF('ASS END SYNC'!C480="SHOW",FIND(",",'ASS END SYNC'!E480,1),"")</f>
        <v/>
      </c>
      <c r="P476" s="24" t="str">
        <f>IF('ASS END SYNC'!C480="SHOW",FIND(",",'ASS END SYNC'!E480,O476+1),"")</f>
        <v/>
      </c>
      <c r="Q476" s="24" t="str">
        <f>IF('ASS END SYNC'!C480="SHOW",FIND(",",'ASS END SYNC'!E480,P476+1),"")</f>
        <v/>
      </c>
      <c r="R476" s="25" t="str">
        <f>IF('ASS END SYNC'!C480="SHOW",FIND(",,",'ASS END SYNC'!E480,1),"")</f>
        <v/>
      </c>
      <c r="S476" s="25" t="str">
        <f>IF('ASS END SYNC'!C480="SHOW",FIND(",,",'ASS END SYNC'!E480,R476+1),"")</f>
        <v/>
      </c>
      <c r="T476" s="23" t="str">
        <f>IF('ASS END SYNC'!C480="SHOW",LEFT('ASS END SYNC'!E480,O476),"")</f>
        <v/>
      </c>
      <c r="U476" s="24" t="str">
        <f>IF('ASS END SYNC'!C480="SHOW",MID('ASS END SYNC'!E480,O476+1,P476-O476-1),"")</f>
        <v/>
      </c>
      <c r="V476" s="24" t="str">
        <f>IF(AND('ASS END SYNC'!C480="SHOW",'ASS END SYNC'!C481="SHOW"),U477,IF(AND('ASS END SYNC'!C480="SHOW",'ASS END SYNC'!C481&lt;&gt;"SHOW"),MID('ASS END SYNC'!E480,O476+1,P476-O476-1),""))</f>
        <v/>
      </c>
      <c r="W476" s="23" t="str">
        <f>IF('ASS END SYNC'!C480="SHOW",MID('ASS END SYNC'!E480,Q476+1,S476-Q476+1),"")</f>
        <v/>
      </c>
      <c r="X476" s="23" t="str">
        <f>IF('ASS END SYNC'!C480="SHOW",MID('ASS END SYNC'!E480,S476+2,1000),"")</f>
        <v/>
      </c>
      <c r="Z476" s="24"/>
    </row>
    <row r="477" spans="1:26" x14ac:dyDescent="0.25">
      <c r="A477" s="26">
        <v>474</v>
      </c>
      <c r="B477" s="24" t="str">
        <f>IF('ASS START SYNC'!C481="SHOW",FIND(",",'ASS START SYNC'!E481,1),"")</f>
        <v/>
      </c>
      <c r="C477" s="24" t="str">
        <f>IF('ASS START SYNC'!C481="SHOW",FIND(",",'ASS START SYNC'!E481,B477+1),"")</f>
        <v/>
      </c>
      <c r="D477" s="24" t="str">
        <f>IF('ASS START SYNC'!C481="SHOW",FIND(",",'ASS START SYNC'!E481,C477+1),"")</f>
        <v/>
      </c>
      <c r="E477" s="25" t="str">
        <f>IF('ASS START SYNC'!C481="SHOW",FIND(",,",'ASS START SYNC'!E481,1),"")</f>
        <v/>
      </c>
      <c r="F477" s="25" t="str">
        <f>IF('ASS START SYNC'!C481="SHOW",FIND(",,",'ASS START SYNC'!E481,E477+1),"")</f>
        <v/>
      </c>
      <c r="G477" s="23" t="str">
        <f>IF('ASS START SYNC'!C481="SHOW",LEFT('ASS START SYNC'!E481,B477),"")</f>
        <v/>
      </c>
      <c r="H477" s="24" t="str">
        <f>IF(AND('ASS START SYNC'!C481="SHOW",COUNTA('ASS START SYNC'!$E$8:'ASS START SYNC'!E480)=0),MID('ASS START SYNC'!E481,B477+1,C477-B477-1),IF(AND('ASS START SYNC'!C481="SHOW",COUNTA('ASS START SYNC'!$E$8:'ASS START SYNC'!E480)&lt;&gt;0),I476,""))</f>
        <v/>
      </c>
      <c r="I477" s="24" t="str">
        <f>IF('ASS START SYNC'!C481="SHOW",MID('ASS START SYNC'!E481,C477+1,D477-C477-1),I476)</f>
        <v/>
      </c>
      <c r="J477" s="23" t="str">
        <f>IF('ASS START SYNC'!C481="SHOW",MID('ASS START SYNC'!E481,D477+1,F477-D477+1),"")</f>
        <v/>
      </c>
      <c r="K477" s="23" t="str">
        <f>IF('ASS START SYNC'!C481="SHOW",MID('ASS START SYNC'!E481,F477+2,1000),"")</f>
        <v/>
      </c>
      <c r="M477" s="24"/>
      <c r="N477" s="26">
        <v>474</v>
      </c>
      <c r="O477" s="24" t="str">
        <f>IF('ASS END SYNC'!C481="SHOW",FIND(",",'ASS END SYNC'!E481,1),"")</f>
        <v/>
      </c>
      <c r="P477" s="24" t="str">
        <f>IF('ASS END SYNC'!C481="SHOW",FIND(",",'ASS END SYNC'!E481,O477+1),"")</f>
        <v/>
      </c>
      <c r="Q477" s="24" t="str">
        <f>IF('ASS END SYNC'!C481="SHOW",FIND(",",'ASS END SYNC'!E481,P477+1),"")</f>
        <v/>
      </c>
      <c r="R477" s="25" t="str">
        <f>IF('ASS END SYNC'!C481="SHOW",FIND(",,",'ASS END SYNC'!E481,1),"")</f>
        <v/>
      </c>
      <c r="S477" s="25" t="str">
        <f>IF('ASS END SYNC'!C481="SHOW",FIND(",,",'ASS END SYNC'!E481,R477+1),"")</f>
        <v/>
      </c>
      <c r="T477" s="23" t="str">
        <f>IF('ASS END SYNC'!C481="SHOW",LEFT('ASS END SYNC'!E481,O477),"")</f>
        <v/>
      </c>
      <c r="U477" s="24" t="str">
        <f>IF('ASS END SYNC'!C481="SHOW",MID('ASS END SYNC'!E481,O477+1,P477-O477-1),"")</f>
        <v/>
      </c>
      <c r="V477" s="24" t="str">
        <f>IF(AND('ASS END SYNC'!C481="SHOW",'ASS END SYNC'!C482="SHOW"),U478,IF(AND('ASS END SYNC'!C481="SHOW",'ASS END SYNC'!C482&lt;&gt;"SHOW"),MID('ASS END SYNC'!E481,O477+1,P477-O477-1),""))</f>
        <v/>
      </c>
      <c r="W477" s="23" t="str">
        <f>IF('ASS END SYNC'!C481="SHOW",MID('ASS END SYNC'!E481,Q477+1,S477-Q477+1),"")</f>
        <v/>
      </c>
      <c r="X477" s="23" t="str">
        <f>IF('ASS END SYNC'!C481="SHOW",MID('ASS END SYNC'!E481,S477+2,1000),"")</f>
        <v/>
      </c>
      <c r="Z477" s="24"/>
    </row>
    <row r="478" spans="1:26" x14ac:dyDescent="0.25">
      <c r="A478" s="26">
        <v>475</v>
      </c>
      <c r="B478" s="24" t="str">
        <f>IF('ASS START SYNC'!C482="SHOW",FIND(",",'ASS START SYNC'!E482,1),"")</f>
        <v/>
      </c>
      <c r="C478" s="24" t="str">
        <f>IF('ASS START SYNC'!C482="SHOW",FIND(",",'ASS START SYNC'!E482,B478+1),"")</f>
        <v/>
      </c>
      <c r="D478" s="24" t="str">
        <f>IF('ASS START SYNC'!C482="SHOW",FIND(",",'ASS START SYNC'!E482,C478+1),"")</f>
        <v/>
      </c>
      <c r="E478" s="25" t="str">
        <f>IF('ASS START SYNC'!C482="SHOW",FIND(",,",'ASS START SYNC'!E482,1),"")</f>
        <v/>
      </c>
      <c r="F478" s="25" t="str">
        <f>IF('ASS START SYNC'!C482="SHOW",FIND(",,",'ASS START SYNC'!E482,E478+1),"")</f>
        <v/>
      </c>
      <c r="G478" s="23" t="str">
        <f>IF('ASS START SYNC'!C482="SHOW",LEFT('ASS START SYNC'!E482,B478),"")</f>
        <v/>
      </c>
      <c r="H478" s="24" t="str">
        <f>IF(AND('ASS START SYNC'!C482="SHOW",COUNTA('ASS START SYNC'!$E$8:'ASS START SYNC'!E481)=0),MID('ASS START SYNC'!E482,B478+1,C478-B478-1),IF(AND('ASS START SYNC'!C482="SHOW",COUNTA('ASS START SYNC'!$E$8:'ASS START SYNC'!E481)&lt;&gt;0),I477,""))</f>
        <v/>
      </c>
      <c r="I478" s="24" t="str">
        <f>IF('ASS START SYNC'!C482="SHOW",MID('ASS START SYNC'!E482,C478+1,D478-C478-1),I477)</f>
        <v/>
      </c>
      <c r="J478" s="23" t="str">
        <f>IF('ASS START SYNC'!C482="SHOW",MID('ASS START SYNC'!E482,D478+1,F478-D478+1),"")</f>
        <v/>
      </c>
      <c r="K478" s="23" t="str">
        <f>IF('ASS START SYNC'!C482="SHOW",MID('ASS START SYNC'!E482,F478+2,1000),"")</f>
        <v/>
      </c>
      <c r="M478" s="24"/>
      <c r="N478" s="26">
        <v>475</v>
      </c>
      <c r="O478" s="24" t="str">
        <f>IF('ASS END SYNC'!C482="SHOW",FIND(",",'ASS END SYNC'!E482,1),"")</f>
        <v/>
      </c>
      <c r="P478" s="24" t="str">
        <f>IF('ASS END SYNC'!C482="SHOW",FIND(",",'ASS END SYNC'!E482,O478+1),"")</f>
        <v/>
      </c>
      <c r="Q478" s="24" t="str">
        <f>IF('ASS END SYNC'!C482="SHOW",FIND(",",'ASS END SYNC'!E482,P478+1),"")</f>
        <v/>
      </c>
      <c r="R478" s="25" t="str">
        <f>IF('ASS END SYNC'!C482="SHOW",FIND(",,",'ASS END SYNC'!E482,1),"")</f>
        <v/>
      </c>
      <c r="S478" s="25" t="str">
        <f>IF('ASS END SYNC'!C482="SHOW",FIND(",,",'ASS END SYNC'!E482,R478+1),"")</f>
        <v/>
      </c>
      <c r="T478" s="23" t="str">
        <f>IF('ASS END SYNC'!C482="SHOW",LEFT('ASS END SYNC'!E482,O478),"")</f>
        <v/>
      </c>
      <c r="U478" s="24" t="str">
        <f>IF('ASS END SYNC'!C482="SHOW",MID('ASS END SYNC'!E482,O478+1,P478-O478-1),"")</f>
        <v/>
      </c>
      <c r="V478" s="24" t="str">
        <f>IF(AND('ASS END SYNC'!C482="SHOW",'ASS END SYNC'!C483="SHOW"),U479,IF(AND('ASS END SYNC'!C482="SHOW",'ASS END SYNC'!C483&lt;&gt;"SHOW"),MID('ASS END SYNC'!E482,O478+1,P478-O478-1),""))</f>
        <v/>
      </c>
      <c r="W478" s="23" t="str">
        <f>IF('ASS END SYNC'!C482="SHOW",MID('ASS END SYNC'!E482,Q478+1,S478-Q478+1),"")</f>
        <v/>
      </c>
      <c r="X478" s="23" t="str">
        <f>IF('ASS END SYNC'!C482="SHOW",MID('ASS END SYNC'!E482,S478+2,1000),"")</f>
        <v/>
      </c>
      <c r="Z478" s="24"/>
    </row>
    <row r="479" spans="1:26" x14ac:dyDescent="0.25">
      <c r="A479" s="26">
        <v>476</v>
      </c>
      <c r="B479" s="24" t="str">
        <f>IF('ASS START SYNC'!C483="SHOW",FIND(",",'ASS START SYNC'!E483,1),"")</f>
        <v/>
      </c>
      <c r="C479" s="24" t="str">
        <f>IF('ASS START SYNC'!C483="SHOW",FIND(",",'ASS START SYNC'!E483,B479+1),"")</f>
        <v/>
      </c>
      <c r="D479" s="24" t="str">
        <f>IF('ASS START SYNC'!C483="SHOW",FIND(",",'ASS START SYNC'!E483,C479+1),"")</f>
        <v/>
      </c>
      <c r="E479" s="25" t="str">
        <f>IF('ASS START SYNC'!C483="SHOW",FIND(",,",'ASS START SYNC'!E483,1),"")</f>
        <v/>
      </c>
      <c r="F479" s="25" t="str">
        <f>IF('ASS START SYNC'!C483="SHOW",FIND(",,",'ASS START SYNC'!E483,E479+1),"")</f>
        <v/>
      </c>
      <c r="G479" s="23" t="str">
        <f>IF('ASS START SYNC'!C483="SHOW",LEFT('ASS START SYNC'!E483,B479),"")</f>
        <v/>
      </c>
      <c r="H479" s="24" t="str">
        <f>IF(AND('ASS START SYNC'!C483="SHOW",COUNTA('ASS START SYNC'!$E$8:'ASS START SYNC'!E482)=0),MID('ASS START SYNC'!E483,B479+1,C479-B479-1),IF(AND('ASS START SYNC'!C483="SHOW",COUNTA('ASS START SYNC'!$E$8:'ASS START SYNC'!E482)&lt;&gt;0),I478,""))</f>
        <v/>
      </c>
      <c r="I479" s="24" t="str">
        <f>IF('ASS START SYNC'!C483="SHOW",MID('ASS START SYNC'!E483,C479+1,D479-C479-1),I478)</f>
        <v/>
      </c>
      <c r="J479" s="23" t="str">
        <f>IF('ASS START SYNC'!C483="SHOW",MID('ASS START SYNC'!E483,D479+1,F479-D479+1),"")</f>
        <v/>
      </c>
      <c r="K479" s="23" t="str">
        <f>IF('ASS START SYNC'!C483="SHOW",MID('ASS START SYNC'!E483,F479+2,1000),"")</f>
        <v/>
      </c>
      <c r="M479" s="24"/>
      <c r="N479" s="26">
        <v>476</v>
      </c>
      <c r="O479" s="24" t="str">
        <f>IF('ASS END SYNC'!C483="SHOW",FIND(",",'ASS END SYNC'!E483,1),"")</f>
        <v/>
      </c>
      <c r="P479" s="24" t="str">
        <f>IF('ASS END SYNC'!C483="SHOW",FIND(",",'ASS END SYNC'!E483,O479+1),"")</f>
        <v/>
      </c>
      <c r="Q479" s="24" t="str">
        <f>IF('ASS END SYNC'!C483="SHOW",FIND(",",'ASS END SYNC'!E483,P479+1),"")</f>
        <v/>
      </c>
      <c r="R479" s="25" t="str">
        <f>IF('ASS END SYNC'!C483="SHOW",FIND(",,",'ASS END SYNC'!E483,1),"")</f>
        <v/>
      </c>
      <c r="S479" s="25" t="str">
        <f>IF('ASS END SYNC'!C483="SHOW",FIND(",,",'ASS END SYNC'!E483,R479+1),"")</f>
        <v/>
      </c>
      <c r="T479" s="23" t="str">
        <f>IF('ASS END SYNC'!C483="SHOW",LEFT('ASS END SYNC'!E483,O479),"")</f>
        <v/>
      </c>
      <c r="U479" s="24" t="str">
        <f>IF('ASS END SYNC'!C483="SHOW",MID('ASS END SYNC'!E483,O479+1,P479-O479-1),"")</f>
        <v/>
      </c>
      <c r="V479" s="24" t="str">
        <f>IF(AND('ASS END SYNC'!C483="SHOW",'ASS END SYNC'!C484="SHOW"),U480,IF(AND('ASS END SYNC'!C483="SHOW",'ASS END SYNC'!C484&lt;&gt;"SHOW"),MID('ASS END SYNC'!E483,O479+1,P479-O479-1),""))</f>
        <v/>
      </c>
      <c r="W479" s="23" t="str">
        <f>IF('ASS END SYNC'!C483="SHOW",MID('ASS END SYNC'!E483,Q479+1,S479-Q479+1),"")</f>
        <v/>
      </c>
      <c r="X479" s="23" t="str">
        <f>IF('ASS END SYNC'!C483="SHOW",MID('ASS END SYNC'!E483,S479+2,1000),"")</f>
        <v/>
      </c>
      <c r="Z479" s="24"/>
    </row>
    <row r="480" spans="1:26" x14ac:dyDescent="0.25">
      <c r="A480" s="26">
        <v>477</v>
      </c>
      <c r="B480" s="24" t="str">
        <f>IF('ASS START SYNC'!C484="SHOW",FIND(",",'ASS START SYNC'!E484,1),"")</f>
        <v/>
      </c>
      <c r="C480" s="24" t="str">
        <f>IF('ASS START SYNC'!C484="SHOW",FIND(",",'ASS START SYNC'!E484,B480+1),"")</f>
        <v/>
      </c>
      <c r="D480" s="24" t="str">
        <f>IF('ASS START SYNC'!C484="SHOW",FIND(",",'ASS START SYNC'!E484,C480+1),"")</f>
        <v/>
      </c>
      <c r="E480" s="25" t="str">
        <f>IF('ASS START SYNC'!C484="SHOW",FIND(",,",'ASS START SYNC'!E484,1),"")</f>
        <v/>
      </c>
      <c r="F480" s="25" t="str">
        <f>IF('ASS START SYNC'!C484="SHOW",FIND(",,",'ASS START SYNC'!E484,E480+1),"")</f>
        <v/>
      </c>
      <c r="G480" s="23" t="str">
        <f>IF('ASS START SYNC'!C484="SHOW",LEFT('ASS START SYNC'!E484,B480),"")</f>
        <v/>
      </c>
      <c r="H480" s="24" t="str">
        <f>IF(AND('ASS START SYNC'!C484="SHOW",COUNTA('ASS START SYNC'!$E$8:'ASS START SYNC'!E483)=0),MID('ASS START SYNC'!E484,B480+1,C480-B480-1),IF(AND('ASS START SYNC'!C484="SHOW",COUNTA('ASS START SYNC'!$E$8:'ASS START SYNC'!E483)&lt;&gt;0),I479,""))</f>
        <v/>
      </c>
      <c r="I480" s="24" t="str">
        <f>IF('ASS START SYNC'!C484="SHOW",MID('ASS START SYNC'!E484,C480+1,D480-C480-1),I479)</f>
        <v/>
      </c>
      <c r="J480" s="23" t="str">
        <f>IF('ASS START SYNC'!C484="SHOW",MID('ASS START SYNC'!E484,D480+1,F480-D480+1),"")</f>
        <v/>
      </c>
      <c r="K480" s="23" t="str">
        <f>IF('ASS START SYNC'!C484="SHOW",MID('ASS START SYNC'!E484,F480+2,1000),"")</f>
        <v/>
      </c>
      <c r="M480" s="24"/>
      <c r="N480" s="26">
        <v>477</v>
      </c>
      <c r="O480" s="24" t="str">
        <f>IF('ASS END SYNC'!C484="SHOW",FIND(",",'ASS END SYNC'!E484,1),"")</f>
        <v/>
      </c>
      <c r="P480" s="24" t="str">
        <f>IF('ASS END SYNC'!C484="SHOW",FIND(",",'ASS END SYNC'!E484,O480+1),"")</f>
        <v/>
      </c>
      <c r="Q480" s="24" t="str">
        <f>IF('ASS END SYNC'!C484="SHOW",FIND(",",'ASS END SYNC'!E484,P480+1),"")</f>
        <v/>
      </c>
      <c r="R480" s="25" t="str">
        <f>IF('ASS END SYNC'!C484="SHOW",FIND(",,",'ASS END SYNC'!E484,1),"")</f>
        <v/>
      </c>
      <c r="S480" s="25" t="str">
        <f>IF('ASS END SYNC'!C484="SHOW",FIND(",,",'ASS END SYNC'!E484,R480+1),"")</f>
        <v/>
      </c>
      <c r="T480" s="23" t="str">
        <f>IF('ASS END SYNC'!C484="SHOW",LEFT('ASS END SYNC'!E484,O480),"")</f>
        <v/>
      </c>
      <c r="U480" s="24" t="str">
        <f>IF('ASS END SYNC'!C484="SHOW",MID('ASS END SYNC'!E484,O480+1,P480-O480-1),"")</f>
        <v/>
      </c>
      <c r="V480" s="24" t="str">
        <f>IF(AND('ASS END SYNC'!C484="SHOW",'ASS END SYNC'!C485="SHOW"),U481,IF(AND('ASS END SYNC'!C484="SHOW",'ASS END SYNC'!C485&lt;&gt;"SHOW"),MID('ASS END SYNC'!E484,O480+1,P480-O480-1),""))</f>
        <v/>
      </c>
      <c r="W480" s="23" t="str">
        <f>IF('ASS END SYNC'!C484="SHOW",MID('ASS END SYNC'!E484,Q480+1,S480-Q480+1),"")</f>
        <v/>
      </c>
      <c r="X480" s="23" t="str">
        <f>IF('ASS END SYNC'!C484="SHOW",MID('ASS END SYNC'!E484,S480+2,1000),"")</f>
        <v/>
      </c>
      <c r="Z480" s="24"/>
    </row>
    <row r="481" spans="1:26" x14ac:dyDescent="0.25">
      <c r="A481" s="26">
        <v>478</v>
      </c>
      <c r="B481" s="24" t="str">
        <f>IF('ASS START SYNC'!C485="SHOW",FIND(",",'ASS START SYNC'!E485,1),"")</f>
        <v/>
      </c>
      <c r="C481" s="24" t="str">
        <f>IF('ASS START SYNC'!C485="SHOW",FIND(",",'ASS START SYNC'!E485,B481+1),"")</f>
        <v/>
      </c>
      <c r="D481" s="24" t="str">
        <f>IF('ASS START SYNC'!C485="SHOW",FIND(",",'ASS START SYNC'!E485,C481+1),"")</f>
        <v/>
      </c>
      <c r="E481" s="25" t="str">
        <f>IF('ASS START SYNC'!C485="SHOW",FIND(",,",'ASS START SYNC'!E485,1),"")</f>
        <v/>
      </c>
      <c r="F481" s="25" t="str">
        <f>IF('ASS START SYNC'!C485="SHOW",FIND(",,",'ASS START SYNC'!E485,E481+1),"")</f>
        <v/>
      </c>
      <c r="G481" s="23" t="str">
        <f>IF('ASS START SYNC'!C485="SHOW",LEFT('ASS START SYNC'!E485,B481),"")</f>
        <v/>
      </c>
      <c r="H481" s="24" t="str">
        <f>IF(AND('ASS START SYNC'!C485="SHOW",COUNTA('ASS START SYNC'!$E$8:'ASS START SYNC'!E484)=0),MID('ASS START SYNC'!E485,B481+1,C481-B481-1),IF(AND('ASS START SYNC'!C485="SHOW",COUNTA('ASS START SYNC'!$E$8:'ASS START SYNC'!E484)&lt;&gt;0),I480,""))</f>
        <v/>
      </c>
      <c r="I481" s="24" t="str">
        <f>IF('ASS START SYNC'!C485="SHOW",MID('ASS START SYNC'!E485,C481+1,D481-C481-1),I480)</f>
        <v/>
      </c>
      <c r="J481" s="23" t="str">
        <f>IF('ASS START SYNC'!C485="SHOW",MID('ASS START SYNC'!E485,D481+1,F481-D481+1),"")</f>
        <v/>
      </c>
      <c r="K481" s="23" t="str">
        <f>IF('ASS START SYNC'!C485="SHOW",MID('ASS START SYNC'!E485,F481+2,1000),"")</f>
        <v/>
      </c>
      <c r="M481" s="24"/>
      <c r="N481" s="26">
        <v>478</v>
      </c>
      <c r="O481" s="24" t="str">
        <f>IF('ASS END SYNC'!C485="SHOW",FIND(",",'ASS END SYNC'!E485,1),"")</f>
        <v/>
      </c>
      <c r="P481" s="24" t="str">
        <f>IF('ASS END SYNC'!C485="SHOW",FIND(",",'ASS END SYNC'!E485,O481+1),"")</f>
        <v/>
      </c>
      <c r="Q481" s="24" t="str">
        <f>IF('ASS END SYNC'!C485="SHOW",FIND(",",'ASS END SYNC'!E485,P481+1),"")</f>
        <v/>
      </c>
      <c r="R481" s="25" t="str">
        <f>IF('ASS END SYNC'!C485="SHOW",FIND(",,",'ASS END SYNC'!E485,1),"")</f>
        <v/>
      </c>
      <c r="S481" s="25" t="str">
        <f>IF('ASS END SYNC'!C485="SHOW",FIND(",,",'ASS END SYNC'!E485,R481+1),"")</f>
        <v/>
      </c>
      <c r="T481" s="23" t="str">
        <f>IF('ASS END SYNC'!C485="SHOW",LEFT('ASS END SYNC'!E485,O481),"")</f>
        <v/>
      </c>
      <c r="U481" s="24" t="str">
        <f>IF('ASS END SYNC'!C485="SHOW",MID('ASS END SYNC'!E485,O481+1,P481-O481-1),"")</f>
        <v/>
      </c>
      <c r="V481" s="24" t="str">
        <f>IF(AND('ASS END SYNC'!C485="SHOW",'ASS END SYNC'!C486="SHOW"),U482,IF(AND('ASS END SYNC'!C485="SHOW",'ASS END SYNC'!C486&lt;&gt;"SHOW"),MID('ASS END SYNC'!E485,O481+1,P481-O481-1),""))</f>
        <v/>
      </c>
      <c r="W481" s="23" t="str">
        <f>IF('ASS END SYNC'!C485="SHOW",MID('ASS END SYNC'!E485,Q481+1,S481-Q481+1),"")</f>
        <v/>
      </c>
      <c r="X481" s="23" t="str">
        <f>IF('ASS END SYNC'!C485="SHOW",MID('ASS END SYNC'!E485,S481+2,1000),"")</f>
        <v/>
      </c>
      <c r="Z481" s="24"/>
    </row>
    <row r="482" spans="1:26" x14ac:dyDescent="0.25">
      <c r="A482" s="26">
        <v>479</v>
      </c>
      <c r="B482" s="24" t="str">
        <f>IF('ASS START SYNC'!C486="SHOW",FIND(",",'ASS START SYNC'!E486,1),"")</f>
        <v/>
      </c>
      <c r="C482" s="24" t="str">
        <f>IF('ASS START SYNC'!C486="SHOW",FIND(",",'ASS START SYNC'!E486,B482+1),"")</f>
        <v/>
      </c>
      <c r="D482" s="24" t="str">
        <f>IF('ASS START SYNC'!C486="SHOW",FIND(",",'ASS START SYNC'!E486,C482+1),"")</f>
        <v/>
      </c>
      <c r="E482" s="25" t="str">
        <f>IF('ASS START SYNC'!C486="SHOW",FIND(",,",'ASS START SYNC'!E486,1),"")</f>
        <v/>
      </c>
      <c r="F482" s="25" t="str">
        <f>IF('ASS START SYNC'!C486="SHOW",FIND(",,",'ASS START SYNC'!E486,E482+1),"")</f>
        <v/>
      </c>
      <c r="G482" s="23" t="str">
        <f>IF('ASS START SYNC'!C486="SHOW",LEFT('ASS START SYNC'!E486,B482),"")</f>
        <v/>
      </c>
      <c r="H482" s="24" t="str">
        <f>IF(AND('ASS START SYNC'!C486="SHOW",COUNTA('ASS START SYNC'!$E$8:'ASS START SYNC'!E485)=0),MID('ASS START SYNC'!E486,B482+1,C482-B482-1),IF(AND('ASS START SYNC'!C486="SHOW",COUNTA('ASS START SYNC'!$E$8:'ASS START SYNC'!E485)&lt;&gt;0),I481,""))</f>
        <v/>
      </c>
      <c r="I482" s="24" t="str">
        <f>IF('ASS START SYNC'!C486="SHOW",MID('ASS START SYNC'!E486,C482+1,D482-C482-1),I481)</f>
        <v/>
      </c>
      <c r="J482" s="23" t="str">
        <f>IF('ASS START SYNC'!C486="SHOW",MID('ASS START SYNC'!E486,D482+1,F482-D482+1),"")</f>
        <v/>
      </c>
      <c r="K482" s="23" t="str">
        <f>IF('ASS START SYNC'!C486="SHOW",MID('ASS START SYNC'!E486,F482+2,1000),"")</f>
        <v/>
      </c>
      <c r="M482" s="24"/>
      <c r="N482" s="26">
        <v>479</v>
      </c>
      <c r="O482" s="24" t="str">
        <f>IF('ASS END SYNC'!C486="SHOW",FIND(",",'ASS END SYNC'!E486,1),"")</f>
        <v/>
      </c>
      <c r="P482" s="24" t="str">
        <f>IF('ASS END SYNC'!C486="SHOW",FIND(",",'ASS END SYNC'!E486,O482+1),"")</f>
        <v/>
      </c>
      <c r="Q482" s="24" t="str">
        <f>IF('ASS END SYNC'!C486="SHOW",FIND(",",'ASS END SYNC'!E486,P482+1),"")</f>
        <v/>
      </c>
      <c r="R482" s="25" t="str">
        <f>IF('ASS END SYNC'!C486="SHOW",FIND(",,",'ASS END SYNC'!E486,1),"")</f>
        <v/>
      </c>
      <c r="S482" s="25" t="str">
        <f>IF('ASS END SYNC'!C486="SHOW",FIND(",,",'ASS END SYNC'!E486,R482+1),"")</f>
        <v/>
      </c>
      <c r="T482" s="23" t="str">
        <f>IF('ASS END SYNC'!C486="SHOW",LEFT('ASS END SYNC'!E486,O482),"")</f>
        <v/>
      </c>
      <c r="U482" s="24" t="str">
        <f>IF('ASS END SYNC'!C486="SHOW",MID('ASS END SYNC'!E486,O482+1,P482-O482-1),"")</f>
        <v/>
      </c>
      <c r="V482" s="24" t="str">
        <f>IF(AND('ASS END SYNC'!C486="SHOW",'ASS END SYNC'!C487="SHOW"),U483,IF(AND('ASS END SYNC'!C486="SHOW",'ASS END SYNC'!C487&lt;&gt;"SHOW"),MID('ASS END SYNC'!E486,O482+1,P482-O482-1),""))</f>
        <v/>
      </c>
      <c r="W482" s="23" t="str">
        <f>IF('ASS END SYNC'!C486="SHOW",MID('ASS END SYNC'!E486,Q482+1,S482-Q482+1),"")</f>
        <v/>
      </c>
      <c r="X482" s="23" t="str">
        <f>IF('ASS END SYNC'!C486="SHOW",MID('ASS END SYNC'!E486,S482+2,1000),"")</f>
        <v/>
      </c>
      <c r="Z482" s="24"/>
    </row>
    <row r="483" spans="1:26" x14ac:dyDescent="0.25">
      <c r="A483" s="26">
        <v>480</v>
      </c>
      <c r="B483" s="24" t="str">
        <f>IF('ASS START SYNC'!C487="SHOW",FIND(",",'ASS START SYNC'!E487,1),"")</f>
        <v/>
      </c>
      <c r="C483" s="24" t="str">
        <f>IF('ASS START SYNC'!C487="SHOW",FIND(",",'ASS START SYNC'!E487,B483+1),"")</f>
        <v/>
      </c>
      <c r="D483" s="24" t="str">
        <f>IF('ASS START SYNC'!C487="SHOW",FIND(",",'ASS START SYNC'!E487,C483+1),"")</f>
        <v/>
      </c>
      <c r="E483" s="25" t="str">
        <f>IF('ASS START SYNC'!C487="SHOW",FIND(",,",'ASS START SYNC'!E487,1),"")</f>
        <v/>
      </c>
      <c r="F483" s="25" t="str">
        <f>IF('ASS START SYNC'!C487="SHOW",FIND(",,",'ASS START SYNC'!E487,E483+1),"")</f>
        <v/>
      </c>
      <c r="G483" s="23" t="str">
        <f>IF('ASS START SYNC'!C487="SHOW",LEFT('ASS START SYNC'!E487,B483),"")</f>
        <v/>
      </c>
      <c r="H483" s="24" t="str">
        <f>IF(AND('ASS START SYNC'!C487="SHOW",COUNTA('ASS START SYNC'!$E$8:'ASS START SYNC'!E486)=0),MID('ASS START SYNC'!E487,B483+1,C483-B483-1),IF(AND('ASS START SYNC'!C487="SHOW",COUNTA('ASS START SYNC'!$E$8:'ASS START SYNC'!E486)&lt;&gt;0),I482,""))</f>
        <v/>
      </c>
      <c r="I483" s="24" t="str">
        <f>IF('ASS START SYNC'!C487="SHOW",MID('ASS START SYNC'!E487,C483+1,D483-C483-1),I482)</f>
        <v/>
      </c>
      <c r="J483" s="23" t="str">
        <f>IF('ASS START SYNC'!C487="SHOW",MID('ASS START SYNC'!E487,D483+1,F483-D483+1),"")</f>
        <v/>
      </c>
      <c r="K483" s="23" t="str">
        <f>IF('ASS START SYNC'!C487="SHOW",MID('ASS START SYNC'!E487,F483+2,1000),"")</f>
        <v/>
      </c>
      <c r="M483" s="24"/>
      <c r="N483" s="26">
        <v>480</v>
      </c>
      <c r="O483" s="24" t="str">
        <f>IF('ASS END SYNC'!C487="SHOW",FIND(",",'ASS END SYNC'!E487,1),"")</f>
        <v/>
      </c>
      <c r="P483" s="24" t="str">
        <f>IF('ASS END SYNC'!C487="SHOW",FIND(",",'ASS END SYNC'!E487,O483+1),"")</f>
        <v/>
      </c>
      <c r="Q483" s="24" t="str">
        <f>IF('ASS END SYNC'!C487="SHOW",FIND(",",'ASS END SYNC'!E487,P483+1),"")</f>
        <v/>
      </c>
      <c r="R483" s="25" t="str">
        <f>IF('ASS END SYNC'!C487="SHOW",FIND(",,",'ASS END SYNC'!E487,1),"")</f>
        <v/>
      </c>
      <c r="S483" s="25" t="str">
        <f>IF('ASS END SYNC'!C487="SHOW",FIND(",,",'ASS END SYNC'!E487,R483+1),"")</f>
        <v/>
      </c>
      <c r="T483" s="23" t="str">
        <f>IF('ASS END SYNC'!C487="SHOW",LEFT('ASS END SYNC'!E487,O483),"")</f>
        <v/>
      </c>
      <c r="U483" s="24" t="str">
        <f>IF('ASS END SYNC'!C487="SHOW",MID('ASS END SYNC'!E487,O483+1,P483-O483-1),"")</f>
        <v/>
      </c>
      <c r="V483" s="24" t="str">
        <f>IF(AND('ASS END SYNC'!C487="SHOW",'ASS END SYNC'!C488="SHOW"),U484,IF(AND('ASS END SYNC'!C487="SHOW",'ASS END SYNC'!C488&lt;&gt;"SHOW"),MID('ASS END SYNC'!E487,O483+1,P483-O483-1),""))</f>
        <v/>
      </c>
      <c r="W483" s="23" t="str">
        <f>IF('ASS END SYNC'!C487="SHOW",MID('ASS END SYNC'!E487,Q483+1,S483-Q483+1),"")</f>
        <v/>
      </c>
      <c r="X483" s="23" t="str">
        <f>IF('ASS END SYNC'!C487="SHOW",MID('ASS END SYNC'!E487,S483+2,1000),"")</f>
        <v/>
      </c>
      <c r="Z483" s="24"/>
    </row>
    <row r="484" spans="1:26" x14ac:dyDescent="0.25">
      <c r="A484" s="26">
        <v>481</v>
      </c>
      <c r="B484" s="24" t="str">
        <f>IF('ASS START SYNC'!C488="SHOW",FIND(",",'ASS START SYNC'!E488,1),"")</f>
        <v/>
      </c>
      <c r="C484" s="24" t="str">
        <f>IF('ASS START SYNC'!C488="SHOW",FIND(",",'ASS START SYNC'!E488,B484+1),"")</f>
        <v/>
      </c>
      <c r="D484" s="24" t="str">
        <f>IF('ASS START SYNC'!C488="SHOW",FIND(",",'ASS START SYNC'!E488,C484+1),"")</f>
        <v/>
      </c>
      <c r="E484" s="25" t="str">
        <f>IF('ASS START SYNC'!C488="SHOW",FIND(",,",'ASS START SYNC'!E488,1),"")</f>
        <v/>
      </c>
      <c r="F484" s="25" t="str">
        <f>IF('ASS START SYNC'!C488="SHOW",FIND(",,",'ASS START SYNC'!E488,E484+1),"")</f>
        <v/>
      </c>
      <c r="G484" s="23" t="str">
        <f>IF('ASS START SYNC'!C488="SHOW",LEFT('ASS START SYNC'!E488,B484),"")</f>
        <v/>
      </c>
      <c r="H484" s="24" t="str">
        <f>IF(AND('ASS START SYNC'!C488="SHOW",COUNTA('ASS START SYNC'!$E$8:'ASS START SYNC'!E487)=0),MID('ASS START SYNC'!E488,B484+1,C484-B484-1),IF(AND('ASS START SYNC'!C488="SHOW",COUNTA('ASS START SYNC'!$E$8:'ASS START SYNC'!E487)&lt;&gt;0),I483,""))</f>
        <v/>
      </c>
      <c r="I484" s="24" t="str">
        <f>IF('ASS START SYNC'!C488="SHOW",MID('ASS START SYNC'!E488,C484+1,D484-C484-1),I483)</f>
        <v/>
      </c>
      <c r="J484" s="23" t="str">
        <f>IF('ASS START SYNC'!C488="SHOW",MID('ASS START SYNC'!E488,D484+1,F484-D484+1),"")</f>
        <v/>
      </c>
      <c r="K484" s="23" t="str">
        <f>IF('ASS START SYNC'!C488="SHOW",MID('ASS START SYNC'!E488,F484+2,1000),"")</f>
        <v/>
      </c>
      <c r="M484" s="24"/>
      <c r="N484" s="26">
        <v>481</v>
      </c>
      <c r="O484" s="24" t="str">
        <f>IF('ASS END SYNC'!C488="SHOW",FIND(",",'ASS END SYNC'!E488,1),"")</f>
        <v/>
      </c>
      <c r="P484" s="24" t="str">
        <f>IF('ASS END SYNC'!C488="SHOW",FIND(",",'ASS END SYNC'!E488,O484+1),"")</f>
        <v/>
      </c>
      <c r="Q484" s="24" t="str">
        <f>IF('ASS END SYNC'!C488="SHOW",FIND(",",'ASS END SYNC'!E488,P484+1),"")</f>
        <v/>
      </c>
      <c r="R484" s="25" t="str">
        <f>IF('ASS END SYNC'!C488="SHOW",FIND(",,",'ASS END SYNC'!E488,1),"")</f>
        <v/>
      </c>
      <c r="S484" s="25" t="str">
        <f>IF('ASS END SYNC'!C488="SHOW",FIND(",,",'ASS END SYNC'!E488,R484+1),"")</f>
        <v/>
      </c>
      <c r="T484" s="23" t="str">
        <f>IF('ASS END SYNC'!C488="SHOW",LEFT('ASS END SYNC'!E488,O484),"")</f>
        <v/>
      </c>
      <c r="U484" s="24" t="str">
        <f>IF('ASS END SYNC'!C488="SHOW",MID('ASS END SYNC'!E488,O484+1,P484-O484-1),"")</f>
        <v/>
      </c>
      <c r="V484" s="24" t="str">
        <f>IF(AND('ASS END SYNC'!C488="SHOW",'ASS END SYNC'!C489="SHOW"),U485,IF(AND('ASS END SYNC'!C488="SHOW",'ASS END SYNC'!C489&lt;&gt;"SHOW"),MID('ASS END SYNC'!E488,O484+1,P484-O484-1),""))</f>
        <v/>
      </c>
      <c r="W484" s="23" t="str">
        <f>IF('ASS END SYNC'!C488="SHOW",MID('ASS END SYNC'!E488,Q484+1,S484-Q484+1),"")</f>
        <v/>
      </c>
      <c r="X484" s="23" t="str">
        <f>IF('ASS END SYNC'!C488="SHOW",MID('ASS END SYNC'!E488,S484+2,1000),"")</f>
        <v/>
      </c>
      <c r="Z484" s="24"/>
    </row>
    <row r="485" spans="1:26" x14ac:dyDescent="0.25">
      <c r="A485" s="26">
        <v>482</v>
      </c>
      <c r="B485" s="24" t="str">
        <f>IF('ASS START SYNC'!C489="SHOW",FIND(",",'ASS START SYNC'!E489,1),"")</f>
        <v/>
      </c>
      <c r="C485" s="24" t="str">
        <f>IF('ASS START SYNC'!C489="SHOW",FIND(",",'ASS START SYNC'!E489,B485+1),"")</f>
        <v/>
      </c>
      <c r="D485" s="24" t="str">
        <f>IF('ASS START SYNC'!C489="SHOW",FIND(",",'ASS START SYNC'!E489,C485+1),"")</f>
        <v/>
      </c>
      <c r="E485" s="25" t="str">
        <f>IF('ASS START SYNC'!C489="SHOW",FIND(",,",'ASS START SYNC'!E489,1),"")</f>
        <v/>
      </c>
      <c r="F485" s="25" t="str">
        <f>IF('ASS START SYNC'!C489="SHOW",FIND(",,",'ASS START SYNC'!E489,E485+1),"")</f>
        <v/>
      </c>
      <c r="G485" s="23" t="str">
        <f>IF('ASS START SYNC'!C489="SHOW",LEFT('ASS START SYNC'!E489,B485),"")</f>
        <v/>
      </c>
      <c r="H485" s="24" t="str">
        <f>IF(AND('ASS START SYNC'!C489="SHOW",COUNTA('ASS START SYNC'!$E$8:'ASS START SYNC'!E488)=0),MID('ASS START SYNC'!E489,B485+1,C485-B485-1),IF(AND('ASS START SYNC'!C489="SHOW",COUNTA('ASS START SYNC'!$E$8:'ASS START SYNC'!E488)&lt;&gt;0),I484,""))</f>
        <v/>
      </c>
      <c r="I485" s="24" t="str">
        <f>IF('ASS START SYNC'!C489="SHOW",MID('ASS START SYNC'!E489,C485+1,D485-C485-1),I484)</f>
        <v/>
      </c>
      <c r="J485" s="23" t="str">
        <f>IF('ASS START SYNC'!C489="SHOW",MID('ASS START SYNC'!E489,D485+1,F485-D485+1),"")</f>
        <v/>
      </c>
      <c r="K485" s="23" t="str">
        <f>IF('ASS START SYNC'!C489="SHOW",MID('ASS START SYNC'!E489,F485+2,1000),"")</f>
        <v/>
      </c>
      <c r="M485" s="24"/>
      <c r="N485" s="26">
        <v>482</v>
      </c>
      <c r="O485" s="24" t="str">
        <f>IF('ASS END SYNC'!C489="SHOW",FIND(",",'ASS END SYNC'!E489,1),"")</f>
        <v/>
      </c>
      <c r="P485" s="24" t="str">
        <f>IF('ASS END SYNC'!C489="SHOW",FIND(",",'ASS END SYNC'!E489,O485+1),"")</f>
        <v/>
      </c>
      <c r="Q485" s="24" t="str">
        <f>IF('ASS END SYNC'!C489="SHOW",FIND(",",'ASS END SYNC'!E489,P485+1),"")</f>
        <v/>
      </c>
      <c r="R485" s="25" t="str">
        <f>IF('ASS END SYNC'!C489="SHOW",FIND(",,",'ASS END SYNC'!E489,1),"")</f>
        <v/>
      </c>
      <c r="S485" s="25" t="str">
        <f>IF('ASS END SYNC'!C489="SHOW",FIND(",,",'ASS END SYNC'!E489,R485+1),"")</f>
        <v/>
      </c>
      <c r="T485" s="23" t="str">
        <f>IF('ASS END SYNC'!C489="SHOW",LEFT('ASS END SYNC'!E489,O485),"")</f>
        <v/>
      </c>
      <c r="U485" s="24" t="str">
        <f>IF('ASS END SYNC'!C489="SHOW",MID('ASS END SYNC'!E489,O485+1,P485-O485-1),"")</f>
        <v/>
      </c>
      <c r="V485" s="24" t="str">
        <f>IF(AND('ASS END SYNC'!C489="SHOW",'ASS END SYNC'!C490="SHOW"),U486,IF(AND('ASS END SYNC'!C489="SHOW",'ASS END SYNC'!C490&lt;&gt;"SHOW"),MID('ASS END SYNC'!E489,O485+1,P485-O485-1),""))</f>
        <v/>
      </c>
      <c r="W485" s="23" t="str">
        <f>IF('ASS END SYNC'!C489="SHOW",MID('ASS END SYNC'!E489,Q485+1,S485-Q485+1),"")</f>
        <v/>
      </c>
      <c r="X485" s="23" t="str">
        <f>IF('ASS END SYNC'!C489="SHOW",MID('ASS END SYNC'!E489,S485+2,1000),"")</f>
        <v/>
      </c>
      <c r="Z485" s="24"/>
    </row>
    <row r="486" spans="1:26" x14ac:dyDescent="0.25">
      <c r="A486" s="26">
        <v>483</v>
      </c>
      <c r="B486" s="24" t="str">
        <f>IF('ASS START SYNC'!C490="SHOW",FIND(",",'ASS START SYNC'!E490,1),"")</f>
        <v/>
      </c>
      <c r="C486" s="24" t="str">
        <f>IF('ASS START SYNC'!C490="SHOW",FIND(",",'ASS START SYNC'!E490,B486+1),"")</f>
        <v/>
      </c>
      <c r="D486" s="24" t="str">
        <f>IF('ASS START SYNC'!C490="SHOW",FIND(",",'ASS START SYNC'!E490,C486+1),"")</f>
        <v/>
      </c>
      <c r="E486" s="25" t="str">
        <f>IF('ASS START SYNC'!C490="SHOW",FIND(",,",'ASS START SYNC'!E490,1),"")</f>
        <v/>
      </c>
      <c r="F486" s="25" t="str">
        <f>IF('ASS START SYNC'!C490="SHOW",FIND(",,",'ASS START SYNC'!E490,E486+1),"")</f>
        <v/>
      </c>
      <c r="G486" s="23" t="str">
        <f>IF('ASS START SYNC'!C490="SHOW",LEFT('ASS START SYNC'!E490,B486),"")</f>
        <v/>
      </c>
      <c r="H486" s="24" t="str">
        <f>IF(AND('ASS START SYNC'!C490="SHOW",COUNTA('ASS START SYNC'!$E$8:'ASS START SYNC'!E489)=0),MID('ASS START SYNC'!E490,B486+1,C486-B486-1),IF(AND('ASS START SYNC'!C490="SHOW",COUNTA('ASS START SYNC'!$E$8:'ASS START SYNC'!E489)&lt;&gt;0),I485,""))</f>
        <v/>
      </c>
      <c r="I486" s="24" t="str">
        <f>IF('ASS START SYNC'!C490="SHOW",MID('ASS START SYNC'!E490,C486+1,D486-C486-1),I485)</f>
        <v/>
      </c>
      <c r="J486" s="23" t="str">
        <f>IF('ASS START SYNC'!C490="SHOW",MID('ASS START SYNC'!E490,D486+1,F486-D486+1),"")</f>
        <v/>
      </c>
      <c r="K486" s="23" t="str">
        <f>IF('ASS START SYNC'!C490="SHOW",MID('ASS START SYNC'!E490,F486+2,1000),"")</f>
        <v/>
      </c>
      <c r="M486" s="24"/>
      <c r="N486" s="26">
        <v>483</v>
      </c>
      <c r="O486" s="24" t="str">
        <f>IF('ASS END SYNC'!C490="SHOW",FIND(",",'ASS END SYNC'!E490,1),"")</f>
        <v/>
      </c>
      <c r="P486" s="24" t="str">
        <f>IF('ASS END SYNC'!C490="SHOW",FIND(",",'ASS END SYNC'!E490,O486+1),"")</f>
        <v/>
      </c>
      <c r="Q486" s="24" t="str">
        <f>IF('ASS END SYNC'!C490="SHOW",FIND(",",'ASS END SYNC'!E490,P486+1),"")</f>
        <v/>
      </c>
      <c r="R486" s="25" t="str">
        <f>IF('ASS END SYNC'!C490="SHOW",FIND(",,",'ASS END SYNC'!E490,1),"")</f>
        <v/>
      </c>
      <c r="S486" s="25" t="str">
        <f>IF('ASS END SYNC'!C490="SHOW",FIND(",,",'ASS END SYNC'!E490,R486+1),"")</f>
        <v/>
      </c>
      <c r="T486" s="23" t="str">
        <f>IF('ASS END SYNC'!C490="SHOW",LEFT('ASS END SYNC'!E490,O486),"")</f>
        <v/>
      </c>
      <c r="U486" s="24" t="str">
        <f>IF('ASS END SYNC'!C490="SHOW",MID('ASS END SYNC'!E490,O486+1,P486-O486-1),"")</f>
        <v/>
      </c>
      <c r="V486" s="24" t="str">
        <f>IF(AND('ASS END SYNC'!C490="SHOW",'ASS END SYNC'!C491="SHOW"),U487,IF(AND('ASS END SYNC'!C490="SHOW",'ASS END SYNC'!C491&lt;&gt;"SHOW"),MID('ASS END SYNC'!E490,O486+1,P486-O486-1),""))</f>
        <v/>
      </c>
      <c r="W486" s="23" t="str">
        <f>IF('ASS END SYNC'!C490="SHOW",MID('ASS END SYNC'!E490,Q486+1,S486-Q486+1),"")</f>
        <v/>
      </c>
      <c r="X486" s="23" t="str">
        <f>IF('ASS END SYNC'!C490="SHOW",MID('ASS END SYNC'!E490,S486+2,1000),"")</f>
        <v/>
      </c>
      <c r="Z486" s="24"/>
    </row>
    <row r="487" spans="1:26" x14ac:dyDescent="0.25">
      <c r="A487" s="26">
        <v>484</v>
      </c>
      <c r="B487" s="24" t="str">
        <f>IF('ASS START SYNC'!C491="SHOW",FIND(",",'ASS START SYNC'!E491,1),"")</f>
        <v/>
      </c>
      <c r="C487" s="24" t="str">
        <f>IF('ASS START SYNC'!C491="SHOW",FIND(",",'ASS START SYNC'!E491,B487+1),"")</f>
        <v/>
      </c>
      <c r="D487" s="24" t="str">
        <f>IF('ASS START SYNC'!C491="SHOW",FIND(",",'ASS START SYNC'!E491,C487+1),"")</f>
        <v/>
      </c>
      <c r="E487" s="25" t="str">
        <f>IF('ASS START SYNC'!C491="SHOW",FIND(",,",'ASS START SYNC'!E491,1),"")</f>
        <v/>
      </c>
      <c r="F487" s="25" t="str">
        <f>IF('ASS START SYNC'!C491="SHOW",FIND(",,",'ASS START SYNC'!E491,E487+1),"")</f>
        <v/>
      </c>
      <c r="G487" s="23" t="str">
        <f>IF('ASS START SYNC'!C491="SHOW",LEFT('ASS START SYNC'!E491,B487),"")</f>
        <v/>
      </c>
      <c r="H487" s="24" t="str">
        <f>IF(AND('ASS START SYNC'!C491="SHOW",COUNTA('ASS START SYNC'!$E$8:'ASS START SYNC'!E490)=0),MID('ASS START SYNC'!E491,B487+1,C487-B487-1),IF(AND('ASS START SYNC'!C491="SHOW",COUNTA('ASS START SYNC'!$E$8:'ASS START SYNC'!E490)&lt;&gt;0),I486,""))</f>
        <v/>
      </c>
      <c r="I487" s="24" t="str">
        <f>IF('ASS START SYNC'!C491="SHOW",MID('ASS START SYNC'!E491,C487+1,D487-C487-1),I486)</f>
        <v/>
      </c>
      <c r="J487" s="23" t="str">
        <f>IF('ASS START SYNC'!C491="SHOW",MID('ASS START SYNC'!E491,D487+1,F487-D487+1),"")</f>
        <v/>
      </c>
      <c r="K487" s="23" t="str">
        <f>IF('ASS START SYNC'!C491="SHOW",MID('ASS START SYNC'!E491,F487+2,1000),"")</f>
        <v/>
      </c>
      <c r="M487" s="24"/>
      <c r="N487" s="26">
        <v>484</v>
      </c>
      <c r="O487" s="24" t="str">
        <f>IF('ASS END SYNC'!C491="SHOW",FIND(",",'ASS END SYNC'!E491,1),"")</f>
        <v/>
      </c>
      <c r="P487" s="24" t="str">
        <f>IF('ASS END SYNC'!C491="SHOW",FIND(",",'ASS END SYNC'!E491,O487+1),"")</f>
        <v/>
      </c>
      <c r="Q487" s="24" t="str">
        <f>IF('ASS END SYNC'!C491="SHOW",FIND(",",'ASS END SYNC'!E491,P487+1),"")</f>
        <v/>
      </c>
      <c r="R487" s="25" t="str">
        <f>IF('ASS END SYNC'!C491="SHOW",FIND(",,",'ASS END SYNC'!E491,1),"")</f>
        <v/>
      </c>
      <c r="S487" s="25" t="str">
        <f>IF('ASS END SYNC'!C491="SHOW",FIND(",,",'ASS END SYNC'!E491,R487+1),"")</f>
        <v/>
      </c>
      <c r="T487" s="23" t="str">
        <f>IF('ASS END SYNC'!C491="SHOW",LEFT('ASS END SYNC'!E491,O487),"")</f>
        <v/>
      </c>
      <c r="U487" s="24" t="str">
        <f>IF('ASS END SYNC'!C491="SHOW",MID('ASS END SYNC'!E491,O487+1,P487-O487-1),"")</f>
        <v/>
      </c>
      <c r="V487" s="24" t="str">
        <f>IF(AND('ASS END SYNC'!C491="SHOW",'ASS END SYNC'!C492="SHOW"),U488,IF(AND('ASS END SYNC'!C491="SHOW",'ASS END SYNC'!C492&lt;&gt;"SHOW"),MID('ASS END SYNC'!E491,O487+1,P487-O487-1),""))</f>
        <v/>
      </c>
      <c r="W487" s="23" t="str">
        <f>IF('ASS END SYNC'!C491="SHOW",MID('ASS END SYNC'!E491,Q487+1,S487-Q487+1),"")</f>
        <v/>
      </c>
      <c r="X487" s="23" t="str">
        <f>IF('ASS END SYNC'!C491="SHOW",MID('ASS END SYNC'!E491,S487+2,1000),"")</f>
        <v/>
      </c>
      <c r="Z487" s="24"/>
    </row>
    <row r="488" spans="1:26" x14ac:dyDescent="0.25">
      <c r="A488" s="26">
        <v>485</v>
      </c>
      <c r="B488" s="24" t="str">
        <f>IF('ASS START SYNC'!C492="SHOW",FIND(",",'ASS START SYNC'!E492,1),"")</f>
        <v/>
      </c>
      <c r="C488" s="24" t="str">
        <f>IF('ASS START SYNC'!C492="SHOW",FIND(",",'ASS START SYNC'!E492,B488+1),"")</f>
        <v/>
      </c>
      <c r="D488" s="24" t="str">
        <f>IF('ASS START SYNC'!C492="SHOW",FIND(",",'ASS START SYNC'!E492,C488+1),"")</f>
        <v/>
      </c>
      <c r="E488" s="25" t="str">
        <f>IF('ASS START SYNC'!C492="SHOW",FIND(",,",'ASS START SYNC'!E492,1),"")</f>
        <v/>
      </c>
      <c r="F488" s="25" t="str">
        <f>IF('ASS START SYNC'!C492="SHOW",FIND(",,",'ASS START SYNC'!E492,E488+1),"")</f>
        <v/>
      </c>
      <c r="G488" s="23" t="str">
        <f>IF('ASS START SYNC'!C492="SHOW",LEFT('ASS START SYNC'!E492,B488),"")</f>
        <v/>
      </c>
      <c r="H488" s="24" t="str">
        <f>IF(AND('ASS START SYNC'!C492="SHOW",COUNTA('ASS START SYNC'!$E$8:'ASS START SYNC'!E491)=0),MID('ASS START SYNC'!E492,B488+1,C488-B488-1),IF(AND('ASS START SYNC'!C492="SHOW",COUNTA('ASS START SYNC'!$E$8:'ASS START SYNC'!E491)&lt;&gt;0),I487,""))</f>
        <v/>
      </c>
      <c r="I488" s="24" t="str">
        <f>IF('ASS START SYNC'!C492="SHOW",MID('ASS START SYNC'!E492,C488+1,D488-C488-1),I487)</f>
        <v/>
      </c>
      <c r="J488" s="23" t="str">
        <f>IF('ASS START SYNC'!C492="SHOW",MID('ASS START SYNC'!E492,D488+1,F488-D488+1),"")</f>
        <v/>
      </c>
      <c r="K488" s="23" t="str">
        <f>IF('ASS START SYNC'!C492="SHOW",MID('ASS START SYNC'!E492,F488+2,1000),"")</f>
        <v/>
      </c>
      <c r="M488" s="24"/>
      <c r="N488" s="26">
        <v>485</v>
      </c>
      <c r="O488" s="24" t="str">
        <f>IF('ASS END SYNC'!C492="SHOW",FIND(",",'ASS END SYNC'!E492,1),"")</f>
        <v/>
      </c>
      <c r="P488" s="24" t="str">
        <f>IF('ASS END SYNC'!C492="SHOW",FIND(",",'ASS END SYNC'!E492,O488+1),"")</f>
        <v/>
      </c>
      <c r="Q488" s="24" t="str">
        <f>IF('ASS END SYNC'!C492="SHOW",FIND(",",'ASS END SYNC'!E492,P488+1),"")</f>
        <v/>
      </c>
      <c r="R488" s="25" t="str">
        <f>IF('ASS END SYNC'!C492="SHOW",FIND(",,",'ASS END SYNC'!E492,1),"")</f>
        <v/>
      </c>
      <c r="S488" s="25" t="str">
        <f>IF('ASS END SYNC'!C492="SHOW",FIND(",,",'ASS END SYNC'!E492,R488+1),"")</f>
        <v/>
      </c>
      <c r="T488" s="23" t="str">
        <f>IF('ASS END SYNC'!C492="SHOW",LEFT('ASS END SYNC'!E492,O488),"")</f>
        <v/>
      </c>
      <c r="U488" s="24" t="str">
        <f>IF('ASS END SYNC'!C492="SHOW",MID('ASS END SYNC'!E492,O488+1,P488-O488-1),"")</f>
        <v/>
      </c>
      <c r="V488" s="24" t="str">
        <f>IF(AND('ASS END SYNC'!C492="SHOW",'ASS END SYNC'!C493="SHOW"),U489,IF(AND('ASS END SYNC'!C492="SHOW",'ASS END SYNC'!C493&lt;&gt;"SHOW"),MID('ASS END SYNC'!E492,O488+1,P488-O488-1),""))</f>
        <v/>
      </c>
      <c r="W488" s="23" t="str">
        <f>IF('ASS END SYNC'!C492="SHOW",MID('ASS END SYNC'!E492,Q488+1,S488-Q488+1),"")</f>
        <v/>
      </c>
      <c r="X488" s="23" t="str">
        <f>IF('ASS END SYNC'!C492="SHOW",MID('ASS END SYNC'!E492,S488+2,1000),"")</f>
        <v/>
      </c>
      <c r="Z488" s="24"/>
    </row>
    <row r="489" spans="1:26" x14ac:dyDescent="0.25">
      <c r="A489" s="26">
        <v>486</v>
      </c>
      <c r="B489" s="24" t="str">
        <f>IF('ASS START SYNC'!C493="SHOW",FIND(",",'ASS START SYNC'!E493,1),"")</f>
        <v/>
      </c>
      <c r="C489" s="24" t="str">
        <f>IF('ASS START SYNC'!C493="SHOW",FIND(",",'ASS START SYNC'!E493,B489+1),"")</f>
        <v/>
      </c>
      <c r="D489" s="24" t="str">
        <f>IF('ASS START SYNC'!C493="SHOW",FIND(",",'ASS START SYNC'!E493,C489+1),"")</f>
        <v/>
      </c>
      <c r="E489" s="25" t="str">
        <f>IF('ASS START SYNC'!C493="SHOW",FIND(",,",'ASS START SYNC'!E493,1),"")</f>
        <v/>
      </c>
      <c r="F489" s="25" t="str">
        <f>IF('ASS START SYNC'!C493="SHOW",FIND(",,",'ASS START SYNC'!E493,E489+1),"")</f>
        <v/>
      </c>
      <c r="G489" s="23" t="str">
        <f>IF('ASS START SYNC'!C493="SHOW",LEFT('ASS START SYNC'!E493,B489),"")</f>
        <v/>
      </c>
      <c r="H489" s="24" t="str">
        <f>IF(AND('ASS START SYNC'!C493="SHOW",COUNTA('ASS START SYNC'!$E$8:'ASS START SYNC'!E492)=0),MID('ASS START SYNC'!E493,B489+1,C489-B489-1),IF(AND('ASS START SYNC'!C493="SHOW",COUNTA('ASS START SYNC'!$E$8:'ASS START SYNC'!E492)&lt;&gt;0),I488,""))</f>
        <v/>
      </c>
      <c r="I489" s="24" t="str">
        <f>IF('ASS START SYNC'!C493="SHOW",MID('ASS START SYNC'!E493,C489+1,D489-C489-1),I488)</f>
        <v/>
      </c>
      <c r="J489" s="23" t="str">
        <f>IF('ASS START SYNC'!C493="SHOW",MID('ASS START SYNC'!E493,D489+1,F489-D489+1),"")</f>
        <v/>
      </c>
      <c r="K489" s="23" t="str">
        <f>IF('ASS START SYNC'!C493="SHOW",MID('ASS START SYNC'!E493,F489+2,1000),"")</f>
        <v/>
      </c>
      <c r="M489" s="24"/>
      <c r="N489" s="26">
        <v>486</v>
      </c>
      <c r="O489" s="24" t="str">
        <f>IF('ASS END SYNC'!C493="SHOW",FIND(",",'ASS END SYNC'!E493,1),"")</f>
        <v/>
      </c>
      <c r="P489" s="24" t="str">
        <f>IF('ASS END SYNC'!C493="SHOW",FIND(",",'ASS END SYNC'!E493,O489+1),"")</f>
        <v/>
      </c>
      <c r="Q489" s="24" t="str">
        <f>IF('ASS END SYNC'!C493="SHOW",FIND(",",'ASS END SYNC'!E493,P489+1),"")</f>
        <v/>
      </c>
      <c r="R489" s="25" t="str">
        <f>IF('ASS END SYNC'!C493="SHOW",FIND(",,",'ASS END SYNC'!E493,1),"")</f>
        <v/>
      </c>
      <c r="S489" s="25" t="str">
        <f>IF('ASS END SYNC'!C493="SHOW",FIND(",,",'ASS END SYNC'!E493,R489+1),"")</f>
        <v/>
      </c>
      <c r="T489" s="23" t="str">
        <f>IF('ASS END SYNC'!C493="SHOW",LEFT('ASS END SYNC'!E493,O489),"")</f>
        <v/>
      </c>
      <c r="U489" s="24" t="str">
        <f>IF('ASS END SYNC'!C493="SHOW",MID('ASS END SYNC'!E493,O489+1,P489-O489-1),"")</f>
        <v/>
      </c>
      <c r="V489" s="24" t="str">
        <f>IF(AND('ASS END SYNC'!C493="SHOW",'ASS END SYNC'!C494="SHOW"),U490,IF(AND('ASS END SYNC'!C493="SHOW",'ASS END SYNC'!C494&lt;&gt;"SHOW"),MID('ASS END SYNC'!E493,O489+1,P489-O489-1),""))</f>
        <v/>
      </c>
      <c r="W489" s="23" t="str">
        <f>IF('ASS END SYNC'!C493="SHOW",MID('ASS END SYNC'!E493,Q489+1,S489-Q489+1),"")</f>
        <v/>
      </c>
      <c r="X489" s="23" t="str">
        <f>IF('ASS END SYNC'!C493="SHOW",MID('ASS END SYNC'!E493,S489+2,1000),"")</f>
        <v/>
      </c>
      <c r="Z489" s="24"/>
    </row>
    <row r="490" spans="1:26" x14ac:dyDescent="0.25">
      <c r="A490" s="26">
        <v>487</v>
      </c>
      <c r="B490" s="24" t="str">
        <f>IF('ASS START SYNC'!C494="SHOW",FIND(",",'ASS START SYNC'!E494,1),"")</f>
        <v/>
      </c>
      <c r="C490" s="24" t="str">
        <f>IF('ASS START SYNC'!C494="SHOW",FIND(",",'ASS START SYNC'!E494,B490+1),"")</f>
        <v/>
      </c>
      <c r="D490" s="24" t="str">
        <f>IF('ASS START SYNC'!C494="SHOW",FIND(",",'ASS START SYNC'!E494,C490+1),"")</f>
        <v/>
      </c>
      <c r="E490" s="25" t="str">
        <f>IF('ASS START SYNC'!C494="SHOW",FIND(",,",'ASS START SYNC'!E494,1),"")</f>
        <v/>
      </c>
      <c r="F490" s="25" t="str">
        <f>IF('ASS START SYNC'!C494="SHOW",FIND(",,",'ASS START SYNC'!E494,E490+1),"")</f>
        <v/>
      </c>
      <c r="G490" s="23" t="str">
        <f>IF('ASS START SYNC'!C494="SHOW",LEFT('ASS START SYNC'!E494,B490),"")</f>
        <v/>
      </c>
      <c r="H490" s="24" t="str">
        <f>IF(AND('ASS START SYNC'!C494="SHOW",COUNTA('ASS START SYNC'!$E$8:'ASS START SYNC'!E493)=0),MID('ASS START SYNC'!E494,B490+1,C490-B490-1),IF(AND('ASS START SYNC'!C494="SHOW",COUNTA('ASS START SYNC'!$E$8:'ASS START SYNC'!E493)&lt;&gt;0),I489,""))</f>
        <v/>
      </c>
      <c r="I490" s="24" t="str">
        <f>IF('ASS START SYNC'!C494="SHOW",MID('ASS START SYNC'!E494,C490+1,D490-C490-1),I489)</f>
        <v/>
      </c>
      <c r="J490" s="23" t="str">
        <f>IF('ASS START SYNC'!C494="SHOW",MID('ASS START SYNC'!E494,D490+1,F490-D490+1),"")</f>
        <v/>
      </c>
      <c r="K490" s="23" t="str">
        <f>IF('ASS START SYNC'!C494="SHOW",MID('ASS START SYNC'!E494,F490+2,1000),"")</f>
        <v/>
      </c>
      <c r="M490" s="24"/>
      <c r="N490" s="26">
        <v>487</v>
      </c>
      <c r="O490" s="24" t="str">
        <f>IF('ASS END SYNC'!C494="SHOW",FIND(",",'ASS END SYNC'!E494,1),"")</f>
        <v/>
      </c>
      <c r="P490" s="24" t="str">
        <f>IF('ASS END SYNC'!C494="SHOW",FIND(",",'ASS END SYNC'!E494,O490+1),"")</f>
        <v/>
      </c>
      <c r="Q490" s="24" t="str">
        <f>IF('ASS END SYNC'!C494="SHOW",FIND(",",'ASS END SYNC'!E494,P490+1),"")</f>
        <v/>
      </c>
      <c r="R490" s="25" t="str">
        <f>IF('ASS END SYNC'!C494="SHOW",FIND(",,",'ASS END SYNC'!E494,1),"")</f>
        <v/>
      </c>
      <c r="S490" s="25" t="str">
        <f>IF('ASS END SYNC'!C494="SHOW",FIND(",,",'ASS END SYNC'!E494,R490+1),"")</f>
        <v/>
      </c>
      <c r="T490" s="23" t="str">
        <f>IF('ASS END SYNC'!C494="SHOW",LEFT('ASS END SYNC'!E494,O490),"")</f>
        <v/>
      </c>
      <c r="U490" s="24" t="str">
        <f>IF('ASS END SYNC'!C494="SHOW",MID('ASS END SYNC'!E494,O490+1,P490-O490-1),"")</f>
        <v/>
      </c>
      <c r="V490" s="24" t="str">
        <f>IF(AND('ASS END SYNC'!C494="SHOW",'ASS END SYNC'!C495="SHOW"),U491,IF(AND('ASS END SYNC'!C494="SHOW",'ASS END SYNC'!C495&lt;&gt;"SHOW"),MID('ASS END SYNC'!E494,O490+1,P490-O490-1),""))</f>
        <v/>
      </c>
      <c r="W490" s="23" t="str">
        <f>IF('ASS END SYNC'!C494="SHOW",MID('ASS END SYNC'!E494,Q490+1,S490-Q490+1),"")</f>
        <v/>
      </c>
      <c r="X490" s="23" t="str">
        <f>IF('ASS END SYNC'!C494="SHOW",MID('ASS END SYNC'!E494,S490+2,1000),"")</f>
        <v/>
      </c>
      <c r="Z490" s="24"/>
    </row>
    <row r="491" spans="1:26" x14ac:dyDescent="0.25">
      <c r="A491" s="26">
        <v>488</v>
      </c>
      <c r="B491" s="24" t="str">
        <f>IF('ASS START SYNC'!C495="SHOW",FIND(",",'ASS START SYNC'!E495,1),"")</f>
        <v/>
      </c>
      <c r="C491" s="24" t="str">
        <f>IF('ASS START SYNC'!C495="SHOW",FIND(",",'ASS START SYNC'!E495,B491+1),"")</f>
        <v/>
      </c>
      <c r="D491" s="24" t="str">
        <f>IF('ASS START SYNC'!C495="SHOW",FIND(",",'ASS START SYNC'!E495,C491+1),"")</f>
        <v/>
      </c>
      <c r="E491" s="25" t="str">
        <f>IF('ASS START SYNC'!C495="SHOW",FIND(",,",'ASS START SYNC'!E495,1),"")</f>
        <v/>
      </c>
      <c r="F491" s="25" t="str">
        <f>IF('ASS START SYNC'!C495="SHOW",FIND(",,",'ASS START SYNC'!E495,E491+1),"")</f>
        <v/>
      </c>
      <c r="G491" s="23" t="str">
        <f>IF('ASS START SYNC'!C495="SHOW",LEFT('ASS START SYNC'!E495,B491),"")</f>
        <v/>
      </c>
      <c r="H491" s="24" t="str">
        <f>IF(AND('ASS START SYNC'!C495="SHOW",COUNTA('ASS START SYNC'!$E$8:'ASS START SYNC'!E494)=0),MID('ASS START SYNC'!E495,B491+1,C491-B491-1),IF(AND('ASS START SYNC'!C495="SHOW",COUNTA('ASS START SYNC'!$E$8:'ASS START SYNC'!E494)&lt;&gt;0),I490,""))</f>
        <v/>
      </c>
      <c r="I491" s="24" t="str">
        <f>IF('ASS START SYNC'!C495="SHOW",MID('ASS START SYNC'!E495,C491+1,D491-C491-1),I490)</f>
        <v/>
      </c>
      <c r="J491" s="23" t="str">
        <f>IF('ASS START SYNC'!C495="SHOW",MID('ASS START SYNC'!E495,D491+1,F491-D491+1),"")</f>
        <v/>
      </c>
      <c r="K491" s="23" t="str">
        <f>IF('ASS START SYNC'!C495="SHOW",MID('ASS START SYNC'!E495,F491+2,1000),"")</f>
        <v/>
      </c>
      <c r="M491" s="24"/>
      <c r="N491" s="26">
        <v>488</v>
      </c>
      <c r="O491" s="24" t="str">
        <f>IF('ASS END SYNC'!C495="SHOW",FIND(",",'ASS END SYNC'!E495,1),"")</f>
        <v/>
      </c>
      <c r="P491" s="24" t="str">
        <f>IF('ASS END SYNC'!C495="SHOW",FIND(",",'ASS END SYNC'!E495,O491+1),"")</f>
        <v/>
      </c>
      <c r="Q491" s="24" t="str">
        <f>IF('ASS END SYNC'!C495="SHOW",FIND(",",'ASS END SYNC'!E495,P491+1),"")</f>
        <v/>
      </c>
      <c r="R491" s="25" t="str">
        <f>IF('ASS END SYNC'!C495="SHOW",FIND(",,",'ASS END SYNC'!E495,1),"")</f>
        <v/>
      </c>
      <c r="S491" s="25" t="str">
        <f>IF('ASS END SYNC'!C495="SHOW",FIND(",,",'ASS END SYNC'!E495,R491+1),"")</f>
        <v/>
      </c>
      <c r="T491" s="23" t="str">
        <f>IF('ASS END SYNC'!C495="SHOW",LEFT('ASS END SYNC'!E495,O491),"")</f>
        <v/>
      </c>
      <c r="U491" s="24" t="str">
        <f>IF('ASS END SYNC'!C495="SHOW",MID('ASS END SYNC'!E495,O491+1,P491-O491-1),"")</f>
        <v/>
      </c>
      <c r="V491" s="24" t="str">
        <f>IF(AND('ASS END SYNC'!C495="SHOW",'ASS END SYNC'!C496="SHOW"),U492,IF(AND('ASS END SYNC'!C495="SHOW",'ASS END SYNC'!C496&lt;&gt;"SHOW"),MID('ASS END SYNC'!E495,O491+1,P491-O491-1),""))</f>
        <v/>
      </c>
      <c r="W491" s="23" t="str">
        <f>IF('ASS END SYNC'!C495="SHOW",MID('ASS END SYNC'!E495,Q491+1,S491-Q491+1),"")</f>
        <v/>
      </c>
      <c r="X491" s="23" t="str">
        <f>IF('ASS END SYNC'!C495="SHOW",MID('ASS END SYNC'!E495,S491+2,1000),"")</f>
        <v/>
      </c>
      <c r="Z491" s="24"/>
    </row>
    <row r="492" spans="1:26" x14ac:dyDescent="0.25">
      <c r="A492" s="26">
        <v>489</v>
      </c>
      <c r="B492" s="24" t="str">
        <f>IF('ASS START SYNC'!C496="SHOW",FIND(",",'ASS START SYNC'!E496,1),"")</f>
        <v/>
      </c>
      <c r="C492" s="24" t="str">
        <f>IF('ASS START SYNC'!C496="SHOW",FIND(",",'ASS START SYNC'!E496,B492+1),"")</f>
        <v/>
      </c>
      <c r="D492" s="24" t="str">
        <f>IF('ASS START SYNC'!C496="SHOW",FIND(",",'ASS START SYNC'!E496,C492+1),"")</f>
        <v/>
      </c>
      <c r="E492" s="25" t="str">
        <f>IF('ASS START SYNC'!C496="SHOW",FIND(",,",'ASS START SYNC'!E496,1),"")</f>
        <v/>
      </c>
      <c r="F492" s="25" t="str">
        <f>IF('ASS START SYNC'!C496="SHOW",FIND(",,",'ASS START SYNC'!E496,E492+1),"")</f>
        <v/>
      </c>
      <c r="G492" s="23" t="str">
        <f>IF('ASS START SYNC'!C496="SHOW",LEFT('ASS START SYNC'!E496,B492),"")</f>
        <v/>
      </c>
      <c r="H492" s="24" t="str">
        <f>IF(AND('ASS START SYNC'!C496="SHOW",COUNTA('ASS START SYNC'!$E$8:'ASS START SYNC'!E495)=0),MID('ASS START SYNC'!E496,B492+1,C492-B492-1),IF(AND('ASS START SYNC'!C496="SHOW",COUNTA('ASS START SYNC'!$E$8:'ASS START SYNC'!E495)&lt;&gt;0),I491,""))</f>
        <v/>
      </c>
      <c r="I492" s="24" t="str">
        <f>IF('ASS START SYNC'!C496="SHOW",MID('ASS START SYNC'!E496,C492+1,D492-C492-1),I491)</f>
        <v/>
      </c>
      <c r="J492" s="23" t="str">
        <f>IF('ASS START SYNC'!C496="SHOW",MID('ASS START SYNC'!E496,D492+1,F492-D492+1),"")</f>
        <v/>
      </c>
      <c r="K492" s="23" t="str">
        <f>IF('ASS START SYNC'!C496="SHOW",MID('ASS START SYNC'!E496,F492+2,1000),"")</f>
        <v/>
      </c>
      <c r="M492" s="24"/>
      <c r="N492" s="26">
        <v>489</v>
      </c>
      <c r="O492" s="24" t="str">
        <f>IF('ASS END SYNC'!C496="SHOW",FIND(",",'ASS END SYNC'!E496,1),"")</f>
        <v/>
      </c>
      <c r="P492" s="24" t="str">
        <f>IF('ASS END SYNC'!C496="SHOW",FIND(",",'ASS END SYNC'!E496,O492+1),"")</f>
        <v/>
      </c>
      <c r="Q492" s="24" t="str">
        <f>IF('ASS END SYNC'!C496="SHOW",FIND(",",'ASS END SYNC'!E496,P492+1),"")</f>
        <v/>
      </c>
      <c r="R492" s="25" t="str">
        <f>IF('ASS END SYNC'!C496="SHOW",FIND(",,",'ASS END SYNC'!E496,1),"")</f>
        <v/>
      </c>
      <c r="S492" s="25" t="str">
        <f>IF('ASS END SYNC'!C496="SHOW",FIND(",,",'ASS END SYNC'!E496,R492+1),"")</f>
        <v/>
      </c>
      <c r="T492" s="23" t="str">
        <f>IF('ASS END SYNC'!C496="SHOW",LEFT('ASS END SYNC'!E496,O492),"")</f>
        <v/>
      </c>
      <c r="U492" s="24" t="str">
        <f>IF('ASS END SYNC'!C496="SHOW",MID('ASS END SYNC'!E496,O492+1,P492-O492-1),"")</f>
        <v/>
      </c>
      <c r="V492" s="24" t="str">
        <f>IF(AND('ASS END SYNC'!C496="SHOW",'ASS END SYNC'!C497="SHOW"),U493,IF(AND('ASS END SYNC'!C496="SHOW",'ASS END SYNC'!C497&lt;&gt;"SHOW"),MID('ASS END SYNC'!E496,O492+1,P492-O492-1),""))</f>
        <v/>
      </c>
      <c r="W492" s="23" t="str">
        <f>IF('ASS END SYNC'!C496="SHOW",MID('ASS END SYNC'!E496,Q492+1,S492-Q492+1),"")</f>
        <v/>
      </c>
      <c r="X492" s="23" t="str">
        <f>IF('ASS END SYNC'!C496="SHOW",MID('ASS END SYNC'!E496,S492+2,1000),"")</f>
        <v/>
      </c>
      <c r="Z492" s="24"/>
    </row>
    <row r="493" spans="1:26" x14ac:dyDescent="0.25">
      <c r="A493" s="26">
        <v>490</v>
      </c>
      <c r="B493" s="24" t="str">
        <f>IF('ASS START SYNC'!C497="SHOW",FIND(",",'ASS START SYNC'!E497,1),"")</f>
        <v/>
      </c>
      <c r="C493" s="24" t="str">
        <f>IF('ASS START SYNC'!C497="SHOW",FIND(",",'ASS START SYNC'!E497,B493+1),"")</f>
        <v/>
      </c>
      <c r="D493" s="24" t="str">
        <f>IF('ASS START SYNC'!C497="SHOW",FIND(",",'ASS START SYNC'!E497,C493+1),"")</f>
        <v/>
      </c>
      <c r="E493" s="25" t="str">
        <f>IF('ASS START SYNC'!C497="SHOW",FIND(",,",'ASS START SYNC'!E497,1),"")</f>
        <v/>
      </c>
      <c r="F493" s="25" t="str">
        <f>IF('ASS START SYNC'!C497="SHOW",FIND(",,",'ASS START SYNC'!E497,E493+1),"")</f>
        <v/>
      </c>
      <c r="G493" s="23" t="str">
        <f>IF('ASS START SYNC'!C497="SHOW",LEFT('ASS START SYNC'!E497,B493),"")</f>
        <v/>
      </c>
      <c r="H493" s="24" t="str">
        <f>IF(AND('ASS START SYNC'!C497="SHOW",COUNTA('ASS START SYNC'!$E$8:'ASS START SYNC'!E496)=0),MID('ASS START SYNC'!E497,B493+1,C493-B493-1),IF(AND('ASS START SYNC'!C497="SHOW",COUNTA('ASS START SYNC'!$E$8:'ASS START SYNC'!E496)&lt;&gt;0),I492,""))</f>
        <v/>
      </c>
      <c r="I493" s="24" t="str">
        <f>IF('ASS START SYNC'!C497="SHOW",MID('ASS START SYNC'!E497,C493+1,D493-C493-1),I492)</f>
        <v/>
      </c>
      <c r="J493" s="23" t="str">
        <f>IF('ASS START SYNC'!C497="SHOW",MID('ASS START SYNC'!E497,D493+1,F493-D493+1),"")</f>
        <v/>
      </c>
      <c r="K493" s="23" t="str">
        <f>IF('ASS START SYNC'!C497="SHOW",MID('ASS START SYNC'!E497,F493+2,1000),"")</f>
        <v/>
      </c>
      <c r="M493" s="24"/>
      <c r="N493" s="26">
        <v>490</v>
      </c>
      <c r="O493" s="24" t="str">
        <f>IF('ASS END SYNC'!C497="SHOW",FIND(",",'ASS END SYNC'!E497,1),"")</f>
        <v/>
      </c>
      <c r="P493" s="24" t="str">
        <f>IF('ASS END SYNC'!C497="SHOW",FIND(",",'ASS END SYNC'!E497,O493+1),"")</f>
        <v/>
      </c>
      <c r="Q493" s="24" t="str">
        <f>IF('ASS END SYNC'!C497="SHOW",FIND(",",'ASS END SYNC'!E497,P493+1),"")</f>
        <v/>
      </c>
      <c r="R493" s="25" t="str">
        <f>IF('ASS END SYNC'!C497="SHOW",FIND(",,",'ASS END SYNC'!E497,1),"")</f>
        <v/>
      </c>
      <c r="S493" s="25" t="str">
        <f>IF('ASS END SYNC'!C497="SHOW",FIND(",,",'ASS END SYNC'!E497,R493+1),"")</f>
        <v/>
      </c>
      <c r="T493" s="23" t="str">
        <f>IF('ASS END SYNC'!C497="SHOW",LEFT('ASS END SYNC'!E497,O493),"")</f>
        <v/>
      </c>
      <c r="U493" s="24" t="str">
        <f>IF('ASS END SYNC'!C497="SHOW",MID('ASS END SYNC'!E497,O493+1,P493-O493-1),"")</f>
        <v/>
      </c>
      <c r="V493" s="24" t="str">
        <f>IF(AND('ASS END SYNC'!C497="SHOW",'ASS END SYNC'!C498="SHOW"),U494,IF(AND('ASS END SYNC'!C497="SHOW",'ASS END SYNC'!C498&lt;&gt;"SHOW"),MID('ASS END SYNC'!E497,O493+1,P493-O493-1),""))</f>
        <v/>
      </c>
      <c r="W493" s="23" t="str">
        <f>IF('ASS END SYNC'!C497="SHOW",MID('ASS END SYNC'!E497,Q493+1,S493-Q493+1),"")</f>
        <v/>
      </c>
      <c r="X493" s="23" t="str">
        <f>IF('ASS END SYNC'!C497="SHOW",MID('ASS END SYNC'!E497,S493+2,1000),"")</f>
        <v/>
      </c>
      <c r="Z493" s="24"/>
    </row>
    <row r="494" spans="1:26" x14ac:dyDescent="0.25">
      <c r="A494" s="26">
        <v>491</v>
      </c>
      <c r="B494" s="24" t="str">
        <f>IF('ASS START SYNC'!C498="SHOW",FIND(",",'ASS START SYNC'!E498,1),"")</f>
        <v/>
      </c>
      <c r="C494" s="24" t="str">
        <f>IF('ASS START SYNC'!C498="SHOW",FIND(",",'ASS START SYNC'!E498,B494+1),"")</f>
        <v/>
      </c>
      <c r="D494" s="24" t="str">
        <f>IF('ASS START SYNC'!C498="SHOW",FIND(",",'ASS START SYNC'!E498,C494+1),"")</f>
        <v/>
      </c>
      <c r="E494" s="25" t="str">
        <f>IF('ASS START SYNC'!C498="SHOW",FIND(",,",'ASS START SYNC'!E498,1),"")</f>
        <v/>
      </c>
      <c r="F494" s="25" t="str">
        <f>IF('ASS START SYNC'!C498="SHOW",FIND(",,",'ASS START SYNC'!E498,E494+1),"")</f>
        <v/>
      </c>
      <c r="G494" s="23" t="str">
        <f>IF('ASS START SYNC'!C498="SHOW",LEFT('ASS START SYNC'!E498,B494),"")</f>
        <v/>
      </c>
      <c r="H494" s="24" t="str">
        <f>IF(AND('ASS START SYNC'!C498="SHOW",COUNTA('ASS START SYNC'!$E$8:'ASS START SYNC'!E497)=0),MID('ASS START SYNC'!E498,B494+1,C494-B494-1),IF(AND('ASS START SYNC'!C498="SHOW",COUNTA('ASS START SYNC'!$E$8:'ASS START SYNC'!E497)&lt;&gt;0),I493,""))</f>
        <v/>
      </c>
      <c r="I494" s="24" t="str">
        <f>IF('ASS START SYNC'!C498="SHOW",MID('ASS START SYNC'!E498,C494+1,D494-C494-1),I493)</f>
        <v/>
      </c>
      <c r="J494" s="23" t="str">
        <f>IF('ASS START SYNC'!C498="SHOW",MID('ASS START SYNC'!E498,D494+1,F494-D494+1),"")</f>
        <v/>
      </c>
      <c r="K494" s="23" t="str">
        <f>IF('ASS START SYNC'!C498="SHOW",MID('ASS START SYNC'!E498,F494+2,1000),"")</f>
        <v/>
      </c>
      <c r="M494" s="24"/>
      <c r="N494" s="26">
        <v>491</v>
      </c>
      <c r="O494" s="24" t="str">
        <f>IF('ASS END SYNC'!C498="SHOW",FIND(",",'ASS END SYNC'!E498,1),"")</f>
        <v/>
      </c>
      <c r="P494" s="24" t="str">
        <f>IF('ASS END SYNC'!C498="SHOW",FIND(",",'ASS END SYNC'!E498,O494+1),"")</f>
        <v/>
      </c>
      <c r="Q494" s="24" t="str">
        <f>IF('ASS END SYNC'!C498="SHOW",FIND(",",'ASS END SYNC'!E498,P494+1),"")</f>
        <v/>
      </c>
      <c r="R494" s="25" t="str">
        <f>IF('ASS END SYNC'!C498="SHOW",FIND(",,",'ASS END SYNC'!E498,1),"")</f>
        <v/>
      </c>
      <c r="S494" s="25" t="str">
        <f>IF('ASS END SYNC'!C498="SHOW",FIND(",,",'ASS END SYNC'!E498,R494+1),"")</f>
        <v/>
      </c>
      <c r="T494" s="23" t="str">
        <f>IF('ASS END SYNC'!C498="SHOW",LEFT('ASS END SYNC'!E498,O494),"")</f>
        <v/>
      </c>
      <c r="U494" s="24" t="str">
        <f>IF('ASS END SYNC'!C498="SHOW",MID('ASS END SYNC'!E498,O494+1,P494-O494-1),"")</f>
        <v/>
      </c>
      <c r="V494" s="24" t="str">
        <f>IF(AND('ASS END SYNC'!C498="SHOW",'ASS END SYNC'!C499="SHOW"),U495,IF(AND('ASS END SYNC'!C498="SHOW",'ASS END SYNC'!C499&lt;&gt;"SHOW"),MID('ASS END SYNC'!E498,O494+1,P494-O494-1),""))</f>
        <v/>
      </c>
      <c r="W494" s="23" t="str">
        <f>IF('ASS END SYNC'!C498="SHOW",MID('ASS END SYNC'!E498,Q494+1,S494-Q494+1),"")</f>
        <v/>
      </c>
      <c r="X494" s="23" t="str">
        <f>IF('ASS END SYNC'!C498="SHOW",MID('ASS END SYNC'!E498,S494+2,1000),"")</f>
        <v/>
      </c>
      <c r="Z494" s="24"/>
    </row>
    <row r="495" spans="1:26" x14ac:dyDescent="0.25">
      <c r="A495" s="26">
        <v>492</v>
      </c>
      <c r="B495" s="24" t="str">
        <f>IF('ASS START SYNC'!C499="SHOW",FIND(",",'ASS START SYNC'!E499,1),"")</f>
        <v/>
      </c>
      <c r="C495" s="24" t="str">
        <f>IF('ASS START SYNC'!C499="SHOW",FIND(",",'ASS START SYNC'!E499,B495+1),"")</f>
        <v/>
      </c>
      <c r="D495" s="24" t="str">
        <f>IF('ASS START SYNC'!C499="SHOW",FIND(",",'ASS START SYNC'!E499,C495+1),"")</f>
        <v/>
      </c>
      <c r="E495" s="25" t="str">
        <f>IF('ASS START SYNC'!C499="SHOW",FIND(",,",'ASS START SYNC'!E499,1),"")</f>
        <v/>
      </c>
      <c r="F495" s="25" t="str">
        <f>IF('ASS START SYNC'!C499="SHOW",FIND(",,",'ASS START SYNC'!E499,E495+1),"")</f>
        <v/>
      </c>
      <c r="G495" s="23" t="str">
        <f>IF('ASS START SYNC'!C499="SHOW",LEFT('ASS START SYNC'!E499,B495),"")</f>
        <v/>
      </c>
      <c r="H495" s="24" t="str">
        <f>IF(AND('ASS START SYNC'!C499="SHOW",COUNTA('ASS START SYNC'!$E$8:'ASS START SYNC'!E498)=0),MID('ASS START SYNC'!E499,B495+1,C495-B495-1),IF(AND('ASS START SYNC'!C499="SHOW",COUNTA('ASS START SYNC'!$E$8:'ASS START SYNC'!E498)&lt;&gt;0),I494,""))</f>
        <v/>
      </c>
      <c r="I495" s="24" t="str">
        <f>IF('ASS START SYNC'!C499="SHOW",MID('ASS START SYNC'!E499,C495+1,D495-C495-1),I494)</f>
        <v/>
      </c>
      <c r="J495" s="23" t="str">
        <f>IF('ASS START SYNC'!C499="SHOW",MID('ASS START SYNC'!E499,D495+1,F495-D495+1),"")</f>
        <v/>
      </c>
      <c r="K495" s="23" t="str">
        <f>IF('ASS START SYNC'!C499="SHOW",MID('ASS START SYNC'!E499,F495+2,1000),"")</f>
        <v/>
      </c>
      <c r="M495" s="24"/>
      <c r="N495" s="26">
        <v>492</v>
      </c>
      <c r="O495" s="24" t="str">
        <f>IF('ASS END SYNC'!C499="SHOW",FIND(",",'ASS END SYNC'!E499,1),"")</f>
        <v/>
      </c>
      <c r="P495" s="24" t="str">
        <f>IF('ASS END SYNC'!C499="SHOW",FIND(",",'ASS END SYNC'!E499,O495+1),"")</f>
        <v/>
      </c>
      <c r="Q495" s="24" t="str">
        <f>IF('ASS END SYNC'!C499="SHOW",FIND(",",'ASS END SYNC'!E499,P495+1),"")</f>
        <v/>
      </c>
      <c r="R495" s="25" t="str">
        <f>IF('ASS END SYNC'!C499="SHOW",FIND(",,",'ASS END SYNC'!E499,1),"")</f>
        <v/>
      </c>
      <c r="S495" s="25" t="str">
        <f>IF('ASS END SYNC'!C499="SHOW",FIND(",,",'ASS END SYNC'!E499,R495+1),"")</f>
        <v/>
      </c>
      <c r="T495" s="23" t="str">
        <f>IF('ASS END SYNC'!C499="SHOW",LEFT('ASS END SYNC'!E499,O495),"")</f>
        <v/>
      </c>
      <c r="U495" s="24" t="str">
        <f>IF('ASS END SYNC'!C499="SHOW",MID('ASS END SYNC'!E499,O495+1,P495-O495-1),"")</f>
        <v/>
      </c>
      <c r="V495" s="24" t="str">
        <f>IF(AND('ASS END SYNC'!C499="SHOW",'ASS END SYNC'!C500="SHOW"),U496,IF(AND('ASS END SYNC'!C499="SHOW",'ASS END SYNC'!C500&lt;&gt;"SHOW"),MID('ASS END SYNC'!E499,O495+1,P495-O495-1),""))</f>
        <v/>
      </c>
      <c r="W495" s="23" t="str">
        <f>IF('ASS END SYNC'!C499="SHOW",MID('ASS END SYNC'!E499,Q495+1,S495-Q495+1),"")</f>
        <v/>
      </c>
      <c r="X495" s="23" t="str">
        <f>IF('ASS END SYNC'!C499="SHOW",MID('ASS END SYNC'!E499,S495+2,1000),"")</f>
        <v/>
      </c>
      <c r="Z495" s="24"/>
    </row>
    <row r="496" spans="1:26" x14ac:dyDescent="0.25">
      <c r="A496" s="26">
        <v>493</v>
      </c>
      <c r="B496" s="24" t="str">
        <f>IF('ASS START SYNC'!C500="SHOW",FIND(",",'ASS START SYNC'!E500,1),"")</f>
        <v/>
      </c>
      <c r="C496" s="24" t="str">
        <f>IF('ASS START SYNC'!C500="SHOW",FIND(",",'ASS START SYNC'!E500,B496+1),"")</f>
        <v/>
      </c>
      <c r="D496" s="24" t="str">
        <f>IF('ASS START SYNC'!C500="SHOW",FIND(",",'ASS START SYNC'!E500,C496+1),"")</f>
        <v/>
      </c>
      <c r="E496" s="25" t="str">
        <f>IF('ASS START SYNC'!C500="SHOW",FIND(",,",'ASS START SYNC'!E500,1),"")</f>
        <v/>
      </c>
      <c r="F496" s="25" t="str">
        <f>IF('ASS START SYNC'!C500="SHOW",FIND(",,",'ASS START SYNC'!E500,E496+1),"")</f>
        <v/>
      </c>
      <c r="G496" s="23" t="str">
        <f>IF('ASS START SYNC'!C500="SHOW",LEFT('ASS START SYNC'!E500,B496),"")</f>
        <v/>
      </c>
      <c r="H496" s="24" t="str">
        <f>IF(AND('ASS START SYNC'!C500="SHOW",COUNTA('ASS START SYNC'!$E$8:'ASS START SYNC'!E499)=0),MID('ASS START SYNC'!E500,B496+1,C496-B496-1),IF(AND('ASS START SYNC'!C500="SHOW",COUNTA('ASS START SYNC'!$E$8:'ASS START SYNC'!E499)&lt;&gt;0),I495,""))</f>
        <v/>
      </c>
      <c r="I496" s="24" t="str">
        <f>IF('ASS START SYNC'!C500="SHOW",MID('ASS START SYNC'!E500,C496+1,D496-C496-1),I495)</f>
        <v/>
      </c>
      <c r="J496" s="23" t="str">
        <f>IF('ASS START SYNC'!C500="SHOW",MID('ASS START SYNC'!E500,D496+1,F496-D496+1),"")</f>
        <v/>
      </c>
      <c r="K496" s="23" t="str">
        <f>IF('ASS START SYNC'!C500="SHOW",MID('ASS START SYNC'!E500,F496+2,1000),"")</f>
        <v/>
      </c>
      <c r="M496" s="24"/>
      <c r="N496" s="26">
        <v>493</v>
      </c>
      <c r="O496" s="24" t="str">
        <f>IF('ASS END SYNC'!C500="SHOW",FIND(",",'ASS END SYNC'!E500,1),"")</f>
        <v/>
      </c>
      <c r="P496" s="24" t="str">
        <f>IF('ASS END SYNC'!C500="SHOW",FIND(",",'ASS END SYNC'!E500,O496+1),"")</f>
        <v/>
      </c>
      <c r="Q496" s="24" t="str">
        <f>IF('ASS END SYNC'!C500="SHOW",FIND(",",'ASS END SYNC'!E500,P496+1),"")</f>
        <v/>
      </c>
      <c r="R496" s="25" t="str">
        <f>IF('ASS END SYNC'!C500="SHOW",FIND(",,",'ASS END SYNC'!E500,1),"")</f>
        <v/>
      </c>
      <c r="S496" s="25" t="str">
        <f>IF('ASS END SYNC'!C500="SHOW",FIND(",,",'ASS END SYNC'!E500,R496+1),"")</f>
        <v/>
      </c>
      <c r="T496" s="23" t="str">
        <f>IF('ASS END SYNC'!C500="SHOW",LEFT('ASS END SYNC'!E500,O496),"")</f>
        <v/>
      </c>
      <c r="U496" s="24" t="str">
        <f>IF('ASS END SYNC'!C500="SHOW",MID('ASS END SYNC'!E500,O496+1,P496-O496-1),"")</f>
        <v/>
      </c>
      <c r="V496" s="24" t="str">
        <f>IF(AND('ASS END SYNC'!C500="SHOW",'ASS END SYNC'!C501="SHOW"),U497,IF(AND('ASS END SYNC'!C500="SHOW",'ASS END SYNC'!C501&lt;&gt;"SHOW"),MID('ASS END SYNC'!E500,O496+1,P496-O496-1),""))</f>
        <v/>
      </c>
      <c r="W496" s="23" t="str">
        <f>IF('ASS END SYNC'!C500="SHOW",MID('ASS END SYNC'!E500,Q496+1,S496-Q496+1),"")</f>
        <v/>
      </c>
      <c r="X496" s="23" t="str">
        <f>IF('ASS END SYNC'!C500="SHOW",MID('ASS END SYNC'!E500,S496+2,1000),"")</f>
        <v/>
      </c>
      <c r="Z496" s="24"/>
    </row>
    <row r="497" spans="1:26" x14ac:dyDescent="0.25">
      <c r="A497" s="26">
        <v>494</v>
      </c>
      <c r="B497" s="24" t="str">
        <f>IF('ASS START SYNC'!C501="SHOW",FIND(",",'ASS START SYNC'!E501,1),"")</f>
        <v/>
      </c>
      <c r="C497" s="24" t="str">
        <f>IF('ASS START SYNC'!C501="SHOW",FIND(",",'ASS START SYNC'!E501,B497+1),"")</f>
        <v/>
      </c>
      <c r="D497" s="24" t="str">
        <f>IF('ASS START SYNC'!C501="SHOW",FIND(",",'ASS START SYNC'!E501,C497+1),"")</f>
        <v/>
      </c>
      <c r="E497" s="25" t="str">
        <f>IF('ASS START SYNC'!C501="SHOW",FIND(",,",'ASS START SYNC'!E501,1),"")</f>
        <v/>
      </c>
      <c r="F497" s="25" t="str">
        <f>IF('ASS START SYNC'!C501="SHOW",FIND(",,",'ASS START SYNC'!E501,E497+1),"")</f>
        <v/>
      </c>
      <c r="G497" s="23" t="str">
        <f>IF('ASS START SYNC'!C501="SHOW",LEFT('ASS START SYNC'!E501,B497),"")</f>
        <v/>
      </c>
      <c r="H497" s="24" t="str">
        <f>IF(AND('ASS START SYNC'!C501="SHOW",COUNTA('ASS START SYNC'!$E$8:'ASS START SYNC'!E500)=0),MID('ASS START SYNC'!E501,B497+1,C497-B497-1),IF(AND('ASS START SYNC'!C501="SHOW",COUNTA('ASS START SYNC'!$E$8:'ASS START SYNC'!E500)&lt;&gt;0),I496,""))</f>
        <v/>
      </c>
      <c r="I497" s="24" t="str">
        <f>IF('ASS START SYNC'!C501="SHOW",MID('ASS START SYNC'!E501,C497+1,D497-C497-1),I496)</f>
        <v/>
      </c>
      <c r="J497" s="23" t="str">
        <f>IF('ASS START SYNC'!C501="SHOW",MID('ASS START SYNC'!E501,D497+1,F497-D497+1),"")</f>
        <v/>
      </c>
      <c r="K497" s="23" t="str">
        <f>IF('ASS START SYNC'!C501="SHOW",MID('ASS START SYNC'!E501,F497+2,1000),"")</f>
        <v/>
      </c>
      <c r="M497" s="24"/>
      <c r="N497" s="26">
        <v>494</v>
      </c>
      <c r="O497" s="24" t="str">
        <f>IF('ASS END SYNC'!C501="SHOW",FIND(",",'ASS END SYNC'!E501,1),"")</f>
        <v/>
      </c>
      <c r="P497" s="24" t="str">
        <f>IF('ASS END SYNC'!C501="SHOW",FIND(",",'ASS END SYNC'!E501,O497+1),"")</f>
        <v/>
      </c>
      <c r="Q497" s="24" t="str">
        <f>IF('ASS END SYNC'!C501="SHOW",FIND(",",'ASS END SYNC'!E501,P497+1),"")</f>
        <v/>
      </c>
      <c r="R497" s="25" t="str">
        <f>IF('ASS END SYNC'!C501="SHOW",FIND(",,",'ASS END SYNC'!E501,1),"")</f>
        <v/>
      </c>
      <c r="S497" s="25" t="str">
        <f>IF('ASS END SYNC'!C501="SHOW",FIND(",,",'ASS END SYNC'!E501,R497+1),"")</f>
        <v/>
      </c>
      <c r="T497" s="23" t="str">
        <f>IF('ASS END SYNC'!C501="SHOW",LEFT('ASS END SYNC'!E501,O497),"")</f>
        <v/>
      </c>
      <c r="U497" s="24" t="str">
        <f>IF('ASS END SYNC'!C501="SHOW",MID('ASS END SYNC'!E501,O497+1,P497-O497-1),"")</f>
        <v/>
      </c>
      <c r="V497" s="24" t="str">
        <f>IF(AND('ASS END SYNC'!C501="SHOW",'ASS END SYNC'!C502="SHOW"),U498,IF(AND('ASS END SYNC'!C501="SHOW",'ASS END SYNC'!C502&lt;&gt;"SHOW"),MID('ASS END SYNC'!E501,O497+1,P497-O497-1),""))</f>
        <v/>
      </c>
      <c r="W497" s="23" t="str">
        <f>IF('ASS END SYNC'!C501="SHOW",MID('ASS END SYNC'!E501,Q497+1,S497-Q497+1),"")</f>
        <v/>
      </c>
      <c r="X497" s="23" t="str">
        <f>IF('ASS END SYNC'!C501="SHOW",MID('ASS END SYNC'!E501,S497+2,1000),"")</f>
        <v/>
      </c>
      <c r="Z497" s="24"/>
    </row>
    <row r="498" spans="1:26" x14ac:dyDescent="0.25">
      <c r="A498" s="26">
        <v>495</v>
      </c>
      <c r="B498" s="24" t="str">
        <f>IF('ASS START SYNC'!C502="SHOW",FIND(",",'ASS START SYNC'!E502,1),"")</f>
        <v/>
      </c>
      <c r="C498" s="24" t="str">
        <f>IF('ASS START SYNC'!C502="SHOW",FIND(",",'ASS START SYNC'!E502,B498+1),"")</f>
        <v/>
      </c>
      <c r="D498" s="24" t="str">
        <f>IF('ASS START SYNC'!C502="SHOW",FIND(",",'ASS START SYNC'!E502,C498+1),"")</f>
        <v/>
      </c>
      <c r="E498" s="25" t="str">
        <f>IF('ASS START SYNC'!C502="SHOW",FIND(",,",'ASS START SYNC'!E502,1),"")</f>
        <v/>
      </c>
      <c r="F498" s="25" t="str">
        <f>IF('ASS START SYNC'!C502="SHOW",FIND(",,",'ASS START SYNC'!E502,E498+1),"")</f>
        <v/>
      </c>
      <c r="G498" s="23" t="str">
        <f>IF('ASS START SYNC'!C502="SHOW",LEFT('ASS START SYNC'!E502,B498),"")</f>
        <v/>
      </c>
      <c r="H498" s="24" t="str">
        <f>IF(AND('ASS START SYNC'!C502="SHOW",COUNTA('ASS START SYNC'!$E$8:'ASS START SYNC'!E501)=0),MID('ASS START SYNC'!E502,B498+1,C498-B498-1),IF(AND('ASS START SYNC'!C502="SHOW",COUNTA('ASS START SYNC'!$E$8:'ASS START SYNC'!E501)&lt;&gt;0),I497,""))</f>
        <v/>
      </c>
      <c r="I498" s="24" t="str">
        <f>IF('ASS START SYNC'!C502="SHOW",MID('ASS START SYNC'!E502,C498+1,D498-C498-1),I497)</f>
        <v/>
      </c>
      <c r="J498" s="23" t="str">
        <f>IF('ASS START SYNC'!C502="SHOW",MID('ASS START SYNC'!E502,D498+1,F498-D498+1),"")</f>
        <v/>
      </c>
      <c r="K498" s="23" t="str">
        <f>IF('ASS START SYNC'!C502="SHOW",MID('ASS START SYNC'!E502,F498+2,1000),"")</f>
        <v/>
      </c>
      <c r="M498" s="24"/>
      <c r="N498" s="26">
        <v>495</v>
      </c>
      <c r="O498" s="24" t="str">
        <f>IF('ASS END SYNC'!C502="SHOW",FIND(",",'ASS END SYNC'!E502,1),"")</f>
        <v/>
      </c>
      <c r="P498" s="24" t="str">
        <f>IF('ASS END SYNC'!C502="SHOW",FIND(",",'ASS END SYNC'!E502,O498+1),"")</f>
        <v/>
      </c>
      <c r="Q498" s="24" t="str">
        <f>IF('ASS END SYNC'!C502="SHOW",FIND(",",'ASS END SYNC'!E502,P498+1),"")</f>
        <v/>
      </c>
      <c r="R498" s="25" t="str">
        <f>IF('ASS END SYNC'!C502="SHOW",FIND(",,",'ASS END SYNC'!E502,1),"")</f>
        <v/>
      </c>
      <c r="S498" s="25" t="str">
        <f>IF('ASS END SYNC'!C502="SHOW",FIND(",,",'ASS END SYNC'!E502,R498+1),"")</f>
        <v/>
      </c>
      <c r="T498" s="23" t="str">
        <f>IF('ASS END SYNC'!C502="SHOW",LEFT('ASS END SYNC'!E502,O498),"")</f>
        <v/>
      </c>
      <c r="U498" s="24" t="str">
        <f>IF('ASS END SYNC'!C502="SHOW",MID('ASS END SYNC'!E502,O498+1,P498-O498-1),"")</f>
        <v/>
      </c>
      <c r="V498" s="24" t="str">
        <f>IF(AND('ASS END SYNC'!C502="SHOW",'ASS END SYNC'!C503="SHOW"),U499,IF(AND('ASS END SYNC'!C502="SHOW",'ASS END SYNC'!C503&lt;&gt;"SHOW"),MID('ASS END SYNC'!E502,O498+1,P498-O498-1),""))</f>
        <v/>
      </c>
      <c r="W498" s="23" t="str">
        <f>IF('ASS END SYNC'!C502="SHOW",MID('ASS END SYNC'!E502,Q498+1,S498-Q498+1),"")</f>
        <v/>
      </c>
      <c r="X498" s="23" t="str">
        <f>IF('ASS END SYNC'!C502="SHOW",MID('ASS END SYNC'!E502,S498+2,1000),"")</f>
        <v/>
      </c>
      <c r="Z498" s="24"/>
    </row>
    <row r="499" spans="1:26" x14ac:dyDescent="0.25">
      <c r="A499" s="26">
        <v>496</v>
      </c>
      <c r="B499" s="24" t="str">
        <f>IF('ASS START SYNC'!C503="SHOW",FIND(",",'ASS START SYNC'!E503,1),"")</f>
        <v/>
      </c>
      <c r="C499" s="24" t="str">
        <f>IF('ASS START SYNC'!C503="SHOW",FIND(",",'ASS START SYNC'!E503,B499+1),"")</f>
        <v/>
      </c>
      <c r="D499" s="24" t="str">
        <f>IF('ASS START SYNC'!C503="SHOW",FIND(",",'ASS START SYNC'!E503,C499+1),"")</f>
        <v/>
      </c>
      <c r="E499" s="25" t="str">
        <f>IF('ASS START SYNC'!C503="SHOW",FIND(",,",'ASS START SYNC'!E503,1),"")</f>
        <v/>
      </c>
      <c r="F499" s="25" t="str">
        <f>IF('ASS START SYNC'!C503="SHOW",FIND(",,",'ASS START SYNC'!E503,E499+1),"")</f>
        <v/>
      </c>
      <c r="G499" s="23" t="str">
        <f>IF('ASS START SYNC'!C503="SHOW",LEFT('ASS START SYNC'!E503,B499),"")</f>
        <v/>
      </c>
      <c r="H499" s="24" t="str">
        <f>IF(AND('ASS START SYNC'!C503="SHOW",COUNTA('ASS START SYNC'!$E$8:'ASS START SYNC'!E502)=0),MID('ASS START SYNC'!E503,B499+1,C499-B499-1),IF(AND('ASS START SYNC'!C503="SHOW",COUNTA('ASS START SYNC'!$E$8:'ASS START SYNC'!E502)&lt;&gt;0),I498,""))</f>
        <v/>
      </c>
      <c r="I499" s="24" t="str">
        <f>IF('ASS START SYNC'!C503="SHOW",MID('ASS START SYNC'!E503,C499+1,D499-C499-1),I498)</f>
        <v/>
      </c>
      <c r="J499" s="23" t="str">
        <f>IF('ASS START SYNC'!C503="SHOW",MID('ASS START SYNC'!E503,D499+1,F499-D499+1),"")</f>
        <v/>
      </c>
      <c r="K499" s="23" t="str">
        <f>IF('ASS START SYNC'!C503="SHOW",MID('ASS START SYNC'!E503,F499+2,1000),"")</f>
        <v/>
      </c>
      <c r="M499" s="24"/>
      <c r="N499" s="26">
        <v>496</v>
      </c>
      <c r="O499" s="24" t="str">
        <f>IF('ASS END SYNC'!C503="SHOW",FIND(",",'ASS END SYNC'!E503,1),"")</f>
        <v/>
      </c>
      <c r="P499" s="24" t="str">
        <f>IF('ASS END SYNC'!C503="SHOW",FIND(",",'ASS END SYNC'!E503,O499+1),"")</f>
        <v/>
      </c>
      <c r="Q499" s="24" t="str">
        <f>IF('ASS END SYNC'!C503="SHOW",FIND(",",'ASS END SYNC'!E503,P499+1),"")</f>
        <v/>
      </c>
      <c r="R499" s="25" t="str">
        <f>IF('ASS END SYNC'!C503="SHOW",FIND(",,",'ASS END SYNC'!E503,1),"")</f>
        <v/>
      </c>
      <c r="S499" s="25" t="str">
        <f>IF('ASS END SYNC'!C503="SHOW",FIND(",,",'ASS END SYNC'!E503,R499+1),"")</f>
        <v/>
      </c>
      <c r="T499" s="23" t="str">
        <f>IF('ASS END SYNC'!C503="SHOW",LEFT('ASS END SYNC'!E503,O499),"")</f>
        <v/>
      </c>
      <c r="U499" s="24" t="str">
        <f>IF('ASS END SYNC'!C503="SHOW",MID('ASS END SYNC'!E503,O499+1,P499-O499-1),"")</f>
        <v/>
      </c>
      <c r="V499" s="24" t="str">
        <f>IF(AND('ASS END SYNC'!C503="SHOW",'ASS END SYNC'!C504="SHOW"),U500,IF(AND('ASS END SYNC'!C503="SHOW",'ASS END SYNC'!C504&lt;&gt;"SHOW"),MID('ASS END SYNC'!E503,O499+1,P499-O499-1),""))</f>
        <v/>
      </c>
      <c r="W499" s="23" t="str">
        <f>IF('ASS END SYNC'!C503="SHOW",MID('ASS END SYNC'!E503,Q499+1,S499-Q499+1),"")</f>
        <v/>
      </c>
      <c r="X499" s="23" t="str">
        <f>IF('ASS END SYNC'!C503="SHOW",MID('ASS END SYNC'!E503,S499+2,1000),"")</f>
        <v/>
      </c>
      <c r="Z499" s="24"/>
    </row>
    <row r="500" spans="1:26" x14ac:dyDescent="0.25">
      <c r="A500" s="26">
        <v>497</v>
      </c>
      <c r="B500" s="24" t="str">
        <f>IF('ASS START SYNC'!C504="SHOW",FIND(",",'ASS START SYNC'!E504,1),"")</f>
        <v/>
      </c>
      <c r="C500" s="24" t="str">
        <f>IF('ASS START SYNC'!C504="SHOW",FIND(",",'ASS START SYNC'!E504,B500+1),"")</f>
        <v/>
      </c>
      <c r="D500" s="24" t="str">
        <f>IF('ASS START SYNC'!C504="SHOW",FIND(",",'ASS START SYNC'!E504,C500+1),"")</f>
        <v/>
      </c>
      <c r="E500" s="25" t="str">
        <f>IF('ASS START SYNC'!C504="SHOW",FIND(",,",'ASS START SYNC'!E504,1),"")</f>
        <v/>
      </c>
      <c r="F500" s="25" t="str">
        <f>IF('ASS START SYNC'!C504="SHOW",FIND(",,",'ASS START SYNC'!E504,E500+1),"")</f>
        <v/>
      </c>
      <c r="G500" s="23" t="str">
        <f>IF('ASS START SYNC'!C504="SHOW",LEFT('ASS START SYNC'!E504,B500),"")</f>
        <v/>
      </c>
      <c r="H500" s="24" t="str">
        <f>IF(AND('ASS START SYNC'!C504="SHOW",COUNTA('ASS START SYNC'!$E$8:'ASS START SYNC'!E503)=0),MID('ASS START SYNC'!E504,B500+1,C500-B500-1),IF(AND('ASS START SYNC'!C504="SHOW",COUNTA('ASS START SYNC'!$E$8:'ASS START SYNC'!E503)&lt;&gt;0),I499,""))</f>
        <v/>
      </c>
      <c r="I500" s="24" t="str">
        <f>IF('ASS START SYNC'!C504="SHOW",MID('ASS START SYNC'!E504,C500+1,D500-C500-1),I499)</f>
        <v/>
      </c>
      <c r="J500" s="23" t="str">
        <f>IF('ASS START SYNC'!C504="SHOW",MID('ASS START SYNC'!E504,D500+1,F500-D500+1),"")</f>
        <v/>
      </c>
      <c r="K500" s="23" t="str">
        <f>IF('ASS START SYNC'!C504="SHOW",MID('ASS START SYNC'!E504,F500+2,1000),"")</f>
        <v/>
      </c>
      <c r="M500" s="24"/>
      <c r="N500" s="26">
        <v>497</v>
      </c>
      <c r="O500" s="24" t="str">
        <f>IF('ASS END SYNC'!C504="SHOW",FIND(",",'ASS END SYNC'!E504,1),"")</f>
        <v/>
      </c>
      <c r="P500" s="24" t="str">
        <f>IF('ASS END SYNC'!C504="SHOW",FIND(",",'ASS END SYNC'!E504,O500+1),"")</f>
        <v/>
      </c>
      <c r="Q500" s="24" t="str">
        <f>IF('ASS END SYNC'!C504="SHOW",FIND(",",'ASS END SYNC'!E504,P500+1),"")</f>
        <v/>
      </c>
      <c r="R500" s="25" t="str">
        <f>IF('ASS END SYNC'!C504="SHOW",FIND(",,",'ASS END SYNC'!E504,1),"")</f>
        <v/>
      </c>
      <c r="S500" s="25" t="str">
        <f>IF('ASS END SYNC'!C504="SHOW",FIND(",,",'ASS END SYNC'!E504,R500+1),"")</f>
        <v/>
      </c>
      <c r="T500" s="23" t="str">
        <f>IF('ASS END SYNC'!C504="SHOW",LEFT('ASS END SYNC'!E504,O500),"")</f>
        <v/>
      </c>
      <c r="U500" s="24" t="str">
        <f>IF('ASS END SYNC'!C504="SHOW",MID('ASS END SYNC'!E504,O500+1,P500-O500-1),"")</f>
        <v/>
      </c>
      <c r="V500" s="24" t="str">
        <f>IF(AND('ASS END SYNC'!C504="SHOW",'ASS END SYNC'!C505="SHOW"),U501,IF(AND('ASS END SYNC'!C504="SHOW",'ASS END SYNC'!C505&lt;&gt;"SHOW"),MID('ASS END SYNC'!E504,O500+1,P500-O500-1),""))</f>
        <v/>
      </c>
      <c r="W500" s="23" t="str">
        <f>IF('ASS END SYNC'!C504="SHOW",MID('ASS END SYNC'!E504,Q500+1,S500-Q500+1),"")</f>
        <v/>
      </c>
      <c r="X500" s="23" t="str">
        <f>IF('ASS END SYNC'!C504="SHOW",MID('ASS END SYNC'!E504,S500+2,1000),"")</f>
        <v/>
      </c>
      <c r="Z500" s="24"/>
    </row>
    <row r="501" spans="1:26" x14ac:dyDescent="0.25">
      <c r="A501" s="26">
        <v>498</v>
      </c>
      <c r="B501" s="24" t="str">
        <f>IF('ASS START SYNC'!C505="SHOW",FIND(",",'ASS START SYNC'!E505,1),"")</f>
        <v/>
      </c>
      <c r="C501" s="24" t="str">
        <f>IF('ASS START SYNC'!C505="SHOW",FIND(",",'ASS START SYNC'!E505,B501+1),"")</f>
        <v/>
      </c>
      <c r="D501" s="24" t="str">
        <f>IF('ASS START SYNC'!C505="SHOW",FIND(",",'ASS START SYNC'!E505,C501+1),"")</f>
        <v/>
      </c>
      <c r="E501" s="25" t="str">
        <f>IF('ASS START SYNC'!C505="SHOW",FIND(",,",'ASS START SYNC'!E505,1),"")</f>
        <v/>
      </c>
      <c r="F501" s="25" t="str">
        <f>IF('ASS START SYNC'!C505="SHOW",FIND(",,",'ASS START SYNC'!E505,E501+1),"")</f>
        <v/>
      </c>
      <c r="G501" s="23" t="str">
        <f>IF('ASS START SYNC'!C505="SHOW",LEFT('ASS START SYNC'!E505,B501),"")</f>
        <v/>
      </c>
      <c r="H501" s="24" t="str">
        <f>IF(AND('ASS START SYNC'!C505="SHOW",COUNTA('ASS START SYNC'!$E$8:'ASS START SYNC'!E504)=0),MID('ASS START SYNC'!E505,B501+1,C501-B501-1),IF(AND('ASS START SYNC'!C505="SHOW",COUNTA('ASS START SYNC'!$E$8:'ASS START SYNC'!E504)&lt;&gt;0),I500,""))</f>
        <v/>
      </c>
      <c r="I501" s="24" t="str">
        <f>IF('ASS START SYNC'!C505="SHOW",MID('ASS START SYNC'!E505,C501+1,D501-C501-1),I500)</f>
        <v/>
      </c>
      <c r="J501" s="23" t="str">
        <f>IF('ASS START SYNC'!C505="SHOW",MID('ASS START SYNC'!E505,D501+1,F501-D501+1),"")</f>
        <v/>
      </c>
      <c r="K501" s="23" t="str">
        <f>IF('ASS START SYNC'!C505="SHOW",MID('ASS START SYNC'!E505,F501+2,1000),"")</f>
        <v/>
      </c>
      <c r="M501" s="24"/>
      <c r="N501" s="26">
        <v>498</v>
      </c>
      <c r="O501" s="24" t="str">
        <f>IF('ASS END SYNC'!C505="SHOW",FIND(",",'ASS END SYNC'!E505,1),"")</f>
        <v/>
      </c>
      <c r="P501" s="24" t="str">
        <f>IF('ASS END SYNC'!C505="SHOW",FIND(",",'ASS END SYNC'!E505,O501+1),"")</f>
        <v/>
      </c>
      <c r="Q501" s="24" t="str">
        <f>IF('ASS END SYNC'!C505="SHOW",FIND(",",'ASS END SYNC'!E505,P501+1),"")</f>
        <v/>
      </c>
      <c r="R501" s="25" t="str">
        <f>IF('ASS END SYNC'!C505="SHOW",FIND(",,",'ASS END SYNC'!E505,1),"")</f>
        <v/>
      </c>
      <c r="S501" s="25" t="str">
        <f>IF('ASS END SYNC'!C505="SHOW",FIND(",,",'ASS END SYNC'!E505,R501+1),"")</f>
        <v/>
      </c>
      <c r="T501" s="23" t="str">
        <f>IF('ASS END SYNC'!C505="SHOW",LEFT('ASS END SYNC'!E505,O501),"")</f>
        <v/>
      </c>
      <c r="U501" s="24" t="str">
        <f>IF('ASS END SYNC'!C505="SHOW",MID('ASS END SYNC'!E505,O501+1,P501-O501-1),"")</f>
        <v/>
      </c>
      <c r="V501" s="24" t="str">
        <f>IF(AND('ASS END SYNC'!C505="SHOW",'ASS END SYNC'!C506="SHOW"),U502,IF(AND('ASS END SYNC'!C505="SHOW",'ASS END SYNC'!C506&lt;&gt;"SHOW"),MID('ASS END SYNC'!E505,O501+1,P501-O501-1),""))</f>
        <v/>
      </c>
      <c r="W501" s="23" t="str">
        <f>IF('ASS END SYNC'!C505="SHOW",MID('ASS END SYNC'!E505,Q501+1,S501-Q501+1),"")</f>
        <v/>
      </c>
      <c r="X501" s="23" t="str">
        <f>IF('ASS END SYNC'!C505="SHOW",MID('ASS END SYNC'!E505,S501+2,1000),"")</f>
        <v/>
      </c>
      <c r="Z501" s="24"/>
    </row>
    <row r="502" spans="1:26" x14ac:dyDescent="0.25">
      <c r="A502" s="26">
        <v>499</v>
      </c>
      <c r="B502" s="24" t="str">
        <f>IF('ASS START SYNC'!C506="SHOW",FIND(",",'ASS START SYNC'!E506,1),"")</f>
        <v/>
      </c>
      <c r="C502" s="24" t="str">
        <f>IF('ASS START SYNC'!C506="SHOW",FIND(",",'ASS START SYNC'!E506,B502+1),"")</f>
        <v/>
      </c>
      <c r="D502" s="24" t="str">
        <f>IF('ASS START SYNC'!C506="SHOW",FIND(",",'ASS START SYNC'!E506,C502+1),"")</f>
        <v/>
      </c>
      <c r="E502" s="25" t="str">
        <f>IF('ASS START SYNC'!C506="SHOW",FIND(",,",'ASS START SYNC'!E506,1),"")</f>
        <v/>
      </c>
      <c r="F502" s="25" t="str">
        <f>IF('ASS START SYNC'!C506="SHOW",FIND(",,",'ASS START SYNC'!E506,E502+1),"")</f>
        <v/>
      </c>
      <c r="G502" s="23" t="str">
        <f>IF('ASS START SYNC'!C506="SHOW",LEFT('ASS START SYNC'!E506,B502),"")</f>
        <v/>
      </c>
      <c r="H502" s="24" t="str">
        <f>IF(AND('ASS START SYNC'!C506="SHOW",COUNTA('ASS START SYNC'!$E$8:'ASS START SYNC'!E505)=0),MID('ASS START SYNC'!E506,B502+1,C502-B502-1),IF(AND('ASS START SYNC'!C506="SHOW",COUNTA('ASS START SYNC'!$E$8:'ASS START SYNC'!E505)&lt;&gt;0),I501,""))</f>
        <v/>
      </c>
      <c r="I502" s="24" t="str">
        <f>IF('ASS START SYNC'!C506="SHOW",MID('ASS START SYNC'!E506,C502+1,D502-C502-1),I501)</f>
        <v/>
      </c>
      <c r="J502" s="23" t="str">
        <f>IF('ASS START SYNC'!C506="SHOW",MID('ASS START SYNC'!E506,D502+1,F502-D502+1),"")</f>
        <v/>
      </c>
      <c r="K502" s="23" t="str">
        <f>IF('ASS START SYNC'!C506="SHOW",MID('ASS START SYNC'!E506,F502+2,1000),"")</f>
        <v/>
      </c>
      <c r="M502" s="24"/>
      <c r="N502" s="26">
        <v>499</v>
      </c>
      <c r="O502" s="24" t="str">
        <f>IF('ASS END SYNC'!C506="SHOW",FIND(",",'ASS END SYNC'!E506,1),"")</f>
        <v/>
      </c>
      <c r="P502" s="24" t="str">
        <f>IF('ASS END SYNC'!C506="SHOW",FIND(",",'ASS END SYNC'!E506,O502+1),"")</f>
        <v/>
      </c>
      <c r="Q502" s="24" t="str">
        <f>IF('ASS END SYNC'!C506="SHOW",FIND(",",'ASS END SYNC'!E506,P502+1),"")</f>
        <v/>
      </c>
      <c r="R502" s="25" t="str">
        <f>IF('ASS END SYNC'!C506="SHOW",FIND(",,",'ASS END SYNC'!E506,1),"")</f>
        <v/>
      </c>
      <c r="S502" s="25" t="str">
        <f>IF('ASS END SYNC'!C506="SHOW",FIND(",,",'ASS END SYNC'!E506,R502+1),"")</f>
        <v/>
      </c>
      <c r="T502" s="23" t="str">
        <f>IF('ASS END SYNC'!C506="SHOW",LEFT('ASS END SYNC'!E506,O502),"")</f>
        <v/>
      </c>
      <c r="U502" s="24" t="str">
        <f>IF('ASS END SYNC'!C506="SHOW",MID('ASS END SYNC'!E506,O502+1,P502-O502-1),"")</f>
        <v/>
      </c>
      <c r="V502" s="24" t="str">
        <f>IF(AND('ASS END SYNC'!C506="SHOW",'ASS END SYNC'!C507="SHOW"),U503,IF(AND('ASS END SYNC'!C506="SHOW",'ASS END SYNC'!C507&lt;&gt;"SHOW"),MID('ASS END SYNC'!E506,O502+1,P502-O502-1),""))</f>
        <v/>
      </c>
      <c r="W502" s="23" t="str">
        <f>IF('ASS END SYNC'!C506="SHOW",MID('ASS END SYNC'!E506,Q502+1,S502-Q502+1),"")</f>
        <v/>
      </c>
      <c r="X502" s="23" t="str">
        <f>IF('ASS END SYNC'!C506="SHOW",MID('ASS END SYNC'!E506,S502+2,1000),"")</f>
        <v/>
      </c>
      <c r="Z502" s="24"/>
    </row>
    <row r="503" spans="1:26" x14ac:dyDescent="0.25">
      <c r="A503" s="26">
        <v>500</v>
      </c>
      <c r="B503" s="24" t="str">
        <f>IF('ASS START SYNC'!C507="SHOW",FIND(",",'ASS START SYNC'!E507,1),"")</f>
        <v/>
      </c>
      <c r="C503" s="24" t="str">
        <f>IF('ASS START SYNC'!C507="SHOW",FIND(",",'ASS START SYNC'!E507,B503+1),"")</f>
        <v/>
      </c>
      <c r="D503" s="24" t="str">
        <f>IF('ASS START SYNC'!C507="SHOW",FIND(",",'ASS START SYNC'!E507,C503+1),"")</f>
        <v/>
      </c>
      <c r="E503" s="25" t="str">
        <f>IF('ASS START SYNC'!C507="SHOW",FIND(",,",'ASS START SYNC'!E507,1),"")</f>
        <v/>
      </c>
      <c r="F503" s="25" t="str">
        <f>IF('ASS START SYNC'!C507="SHOW",FIND(",,",'ASS START SYNC'!E507,E503+1),"")</f>
        <v/>
      </c>
      <c r="G503" s="23" t="str">
        <f>IF('ASS START SYNC'!C507="SHOW",LEFT('ASS START SYNC'!E507,B503),"")</f>
        <v/>
      </c>
      <c r="H503" s="24" t="str">
        <f>IF(AND('ASS START SYNC'!C507="SHOW",COUNTA('ASS START SYNC'!$E$8:'ASS START SYNC'!E506)=0),MID('ASS START SYNC'!E507,B503+1,C503-B503-1),IF(AND('ASS START SYNC'!C507="SHOW",COUNTA('ASS START SYNC'!$E$8:'ASS START SYNC'!E506)&lt;&gt;0),I502,""))</f>
        <v/>
      </c>
      <c r="I503" s="24" t="str">
        <f>IF('ASS START SYNC'!C507="SHOW",MID('ASS START SYNC'!E507,C503+1,D503-C503-1),I502)</f>
        <v/>
      </c>
      <c r="J503" s="23" t="str">
        <f>IF('ASS START SYNC'!C507="SHOW",MID('ASS START SYNC'!E507,D503+1,F503-D503+1),"")</f>
        <v/>
      </c>
      <c r="K503" s="23" t="str">
        <f>IF('ASS START SYNC'!C507="SHOW",MID('ASS START SYNC'!E507,F503+2,1000),"")</f>
        <v/>
      </c>
      <c r="M503" s="24"/>
      <c r="N503" s="26">
        <v>500</v>
      </c>
      <c r="O503" s="24" t="str">
        <f>IF('ASS END SYNC'!C507="SHOW",FIND(",",'ASS END SYNC'!E507,1),"")</f>
        <v/>
      </c>
      <c r="P503" s="24" t="str">
        <f>IF('ASS END SYNC'!C507="SHOW",FIND(",",'ASS END SYNC'!E507,O503+1),"")</f>
        <v/>
      </c>
      <c r="Q503" s="24" t="str">
        <f>IF('ASS END SYNC'!C507="SHOW",FIND(",",'ASS END SYNC'!E507,P503+1),"")</f>
        <v/>
      </c>
      <c r="R503" s="25" t="str">
        <f>IF('ASS END SYNC'!C507="SHOW",FIND(",,",'ASS END SYNC'!E507,1),"")</f>
        <v/>
      </c>
      <c r="S503" s="25" t="str">
        <f>IF('ASS END SYNC'!C507="SHOW",FIND(",,",'ASS END SYNC'!E507,R503+1),"")</f>
        <v/>
      </c>
      <c r="T503" s="23" t="str">
        <f>IF('ASS END SYNC'!C507="SHOW",LEFT('ASS END SYNC'!E507,O503),"")</f>
        <v/>
      </c>
      <c r="U503" s="24" t="str">
        <f>IF('ASS END SYNC'!C507="SHOW",MID('ASS END SYNC'!E507,O503+1,P503-O503-1),"")</f>
        <v/>
      </c>
      <c r="V503" s="24" t="str">
        <f>IF(AND('ASS END SYNC'!C507="SHOW",'ASS END SYNC'!C508="SHOW"),U504,IF(AND('ASS END SYNC'!C507="SHOW",'ASS END SYNC'!C508&lt;&gt;"SHOW"),MID('ASS END SYNC'!E507,O503+1,P503-O503-1),""))</f>
        <v/>
      </c>
      <c r="W503" s="23" t="str">
        <f>IF('ASS END SYNC'!C507="SHOW",MID('ASS END SYNC'!E507,Q503+1,S503-Q503+1),"")</f>
        <v/>
      </c>
      <c r="X503" s="23" t="str">
        <f>IF('ASS END SYNC'!C507="SHOW",MID('ASS END SYNC'!E507,S503+2,1000),"")</f>
        <v/>
      </c>
      <c r="Z503" s="24"/>
    </row>
    <row r="504" spans="1:26" x14ac:dyDescent="0.25">
      <c r="A504" s="26">
        <v>501</v>
      </c>
      <c r="B504" s="24" t="str">
        <f>IF('ASS START SYNC'!C508="SHOW",FIND(",",'ASS START SYNC'!E508,1),"")</f>
        <v/>
      </c>
      <c r="C504" s="24" t="str">
        <f>IF('ASS START SYNC'!C508="SHOW",FIND(",",'ASS START SYNC'!E508,B504+1),"")</f>
        <v/>
      </c>
      <c r="D504" s="24" t="str">
        <f>IF('ASS START SYNC'!C508="SHOW",FIND(",",'ASS START SYNC'!E508,C504+1),"")</f>
        <v/>
      </c>
      <c r="E504" s="25" t="str">
        <f>IF('ASS START SYNC'!C508="SHOW",FIND(",,",'ASS START SYNC'!E508,1),"")</f>
        <v/>
      </c>
      <c r="F504" s="25" t="str">
        <f>IF('ASS START SYNC'!C508="SHOW",FIND(",,",'ASS START SYNC'!E508,E504+1),"")</f>
        <v/>
      </c>
      <c r="G504" s="23" t="str">
        <f>IF('ASS START SYNC'!C508="SHOW",LEFT('ASS START SYNC'!E508,B504),"")</f>
        <v/>
      </c>
      <c r="H504" s="24" t="str">
        <f>IF(AND('ASS START SYNC'!C508="SHOW",COUNTA('ASS START SYNC'!$E$8:'ASS START SYNC'!E507)=0),MID('ASS START SYNC'!E508,B504+1,C504-B504-1),IF(AND('ASS START SYNC'!C508="SHOW",COUNTA('ASS START SYNC'!$E$8:'ASS START SYNC'!E507)&lt;&gt;0),I503,""))</f>
        <v/>
      </c>
      <c r="I504" s="24" t="str">
        <f>IF('ASS START SYNC'!C508="SHOW",MID('ASS START SYNC'!E508,C504+1,D504-C504-1),I503)</f>
        <v/>
      </c>
      <c r="J504" s="23" t="str">
        <f>IF('ASS START SYNC'!C508="SHOW",MID('ASS START SYNC'!E508,D504+1,F504-D504+1),"")</f>
        <v/>
      </c>
      <c r="K504" s="23" t="str">
        <f>IF('ASS START SYNC'!C508="SHOW",MID('ASS START SYNC'!E508,F504+2,1000),"")</f>
        <v/>
      </c>
      <c r="M504" s="24"/>
      <c r="N504" s="26">
        <v>501</v>
      </c>
      <c r="O504" s="24" t="str">
        <f>IF('ASS END SYNC'!C508="SHOW",FIND(",",'ASS END SYNC'!E508,1),"")</f>
        <v/>
      </c>
      <c r="P504" s="24" t="str">
        <f>IF('ASS END SYNC'!C508="SHOW",FIND(",",'ASS END SYNC'!E508,O504+1),"")</f>
        <v/>
      </c>
      <c r="Q504" s="24" t="str">
        <f>IF('ASS END SYNC'!C508="SHOW",FIND(",",'ASS END SYNC'!E508,P504+1),"")</f>
        <v/>
      </c>
      <c r="R504" s="25" t="str">
        <f>IF('ASS END SYNC'!C508="SHOW",FIND(",,",'ASS END SYNC'!E508,1),"")</f>
        <v/>
      </c>
      <c r="S504" s="25" t="str">
        <f>IF('ASS END SYNC'!C508="SHOW",FIND(",,",'ASS END SYNC'!E508,R504+1),"")</f>
        <v/>
      </c>
      <c r="T504" s="23" t="str">
        <f>IF('ASS END SYNC'!C508="SHOW",LEFT('ASS END SYNC'!E508,O504),"")</f>
        <v/>
      </c>
      <c r="U504" s="24" t="str">
        <f>IF('ASS END SYNC'!C508="SHOW",MID('ASS END SYNC'!E508,O504+1,P504-O504-1),"")</f>
        <v/>
      </c>
      <c r="V504" s="24" t="str">
        <f>IF(AND('ASS END SYNC'!C508="SHOW",'ASS END SYNC'!C509="SHOW"),U505,IF(AND('ASS END SYNC'!C508="SHOW",'ASS END SYNC'!C509&lt;&gt;"SHOW"),MID('ASS END SYNC'!E508,O504+1,P504-O504-1),""))</f>
        <v/>
      </c>
      <c r="W504" s="23" t="str">
        <f>IF('ASS END SYNC'!C508="SHOW",MID('ASS END SYNC'!E508,Q504+1,S504-Q504+1),"")</f>
        <v/>
      </c>
      <c r="X504" s="23" t="str">
        <f>IF('ASS END SYNC'!C508="SHOW",MID('ASS END SYNC'!E508,S504+2,1000),"")</f>
        <v/>
      </c>
      <c r="Z504" s="24"/>
    </row>
    <row r="505" spans="1:26" x14ac:dyDescent="0.25">
      <c r="A505" s="26">
        <v>502</v>
      </c>
      <c r="B505" s="24" t="str">
        <f>IF('ASS START SYNC'!C509="SHOW",FIND(",",'ASS START SYNC'!E509,1),"")</f>
        <v/>
      </c>
      <c r="C505" s="24" t="str">
        <f>IF('ASS START SYNC'!C509="SHOW",FIND(",",'ASS START SYNC'!E509,B505+1),"")</f>
        <v/>
      </c>
      <c r="D505" s="24" t="str">
        <f>IF('ASS START SYNC'!C509="SHOW",FIND(",",'ASS START SYNC'!E509,C505+1),"")</f>
        <v/>
      </c>
      <c r="E505" s="25" t="str">
        <f>IF('ASS START SYNC'!C509="SHOW",FIND(",,",'ASS START SYNC'!E509,1),"")</f>
        <v/>
      </c>
      <c r="F505" s="25" t="str">
        <f>IF('ASS START SYNC'!C509="SHOW",FIND(",,",'ASS START SYNC'!E509,E505+1),"")</f>
        <v/>
      </c>
      <c r="G505" s="23" t="str">
        <f>IF('ASS START SYNC'!C509="SHOW",LEFT('ASS START SYNC'!E509,B505),"")</f>
        <v/>
      </c>
      <c r="H505" s="24" t="str">
        <f>IF(AND('ASS START SYNC'!C509="SHOW",COUNTA('ASS START SYNC'!$E$8:'ASS START SYNC'!E508)=0),MID('ASS START SYNC'!E509,B505+1,C505-B505-1),IF(AND('ASS START SYNC'!C509="SHOW",COUNTA('ASS START SYNC'!$E$8:'ASS START SYNC'!E508)&lt;&gt;0),I504,""))</f>
        <v/>
      </c>
      <c r="I505" s="24" t="str">
        <f>IF('ASS START SYNC'!C509="SHOW",MID('ASS START SYNC'!E509,C505+1,D505-C505-1),I504)</f>
        <v/>
      </c>
      <c r="J505" s="23" t="str">
        <f>IF('ASS START SYNC'!C509="SHOW",MID('ASS START SYNC'!E509,D505+1,F505-D505+1),"")</f>
        <v/>
      </c>
      <c r="K505" s="23" t="str">
        <f>IF('ASS START SYNC'!C509="SHOW",MID('ASS START SYNC'!E509,F505+2,1000),"")</f>
        <v/>
      </c>
      <c r="M505" s="24"/>
      <c r="N505" s="26">
        <v>502</v>
      </c>
      <c r="O505" s="24" t="str">
        <f>IF('ASS END SYNC'!C509="SHOW",FIND(",",'ASS END SYNC'!E509,1),"")</f>
        <v/>
      </c>
      <c r="P505" s="24" t="str">
        <f>IF('ASS END SYNC'!C509="SHOW",FIND(",",'ASS END SYNC'!E509,O505+1),"")</f>
        <v/>
      </c>
      <c r="Q505" s="24" t="str">
        <f>IF('ASS END SYNC'!C509="SHOW",FIND(",",'ASS END SYNC'!E509,P505+1),"")</f>
        <v/>
      </c>
      <c r="R505" s="25" t="str">
        <f>IF('ASS END SYNC'!C509="SHOW",FIND(",,",'ASS END SYNC'!E509,1),"")</f>
        <v/>
      </c>
      <c r="S505" s="25" t="str">
        <f>IF('ASS END SYNC'!C509="SHOW",FIND(",,",'ASS END SYNC'!E509,R505+1),"")</f>
        <v/>
      </c>
      <c r="T505" s="23" t="str">
        <f>IF('ASS END SYNC'!C509="SHOW",LEFT('ASS END SYNC'!E509,O505),"")</f>
        <v/>
      </c>
      <c r="U505" s="24" t="str">
        <f>IF('ASS END SYNC'!C509="SHOW",MID('ASS END SYNC'!E509,O505+1,P505-O505-1),"")</f>
        <v/>
      </c>
      <c r="V505" s="24" t="str">
        <f>IF(AND('ASS END SYNC'!C509="SHOW",'ASS END SYNC'!C510="SHOW"),U506,IF(AND('ASS END SYNC'!C509="SHOW",'ASS END SYNC'!C510&lt;&gt;"SHOW"),MID('ASS END SYNC'!E509,O505+1,P505-O505-1),""))</f>
        <v/>
      </c>
      <c r="W505" s="23" t="str">
        <f>IF('ASS END SYNC'!C509="SHOW",MID('ASS END SYNC'!E509,Q505+1,S505-Q505+1),"")</f>
        <v/>
      </c>
      <c r="X505" s="23" t="str">
        <f>IF('ASS END SYNC'!C509="SHOW",MID('ASS END SYNC'!E509,S505+2,1000),"")</f>
        <v/>
      </c>
      <c r="Z505" s="24"/>
    </row>
    <row r="506" spans="1:26" x14ac:dyDescent="0.25">
      <c r="A506" s="26">
        <v>503</v>
      </c>
      <c r="B506" s="24" t="str">
        <f>IF('ASS START SYNC'!C510="SHOW",FIND(",",'ASS START SYNC'!E510,1),"")</f>
        <v/>
      </c>
      <c r="C506" s="24" t="str">
        <f>IF('ASS START SYNC'!C510="SHOW",FIND(",",'ASS START SYNC'!E510,B506+1),"")</f>
        <v/>
      </c>
      <c r="D506" s="24" t="str">
        <f>IF('ASS START SYNC'!C510="SHOW",FIND(",",'ASS START SYNC'!E510,C506+1),"")</f>
        <v/>
      </c>
      <c r="E506" s="25" t="str">
        <f>IF('ASS START SYNC'!C510="SHOW",FIND(",,",'ASS START SYNC'!E510,1),"")</f>
        <v/>
      </c>
      <c r="F506" s="25" t="str">
        <f>IF('ASS START SYNC'!C510="SHOW",FIND(",,",'ASS START SYNC'!E510,E506+1),"")</f>
        <v/>
      </c>
      <c r="G506" s="23" t="str">
        <f>IF('ASS START SYNC'!C510="SHOW",LEFT('ASS START SYNC'!E510,B506),"")</f>
        <v/>
      </c>
      <c r="H506" s="24" t="str">
        <f>IF(AND('ASS START SYNC'!C510="SHOW",COUNTA('ASS START SYNC'!$E$8:'ASS START SYNC'!E509)=0),MID('ASS START SYNC'!E510,B506+1,C506-B506-1),IF(AND('ASS START SYNC'!C510="SHOW",COUNTA('ASS START SYNC'!$E$8:'ASS START SYNC'!E509)&lt;&gt;0),I505,""))</f>
        <v/>
      </c>
      <c r="I506" s="24" t="str">
        <f>IF('ASS START SYNC'!C510="SHOW",MID('ASS START SYNC'!E510,C506+1,D506-C506-1),I505)</f>
        <v/>
      </c>
      <c r="J506" s="23" t="str">
        <f>IF('ASS START SYNC'!C510="SHOW",MID('ASS START SYNC'!E510,D506+1,F506-D506+1),"")</f>
        <v/>
      </c>
      <c r="K506" s="23" t="str">
        <f>IF('ASS START SYNC'!C510="SHOW",MID('ASS START SYNC'!E510,F506+2,1000),"")</f>
        <v/>
      </c>
      <c r="M506" s="24"/>
      <c r="N506" s="26">
        <v>503</v>
      </c>
      <c r="O506" s="24" t="str">
        <f>IF('ASS END SYNC'!C510="SHOW",FIND(",",'ASS END SYNC'!E510,1),"")</f>
        <v/>
      </c>
      <c r="P506" s="24" t="str">
        <f>IF('ASS END SYNC'!C510="SHOW",FIND(",",'ASS END SYNC'!E510,O506+1),"")</f>
        <v/>
      </c>
      <c r="Q506" s="24" t="str">
        <f>IF('ASS END SYNC'!C510="SHOW",FIND(",",'ASS END SYNC'!E510,P506+1),"")</f>
        <v/>
      </c>
      <c r="R506" s="25" t="str">
        <f>IF('ASS END SYNC'!C510="SHOW",FIND(",,",'ASS END SYNC'!E510,1),"")</f>
        <v/>
      </c>
      <c r="S506" s="25" t="str">
        <f>IF('ASS END SYNC'!C510="SHOW",FIND(",,",'ASS END SYNC'!E510,R506+1),"")</f>
        <v/>
      </c>
      <c r="T506" s="23" t="str">
        <f>IF('ASS END SYNC'!C510="SHOW",LEFT('ASS END SYNC'!E510,O506),"")</f>
        <v/>
      </c>
      <c r="U506" s="24" t="str">
        <f>IF('ASS END SYNC'!C510="SHOW",MID('ASS END SYNC'!E510,O506+1,P506-O506-1),"")</f>
        <v/>
      </c>
      <c r="V506" s="24" t="str">
        <f>IF(AND('ASS END SYNC'!C510="SHOW",'ASS END SYNC'!C511="SHOW"),U507,IF(AND('ASS END SYNC'!C510="SHOW",'ASS END SYNC'!C511&lt;&gt;"SHOW"),MID('ASS END SYNC'!E510,O506+1,P506-O506-1),""))</f>
        <v/>
      </c>
      <c r="W506" s="23" t="str">
        <f>IF('ASS END SYNC'!C510="SHOW",MID('ASS END SYNC'!E510,Q506+1,S506-Q506+1),"")</f>
        <v/>
      </c>
      <c r="X506" s="23" t="str">
        <f>IF('ASS END SYNC'!C510="SHOW",MID('ASS END SYNC'!E510,S506+2,1000),"")</f>
        <v/>
      </c>
      <c r="Z506" s="24"/>
    </row>
    <row r="507" spans="1:26" x14ac:dyDescent="0.25">
      <c r="A507" s="26">
        <v>504</v>
      </c>
      <c r="B507" s="24" t="str">
        <f>IF('ASS START SYNC'!C511="SHOW",FIND(",",'ASS START SYNC'!E511,1),"")</f>
        <v/>
      </c>
      <c r="C507" s="24" t="str">
        <f>IF('ASS START SYNC'!C511="SHOW",FIND(",",'ASS START SYNC'!E511,B507+1),"")</f>
        <v/>
      </c>
      <c r="D507" s="24" t="str">
        <f>IF('ASS START SYNC'!C511="SHOW",FIND(",",'ASS START SYNC'!E511,C507+1),"")</f>
        <v/>
      </c>
      <c r="E507" s="25" t="str">
        <f>IF('ASS START SYNC'!C511="SHOW",FIND(",,",'ASS START SYNC'!E511,1),"")</f>
        <v/>
      </c>
      <c r="F507" s="25" t="str">
        <f>IF('ASS START SYNC'!C511="SHOW",FIND(",,",'ASS START SYNC'!E511,E507+1),"")</f>
        <v/>
      </c>
      <c r="G507" s="23" t="str">
        <f>IF('ASS START SYNC'!C511="SHOW",LEFT('ASS START SYNC'!E511,B507),"")</f>
        <v/>
      </c>
      <c r="H507" s="24" t="str">
        <f>IF(AND('ASS START SYNC'!C511="SHOW",COUNTA('ASS START SYNC'!$E$8:'ASS START SYNC'!E510)=0),MID('ASS START SYNC'!E511,B507+1,C507-B507-1),IF(AND('ASS START SYNC'!C511="SHOW",COUNTA('ASS START SYNC'!$E$8:'ASS START SYNC'!E510)&lt;&gt;0),I506,""))</f>
        <v/>
      </c>
      <c r="I507" s="24" t="str">
        <f>IF('ASS START SYNC'!C511="SHOW",MID('ASS START SYNC'!E511,C507+1,D507-C507-1),I506)</f>
        <v/>
      </c>
      <c r="J507" s="23" t="str">
        <f>IF('ASS START SYNC'!C511="SHOW",MID('ASS START SYNC'!E511,D507+1,F507-D507+1),"")</f>
        <v/>
      </c>
      <c r="K507" s="23" t="str">
        <f>IF('ASS START SYNC'!C511="SHOW",MID('ASS START SYNC'!E511,F507+2,1000),"")</f>
        <v/>
      </c>
      <c r="M507" s="24"/>
      <c r="N507" s="26">
        <v>504</v>
      </c>
      <c r="O507" s="24" t="str">
        <f>IF('ASS END SYNC'!C511="SHOW",FIND(",",'ASS END SYNC'!E511,1),"")</f>
        <v/>
      </c>
      <c r="P507" s="24" t="str">
        <f>IF('ASS END SYNC'!C511="SHOW",FIND(",",'ASS END SYNC'!E511,O507+1),"")</f>
        <v/>
      </c>
      <c r="Q507" s="24" t="str">
        <f>IF('ASS END SYNC'!C511="SHOW",FIND(",",'ASS END SYNC'!E511,P507+1),"")</f>
        <v/>
      </c>
      <c r="R507" s="25" t="str">
        <f>IF('ASS END SYNC'!C511="SHOW",FIND(",,",'ASS END SYNC'!E511,1),"")</f>
        <v/>
      </c>
      <c r="S507" s="25" t="str">
        <f>IF('ASS END SYNC'!C511="SHOW",FIND(",,",'ASS END SYNC'!E511,R507+1),"")</f>
        <v/>
      </c>
      <c r="T507" s="23" t="str">
        <f>IF('ASS END SYNC'!C511="SHOW",LEFT('ASS END SYNC'!E511,O507),"")</f>
        <v/>
      </c>
      <c r="U507" s="24" t="str">
        <f>IF('ASS END SYNC'!C511="SHOW",MID('ASS END SYNC'!E511,O507+1,P507-O507-1),"")</f>
        <v/>
      </c>
      <c r="V507" s="24" t="str">
        <f>IF(AND('ASS END SYNC'!C511="SHOW",'ASS END SYNC'!C512="SHOW"),U508,IF(AND('ASS END SYNC'!C511="SHOW",'ASS END SYNC'!C512&lt;&gt;"SHOW"),MID('ASS END SYNC'!E511,O507+1,P507-O507-1),""))</f>
        <v/>
      </c>
      <c r="W507" s="23" t="str">
        <f>IF('ASS END SYNC'!C511="SHOW",MID('ASS END SYNC'!E511,Q507+1,S507-Q507+1),"")</f>
        <v/>
      </c>
      <c r="X507" s="23" t="str">
        <f>IF('ASS END SYNC'!C511="SHOW",MID('ASS END SYNC'!E511,S507+2,1000),"")</f>
        <v/>
      </c>
      <c r="Z507" s="24"/>
    </row>
    <row r="508" spans="1:26" x14ac:dyDescent="0.25">
      <c r="A508" s="26">
        <v>505</v>
      </c>
      <c r="B508" s="24" t="str">
        <f>IF('ASS START SYNC'!C512="SHOW",FIND(",",'ASS START SYNC'!E512,1),"")</f>
        <v/>
      </c>
      <c r="C508" s="24" t="str">
        <f>IF('ASS START SYNC'!C512="SHOW",FIND(",",'ASS START SYNC'!E512,B508+1),"")</f>
        <v/>
      </c>
      <c r="D508" s="24" t="str">
        <f>IF('ASS START SYNC'!C512="SHOW",FIND(",",'ASS START SYNC'!E512,C508+1),"")</f>
        <v/>
      </c>
      <c r="E508" s="25" t="str">
        <f>IF('ASS START SYNC'!C512="SHOW",FIND(",,",'ASS START SYNC'!E512,1),"")</f>
        <v/>
      </c>
      <c r="F508" s="25" t="str">
        <f>IF('ASS START SYNC'!C512="SHOW",FIND(",,",'ASS START SYNC'!E512,E508+1),"")</f>
        <v/>
      </c>
      <c r="G508" s="23" t="str">
        <f>IF('ASS START SYNC'!C512="SHOW",LEFT('ASS START SYNC'!E512,B508),"")</f>
        <v/>
      </c>
      <c r="H508" s="24" t="str">
        <f>IF(AND('ASS START SYNC'!C512="SHOW",COUNTA('ASS START SYNC'!$E$8:'ASS START SYNC'!E511)=0),MID('ASS START SYNC'!E512,B508+1,C508-B508-1),IF(AND('ASS START SYNC'!C512="SHOW",COUNTA('ASS START SYNC'!$E$8:'ASS START SYNC'!E511)&lt;&gt;0),I507,""))</f>
        <v/>
      </c>
      <c r="I508" s="24" t="str">
        <f>IF('ASS START SYNC'!C512="SHOW",MID('ASS START SYNC'!E512,C508+1,D508-C508-1),I507)</f>
        <v/>
      </c>
      <c r="J508" s="23" t="str">
        <f>IF('ASS START SYNC'!C512="SHOW",MID('ASS START SYNC'!E512,D508+1,F508-D508+1),"")</f>
        <v/>
      </c>
      <c r="K508" s="23" t="str">
        <f>IF('ASS START SYNC'!C512="SHOW",MID('ASS START SYNC'!E512,F508+2,1000),"")</f>
        <v/>
      </c>
      <c r="M508" s="24"/>
      <c r="N508" s="26">
        <v>505</v>
      </c>
      <c r="O508" s="24" t="str">
        <f>IF('ASS END SYNC'!C512="SHOW",FIND(",",'ASS END SYNC'!E512,1),"")</f>
        <v/>
      </c>
      <c r="P508" s="24" t="str">
        <f>IF('ASS END SYNC'!C512="SHOW",FIND(",",'ASS END SYNC'!E512,O508+1),"")</f>
        <v/>
      </c>
      <c r="Q508" s="24" t="str">
        <f>IF('ASS END SYNC'!C512="SHOW",FIND(",",'ASS END SYNC'!E512,P508+1),"")</f>
        <v/>
      </c>
      <c r="R508" s="25" t="str">
        <f>IF('ASS END SYNC'!C512="SHOW",FIND(",,",'ASS END SYNC'!E512,1),"")</f>
        <v/>
      </c>
      <c r="S508" s="25" t="str">
        <f>IF('ASS END SYNC'!C512="SHOW",FIND(",,",'ASS END SYNC'!E512,R508+1),"")</f>
        <v/>
      </c>
      <c r="T508" s="23" t="str">
        <f>IF('ASS END SYNC'!C512="SHOW",LEFT('ASS END SYNC'!E512,O508),"")</f>
        <v/>
      </c>
      <c r="U508" s="24" t="str">
        <f>IF('ASS END SYNC'!C512="SHOW",MID('ASS END SYNC'!E512,O508+1,P508-O508-1),"")</f>
        <v/>
      </c>
      <c r="V508" s="24" t="str">
        <f>IF(AND('ASS END SYNC'!C512="SHOW",'ASS END SYNC'!C513="SHOW"),U509,IF(AND('ASS END SYNC'!C512="SHOW",'ASS END SYNC'!C513&lt;&gt;"SHOW"),MID('ASS END SYNC'!E512,O508+1,P508-O508-1),""))</f>
        <v/>
      </c>
      <c r="W508" s="23" t="str">
        <f>IF('ASS END SYNC'!C512="SHOW",MID('ASS END SYNC'!E512,Q508+1,S508-Q508+1),"")</f>
        <v/>
      </c>
      <c r="X508" s="23" t="str">
        <f>IF('ASS END SYNC'!C512="SHOW",MID('ASS END SYNC'!E512,S508+2,1000),"")</f>
        <v/>
      </c>
      <c r="Z508" s="24"/>
    </row>
    <row r="509" spans="1:26" x14ac:dyDescent="0.25">
      <c r="A509" s="26">
        <v>506</v>
      </c>
      <c r="B509" s="24" t="str">
        <f>IF('ASS START SYNC'!C513="SHOW",FIND(",",'ASS START SYNC'!E513,1),"")</f>
        <v/>
      </c>
      <c r="C509" s="24" t="str">
        <f>IF('ASS START SYNC'!C513="SHOW",FIND(",",'ASS START SYNC'!E513,B509+1),"")</f>
        <v/>
      </c>
      <c r="D509" s="24" t="str">
        <f>IF('ASS START SYNC'!C513="SHOW",FIND(",",'ASS START SYNC'!E513,C509+1),"")</f>
        <v/>
      </c>
      <c r="E509" s="25" t="str">
        <f>IF('ASS START SYNC'!C513="SHOW",FIND(",,",'ASS START SYNC'!E513,1),"")</f>
        <v/>
      </c>
      <c r="F509" s="25" t="str">
        <f>IF('ASS START SYNC'!C513="SHOW",FIND(",,",'ASS START SYNC'!E513,E509+1),"")</f>
        <v/>
      </c>
      <c r="G509" s="23" t="str">
        <f>IF('ASS START SYNC'!C513="SHOW",LEFT('ASS START SYNC'!E513,B509),"")</f>
        <v/>
      </c>
      <c r="H509" s="24" t="str">
        <f>IF(AND('ASS START SYNC'!C513="SHOW",COUNTA('ASS START SYNC'!$E$8:'ASS START SYNC'!E512)=0),MID('ASS START SYNC'!E513,B509+1,C509-B509-1),IF(AND('ASS START SYNC'!C513="SHOW",COUNTA('ASS START SYNC'!$E$8:'ASS START SYNC'!E512)&lt;&gt;0),I508,""))</f>
        <v/>
      </c>
      <c r="I509" s="24" t="str">
        <f>IF('ASS START SYNC'!C513="SHOW",MID('ASS START SYNC'!E513,C509+1,D509-C509-1),I508)</f>
        <v/>
      </c>
      <c r="J509" s="23" t="str">
        <f>IF('ASS START SYNC'!C513="SHOW",MID('ASS START SYNC'!E513,D509+1,F509-D509+1),"")</f>
        <v/>
      </c>
      <c r="K509" s="23" t="str">
        <f>IF('ASS START SYNC'!C513="SHOW",MID('ASS START SYNC'!E513,F509+2,1000),"")</f>
        <v/>
      </c>
      <c r="M509" s="24"/>
      <c r="N509" s="26">
        <v>506</v>
      </c>
      <c r="O509" s="24" t="str">
        <f>IF('ASS END SYNC'!C513="SHOW",FIND(",",'ASS END SYNC'!E513,1),"")</f>
        <v/>
      </c>
      <c r="P509" s="24" t="str">
        <f>IF('ASS END SYNC'!C513="SHOW",FIND(",",'ASS END SYNC'!E513,O509+1),"")</f>
        <v/>
      </c>
      <c r="Q509" s="24" t="str">
        <f>IF('ASS END SYNC'!C513="SHOW",FIND(",",'ASS END SYNC'!E513,P509+1),"")</f>
        <v/>
      </c>
      <c r="R509" s="25" t="str">
        <f>IF('ASS END SYNC'!C513="SHOW",FIND(",,",'ASS END SYNC'!E513,1),"")</f>
        <v/>
      </c>
      <c r="S509" s="25" t="str">
        <f>IF('ASS END SYNC'!C513="SHOW",FIND(",,",'ASS END SYNC'!E513,R509+1),"")</f>
        <v/>
      </c>
      <c r="T509" s="23" t="str">
        <f>IF('ASS END SYNC'!C513="SHOW",LEFT('ASS END SYNC'!E513,O509),"")</f>
        <v/>
      </c>
      <c r="U509" s="24" t="str">
        <f>IF('ASS END SYNC'!C513="SHOW",MID('ASS END SYNC'!E513,O509+1,P509-O509-1),"")</f>
        <v/>
      </c>
      <c r="V509" s="24" t="str">
        <f>IF(AND('ASS END SYNC'!C513="SHOW",'ASS END SYNC'!C514="SHOW"),U510,IF(AND('ASS END SYNC'!C513="SHOW",'ASS END SYNC'!C514&lt;&gt;"SHOW"),MID('ASS END SYNC'!E513,O509+1,P509-O509-1),""))</f>
        <v/>
      </c>
      <c r="W509" s="23" t="str">
        <f>IF('ASS END SYNC'!C513="SHOW",MID('ASS END SYNC'!E513,Q509+1,S509-Q509+1),"")</f>
        <v/>
      </c>
      <c r="X509" s="23" t="str">
        <f>IF('ASS END SYNC'!C513="SHOW",MID('ASS END SYNC'!E513,S509+2,1000),"")</f>
        <v/>
      </c>
      <c r="Z509" s="24"/>
    </row>
    <row r="510" spans="1:26" x14ac:dyDescent="0.25">
      <c r="A510" s="26">
        <v>507</v>
      </c>
      <c r="B510" s="24" t="str">
        <f>IF('ASS START SYNC'!C514="SHOW",FIND(",",'ASS START SYNC'!E514,1),"")</f>
        <v/>
      </c>
      <c r="C510" s="24" t="str">
        <f>IF('ASS START SYNC'!C514="SHOW",FIND(",",'ASS START SYNC'!E514,B510+1),"")</f>
        <v/>
      </c>
      <c r="D510" s="24" t="str">
        <f>IF('ASS START SYNC'!C514="SHOW",FIND(",",'ASS START SYNC'!E514,C510+1),"")</f>
        <v/>
      </c>
      <c r="E510" s="25" t="str">
        <f>IF('ASS START SYNC'!C514="SHOW",FIND(",,",'ASS START SYNC'!E514,1),"")</f>
        <v/>
      </c>
      <c r="F510" s="25" t="str">
        <f>IF('ASS START SYNC'!C514="SHOW",FIND(",,",'ASS START SYNC'!E514,E510+1),"")</f>
        <v/>
      </c>
      <c r="G510" s="23" t="str">
        <f>IF('ASS START SYNC'!C514="SHOW",LEFT('ASS START SYNC'!E514,B510),"")</f>
        <v/>
      </c>
      <c r="H510" s="24" t="str">
        <f>IF(AND('ASS START SYNC'!C514="SHOW",COUNTA('ASS START SYNC'!$E$8:'ASS START SYNC'!E513)=0),MID('ASS START SYNC'!E514,B510+1,C510-B510-1),IF(AND('ASS START SYNC'!C514="SHOW",COUNTA('ASS START SYNC'!$E$8:'ASS START SYNC'!E513)&lt;&gt;0),I509,""))</f>
        <v/>
      </c>
      <c r="I510" s="24" t="str">
        <f>IF('ASS START SYNC'!C514="SHOW",MID('ASS START SYNC'!E514,C510+1,D510-C510-1),I509)</f>
        <v/>
      </c>
      <c r="J510" s="23" t="str">
        <f>IF('ASS START SYNC'!C514="SHOW",MID('ASS START SYNC'!E514,D510+1,F510-D510+1),"")</f>
        <v/>
      </c>
      <c r="K510" s="23" t="str">
        <f>IF('ASS START SYNC'!C514="SHOW",MID('ASS START SYNC'!E514,F510+2,1000),"")</f>
        <v/>
      </c>
      <c r="M510" s="24"/>
      <c r="N510" s="26">
        <v>507</v>
      </c>
      <c r="O510" s="24" t="str">
        <f>IF('ASS END SYNC'!C514="SHOW",FIND(",",'ASS END SYNC'!E514,1),"")</f>
        <v/>
      </c>
      <c r="P510" s="24" t="str">
        <f>IF('ASS END SYNC'!C514="SHOW",FIND(",",'ASS END SYNC'!E514,O510+1),"")</f>
        <v/>
      </c>
      <c r="Q510" s="24" t="str">
        <f>IF('ASS END SYNC'!C514="SHOW",FIND(",",'ASS END SYNC'!E514,P510+1),"")</f>
        <v/>
      </c>
      <c r="R510" s="25" t="str">
        <f>IF('ASS END SYNC'!C514="SHOW",FIND(",,",'ASS END SYNC'!E514,1),"")</f>
        <v/>
      </c>
      <c r="S510" s="25" t="str">
        <f>IF('ASS END SYNC'!C514="SHOW",FIND(",,",'ASS END SYNC'!E514,R510+1),"")</f>
        <v/>
      </c>
      <c r="T510" s="23" t="str">
        <f>IF('ASS END SYNC'!C514="SHOW",LEFT('ASS END SYNC'!E514,O510),"")</f>
        <v/>
      </c>
      <c r="U510" s="24" t="str">
        <f>IF('ASS END SYNC'!C514="SHOW",MID('ASS END SYNC'!E514,O510+1,P510-O510-1),"")</f>
        <v/>
      </c>
      <c r="V510" s="24" t="str">
        <f>IF(AND('ASS END SYNC'!C514="SHOW",'ASS END SYNC'!C515="SHOW"),U511,IF(AND('ASS END SYNC'!C514="SHOW",'ASS END SYNC'!C515&lt;&gt;"SHOW"),MID('ASS END SYNC'!E514,O510+1,P510-O510-1),""))</f>
        <v/>
      </c>
      <c r="W510" s="23" t="str">
        <f>IF('ASS END SYNC'!C514="SHOW",MID('ASS END SYNC'!E514,Q510+1,S510-Q510+1),"")</f>
        <v/>
      </c>
      <c r="X510" s="23" t="str">
        <f>IF('ASS END SYNC'!C514="SHOW",MID('ASS END SYNC'!E514,S510+2,1000),"")</f>
        <v/>
      </c>
      <c r="Z510" s="24"/>
    </row>
    <row r="511" spans="1:26" x14ac:dyDescent="0.25">
      <c r="A511" s="26">
        <v>508</v>
      </c>
      <c r="B511" s="24" t="str">
        <f>IF('ASS START SYNC'!C515="SHOW",FIND(",",'ASS START SYNC'!E515,1),"")</f>
        <v/>
      </c>
      <c r="C511" s="24" t="str">
        <f>IF('ASS START SYNC'!C515="SHOW",FIND(",",'ASS START SYNC'!E515,B511+1),"")</f>
        <v/>
      </c>
      <c r="D511" s="24" t="str">
        <f>IF('ASS START SYNC'!C515="SHOW",FIND(",",'ASS START SYNC'!E515,C511+1),"")</f>
        <v/>
      </c>
      <c r="E511" s="25" t="str">
        <f>IF('ASS START SYNC'!C515="SHOW",FIND(",,",'ASS START SYNC'!E515,1),"")</f>
        <v/>
      </c>
      <c r="F511" s="25" t="str">
        <f>IF('ASS START SYNC'!C515="SHOW",FIND(",,",'ASS START SYNC'!E515,E511+1),"")</f>
        <v/>
      </c>
      <c r="G511" s="23" t="str">
        <f>IF('ASS START SYNC'!C515="SHOW",LEFT('ASS START SYNC'!E515,B511),"")</f>
        <v/>
      </c>
      <c r="H511" s="24" t="str">
        <f>IF(AND('ASS START SYNC'!C515="SHOW",COUNTA('ASS START SYNC'!$E$8:'ASS START SYNC'!E514)=0),MID('ASS START SYNC'!E515,B511+1,C511-B511-1),IF(AND('ASS START SYNC'!C515="SHOW",COUNTA('ASS START SYNC'!$E$8:'ASS START SYNC'!E514)&lt;&gt;0),I510,""))</f>
        <v/>
      </c>
      <c r="I511" s="24" t="str">
        <f>IF('ASS START SYNC'!C515="SHOW",MID('ASS START SYNC'!E515,C511+1,D511-C511-1),I510)</f>
        <v/>
      </c>
      <c r="J511" s="23" t="str">
        <f>IF('ASS START SYNC'!C515="SHOW",MID('ASS START SYNC'!E515,D511+1,F511-D511+1),"")</f>
        <v/>
      </c>
      <c r="K511" s="23" t="str">
        <f>IF('ASS START SYNC'!C515="SHOW",MID('ASS START SYNC'!E515,F511+2,1000),"")</f>
        <v/>
      </c>
      <c r="M511" s="24"/>
      <c r="N511" s="26">
        <v>508</v>
      </c>
      <c r="O511" s="24" t="str">
        <f>IF('ASS END SYNC'!C515="SHOW",FIND(",",'ASS END SYNC'!E515,1),"")</f>
        <v/>
      </c>
      <c r="P511" s="24" t="str">
        <f>IF('ASS END SYNC'!C515="SHOW",FIND(",",'ASS END SYNC'!E515,O511+1),"")</f>
        <v/>
      </c>
      <c r="Q511" s="24" t="str">
        <f>IF('ASS END SYNC'!C515="SHOW",FIND(",",'ASS END SYNC'!E515,P511+1),"")</f>
        <v/>
      </c>
      <c r="R511" s="25" t="str">
        <f>IF('ASS END SYNC'!C515="SHOW",FIND(",,",'ASS END SYNC'!E515,1),"")</f>
        <v/>
      </c>
      <c r="S511" s="25" t="str">
        <f>IF('ASS END SYNC'!C515="SHOW",FIND(",,",'ASS END SYNC'!E515,R511+1),"")</f>
        <v/>
      </c>
      <c r="T511" s="23" t="str">
        <f>IF('ASS END SYNC'!C515="SHOW",LEFT('ASS END SYNC'!E515,O511),"")</f>
        <v/>
      </c>
      <c r="U511" s="24" t="str">
        <f>IF('ASS END SYNC'!C515="SHOW",MID('ASS END SYNC'!E515,O511+1,P511-O511-1),"")</f>
        <v/>
      </c>
      <c r="V511" s="24" t="str">
        <f>IF(AND('ASS END SYNC'!C515="SHOW",'ASS END SYNC'!C516="SHOW"),U512,IF(AND('ASS END SYNC'!C515="SHOW",'ASS END SYNC'!C516&lt;&gt;"SHOW"),MID('ASS END SYNC'!E515,O511+1,P511-O511-1),""))</f>
        <v/>
      </c>
      <c r="W511" s="23" t="str">
        <f>IF('ASS END SYNC'!C515="SHOW",MID('ASS END SYNC'!E515,Q511+1,S511-Q511+1),"")</f>
        <v/>
      </c>
      <c r="X511" s="23" t="str">
        <f>IF('ASS END SYNC'!C515="SHOW",MID('ASS END SYNC'!E515,S511+2,1000),"")</f>
        <v/>
      </c>
      <c r="Z511" s="24"/>
    </row>
    <row r="512" spans="1:26" x14ac:dyDescent="0.25">
      <c r="A512" s="26">
        <v>509</v>
      </c>
      <c r="B512" s="24" t="str">
        <f>IF('ASS START SYNC'!C516="SHOW",FIND(",",'ASS START SYNC'!E516,1),"")</f>
        <v/>
      </c>
      <c r="C512" s="24" t="str">
        <f>IF('ASS START SYNC'!C516="SHOW",FIND(",",'ASS START SYNC'!E516,B512+1),"")</f>
        <v/>
      </c>
      <c r="D512" s="24" t="str">
        <f>IF('ASS START SYNC'!C516="SHOW",FIND(",",'ASS START SYNC'!E516,C512+1),"")</f>
        <v/>
      </c>
      <c r="E512" s="25" t="str">
        <f>IF('ASS START SYNC'!C516="SHOW",FIND(",,",'ASS START SYNC'!E516,1),"")</f>
        <v/>
      </c>
      <c r="F512" s="25" t="str">
        <f>IF('ASS START SYNC'!C516="SHOW",FIND(",,",'ASS START SYNC'!E516,E512+1),"")</f>
        <v/>
      </c>
      <c r="G512" s="23" t="str">
        <f>IF('ASS START SYNC'!C516="SHOW",LEFT('ASS START SYNC'!E516,B512),"")</f>
        <v/>
      </c>
      <c r="H512" s="24" t="str">
        <f>IF(AND('ASS START SYNC'!C516="SHOW",COUNTA('ASS START SYNC'!$E$8:'ASS START SYNC'!E515)=0),MID('ASS START SYNC'!E516,B512+1,C512-B512-1),IF(AND('ASS START SYNC'!C516="SHOW",COUNTA('ASS START SYNC'!$E$8:'ASS START SYNC'!E515)&lt;&gt;0),I511,""))</f>
        <v/>
      </c>
      <c r="I512" s="24" t="str">
        <f>IF('ASS START SYNC'!C516="SHOW",MID('ASS START SYNC'!E516,C512+1,D512-C512-1),I511)</f>
        <v/>
      </c>
      <c r="J512" s="23" t="str">
        <f>IF('ASS START SYNC'!C516="SHOW",MID('ASS START SYNC'!E516,D512+1,F512-D512+1),"")</f>
        <v/>
      </c>
      <c r="K512" s="23" t="str">
        <f>IF('ASS START SYNC'!C516="SHOW",MID('ASS START SYNC'!E516,F512+2,1000),"")</f>
        <v/>
      </c>
      <c r="M512" s="24"/>
      <c r="N512" s="26">
        <v>509</v>
      </c>
      <c r="O512" s="24" t="str">
        <f>IF('ASS END SYNC'!C516="SHOW",FIND(",",'ASS END SYNC'!E516,1),"")</f>
        <v/>
      </c>
      <c r="P512" s="24" t="str">
        <f>IF('ASS END SYNC'!C516="SHOW",FIND(",",'ASS END SYNC'!E516,O512+1),"")</f>
        <v/>
      </c>
      <c r="Q512" s="24" t="str">
        <f>IF('ASS END SYNC'!C516="SHOW",FIND(",",'ASS END SYNC'!E516,P512+1),"")</f>
        <v/>
      </c>
      <c r="R512" s="25" t="str">
        <f>IF('ASS END SYNC'!C516="SHOW",FIND(",,",'ASS END SYNC'!E516,1),"")</f>
        <v/>
      </c>
      <c r="S512" s="25" t="str">
        <f>IF('ASS END SYNC'!C516="SHOW",FIND(",,",'ASS END SYNC'!E516,R512+1),"")</f>
        <v/>
      </c>
      <c r="T512" s="23" t="str">
        <f>IF('ASS END SYNC'!C516="SHOW",LEFT('ASS END SYNC'!E516,O512),"")</f>
        <v/>
      </c>
      <c r="U512" s="24" t="str">
        <f>IF('ASS END SYNC'!C516="SHOW",MID('ASS END SYNC'!E516,O512+1,P512-O512-1),"")</f>
        <v/>
      </c>
      <c r="V512" s="24" t="str">
        <f>IF(AND('ASS END SYNC'!C516="SHOW",'ASS END SYNC'!C517="SHOW"),U513,IF(AND('ASS END SYNC'!C516="SHOW",'ASS END SYNC'!C517&lt;&gt;"SHOW"),MID('ASS END SYNC'!E516,O512+1,P512-O512-1),""))</f>
        <v/>
      </c>
      <c r="W512" s="23" t="str">
        <f>IF('ASS END SYNC'!C516="SHOW",MID('ASS END SYNC'!E516,Q512+1,S512-Q512+1),"")</f>
        <v/>
      </c>
      <c r="X512" s="23" t="str">
        <f>IF('ASS END SYNC'!C516="SHOW",MID('ASS END SYNC'!E516,S512+2,1000),"")</f>
        <v/>
      </c>
      <c r="Z512" s="24"/>
    </row>
    <row r="513" spans="1:26" x14ac:dyDescent="0.25">
      <c r="A513" s="26">
        <v>510</v>
      </c>
      <c r="B513" s="24" t="str">
        <f>IF('ASS START SYNC'!C517="SHOW",FIND(",",'ASS START SYNC'!E517,1),"")</f>
        <v/>
      </c>
      <c r="C513" s="24" t="str">
        <f>IF('ASS START SYNC'!C517="SHOW",FIND(",",'ASS START SYNC'!E517,B513+1),"")</f>
        <v/>
      </c>
      <c r="D513" s="24" t="str">
        <f>IF('ASS START SYNC'!C517="SHOW",FIND(",",'ASS START SYNC'!E517,C513+1),"")</f>
        <v/>
      </c>
      <c r="E513" s="25" t="str">
        <f>IF('ASS START SYNC'!C517="SHOW",FIND(",,",'ASS START SYNC'!E517,1),"")</f>
        <v/>
      </c>
      <c r="F513" s="25" t="str">
        <f>IF('ASS START SYNC'!C517="SHOW",FIND(",,",'ASS START SYNC'!E517,E513+1),"")</f>
        <v/>
      </c>
      <c r="G513" s="23" t="str">
        <f>IF('ASS START SYNC'!C517="SHOW",LEFT('ASS START SYNC'!E517,B513),"")</f>
        <v/>
      </c>
      <c r="H513" s="24" t="str">
        <f>IF(AND('ASS START SYNC'!C517="SHOW",COUNTA('ASS START SYNC'!$E$8:'ASS START SYNC'!E516)=0),MID('ASS START SYNC'!E517,B513+1,C513-B513-1),IF(AND('ASS START SYNC'!C517="SHOW",COUNTA('ASS START SYNC'!$E$8:'ASS START SYNC'!E516)&lt;&gt;0),I512,""))</f>
        <v/>
      </c>
      <c r="I513" s="24" t="str">
        <f>IF('ASS START SYNC'!C517="SHOW",MID('ASS START SYNC'!E517,C513+1,D513-C513-1),I512)</f>
        <v/>
      </c>
      <c r="J513" s="23" t="str">
        <f>IF('ASS START SYNC'!C517="SHOW",MID('ASS START SYNC'!E517,D513+1,F513-D513+1),"")</f>
        <v/>
      </c>
      <c r="K513" s="23" t="str">
        <f>IF('ASS START SYNC'!C517="SHOW",MID('ASS START SYNC'!E517,F513+2,1000),"")</f>
        <v/>
      </c>
      <c r="M513" s="24"/>
      <c r="N513" s="26">
        <v>510</v>
      </c>
      <c r="O513" s="24" t="str">
        <f>IF('ASS END SYNC'!C517="SHOW",FIND(",",'ASS END SYNC'!E517,1),"")</f>
        <v/>
      </c>
      <c r="P513" s="24" t="str">
        <f>IF('ASS END SYNC'!C517="SHOW",FIND(",",'ASS END SYNC'!E517,O513+1),"")</f>
        <v/>
      </c>
      <c r="Q513" s="24" t="str">
        <f>IF('ASS END SYNC'!C517="SHOW",FIND(",",'ASS END SYNC'!E517,P513+1),"")</f>
        <v/>
      </c>
      <c r="R513" s="25" t="str">
        <f>IF('ASS END SYNC'!C517="SHOW",FIND(",,",'ASS END SYNC'!E517,1),"")</f>
        <v/>
      </c>
      <c r="S513" s="25" t="str">
        <f>IF('ASS END SYNC'!C517="SHOW",FIND(",,",'ASS END SYNC'!E517,R513+1),"")</f>
        <v/>
      </c>
      <c r="T513" s="23" t="str">
        <f>IF('ASS END SYNC'!C517="SHOW",LEFT('ASS END SYNC'!E517,O513),"")</f>
        <v/>
      </c>
      <c r="U513" s="24" t="str">
        <f>IF('ASS END SYNC'!C517="SHOW",MID('ASS END SYNC'!E517,O513+1,P513-O513-1),"")</f>
        <v/>
      </c>
      <c r="V513" s="24" t="str">
        <f>IF(AND('ASS END SYNC'!C517="SHOW",'ASS END SYNC'!C518="SHOW"),U514,IF(AND('ASS END SYNC'!C517="SHOW",'ASS END SYNC'!C518&lt;&gt;"SHOW"),MID('ASS END SYNC'!E517,O513+1,P513-O513-1),""))</f>
        <v/>
      </c>
      <c r="W513" s="23" t="str">
        <f>IF('ASS END SYNC'!C517="SHOW",MID('ASS END SYNC'!E517,Q513+1,S513-Q513+1),"")</f>
        <v/>
      </c>
      <c r="X513" s="23" t="str">
        <f>IF('ASS END SYNC'!C517="SHOW",MID('ASS END SYNC'!E517,S513+2,1000),"")</f>
        <v/>
      </c>
      <c r="Z513" s="24"/>
    </row>
    <row r="514" spans="1:26" x14ac:dyDescent="0.25">
      <c r="A514" s="26">
        <v>511</v>
      </c>
      <c r="B514" s="24" t="str">
        <f>IF('ASS START SYNC'!C518="SHOW",FIND(",",'ASS START SYNC'!E518,1),"")</f>
        <v/>
      </c>
      <c r="C514" s="24" t="str">
        <f>IF('ASS START SYNC'!C518="SHOW",FIND(",",'ASS START SYNC'!E518,B514+1),"")</f>
        <v/>
      </c>
      <c r="D514" s="24" t="str">
        <f>IF('ASS START SYNC'!C518="SHOW",FIND(",",'ASS START SYNC'!E518,C514+1),"")</f>
        <v/>
      </c>
      <c r="E514" s="25" t="str">
        <f>IF('ASS START SYNC'!C518="SHOW",FIND(",,",'ASS START SYNC'!E518,1),"")</f>
        <v/>
      </c>
      <c r="F514" s="25" t="str">
        <f>IF('ASS START SYNC'!C518="SHOW",FIND(",,",'ASS START SYNC'!E518,E514+1),"")</f>
        <v/>
      </c>
      <c r="G514" s="23" t="str">
        <f>IF('ASS START SYNC'!C518="SHOW",LEFT('ASS START SYNC'!E518,B514),"")</f>
        <v/>
      </c>
      <c r="H514" s="24" t="str">
        <f>IF(AND('ASS START SYNC'!C518="SHOW",COUNTA('ASS START SYNC'!$E$8:'ASS START SYNC'!E517)=0),MID('ASS START SYNC'!E518,B514+1,C514-B514-1),IF(AND('ASS START SYNC'!C518="SHOW",COUNTA('ASS START SYNC'!$E$8:'ASS START SYNC'!E517)&lt;&gt;0),I513,""))</f>
        <v/>
      </c>
      <c r="I514" s="24" t="str">
        <f>IF('ASS START SYNC'!C518="SHOW",MID('ASS START SYNC'!E518,C514+1,D514-C514-1),I513)</f>
        <v/>
      </c>
      <c r="J514" s="23" t="str">
        <f>IF('ASS START SYNC'!C518="SHOW",MID('ASS START SYNC'!E518,D514+1,F514-D514+1),"")</f>
        <v/>
      </c>
      <c r="K514" s="23" t="str">
        <f>IF('ASS START SYNC'!C518="SHOW",MID('ASS START SYNC'!E518,F514+2,1000),"")</f>
        <v/>
      </c>
      <c r="M514" s="24"/>
      <c r="N514" s="26">
        <v>511</v>
      </c>
      <c r="O514" s="24" t="str">
        <f>IF('ASS END SYNC'!C518="SHOW",FIND(",",'ASS END SYNC'!E518,1),"")</f>
        <v/>
      </c>
      <c r="P514" s="24" t="str">
        <f>IF('ASS END SYNC'!C518="SHOW",FIND(",",'ASS END SYNC'!E518,O514+1),"")</f>
        <v/>
      </c>
      <c r="Q514" s="24" t="str">
        <f>IF('ASS END SYNC'!C518="SHOW",FIND(",",'ASS END SYNC'!E518,P514+1),"")</f>
        <v/>
      </c>
      <c r="R514" s="25" t="str">
        <f>IF('ASS END SYNC'!C518="SHOW",FIND(",,",'ASS END SYNC'!E518,1),"")</f>
        <v/>
      </c>
      <c r="S514" s="25" t="str">
        <f>IF('ASS END SYNC'!C518="SHOW",FIND(",,",'ASS END SYNC'!E518,R514+1),"")</f>
        <v/>
      </c>
      <c r="T514" s="23" t="str">
        <f>IF('ASS END SYNC'!C518="SHOW",LEFT('ASS END SYNC'!E518,O514),"")</f>
        <v/>
      </c>
      <c r="U514" s="24" t="str">
        <f>IF('ASS END SYNC'!C518="SHOW",MID('ASS END SYNC'!E518,O514+1,P514-O514-1),"")</f>
        <v/>
      </c>
      <c r="V514" s="24" t="str">
        <f>IF(AND('ASS END SYNC'!C518="SHOW",'ASS END SYNC'!C519="SHOW"),U515,IF(AND('ASS END SYNC'!C518="SHOW",'ASS END SYNC'!C519&lt;&gt;"SHOW"),MID('ASS END SYNC'!E518,O514+1,P514-O514-1),""))</f>
        <v/>
      </c>
      <c r="W514" s="23" t="str">
        <f>IF('ASS END SYNC'!C518="SHOW",MID('ASS END SYNC'!E518,Q514+1,S514-Q514+1),"")</f>
        <v/>
      </c>
      <c r="X514" s="23" t="str">
        <f>IF('ASS END SYNC'!C518="SHOW",MID('ASS END SYNC'!E518,S514+2,1000),"")</f>
        <v/>
      </c>
      <c r="Z514" s="24"/>
    </row>
    <row r="515" spans="1:26" x14ac:dyDescent="0.25">
      <c r="A515" s="26">
        <v>512</v>
      </c>
      <c r="B515" s="24" t="str">
        <f>IF('ASS START SYNC'!C519="SHOW",FIND(",",'ASS START SYNC'!E519,1),"")</f>
        <v/>
      </c>
      <c r="C515" s="24" t="str">
        <f>IF('ASS START SYNC'!C519="SHOW",FIND(",",'ASS START SYNC'!E519,B515+1),"")</f>
        <v/>
      </c>
      <c r="D515" s="24" t="str">
        <f>IF('ASS START SYNC'!C519="SHOW",FIND(",",'ASS START SYNC'!E519,C515+1),"")</f>
        <v/>
      </c>
      <c r="E515" s="25" t="str">
        <f>IF('ASS START SYNC'!C519="SHOW",FIND(",,",'ASS START SYNC'!E519,1),"")</f>
        <v/>
      </c>
      <c r="F515" s="25" t="str">
        <f>IF('ASS START SYNC'!C519="SHOW",FIND(",,",'ASS START SYNC'!E519,E515+1),"")</f>
        <v/>
      </c>
      <c r="G515" s="23" t="str">
        <f>IF('ASS START SYNC'!C519="SHOW",LEFT('ASS START SYNC'!E519,B515),"")</f>
        <v/>
      </c>
      <c r="H515" s="24" t="str">
        <f>IF(AND('ASS START SYNC'!C519="SHOW",COUNTA('ASS START SYNC'!$E$8:'ASS START SYNC'!E518)=0),MID('ASS START SYNC'!E519,B515+1,C515-B515-1),IF(AND('ASS START SYNC'!C519="SHOW",COUNTA('ASS START SYNC'!$E$8:'ASS START SYNC'!E518)&lt;&gt;0),I514,""))</f>
        <v/>
      </c>
      <c r="I515" s="24" t="str">
        <f>IF('ASS START SYNC'!C519="SHOW",MID('ASS START SYNC'!E519,C515+1,D515-C515-1),I514)</f>
        <v/>
      </c>
      <c r="J515" s="23" t="str">
        <f>IF('ASS START SYNC'!C519="SHOW",MID('ASS START SYNC'!E519,D515+1,F515-D515+1),"")</f>
        <v/>
      </c>
      <c r="K515" s="23" t="str">
        <f>IF('ASS START SYNC'!C519="SHOW",MID('ASS START SYNC'!E519,F515+2,1000),"")</f>
        <v/>
      </c>
      <c r="M515" s="24"/>
      <c r="N515" s="26">
        <v>512</v>
      </c>
      <c r="O515" s="24" t="str">
        <f>IF('ASS END SYNC'!C519="SHOW",FIND(",",'ASS END SYNC'!E519,1),"")</f>
        <v/>
      </c>
      <c r="P515" s="24" t="str">
        <f>IF('ASS END SYNC'!C519="SHOW",FIND(",",'ASS END SYNC'!E519,O515+1),"")</f>
        <v/>
      </c>
      <c r="Q515" s="24" t="str">
        <f>IF('ASS END SYNC'!C519="SHOW",FIND(",",'ASS END SYNC'!E519,P515+1),"")</f>
        <v/>
      </c>
      <c r="R515" s="25" t="str">
        <f>IF('ASS END SYNC'!C519="SHOW",FIND(",,",'ASS END SYNC'!E519,1),"")</f>
        <v/>
      </c>
      <c r="S515" s="25" t="str">
        <f>IF('ASS END SYNC'!C519="SHOW",FIND(",,",'ASS END SYNC'!E519,R515+1),"")</f>
        <v/>
      </c>
      <c r="T515" s="23" t="str">
        <f>IF('ASS END SYNC'!C519="SHOW",LEFT('ASS END SYNC'!E519,O515),"")</f>
        <v/>
      </c>
      <c r="U515" s="24" t="str">
        <f>IF('ASS END SYNC'!C519="SHOW",MID('ASS END SYNC'!E519,O515+1,P515-O515-1),"")</f>
        <v/>
      </c>
      <c r="V515" s="24" t="str">
        <f>IF(AND('ASS END SYNC'!C519="SHOW",'ASS END SYNC'!C520="SHOW"),U516,IF(AND('ASS END SYNC'!C519="SHOW",'ASS END SYNC'!C520&lt;&gt;"SHOW"),MID('ASS END SYNC'!E519,O515+1,P515-O515-1),""))</f>
        <v/>
      </c>
      <c r="W515" s="23" t="str">
        <f>IF('ASS END SYNC'!C519="SHOW",MID('ASS END SYNC'!E519,Q515+1,S515-Q515+1),"")</f>
        <v/>
      </c>
      <c r="X515" s="23" t="str">
        <f>IF('ASS END SYNC'!C519="SHOW",MID('ASS END SYNC'!E519,S515+2,1000),"")</f>
        <v/>
      </c>
      <c r="Z515" s="24"/>
    </row>
    <row r="516" spans="1:26" x14ac:dyDescent="0.25">
      <c r="A516" s="26">
        <v>513</v>
      </c>
      <c r="B516" s="24" t="str">
        <f>IF('ASS START SYNC'!C520="SHOW",FIND(",",'ASS START SYNC'!E520,1),"")</f>
        <v/>
      </c>
      <c r="C516" s="24" t="str">
        <f>IF('ASS START SYNC'!C520="SHOW",FIND(",",'ASS START SYNC'!E520,B516+1),"")</f>
        <v/>
      </c>
      <c r="D516" s="24" t="str">
        <f>IF('ASS START SYNC'!C520="SHOW",FIND(",",'ASS START SYNC'!E520,C516+1),"")</f>
        <v/>
      </c>
      <c r="E516" s="25" t="str">
        <f>IF('ASS START SYNC'!C520="SHOW",FIND(",,",'ASS START SYNC'!E520,1),"")</f>
        <v/>
      </c>
      <c r="F516" s="25" t="str">
        <f>IF('ASS START SYNC'!C520="SHOW",FIND(",,",'ASS START SYNC'!E520,E516+1),"")</f>
        <v/>
      </c>
      <c r="G516" s="23" t="str">
        <f>IF('ASS START SYNC'!C520="SHOW",LEFT('ASS START SYNC'!E520,B516),"")</f>
        <v/>
      </c>
      <c r="H516" s="24" t="str">
        <f>IF(AND('ASS START SYNC'!C520="SHOW",COUNTA('ASS START SYNC'!$E$8:'ASS START SYNC'!E519)=0),MID('ASS START SYNC'!E520,B516+1,C516-B516-1),IF(AND('ASS START SYNC'!C520="SHOW",COUNTA('ASS START SYNC'!$E$8:'ASS START SYNC'!E519)&lt;&gt;0),I515,""))</f>
        <v/>
      </c>
      <c r="I516" s="24" t="str">
        <f>IF('ASS START SYNC'!C520="SHOW",MID('ASS START SYNC'!E520,C516+1,D516-C516-1),I515)</f>
        <v/>
      </c>
      <c r="J516" s="23" t="str">
        <f>IF('ASS START SYNC'!C520="SHOW",MID('ASS START SYNC'!E520,D516+1,F516-D516+1),"")</f>
        <v/>
      </c>
      <c r="K516" s="23" t="str">
        <f>IF('ASS START SYNC'!C520="SHOW",MID('ASS START SYNC'!E520,F516+2,1000),"")</f>
        <v/>
      </c>
      <c r="M516" s="24"/>
      <c r="N516" s="26">
        <v>513</v>
      </c>
      <c r="O516" s="24" t="str">
        <f>IF('ASS END SYNC'!C520="SHOW",FIND(",",'ASS END SYNC'!E520,1),"")</f>
        <v/>
      </c>
      <c r="P516" s="24" t="str">
        <f>IF('ASS END SYNC'!C520="SHOW",FIND(",",'ASS END SYNC'!E520,O516+1),"")</f>
        <v/>
      </c>
      <c r="Q516" s="24" t="str">
        <f>IF('ASS END SYNC'!C520="SHOW",FIND(",",'ASS END SYNC'!E520,P516+1),"")</f>
        <v/>
      </c>
      <c r="R516" s="25" t="str">
        <f>IF('ASS END SYNC'!C520="SHOW",FIND(",,",'ASS END SYNC'!E520,1),"")</f>
        <v/>
      </c>
      <c r="S516" s="25" t="str">
        <f>IF('ASS END SYNC'!C520="SHOW",FIND(",,",'ASS END SYNC'!E520,R516+1),"")</f>
        <v/>
      </c>
      <c r="T516" s="23" t="str">
        <f>IF('ASS END SYNC'!C520="SHOW",LEFT('ASS END SYNC'!E520,O516),"")</f>
        <v/>
      </c>
      <c r="U516" s="24" t="str">
        <f>IF('ASS END SYNC'!C520="SHOW",MID('ASS END SYNC'!E520,O516+1,P516-O516-1),"")</f>
        <v/>
      </c>
      <c r="V516" s="24" t="str">
        <f>IF(AND('ASS END SYNC'!C520="SHOW",'ASS END SYNC'!C521="SHOW"),U517,IF(AND('ASS END SYNC'!C520="SHOW",'ASS END SYNC'!C521&lt;&gt;"SHOW"),MID('ASS END SYNC'!E520,O516+1,P516-O516-1),""))</f>
        <v/>
      </c>
      <c r="W516" s="23" t="str">
        <f>IF('ASS END SYNC'!C520="SHOW",MID('ASS END SYNC'!E520,Q516+1,S516-Q516+1),"")</f>
        <v/>
      </c>
      <c r="X516" s="23" t="str">
        <f>IF('ASS END SYNC'!C520="SHOW",MID('ASS END SYNC'!E520,S516+2,1000),"")</f>
        <v/>
      </c>
      <c r="Z516" s="24"/>
    </row>
    <row r="517" spans="1:26" x14ac:dyDescent="0.25">
      <c r="A517" s="26">
        <v>514</v>
      </c>
      <c r="B517" s="24" t="str">
        <f>IF('ASS START SYNC'!C521="SHOW",FIND(",",'ASS START SYNC'!E521,1),"")</f>
        <v/>
      </c>
      <c r="C517" s="24" t="str">
        <f>IF('ASS START SYNC'!C521="SHOW",FIND(",",'ASS START SYNC'!E521,B517+1),"")</f>
        <v/>
      </c>
      <c r="D517" s="24" t="str">
        <f>IF('ASS START SYNC'!C521="SHOW",FIND(",",'ASS START SYNC'!E521,C517+1),"")</f>
        <v/>
      </c>
      <c r="E517" s="25" t="str">
        <f>IF('ASS START SYNC'!C521="SHOW",FIND(",,",'ASS START SYNC'!E521,1),"")</f>
        <v/>
      </c>
      <c r="F517" s="25" t="str">
        <f>IF('ASS START SYNC'!C521="SHOW",FIND(",,",'ASS START SYNC'!E521,E517+1),"")</f>
        <v/>
      </c>
      <c r="G517" s="23" t="str">
        <f>IF('ASS START SYNC'!C521="SHOW",LEFT('ASS START SYNC'!E521,B517),"")</f>
        <v/>
      </c>
      <c r="H517" s="24" t="str">
        <f>IF(AND('ASS START SYNC'!C521="SHOW",COUNTA('ASS START SYNC'!$E$8:'ASS START SYNC'!E520)=0),MID('ASS START SYNC'!E521,B517+1,C517-B517-1),IF(AND('ASS START SYNC'!C521="SHOW",COUNTA('ASS START SYNC'!$E$8:'ASS START SYNC'!E520)&lt;&gt;0),I516,""))</f>
        <v/>
      </c>
      <c r="I517" s="24" t="str">
        <f>IF('ASS START SYNC'!C521="SHOW",MID('ASS START SYNC'!E521,C517+1,D517-C517-1),I516)</f>
        <v/>
      </c>
      <c r="J517" s="23" t="str">
        <f>IF('ASS START SYNC'!C521="SHOW",MID('ASS START SYNC'!E521,D517+1,F517-D517+1),"")</f>
        <v/>
      </c>
      <c r="K517" s="23" t="str">
        <f>IF('ASS START SYNC'!C521="SHOW",MID('ASS START SYNC'!E521,F517+2,1000),"")</f>
        <v/>
      </c>
      <c r="M517" s="24"/>
      <c r="N517" s="26">
        <v>514</v>
      </c>
      <c r="O517" s="24" t="str">
        <f>IF('ASS END SYNC'!C521="SHOW",FIND(",",'ASS END SYNC'!E521,1),"")</f>
        <v/>
      </c>
      <c r="P517" s="24" t="str">
        <f>IF('ASS END SYNC'!C521="SHOW",FIND(",",'ASS END SYNC'!E521,O517+1),"")</f>
        <v/>
      </c>
      <c r="Q517" s="24" t="str">
        <f>IF('ASS END SYNC'!C521="SHOW",FIND(",",'ASS END SYNC'!E521,P517+1),"")</f>
        <v/>
      </c>
      <c r="R517" s="25" t="str">
        <f>IF('ASS END SYNC'!C521="SHOW",FIND(",,",'ASS END SYNC'!E521,1),"")</f>
        <v/>
      </c>
      <c r="S517" s="25" t="str">
        <f>IF('ASS END SYNC'!C521="SHOW",FIND(",,",'ASS END SYNC'!E521,R517+1),"")</f>
        <v/>
      </c>
      <c r="T517" s="23" t="str">
        <f>IF('ASS END SYNC'!C521="SHOW",LEFT('ASS END SYNC'!E521,O517),"")</f>
        <v/>
      </c>
      <c r="U517" s="24" t="str">
        <f>IF('ASS END SYNC'!C521="SHOW",MID('ASS END SYNC'!E521,O517+1,P517-O517-1),"")</f>
        <v/>
      </c>
      <c r="V517" s="24" t="str">
        <f>IF(AND('ASS END SYNC'!C521="SHOW",'ASS END SYNC'!C522="SHOW"),U518,IF(AND('ASS END SYNC'!C521="SHOW",'ASS END SYNC'!C522&lt;&gt;"SHOW"),MID('ASS END SYNC'!E521,O517+1,P517-O517-1),""))</f>
        <v/>
      </c>
      <c r="W517" s="23" t="str">
        <f>IF('ASS END SYNC'!C521="SHOW",MID('ASS END SYNC'!E521,Q517+1,S517-Q517+1),"")</f>
        <v/>
      </c>
      <c r="X517" s="23" t="str">
        <f>IF('ASS END SYNC'!C521="SHOW",MID('ASS END SYNC'!E521,S517+2,1000),"")</f>
        <v/>
      </c>
      <c r="Z517" s="24"/>
    </row>
    <row r="518" spans="1:26" x14ac:dyDescent="0.25">
      <c r="A518" s="26">
        <v>515</v>
      </c>
      <c r="B518" s="24" t="str">
        <f>IF('ASS START SYNC'!C522="SHOW",FIND(",",'ASS START SYNC'!E522,1),"")</f>
        <v/>
      </c>
      <c r="C518" s="24" t="str">
        <f>IF('ASS START SYNC'!C522="SHOW",FIND(",",'ASS START SYNC'!E522,B518+1),"")</f>
        <v/>
      </c>
      <c r="D518" s="24" t="str">
        <f>IF('ASS START SYNC'!C522="SHOW",FIND(",",'ASS START SYNC'!E522,C518+1),"")</f>
        <v/>
      </c>
      <c r="E518" s="25" t="str">
        <f>IF('ASS START SYNC'!C522="SHOW",FIND(",,",'ASS START SYNC'!E522,1),"")</f>
        <v/>
      </c>
      <c r="F518" s="25" t="str">
        <f>IF('ASS START SYNC'!C522="SHOW",FIND(",,",'ASS START SYNC'!E522,E518+1),"")</f>
        <v/>
      </c>
      <c r="G518" s="23" t="str">
        <f>IF('ASS START SYNC'!C522="SHOW",LEFT('ASS START SYNC'!E522,B518),"")</f>
        <v/>
      </c>
      <c r="H518" s="24" t="str">
        <f>IF(AND('ASS START SYNC'!C522="SHOW",COUNTA('ASS START SYNC'!$E$8:'ASS START SYNC'!E521)=0),MID('ASS START SYNC'!E522,B518+1,C518-B518-1),IF(AND('ASS START SYNC'!C522="SHOW",COUNTA('ASS START SYNC'!$E$8:'ASS START SYNC'!E521)&lt;&gt;0),I517,""))</f>
        <v/>
      </c>
      <c r="I518" s="24" t="str">
        <f>IF('ASS START SYNC'!C522="SHOW",MID('ASS START SYNC'!E522,C518+1,D518-C518-1),I517)</f>
        <v/>
      </c>
      <c r="J518" s="23" t="str">
        <f>IF('ASS START SYNC'!C522="SHOW",MID('ASS START SYNC'!E522,D518+1,F518-D518+1),"")</f>
        <v/>
      </c>
      <c r="K518" s="23" t="str">
        <f>IF('ASS START SYNC'!C522="SHOW",MID('ASS START SYNC'!E522,F518+2,1000),"")</f>
        <v/>
      </c>
      <c r="M518" s="24"/>
      <c r="N518" s="26">
        <v>515</v>
      </c>
      <c r="O518" s="24" t="str">
        <f>IF('ASS END SYNC'!C522="SHOW",FIND(",",'ASS END SYNC'!E522,1),"")</f>
        <v/>
      </c>
      <c r="P518" s="24" t="str">
        <f>IF('ASS END SYNC'!C522="SHOW",FIND(",",'ASS END SYNC'!E522,O518+1),"")</f>
        <v/>
      </c>
      <c r="Q518" s="24" t="str">
        <f>IF('ASS END SYNC'!C522="SHOW",FIND(",",'ASS END SYNC'!E522,P518+1),"")</f>
        <v/>
      </c>
      <c r="R518" s="25" t="str">
        <f>IF('ASS END SYNC'!C522="SHOW",FIND(",,",'ASS END SYNC'!E522,1),"")</f>
        <v/>
      </c>
      <c r="S518" s="25" t="str">
        <f>IF('ASS END SYNC'!C522="SHOW",FIND(",,",'ASS END SYNC'!E522,R518+1),"")</f>
        <v/>
      </c>
      <c r="T518" s="23" t="str">
        <f>IF('ASS END SYNC'!C522="SHOW",LEFT('ASS END SYNC'!E522,O518),"")</f>
        <v/>
      </c>
      <c r="U518" s="24" t="str">
        <f>IF('ASS END SYNC'!C522="SHOW",MID('ASS END SYNC'!E522,O518+1,P518-O518-1),"")</f>
        <v/>
      </c>
      <c r="V518" s="24" t="str">
        <f>IF(AND('ASS END SYNC'!C522="SHOW",'ASS END SYNC'!C523="SHOW"),U519,IF(AND('ASS END SYNC'!C522="SHOW",'ASS END SYNC'!C523&lt;&gt;"SHOW"),MID('ASS END SYNC'!E522,O518+1,P518-O518-1),""))</f>
        <v/>
      </c>
      <c r="W518" s="23" t="str">
        <f>IF('ASS END SYNC'!C522="SHOW",MID('ASS END SYNC'!E522,Q518+1,S518-Q518+1),"")</f>
        <v/>
      </c>
      <c r="X518" s="23" t="str">
        <f>IF('ASS END SYNC'!C522="SHOW",MID('ASS END SYNC'!E522,S518+2,1000),"")</f>
        <v/>
      </c>
      <c r="Z518" s="24"/>
    </row>
    <row r="519" spans="1:26" x14ac:dyDescent="0.25">
      <c r="A519" s="26">
        <v>516</v>
      </c>
      <c r="B519" s="24" t="str">
        <f>IF('ASS START SYNC'!C523="SHOW",FIND(",",'ASS START SYNC'!E523,1),"")</f>
        <v/>
      </c>
      <c r="C519" s="24" t="str">
        <f>IF('ASS START SYNC'!C523="SHOW",FIND(",",'ASS START SYNC'!E523,B519+1),"")</f>
        <v/>
      </c>
      <c r="D519" s="24" t="str">
        <f>IF('ASS START SYNC'!C523="SHOW",FIND(",",'ASS START SYNC'!E523,C519+1),"")</f>
        <v/>
      </c>
      <c r="E519" s="25" t="str">
        <f>IF('ASS START SYNC'!C523="SHOW",FIND(",,",'ASS START SYNC'!E523,1),"")</f>
        <v/>
      </c>
      <c r="F519" s="25" t="str">
        <f>IF('ASS START SYNC'!C523="SHOW",FIND(",,",'ASS START SYNC'!E523,E519+1),"")</f>
        <v/>
      </c>
      <c r="G519" s="23" t="str">
        <f>IF('ASS START SYNC'!C523="SHOW",LEFT('ASS START SYNC'!E523,B519),"")</f>
        <v/>
      </c>
      <c r="H519" s="24" t="str">
        <f>IF(AND('ASS START SYNC'!C523="SHOW",COUNTA('ASS START SYNC'!$E$8:'ASS START SYNC'!E522)=0),MID('ASS START SYNC'!E523,B519+1,C519-B519-1),IF(AND('ASS START SYNC'!C523="SHOW",COUNTA('ASS START SYNC'!$E$8:'ASS START SYNC'!E522)&lt;&gt;0),I518,""))</f>
        <v/>
      </c>
      <c r="I519" s="24" t="str">
        <f>IF('ASS START SYNC'!C523="SHOW",MID('ASS START SYNC'!E523,C519+1,D519-C519-1),I518)</f>
        <v/>
      </c>
      <c r="J519" s="23" t="str">
        <f>IF('ASS START SYNC'!C523="SHOW",MID('ASS START SYNC'!E523,D519+1,F519-D519+1),"")</f>
        <v/>
      </c>
      <c r="K519" s="23" t="str">
        <f>IF('ASS START SYNC'!C523="SHOW",MID('ASS START SYNC'!E523,F519+2,1000),"")</f>
        <v/>
      </c>
      <c r="M519" s="24"/>
      <c r="N519" s="26">
        <v>516</v>
      </c>
      <c r="O519" s="24" t="str">
        <f>IF('ASS END SYNC'!C523="SHOW",FIND(",",'ASS END SYNC'!E523,1),"")</f>
        <v/>
      </c>
      <c r="P519" s="24" t="str">
        <f>IF('ASS END SYNC'!C523="SHOW",FIND(",",'ASS END SYNC'!E523,O519+1),"")</f>
        <v/>
      </c>
      <c r="Q519" s="24" t="str">
        <f>IF('ASS END SYNC'!C523="SHOW",FIND(",",'ASS END SYNC'!E523,P519+1),"")</f>
        <v/>
      </c>
      <c r="R519" s="25" t="str">
        <f>IF('ASS END SYNC'!C523="SHOW",FIND(",,",'ASS END SYNC'!E523,1),"")</f>
        <v/>
      </c>
      <c r="S519" s="25" t="str">
        <f>IF('ASS END SYNC'!C523="SHOW",FIND(",,",'ASS END SYNC'!E523,R519+1),"")</f>
        <v/>
      </c>
      <c r="T519" s="23" t="str">
        <f>IF('ASS END SYNC'!C523="SHOW",LEFT('ASS END SYNC'!E523,O519),"")</f>
        <v/>
      </c>
      <c r="U519" s="24" t="str">
        <f>IF('ASS END SYNC'!C523="SHOW",MID('ASS END SYNC'!E523,O519+1,P519-O519-1),"")</f>
        <v/>
      </c>
      <c r="V519" s="24" t="str">
        <f>IF(AND('ASS END SYNC'!C523="SHOW",'ASS END SYNC'!C524="SHOW"),U520,IF(AND('ASS END SYNC'!C523="SHOW",'ASS END SYNC'!C524&lt;&gt;"SHOW"),MID('ASS END SYNC'!E523,O519+1,P519-O519-1),""))</f>
        <v/>
      </c>
      <c r="W519" s="23" t="str">
        <f>IF('ASS END SYNC'!C523="SHOW",MID('ASS END SYNC'!E523,Q519+1,S519-Q519+1),"")</f>
        <v/>
      </c>
      <c r="X519" s="23" t="str">
        <f>IF('ASS END SYNC'!C523="SHOW",MID('ASS END SYNC'!E523,S519+2,1000),"")</f>
        <v/>
      </c>
      <c r="Z519" s="24"/>
    </row>
    <row r="520" spans="1:26" x14ac:dyDescent="0.25">
      <c r="A520" s="26">
        <v>517</v>
      </c>
      <c r="B520" s="24" t="str">
        <f>IF('ASS START SYNC'!C524="SHOW",FIND(",",'ASS START SYNC'!E524,1),"")</f>
        <v/>
      </c>
      <c r="C520" s="24" t="str">
        <f>IF('ASS START SYNC'!C524="SHOW",FIND(",",'ASS START SYNC'!E524,B520+1),"")</f>
        <v/>
      </c>
      <c r="D520" s="24" t="str">
        <f>IF('ASS START SYNC'!C524="SHOW",FIND(",",'ASS START SYNC'!E524,C520+1),"")</f>
        <v/>
      </c>
      <c r="E520" s="25" t="str">
        <f>IF('ASS START SYNC'!C524="SHOW",FIND(",,",'ASS START SYNC'!E524,1),"")</f>
        <v/>
      </c>
      <c r="F520" s="25" t="str">
        <f>IF('ASS START SYNC'!C524="SHOW",FIND(",,",'ASS START SYNC'!E524,E520+1),"")</f>
        <v/>
      </c>
      <c r="G520" s="23" t="str">
        <f>IF('ASS START SYNC'!C524="SHOW",LEFT('ASS START SYNC'!E524,B520),"")</f>
        <v/>
      </c>
      <c r="H520" s="24" t="str">
        <f>IF(AND('ASS START SYNC'!C524="SHOW",COUNTA('ASS START SYNC'!$E$8:'ASS START SYNC'!E523)=0),MID('ASS START SYNC'!E524,B520+1,C520-B520-1),IF(AND('ASS START SYNC'!C524="SHOW",COUNTA('ASS START SYNC'!$E$8:'ASS START SYNC'!E523)&lt;&gt;0),I519,""))</f>
        <v/>
      </c>
      <c r="I520" s="24" t="str">
        <f>IF('ASS START SYNC'!C524="SHOW",MID('ASS START SYNC'!E524,C520+1,D520-C520-1),I519)</f>
        <v/>
      </c>
      <c r="J520" s="23" t="str">
        <f>IF('ASS START SYNC'!C524="SHOW",MID('ASS START SYNC'!E524,D520+1,F520-D520+1),"")</f>
        <v/>
      </c>
      <c r="K520" s="23" t="str">
        <f>IF('ASS START SYNC'!C524="SHOW",MID('ASS START SYNC'!E524,F520+2,1000),"")</f>
        <v/>
      </c>
      <c r="M520" s="24"/>
      <c r="N520" s="26">
        <v>517</v>
      </c>
      <c r="O520" s="24" t="str">
        <f>IF('ASS END SYNC'!C524="SHOW",FIND(",",'ASS END SYNC'!E524,1),"")</f>
        <v/>
      </c>
      <c r="P520" s="24" t="str">
        <f>IF('ASS END SYNC'!C524="SHOW",FIND(",",'ASS END SYNC'!E524,O520+1),"")</f>
        <v/>
      </c>
      <c r="Q520" s="24" t="str">
        <f>IF('ASS END SYNC'!C524="SHOW",FIND(",",'ASS END SYNC'!E524,P520+1),"")</f>
        <v/>
      </c>
      <c r="R520" s="25" t="str">
        <f>IF('ASS END SYNC'!C524="SHOW",FIND(",,",'ASS END SYNC'!E524,1),"")</f>
        <v/>
      </c>
      <c r="S520" s="25" t="str">
        <f>IF('ASS END SYNC'!C524="SHOW",FIND(",,",'ASS END SYNC'!E524,R520+1),"")</f>
        <v/>
      </c>
      <c r="T520" s="23" t="str">
        <f>IF('ASS END SYNC'!C524="SHOW",LEFT('ASS END SYNC'!E524,O520),"")</f>
        <v/>
      </c>
      <c r="U520" s="24" t="str">
        <f>IF('ASS END SYNC'!C524="SHOW",MID('ASS END SYNC'!E524,O520+1,P520-O520-1),"")</f>
        <v/>
      </c>
      <c r="V520" s="24" t="str">
        <f>IF(AND('ASS END SYNC'!C524="SHOW",'ASS END SYNC'!C525="SHOW"),U521,IF(AND('ASS END SYNC'!C524="SHOW",'ASS END SYNC'!C525&lt;&gt;"SHOW"),MID('ASS END SYNC'!E524,O520+1,P520-O520-1),""))</f>
        <v/>
      </c>
      <c r="W520" s="23" t="str">
        <f>IF('ASS END SYNC'!C524="SHOW",MID('ASS END SYNC'!E524,Q520+1,S520-Q520+1),"")</f>
        <v/>
      </c>
      <c r="X520" s="23" t="str">
        <f>IF('ASS END SYNC'!C524="SHOW",MID('ASS END SYNC'!E524,S520+2,1000),"")</f>
        <v/>
      </c>
      <c r="Z520" s="24"/>
    </row>
    <row r="521" spans="1:26" x14ac:dyDescent="0.25">
      <c r="A521" s="26">
        <v>518</v>
      </c>
      <c r="B521" s="24" t="str">
        <f>IF('ASS START SYNC'!C525="SHOW",FIND(",",'ASS START SYNC'!E525,1),"")</f>
        <v/>
      </c>
      <c r="C521" s="24" t="str">
        <f>IF('ASS START SYNC'!C525="SHOW",FIND(",",'ASS START SYNC'!E525,B521+1),"")</f>
        <v/>
      </c>
      <c r="D521" s="24" t="str">
        <f>IF('ASS START SYNC'!C525="SHOW",FIND(",",'ASS START SYNC'!E525,C521+1),"")</f>
        <v/>
      </c>
      <c r="E521" s="25" t="str">
        <f>IF('ASS START SYNC'!C525="SHOW",FIND(",,",'ASS START SYNC'!E525,1),"")</f>
        <v/>
      </c>
      <c r="F521" s="25" t="str">
        <f>IF('ASS START SYNC'!C525="SHOW",FIND(",,",'ASS START SYNC'!E525,E521+1),"")</f>
        <v/>
      </c>
      <c r="G521" s="23" t="str">
        <f>IF('ASS START SYNC'!C525="SHOW",LEFT('ASS START SYNC'!E525,B521),"")</f>
        <v/>
      </c>
      <c r="H521" s="24" t="str">
        <f>IF(AND('ASS START SYNC'!C525="SHOW",COUNTA('ASS START SYNC'!$E$8:'ASS START SYNC'!E524)=0),MID('ASS START SYNC'!E525,B521+1,C521-B521-1),IF(AND('ASS START SYNC'!C525="SHOW",COUNTA('ASS START SYNC'!$E$8:'ASS START SYNC'!E524)&lt;&gt;0),I520,""))</f>
        <v/>
      </c>
      <c r="I521" s="24" t="str">
        <f>IF('ASS START SYNC'!C525="SHOW",MID('ASS START SYNC'!E525,C521+1,D521-C521-1),I520)</f>
        <v/>
      </c>
      <c r="J521" s="23" t="str">
        <f>IF('ASS START SYNC'!C525="SHOW",MID('ASS START SYNC'!E525,D521+1,F521-D521+1),"")</f>
        <v/>
      </c>
      <c r="K521" s="23" t="str">
        <f>IF('ASS START SYNC'!C525="SHOW",MID('ASS START SYNC'!E525,F521+2,1000),"")</f>
        <v/>
      </c>
      <c r="M521" s="24"/>
      <c r="N521" s="26">
        <v>518</v>
      </c>
      <c r="O521" s="24" t="str">
        <f>IF('ASS END SYNC'!C525="SHOW",FIND(",",'ASS END SYNC'!E525,1),"")</f>
        <v/>
      </c>
      <c r="P521" s="24" t="str">
        <f>IF('ASS END SYNC'!C525="SHOW",FIND(",",'ASS END SYNC'!E525,O521+1),"")</f>
        <v/>
      </c>
      <c r="Q521" s="24" t="str">
        <f>IF('ASS END SYNC'!C525="SHOW",FIND(",",'ASS END SYNC'!E525,P521+1),"")</f>
        <v/>
      </c>
      <c r="R521" s="25" t="str">
        <f>IF('ASS END SYNC'!C525="SHOW",FIND(",,",'ASS END SYNC'!E525,1),"")</f>
        <v/>
      </c>
      <c r="S521" s="25" t="str">
        <f>IF('ASS END SYNC'!C525="SHOW",FIND(",,",'ASS END SYNC'!E525,R521+1),"")</f>
        <v/>
      </c>
      <c r="T521" s="23" t="str">
        <f>IF('ASS END SYNC'!C525="SHOW",LEFT('ASS END SYNC'!E525,O521),"")</f>
        <v/>
      </c>
      <c r="U521" s="24" t="str">
        <f>IF('ASS END SYNC'!C525="SHOW",MID('ASS END SYNC'!E525,O521+1,P521-O521-1),"")</f>
        <v/>
      </c>
      <c r="V521" s="24" t="str">
        <f>IF(AND('ASS END SYNC'!C525="SHOW",'ASS END SYNC'!C526="SHOW"),U522,IF(AND('ASS END SYNC'!C525="SHOW",'ASS END SYNC'!C526&lt;&gt;"SHOW"),MID('ASS END SYNC'!E525,O521+1,P521-O521-1),""))</f>
        <v/>
      </c>
      <c r="W521" s="23" t="str">
        <f>IF('ASS END SYNC'!C525="SHOW",MID('ASS END SYNC'!E525,Q521+1,S521-Q521+1),"")</f>
        <v/>
      </c>
      <c r="X521" s="23" t="str">
        <f>IF('ASS END SYNC'!C525="SHOW",MID('ASS END SYNC'!E525,S521+2,1000),"")</f>
        <v/>
      </c>
      <c r="Z521" s="24"/>
    </row>
    <row r="522" spans="1:26" x14ac:dyDescent="0.25">
      <c r="A522" s="26">
        <v>519</v>
      </c>
      <c r="B522" s="24" t="str">
        <f>IF('ASS START SYNC'!C526="SHOW",FIND(",",'ASS START SYNC'!E526,1),"")</f>
        <v/>
      </c>
      <c r="C522" s="24" t="str">
        <f>IF('ASS START SYNC'!C526="SHOW",FIND(",",'ASS START SYNC'!E526,B522+1),"")</f>
        <v/>
      </c>
      <c r="D522" s="24" t="str">
        <f>IF('ASS START SYNC'!C526="SHOW",FIND(",",'ASS START SYNC'!E526,C522+1),"")</f>
        <v/>
      </c>
      <c r="E522" s="25" t="str">
        <f>IF('ASS START SYNC'!C526="SHOW",FIND(",,",'ASS START SYNC'!E526,1),"")</f>
        <v/>
      </c>
      <c r="F522" s="25" t="str">
        <f>IF('ASS START SYNC'!C526="SHOW",FIND(",,",'ASS START SYNC'!E526,E522+1),"")</f>
        <v/>
      </c>
      <c r="G522" s="23" t="str">
        <f>IF('ASS START SYNC'!C526="SHOW",LEFT('ASS START SYNC'!E526,B522),"")</f>
        <v/>
      </c>
      <c r="H522" s="24" t="str">
        <f>IF(AND('ASS START SYNC'!C526="SHOW",COUNTA('ASS START SYNC'!$E$8:'ASS START SYNC'!E525)=0),MID('ASS START SYNC'!E526,B522+1,C522-B522-1),IF(AND('ASS START SYNC'!C526="SHOW",COUNTA('ASS START SYNC'!$E$8:'ASS START SYNC'!E525)&lt;&gt;0),I521,""))</f>
        <v/>
      </c>
      <c r="I522" s="24" t="str">
        <f>IF('ASS START SYNC'!C526="SHOW",MID('ASS START SYNC'!E526,C522+1,D522-C522-1),I521)</f>
        <v/>
      </c>
      <c r="J522" s="23" t="str">
        <f>IF('ASS START SYNC'!C526="SHOW",MID('ASS START SYNC'!E526,D522+1,F522-D522+1),"")</f>
        <v/>
      </c>
      <c r="K522" s="23" t="str">
        <f>IF('ASS START SYNC'!C526="SHOW",MID('ASS START SYNC'!E526,F522+2,1000),"")</f>
        <v/>
      </c>
      <c r="M522" s="24"/>
      <c r="N522" s="26">
        <v>519</v>
      </c>
      <c r="O522" s="24" t="str">
        <f>IF('ASS END SYNC'!C526="SHOW",FIND(",",'ASS END SYNC'!E526,1),"")</f>
        <v/>
      </c>
      <c r="P522" s="24" t="str">
        <f>IF('ASS END SYNC'!C526="SHOW",FIND(",",'ASS END SYNC'!E526,O522+1),"")</f>
        <v/>
      </c>
      <c r="Q522" s="24" t="str">
        <f>IF('ASS END SYNC'!C526="SHOW",FIND(",",'ASS END SYNC'!E526,P522+1),"")</f>
        <v/>
      </c>
      <c r="R522" s="25" t="str">
        <f>IF('ASS END SYNC'!C526="SHOW",FIND(",,",'ASS END SYNC'!E526,1),"")</f>
        <v/>
      </c>
      <c r="S522" s="25" t="str">
        <f>IF('ASS END SYNC'!C526="SHOW",FIND(",,",'ASS END SYNC'!E526,R522+1),"")</f>
        <v/>
      </c>
      <c r="T522" s="23" t="str">
        <f>IF('ASS END SYNC'!C526="SHOW",LEFT('ASS END SYNC'!E526,O522),"")</f>
        <v/>
      </c>
      <c r="U522" s="24" t="str">
        <f>IF('ASS END SYNC'!C526="SHOW",MID('ASS END SYNC'!E526,O522+1,P522-O522-1),"")</f>
        <v/>
      </c>
      <c r="V522" s="24" t="str">
        <f>IF(AND('ASS END SYNC'!C526="SHOW",'ASS END SYNC'!C527="SHOW"),U523,IF(AND('ASS END SYNC'!C526="SHOW",'ASS END SYNC'!C527&lt;&gt;"SHOW"),MID('ASS END SYNC'!E526,O522+1,P522-O522-1),""))</f>
        <v/>
      </c>
      <c r="W522" s="23" t="str">
        <f>IF('ASS END SYNC'!C526="SHOW",MID('ASS END SYNC'!E526,Q522+1,S522-Q522+1),"")</f>
        <v/>
      </c>
      <c r="X522" s="23" t="str">
        <f>IF('ASS END SYNC'!C526="SHOW",MID('ASS END SYNC'!E526,S522+2,1000),"")</f>
        <v/>
      </c>
      <c r="Z522" s="24"/>
    </row>
    <row r="523" spans="1:26" x14ac:dyDescent="0.25">
      <c r="A523" s="26">
        <v>520</v>
      </c>
      <c r="B523" s="24" t="str">
        <f>IF('ASS START SYNC'!C527="SHOW",FIND(",",'ASS START SYNC'!E527,1),"")</f>
        <v/>
      </c>
      <c r="C523" s="24" t="str">
        <f>IF('ASS START SYNC'!C527="SHOW",FIND(",",'ASS START SYNC'!E527,B523+1),"")</f>
        <v/>
      </c>
      <c r="D523" s="24" t="str">
        <f>IF('ASS START SYNC'!C527="SHOW",FIND(",",'ASS START SYNC'!E527,C523+1),"")</f>
        <v/>
      </c>
      <c r="E523" s="25" t="str">
        <f>IF('ASS START SYNC'!C527="SHOW",FIND(",,",'ASS START SYNC'!E527,1),"")</f>
        <v/>
      </c>
      <c r="F523" s="25" t="str">
        <f>IF('ASS START SYNC'!C527="SHOW",FIND(",,",'ASS START SYNC'!E527,E523+1),"")</f>
        <v/>
      </c>
      <c r="G523" s="23" t="str">
        <f>IF('ASS START SYNC'!C527="SHOW",LEFT('ASS START SYNC'!E527,B523),"")</f>
        <v/>
      </c>
      <c r="H523" s="24" t="str">
        <f>IF(AND('ASS START SYNC'!C527="SHOW",COUNTA('ASS START SYNC'!$E$8:'ASS START SYNC'!E526)=0),MID('ASS START SYNC'!E527,B523+1,C523-B523-1),IF(AND('ASS START SYNC'!C527="SHOW",COUNTA('ASS START SYNC'!$E$8:'ASS START SYNC'!E526)&lt;&gt;0),I522,""))</f>
        <v/>
      </c>
      <c r="I523" s="24" t="str">
        <f>IF('ASS START SYNC'!C527="SHOW",MID('ASS START SYNC'!E527,C523+1,D523-C523-1),I522)</f>
        <v/>
      </c>
      <c r="J523" s="23" t="str">
        <f>IF('ASS START SYNC'!C527="SHOW",MID('ASS START SYNC'!E527,D523+1,F523-D523+1),"")</f>
        <v/>
      </c>
      <c r="K523" s="23" t="str">
        <f>IF('ASS START SYNC'!C527="SHOW",MID('ASS START SYNC'!E527,F523+2,1000),"")</f>
        <v/>
      </c>
      <c r="M523" s="24"/>
      <c r="N523" s="26">
        <v>520</v>
      </c>
      <c r="O523" s="24" t="str">
        <f>IF('ASS END SYNC'!C527="SHOW",FIND(",",'ASS END SYNC'!E527,1),"")</f>
        <v/>
      </c>
      <c r="P523" s="24" t="str">
        <f>IF('ASS END SYNC'!C527="SHOW",FIND(",",'ASS END SYNC'!E527,O523+1),"")</f>
        <v/>
      </c>
      <c r="Q523" s="24" t="str">
        <f>IF('ASS END SYNC'!C527="SHOW",FIND(",",'ASS END SYNC'!E527,P523+1),"")</f>
        <v/>
      </c>
      <c r="R523" s="25" t="str">
        <f>IF('ASS END SYNC'!C527="SHOW",FIND(",,",'ASS END SYNC'!E527,1),"")</f>
        <v/>
      </c>
      <c r="S523" s="25" t="str">
        <f>IF('ASS END SYNC'!C527="SHOW",FIND(",,",'ASS END SYNC'!E527,R523+1),"")</f>
        <v/>
      </c>
      <c r="T523" s="23" t="str">
        <f>IF('ASS END SYNC'!C527="SHOW",LEFT('ASS END SYNC'!E527,O523),"")</f>
        <v/>
      </c>
      <c r="U523" s="24" t="str">
        <f>IF('ASS END SYNC'!C527="SHOW",MID('ASS END SYNC'!E527,O523+1,P523-O523-1),"")</f>
        <v/>
      </c>
      <c r="V523" s="24" t="str">
        <f>IF(AND('ASS END SYNC'!C527="SHOW",'ASS END SYNC'!C528="SHOW"),U524,IF(AND('ASS END SYNC'!C527="SHOW",'ASS END SYNC'!C528&lt;&gt;"SHOW"),MID('ASS END SYNC'!E527,O523+1,P523-O523-1),""))</f>
        <v/>
      </c>
      <c r="W523" s="23" t="str">
        <f>IF('ASS END SYNC'!C527="SHOW",MID('ASS END SYNC'!E527,Q523+1,S523-Q523+1),"")</f>
        <v/>
      </c>
      <c r="X523" s="23" t="str">
        <f>IF('ASS END SYNC'!C527="SHOW",MID('ASS END SYNC'!E527,S523+2,1000),"")</f>
        <v/>
      </c>
      <c r="Z523" s="24"/>
    </row>
    <row r="524" spans="1:26" x14ac:dyDescent="0.25">
      <c r="A524" s="26">
        <v>521</v>
      </c>
      <c r="B524" s="24" t="str">
        <f>IF('ASS START SYNC'!C528="SHOW",FIND(",",'ASS START SYNC'!E528,1),"")</f>
        <v/>
      </c>
      <c r="C524" s="24" t="str">
        <f>IF('ASS START SYNC'!C528="SHOW",FIND(",",'ASS START SYNC'!E528,B524+1),"")</f>
        <v/>
      </c>
      <c r="D524" s="24" t="str">
        <f>IF('ASS START SYNC'!C528="SHOW",FIND(",",'ASS START SYNC'!E528,C524+1),"")</f>
        <v/>
      </c>
      <c r="E524" s="25" t="str">
        <f>IF('ASS START SYNC'!C528="SHOW",FIND(",,",'ASS START SYNC'!E528,1),"")</f>
        <v/>
      </c>
      <c r="F524" s="25" t="str">
        <f>IF('ASS START SYNC'!C528="SHOW",FIND(",,",'ASS START SYNC'!E528,E524+1),"")</f>
        <v/>
      </c>
      <c r="G524" s="23" t="str">
        <f>IF('ASS START SYNC'!C528="SHOW",LEFT('ASS START SYNC'!E528,B524),"")</f>
        <v/>
      </c>
      <c r="H524" s="24" t="str">
        <f>IF(AND('ASS START SYNC'!C528="SHOW",COUNTA('ASS START SYNC'!$E$8:'ASS START SYNC'!E527)=0),MID('ASS START SYNC'!E528,B524+1,C524-B524-1),IF(AND('ASS START SYNC'!C528="SHOW",COUNTA('ASS START SYNC'!$E$8:'ASS START SYNC'!E527)&lt;&gt;0),I523,""))</f>
        <v/>
      </c>
      <c r="I524" s="24" t="str">
        <f>IF('ASS START SYNC'!C528="SHOW",MID('ASS START SYNC'!E528,C524+1,D524-C524-1),I523)</f>
        <v/>
      </c>
      <c r="J524" s="23" t="str">
        <f>IF('ASS START SYNC'!C528="SHOW",MID('ASS START SYNC'!E528,D524+1,F524-D524+1),"")</f>
        <v/>
      </c>
      <c r="K524" s="23" t="str">
        <f>IF('ASS START SYNC'!C528="SHOW",MID('ASS START SYNC'!E528,F524+2,1000),"")</f>
        <v/>
      </c>
      <c r="M524" s="24"/>
      <c r="N524" s="26">
        <v>521</v>
      </c>
      <c r="O524" s="24" t="str">
        <f>IF('ASS END SYNC'!C528="SHOW",FIND(",",'ASS END SYNC'!E528,1),"")</f>
        <v/>
      </c>
      <c r="P524" s="24" t="str">
        <f>IF('ASS END SYNC'!C528="SHOW",FIND(",",'ASS END SYNC'!E528,O524+1),"")</f>
        <v/>
      </c>
      <c r="Q524" s="24" t="str">
        <f>IF('ASS END SYNC'!C528="SHOW",FIND(",",'ASS END SYNC'!E528,P524+1),"")</f>
        <v/>
      </c>
      <c r="R524" s="25" t="str">
        <f>IF('ASS END SYNC'!C528="SHOW",FIND(",,",'ASS END SYNC'!E528,1),"")</f>
        <v/>
      </c>
      <c r="S524" s="25" t="str">
        <f>IF('ASS END SYNC'!C528="SHOW",FIND(",,",'ASS END SYNC'!E528,R524+1),"")</f>
        <v/>
      </c>
      <c r="T524" s="23" t="str">
        <f>IF('ASS END SYNC'!C528="SHOW",LEFT('ASS END SYNC'!E528,O524),"")</f>
        <v/>
      </c>
      <c r="U524" s="24" t="str">
        <f>IF('ASS END SYNC'!C528="SHOW",MID('ASS END SYNC'!E528,O524+1,P524-O524-1),"")</f>
        <v/>
      </c>
      <c r="V524" s="24" t="str">
        <f>IF(AND('ASS END SYNC'!C528="SHOW",'ASS END SYNC'!C529="SHOW"),U525,IF(AND('ASS END SYNC'!C528="SHOW",'ASS END SYNC'!C529&lt;&gt;"SHOW"),MID('ASS END SYNC'!E528,O524+1,P524-O524-1),""))</f>
        <v/>
      </c>
      <c r="W524" s="23" t="str">
        <f>IF('ASS END SYNC'!C528="SHOW",MID('ASS END SYNC'!E528,Q524+1,S524-Q524+1),"")</f>
        <v/>
      </c>
      <c r="X524" s="23" t="str">
        <f>IF('ASS END SYNC'!C528="SHOW",MID('ASS END SYNC'!E528,S524+2,1000),"")</f>
        <v/>
      </c>
      <c r="Z524" s="24"/>
    </row>
    <row r="525" spans="1:26" x14ac:dyDescent="0.25">
      <c r="A525" s="26">
        <v>522</v>
      </c>
      <c r="B525" s="24" t="str">
        <f>IF('ASS START SYNC'!C529="SHOW",FIND(",",'ASS START SYNC'!E529,1),"")</f>
        <v/>
      </c>
      <c r="C525" s="24" t="str">
        <f>IF('ASS START SYNC'!C529="SHOW",FIND(",",'ASS START SYNC'!E529,B525+1),"")</f>
        <v/>
      </c>
      <c r="D525" s="24" t="str">
        <f>IF('ASS START SYNC'!C529="SHOW",FIND(",",'ASS START SYNC'!E529,C525+1),"")</f>
        <v/>
      </c>
      <c r="E525" s="25" t="str">
        <f>IF('ASS START SYNC'!C529="SHOW",FIND(",,",'ASS START SYNC'!E529,1),"")</f>
        <v/>
      </c>
      <c r="F525" s="25" t="str">
        <f>IF('ASS START SYNC'!C529="SHOW",FIND(",,",'ASS START SYNC'!E529,E525+1),"")</f>
        <v/>
      </c>
      <c r="G525" s="23" t="str">
        <f>IF('ASS START SYNC'!C529="SHOW",LEFT('ASS START SYNC'!E529,B525),"")</f>
        <v/>
      </c>
      <c r="H525" s="24" t="str">
        <f>IF(AND('ASS START SYNC'!C529="SHOW",COUNTA('ASS START SYNC'!$E$8:'ASS START SYNC'!E528)=0),MID('ASS START SYNC'!E529,B525+1,C525-B525-1),IF(AND('ASS START SYNC'!C529="SHOW",COUNTA('ASS START SYNC'!$E$8:'ASS START SYNC'!E528)&lt;&gt;0),I524,""))</f>
        <v/>
      </c>
      <c r="I525" s="24" t="str">
        <f>IF('ASS START SYNC'!C529="SHOW",MID('ASS START SYNC'!E529,C525+1,D525-C525-1),I524)</f>
        <v/>
      </c>
      <c r="J525" s="23" t="str">
        <f>IF('ASS START SYNC'!C529="SHOW",MID('ASS START SYNC'!E529,D525+1,F525-D525+1),"")</f>
        <v/>
      </c>
      <c r="K525" s="23" t="str">
        <f>IF('ASS START SYNC'!C529="SHOW",MID('ASS START SYNC'!E529,F525+2,1000),"")</f>
        <v/>
      </c>
      <c r="M525" s="24"/>
      <c r="N525" s="26">
        <v>522</v>
      </c>
      <c r="O525" s="24" t="str">
        <f>IF('ASS END SYNC'!C529="SHOW",FIND(",",'ASS END SYNC'!E529,1),"")</f>
        <v/>
      </c>
      <c r="P525" s="24" t="str">
        <f>IF('ASS END SYNC'!C529="SHOW",FIND(",",'ASS END SYNC'!E529,O525+1),"")</f>
        <v/>
      </c>
      <c r="Q525" s="24" t="str">
        <f>IF('ASS END SYNC'!C529="SHOW",FIND(",",'ASS END SYNC'!E529,P525+1),"")</f>
        <v/>
      </c>
      <c r="R525" s="25" t="str">
        <f>IF('ASS END SYNC'!C529="SHOW",FIND(",,",'ASS END SYNC'!E529,1),"")</f>
        <v/>
      </c>
      <c r="S525" s="25" t="str">
        <f>IF('ASS END SYNC'!C529="SHOW",FIND(",,",'ASS END SYNC'!E529,R525+1),"")</f>
        <v/>
      </c>
      <c r="T525" s="23" t="str">
        <f>IF('ASS END SYNC'!C529="SHOW",LEFT('ASS END SYNC'!E529,O525),"")</f>
        <v/>
      </c>
      <c r="U525" s="24" t="str">
        <f>IF('ASS END SYNC'!C529="SHOW",MID('ASS END SYNC'!E529,O525+1,P525-O525-1),"")</f>
        <v/>
      </c>
      <c r="V525" s="24" t="str">
        <f>IF(AND('ASS END SYNC'!C529="SHOW",'ASS END SYNC'!C530="SHOW"),U526,IF(AND('ASS END SYNC'!C529="SHOW",'ASS END SYNC'!C530&lt;&gt;"SHOW"),MID('ASS END SYNC'!E529,O525+1,P525-O525-1),""))</f>
        <v/>
      </c>
      <c r="W525" s="23" t="str">
        <f>IF('ASS END SYNC'!C529="SHOW",MID('ASS END SYNC'!E529,Q525+1,S525-Q525+1),"")</f>
        <v/>
      </c>
      <c r="X525" s="23" t="str">
        <f>IF('ASS END SYNC'!C529="SHOW",MID('ASS END SYNC'!E529,S525+2,1000),"")</f>
        <v/>
      </c>
      <c r="Z525" s="24"/>
    </row>
    <row r="526" spans="1:26" x14ac:dyDescent="0.25">
      <c r="A526" s="26">
        <v>523</v>
      </c>
      <c r="B526" s="24" t="str">
        <f>IF('ASS START SYNC'!C530="SHOW",FIND(",",'ASS START SYNC'!E530,1),"")</f>
        <v/>
      </c>
      <c r="C526" s="24" t="str">
        <f>IF('ASS START SYNC'!C530="SHOW",FIND(",",'ASS START SYNC'!E530,B526+1),"")</f>
        <v/>
      </c>
      <c r="D526" s="24" t="str">
        <f>IF('ASS START SYNC'!C530="SHOW",FIND(",",'ASS START SYNC'!E530,C526+1),"")</f>
        <v/>
      </c>
      <c r="E526" s="25" t="str">
        <f>IF('ASS START SYNC'!C530="SHOW",FIND(",,",'ASS START SYNC'!E530,1),"")</f>
        <v/>
      </c>
      <c r="F526" s="25" t="str">
        <f>IF('ASS START SYNC'!C530="SHOW",FIND(",,",'ASS START SYNC'!E530,E526+1),"")</f>
        <v/>
      </c>
      <c r="G526" s="23" t="str">
        <f>IF('ASS START SYNC'!C530="SHOW",LEFT('ASS START SYNC'!E530,B526),"")</f>
        <v/>
      </c>
      <c r="H526" s="24" t="str">
        <f>IF(AND('ASS START SYNC'!C530="SHOW",COUNTA('ASS START SYNC'!$E$8:'ASS START SYNC'!E529)=0),MID('ASS START SYNC'!E530,B526+1,C526-B526-1),IF(AND('ASS START SYNC'!C530="SHOW",COUNTA('ASS START SYNC'!$E$8:'ASS START SYNC'!E529)&lt;&gt;0),I525,""))</f>
        <v/>
      </c>
      <c r="I526" s="24" t="str">
        <f>IF('ASS START SYNC'!C530="SHOW",MID('ASS START SYNC'!E530,C526+1,D526-C526-1),I525)</f>
        <v/>
      </c>
      <c r="J526" s="23" t="str">
        <f>IF('ASS START SYNC'!C530="SHOW",MID('ASS START SYNC'!E530,D526+1,F526-D526+1),"")</f>
        <v/>
      </c>
      <c r="K526" s="23" t="str">
        <f>IF('ASS START SYNC'!C530="SHOW",MID('ASS START SYNC'!E530,F526+2,1000),"")</f>
        <v/>
      </c>
      <c r="M526" s="24"/>
      <c r="N526" s="26">
        <v>523</v>
      </c>
      <c r="O526" s="24" t="str">
        <f>IF('ASS END SYNC'!C530="SHOW",FIND(",",'ASS END SYNC'!E530,1),"")</f>
        <v/>
      </c>
      <c r="P526" s="24" t="str">
        <f>IF('ASS END SYNC'!C530="SHOW",FIND(",",'ASS END SYNC'!E530,O526+1),"")</f>
        <v/>
      </c>
      <c r="Q526" s="24" t="str">
        <f>IF('ASS END SYNC'!C530="SHOW",FIND(",",'ASS END SYNC'!E530,P526+1),"")</f>
        <v/>
      </c>
      <c r="R526" s="25" t="str">
        <f>IF('ASS END SYNC'!C530="SHOW",FIND(",,",'ASS END SYNC'!E530,1),"")</f>
        <v/>
      </c>
      <c r="S526" s="25" t="str">
        <f>IF('ASS END SYNC'!C530="SHOW",FIND(",,",'ASS END SYNC'!E530,R526+1),"")</f>
        <v/>
      </c>
      <c r="T526" s="23" t="str">
        <f>IF('ASS END SYNC'!C530="SHOW",LEFT('ASS END SYNC'!E530,O526),"")</f>
        <v/>
      </c>
      <c r="U526" s="24" t="str">
        <f>IF('ASS END SYNC'!C530="SHOW",MID('ASS END SYNC'!E530,O526+1,P526-O526-1),"")</f>
        <v/>
      </c>
      <c r="V526" s="24" t="str">
        <f>IF(AND('ASS END SYNC'!C530="SHOW",'ASS END SYNC'!C531="SHOW"),U527,IF(AND('ASS END SYNC'!C530="SHOW",'ASS END SYNC'!C531&lt;&gt;"SHOW"),MID('ASS END SYNC'!E530,O526+1,P526-O526-1),""))</f>
        <v/>
      </c>
      <c r="W526" s="23" t="str">
        <f>IF('ASS END SYNC'!C530="SHOW",MID('ASS END SYNC'!E530,Q526+1,S526-Q526+1),"")</f>
        <v/>
      </c>
      <c r="X526" s="23" t="str">
        <f>IF('ASS END SYNC'!C530="SHOW",MID('ASS END SYNC'!E530,S526+2,1000),"")</f>
        <v/>
      </c>
      <c r="Z526" s="24"/>
    </row>
    <row r="527" spans="1:26" x14ac:dyDescent="0.25">
      <c r="A527" s="26">
        <v>524</v>
      </c>
      <c r="B527" s="24" t="str">
        <f>IF('ASS START SYNC'!C531="SHOW",FIND(",",'ASS START SYNC'!E531,1),"")</f>
        <v/>
      </c>
      <c r="C527" s="24" t="str">
        <f>IF('ASS START SYNC'!C531="SHOW",FIND(",",'ASS START SYNC'!E531,B527+1),"")</f>
        <v/>
      </c>
      <c r="D527" s="24" t="str">
        <f>IF('ASS START SYNC'!C531="SHOW",FIND(",",'ASS START SYNC'!E531,C527+1),"")</f>
        <v/>
      </c>
      <c r="E527" s="25" t="str">
        <f>IF('ASS START SYNC'!C531="SHOW",FIND(",,",'ASS START SYNC'!E531,1),"")</f>
        <v/>
      </c>
      <c r="F527" s="25" t="str">
        <f>IF('ASS START SYNC'!C531="SHOW",FIND(",,",'ASS START SYNC'!E531,E527+1),"")</f>
        <v/>
      </c>
      <c r="G527" s="23" t="str">
        <f>IF('ASS START SYNC'!C531="SHOW",LEFT('ASS START SYNC'!E531,B527),"")</f>
        <v/>
      </c>
      <c r="H527" s="24" t="str">
        <f>IF(AND('ASS START SYNC'!C531="SHOW",COUNTA('ASS START SYNC'!$E$8:'ASS START SYNC'!E530)=0),MID('ASS START SYNC'!E531,B527+1,C527-B527-1),IF(AND('ASS START SYNC'!C531="SHOW",COUNTA('ASS START SYNC'!$E$8:'ASS START SYNC'!E530)&lt;&gt;0),I526,""))</f>
        <v/>
      </c>
      <c r="I527" s="24" t="str">
        <f>IF('ASS START SYNC'!C531="SHOW",MID('ASS START SYNC'!E531,C527+1,D527-C527-1),I526)</f>
        <v/>
      </c>
      <c r="J527" s="23" t="str">
        <f>IF('ASS START SYNC'!C531="SHOW",MID('ASS START SYNC'!E531,D527+1,F527-D527+1),"")</f>
        <v/>
      </c>
      <c r="K527" s="23" t="str">
        <f>IF('ASS START SYNC'!C531="SHOW",MID('ASS START SYNC'!E531,F527+2,1000),"")</f>
        <v/>
      </c>
      <c r="M527" s="24"/>
      <c r="N527" s="26">
        <v>524</v>
      </c>
      <c r="O527" s="24" t="str">
        <f>IF('ASS END SYNC'!C531="SHOW",FIND(",",'ASS END SYNC'!E531,1),"")</f>
        <v/>
      </c>
      <c r="P527" s="24" t="str">
        <f>IF('ASS END SYNC'!C531="SHOW",FIND(",",'ASS END SYNC'!E531,O527+1),"")</f>
        <v/>
      </c>
      <c r="Q527" s="24" t="str">
        <f>IF('ASS END SYNC'!C531="SHOW",FIND(",",'ASS END SYNC'!E531,P527+1),"")</f>
        <v/>
      </c>
      <c r="R527" s="25" t="str">
        <f>IF('ASS END SYNC'!C531="SHOW",FIND(",,",'ASS END SYNC'!E531,1),"")</f>
        <v/>
      </c>
      <c r="S527" s="25" t="str">
        <f>IF('ASS END SYNC'!C531="SHOW",FIND(",,",'ASS END SYNC'!E531,R527+1),"")</f>
        <v/>
      </c>
      <c r="T527" s="23" t="str">
        <f>IF('ASS END SYNC'!C531="SHOW",LEFT('ASS END SYNC'!E531,O527),"")</f>
        <v/>
      </c>
      <c r="U527" s="24" t="str">
        <f>IF('ASS END SYNC'!C531="SHOW",MID('ASS END SYNC'!E531,O527+1,P527-O527-1),"")</f>
        <v/>
      </c>
      <c r="V527" s="24" t="str">
        <f>IF(AND('ASS END SYNC'!C531="SHOW",'ASS END SYNC'!C532="SHOW"),U528,IF(AND('ASS END SYNC'!C531="SHOW",'ASS END SYNC'!C532&lt;&gt;"SHOW"),MID('ASS END SYNC'!E531,O527+1,P527-O527-1),""))</f>
        <v/>
      </c>
      <c r="W527" s="23" t="str">
        <f>IF('ASS END SYNC'!C531="SHOW",MID('ASS END SYNC'!E531,Q527+1,S527-Q527+1),"")</f>
        <v/>
      </c>
      <c r="X527" s="23" t="str">
        <f>IF('ASS END SYNC'!C531="SHOW",MID('ASS END SYNC'!E531,S527+2,1000),"")</f>
        <v/>
      </c>
      <c r="Z527" s="24"/>
    </row>
    <row r="528" spans="1:26" x14ac:dyDescent="0.25">
      <c r="A528" s="26">
        <v>525</v>
      </c>
      <c r="B528" s="24" t="str">
        <f>IF('ASS START SYNC'!C532="SHOW",FIND(",",'ASS START SYNC'!E532,1),"")</f>
        <v/>
      </c>
      <c r="C528" s="24" t="str">
        <f>IF('ASS START SYNC'!C532="SHOW",FIND(",",'ASS START SYNC'!E532,B528+1),"")</f>
        <v/>
      </c>
      <c r="D528" s="24" t="str">
        <f>IF('ASS START SYNC'!C532="SHOW",FIND(",",'ASS START SYNC'!E532,C528+1),"")</f>
        <v/>
      </c>
      <c r="E528" s="25" t="str">
        <f>IF('ASS START SYNC'!C532="SHOW",FIND(",,",'ASS START SYNC'!E532,1),"")</f>
        <v/>
      </c>
      <c r="F528" s="25" t="str">
        <f>IF('ASS START SYNC'!C532="SHOW",FIND(",,",'ASS START SYNC'!E532,E528+1),"")</f>
        <v/>
      </c>
      <c r="G528" s="23" t="str">
        <f>IF('ASS START SYNC'!C532="SHOW",LEFT('ASS START SYNC'!E532,B528),"")</f>
        <v/>
      </c>
      <c r="H528" s="24" t="str">
        <f>IF(AND('ASS START SYNC'!C532="SHOW",COUNTA('ASS START SYNC'!$E$8:'ASS START SYNC'!E531)=0),MID('ASS START SYNC'!E532,B528+1,C528-B528-1),IF(AND('ASS START SYNC'!C532="SHOW",COUNTA('ASS START SYNC'!$E$8:'ASS START SYNC'!E531)&lt;&gt;0),I527,""))</f>
        <v/>
      </c>
      <c r="I528" s="24" t="str">
        <f>IF('ASS START SYNC'!C532="SHOW",MID('ASS START SYNC'!E532,C528+1,D528-C528-1),I527)</f>
        <v/>
      </c>
      <c r="J528" s="23" t="str">
        <f>IF('ASS START SYNC'!C532="SHOW",MID('ASS START SYNC'!E532,D528+1,F528-D528+1),"")</f>
        <v/>
      </c>
      <c r="K528" s="23" t="str">
        <f>IF('ASS START SYNC'!C532="SHOW",MID('ASS START SYNC'!E532,F528+2,1000),"")</f>
        <v/>
      </c>
      <c r="M528" s="24"/>
      <c r="N528" s="26">
        <v>525</v>
      </c>
      <c r="O528" s="24" t="str">
        <f>IF('ASS END SYNC'!C532="SHOW",FIND(",",'ASS END SYNC'!E532,1),"")</f>
        <v/>
      </c>
      <c r="P528" s="24" t="str">
        <f>IF('ASS END SYNC'!C532="SHOW",FIND(",",'ASS END SYNC'!E532,O528+1),"")</f>
        <v/>
      </c>
      <c r="Q528" s="24" t="str">
        <f>IF('ASS END SYNC'!C532="SHOW",FIND(",",'ASS END SYNC'!E532,P528+1),"")</f>
        <v/>
      </c>
      <c r="R528" s="25" t="str">
        <f>IF('ASS END SYNC'!C532="SHOW",FIND(",,",'ASS END SYNC'!E532,1),"")</f>
        <v/>
      </c>
      <c r="S528" s="25" t="str">
        <f>IF('ASS END SYNC'!C532="SHOW",FIND(",,",'ASS END SYNC'!E532,R528+1),"")</f>
        <v/>
      </c>
      <c r="T528" s="23" t="str">
        <f>IF('ASS END SYNC'!C532="SHOW",LEFT('ASS END SYNC'!E532,O528),"")</f>
        <v/>
      </c>
      <c r="U528" s="24" t="str">
        <f>IF('ASS END SYNC'!C532="SHOW",MID('ASS END SYNC'!E532,O528+1,P528-O528-1),"")</f>
        <v/>
      </c>
      <c r="V528" s="24" t="str">
        <f>IF(AND('ASS END SYNC'!C532="SHOW",'ASS END SYNC'!C533="SHOW"),U529,IF(AND('ASS END SYNC'!C532="SHOW",'ASS END SYNC'!C533&lt;&gt;"SHOW"),MID('ASS END SYNC'!E532,O528+1,P528-O528-1),""))</f>
        <v/>
      </c>
      <c r="W528" s="23" t="str">
        <f>IF('ASS END SYNC'!C532="SHOW",MID('ASS END SYNC'!E532,Q528+1,S528-Q528+1),"")</f>
        <v/>
      </c>
      <c r="X528" s="23" t="str">
        <f>IF('ASS END SYNC'!C532="SHOW",MID('ASS END SYNC'!E532,S528+2,1000),"")</f>
        <v/>
      </c>
      <c r="Z528" s="24"/>
    </row>
    <row r="529" spans="1:26" x14ac:dyDescent="0.25">
      <c r="A529" s="26">
        <v>526</v>
      </c>
      <c r="B529" s="24" t="str">
        <f>IF('ASS START SYNC'!C533="SHOW",FIND(",",'ASS START SYNC'!E533,1),"")</f>
        <v/>
      </c>
      <c r="C529" s="24" t="str">
        <f>IF('ASS START SYNC'!C533="SHOW",FIND(",",'ASS START SYNC'!E533,B529+1),"")</f>
        <v/>
      </c>
      <c r="D529" s="24" t="str">
        <f>IF('ASS START SYNC'!C533="SHOW",FIND(",",'ASS START SYNC'!E533,C529+1),"")</f>
        <v/>
      </c>
      <c r="E529" s="25" t="str">
        <f>IF('ASS START SYNC'!C533="SHOW",FIND(",,",'ASS START SYNC'!E533,1),"")</f>
        <v/>
      </c>
      <c r="F529" s="25" t="str">
        <f>IF('ASS START SYNC'!C533="SHOW",FIND(",,",'ASS START SYNC'!E533,E529+1),"")</f>
        <v/>
      </c>
      <c r="G529" s="23" t="str">
        <f>IF('ASS START SYNC'!C533="SHOW",LEFT('ASS START SYNC'!E533,B529),"")</f>
        <v/>
      </c>
      <c r="H529" s="24" t="str">
        <f>IF(AND('ASS START SYNC'!C533="SHOW",COUNTA('ASS START SYNC'!$E$8:'ASS START SYNC'!E532)=0),MID('ASS START SYNC'!E533,B529+1,C529-B529-1),IF(AND('ASS START SYNC'!C533="SHOW",COUNTA('ASS START SYNC'!$E$8:'ASS START SYNC'!E532)&lt;&gt;0),I528,""))</f>
        <v/>
      </c>
      <c r="I529" s="24" t="str">
        <f>IF('ASS START SYNC'!C533="SHOW",MID('ASS START SYNC'!E533,C529+1,D529-C529-1),I528)</f>
        <v/>
      </c>
      <c r="J529" s="23" t="str">
        <f>IF('ASS START SYNC'!C533="SHOW",MID('ASS START SYNC'!E533,D529+1,F529-D529+1),"")</f>
        <v/>
      </c>
      <c r="K529" s="23" t="str">
        <f>IF('ASS START SYNC'!C533="SHOW",MID('ASS START SYNC'!E533,F529+2,1000),"")</f>
        <v/>
      </c>
      <c r="M529" s="24"/>
      <c r="N529" s="26">
        <v>526</v>
      </c>
      <c r="O529" s="24" t="str">
        <f>IF('ASS END SYNC'!C533="SHOW",FIND(",",'ASS END SYNC'!E533,1),"")</f>
        <v/>
      </c>
      <c r="P529" s="24" t="str">
        <f>IF('ASS END SYNC'!C533="SHOW",FIND(",",'ASS END SYNC'!E533,O529+1),"")</f>
        <v/>
      </c>
      <c r="Q529" s="24" t="str">
        <f>IF('ASS END SYNC'!C533="SHOW",FIND(",",'ASS END SYNC'!E533,P529+1),"")</f>
        <v/>
      </c>
      <c r="R529" s="25" t="str">
        <f>IF('ASS END SYNC'!C533="SHOW",FIND(",,",'ASS END SYNC'!E533,1),"")</f>
        <v/>
      </c>
      <c r="S529" s="25" t="str">
        <f>IF('ASS END SYNC'!C533="SHOW",FIND(",,",'ASS END SYNC'!E533,R529+1),"")</f>
        <v/>
      </c>
      <c r="T529" s="23" t="str">
        <f>IF('ASS END SYNC'!C533="SHOW",LEFT('ASS END SYNC'!E533,O529),"")</f>
        <v/>
      </c>
      <c r="U529" s="24" t="str">
        <f>IF('ASS END SYNC'!C533="SHOW",MID('ASS END SYNC'!E533,O529+1,P529-O529-1),"")</f>
        <v/>
      </c>
      <c r="V529" s="24" t="str">
        <f>IF(AND('ASS END SYNC'!C533="SHOW",'ASS END SYNC'!C534="SHOW"),U530,IF(AND('ASS END SYNC'!C533="SHOW",'ASS END SYNC'!C534&lt;&gt;"SHOW"),MID('ASS END SYNC'!E533,O529+1,P529-O529-1),""))</f>
        <v/>
      </c>
      <c r="W529" s="23" t="str">
        <f>IF('ASS END SYNC'!C533="SHOW",MID('ASS END SYNC'!E533,Q529+1,S529-Q529+1),"")</f>
        <v/>
      </c>
      <c r="X529" s="23" t="str">
        <f>IF('ASS END SYNC'!C533="SHOW",MID('ASS END SYNC'!E533,S529+2,1000),"")</f>
        <v/>
      </c>
      <c r="Z529" s="24"/>
    </row>
    <row r="530" spans="1:26" x14ac:dyDescent="0.25">
      <c r="A530" s="26">
        <v>527</v>
      </c>
      <c r="B530" s="24" t="str">
        <f>IF('ASS START SYNC'!C534="SHOW",FIND(",",'ASS START SYNC'!E534,1),"")</f>
        <v/>
      </c>
      <c r="C530" s="24" t="str">
        <f>IF('ASS START SYNC'!C534="SHOW",FIND(",",'ASS START SYNC'!E534,B530+1),"")</f>
        <v/>
      </c>
      <c r="D530" s="24" t="str">
        <f>IF('ASS START SYNC'!C534="SHOW",FIND(",",'ASS START SYNC'!E534,C530+1),"")</f>
        <v/>
      </c>
      <c r="E530" s="25" t="str">
        <f>IF('ASS START SYNC'!C534="SHOW",FIND(",,",'ASS START SYNC'!E534,1),"")</f>
        <v/>
      </c>
      <c r="F530" s="25" t="str">
        <f>IF('ASS START SYNC'!C534="SHOW",FIND(",,",'ASS START SYNC'!E534,E530+1),"")</f>
        <v/>
      </c>
      <c r="G530" s="23" t="str">
        <f>IF('ASS START SYNC'!C534="SHOW",LEFT('ASS START SYNC'!E534,B530),"")</f>
        <v/>
      </c>
      <c r="H530" s="24" t="str">
        <f>IF(AND('ASS START SYNC'!C534="SHOW",COUNTA('ASS START SYNC'!$E$8:'ASS START SYNC'!E533)=0),MID('ASS START SYNC'!E534,B530+1,C530-B530-1),IF(AND('ASS START SYNC'!C534="SHOW",COUNTA('ASS START SYNC'!$E$8:'ASS START SYNC'!E533)&lt;&gt;0),I529,""))</f>
        <v/>
      </c>
      <c r="I530" s="24" t="str">
        <f>IF('ASS START SYNC'!C534="SHOW",MID('ASS START SYNC'!E534,C530+1,D530-C530-1),I529)</f>
        <v/>
      </c>
      <c r="J530" s="23" t="str">
        <f>IF('ASS START SYNC'!C534="SHOW",MID('ASS START SYNC'!E534,D530+1,F530-D530+1),"")</f>
        <v/>
      </c>
      <c r="K530" s="23" t="str">
        <f>IF('ASS START SYNC'!C534="SHOW",MID('ASS START SYNC'!E534,F530+2,1000),"")</f>
        <v/>
      </c>
      <c r="M530" s="24"/>
      <c r="N530" s="26">
        <v>527</v>
      </c>
      <c r="O530" s="24" t="str">
        <f>IF('ASS END SYNC'!C534="SHOW",FIND(",",'ASS END SYNC'!E534,1),"")</f>
        <v/>
      </c>
      <c r="P530" s="24" t="str">
        <f>IF('ASS END SYNC'!C534="SHOW",FIND(",",'ASS END SYNC'!E534,O530+1),"")</f>
        <v/>
      </c>
      <c r="Q530" s="24" t="str">
        <f>IF('ASS END SYNC'!C534="SHOW",FIND(",",'ASS END SYNC'!E534,P530+1),"")</f>
        <v/>
      </c>
      <c r="R530" s="25" t="str">
        <f>IF('ASS END SYNC'!C534="SHOW",FIND(",,",'ASS END SYNC'!E534,1),"")</f>
        <v/>
      </c>
      <c r="S530" s="25" t="str">
        <f>IF('ASS END SYNC'!C534="SHOW",FIND(",,",'ASS END SYNC'!E534,R530+1),"")</f>
        <v/>
      </c>
      <c r="T530" s="23" t="str">
        <f>IF('ASS END SYNC'!C534="SHOW",LEFT('ASS END SYNC'!E534,O530),"")</f>
        <v/>
      </c>
      <c r="U530" s="24" t="str">
        <f>IF('ASS END SYNC'!C534="SHOW",MID('ASS END SYNC'!E534,O530+1,P530-O530-1),"")</f>
        <v/>
      </c>
      <c r="V530" s="24" t="str">
        <f>IF(AND('ASS END SYNC'!C534="SHOW",'ASS END SYNC'!C535="SHOW"),U531,IF(AND('ASS END SYNC'!C534="SHOW",'ASS END SYNC'!C535&lt;&gt;"SHOW"),MID('ASS END SYNC'!E534,O530+1,P530-O530-1),""))</f>
        <v/>
      </c>
      <c r="W530" s="23" t="str">
        <f>IF('ASS END SYNC'!C534="SHOW",MID('ASS END SYNC'!E534,Q530+1,S530-Q530+1),"")</f>
        <v/>
      </c>
      <c r="X530" s="23" t="str">
        <f>IF('ASS END SYNC'!C534="SHOW",MID('ASS END SYNC'!E534,S530+2,1000),"")</f>
        <v/>
      </c>
      <c r="Z530" s="24"/>
    </row>
    <row r="531" spans="1:26" x14ac:dyDescent="0.25">
      <c r="A531" s="26">
        <v>528</v>
      </c>
      <c r="B531" s="24" t="str">
        <f>IF('ASS START SYNC'!C535="SHOW",FIND(",",'ASS START SYNC'!E535,1),"")</f>
        <v/>
      </c>
      <c r="C531" s="24" t="str">
        <f>IF('ASS START SYNC'!C535="SHOW",FIND(",",'ASS START SYNC'!E535,B531+1),"")</f>
        <v/>
      </c>
      <c r="D531" s="24" t="str">
        <f>IF('ASS START SYNC'!C535="SHOW",FIND(",",'ASS START SYNC'!E535,C531+1),"")</f>
        <v/>
      </c>
      <c r="E531" s="25" t="str">
        <f>IF('ASS START SYNC'!C535="SHOW",FIND(",,",'ASS START SYNC'!E535,1),"")</f>
        <v/>
      </c>
      <c r="F531" s="25" t="str">
        <f>IF('ASS START SYNC'!C535="SHOW",FIND(",,",'ASS START SYNC'!E535,E531+1),"")</f>
        <v/>
      </c>
      <c r="G531" s="23" t="str">
        <f>IF('ASS START SYNC'!C535="SHOW",LEFT('ASS START SYNC'!E535,B531),"")</f>
        <v/>
      </c>
      <c r="H531" s="24" t="str">
        <f>IF(AND('ASS START SYNC'!C535="SHOW",COUNTA('ASS START SYNC'!$E$8:'ASS START SYNC'!E534)=0),MID('ASS START SYNC'!E535,B531+1,C531-B531-1),IF(AND('ASS START SYNC'!C535="SHOW",COUNTA('ASS START SYNC'!$E$8:'ASS START SYNC'!E534)&lt;&gt;0),I530,""))</f>
        <v/>
      </c>
      <c r="I531" s="24" t="str">
        <f>IF('ASS START SYNC'!C535="SHOW",MID('ASS START SYNC'!E535,C531+1,D531-C531-1),I530)</f>
        <v/>
      </c>
      <c r="J531" s="23" t="str">
        <f>IF('ASS START SYNC'!C535="SHOW",MID('ASS START SYNC'!E535,D531+1,F531-D531+1),"")</f>
        <v/>
      </c>
      <c r="K531" s="23" t="str">
        <f>IF('ASS START SYNC'!C535="SHOW",MID('ASS START SYNC'!E535,F531+2,1000),"")</f>
        <v/>
      </c>
      <c r="M531" s="24"/>
      <c r="N531" s="26">
        <v>528</v>
      </c>
      <c r="O531" s="24" t="str">
        <f>IF('ASS END SYNC'!C535="SHOW",FIND(",",'ASS END SYNC'!E535,1),"")</f>
        <v/>
      </c>
      <c r="P531" s="24" t="str">
        <f>IF('ASS END SYNC'!C535="SHOW",FIND(",",'ASS END SYNC'!E535,O531+1),"")</f>
        <v/>
      </c>
      <c r="Q531" s="24" t="str">
        <f>IF('ASS END SYNC'!C535="SHOW",FIND(",",'ASS END SYNC'!E535,P531+1),"")</f>
        <v/>
      </c>
      <c r="R531" s="25" t="str">
        <f>IF('ASS END SYNC'!C535="SHOW",FIND(",,",'ASS END SYNC'!E535,1),"")</f>
        <v/>
      </c>
      <c r="S531" s="25" t="str">
        <f>IF('ASS END SYNC'!C535="SHOW",FIND(",,",'ASS END SYNC'!E535,R531+1),"")</f>
        <v/>
      </c>
      <c r="T531" s="23" t="str">
        <f>IF('ASS END SYNC'!C535="SHOW",LEFT('ASS END SYNC'!E535,O531),"")</f>
        <v/>
      </c>
      <c r="U531" s="24" t="str">
        <f>IF('ASS END SYNC'!C535="SHOW",MID('ASS END SYNC'!E535,O531+1,P531-O531-1),"")</f>
        <v/>
      </c>
      <c r="V531" s="24" t="str">
        <f>IF(AND('ASS END SYNC'!C535="SHOW",'ASS END SYNC'!C536="SHOW"),U532,IF(AND('ASS END SYNC'!C535="SHOW",'ASS END SYNC'!C536&lt;&gt;"SHOW"),MID('ASS END SYNC'!E535,O531+1,P531-O531-1),""))</f>
        <v/>
      </c>
      <c r="W531" s="23" t="str">
        <f>IF('ASS END SYNC'!C535="SHOW",MID('ASS END SYNC'!E535,Q531+1,S531-Q531+1),"")</f>
        <v/>
      </c>
      <c r="X531" s="23" t="str">
        <f>IF('ASS END SYNC'!C535="SHOW",MID('ASS END SYNC'!E535,S531+2,1000),"")</f>
        <v/>
      </c>
      <c r="Z531" s="24"/>
    </row>
    <row r="532" spans="1:26" x14ac:dyDescent="0.25">
      <c r="A532" s="26">
        <v>529</v>
      </c>
      <c r="B532" s="24" t="str">
        <f>IF('ASS START SYNC'!C536="SHOW",FIND(",",'ASS START SYNC'!E536,1),"")</f>
        <v/>
      </c>
      <c r="C532" s="24" t="str">
        <f>IF('ASS START SYNC'!C536="SHOW",FIND(",",'ASS START SYNC'!E536,B532+1),"")</f>
        <v/>
      </c>
      <c r="D532" s="24" t="str">
        <f>IF('ASS START SYNC'!C536="SHOW",FIND(",",'ASS START SYNC'!E536,C532+1),"")</f>
        <v/>
      </c>
      <c r="E532" s="25" t="str">
        <f>IF('ASS START SYNC'!C536="SHOW",FIND(",,",'ASS START SYNC'!E536,1),"")</f>
        <v/>
      </c>
      <c r="F532" s="25" t="str">
        <f>IF('ASS START SYNC'!C536="SHOW",FIND(",,",'ASS START SYNC'!E536,E532+1),"")</f>
        <v/>
      </c>
      <c r="G532" s="23" t="str">
        <f>IF('ASS START SYNC'!C536="SHOW",LEFT('ASS START SYNC'!E536,B532),"")</f>
        <v/>
      </c>
      <c r="H532" s="24" t="str">
        <f>IF(AND('ASS START SYNC'!C536="SHOW",COUNTA('ASS START SYNC'!$E$8:'ASS START SYNC'!E535)=0),MID('ASS START SYNC'!E536,B532+1,C532-B532-1),IF(AND('ASS START SYNC'!C536="SHOW",COUNTA('ASS START SYNC'!$E$8:'ASS START SYNC'!E535)&lt;&gt;0),I531,""))</f>
        <v/>
      </c>
      <c r="I532" s="24" t="str">
        <f>IF('ASS START SYNC'!C536="SHOW",MID('ASS START SYNC'!E536,C532+1,D532-C532-1),I531)</f>
        <v/>
      </c>
      <c r="J532" s="23" t="str">
        <f>IF('ASS START SYNC'!C536="SHOW",MID('ASS START SYNC'!E536,D532+1,F532-D532+1),"")</f>
        <v/>
      </c>
      <c r="K532" s="23" t="str">
        <f>IF('ASS START SYNC'!C536="SHOW",MID('ASS START SYNC'!E536,F532+2,1000),"")</f>
        <v/>
      </c>
      <c r="M532" s="24"/>
      <c r="N532" s="26">
        <v>529</v>
      </c>
      <c r="O532" s="24" t="str">
        <f>IF('ASS END SYNC'!C536="SHOW",FIND(",",'ASS END SYNC'!E536,1),"")</f>
        <v/>
      </c>
      <c r="P532" s="24" t="str">
        <f>IF('ASS END SYNC'!C536="SHOW",FIND(",",'ASS END SYNC'!E536,O532+1),"")</f>
        <v/>
      </c>
      <c r="Q532" s="24" t="str">
        <f>IF('ASS END SYNC'!C536="SHOW",FIND(",",'ASS END SYNC'!E536,P532+1),"")</f>
        <v/>
      </c>
      <c r="R532" s="25" t="str">
        <f>IF('ASS END SYNC'!C536="SHOW",FIND(",,",'ASS END SYNC'!E536,1),"")</f>
        <v/>
      </c>
      <c r="S532" s="25" t="str">
        <f>IF('ASS END SYNC'!C536="SHOW",FIND(",,",'ASS END SYNC'!E536,R532+1),"")</f>
        <v/>
      </c>
      <c r="T532" s="23" t="str">
        <f>IF('ASS END SYNC'!C536="SHOW",LEFT('ASS END SYNC'!E536,O532),"")</f>
        <v/>
      </c>
      <c r="U532" s="24" t="str">
        <f>IF('ASS END SYNC'!C536="SHOW",MID('ASS END SYNC'!E536,O532+1,P532-O532-1),"")</f>
        <v/>
      </c>
      <c r="V532" s="24" t="str">
        <f>IF(AND('ASS END SYNC'!C536="SHOW",'ASS END SYNC'!C537="SHOW"),U533,IF(AND('ASS END SYNC'!C536="SHOW",'ASS END SYNC'!C537&lt;&gt;"SHOW"),MID('ASS END SYNC'!E536,O532+1,P532-O532-1),""))</f>
        <v/>
      </c>
      <c r="W532" s="23" t="str">
        <f>IF('ASS END SYNC'!C536="SHOW",MID('ASS END SYNC'!E536,Q532+1,S532-Q532+1),"")</f>
        <v/>
      </c>
      <c r="X532" s="23" t="str">
        <f>IF('ASS END SYNC'!C536="SHOW",MID('ASS END SYNC'!E536,S532+2,1000),"")</f>
        <v/>
      </c>
      <c r="Z532" s="24"/>
    </row>
    <row r="533" spans="1:26" x14ac:dyDescent="0.25">
      <c r="A533" s="26">
        <v>530</v>
      </c>
      <c r="B533" s="24" t="str">
        <f>IF('ASS START SYNC'!C537="SHOW",FIND(",",'ASS START SYNC'!E537,1),"")</f>
        <v/>
      </c>
      <c r="C533" s="24" t="str">
        <f>IF('ASS START SYNC'!C537="SHOW",FIND(",",'ASS START SYNC'!E537,B533+1),"")</f>
        <v/>
      </c>
      <c r="D533" s="24" t="str">
        <f>IF('ASS START SYNC'!C537="SHOW",FIND(",",'ASS START SYNC'!E537,C533+1),"")</f>
        <v/>
      </c>
      <c r="E533" s="25" t="str">
        <f>IF('ASS START SYNC'!C537="SHOW",FIND(",,",'ASS START SYNC'!E537,1),"")</f>
        <v/>
      </c>
      <c r="F533" s="25" t="str">
        <f>IF('ASS START SYNC'!C537="SHOW",FIND(",,",'ASS START SYNC'!E537,E533+1),"")</f>
        <v/>
      </c>
      <c r="G533" s="23" t="str">
        <f>IF('ASS START SYNC'!C537="SHOW",LEFT('ASS START SYNC'!E537,B533),"")</f>
        <v/>
      </c>
      <c r="H533" s="24" t="str">
        <f>IF(AND('ASS START SYNC'!C537="SHOW",COUNTA('ASS START SYNC'!$E$8:'ASS START SYNC'!E536)=0),MID('ASS START SYNC'!E537,B533+1,C533-B533-1),IF(AND('ASS START SYNC'!C537="SHOW",COUNTA('ASS START SYNC'!$E$8:'ASS START SYNC'!E536)&lt;&gt;0),I532,""))</f>
        <v/>
      </c>
      <c r="I533" s="24" t="str">
        <f>IF('ASS START SYNC'!C537="SHOW",MID('ASS START SYNC'!E537,C533+1,D533-C533-1),I532)</f>
        <v/>
      </c>
      <c r="J533" s="23" t="str">
        <f>IF('ASS START SYNC'!C537="SHOW",MID('ASS START SYNC'!E537,D533+1,F533-D533+1),"")</f>
        <v/>
      </c>
      <c r="K533" s="23" t="str">
        <f>IF('ASS START SYNC'!C537="SHOW",MID('ASS START SYNC'!E537,F533+2,1000),"")</f>
        <v/>
      </c>
      <c r="M533" s="24"/>
      <c r="N533" s="26">
        <v>530</v>
      </c>
      <c r="O533" s="24" t="str">
        <f>IF('ASS END SYNC'!C537="SHOW",FIND(",",'ASS END SYNC'!E537,1),"")</f>
        <v/>
      </c>
      <c r="P533" s="24" t="str">
        <f>IF('ASS END SYNC'!C537="SHOW",FIND(",",'ASS END SYNC'!E537,O533+1),"")</f>
        <v/>
      </c>
      <c r="Q533" s="24" t="str">
        <f>IF('ASS END SYNC'!C537="SHOW",FIND(",",'ASS END SYNC'!E537,P533+1),"")</f>
        <v/>
      </c>
      <c r="R533" s="25" t="str">
        <f>IF('ASS END SYNC'!C537="SHOW",FIND(",,",'ASS END SYNC'!E537,1),"")</f>
        <v/>
      </c>
      <c r="S533" s="25" t="str">
        <f>IF('ASS END SYNC'!C537="SHOW",FIND(",,",'ASS END SYNC'!E537,R533+1),"")</f>
        <v/>
      </c>
      <c r="T533" s="23" t="str">
        <f>IF('ASS END SYNC'!C537="SHOW",LEFT('ASS END SYNC'!E537,O533),"")</f>
        <v/>
      </c>
      <c r="U533" s="24" t="str">
        <f>IF('ASS END SYNC'!C537="SHOW",MID('ASS END SYNC'!E537,O533+1,P533-O533-1),"")</f>
        <v/>
      </c>
      <c r="V533" s="24" t="str">
        <f>IF(AND('ASS END SYNC'!C537="SHOW",'ASS END SYNC'!C538="SHOW"),U534,IF(AND('ASS END SYNC'!C537="SHOW",'ASS END SYNC'!C538&lt;&gt;"SHOW"),MID('ASS END SYNC'!E537,O533+1,P533-O533-1),""))</f>
        <v/>
      </c>
      <c r="W533" s="23" t="str">
        <f>IF('ASS END SYNC'!C537="SHOW",MID('ASS END SYNC'!E537,Q533+1,S533-Q533+1),"")</f>
        <v/>
      </c>
      <c r="X533" s="23" t="str">
        <f>IF('ASS END SYNC'!C537="SHOW",MID('ASS END SYNC'!E537,S533+2,1000),"")</f>
        <v/>
      </c>
      <c r="Z533" s="24"/>
    </row>
    <row r="534" spans="1:26" x14ac:dyDescent="0.25">
      <c r="A534" s="26">
        <v>531</v>
      </c>
      <c r="B534" s="24" t="str">
        <f>IF('ASS START SYNC'!C538="SHOW",FIND(",",'ASS START SYNC'!E538,1),"")</f>
        <v/>
      </c>
      <c r="C534" s="24" t="str">
        <f>IF('ASS START SYNC'!C538="SHOW",FIND(",",'ASS START SYNC'!E538,B534+1),"")</f>
        <v/>
      </c>
      <c r="D534" s="24" t="str">
        <f>IF('ASS START SYNC'!C538="SHOW",FIND(",",'ASS START SYNC'!E538,C534+1),"")</f>
        <v/>
      </c>
      <c r="E534" s="25" t="str">
        <f>IF('ASS START SYNC'!C538="SHOW",FIND(",,",'ASS START SYNC'!E538,1),"")</f>
        <v/>
      </c>
      <c r="F534" s="25" t="str">
        <f>IF('ASS START SYNC'!C538="SHOW",FIND(",,",'ASS START SYNC'!E538,E534+1),"")</f>
        <v/>
      </c>
      <c r="G534" s="23" t="str">
        <f>IF('ASS START SYNC'!C538="SHOW",LEFT('ASS START SYNC'!E538,B534),"")</f>
        <v/>
      </c>
      <c r="H534" s="24" t="str">
        <f>IF(AND('ASS START SYNC'!C538="SHOW",COUNTA('ASS START SYNC'!$E$8:'ASS START SYNC'!E537)=0),MID('ASS START SYNC'!E538,B534+1,C534-B534-1),IF(AND('ASS START SYNC'!C538="SHOW",COUNTA('ASS START SYNC'!$E$8:'ASS START SYNC'!E537)&lt;&gt;0),I533,""))</f>
        <v/>
      </c>
      <c r="I534" s="24" t="str">
        <f>IF('ASS START SYNC'!C538="SHOW",MID('ASS START SYNC'!E538,C534+1,D534-C534-1),I533)</f>
        <v/>
      </c>
      <c r="J534" s="23" t="str">
        <f>IF('ASS START SYNC'!C538="SHOW",MID('ASS START SYNC'!E538,D534+1,F534-D534+1),"")</f>
        <v/>
      </c>
      <c r="K534" s="23" t="str">
        <f>IF('ASS START SYNC'!C538="SHOW",MID('ASS START SYNC'!E538,F534+2,1000),"")</f>
        <v/>
      </c>
      <c r="M534" s="24"/>
      <c r="N534" s="26">
        <v>531</v>
      </c>
      <c r="O534" s="24" t="str">
        <f>IF('ASS END SYNC'!C538="SHOW",FIND(",",'ASS END SYNC'!E538,1),"")</f>
        <v/>
      </c>
      <c r="P534" s="24" t="str">
        <f>IF('ASS END SYNC'!C538="SHOW",FIND(",",'ASS END SYNC'!E538,O534+1),"")</f>
        <v/>
      </c>
      <c r="Q534" s="24" t="str">
        <f>IF('ASS END SYNC'!C538="SHOW",FIND(",",'ASS END SYNC'!E538,P534+1),"")</f>
        <v/>
      </c>
      <c r="R534" s="25" t="str">
        <f>IF('ASS END SYNC'!C538="SHOW",FIND(",,",'ASS END SYNC'!E538,1),"")</f>
        <v/>
      </c>
      <c r="S534" s="25" t="str">
        <f>IF('ASS END SYNC'!C538="SHOW",FIND(",,",'ASS END SYNC'!E538,R534+1),"")</f>
        <v/>
      </c>
      <c r="T534" s="23" t="str">
        <f>IF('ASS END SYNC'!C538="SHOW",LEFT('ASS END SYNC'!E538,O534),"")</f>
        <v/>
      </c>
      <c r="U534" s="24" t="str">
        <f>IF('ASS END SYNC'!C538="SHOW",MID('ASS END SYNC'!E538,O534+1,P534-O534-1),"")</f>
        <v/>
      </c>
      <c r="V534" s="24" t="str">
        <f>IF(AND('ASS END SYNC'!C538="SHOW",'ASS END SYNC'!C539="SHOW"),U535,IF(AND('ASS END SYNC'!C538="SHOW",'ASS END SYNC'!C539&lt;&gt;"SHOW"),MID('ASS END SYNC'!E538,O534+1,P534-O534-1),""))</f>
        <v/>
      </c>
      <c r="W534" s="23" t="str">
        <f>IF('ASS END SYNC'!C538="SHOW",MID('ASS END SYNC'!E538,Q534+1,S534-Q534+1),"")</f>
        <v/>
      </c>
      <c r="X534" s="23" t="str">
        <f>IF('ASS END SYNC'!C538="SHOW",MID('ASS END SYNC'!E538,S534+2,1000),"")</f>
        <v/>
      </c>
      <c r="Z534" s="24"/>
    </row>
    <row r="535" spans="1:26" x14ac:dyDescent="0.25">
      <c r="A535" s="26">
        <v>532</v>
      </c>
      <c r="B535" s="24" t="str">
        <f>IF('ASS START SYNC'!C539="SHOW",FIND(",",'ASS START SYNC'!E539,1),"")</f>
        <v/>
      </c>
      <c r="C535" s="24" t="str">
        <f>IF('ASS START SYNC'!C539="SHOW",FIND(",",'ASS START SYNC'!E539,B535+1),"")</f>
        <v/>
      </c>
      <c r="D535" s="24" t="str">
        <f>IF('ASS START SYNC'!C539="SHOW",FIND(",",'ASS START SYNC'!E539,C535+1),"")</f>
        <v/>
      </c>
      <c r="E535" s="25" t="str">
        <f>IF('ASS START SYNC'!C539="SHOW",FIND(",,",'ASS START SYNC'!E539,1),"")</f>
        <v/>
      </c>
      <c r="F535" s="25" t="str">
        <f>IF('ASS START SYNC'!C539="SHOW",FIND(",,",'ASS START SYNC'!E539,E535+1),"")</f>
        <v/>
      </c>
      <c r="G535" s="23" t="str">
        <f>IF('ASS START SYNC'!C539="SHOW",LEFT('ASS START SYNC'!E539,B535),"")</f>
        <v/>
      </c>
      <c r="H535" s="24" t="str">
        <f>IF(AND('ASS START SYNC'!C539="SHOW",COUNTA('ASS START SYNC'!$E$8:'ASS START SYNC'!E538)=0),MID('ASS START SYNC'!E539,B535+1,C535-B535-1),IF(AND('ASS START SYNC'!C539="SHOW",COUNTA('ASS START SYNC'!$E$8:'ASS START SYNC'!E538)&lt;&gt;0),I534,""))</f>
        <v/>
      </c>
      <c r="I535" s="24" t="str">
        <f>IF('ASS START SYNC'!C539="SHOW",MID('ASS START SYNC'!E539,C535+1,D535-C535-1),I534)</f>
        <v/>
      </c>
      <c r="J535" s="23" t="str">
        <f>IF('ASS START SYNC'!C539="SHOW",MID('ASS START SYNC'!E539,D535+1,F535-D535+1),"")</f>
        <v/>
      </c>
      <c r="K535" s="23" t="str">
        <f>IF('ASS START SYNC'!C539="SHOW",MID('ASS START SYNC'!E539,F535+2,1000),"")</f>
        <v/>
      </c>
      <c r="M535" s="24"/>
      <c r="N535" s="26">
        <v>532</v>
      </c>
      <c r="O535" s="24" t="str">
        <f>IF('ASS END SYNC'!C539="SHOW",FIND(",",'ASS END SYNC'!E539,1),"")</f>
        <v/>
      </c>
      <c r="P535" s="24" t="str">
        <f>IF('ASS END SYNC'!C539="SHOW",FIND(",",'ASS END SYNC'!E539,O535+1),"")</f>
        <v/>
      </c>
      <c r="Q535" s="24" t="str">
        <f>IF('ASS END SYNC'!C539="SHOW",FIND(",",'ASS END SYNC'!E539,P535+1),"")</f>
        <v/>
      </c>
      <c r="R535" s="25" t="str">
        <f>IF('ASS END SYNC'!C539="SHOW",FIND(",,",'ASS END SYNC'!E539,1),"")</f>
        <v/>
      </c>
      <c r="S535" s="25" t="str">
        <f>IF('ASS END SYNC'!C539="SHOW",FIND(",,",'ASS END SYNC'!E539,R535+1),"")</f>
        <v/>
      </c>
      <c r="T535" s="23" t="str">
        <f>IF('ASS END SYNC'!C539="SHOW",LEFT('ASS END SYNC'!E539,O535),"")</f>
        <v/>
      </c>
      <c r="U535" s="24" t="str">
        <f>IF('ASS END SYNC'!C539="SHOW",MID('ASS END SYNC'!E539,O535+1,P535-O535-1),"")</f>
        <v/>
      </c>
      <c r="V535" s="24" t="str">
        <f>IF(AND('ASS END SYNC'!C539="SHOW",'ASS END SYNC'!C540="SHOW"),U536,IF(AND('ASS END SYNC'!C539="SHOW",'ASS END SYNC'!C540&lt;&gt;"SHOW"),MID('ASS END SYNC'!E539,O535+1,P535-O535-1),""))</f>
        <v/>
      </c>
      <c r="W535" s="23" t="str">
        <f>IF('ASS END SYNC'!C539="SHOW",MID('ASS END SYNC'!E539,Q535+1,S535-Q535+1),"")</f>
        <v/>
      </c>
      <c r="X535" s="23" t="str">
        <f>IF('ASS END SYNC'!C539="SHOW",MID('ASS END SYNC'!E539,S535+2,1000),"")</f>
        <v/>
      </c>
      <c r="Z535" s="24"/>
    </row>
    <row r="536" spans="1:26" x14ac:dyDescent="0.25">
      <c r="A536" s="26">
        <v>533</v>
      </c>
      <c r="B536" s="24" t="str">
        <f>IF('ASS START SYNC'!C540="SHOW",FIND(",",'ASS START SYNC'!E540,1),"")</f>
        <v/>
      </c>
      <c r="C536" s="24" t="str">
        <f>IF('ASS START SYNC'!C540="SHOW",FIND(",",'ASS START SYNC'!E540,B536+1),"")</f>
        <v/>
      </c>
      <c r="D536" s="24" t="str">
        <f>IF('ASS START SYNC'!C540="SHOW",FIND(",",'ASS START SYNC'!E540,C536+1),"")</f>
        <v/>
      </c>
      <c r="E536" s="25" t="str">
        <f>IF('ASS START SYNC'!C540="SHOW",FIND(",,",'ASS START SYNC'!E540,1),"")</f>
        <v/>
      </c>
      <c r="F536" s="25" t="str">
        <f>IF('ASS START SYNC'!C540="SHOW",FIND(",,",'ASS START SYNC'!E540,E536+1),"")</f>
        <v/>
      </c>
      <c r="G536" s="23" t="str">
        <f>IF('ASS START SYNC'!C540="SHOW",LEFT('ASS START SYNC'!E540,B536),"")</f>
        <v/>
      </c>
      <c r="H536" s="24" t="str">
        <f>IF(AND('ASS START SYNC'!C540="SHOW",COUNTA('ASS START SYNC'!$E$8:'ASS START SYNC'!E539)=0),MID('ASS START SYNC'!E540,B536+1,C536-B536-1),IF(AND('ASS START SYNC'!C540="SHOW",COUNTA('ASS START SYNC'!$E$8:'ASS START SYNC'!E539)&lt;&gt;0),I535,""))</f>
        <v/>
      </c>
      <c r="I536" s="24" t="str">
        <f>IF('ASS START SYNC'!C540="SHOW",MID('ASS START SYNC'!E540,C536+1,D536-C536-1),I535)</f>
        <v/>
      </c>
      <c r="J536" s="23" t="str">
        <f>IF('ASS START SYNC'!C540="SHOW",MID('ASS START SYNC'!E540,D536+1,F536-D536+1),"")</f>
        <v/>
      </c>
      <c r="K536" s="23" t="str">
        <f>IF('ASS START SYNC'!C540="SHOW",MID('ASS START SYNC'!E540,F536+2,1000),"")</f>
        <v/>
      </c>
      <c r="M536" s="24"/>
      <c r="N536" s="26">
        <v>533</v>
      </c>
      <c r="O536" s="24" t="str">
        <f>IF('ASS END SYNC'!C540="SHOW",FIND(",",'ASS END SYNC'!E540,1),"")</f>
        <v/>
      </c>
      <c r="P536" s="24" t="str">
        <f>IF('ASS END SYNC'!C540="SHOW",FIND(",",'ASS END SYNC'!E540,O536+1),"")</f>
        <v/>
      </c>
      <c r="Q536" s="24" t="str">
        <f>IF('ASS END SYNC'!C540="SHOW",FIND(",",'ASS END SYNC'!E540,P536+1),"")</f>
        <v/>
      </c>
      <c r="R536" s="25" t="str">
        <f>IF('ASS END SYNC'!C540="SHOW",FIND(",,",'ASS END SYNC'!E540,1),"")</f>
        <v/>
      </c>
      <c r="S536" s="25" t="str">
        <f>IF('ASS END SYNC'!C540="SHOW",FIND(",,",'ASS END SYNC'!E540,R536+1),"")</f>
        <v/>
      </c>
      <c r="T536" s="23" t="str">
        <f>IF('ASS END SYNC'!C540="SHOW",LEFT('ASS END SYNC'!E540,O536),"")</f>
        <v/>
      </c>
      <c r="U536" s="24" t="str">
        <f>IF('ASS END SYNC'!C540="SHOW",MID('ASS END SYNC'!E540,O536+1,P536-O536-1),"")</f>
        <v/>
      </c>
      <c r="V536" s="24" t="str">
        <f>IF(AND('ASS END SYNC'!C540="SHOW",'ASS END SYNC'!C541="SHOW"),U537,IF(AND('ASS END SYNC'!C540="SHOW",'ASS END SYNC'!C541&lt;&gt;"SHOW"),MID('ASS END SYNC'!E540,O536+1,P536-O536-1),""))</f>
        <v/>
      </c>
      <c r="W536" s="23" t="str">
        <f>IF('ASS END SYNC'!C540="SHOW",MID('ASS END SYNC'!E540,Q536+1,S536-Q536+1),"")</f>
        <v/>
      </c>
      <c r="X536" s="23" t="str">
        <f>IF('ASS END SYNC'!C540="SHOW",MID('ASS END SYNC'!E540,S536+2,1000),"")</f>
        <v/>
      </c>
      <c r="Z536" s="24"/>
    </row>
    <row r="537" spans="1:26" x14ac:dyDescent="0.25">
      <c r="A537" s="26">
        <v>534</v>
      </c>
      <c r="B537" s="24" t="str">
        <f>IF('ASS START SYNC'!C541="SHOW",FIND(",",'ASS START SYNC'!E541,1),"")</f>
        <v/>
      </c>
      <c r="C537" s="24" t="str">
        <f>IF('ASS START SYNC'!C541="SHOW",FIND(",",'ASS START SYNC'!E541,B537+1),"")</f>
        <v/>
      </c>
      <c r="D537" s="24" t="str">
        <f>IF('ASS START SYNC'!C541="SHOW",FIND(",",'ASS START SYNC'!E541,C537+1),"")</f>
        <v/>
      </c>
      <c r="E537" s="25" t="str">
        <f>IF('ASS START SYNC'!C541="SHOW",FIND(",,",'ASS START SYNC'!E541,1),"")</f>
        <v/>
      </c>
      <c r="F537" s="25" t="str">
        <f>IF('ASS START SYNC'!C541="SHOW",FIND(",,",'ASS START SYNC'!E541,E537+1),"")</f>
        <v/>
      </c>
      <c r="G537" s="23" t="str">
        <f>IF('ASS START SYNC'!C541="SHOW",LEFT('ASS START SYNC'!E541,B537),"")</f>
        <v/>
      </c>
      <c r="H537" s="24" t="str">
        <f>IF(AND('ASS START SYNC'!C541="SHOW",COUNTA('ASS START SYNC'!$E$8:'ASS START SYNC'!E540)=0),MID('ASS START SYNC'!E541,B537+1,C537-B537-1),IF(AND('ASS START SYNC'!C541="SHOW",COUNTA('ASS START SYNC'!$E$8:'ASS START SYNC'!E540)&lt;&gt;0),I536,""))</f>
        <v/>
      </c>
      <c r="I537" s="24" t="str">
        <f>IF('ASS START SYNC'!C541="SHOW",MID('ASS START SYNC'!E541,C537+1,D537-C537-1),I536)</f>
        <v/>
      </c>
      <c r="J537" s="23" t="str">
        <f>IF('ASS START SYNC'!C541="SHOW",MID('ASS START SYNC'!E541,D537+1,F537-D537+1),"")</f>
        <v/>
      </c>
      <c r="K537" s="23" t="str">
        <f>IF('ASS START SYNC'!C541="SHOW",MID('ASS START SYNC'!E541,F537+2,1000),"")</f>
        <v/>
      </c>
      <c r="M537" s="24"/>
      <c r="N537" s="26">
        <v>534</v>
      </c>
      <c r="O537" s="24" t="str">
        <f>IF('ASS END SYNC'!C541="SHOW",FIND(",",'ASS END SYNC'!E541,1),"")</f>
        <v/>
      </c>
      <c r="P537" s="24" t="str">
        <f>IF('ASS END SYNC'!C541="SHOW",FIND(",",'ASS END SYNC'!E541,O537+1),"")</f>
        <v/>
      </c>
      <c r="Q537" s="24" t="str">
        <f>IF('ASS END SYNC'!C541="SHOW",FIND(",",'ASS END SYNC'!E541,P537+1),"")</f>
        <v/>
      </c>
      <c r="R537" s="25" t="str">
        <f>IF('ASS END SYNC'!C541="SHOW",FIND(",,",'ASS END SYNC'!E541,1),"")</f>
        <v/>
      </c>
      <c r="S537" s="25" t="str">
        <f>IF('ASS END SYNC'!C541="SHOW",FIND(",,",'ASS END SYNC'!E541,R537+1),"")</f>
        <v/>
      </c>
      <c r="T537" s="23" t="str">
        <f>IF('ASS END SYNC'!C541="SHOW",LEFT('ASS END SYNC'!E541,O537),"")</f>
        <v/>
      </c>
      <c r="U537" s="24" t="str">
        <f>IF('ASS END SYNC'!C541="SHOW",MID('ASS END SYNC'!E541,O537+1,P537-O537-1),"")</f>
        <v/>
      </c>
      <c r="V537" s="24" t="str">
        <f>IF(AND('ASS END SYNC'!C541="SHOW",'ASS END SYNC'!C542="SHOW"),U538,IF(AND('ASS END SYNC'!C541="SHOW",'ASS END SYNC'!C542&lt;&gt;"SHOW"),MID('ASS END SYNC'!E541,O537+1,P537-O537-1),""))</f>
        <v/>
      </c>
      <c r="W537" s="23" t="str">
        <f>IF('ASS END SYNC'!C541="SHOW",MID('ASS END SYNC'!E541,Q537+1,S537-Q537+1),"")</f>
        <v/>
      </c>
      <c r="X537" s="23" t="str">
        <f>IF('ASS END SYNC'!C541="SHOW",MID('ASS END SYNC'!E541,S537+2,1000),"")</f>
        <v/>
      </c>
      <c r="Z537" s="24"/>
    </row>
    <row r="538" spans="1:26" x14ac:dyDescent="0.25">
      <c r="A538" s="26">
        <v>535</v>
      </c>
      <c r="B538" s="24" t="str">
        <f>IF('ASS START SYNC'!C542="SHOW",FIND(",",'ASS START SYNC'!E542,1),"")</f>
        <v/>
      </c>
      <c r="C538" s="24" t="str">
        <f>IF('ASS START SYNC'!C542="SHOW",FIND(",",'ASS START SYNC'!E542,B538+1),"")</f>
        <v/>
      </c>
      <c r="D538" s="24" t="str">
        <f>IF('ASS START SYNC'!C542="SHOW",FIND(",",'ASS START SYNC'!E542,C538+1),"")</f>
        <v/>
      </c>
      <c r="E538" s="25" t="str">
        <f>IF('ASS START SYNC'!C542="SHOW",FIND(",,",'ASS START SYNC'!E542,1),"")</f>
        <v/>
      </c>
      <c r="F538" s="25" t="str">
        <f>IF('ASS START SYNC'!C542="SHOW",FIND(",,",'ASS START SYNC'!E542,E538+1),"")</f>
        <v/>
      </c>
      <c r="G538" s="23" t="str">
        <f>IF('ASS START SYNC'!C542="SHOW",LEFT('ASS START SYNC'!E542,B538),"")</f>
        <v/>
      </c>
      <c r="H538" s="24" t="str">
        <f>IF(AND('ASS START SYNC'!C542="SHOW",COUNTA('ASS START SYNC'!$E$8:'ASS START SYNC'!E541)=0),MID('ASS START SYNC'!E542,B538+1,C538-B538-1),IF(AND('ASS START SYNC'!C542="SHOW",COUNTA('ASS START SYNC'!$E$8:'ASS START SYNC'!E541)&lt;&gt;0),I537,""))</f>
        <v/>
      </c>
      <c r="I538" s="24" t="str">
        <f>IF('ASS START SYNC'!C542="SHOW",MID('ASS START SYNC'!E542,C538+1,D538-C538-1),I537)</f>
        <v/>
      </c>
      <c r="J538" s="23" t="str">
        <f>IF('ASS START SYNC'!C542="SHOW",MID('ASS START SYNC'!E542,D538+1,F538-D538+1),"")</f>
        <v/>
      </c>
      <c r="K538" s="23" t="str">
        <f>IF('ASS START SYNC'!C542="SHOW",MID('ASS START SYNC'!E542,F538+2,1000),"")</f>
        <v/>
      </c>
      <c r="M538" s="24"/>
      <c r="N538" s="26">
        <v>535</v>
      </c>
      <c r="O538" s="24" t="str">
        <f>IF('ASS END SYNC'!C542="SHOW",FIND(",",'ASS END SYNC'!E542,1),"")</f>
        <v/>
      </c>
      <c r="P538" s="24" t="str">
        <f>IF('ASS END SYNC'!C542="SHOW",FIND(",",'ASS END SYNC'!E542,O538+1),"")</f>
        <v/>
      </c>
      <c r="Q538" s="24" t="str">
        <f>IF('ASS END SYNC'!C542="SHOW",FIND(",",'ASS END SYNC'!E542,P538+1),"")</f>
        <v/>
      </c>
      <c r="R538" s="25" t="str">
        <f>IF('ASS END SYNC'!C542="SHOW",FIND(",,",'ASS END SYNC'!E542,1),"")</f>
        <v/>
      </c>
      <c r="S538" s="25" t="str">
        <f>IF('ASS END SYNC'!C542="SHOW",FIND(",,",'ASS END SYNC'!E542,R538+1),"")</f>
        <v/>
      </c>
      <c r="T538" s="23" t="str">
        <f>IF('ASS END SYNC'!C542="SHOW",LEFT('ASS END SYNC'!E542,O538),"")</f>
        <v/>
      </c>
      <c r="U538" s="24" t="str">
        <f>IF('ASS END SYNC'!C542="SHOW",MID('ASS END SYNC'!E542,O538+1,P538-O538-1),"")</f>
        <v/>
      </c>
      <c r="V538" s="24" t="str">
        <f>IF(AND('ASS END SYNC'!C542="SHOW",'ASS END SYNC'!C543="SHOW"),U539,IF(AND('ASS END SYNC'!C542="SHOW",'ASS END SYNC'!C543&lt;&gt;"SHOW"),MID('ASS END SYNC'!E542,O538+1,P538-O538-1),""))</f>
        <v/>
      </c>
      <c r="W538" s="23" t="str">
        <f>IF('ASS END SYNC'!C542="SHOW",MID('ASS END SYNC'!E542,Q538+1,S538-Q538+1),"")</f>
        <v/>
      </c>
      <c r="X538" s="23" t="str">
        <f>IF('ASS END SYNC'!C542="SHOW",MID('ASS END SYNC'!E542,S538+2,1000),"")</f>
        <v/>
      </c>
      <c r="Z538" s="24"/>
    </row>
    <row r="539" spans="1:26" x14ac:dyDescent="0.25">
      <c r="A539" s="26">
        <v>536</v>
      </c>
      <c r="B539" s="24" t="str">
        <f>IF('ASS START SYNC'!C543="SHOW",FIND(",",'ASS START SYNC'!E543,1),"")</f>
        <v/>
      </c>
      <c r="C539" s="24" t="str">
        <f>IF('ASS START SYNC'!C543="SHOW",FIND(",",'ASS START SYNC'!E543,B539+1),"")</f>
        <v/>
      </c>
      <c r="D539" s="24" t="str">
        <f>IF('ASS START SYNC'!C543="SHOW",FIND(",",'ASS START SYNC'!E543,C539+1),"")</f>
        <v/>
      </c>
      <c r="E539" s="25" t="str">
        <f>IF('ASS START SYNC'!C543="SHOW",FIND(",,",'ASS START SYNC'!E543,1),"")</f>
        <v/>
      </c>
      <c r="F539" s="25" t="str">
        <f>IF('ASS START SYNC'!C543="SHOW",FIND(",,",'ASS START SYNC'!E543,E539+1),"")</f>
        <v/>
      </c>
      <c r="G539" s="23" t="str">
        <f>IF('ASS START SYNC'!C543="SHOW",LEFT('ASS START SYNC'!E543,B539),"")</f>
        <v/>
      </c>
      <c r="H539" s="24" t="str">
        <f>IF(AND('ASS START SYNC'!C543="SHOW",COUNTA('ASS START SYNC'!$E$8:'ASS START SYNC'!E542)=0),MID('ASS START SYNC'!E543,B539+1,C539-B539-1),IF(AND('ASS START SYNC'!C543="SHOW",COUNTA('ASS START SYNC'!$E$8:'ASS START SYNC'!E542)&lt;&gt;0),I538,""))</f>
        <v/>
      </c>
      <c r="I539" s="24" t="str">
        <f>IF('ASS START SYNC'!C543="SHOW",MID('ASS START SYNC'!E543,C539+1,D539-C539-1),I538)</f>
        <v/>
      </c>
      <c r="J539" s="23" t="str">
        <f>IF('ASS START SYNC'!C543="SHOW",MID('ASS START SYNC'!E543,D539+1,F539-D539+1),"")</f>
        <v/>
      </c>
      <c r="K539" s="23" t="str">
        <f>IF('ASS START SYNC'!C543="SHOW",MID('ASS START SYNC'!E543,F539+2,1000),"")</f>
        <v/>
      </c>
      <c r="M539" s="24"/>
      <c r="N539" s="26">
        <v>536</v>
      </c>
      <c r="O539" s="24" t="str">
        <f>IF('ASS END SYNC'!C543="SHOW",FIND(",",'ASS END SYNC'!E543,1),"")</f>
        <v/>
      </c>
      <c r="P539" s="24" t="str">
        <f>IF('ASS END SYNC'!C543="SHOW",FIND(",",'ASS END SYNC'!E543,O539+1),"")</f>
        <v/>
      </c>
      <c r="Q539" s="24" t="str">
        <f>IF('ASS END SYNC'!C543="SHOW",FIND(",",'ASS END SYNC'!E543,P539+1),"")</f>
        <v/>
      </c>
      <c r="R539" s="25" t="str">
        <f>IF('ASS END SYNC'!C543="SHOW",FIND(",,",'ASS END SYNC'!E543,1),"")</f>
        <v/>
      </c>
      <c r="S539" s="25" t="str">
        <f>IF('ASS END SYNC'!C543="SHOW",FIND(",,",'ASS END SYNC'!E543,R539+1),"")</f>
        <v/>
      </c>
      <c r="T539" s="23" t="str">
        <f>IF('ASS END SYNC'!C543="SHOW",LEFT('ASS END SYNC'!E543,O539),"")</f>
        <v/>
      </c>
      <c r="U539" s="24" t="str">
        <f>IF('ASS END SYNC'!C543="SHOW",MID('ASS END SYNC'!E543,O539+1,P539-O539-1),"")</f>
        <v/>
      </c>
      <c r="V539" s="24" t="str">
        <f>IF(AND('ASS END SYNC'!C543="SHOW",'ASS END SYNC'!C544="SHOW"),U540,IF(AND('ASS END SYNC'!C543="SHOW",'ASS END SYNC'!C544&lt;&gt;"SHOW"),MID('ASS END SYNC'!E543,O539+1,P539-O539-1),""))</f>
        <v/>
      </c>
      <c r="W539" s="23" t="str">
        <f>IF('ASS END SYNC'!C543="SHOW",MID('ASS END SYNC'!E543,Q539+1,S539-Q539+1),"")</f>
        <v/>
      </c>
      <c r="X539" s="23" t="str">
        <f>IF('ASS END SYNC'!C543="SHOW",MID('ASS END SYNC'!E543,S539+2,1000),"")</f>
        <v/>
      </c>
      <c r="Z539" s="24"/>
    </row>
    <row r="540" spans="1:26" x14ac:dyDescent="0.25">
      <c r="A540" s="26">
        <v>537</v>
      </c>
      <c r="B540" s="24" t="str">
        <f>IF('ASS START SYNC'!C544="SHOW",FIND(",",'ASS START SYNC'!E544,1),"")</f>
        <v/>
      </c>
      <c r="C540" s="24" t="str">
        <f>IF('ASS START SYNC'!C544="SHOW",FIND(",",'ASS START SYNC'!E544,B540+1),"")</f>
        <v/>
      </c>
      <c r="D540" s="24" t="str">
        <f>IF('ASS START SYNC'!C544="SHOW",FIND(",",'ASS START SYNC'!E544,C540+1),"")</f>
        <v/>
      </c>
      <c r="E540" s="25" t="str">
        <f>IF('ASS START SYNC'!C544="SHOW",FIND(",,",'ASS START SYNC'!E544,1),"")</f>
        <v/>
      </c>
      <c r="F540" s="25" t="str">
        <f>IF('ASS START SYNC'!C544="SHOW",FIND(",,",'ASS START SYNC'!E544,E540+1),"")</f>
        <v/>
      </c>
      <c r="G540" s="23" t="str">
        <f>IF('ASS START SYNC'!C544="SHOW",LEFT('ASS START SYNC'!E544,B540),"")</f>
        <v/>
      </c>
      <c r="H540" s="24" t="str">
        <f>IF(AND('ASS START SYNC'!C544="SHOW",COUNTA('ASS START SYNC'!$E$8:'ASS START SYNC'!E543)=0),MID('ASS START SYNC'!E544,B540+1,C540-B540-1),IF(AND('ASS START SYNC'!C544="SHOW",COUNTA('ASS START SYNC'!$E$8:'ASS START SYNC'!E543)&lt;&gt;0),I539,""))</f>
        <v/>
      </c>
      <c r="I540" s="24" t="str">
        <f>IF('ASS START SYNC'!C544="SHOW",MID('ASS START SYNC'!E544,C540+1,D540-C540-1),I539)</f>
        <v/>
      </c>
      <c r="J540" s="23" t="str">
        <f>IF('ASS START SYNC'!C544="SHOW",MID('ASS START SYNC'!E544,D540+1,F540-D540+1),"")</f>
        <v/>
      </c>
      <c r="K540" s="23" t="str">
        <f>IF('ASS START SYNC'!C544="SHOW",MID('ASS START SYNC'!E544,F540+2,1000),"")</f>
        <v/>
      </c>
      <c r="M540" s="24"/>
      <c r="N540" s="26">
        <v>537</v>
      </c>
      <c r="O540" s="24" t="str">
        <f>IF('ASS END SYNC'!C544="SHOW",FIND(",",'ASS END SYNC'!E544,1),"")</f>
        <v/>
      </c>
      <c r="P540" s="24" t="str">
        <f>IF('ASS END SYNC'!C544="SHOW",FIND(",",'ASS END SYNC'!E544,O540+1),"")</f>
        <v/>
      </c>
      <c r="Q540" s="24" t="str">
        <f>IF('ASS END SYNC'!C544="SHOW",FIND(",",'ASS END SYNC'!E544,P540+1),"")</f>
        <v/>
      </c>
      <c r="R540" s="25" t="str">
        <f>IF('ASS END SYNC'!C544="SHOW",FIND(",,",'ASS END SYNC'!E544,1),"")</f>
        <v/>
      </c>
      <c r="S540" s="25" t="str">
        <f>IF('ASS END SYNC'!C544="SHOW",FIND(",,",'ASS END SYNC'!E544,R540+1),"")</f>
        <v/>
      </c>
      <c r="T540" s="23" t="str">
        <f>IF('ASS END SYNC'!C544="SHOW",LEFT('ASS END SYNC'!E544,O540),"")</f>
        <v/>
      </c>
      <c r="U540" s="24" t="str">
        <f>IF('ASS END SYNC'!C544="SHOW",MID('ASS END SYNC'!E544,O540+1,P540-O540-1),"")</f>
        <v/>
      </c>
      <c r="V540" s="24" t="str">
        <f>IF(AND('ASS END SYNC'!C544="SHOW",'ASS END SYNC'!C545="SHOW"),U541,IF(AND('ASS END SYNC'!C544="SHOW",'ASS END SYNC'!C545&lt;&gt;"SHOW"),MID('ASS END SYNC'!E544,O540+1,P540-O540-1),""))</f>
        <v/>
      </c>
      <c r="W540" s="23" t="str">
        <f>IF('ASS END SYNC'!C544="SHOW",MID('ASS END SYNC'!E544,Q540+1,S540-Q540+1),"")</f>
        <v/>
      </c>
      <c r="X540" s="23" t="str">
        <f>IF('ASS END SYNC'!C544="SHOW",MID('ASS END SYNC'!E544,S540+2,1000),"")</f>
        <v/>
      </c>
      <c r="Z540" s="24"/>
    </row>
    <row r="541" spans="1:26" x14ac:dyDescent="0.25">
      <c r="A541" s="26">
        <v>538</v>
      </c>
      <c r="B541" s="24" t="str">
        <f>IF('ASS START SYNC'!C545="SHOW",FIND(",",'ASS START SYNC'!E545,1),"")</f>
        <v/>
      </c>
      <c r="C541" s="24" t="str">
        <f>IF('ASS START SYNC'!C545="SHOW",FIND(",",'ASS START SYNC'!E545,B541+1),"")</f>
        <v/>
      </c>
      <c r="D541" s="24" t="str">
        <f>IF('ASS START SYNC'!C545="SHOW",FIND(",",'ASS START SYNC'!E545,C541+1),"")</f>
        <v/>
      </c>
      <c r="E541" s="25" t="str">
        <f>IF('ASS START SYNC'!C545="SHOW",FIND(",,",'ASS START SYNC'!E545,1),"")</f>
        <v/>
      </c>
      <c r="F541" s="25" t="str">
        <f>IF('ASS START SYNC'!C545="SHOW",FIND(",,",'ASS START SYNC'!E545,E541+1),"")</f>
        <v/>
      </c>
      <c r="G541" s="23" t="str">
        <f>IF('ASS START SYNC'!C545="SHOW",LEFT('ASS START SYNC'!E545,B541),"")</f>
        <v/>
      </c>
      <c r="H541" s="24" t="str">
        <f>IF(AND('ASS START SYNC'!C545="SHOW",COUNTA('ASS START SYNC'!$E$8:'ASS START SYNC'!E544)=0),MID('ASS START SYNC'!E545,B541+1,C541-B541-1),IF(AND('ASS START SYNC'!C545="SHOW",COUNTA('ASS START SYNC'!$E$8:'ASS START SYNC'!E544)&lt;&gt;0),I540,""))</f>
        <v/>
      </c>
      <c r="I541" s="24" t="str">
        <f>IF('ASS START SYNC'!C545="SHOW",MID('ASS START SYNC'!E545,C541+1,D541-C541-1),I540)</f>
        <v/>
      </c>
      <c r="J541" s="23" t="str">
        <f>IF('ASS START SYNC'!C545="SHOW",MID('ASS START SYNC'!E545,D541+1,F541-D541+1),"")</f>
        <v/>
      </c>
      <c r="K541" s="23" t="str">
        <f>IF('ASS START SYNC'!C545="SHOW",MID('ASS START SYNC'!E545,F541+2,1000),"")</f>
        <v/>
      </c>
      <c r="M541" s="24"/>
      <c r="N541" s="26">
        <v>538</v>
      </c>
      <c r="O541" s="24" t="str">
        <f>IF('ASS END SYNC'!C545="SHOW",FIND(",",'ASS END SYNC'!E545,1),"")</f>
        <v/>
      </c>
      <c r="P541" s="24" t="str">
        <f>IF('ASS END SYNC'!C545="SHOW",FIND(",",'ASS END SYNC'!E545,O541+1),"")</f>
        <v/>
      </c>
      <c r="Q541" s="24" t="str">
        <f>IF('ASS END SYNC'!C545="SHOW",FIND(",",'ASS END SYNC'!E545,P541+1),"")</f>
        <v/>
      </c>
      <c r="R541" s="25" t="str">
        <f>IF('ASS END SYNC'!C545="SHOW",FIND(",,",'ASS END SYNC'!E545,1),"")</f>
        <v/>
      </c>
      <c r="S541" s="25" t="str">
        <f>IF('ASS END SYNC'!C545="SHOW",FIND(",,",'ASS END SYNC'!E545,R541+1),"")</f>
        <v/>
      </c>
      <c r="T541" s="23" t="str">
        <f>IF('ASS END SYNC'!C545="SHOW",LEFT('ASS END SYNC'!E545,O541),"")</f>
        <v/>
      </c>
      <c r="U541" s="24" t="str">
        <f>IF('ASS END SYNC'!C545="SHOW",MID('ASS END SYNC'!E545,O541+1,P541-O541-1),"")</f>
        <v/>
      </c>
      <c r="V541" s="24" t="str">
        <f>IF(AND('ASS END SYNC'!C545="SHOW",'ASS END SYNC'!C546="SHOW"),U542,IF(AND('ASS END SYNC'!C545="SHOW",'ASS END SYNC'!C546&lt;&gt;"SHOW"),MID('ASS END SYNC'!E545,O541+1,P541-O541-1),""))</f>
        <v/>
      </c>
      <c r="W541" s="23" t="str">
        <f>IF('ASS END SYNC'!C545="SHOW",MID('ASS END SYNC'!E545,Q541+1,S541-Q541+1),"")</f>
        <v/>
      </c>
      <c r="X541" s="23" t="str">
        <f>IF('ASS END SYNC'!C545="SHOW",MID('ASS END SYNC'!E545,S541+2,1000),"")</f>
        <v/>
      </c>
      <c r="Z541" s="24"/>
    </row>
    <row r="542" spans="1:26" x14ac:dyDescent="0.25">
      <c r="A542" s="26">
        <v>539</v>
      </c>
      <c r="B542" s="24" t="str">
        <f>IF('ASS START SYNC'!C546="SHOW",FIND(",",'ASS START SYNC'!E546,1),"")</f>
        <v/>
      </c>
      <c r="C542" s="24" t="str">
        <f>IF('ASS START SYNC'!C546="SHOW",FIND(",",'ASS START SYNC'!E546,B542+1),"")</f>
        <v/>
      </c>
      <c r="D542" s="24" t="str">
        <f>IF('ASS START SYNC'!C546="SHOW",FIND(",",'ASS START SYNC'!E546,C542+1),"")</f>
        <v/>
      </c>
      <c r="E542" s="25" t="str">
        <f>IF('ASS START SYNC'!C546="SHOW",FIND(",,",'ASS START SYNC'!E546,1),"")</f>
        <v/>
      </c>
      <c r="F542" s="25" t="str">
        <f>IF('ASS START SYNC'!C546="SHOW",FIND(",,",'ASS START SYNC'!E546,E542+1),"")</f>
        <v/>
      </c>
      <c r="G542" s="23" t="str">
        <f>IF('ASS START SYNC'!C546="SHOW",LEFT('ASS START SYNC'!E546,B542),"")</f>
        <v/>
      </c>
      <c r="H542" s="24" t="str">
        <f>IF(AND('ASS START SYNC'!C546="SHOW",COUNTA('ASS START SYNC'!$E$8:'ASS START SYNC'!E545)=0),MID('ASS START SYNC'!E546,B542+1,C542-B542-1),IF(AND('ASS START SYNC'!C546="SHOW",COUNTA('ASS START SYNC'!$E$8:'ASS START SYNC'!E545)&lt;&gt;0),I541,""))</f>
        <v/>
      </c>
      <c r="I542" s="24" t="str">
        <f>IF('ASS START SYNC'!C546="SHOW",MID('ASS START SYNC'!E546,C542+1,D542-C542-1),I541)</f>
        <v/>
      </c>
      <c r="J542" s="23" t="str">
        <f>IF('ASS START SYNC'!C546="SHOW",MID('ASS START SYNC'!E546,D542+1,F542-D542+1),"")</f>
        <v/>
      </c>
      <c r="K542" s="23" t="str">
        <f>IF('ASS START SYNC'!C546="SHOW",MID('ASS START SYNC'!E546,F542+2,1000),"")</f>
        <v/>
      </c>
      <c r="M542" s="24"/>
      <c r="N542" s="26">
        <v>539</v>
      </c>
      <c r="O542" s="24" t="str">
        <f>IF('ASS END SYNC'!C546="SHOW",FIND(",",'ASS END SYNC'!E546,1),"")</f>
        <v/>
      </c>
      <c r="P542" s="24" t="str">
        <f>IF('ASS END SYNC'!C546="SHOW",FIND(",",'ASS END SYNC'!E546,O542+1),"")</f>
        <v/>
      </c>
      <c r="Q542" s="24" t="str">
        <f>IF('ASS END SYNC'!C546="SHOW",FIND(",",'ASS END SYNC'!E546,P542+1),"")</f>
        <v/>
      </c>
      <c r="R542" s="25" t="str">
        <f>IF('ASS END SYNC'!C546="SHOW",FIND(",,",'ASS END SYNC'!E546,1),"")</f>
        <v/>
      </c>
      <c r="S542" s="25" t="str">
        <f>IF('ASS END SYNC'!C546="SHOW",FIND(",,",'ASS END SYNC'!E546,R542+1),"")</f>
        <v/>
      </c>
      <c r="T542" s="23" t="str">
        <f>IF('ASS END SYNC'!C546="SHOW",LEFT('ASS END SYNC'!E546,O542),"")</f>
        <v/>
      </c>
      <c r="U542" s="24" t="str">
        <f>IF('ASS END SYNC'!C546="SHOW",MID('ASS END SYNC'!E546,O542+1,P542-O542-1),"")</f>
        <v/>
      </c>
      <c r="V542" s="24" t="str">
        <f>IF(AND('ASS END SYNC'!C546="SHOW",'ASS END SYNC'!C547="SHOW"),U543,IF(AND('ASS END SYNC'!C546="SHOW",'ASS END SYNC'!C547&lt;&gt;"SHOW"),MID('ASS END SYNC'!E546,O542+1,P542-O542-1),""))</f>
        <v/>
      </c>
      <c r="W542" s="23" t="str">
        <f>IF('ASS END SYNC'!C546="SHOW",MID('ASS END SYNC'!E546,Q542+1,S542-Q542+1),"")</f>
        <v/>
      </c>
      <c r="X542" s="23" t="str">
        <f>IF('ASS END SYNC'!C546="SHOW",MID('ASS END SYNC'!E546,S542+2,1000),"")</f>
        <v/>
      </c>
      <c r="Z542" s="24"/>
    </row>
    <row r="543" spans="1:26" x14ac:dyDescent="0.25">
      <c r="A543" s="26">
        <v>540</v>
      </c>
      <c r="B543" s="24" t="str">
        <f>IF('ASS START SYNC'!C547="SHOW",FIND(",",'ASS START SYNC'!E547,1),"")</f>
        <v/>
      </c>
      <c r="C543" s="24" t="str">
        <f>IF('ASS START SYNC'!C547="SHOW",FIND(",",'ASS START SYNC'!E547,B543+1),"")</f>
        <v/>
      </c>
      <c r="D543" s="24" t="str">
        <f>IF('ASS START SYNC'!C547="SHOW",FIND(",",'ASS START SYNC'!E547,C543+1),"")</f>
        <v/>
      </c>
      <c r="E543" s="25" t="str">
        <f>IF('ASS START SYNC'!C547="SHOW",FIND(",,",'ASS START SYNC'!E547,1),"")</f>
        <v/>
      </c>
      <c r="F543" s="25" t="str">
        <f>IF('ASS START SYNC'!C547="SHOW",FIND(",,",'ASS START SYNC'!E547,E543+1),"")</f>
        <v/>
      </c>
      <c r="G543" s="23" t="str">
        <f>IF('ASS START SYNC'!C547="SHOW",LEFT('ASS START SYNC'!E547,B543),"")</f>
        <v/>
      </c>
      <c r="H543" s="24" t="str">
        <f>IF(AND('ASS START SYNC'!C547="SHOW",COUNTA('ASS START SYNC'!$E$8:'ASS START SYNC'!E546)=0),MID('ASS START SYNC'!E547,B543+1,C543-B543-1),IF(AND('ASS START SYNC'!C547="SHOW",COUNTA('ASS START SYNC'!$E$8:'ASS START SYNC'!E546)&lt;&gt;0),I542,""))</f>
        <v/>
      </c>
      <c r="I543" s="24" t="str">
        <f>IF('ASS START SYNC'!C547="SHOW",MID('ASS START SYNC'!E547,C543+1,D543-C543-1),I542)</f>
        <v/>
      </c>
      <c r="J543" s="23" t="str">
        <f>IF('ASS START SYNC'!C547="SHOW",MID('ASS START SYNC'!E547,D543+1,F543-D543+1),"")</f>
        <v/>
      </c>
      <c r="K543" s="23" t="str">
        <f>IF('ASS START SYNC'!C547="SHOW",MID('ASS START SYNC'!E547,F543+2,1000),"")</f>
        <v/>
      </c>
      <c r="M543" s="24"/>
      <c r="N543" s="26">
        <v>540</v>
      </c>
      <c r="O543" s="24" t="str">
        <f>IF('ASS END SYNC'!C547="SHOW",FIND(",",'ASS END SYNC'!E547,1),"")</f>
        <v/>
      </c>
      <c r="P543" s="24" t="str">
        <f>IF('ASS END SYNC'!C547="SHOW",FIND(",",'ASS END SYNC'!E547,O543+1),"")</f>
        <v/>
      </c>
      <c r="Q543" s="24" t="str">
        <f>IF('ASS END SYNC'!C547="SHOW",FIND(",",'ASS END SYNC'!E547,P543+1),"")</f>
        <v/>
      </c>
      <c r="R543" s="25" t="str">
        <f>IF('ASS END SYNC'!C547="SHOW",FIND(",,",'ASS END SYNC'!E547,1),"")</f>
        <v/>
      </c>
      <c r="S543" s="25" t="str">
        <f>IF('ASS END SYNC'!C547="SHOW",FIND(",,",'ASS END SYNC'!E547,R543+1),"")</f>
        <v/>
      </c>
      <c r="T543" s="23" t="str">
        <f>IF('ASS END SYNC'!C547="SHOW",LEFT('ASS END SYNC'!E547,O543),"")</f>
        <v/>
      </c>
      <c r="U543" s="24" t="str">
        <f>IF('ASS END SYNC'!C547="SHOW",MID('ASS END SYNC'!E547,O543+1,P543-O543-1),"")</f>
        <v/>
      </c>
      <c r="V543" s="24" t="str">
        <f>IF(AND('ASS END SYNC'!C547="SHOW",'ASS END SYNC'!C548="SHOW"),U544,IF(AND('ASS END SYNC'!C547="SHOW",'ASS END SYNC'!C548&lt;&gt;"SHOW"),MID('ASS END SYNC'!E547,O543+1,P543-O543-1),""))</f>
        <v/>
      </c>
      <c r="W543" s="23" t="str">
        <f>IF('ASS END SYNC'!C547="SHOW",MID('ASS END SYNC'!E547,Q543+1,S543-Q543+1),"")</f>
        <v/>
      </c>
      <c r="X543" s="23" t="str">
        <f>IF('ASS END SYNC'!C547="SHOW",MID('ASS END SYNC'!E547,S543+2,1000),"")</f>
        <v/>
      </c>
      <c r="Z543" s="24"/>
    </row>
    <row r="544" spans="1:26" x14ac:dyDescent="0.25">
      <c r="A544" s="26">
        <v>541</v>
      </c>
      <c r="B544" s="24" t="str">
        <f>IF('ASS START SYNC'!C548="SHOW",FIND(",",'ASS START SYNC'!E548,1),"")</f>
        <v/>
      </c>
      <c r="C544" s="24" t="str">
        <f>IF('ASS START SYNC'!C548="SHOW",FIND(",",'ASS START SYNC'!E548,B544+1),"")</f>
        <v/>
      </c>
      <c r="D544" s="24" t="str">
        <f>IF('ASS START SYNC'!C548="SHOW",FIND(",",'ASS START SYNC'!E548,C544+1),"")</f>
        <v/>
      </c>
      <c r="E544" s="25" t="str">
        <f>IF('ASS START SYNC'!C548="SHOW",FIND(",,",'ASS START SYNC'!E548,1),"")</f>
        <v/>
      </c>
      <c r="F544" s="25" t="str">
        <f>IF('ASS START SYNC'!C548="SHOW",FIND(",,",'ASS START SYNC'!E548,E544+1),"")</f>
        <v/>
      </c>
      <c r="G544" s="23" t="str">
        <f>IF('ASS START SYNC'!C548="SHOW",LEFT('ASS START SYNC'!E548,B544),"")</f>
        <v/>
      </c>
      <c r="H544" s="24" t="str">
        <f>IF(AND('ASS START SYNC'!C548="SHOW",COUNTA('ASS START SYNC'!$E$8:'ASS START SYNC'!E547)=0),MID('ASS START SYNC'!E548,B544+1,C544-B544-1),IF(AND('ASS START SYNC'!C548="SHOW",COUNTA('ASS START SYNC'!$E$8:'ASS START SYNC'!E547)&lt;&gt;0),I543,""))</f>
        <v/>
      </c>
      <c r="I544" s="24" t="str">
        <f>IF('ASS START SYNC'!C548="SHOW",MID('ASS START SYNC'!E548,C544+1,D544-C544-1),I543)</f>
        <v/>
      </c>
      <c r="J544" s="23" t="str">
        <f>IF('ASS START SYNC'!C548="SHOW",MID('ASS START SYNC'!E548,D544+1,F544-D544+1),"")</f>
        <v/>
      </c>
      <c r="K544" s="23" t="str">
        <f>IF('ASS START SYNC'!C548="SHOW",MID('ASS START SYNC'!E548,F544+2,1000),"")</f>
        <v/>
      </c>
      <c r="M544" s="24"/>
      <c r="N544" s="26">
        <v>541</v>
      </c>
      <c r="O544" s="24" t="str">
        <f>IF('ASS END SYNC'!C548="SHOW",FIND(",",'ASS END SYNC'!E548,1),"")</f>
        <v/>
      </c>
      <c r="P544" s="24" t="str">
        <f>IF('ASS END SYNC'!C548="SHOW",FIND(",",'ASS END SYNC'!E548,O544+1),"")</f>
        <v/>
      </c>
      <c r="Q544" s="24" t="str">
        <f>IF('ASS END SYNC'!C548="SHOW",FIND(",",'ASS END SYNC'!E548,P544+1),"")</f>
        <v/>
      </c>
      <c r="R544" s="25" t="str">
        <f>IF('ASS END SYNC'!C548="SHOW",FIND(",,",'ASS END SYNC'!E548,1),"")</f>
        <v/>
      </c>
      <c r="S544" s="25" t="str">
        <f>IF('ASS END SYNC'!C548="SHOW",FIND(",,",'ASS END SYNC'!E548,R544+1),"")</f>
        <v/>
      </c>
      <c r="T544" s="23" t="str">
        <f>IF('ASS END SYNC'!C548="SHOW",LEFT('ASS END SYNC'!E548,O544),"")</f>
        <v/>
      </c>
      <c r="U544" s="24" t="str">
        <f>IF('ASS END SYNC'!C548="SHOW",MID('ASS END SYNC'!E548,O544+1,P544-O544-1),"")</f>
        <v/>
      </c>
      <c r="V544" s="24" t="str">
        <f>IF(AND('ASS END SYNC'!C548="SHOW",'ASS END SYNC'!C549="SHOW"),U545,IF(AND('ASS END SYNC'!C548="SHOW",'ASS END SYNC'!C549&lt;&gt;"SHOW"),MID('ASS END SYNC'!E548,O544+1,P544-O544-1),""))</f>
        <v/>
      </c>
      <c r="W544" s="23" t="str">
        <f>IF('ASS END SYNC'!C548="SHOW",MID('ASS END SYNC'!E548,Q544+1,S544-Q544+1),"")</f>
        <v/>
      </c>
      <c r="X544" s="23" t="str">
        <f>IF('ASS END SYNC'!C548="SHOW",MID('ASS END SYNC'!E548,S544+2,1000),"")</f>
        <v/>
      </c>
      <c r="Z544" s="24"/>
    </row>
    <row r="545" spans="1:26" x14ac:dyDescent="0.25">
      <c r="A545" s="26">
        <v>542</v>
      </c>
      <c r="B545" s="24" t="str">
        <f>IF('ASS START SYNC'!C549="SHOW",FIND(",",'ASS START SYNC'!E549,1),"")</f>
        <v/>
      </c>
      <c r="C545" s="24" t="str">
        <f>IF('ASS START SYNC'!C549="SHOW",FIND(",",'ASS START SYNC'!E549,B545+1),"")</f>
        <v/>
      </c>
      <c r="D545" s="24" t="str">
        <f>IF('ASS START SYNC'!C549="SHOW",FIND(",",'ASS START SYNC'!E549,C545+1),"")</f>
        <v/>
      </c>
      <c r="E545" s="25" t="str">
        <f>IF('ASS START SYNC'!C549="SHOW",FIND(",,",'ASS START SYNC'!E549,1),"")</f>
        <v/>
      </c>
      <c r="F545" s="25" t="str">
        <f>IF('ASS START SYNC'!C549="SHOW",FIND(",,",'ASS START SYNC'!E549,E545+1),"")</f>
        <v/>
      </c>
      <c r="G545" s="23" t="str">
        <f>IF('ASS START SYNC'!C549="SHOW",LEFT('ASS START SYNC'!E549,B545),"")</f>
        <v/>
      </c>
      <c r="H545" s="24" t="str">
        <f>IF(AND('ASS START SYNC'!C549="SHOW",COUNTA('ASS START SYNC'!$E$8:'ASS START SYNC'!E548)=0),MID('ASS START SYNC'!E549,B545+1,C545-B545-1),IF(AND('ASS START SYNC'!C549="SHOW",COUNTA('ASS START SYNC'!$E$8:'ASS START SYNC'!E548)&lt;&gt;0),I544,""))</f>
        <v/>
      </c>
      <c r="I545" s="24" t="str">
        <f>IF('ASS START SYNC'!C549="SHOW",MID('ASS START SYNC'!E549,C545+1,D545-C545-1),I544)</f>
        <v/>
      </c>
      <c r="J545" s="23" t="str">
        <f>IF('ASS START SYNC'!C549="SHOW",MID('ASS START SYNC'!E549,D545+1,F545-D545+1),"")</f>
        <v/>
      </c>
      <c r="K545" s="23" t="str">
        <f>IF('ASS START SYNC'!C549="SHOW",MID('ASS START SYNC'!E549,F545+2,1000),"")</f>
        <v/>
      </c>
      <c r="M545" s="24"/>
      <c r="N545" s="26">
        <v>542</v>
      </c>
      <c r="O545" s="24" t="str">
        <f>IF('ASS END SYNC'!C549="SHOW",FIND(",",'ASS END SYNC'!E549,1),"")</f>
        <v/>
      </c>
      <c r="P545" s="24" t="str">
        <f>IF('ASS END SYNC'!C549="SHOW",FIND(",",'ASS END SYNC'!E549,O545+1),"")</f>
        <v/>
      </c>
      <c r="Q545" s="24" t="str">
        <f>IF('ASS END SYNC'!C549="SHOW",FIND(",",'ASS END SYNC'!E549,P545+1),"")</f>
        <v/>
      </c>
      <c r="R545" s="25" t="str">
        <f>IF('ASS END SYNC'!C549="SHOW",FIND(",,",'ASS END SYNC'!E549,1),"")</f>
        <v/>
      </c>
      <c r="S545" s="25" t="str">
        <f>IF('ASS END SYNC'!C549="SHOW",FIND(",,",'ASS END SYNC'!E549,R545+1),"")</f>
        <v/>
      </c>
      <c r="T545" s="23" t="str">
        <f>IF('ASS END SYNC'!C549="SHOW",LEFT('ASS END SYNC'!E549,O545),"")</f>
        <v/>
      </c>
      <c r="U545" s="24" t="str">
        <f>IF('ASS END SYNC'!C549="SHOW",MID('ASS END SYNC'!E549,O545+1,P545-O545-1),"")</f>
        <v/>
      </c>
      <c r="V545" s="24" t="str">
        <f>IF(AND('ASS END SYNC'!C549="SHOW",'ASS END SYNC'!C550="SHOW"),U546,IF(AND('ASS END SYNC'!C549="SHOW",'ASS END SYNC'!C550&lt;&gt;"SHOW"),MID('ASS END SYNC'!E549,O545+1,P545-O545-1),""))</f>
        <v/>
      </c>
      <c r="W545" s="23" t="str">
        <f>IF('ASS END SYNC'!C549="SHOW",MID('ASS END SYNC'!E549,Q545+1,S545-Q545+1),"")</f>
        <v/>
      </c>
      <c r="X545" s="23" t="str">
        <f>IF('ASS END SYNC'!C549="SHOW",MID('ASS END SYNC'!E549,S545+2,1000),"")</f>
        <v/>
      </c>
      <c r="Z545" s="24"/>
    </row>
    <row r="546" spans="1:26" x14ac:dyDescent="0.25">
      <c r="A546" s="26">
        <v>543</v>
      </c>
      <c r="B546" s="24" t="str">
        <f>IF('ASS START SYNC'!C550="SHOW",FIND(",",'ASS START SYNC'!E550,1),"")</f>
        <v/>
      </c>
      <c r="C546" s="24" t="str">
        <f>IF('ASS START SYNC'!C550="SHOW",FIND(",",'ASS START SYNC'!E550,B546+1),"")</f>
        <v/>
      </c>
      <c r="D546" s="24" t="str">
        <f>IF('ASS START SYNC'!C550="SHOW",FIND(",",'ASS START SYNC'!E550,C546+1),"")</f>
        <v/>
      </c>
      <c r="E546" s="25" t="str">
        <f>IF('ASS START SYNC'!C550="SHOW",FIND(",,",'ASS START SYNC'!E550,1),"")</f>
        <v/>
      </c>
      <c r="F546" s="25" t="str">
        <f>IF('ASS START SYNC'!C550="SHOW",FIND(",,",'ASS START SYNC'!E550,E546+1),"")</f>
        <v/>
      </c>
      <c r="G546" s="23" t="str">
        <f>IF('ASS START SYNC'!C550="SHOW",LEFT('ASS START SYNC'!E550,B546),"")</f>
        <v/>
      </c>
      <c r="H546" s="24" t="str">
        <f>IF(AND('ASS START SYNC'!C550="SHOW",COUNTA('ASS START SYNC'!$E$8:'ASS START SYNC'!E549)=0),MID('ASS START SYNC'!E550,B546+1,C546-B546-1),IF(AND('ASS START SYNC'!C550="SHOW",COUNTA('ASS START SYNC'!$E$8:'ASS START SYNC'!E549)&lt;&gt;0),I545,""))</f>
        <v/>
      </c>
      <c r="I546" s="24" t="str">
        <f>IF('ASS START SYNC'!C550="SHOW",MID('ASS START SYNC'!E550,C546+1,D546-C546-1),I545)</f>
        <v/>
      </c>
      <c r="J546" s="23" t="str">
        <f>IF('ASS START SYNC'!C550="SHOW",MID('ASS START SYNC'!E550,D546+1,F546-D546+1),"")</f>
        <v/>
      </c>
      <c r="K546" s="23" t="str">
        <f>IF('ASS START SYNC'!C550="SHOW",MID('ASS START SYNC'!E550,F546+2,1000),"")</f>
        <v/>
      </c>
      <c r="M546" s="24"/>
      <c r="N546" s="26">
        <v>543</v>
      </c>
      <c r="O546" s="24" t="str">
        <f>IF('ASS END SYNC'!C550="SHOW",FIND(",",'ASS END SYNC'!E550,1),"")</f>
        <v/>
      </c>
      <c r="P546" s="24" t="str">
        <f>IF('ASS END SYNC'!C550="SHOW",FIND(",",'ASS END SYNC'!E550,O546+1),"")</f>
        <v/>
      </c>
      <c r="Q546" s="24" t="str">
        <f>IF('ASS END SYNC'!C550="SHOW",FIND(",",'ASS END SYNC'!E550,P546+1),"")</f>
        <v/>
      </c>
      <c r="R546" s="25" t="str">
        <f>IF('ASS END SYNC'!C550="SHOW",FIND(",,",'ASS END SYNC'!E550,1),"")</f>
        <v/>
      </c>
      <c r="S546" s="25" t="str">
        <f>IF('ASS END SYNC'!C550="SHOW",FIND(",,",'ASS END SYNC'!E550,R546+1),"")</f>
        <v/>
      </c>
      <c r="T546" s="23" t="str">
        <f>IF('ASS END SYNC'!C550="SHOW",LEFT('ASS END SYNC'!E550,O546),"")</f>
        <v/>
      </c>
      <c r="U546" s="24" t="str">
        <f>IF('ASS END SYNC'!C550="SHOW",MID('ASS END SYNC'!E550,O546+1,P546-O546-1),"")</f>
        <v/>
      </c>
      <c r="V546" s="24" t="str">
        <f>IF(AND('ASS END SYNC'!C550="SHOW",'ASS END SYNC'!C551="SHOW"),U547,IF(AND('ASS END SYNC'!C550="SHOW",'ASS END SYNC'!C551&lt;&gt;"SHOW"),MID('ASS END SYNC'!E550,O546+1,P546-O546-1),""))</f>
        <v/>
      </c>
      <c r="W546" s="23" t="str">
        <f>IF('ASS END SYNC'!C550="SHOW",MID('ASS END SYNC'!E550,Q546+1,S546-Q546+1),"")</f>
        <v/>
      </c>
      <c r="X546" s="23" t="str">
        <f>IF('ASS END SYNC'!C550="SHOW",MID('ASS END SYNC'!E550,S546+2,1000),"")</f>
        <v/>
      </c>
      <c r="Z546" s="24"/>
    </row>
    <row r="547" spans="1:26" x14ac:dyDescent="0.25">
      <c r="A547" s="26">
        <v>544</v>
      </c>
      <c r="B547" s="24" t="str">
        <f>IF('ASS START SYNC'!C551="SHOW",FIND(",",'ASS START SYNC'!E551,1),"")</f>
        <v/>
      </c>
      <c r="C547" s="24" t="str">
        <f>IF('ASS START SYNC'!C551="SHOW",FIND(",",'ASS START SYNC'!E551,B547+1),"")</f>
        <v/>
      </c>
      <c r="D547" s="24" t="str">
        <f>IF('ASS START SYNC'!C551="SHOW",FIND(",",'ASS START SYNC'!E551,C547+1),"")</f>
        <v/>
      </c>
      <c r="E547" s="25" t="str">
        <f>IF('ASS START SYNC'!C551="SHOW",FIND(",,",'ASS START SYNC'!E551,1),"")</f>
        <v/>
      </c>
      <c r="F547" s="25" t="str">
        <f>IF('ASS START SYNC'!C551="SHOW",FIND(",,",'ASS START SYNC'!E551,E547+1),"")</f>
        <v/>
      </c>
      <c r="G547" s="23" t="str">
        <f>IF('ASS START SYNC'!C551="SHOW",LEFT('ASS START SYNC'!E551,B547),"")</f>
        <v/>
      </c>
      <c r="H547" s="24" t="str">
        <f>IF(AND('ASS START SYNC'!C551="SHOW",COUNTA('ASS START SYNC'!$E$8:'ASS START SYNC'!E550)=0),MID('ASS START SYNC'!E551,B547+1,C547-B547-1),IF(AND('ASS START SYNC'!C551="SHOW",COUNTA('ASS START SYNC'!$E$8:'ASS START SYNC'!E550)&lt;&gt;0),I546,""))</f>
        <v/>
      </c>
      <c r="I547" s="24" t="str">
        <f>IF('ASS START SYNC'!C551="SHOW",MID('ASS START SYNC'!E551,C547+1,D547-C547-1),I546)</f>
        <v/>
      </c>
      <c r="J547" s="23" t="str">
        <f>IF('ASS START SYNC'!C551="SHOW",MID('ASS START SYNC'!E551,D547+1,F547-D547+1),"")</f>
        <v/>
      </c>
      <c r="K547" s="23" t="str">
        <f>IF('ASS START SYNC'!C551="SHOW",MID('ASS START SYNC'!E551,F547+2,1000),"")</f>
        <v/>
      </c>
      <c r="M547" s="24"/>
      <c r="N547" s="26">
        <v>544</v>
      </c>
      <c r="O547" s="24" t="str">
        <f>IF('ASS END SYNC'!C551="SHOW",FIND(",",'ASS END SYNC'!E551,1),"")</f>
        <v/>
      </c>
      <c r="P547" s="24" t="str">
        <f>IF('ASS END SYNC'!C551="SHOW",FIND(",",'ASS END SYNC'!E551,O547+1),"")</f>
        <v/>
      </c>
      <c r="Q547" s="24" t="str">
        <f>IF('ASS END SYNC'!C551="SHOW",FIND(",",'ASS END SYNC'!E551,P547+1),"")</f>
        <v/>
      </c>
      <c r="R547" s="25" t="str">
        <f>IF('ASS END SYNC'!C551="SHOW",FIND(",,",'ASS END SYNC'!E551,1),"")</f>
        <v/>
      </c>
      <c r="S547" s="25" t="str">
        <f>IF('ASS END SYNC'!C551="SHOW",FIND(",,",'ASS END SYNC'!E551,R547+1),"")</f>
        <v/>
      </c>
      <c r="T547" s="23" t="str">
        <f>IF('ASS END SYNC'!C551="SHOW",LEFT('ASS END SYNC'!E551,O547),"")</f>
        <v/>
      </c>
      <c r="U547" s="24" t="str">
        <f>IF('ASS END SYNC'!C551="SHOW",MID('ASS END SYNC'!E551,O547+1,P547-O547-1),"")</f>
        <v/>
      </c>
      <c r="V547" s="24" t="str">
        <f>IF(AND('ASS END SYNC'!C551="SHOW",'ASS END SYNC'!C552="SHOW"),U548,IF(AND('ASS END SYNC'!C551="SHOW",'ASS END SYNC'!C552&lt;&gt;"SHOW"),MID('ASS END SYNC'!E551,O547+1,P547-O547-1),""))</f>
        <v/>
      </c>
      <c r="W547" s="23" t="str">
        <f>IF('ASS END SYNC'!C551="SHOW",MID('ASS END SYNC'!E551,Q547+1,S547-Q547+1),"")</f>
        <v/>
      </c>
      <c r="X547" s="23" t="str">
        <f>IF('ASS END SYNC'!C551="SHOW",MID('ASS END SYNC'!E551,S547+2,1000),"")</f>
        <v/>
      </c>
      <c r="Z547" s="24"/>
    </row>
    <row r="548" spans="1:26" x14ac:dyDescent="0.25">
      <c r="A548" s="26">
        <v>545</v>
      </c>
      <c r="B548" s="24" t="str">
        <f>IF('ASS START SYNC'!C552="SHOW",FIND(",",'ASS START SYNC'!E552,1),"")</f>
        <v/>
      </c>
      <c r="C548" s="24" t="str">
        <f>IF('ASS START SYNC'!C552="SHOW",FIND(",",'ASS START SYNC'!E552,B548+1),"")</f>
        <v/>
      </c>
      <c r="D548" s="24" t="str">
        <f>IF('ASS START SYNC'!C552="SHOW",FIND(",",'ASS START SYNC'!E552,C548+1),"")</f>
        <v/>
      </c>
      <c r="E548" s="25" t="str">
        <f>IF('ASS START SYNC'!C552="SHOW",FIND(",,",'ASS START SYNC'!E552,1),"")</f>
        <v/>
      </c>
      <c r="F548" s="25" t="str">
        <f>IF('ASS START SYNC'!C552="SHOW",FIND(",,",'ASS START SYNC'!E552,E548+1),"")</f>
        <v/>
      </c>
      <c r="G548" s="23" t="str">
        <f>IF('ASS START SYNC'!C552="SHOW",LEFT('ASS START SYNC'!E552,B548),"")</f>
        <v/>
      </c>
      <c r="H548" s="24" t="str">
        <f>IF(AND('ASS START SYNC'!C552="SHOW",COUNTA('ASS START SYNC'!$E$8:'ASS START SYNC'!E551)=0),MID('ASS START SYNC'!E552,B548+1,C548-B548-1),IF(AND('ASS START SYNC'!C552="SHOW",COUNTA('ASS START SYNC'!$E$8:'ASS START SYNC'!E551)&lt;&gt;0),I547,""))</f>
        <v/>
      </c>
      <c r="I548" s="24" t="str">
        <f>IF('ASS START SYNC'!C552="SHOW",MID('ASS START SYNC'!E552,C548+1,D548-C548-1),I547)</f>
        <v/>
      </c>
      <c r="J548" s="23" t="str">
        <f>IF('ASS START SYNC'!C552="SHOW",MID('ASS START SYNC'!E552,D548+1,F548-D548+1),"")</f>
        <v/>
      </c>
      <c r="K548" s="23" t="str">
        <f>IF('ASS START SYNC'!C552="SHOW",MID('ASS START SYNC'!E552,F548+2,1000),"")</f>
        <v/>
      </c>
      <c r="M548" s="24"/>
      <c r="N548" s="26">
        <v>545</v>
      </c>
      <c r="O548" s="24" t="str">
        <f>IF('ASS END SYNC'!C552="SHOW",FIND(",",'ASS END SYNC'!E552,1),"")</f>
        <v/>
      </c>
      <c r="P548" s="24" t="str">
        <f>IF('ASS END SYNC'!C552="SHOW",FIND(",",'ASS END SYNC'!E552,O548+1),"")</f>
        <v/>
      </c>
      <c r="Q548" s="24" t="str">
        <f>IF('ASS END SYNC'!C552="SHOW",FIND(",",'ASS END SYNC'!E552,P548+1),"")</f>
        <v/>
      </c>
      <c r="R548" s="25" t="str">
        <f>IF('ASS END SYNC'!C552="SHOW",FIND(",,",'ASS END SYNC'!E552,1),"")</f>
        <v/>
      </c>
      <c r="S548" s="25" t="str">
        <f>IF('ASS END SYNC'!C552="SHOW",FIND(",,",'ASS END SYNC'!E552,R548+1),"")</f>
        <v/>
      </c>
      <c r="T548" s="23" t="str">
        <f>IF('ASS END SYNC'!C552="SHOW",LEFT('ASS END SYNC'!E552,O548),"")</f>
        <v/>
      </c>
      <c r="U548" s="24" t="str">
        <f>IF('ASS END SYNC'!C552="SHOW",MID('ASS END SYNC'!E552,O548+1,P548-O548-1),"")</f>
        <v/>
      </c>
      <c r="V548" s="24" t="str">
        <f>IF(AND('ASS END SYNC'!C552="SHOW",'ASS END SYNC'!C553="SHOW"),U549,IF(AND('ASS END SYNC'!C552="SHOW",'ASS END SYNC'!C553&lt;&gt;"SHOW"),MID('ASS END SYNC'!E552,O548+1,P548-O548-1),""))</f>
        <v/>
      </c>
      <c r="W548" s="23" t="str">
        <f>IF('ASS END SYNC'!C552="SHOW",MID('ASS END SYNC'!E552,Q548+1,S548-Q548+1),"")</f>
        <v/>
      </c>
      <c r="X548" s="23" t="str">
        <f>IF('ASS END SYNC'!C552="SHOW",MID('ASS END SYNC'!E552,S548+2,1000),"")</f>
        <v/>
      </c>
      <c r="Z548" s="24"/>
    </row>
    <row r="549" spans="1:26" x14ac:dyDescent="0.25">
      <c r="A549" s="26">
        <v>546</v>
      </c>
      <c r="B549" s="24" t="str">
        <f>IF('ASS START SYNC'!C553="SHOW",FIND(",",'ASS START SYNC'!E553,1),"")</f>
        <v/>
      </c>
      <c r="C549" s="24" t="str">
        <f>IF('ASS START SYNC'!C553="SHOW",FIND(",",'ASS START SYNC'!E553,B549+1),"")</f>
        <v/>
      </c>
      <c r="D549" s="24" t="str">
        <f>IF('ASS START SYNC'!C553="SHOW",FIND(",",'ASS START SYNC'!E553,C549+1),"")</f>
        <v/>
      </c>
      <c r="E549" s="25" t="str">
        <f>IF('ASS START SYNC'!C553="SHOW",FIND(",,",'ASS START SYNC'!E553,1),"")</f>
        <v/>
      </c>
      <c r="F549" s="25" t="str">
        <f>IF('ASS START SYNC'!C553="SHOW",FIND(",,",'ASS START SYNC'!E553,E549+1),"")</f>
        <v/>
      </c>
      <c r="G549" s="23" t="str">
        <f>IF('ASS START SYNC'!C553="SHOW",LEFT('ASS START SYNC'!E553,B549),"")</f>
        <v/>
      </c>
      <c r="H549" s="24" t="str">
        <f>IF(AND('ASS START SYNC'!C553="SHOW",COUNTA('ASS START SYNC'!$E$8:'ASS START SYNC'!E552)=0),MID('ASS START SYNC'!E553,B549+1,C549-B549-1),IF(AND('ASS START SYNC'!C553="SHOW",COUNTA('ASS START SYNC'!$E$8:'ASS START SYNC'!E552)&lt;&gt;0),I548,""))</f>
        <v/>
      </c>
      <c r="I549" s="24" t="str">
        <f>IF('ASS START SYNC'!C553="SHOW",MID('ASS START SYNC'!E553,C549+1,D549-C549-1),I548)</f>
        <v/>
      </c>
      <c r="J549" s="23" t="str">
        <f>IF('ASS START SYNC'!C553="SHOW",MID('ASS START SYNC'!E553,D549+1,F549-D549+1),"")</f>
        <v/>
      </c>
      <c r="K549" s="23" t="str">
        <f>IF('ASS START SYNC'!C553="SHOW",MID('ASS START SYNC'!E553,F549+2,1000),"")</f>
        <v/>
      </c>
      <c r="M549" s="24"/>
      <c r="N549" s="26">
        <v>546</v>
      </c>
      <c r="O549" s="24" t="str">
        <f>IF('ASS END SYNC'!C553="SHOW",FIND(",",'ASS END SYNC'!E553,1),"")</f>
        <v/>
      </c>
      <c r="P549" s="24" t="str">
        <f>IF('ASS END SYNC'!C553="SHOW",FIND(",",'ASS END SYNC'!E553,O549+1),"")</f>
        <v/>
      </c>
      <c r="Q549" s="24" t="str">
        <f>IF('ASS END SYNC'!C553="SHOW",FIND(",",'ASS END SYNC'!E553,P549+1),"")</f>
        <v/>
      </c>
      <c r="R549" s="25" t="str">
        <f>IF('ASS END SYNC'!C553="SHOW",FIND(",,",'ASS END SYNC'!E553,1),"")</f>
        <v/>
      </c>
      <c r="S549" s="25" t="str">
        <f>IF('ASS END SYNC'!C553="SHOW",FIND(",,",'ASS END SYNC'!E553,R549+1),"")</f>
        <v/>
      </c>
      <c r="T549" s="23" t="str">
        <f>IF('ASS END SYNC'!C553="SHOW",LEFT('ASS END SYNC'!E553,O549),"")</f>
        <v/>
      </c>
      <c r="U549" s="24" t="str">
        <f>IF('ASS END SYNC'!C553="SHOW",MID('ASS END SYNC'!E553,O549+1,P549-O549-1),"")</f>
        <v/>
      </c>
      <c r="V549" s="24" t="str">
        <f>IF(AND('ASS END SYNC'!C553="SHOW",'ASS END SYNC'!C554="SHOW"),U550,IF(AND('ASS END SYNC'!C553="SHOW",'ASS END SYNC'!C554&lt;&gt;"SHOW"),MID('ASS END SYNC'!E553,O549+1,P549-O549-1),""))</f>
        <v/>
      </c>
      <c r="W549" s="23" t="str">
        <f>IF('ASS END SYNC'!C553="SHOW",MID('ASS END SYNC'!E553,Q549+1,S549-Q549+1),"")</f>
        <v/>
      </c>
      <c r="X549" s="23" t="str">
        <f>IF('ASS END SYNC'!C553="SHOW",MID('ASS END SYNC'!E553,S549+2,1000),"")</f>
        <v/>
      </c>
      <c r="Z549" s="24"/>
    </row>
    <row r="550" spans="1:26" x14ac:dyDescent="0.25">
      <c r="A550" s="26">
        <v>547</v>
      </c>
      <c r="B550" s="24" t="str">
        <f>IF('ASS START SYNC'!C554="SHOW",FIND(",",'ASS START SYNC'!E554,1),"")</f>
        <v/>
      </c>
      <c r="C550" s="24" t="str">
        <f>IF('ASS START SYNC'!C554="SHOW",FIND(",",'ASS START SYNC'!E554,B550+1),"")</f>
        <v/>
      </c>
      <c r="D550" s="24" t="str">
        <f>IF('ASS START SYNC'!C554="SHOW",FIND(",",'ASS START SYNC'!E554,C550+1),"")</f>
        <v/>
      </c>
      <c r="E550" s="25" t="str">
        <f>IF('ASS START SYNC'!C554="SHOW",FIND(",,",'ASS START SYNC'!E554,1),"")</f>
        <v/>
      </c>
      <c r="F550" s="25" t="str">
        <f>IF('ASS START SYNC'!C554="SHOW",FIND(",,",'ASS START SYNC'!E554,E550+1),"")</f>
        <v/>
      </c>
      <c r="G550" s="23" t="str">
        <f>IF('ASS START SYNC'!C554="SHOW",LEFT('ASS START SYNC'!E554,B550),"")</f>
        <v/>
      </c>
      <c r="H550" s="24" t="str">
        <f>IF(AND('ASS START SYNC'!C554="SHOW",COUNTA('ASS START SYNC'!$E$8:'ASS START SYNC'!E553)=0),MID('ASS START SYNC'!E554,B550+1,C550-B550-1),IF(AND('ASS START SYNC'!C554="SHOW",COUNTA('ASS START SYNC'!$E$8:'ASS START SYNC'!E553)&lt;&gt;0),I549,""))</f>
        <v/>
      </c>
      <c r="I550" s="24" t="str">
        <f>IF('ASS START SYNC'!C554="SHOW",MID('ASS START SYNC'!E554,C550+1,D550-C550-1),I549)</f>
        <v/>
      </c>
      <c r="J550" s="23" t="str">
        <f>IF('ASS START SYNC'!C554="SHOW",MID('ASS START SYNC'!E554,D550+1,F550-D550+1),"")</f>
        <v/>
      </c>
      <c r="K550" s="23" t="str">
        <f>IF('ASS START SYNC'!C554="SHOW",MID('ASS START SYNC'!E554,F550+2,1000),"")</f>
        <v/>
      </c>
      <c r="M550" s="24"/>
      <c r="N550" s="26">
        <v>547</v>
      </c>
      <c r="O550" s="24" t="str">
        <f>IF('ASS END SYNC'!C554="SHOW",FIND(",",'ASS END SYNC'!E554,1),"")</f>
        <v/>
      </c>
      <c r="P550" s="24" t="str">
        <f>IF('ASS END SYNC'!C554="SHOW",FIND(",",'ASS END SYNC'!E554,O550+1),"")</f>
        <v/>
      </c>
      <c r="Q550" s="24" t="str">
        <f>IF('ASS END SYNC'!C554="SHOW",FIND(",",'ASS END SYNC'!E554,P550+1),"")</f>
        <v/>
      </c>
      <c r="R550" s="25" t="str">
        <f>IF('ASS END SYNC'!C554="SHOW",FIND(",,",'ASS END SYNC'!E554,1),"")</f>
        <v/>
      </c>
      <c r="S550" s="25" t="str">
        <f>IF('ASS END SYNC'!C554="SHOW",FIND(",,",'ASS END SYNC'!E554,R550+1),"")</f>
        <v/>
      </c>
      <c r="T550" s="23" t="str">
        <f>IF('ASS END SYNC'!C554="SHOW",LEFT('ASS END SYNC'!E554,O550),"")</f>
        <v/>
      </c>
      <c r="U550" s="24" t="str">
        <f>IF('ASS END SYNC'!C554="SHOW",MID('ASS END SYNC'!E554,O550+1,P550-O550-1),"")</f>
        <v/>
      </c>
      <c r="V550" s="24" t="str">
        <f>IF(AND('ASS END SYNC'!C554="SHOW",'ASS END SYNC'!C555="SHOW"),U551,IF(AND('ASS END SYNC'!C554="SHOW",'ASS END SYNC'!C555&lt;&gt;"SHOW"),MID('ASS END SYNC'!E554,O550+1,P550-O550-1),""))</f>
        <v/>
      </c>
      <c r="W550" s="23" t="str">
        <f>IF('ASS END SYNC'!C554="SHOW",MID('ASS END SYNC'!E554,Q550+1,S550-Q550+1),"")</f>
        <v/>
      </c>
      <c r="X550" s="23" t="str">
        <f>IF('ASS END SYNC'!C554="SHOW",MID('ASS END SYNC'!E554,S550+2,1000),"")</f>
        <v/>
      </c>
      <c r="Z550" s="24"/>
    </row>
    <row r="551" spans="1:26" x14ac:dyDescent="0.25">
      <c r="A551" s="26">
        <v>548</v>
      </c>
      <c r="B551" s="24" t="str">
        <f>IF('ASS START SYNC'!C555="SHOW",FIND(",",'ASS START SYNC'!E555,1),"")</f>
        <v/>
      </c>
      <c r="C551" s="24" t="str">
        <f>IF('ASS START SYNC'!C555="SHOW",FIND(",",'ASS START SYNC'!E555,B551+1),"")</f>
        <v/>
      </c>
      <c r="D551" s="24" t="str">
        <f>IF('ASS START SYNC'!C555="SHOW",FIND(",",'ASS START SYNC'!E555,C551+1),"")</f>
        <v/>
      </c>
      <c r="E551" s="25" t="str">
        <f>IF('ASS START SYNC'!C555="SHOW",FIND(",,",'ASS START SYNC'!E555,1),"")</f>
        <v/>
      </c>
      <c r="F551" s="25" t="str">
        <f>IF('ASS START SYNC'!C555="SHOW",FIND(",,",'ASS START SYNC'!E555,E551+1),"")</f>
        <v/>
      </c>
      <c r="G551" s="23" t="str">
        <f>IF('ASS START SYNC'!C555="SHOW",LEFT('ASS START SYNC'!E555,B551),"")</f>
        <v/>
      </c>
      <c r="H551" s="24" t="str">
        <f>IF(AND('ASS START SYNC'!C555="SHOW",COUNTA('ASS START SYNC'!$E$8:'ASS START SYNC'!E554)=0),MID('ASS START SYNC'!E555,B551+1,C551-B551-1),IF(AND('ASS START SYNC'!C555="SHOW",COUNTA('ASS START SYNC'!$E$8:'ASS START SYNC'!E554)&lt;&gt;0),I550,""))</f>
        <v/>
      </c>
      <c r="I551" s="24" t="str">
        <f>IF('ASS START SYNC'!C555="SHOW",MID('ASS START SYNC'!E555,C551+1,D551-C551-1),I550)</f>
        <v/>
      </c>
      <c r="J551" s="23" t="str">
        <f>IF('ASS START SYNC'!C555="SHOW",MID('ASS START SYNC'!E555,D551+1,F551-D551+1),"")</f>
        <v/>
      </c>
      <c r="K551" s="23" t="str">
        <f>IF('ASS START SYNC'!C555="SHOW",MID('ASS START SYNC'!E555,F551+2,1000),"")</f>
        <v/>
      </c>
      <c r="M551" s="24"/>
      <c r="N551" s="26">
        <v>548</v>
      </c>
      <c r="O551" s="24" t="str">
        <f>IF('ASS END SYNC'!C555="SHOW",FIND(",",'ASS END SYNC'!E555,1),"")</f>
        <v/>
      </c>
      <c r="P551" s="24" t="str">
        <f>IF('ASS END SYNC'!C555="SHOW",FIND(",",'ASS END SYNC'!E555,O551+1),"")</f>
        <v/>
      </c>
      <c r="Q551" s="24" t="str">
        <f>IF('ASS END SYNC'!C555="SHOW",FIND(",",'ASS END SYNC'!E555,P551+1),"")</f>
        <v/>
      </c>
      <c r="R551" s="25" t="str">
        <f>IF('ASS END SYNC'!C555="SHOW",FIND(",,",'ASS END SYNC'!E555,1),"")</f>
        <v/>
      </c>
      <c r="S551" s="25" t="str">
        <f>IF('ASS END SYNC'!C555="SHOW",FIND(",,",'ASS END SYNC'!E555,R551+1),"")</f>
        <v/>
      </c>
      <c r="T551" s="23" t="str">
        <f>IF('ASS END SYNC'!C555="SHOW",LEFT('ASS END SYNC'!E555,O551),"")</f>
        <v/>
      </c>
      <c r="U551" s="24" t="str">
        <f>IF('ASS END SYNC'!C555="SHOW",MID('ASS END SYNC'!E555,O551+1,P551-O551-1),"")</f>
        <v/>
      </c>
      <c r="V551" s="24" t="str">
        <f>IF(AND('ASS END SYNC'!C555="SHOW",'ASS END SYNC'!C556="SHOW"),U552,IF(AND('ASS END SYNC'!C555="SHOW",'ASS END SYNC'!C556&lt;&gt;"SHOW"),MID('ASS END SYNC'!E555,O551+1,P551-O551-1),""))</f>
        <v/>
      </c>
      <c r="W551" s="23" t="str">
        <f>IF('ASS END SYNC'!C555="SHOW",MID('ASS END SYNC'!E555,Q551+1,S551-Q551+1),"")</f>
        <v/>
      </c>
      <c r="X551" s="23" t="str">
        <f>IF('ASS END SYNC'!C555="SHOW",MID('ASS END SYNC'!E555,S551+2,1000),"")</f>
        <v/>
      </c>
      <c r="Z551" s="24"/>
    </row>
    <row r="552" spans="1:26" x14ac:dyDescent="0.25">
      <c r="A552" s="26">
        <v>549</v>
      </c>
      <c r="B552" s="24" t="str">
        <f>IF('ASS START SYNC'!C556="SHOW",FIND(",",'ASS START SYNC'!E556,1),"")</f>
        <v/>
      </c>
      <c r="C552" s="24" t="str">
        <f>IF('ASS START SYNC'!C556="SHOW",FIND(",",'ASS START SYNC'!E556,B552+1),"")</f>
        <v/>
      </c>
      <c r="D552" s="24" t="str">
        <f>IF('ASS START SYNC'!C556="SHOW",FIND(",",'ASS START SYNC'!E556,C552+1),"")</f>
        <v/>
      </c>
      <c r="E552" s="25" t="str">
        <f>IF('ASS START SYNC'!C556="SHOW",FIND(",,",'ASS START SYNC'!E556,1),"")</f>
        <v/>
      </c>
      <c r="F552" s="25" t="str">
        <f>IF('ASS START SYNC'!C556="SHOW",FIND(",,",'ASS START SYNC'!E556,E552+1),"")</f>
        <v/>
      </c>
      <c r="G552" s="23" t="str">
        <f>IF('ASS START SYNC'!C556="SHOW",LEFT('ASS START SYNC'!E556,B552),"")</f>
        <v/>
      </c>
      <c r="H552" s="24" t="str">
        <f>IF(AND('ASS START SYNC'!C556="SHOW",COUNTA('ASS START SYNC'!$E$8:'ASS START SYNC'!E555)=0),MID('ASS START SYNC'!E556,B552+1,C552-B552-1),IF(AND('ASS START SYNC'!C556="SHOW",COUNTA('ASS START SYNC'!$E$8:'ASS START SYNC'!E555)&lt;&gt;0),I551,""))</f>
        <v/>
      </c>
      <c r="I552" s="24" t="str">
        <f>IF('ASS START SYNC'!C556="SHOW",MID('ASS START SYNC'!E556,C552+1,D552-C552-1),I551)</f>
        <v/>
      </c>
      <c r="J552" s="23" t="str">
        <f>IF('ASS START SYNC'!C556="SHOW",MID('ASS START SYNC'!E556,D552+1,F552-D552+1),"")</f>
        <v/>
      </c>
      <c r="K552" s="23" t="str">
        <f>IF('ASS START SYNC'!C556="SHOW",MID('ASS START SYNC'!E556,F552+2,1000),"")</f>
        <v/>
      </c>
      <c r="M552" s="24"/>
      <c r="N552" s="26">
        <v>549</v>
      </c>
      <c r="O552" s="24" t="str">
        <f>IF('ASS END SYNC'!C556="SHOW",FIND(",",'ASS END SYNC'!E556,1),"")</f>
        <v/>
      </c>
      <c r="P552" s="24" t="str">
        <f>IF('ASS END SYNC'!C556="SHOW",FIND(",",'ASS END SYNC'!E556,O552+1),"")</f>
        <v/>
      </c>
      <c r="Q552" s="24" t="str">
        <f>IF('ASS END SYNC'!C556="SHOW",FIND(",",'ASS END SYNC'!E556,P552+1),"")</f>
        <v/>
      </c>
      <c r="R552" s="25" t="str">
        <f>IF('ASS END SYNC'!C556="SHOW",FIND(",,",'ASS END SYNC'!E556,1),"")</f>
        <v/>
      </c>
      <c r="S552" s="25" t="str">
        <f>IF('ASS END SYNC'!C556="SHOW",FIND(",,",'ASS END SYNC'!E556,R552+1),"")</f>
        <v/>
      </c>
      <c r="T552" s="23" t="str">
        <f>IF('ASS END SYNC'!C556="SHOW",LEFT('ASS END SYNC'!E556,O552),"")</f>
        <v/>
      </c>
      <c r="U552" s="24" t="str">
        <f>IF('ASS END SYNC'!C556="SHOW",MID('ASS END SYNC'!E556,O552+1,P552-O552-1),"")</f>
        <v/>
      </c>
      <c r="V552" s="24" t="str">
        <f>IF(AND('ASS END SYNC'!C556="SHOW",'ASS END SYNC'!C557="SHOW"),U553,IF(AND('ASS END SYNC'!C556="SHOW",'ASS END SYNC'!C557&lt;&gt;"SHOW"),MID('ASS END SYNC'!E556,O552+1,P552-O552-1),""))</f>
        <v/>
      </c>
      <c r="W552" s="23" t="str">
        <f>IF('ASS END SYNC'!C556="SHOW",MID('ASS END SYNC'!E556,Q552+1,S552-Q552+1),"")</f>
        <v/>
      </c>
      <c r="X552" s="23" t="str">
        <f>IF('ASS END SYNC'!C556="SHOW",MID('ASS END SYNC'!E556,S552+2,1000),"")</f>
        <v/>
      </c>
      <c r="Z552" s="24"/>
    </row>
    <row r="553" spans="1:26" x14ac:dyDescent="0.25">
      <c r="A553" s="26">
        <v>550</v>
      </c>
      <c r="B553" s="24" t="str">
        <f>IF('ASS START SYNC'!C557="SHOW",FIND(",",'ASS START SYNC'!E557,1),"")</f>
        <v/>
      </c>
      <c r="C553" s="24" t="str">
        <f>IF('ASS START SYNC'!C557="SHOW",FIND(",",'ASS START SYNC'!E557,B553+1),"")</f>
        <v/>
      </c>
      <c r="D553" s="24" t="str">
        <f>IF('ASS START SYNC'!C557="SHOW",FIND(",",'ASS START SYNC'!E557,C553+1),"")</f>
        <v/>
      </c>
      <c r="E553" s="25" t="str">
        <f>IF('ASS START SYNC'!C557="SHOW",FIND(",,",'ASS START SYNC'!E557,1),"")</f>
        <v/>
      </c>
      <c r="F553" s="25" t="str">
        <f>IF('ASS START SYNC'!C557="SHOW",FIND(",,",'ASS START SYNC'!E557,E553+1),"")</f>
        <v/>
      </c>
      <c r="G553" s="23" t="str">
        <f>IF('ASS START SYNC'!C557="SHOW",LEFT('ASS START SYNC'!E557,B553),"")</f>
        <v/>
      </c>
      <c r="H553" s="24" t="str">
        <f>IF(AND('ASS START SYNC'!C557="SHOW",COUNTA('ASS START SYNC'!$E$8:'ASS START SYNC'!E556)=0),MID('ASS START SYNC'!E557,B553+1,C553-B553-1),IF(AND('ASS START SYNC'!C557="SHOW",COUNTA('ASS START SYNC'!$E$8:'ASS START SYNC'!E556)&lt;&gt;0),I552,""))</f>
        <v/>
      </c>
      <c r="I553" s="24" t="str">
        <f>IF('ASS START SYNC'!C557="SHOW",MID('ASS START SYNC'!E557,C553+1,D553-C553-1),I552)</f>
        <v/>
      </c>
      <c r="J553" s="23" t="str">
        <f>IF('ASS START SYNC'!C557="SHOW",MID('ASS START SYNC'!E557,D553+1,F553-D553+1),"")</f>
        <v/>
      </c>
      <c r="K553" s="23" t="str">
        <f>IF('ASS START SYNC'!C557="SHOW",MID('ASS START SYNC'!E557,F553+2,1000),"")</f>
        <v/>
      </c>
      <c r="M553" s="24"/>
      <c r="N553" s="26">
        <v>550</v>
      </c>
      <c r="O553" s="24" t="str">
        <f>IF('ASS END SYNC'!C557="SHOW",FIND(",",'ASS END SYNC'!E557,1),"")</f>
        <v/>
      </c>
      <c r="P553" s="24" t="str">
        <f>IF('ASS END SYNC'!C557="SHOW",FIND(",",'ASS END SYNC'!E557,O553+1),"")</f>
        <v/>
      </c>
      <c r="Q553" s="24" t="str">
        <f>IF('ASS END SYNC'!C557="SHOW",FIND(",",'ASS END SYNC'!E557,P553+1),"")</f>
        <v/>
      </c>
      <c r="R553" s="25" t="str">
        <f>IF('ASS END SYNC'!C557="SHOW",FIND(",,",'ASS END SYNC'!E557,1),"")</f>
        <v/>
      </c>
      <c r="S553" s="25" t="str">
        <f>IF('ASS END SYNC'!C557="SHOW",FIND(",,",'ASS END SYNC'!E557,R553+1),"")</f>
        <v/>
      </c>
      <c r="T553" s="23" t="str">
        <f>IF('ASS END SYNC'!C557="SHOW",LEFT('ASS END SYNC'!E557,O553),"")</f>
        <v/>
      </c>
      <c r="U553" s="24" t="str">
        <f>IF('ASS END SYNC'!C557="SHOW",MID('ASS END SYNC'!E557,O553+1,P553-O553-1),"")</f>
        <v/>
      </c>
      <c r="V553" s="24" t="str">
        <f>IF(AND('ASS END SYNC'!C557="SHOW",'ASS END SYNC'!C558="SHOW"),U554,IF(AND('ASS END SYNC'!C557="SHOW",'ASS END SYNC'!C558&lt;&gt;"SHOW"),MID('ASS END SYNC'!E557,O553+1,P553-O553-1),""))</f>
        <v/>
      </c>
      <c r="W553" s="23" t="str">
        <f>IF('ASS END SYNC'!C557="SHOW",MID('ASS END SYNC'!E557,Q553+1,S553-Q553+1),"")</f>
        <v/>
      </c>
      <c r="X553" s="23" t="str">
        <f>IF('ASS END SYNC'!C557="SHOW",MID('ASS END SYNC'!E557,S553+2,1000),"")</f>
        <v/>
      </c>
      <c r="Z553" s="24"/>
    </row>
    <row r="554" spans="1:26" x14ac:dyDescent="0.25">
      <c r="A554" s="26">
        <v>551</v>
      </c>
      <c r="B554" s="24" t="str">
        <f>IF('ASS START SYNC'!C558="SHOW",FIND(",",'ASS START SYNC'!E558,1),"")</f>
        <v/>
      </c>
      <c r="C554" s="24" t="str">
        <f>IF('ASS START SYNC'!C558="SHOW",FIND(",",'ASS START SYNC'!E558,B554+1),"")</f>
        <v/>
      </c>
      <c r="D554" s="24" t="str">
        <f>IF('ASS START SYNC'!C558="SHOW",FIND(",",'ASS START SYNC'!E558,C554+1),"")</f>
        <v/>
      </c>
      <c r="E554" s="25" t="str">
        <f>IF('ASS START SYNC'!C558="SHOW",FIND(",,",'ASS START SYNC'!E558,1),"")</f>
        <v/>
      </c>
      <c r="F554" s="25" t="str">
        <f>IF('ASS START SYNC'!C558="SHOW",FIND(",,",'ASS START SYNC'!E558,E554+1),"")</f>
        <v/>
      </c>
      <c r="G554" s="23" t="str">
        <f>IF('ASS START SYNC'!C558="SHOW",LEFT('ASS START SYNC'!E558,B554),"")</f>
        <v/>
      </c>
      <c r="H554" s="24" t="str">
        <f>IF(AND('ASS START SYNC'!C558="SHOW",COUNTA('ASS START SYNC'!$E$8:'ASS START SYNC'!E557)=0),MID('ASS START SYNC'!E558,B554+1,C554-B554-1),IF(AND('ASS START SYNC'!C558="SHOW",COUNTA('ASS START SYNC'!$E$8:'ASS START SYNC'!E557)&lt;&gt;0),I553,""))</f>
        <v/>
      </c>
      <c r="I554" s="24" t="str">
        <f>IF('ASS START SYNC'!C558="SHOW",MID('ASS START SYNC'!E558,C554+1,D554-C554-1),I553)</f>
        <v/>
      </c>
      <c r="J554" s="23" t="str">
        <f>IF('ASS START SYNC'!C558="SHOW",MID('ASS START SYNC'!E558,D554+1,F554-D554+1),"")</f>
        <v/>
      </c>
      <c r="K554" s="23" t="str">
        <f>IF('ASS START SYNC'!C558="SHOW",MID('ASS START SYNC'!E558,F554+2,1000),"")</f>
        <v/>
      </c>
      <c r="M554" s="24"/>
      <c r="N554" s="26">
        <v>551</v>
      </c>
      <c r="O554" s="24" t="str">
        <f>IF('ASS END SYNC'!C558="SHOW",FIND(",",'ASS END SYNC'!E558,1),"")</f>
        <v/>
      </c>
      <c r="P554" s="24" t="str">
        <f>IF('ASS END SYNC'!C558="SHOW",FIND(",",'ASS END SYNC'!E558,O554+1),"")</f>
        <v/>
      </c>
      <c r="Q554" s="24" t="str">
        <f>IF('ASS END SYNC'!C558="SHOW",FIND(",",'ASS END SYNC'!E558,P554+1),"")</f>
        <v/>
      </c>
      <c r="R554" s="25" t="str">
        <f>IF('ASS END SYNC'!C558="SHOW",FIND(",,",'ASS END SYNC'!E558,1),"")</f>
        <v/>
      </c>
      <c r="S554" s="25" t="str">
        <f>IF('ASS END SYNC'!C558="SHOW",FIND(",,",'ASS END SYNC'!E558,R554+1),"")</f>
        <v/>
      </c>
      <c r="T554" s="23" t="str">
        <f>IF('ASS END SYNC'!C558="SHOW",LEFT('ASS END SYNC'!E558,O554),"")</f>
        <v/>
      </c>
      <c r="U554" s="24" t="str">
        <f>IF('ASS END SYNC'!C558="SHOW",MID('ASS END SYNC'!E558,O554+1,P554-O554-1),"")</f>
        <v/>
      </c>
      <c r="V554" s="24" t="str">
        <f>IF(AND('ASS END SYNC'!C558="SHOW",'ASS END SYNC'!C559="SHOW"),U555,IF(AND('ASS END SYNC'!C558="SHOW",'ASS END SYNC'!C559&lt;&gt;"SHOW"),MID('ASS END SYNC'!E558,O554+1,P554-O554-1),""))</f>
        <v/>
      </c>
      <c r="W554" s="23" t="str">
        <f>IF('ASS END SYNC'!C558="SHOW",MID('ASS END SYNC'!E558,Q554+1,S554-Q554+1),"")</f>
        <v/>
      </c>
      <c r="X554" s="23" t="str">
        <f>IF('ASS END SYNC'!C558="SHOW",MID('ASS END SYNC'!E558,S554+2,1000),"")</f>
        <v/>
      </c>
      <c r="Z554" s="24"/>
    </row>
    <row r="555" spans="1:26" x14ac:dyDescent="0.25">
      <c r="A555" s="26">
        <v>552</v>
      </c>
      <c r="B555" s="24" t="str">
        <f>IF('ASS START SYNC'!C559="SHOW",FIND(",",'ASS START SYNC'!E559,1),"")</f>
        <v/>
      </c>
      <c r="C555" s="24" t="str">
        <f>IF('ASS START SYNC'!C559="SHOW",FIND(",",'ASS START SYNC'!E559,B555+1),"")</f>
        <v/>
      </c>
      <c r="D555" s="24" t="str">
        <f>IF('ASS START SYNC'!C559="SHOW",FIND(",",'ASS START SYNC'!E559,C555+1),"")</f>
        <v/>
      </c>
      <c r="E555" s="25" t="str">
        <f>IF('ASS START SYNC'!C559="SHOW",FIND(",,",'ASS START SYNC'!E559,1),"")</f>
        <v/>
      </c>
      <c r="F555" s="25" t="str">
        <f>IF('ASS START SYNC'!C559="SHOW",FIND(",,",'ASS START SYNC'!E559,E555+1),"")</f>
        <v/>
      </c>
      <c r="G555" s="23" t="str">
        <f>IF('ASS START SYNC'!C559="SHOW",LEFT('ASS START SYNC'!E559,B555),"")</f>
        <v/>
      </c>
      <c r="H555" s="24" t="str">
        <f>IF(AND('ASS START SYNC'!C559="SHOW",COUNTA('ASS START SYNC'!$E$8:'ASS START SYNC'!E558)=0),MID('ASS START SYNC'!E559,B555+1,C555-B555-1),IF(AND('ASS START SYNC'!C559="SHOW",COUNTA('ASS START SYNC'!$E$8:'ASS START SYNC'!E558)&lt;&gt;0),I554,""))</f>
        <v/>
      </c>
      <c r="I555" s="24" t="str">
        <f>IF('ASS START SYNC'!C559="SHOW",MID('ASS START SYNC'!E559,C555+1,D555-C555-1),I554)</f>
        <v/>
      </c>
      <c r="J555" s="23" t="str">
        <f>IF('ASS START SYNC'!C559="SHOW",MID('ASS START SYNC'!E559,D555+1,F555-D555+1),"")</f>
        <v/>
      </c>
      <c r="K555" s="23" t="str">
        <f>IF('ASS START SYNC'!C559="SHOW",MID('ASS START SYNC'!E559,F555+2,1000),"")</f>
        <v/>
      </c>
      <c r="M555" s="24"/>
      <c r="N555" s="26">
        <v>552</v>
      </c>
      <c r="O555" s="24" t="str">
        <f>IF('ASS END SYNC'!C559="SHOW",FIND(",",'ASS END SYNC'!E559,1),"")</f>
        <v/>
      </c>
      <c r="P555" s="24" t="str">
        <f>IF('ASS END SYNC'!C559="SHOW",FIND(",",'ASS END SYNC'!E559,O555+1),"")</f>
        <v/>
      </c>
      <c r="Q555" s="24" t="str">
        <f>IF('ASS END SYNC'!C559="SHOW",FIND(",",'ASS END SYNC'!E559,P555+1),"")</f>
        <v/>
      </c>
      <c r="R555" s="25" t="str">
        <f>IF('ASS END SYNC'!C559="SHOW",FIND(",,",'ASS END SYNC'!E559,1),"")</f>
        <v/>
      </c>
      <c r="S555" s="25" t="str">
        <f>IF('ASS END SYNC'!C559="SHOW",FIND(",,",'ASS END SYNC'!E559,R555+1),"")</f>
        <v/>
      </c>
      <c r="T555" s="23" t="str">
        <f>IF('ASS END SYNC'!C559="SHOW",LEFT('ASS END SYNC'!E559,O555),"")</f>
        <v/>
      </c>
      <c r="U555" s="24" t="str">
        <f>IF('ASS END SYNC'!C559="SHOW",MID('ASS END SYNC'!E559,O555+1,P555-O555-1),"")</f>
        <v/>
      </c>
      <c r="V555" s="24" t="str">
        <f>IF(AND('ASS END SYNC'!C559="SHOW",'ASS END SYNC'!C560="SHOW"),U556,IF(AND('ASS END SYNC'!C559="SHOW",'ASS END SYNC'!C560&lt;&gt;"SHOW"),MID('ASS END SYNC'!E559,O555+1,P555-O555-1),""))</f>
        <v/>
      </c>
      <c r="W555" s="23" t="str">
        <f>IF('ASS END SYNC'!C559="SHOW",MID('ASS END SYNC'!E559,Q555+1,S555-Q555+1),"")</f>
        <v/>
      </c>
      <c r="X555" s="23" t="str">
        <f>IF('ASS END SYNC'!C559="SHOW",MID('ASS END SYNC'!E559,S555+2,1000),"")</f>
        <v/>
      </c>
      <c r="Z555" s="24"/>
    </row>
    <row r="556" spans="1:26" x14ac:dyDescent="0.25">
      <c r="A556" s="26">
        <v>553</v>
      </c>
      <c r="B556" s="24" t="str">
        <f>IF('ASS START SYNC'!C560="SHOW",FIND(",",'ASS START SYNC'!E560,1),"")</f>
        <v/>
      </c>
      <c r="C556" s="24" t="str">
        <f>IF('ASS START SYNC'!C560="SHOW",FIND(",",'ASS START SYNC'!E560,B556+1),"")</f>
        <v/>
      </c>
      <c r="D556" s="24" t="str">
        <f>IF('ASS START SYNC'!C560="SHOW",FIND(",",'ASS START SYNC'!E560,C556+1),"")</f>
        <v/>
      </c>
      <c r="E556" s="25" t="str">
        <f>IF('ASS START SYNC'!C560="SHOW",FIND(",,",'ASS START SYNC'!E560,1),"")</f>
        <v/>
      </c>
      <c r="F556" s="25" t="str">
        <f>IF('ASS START SYNC'!C560="SHOW",FIND(",,",'ASS START SYNC'!E560,E556+1),"")</f>
        <v/>
      </c>
      <c r="G556" s="23" t="str">
        <f>IF('ASS START SYNC'!C560="SHOW",LEFT('ASS START SYNC'!E560,B556),"")</f>
        <v/>
      </c>
      <c r="H556" s="24" t="str">
        <f>IF(AND('ASS START SYNC'!C560="SHOW",COUNTA('ASS START SYNC'!$E$8:'ASS START SYNC'!E559)=0),MID('ASS START SYNC'!E560,B556+1,C556-B556-1),IF(AND('ASS START SYNC'!C560="SHOW",COUNTA('ASS START SYNC'!$E$8:'ASS START SYNC'!E559)&lt;&gt;0),I555,""))</f>
        <v/>
      </c>
      <c r="I556" s="24" t="str">
        <f>IF('ASS START SYNC'!C560="SHOW",MID('ASS START SYNC'!E560,C556+1,D556-C556-1),I555)</f>
        <v/>
      </c>
      <c r="J556" s="23" t="str">
        <f>IF('ASS START SYNC'!C560="SHOW",MID('ASS START SYNC'!E560,D556+1,F556-D556+1),"")</f>
        <v/>
      </c>
      <c r="K556" s="23" t="str">
        <f>IF('ASS START SYNC'!C560="SHOW",MID('ASS START SYNC'!E560,F556+2,1000),"")</f>
        <v/>
      </c>
      <c r="M556" s="24"/>
      <c r="N556" s="26">
        <v>553</v>
      </c>
      <c r="O556" s="24" t="str">
        <f>IF('ASS END SYNC'!C560="SHOW",FIND(",",'ASS END SYNC'!E560,1),"")</f>
        <v/>
      </c>
      <c r="P556" s="24" t="str">
        <f>IF('ASS END SYNC'!C560="SHOW",FIND(",",'ASS END SYNC'!E560,O556+1),"")</f>
        <v/>
      </c>
      <c r="Q556" s="24" t="str">
        <f>IF('ASS END SYNC'!C560="SHOW",FIND(",",'ASS END SYNC'!E560,P556+1),"")</f>
        <v/>
      </c>
      <c r="R556" s="25" t="str">
        <f>IF('ASS END SYNC'!C560="SHOW",FIND(",,",'ASS END SYNC'!E560,1),"")</f>
        <v/>
      </c>
      <c r="S556" s="25" t="str">
        <f>IF('ASS END SYNC'!C560="SHOW",FIND(",,",'ASS END SYNC'!E560,R556+1),"")</f>
        <v/>
      </c>
      <c r="T556" s="23" t="str">
        <f>IF('ASS END SYNC'!C560="SHOW",LEFT('ASS END SYNC'!E560,O556),"")</f>
        <v/>
      </c>
      <c r="U556" s="24" t="str">
        <f>IF('ASS END SYNC'!C560="SHOW",MID('ASS END SYNC'!E560,O556+1,P556-O556-1),"")</f>
        <v/>
      </c>
      <c r="V556" s="24" t="str">
        <f>IF(AND('ASS END SYNC'!C560="SHOW",'ASS END SYNC'!C561="SHOW"),U557,IF(AND('ASS END SYNC'!C560="SHOW",'ASS END SYNC'!C561&lt;&gt;"SHOW"),MID('ASS END SYNC'!E560,O556+1,P556-O556-1),""))</f>
        <v/>
      </c>
      <c r="W556" s="23" t="str">
        <f>IF('ASS END SYNC'!C560="SHOW",MID('ASS END SYNC'!E560,Q556+1,S556-Q556+1),"")</f>
        <v/>
      </c>
      <c r="X556" s="23" t="str">
        <f>IF('ASS END SYNC'!C560="SHOW",MID('ASS END SYNC'!E560,S556+2,1000),"")</f>
        <v/>
      </c>
      <c r="Z556" s="24"/>
    </row>
    <row r="557" spans="1:26" x14ac:dyDescent="0.25">
      <c r="A557" s="26">
        <v>554</v>
      </c>
      <c r="B557" s="24" t="str">
        <f>IF('ASS START SYNC'!C561="SHOW",FIND(",",'ASS START SYNC'!E561,1),"")</f>
        <v/>
      </c>
      <c r="C557" s="24" t="str">
        <f>IF('ASS START SYNC'!C561="SHOW",FIND(",",'ASS START SYNC'!E561,B557+1),"")</f>
        <v/>
      </c>
      <c r="D557" s="24" t="str">
        <f>IF('ASS START SYNC'!C561="SHOW",FIND(",",'ASS START SYNC'!E561,C557+1),"")</f>
        <v/>
      </c>
      <c r="E557" s="25" t="str">
        <f>IF('ASS START SYNC'!C561="SHOW",FIND(",,",'ASS START SYNC'!E561,1),"")</f>
        <v/>
      </c>
      <c r="F557" s="25" t="str">
        <f>IF('ASS START SYNC'!C561="SHOW",FIND(",,",'ASS START SYNC'!E561,E557+1),"")</f>
        <v/>
      </c>
      <c r="G557" s="23" t="str">
        <f>IF('ASS START SYNC'!C561="SHOW",LEFT('ASS START SYNC'!E561,B557),"")</f>
        <v/>
      </c>
      <c r="H557" s="24" t="str">
        <f>IF(AND('ASS START SYNC'!C561="SHOW",COUNTA('ASS START SYNC'!$E$8:'ASS START SYNC'!E560)=0),MID('ASS START SYNC'!E561,B557+1,C557-B557-1),IF(AND('ASS START SYNC'!C561="SHOW",COUNTA('ASS START SYNC'!$E$8:'ASS START SYNC'!E560)&lt;&gt;0),I556,""))</f>
        <v/>
      </c>
      <c r="I557" s="24" t="str">
        <f>IF('ASS START SYNC'!C561="SHOW",MID('ASS START SYNC'!E561,C557+1,D557-C557-1),I556)</f>
        <v/>
      </c>
      <c r="J557" s="23" t="str">
        <f>IF('ASS START SYNC'!C561="SHOW",MID('ASS START SYNC'!E561,D557+1,F557-D557+1),"")</f>
        <v/>
      </c>
      <c r="K557" s="23" t="str">
        <f>IF('ASS START SYNC'!C561="SHOW",MID('ASS START SYNC'!E561,F557+2,1000),"")</f>
        <v/>
      </c>
      <c r="M557" s="24"/>
      <c r="N557" s="26">
        <v>554</v>
      </c>
      <c r="O557" s="24" t="str">
        <f>IF('ASS END SYNC'!C561="SHOW",FIND(",",'ASS END SYNC'!E561,1),"")</f>
        <v/>
      </c>
      <c r="P557" s="24" t="str">
        <f>IF('ASS END SYNC'!C561="SHOW",FIND(",",'ASS END SYNC'!E561,O557+1),"")</f>
        <v/>
      </c>
      <c r="Q557" s="24" t="str">
        <f>IF('ASS END SYNC'!C561="SHOW",FIND(",",'ASS END SYNC'!E561,P557+1),"")</f>
        <v/>
      </c>
      <c r="R557" s="25" t="str">
        <f>IF('ASS END SYNC'!C561="SHOW",FIND(",,",'ASS END SYNC'!E561,1),"")</f>
        <v/>
      </c>
      <c r="S557" s="25" t="str">
        <f>IF('ASS END SYNC'!C561="SHOW",FIND(",,",'ASS END SYNC'!E561,R557+1),"")</f>
        <v/>
      </c>
      <c r="T557" s="23" t="str">
        <f>IF('ASS END SYNC'!C561="SHOW",LEFT('ASS END SYNC'!E561,O557),"")</f>
        <v/>
      </c>
      <c r="U557" s="24" t="str">
        <f>IF('ASS END SYNC'!C561="SHOW",MID('ASS END SYNC'!E561,O557+1,P557-O557-1),"")</f>
        <v/>
      </c>
      <c r="V557" s="24" t="str">
        <f>IF(AND('ASS END SYNC'!C561="SHOW",'ASS END SYNC'!C562="SHOW"),U558,IF(AND('ASS END SYNC'!C561="SHOW",'ASS END SYNC'!C562&lt;&gt;"SHOW"),MID('ASS END SYNC'!E561,O557+1,P557-O557-1),""))</f>
        <v/>
      </c>
      <c r="W557" s="23" t="str">
        <f>IF('ASS END SYNC'!C561="SHOW",MID('ASS END SYNC'!E561,Q557+1,S557-Q557+1),"")</f>
        <v/>
      </c>
      <c r="X557" s="23" t="str">
        <f>IF('ASS END SYNC'!C561="SHOW",MID('ASS END SYNC'!E561,S557+2,1000),"")</f>
        <v/>
      </c>
      <c r="Z557" s="24"/>
    </row>
    <row r="558" spans="1:26" x14ac:dyDescent="0.25">
      <c r="A558" s="26">
        <v>555</v>
      </c>
      <c r="B558" s="24" t="str">
        <f>IF('ASS START SYNC'!C562="SHOW",FIND(",",'ASS START SYNC'!E562,1),"")</f>
        <v/>
      </c>
      <c r="C558" s="24" t="str">
        <f>IF('ASS START SYNC'!C562="SHOW",FIND(",",'ASS START SYNC'!E562,B558+1),"")</f>
        <v/>
      </c>
      <c r="D558" s="24" t="str">
        <f>IF('ASS START SYNC'!C562="SHOW",FIND(",",'ASS START SYNC'!E562,C558+1),"")</f>
        <v/>
      </c>
      <c r="E558" s="25" t="str">
        <f>IF('ASS START SYNC'!C562="SHOW",FIND(",,",'ASS START SYNC'!E562,1),"")</f>
        <v/>
      </c>
      <c r="F558" s="25" t="str">
        <f>IF('ASS START SYNC'!C562="SHOW",FIND(",,",'ASS START SYNC'!E562,E558+1),"")</f>
        <v/>
      </c>
      <c r="G558" s="23" t="str">
        <f>IF('ASS START SYNC'!C562="SHOW",LEFT('ASS START SYNC'!E562,B558),"")</f>
        <v/>
      </c>
      <c r="H558" s="24" t="str">
        <f>IF(AND('ASS START SYNC'!C562="SHOW",COUNTA('ASS START SYNC'!$E$8:'ASS START SYNC'!E561)=0),MID('ASS START SYNC'!E562,B558+1,C558-B558-1),IF(AND('ASS START SYNC'!C562="SHOW",COUNTA('ASS START SYNC'!$E$8:'ASS START SYNC'!E561)&lt;&gt;0),I557,""))</f>
        <v/>
      </c>
      <c r="I558" s="24" t="str">
        <f>IF('ASS START SYNC'!C562="SHOW",MID('ASS START SYNC'!E562,C558+1,D558-C558-1),I557)</f>
        <v/>
      </c>
      <c r="J558" s="23" t="str">
        <f>IF('ASS START SYNC'!C562="SHOW",MID('ASS START SYNC'!E562,D558+1,F558-D558+1),"")</f>
        <v/>
      </c>
      <c r="K558" s="23" t="str">
        <f>IF('ASS START SYNC'!C562="SHOW",MID('ASS START SYNC'!E562,F558+2,1000),"")</f>
        <v/>
      </c>
      <c r="M558" s="24"/>
      <c r="N558" s="26">
        <v>555</v>
      </c>
      <c r="O558" s="24" t="str">
        <f>IF('ASS END SYNC'!C562="SHOW",FIND(",",'ASS END SYNC'!E562,1),"")</f>
        <v/>
      </c>
      <c r="P558" s="24" t="str">
        <f>IF('ASS END SYNC'!C562="SHOW",FIND(",",'ASS END SYNC'!E562,O558+1),"")</f>
        <v/>
      </c>
      <c r="Q558" s="24" t="str">
        <f>IF('ASS END SYNC'!C562="SHOW",FIND(",",'ASS END SYNC'!E562,P558+1),"")</f>
        <v/>
      </c>
      <c r="R558" s="25" t="str">
        <f>IF('ASS END SYNC'!C562="SHOW",FIND(",,",'ASS END SYNC'!E562,1),"")</f>
        <v/>
      </c>
      <c r="S558" s="25" t="str">
        <f>IF('ASS END SYNC'!C562="SHOW",FIND(",,",'ASS END SYNC'!E562,R558+1),"")</f>
        <v/>
      </c>
      <c r="T558" s="23" t="str">
        <f>IF('ASS END SYNC'!C562="SHOW",LEFT('ASS END SYNC'!E562,O558),"")</f>
        <v/>
      </c>
      <c r="U558" s="24" t="str">
        <f>IF('ASS END SYNC'!C562="SHOW",MID('ASS END SYNC'!E562,O558+1,P558-O558-1),"")</f>
        <v/>
      </c>
      <c r="V558" s="24" t="str">
        <f>IF(AND('ASS END SYNC'!C562="SHOW",'ASS END SYNC'!C563="SHOW"),U559,IF(AND('ASS END SYNC'!C562="SHOW",'ASS END SYNC'!C563&lt;&gt;"SHOW"),MID('ASS END SYNC'!E562,O558+1,P558-O558-1),""))</f>
        <v/>
      </c>
      <c r="W558" s="23" t="str">
        <f>IF('ASS END SYNC'!C562="SHOW",MID('ASS END SYNC'!E562,Q558+1,S558-Q558+1),"")</f>
        <v/>
      </c>
      <c r="X558" s="23" t="str">
        <f>IF('ASS END SYNC'!C562="SHOW",MID('ASS END SYNC'!E562,S558+2,1000),"")</f>
        <v/>
      </c>
      <c r="Z558" s="24"/>
    </row>
    <row r="559" spans="1:26" x14ac:dyDescent="0.25">
      <c r="A559" s="26">
        <v>556</v>
      </c>
      <c r="B559" s="24" t="str">
        <f>IF('ASS START SYNC'!C563="SHOW",FIND(",",'ASS START SYNC'!E563,1),"")</f>
        <v/>
      </c>
      <c r="C559" s="24" t="str">
        <f>IF('ASS START SYNC'!C563="SHOW",FIND(",",'ASS START SYNC'!E563,B559+1),"")</f>
        <v/>
      </c>
      <c r="D559" s="24" t="str">
        <f>IF('ASS START SYNC'!C563="SHOW",FIND(",",'ASS START SYNC'!E563,C559+1),"")</f>
        <v/>
      </c>
      <c r="E559" s="25" t="str">
        <f>IF('ASS START SYNC'!C563="SHOW",FIND(",,",'ASS START SYNC'!E563,1),"")</f>
        <v/>
      </c>
      <c r="F559" s="25" t="str">
        <f>IF('ASS START SYNC'!C563="SHOW",FIND(",,",'ASS START SYNC'!E563,E559+1),"")</f>
        <v/>
      </c>
      <c r="G559" s="23" t="str">
        <f>IF('ASS START SYNC'!C563="SHOW",LEFT('ASS START SYNC'!E563,B559),"")</f>
        <v/>
      </c>
      <c r="H559" s="24" t="str">
        <f>IF(AND('ASS START SYNC'!C563="SHOW",COUNTA('ASS START SYNC'!$E$8:'ASS START SYNC'!E562)=0),MID('ASS START SYNC'!E563,B559+1,C559-B559-1),IF(AND('ASS START SYNC'!C563="SHOW",COUNTA('ASS START SYNC'!$E$8:'ASS START SYNC'!E562)&lt;&gt;0),I558,""))</f>
        <v/>
      </c>
      <c r="I559" s="24" t="str">
        <f>IF('ASS START SYNC'!C563="SHOW",MID('ASS START SYNC'!E563,C559+1,D559-C559-1),I558)</f>
        <v/>
      </c>
      <c r="J559" s="23" t="str">
        <f>IF('ASS START SYNC'!C563="SHOW",MID('ASS START SYNC'!E563,D559+1,F559-D559+1),"")</f>
        <v/>
      </c>
      <c r="K559" s="23" t="str">
        <f>IF('ASS START SYNC'!C563="SHOW",MID('ASS START SYNC'!E563,F559+2,1000),"")</f>
        <v/>
      </c>
      <c r="M559" s="24"/>
      <c r="N559" s="26">
        <v>556</v>
      </c>
      <c r="O559" s="24" t="str">
        <f>IF('ASS END SYNC'!C563="SHOW",FIND(",",'ASS END SYNC'!E563,1),"")</f>
        <v/>
      </c>
      <c r="P559" s="24" t="str">
        <f>IF('ASS END SYNC'!C563="SHOW",FIND(",",'ASS END SYNC'!E563,O559+1),"")</f>
        <v/>
      </c>
      <c r="Q559" s="24" t="str">
        <f>IF('ASS END SYNC'!C563="SHOW",FIND(",",'ASS END SYNC'!E563,P559+1),"")</f>
        <v/>
      </c>
      <c r="R559" s="25" t="str">
        <f>IF('ASS END SYNC'!C563="SHOW",FIND(",,",'ASS END SYNC'!E563,1),"")</f>
        <v/>
      </c>
      <c r="S559" s="25" t="str">
        <f>IF('ASS END SYNC'!C563="SHOW",FIND(",,",'ASS END SYNC'!E563,R559+1),"")</f>
        <v/>
      </c>
      <c r="T559" s="23" t="str">
        <f>IF('ASS END SYNC'!C563="SHOW",LEFT('ASS END SYNC'!E563,O559),"")</f>
        <v/>
      </c>
      <c r="U559" s="24" t="str">
        <f>IF('ASS END SYNC'!C563="SHOW",MID('ASS END SYNC'!E563,O559+1,P559-O559-1),"")</f>
        <v/>
      </c>
      <c r="V559" s="24" t="str">
        <f>IF(AND('ASS END SYNC'!C563="SHOW",'ASS END SYNC'!C564="SHOW"),U560,IF(AND('ASS END SYNC'!C563="SHOW",'ASS END SYNC'!C564&lt;&gt;"SHOW"),MID('ASS END SYNC'!E563,O559+1,P559-O559-1),""))</f>
        <v/>
      </c>
      <c r="W559" s="23" t="str">
        <f>IF('ASS END SYNC'!C563="SHOW",MID('ASS END SYNC'!E563,Q559+1,S559-Q559+1),"")</f>
        <v/>
      </c>
      <c r="X559" s="23" t="str">
        <f>IF('ASS END SYNC'!C563="SHOW",MID('ASS END SYNC'!E563,S559+2,1000),"")</f>
        <v/>
      </c>
      <c r="Z559" s="24"/>
    </row>
    <row r="560" spans="1:26" x14ac:dyDescent="0.25">
      <c r="A560" s="26">
        <v>557</v>
      </c>
      <c r="B560" s="24" t="str">
        <f>IF('ASS START SYNC'!C564="SHOW",FIND(",",'ASS START SYNC'!E564,1),"")</f>
        <v/>
      </c>
      <c r="C560" s="24" t="str">
        <f>IF('ASS START SYNC'!C564="SHOW",FIND(",",'ASS START SYNC'!E564,B560+1),"")</f>
        <v/>
      </c>
      <c r="D560" s="24" t="str">
        <f>IF('ASS START SYNC'!C564="SHOW",FIND(",",'ASS START SYNC'!E564,C560+1),"")</f>
        <v/>
      </c>
      <c r="E560" s="25" t="str">
        <f>IF('ASS START SYNC'!C564="SHOW",FIND(",,",'ASS START SYNC'!E564,1),"")</f>
        <v/>
      </c>
      <c r="F560" s="25" t="str">
        <f>IF('ASS START SYNC'!C564="SHOW",FIND(",,",'ASS START SYNC'!E564,E560+1),"")</f>
        <v/>
      </c>
      <c r="G560" s="23" t="str">
        <f>IF('ASS START SYNC'!C564="SHOW",LEFT('ASS START SYNC'!E564,B560),"")</f>
        <v/>
      </c>
      <c r="H560" s="24" t="str">
        <f>IF(AND('ASS START SYNC'!C564="SHOW",COUNTA('ASS START SYNC'!$E$8:'ASS START SYNC'!E563)=0),MID('ASS START SYNC'!E564,B560+1,C560-B560-1),IF(AND('ASS START SYNC'!C564="SHOW",COUNTA('ASS START SYNC'!$E$8:'ASS START SYNC'!E563)&lt;&gt;0),I559,""))</f>
        <v/>
      </c>
      <c r="I560" s="24" t="str">
        <f>IF('ASS START SYNC'!C564="SHOW",MID('ASS START SYNC'!E564,C560+1,D560-C560-1),I559)</f>
        <v/>
      </c>
      <c r="J560" s="23" t="str">
        <f>IF('ASS START SYNC'!C564="SHOW",MID('ASS START SYNC'!E564,D560+1,F560-D560+1),"")</f>
        <v/>
      </c>
      <c r="K560" s="23" t="str">
        <f>IF('ASS START SYNC'!C564="SHOW",MID('ASS START SYNC'!E564,F560+2,1000),"")</f>
        <v/>
      </c>
      <c r="M560" s="24"/>
      <c r="N560" s="26">
        <v>557</v>
      </c>
      <c r="O560" s="24" t="str">
        <f>IF('ASS END SYNC'!C564="SHOW",FIND(",",'ASS END SYNC'!E564,1),"")</f>
        <v/>
      </c>
      <c r="P560" s="24" t="str">
        <f>IF('ASS END SYNC'!C564="SHOW",FIND(",",'ASS END SYNC'!E564,O560+1),"")</f>
        <v/>
      </c>
      <c r="Q560" s="24" t="str">
        <f>IF('ASS END SYNC'!C564="SHOW",FIND(",",'ASS END SYNC'!E564,P560+1),"")</f>
        <v/>
      </c>
      <c r="R560" s="25" t="str">
        <f>IF('ASS END SYNC'!C564="SHOW",FIND(",,",'ASS END SYNC'!E564,1),"")</f>
        <v/>
      </c>
      <c r="S560" s="25" t="str">
        <f>IF('ASS END SYNC'!C564="SHOW",FIND(",,",'ASS END SYNC'!E564,R560+1),"")</f>
        <v/>
      </c>
      <c r="T560" s="23" t="str">
        <f>IF('ASS END SYNC'!C564="SHOW",LEFT('ASS END SYNC'!E564,O560),"")</f>
        <v/>
      </c>
      <c r="U560" s="24" t="str">
        <f>IF('ASS END SYNC'!C564="SHOW",MID('ASS END SYNC'!E564,O560+1,P560-O560-1),"")</f>
        <v/>
      </c>
      <c r="V560" s="24" t="str">
        <f>IF(AND('ASS END SYNC'!C564="SHOW",'ASS END SYNC'!C565="SHOW"),U561,IF(AND('ASS END SYNC'!C564="SHOW",'ASS END SYNC'!C565&lt;&gt;"SHOW"),MID('ASS END SYNC'!E564,O560+1,P560-O560-1),""))</f>
        <v/>
      </c>
      <c r="W560" s="23" t="str">
        <f>IF('ASS END SYNC'!C564="SHOW",MID('ASS END SYNC'!E564,Q560+1,S560-Q560+1),"")</f>
        <v/>
      </c>
      <c r="X560" s="23" t="str">
        <f>IF('ASS END SYNC'!C564="SHOW",MID('ASS END SYNC'!E564,S560+2,1000),"")</f>
        <v/>
      </c>
      <c r="Z560" s="24"/>
    </row>
    <row r="561" spans="1:26" x14ac:dyDescent="0.25">
      <c r="A561" s="26">
        <v>558</v>
      </c>
      <c r="B561" s="24" t="str">
        <f>IF('ASS START SYNC'!C565="SHOW",FIND(",",'ASS START SYNC'!E565,1),"")</f>
        <v/>
      </c>
      <c r="C561" s="24" t="str">
        <f>IF('ASS START SYNC'!C565="SHOW",FIND(",",'ASS START SYNC'!E565,B561+1),"")</f>
        <v/>
      </c>
      <c r="D561" s="24" t="str">
        <f>IF('ASS START SYNC'!C565="SHOW",FIND(",",'ASS START SYNC'!E565,C561+1),"")</f>
        <v/>
      </c>
      <c r="E561" s="25" t="str">
        <f>IF('ASS START SYNC'!C565="SHOW",FIND(",,",'ASS START SYNC'!E565,1),"")</f>
        <v/>
      </c>
      <c r="F561" s="25" t="str">
        <f>IF('ASS START SYNC'!C565="SHOW",FIND(",,",'ASS START SYNC'!E565,E561+1),"")</f>
        <v/>
      </c>
      <c r="G561" s="23" t="str">
        <f>IF('ASS START SYNC'!C565="SHOW",LEFT('ASS START SYNC'!E565,B561),"")</f>
        <v/>
      </c>
      <c r="H561" s="24" t="str">
        <f>IF(AND('ASS START SYNC'!C565="SHOW",COUNTA('ASS START SYNC'!$E$8:'ASS START SYNC'!E564)=0),MID('ASS START SYNC'!E565,B561+1,C561-B561-1),IF(AND('ASS START SYNC'!C565="SHOW",COUNTA('ASS START SYNC'!$E$8:'ASS START SYNC'!E564)&lt;&gt;0),I560,""))</f>
        <v/>
      </c>
      <c r="I561" s="24" t="str">
        <f>IF('ASS START SYNC'!C565="SHOW",MID('ASS START SYNC'!E565,C561+1,D561-C561-1),I560)</f>
        <v/>
      </c>
      <c r="J561" s="23" t="str">
        <f>IF('ASS START SYNC'!C565="SHOW",MID('ASS START SYNC'!E565,D561+1,F561-D561+1),"")</f>
        <v/>
      </c>
      <c r="K561" s="23" t="str">
        <f>IF('ASS START SYNC'!C565="SHOW",MID('ASS START SYNC'!E565,F561+2,1000),"")</f>
        <v/>
      </c>
      <c r="M561" s="24"/>
      <c r="N561" s="26">
        <v>558</v>
      </c>
      <c r="O561" s="24" t="str">
        <f>IF('ASS END SYNC'!C565="SHOW",FIND(",",'ASS END SYNC'!E565,1),"")</f>
        <v/>
      </c>
      <c r="P561" s="24" t="str">
        <f>IF('ASS END SYNC'!C565="SHOW",FIND(",",'ASS END SYNC'!E565,O561+1),"")</f>
        <v/>
      </c>
      <c r="Q561" s="24" t="str">
        <f>IF('ASS END SYNC'!C565="SHOW",FIND(",",'ASS END SYNC'!E565,P561+1),"")</f>
        <v/>
      </c>
      <c r="R561" s="25" t="str">
        <f>IF('ASS END SYNC'!C565="SHOW",FIND(",,",'ASS END SYNC'!E565,1),"")</f>
        <v/>
      </c>
      <c r="S561" s="25" t="str">
        <f>IF('ASS END SYNC'!C565="SHOW",FIND(",,",'ASS END SYNC'!E565,R561+1),"")</f>
        <v/>
      </c>
      <c r="T561" s="23" t="str">
        <f>IF('ASS END SYNC'!C565="SHOW",LEFT('ASS END SYNC'!E565,O561),"")</f>
        <v/>
      </c>
      <c r="U561" s="24" t="str">
        <f>IF('ASS END SYNC'!C565="SHOW",MID('ASS END SYNC'!E565,O561+1,P561-O561-1),"")</f>
        <v/>
      </c>
      <c r="V561" s="24" t="str">
        <f>IF(AND('ASS END SYNC'!C565="SHOW",'ASS END SYNC'!C566="SHOW"),U562,IF(AND('ASS END SYNC'!C565="SHOW",'ASS END SYNC'!C566&lt;&gt;"SHOW"),MID('ASS END SYNC'!E565,O561+1,P561-O561-1),""))</f>
        <v/>
      </c>
      <c r="W561" s="23" t="str">
        <f>IF('ASS END SYNC'!C565="SHOW",MID('ASS END SYNC'!E565,Q561+1,S561-Q561+1),"")</f>
        <v/>
      </c>
      <c r="X561" s="23" t="str">
        <f>IF('ASS END SYNC'!C565="SHOW",MID('ASS END SYNC'!E565,S561+2,1000),"")</f>
        <v/>
      </c>
      <c r="Z561" s="24"/>
    </row>
    <row r="562" spans="1:26" x14ac:dyDescent="0.25">
      <c r="A562" s="26">
        <v>559</v>
      </c>
      <c r="B562" s="24" t="str">
        <f>IF('ASS START SYNC'!C566="SHOW",FIND(",",'ASS START SYNC'!E566,1),"")</f>
        <v/>
      </c>
      <c r="C562" s="24" t="str">
        <f>IF('ASS START SYNC'!C566="SHOW",FIND(",",'ASS START SYNC'!E566,B562+1),"")</f>
        <v/>
      </c>
      <c r="D562" s="24" t="str">
        <f>IF('ASS START SYNC'!C566="SHOW",FIND(",",'ASS START SYNC'!E566,C562+1),"")</f>
        <v/>
      </c>
      <c r="E562" s="25" t="str">
        <f>IF('ASS START SYNC'!C566="SHOW",FIND(",,",'ASS START SYNC'!E566,1),"")</f>
        <v/>
      </c>
      <c r="F562" s="25" t="str">
        <f>IF('ASS START SYNC'!C566="SHOW",FIND(",,",'ASS START SYNC'!E566,E562+1),"")</f>
        <v/>
      </c>
      <c r="G562" s="23" t="str">
        <f>IF('ASS START SYNC'!C566="SHOW",LEFT('ASS START SYNC'!E566,B562),"")</f>
        <v/>
      </c>
      <c r="H562" s="24" t="str">
        <f>IF(AND('ASS START SYNC'!C566="SHOW",COUNTA('ASS START SYNC'!$E$8:'ASS START SYNC'!E565)=0),MID('ASS START SYNC'!E566,B562+1,C562-B562-1),IF(AND('ASS START SYNC'!C566="SHOW",COUNTA('ASS START SYNC'!$E$8:'ASS START SYNC'!E565)&lt;&gt;0),I561,""))</f>
        <v/>
      </c>
      <c r="I562" s="24" t="str">
        <f>IF('ASS START SYNC'!C566="SHOW",MID('ASS START SYNC'!E566,C562+1,D562-C562-1),I561)</f>
        <v/>
      </c>
      <c r="J562" s="23" t="str">
        <f>IF('ASS START SYNC'!C566="SHOW",MID('ASS START SYNC'!E566,D562+1,F562-D562+1),"")</f>
        <v/>
      </c>
      <c r="K562" s="23" t="str">
        <f>IF('ASS START SYNC'!C566="SHOW",MID('ASS START SYNC'!E566,F562+2,1000),"")</f>
        <v/>
      </c>
      <c r="M562" s="24"/>
      <c r="N562" s="26">
        <v>559</v>
      </c>
      <c r="O562" s="24" t="str">
        <f>IF('ASS END SYNC'!C566="SHOW",FIND(",",'ASS END SYNC'!E566,1),"")</f>
        <v/>
      </c>
      <c r="P562" s="24" t="str">
        <f>IF('ASS END SYNC'!C566="SHOW",FIND(",",'ASS END SYNC'!E566,O562+1),"")</f>
        <v/>
      </c>
      <c r="Q562" s="24" t="str">
        <f>IF('ASS END SYNC'!C566="SHOW",FIND(",",'ASS END SYNC'!E566,P562+1),"")</f>
        <v/>
      </c>
      <c r="R562" s="25" t="str">
        <f>IF('ASS END SYNC'!C566="SHOW",FIND(",,",'ASS END SYNC'!E566,1),"")</f>
        <v/>
      </c>
      <c r="S562" s="25" t="str">
        <f>IF('ASS END SYNC'!C566="SHOW",FIND(",,",'ASS END SYNC'!E566,R562+1),"")</f>
        <v/>
      </c>
      <c r="T562" s="23" t="str">
        <f>IF('ASS END SYNC'!C566="SHOW",LEFT('ASS END SYNC'!E566,O562),"")</f>
        <v/>
      </c>
      <c r="U562" s="24" t="str">
        <f>IF('ASS END SYNC'!C566="SHOW",MID('ASS END SYNC'!E566,O562+1,P562-O562-1),"")</f>
        <v/>
      </c>
      <c r="V562" s="24" t="str">
        <f>IF(AND('ASS END SYNC'!C566="SHOW",'ASS END SYNC'!C567="SHOW"),U563,IF(AND('ASS END SYNC'!C566="SHOW",'ASS END SYNC'!C567&lt;&gt;"SHOW"),MID('ASS END SYNC'!E566,O562+1,P562-O562-1),""))</f>
        <v/>
      </c>
      <c r="W562" s="23" t="str">
        <f>IF('ASS END SYNC'!C566="SHOW",MID('ASS END SYNC'!E566,Q562+1,S562-Q562+1),"")</f>
        <v/>
      </c>
      <c r="X562" s="23" t="str">
        <f>IF('ASS END SYNC'!C566="SHOW",MID('ASS END SYNC'!E566,S562+2,1000),"")</f>
        <v/>
      </c>
      <c r="Z562" s="24"/>
    </row>
    <row r="563" spans="1:26" x14ac:dyDescent="0.25">
      <c r="A563" s="26">
        <v>560</v>
      </c>
      <c r="B563" s="24" t="str">
        <f>IF('ASS START SYNC'!C567="SHOW",FIND(",",'ASS START SYNC'!E567,1),"")</f>
        <v/>
      </c>
      <c r="C563" s="24" t="str">
        <f>IF('ASS START SYNC'!C567="SHOW",FIND(",",'ASS START SYNC'!E567,B563+1),"")</f>
        <v/>
      </c>
      <c r="D563" s="24" t="str">
        <f>IF('ASS START SYNC'!C567="SHOW",FIND(",",'ASS START SYNC'!E567,C563+1),"")</f>
        <v/>
      </c>
      <c r="E563" s="25" t="str">
        <f>IF('ASS START SYNC'!C567="SHOW",FIND(",,",'ASS START SYNC'!E567,1),"")</f>
        <v/>
      </c>
      <c r="F563" s="25" t="str">
        <f>IF('ASS START SYNC'!C567="SHOW",FIND(",,",'ASS START SYNC'!E567,E563+1),"")</f>
        <v/>
      </c>
      <c r="G563" s="23" t="str">
        <f>IF('ASS START SYNC'!C567="SHOW",LEFT('ASS START SYNC'!E567,B563),"")</f>
        <v/>
      </c>
      <c r="H563" s="24" t="str">
        <f>IF(AND('ASS START SYNC'!C567="SHOW",COUNTA('ASS START SYNC'!$E$8:'ASS START SYNC'!E566)=0),MID('ASS START SYNC'!E567,B563+1,C563-B563-1),IF(AND('ASS START SYNC'!C567="SHOW",COUNTA('ASS START SYNC'!$E$8:'ASS START SYNC'!E566)&lt;&gt;0),I562,""))</f>
        <v/>
      </c>
      <c r="I563" s="24" t="str">
        <f>IF('ASS START SYNC'!C567="SHOW",MID('ASS START SYNC'!E567,C563+1,D563-C563-1),I562)</f>
        <v/>
      </c>
      <c r="J563" s="23" t="str">
        <f>IF('ASS START SYNC'!C567="SHOW",MID('ASS START SYNC'!E567,D563+1,F563-D563+1),"")</f>
        <v/>
      </c>
      <c r="K563" s="23" t="str">
        <f>IF('ASS START SYNC'!C567="SHOW",MID('ASS START SYNC'!E567,F563+2,1000),"")</f>
        <v/>
      </c>
      <c r="M563" s="24"/>
      <c r="N563" s="26">
        <v>560</v>
      </c>
      <c r="O563" s="24" t="str">
        <f>IF('ASS END SYNC'!C567="SHOW",FIND(",",'ASS END SYNC'!E567,1),"")</f>
        <v/>
      </c>
      <c r="P563" s="24" t="str">
        <f>IF('ASS END SYNC'!C567="SHOW",FIND(",",'ASS END SYNC'!E567,O563+1),"")</f>
        <v/>
      </c>
      <c r="Q563" s="24" t="str">
        <f>IF('ASS END SYNC'!C567="SHOW",FIND(",",'ASS END SYNC'!E567,P563+1),"")</f>
        <v/>
      </c>
      <c r="R563" s="25" t="str">
        <f>IF('ASS END SYNC'!C567="SHOW",FIND(",,",'ASS END SYNC'!E567,1),"")</f>
        <v/>
      </c>
      <c r="S563" s="25" t="str">
        <f>IF('ASS END SYNC'!C567="SHOW",FIND(",,",'ASS END SYNC'!E567,R563+1),"")</f>
        <v/>
      </c>
      <c r="T563" s="23" t="str">
        <f>IF('ASS END SYNC'!C567="SHOW",LEFT('ASS END SYNC'!E567,O563),"")</f>
        <v/>
      </c>
      <c r="U563" s="24" t="str">
        <f>IF('ASS END SYNC'!C567="SHOW",MID('ASS END SYNC'!E567,O563+1,P563-O563-1),"")</f>
        <v/>
      </c>
      <c r="V563" s="24" t="str">
        <f>IF(AND('ASS END SYNC'!C567="SHOW",'ASS END SYNC'!C568="SHOW"),U564,IF(AND('ASS END SYNC'!C567="SHOW",'ASS END SYNC'!C568&lt;&gt;"SHOW"),MID('ASS END SYNC'!E567,O563+1,P563-O563-1),""))</f>
        <v/>
      </c>
      <c r="W563" s="23" t="str">
        <f>IF('ASS END SYNC'!C567="SHOW",MID('ASS END SYNC'!E567,Q563+1,S563-Q563+1),"")</f>
        <v/>
      </c>
      <c r="X563" s="23" t="str">
        <f>IF('ASS END SYNC'!C567="SHOW",MID('ASS END SYNC'!E567,S563+2,1000),"")</f>
        <v/>
      </c>
      <c r="Z563" s="24"/>
    </row>
    <row r="564" spans="1:26" x14ac:dyDescent="0.25">
      <c r="A564" s="26">
        <v>561</v>
      </c>
      <c r="B564" s="24" t="str">
        <f>IF('ASS START SYNC'!C568="SHOW",FIND(",",'ASS START SYNC'!E568,1),"")</f>
        <v/>
      </c>
      <c r="C564" s="24" t="str">
        <f>IF('ASS START SYNC'!C568="SHOW",FIND(",",'ASS START SYNC'!E568,B564+1),"")</f>
        <v/>
      </c>
      <c r="D564" s="24" t="str">
        <f>IF('ASS START SYNC'!C568="SHOW",FIND(",",'ASS START SYNC'!E568,C564+1),"")</f>
        <v/>
      </c>
      <c r="E564" s="25" t="str">
        <f>IF('ASS START SYNC'!C568="SHOW",FIND(",,",'ASS START SYNC'!E568,1),"")</f>
        <v/>
      </c>
      <c r="F564" s="25" t="str">
        <f>IF('ASS START SYNC'!C568="SHOW",FIND(",,",'ASS START SYNC'!E568,E564+1),"")</f>
        <v/>
      </c>
      <c r="G564" s="23" t="str">
        <f>IF('ASS START SYNC'!C568="SHOW",LEFT('ASS START SYNC'!E568,B564),"")</f>
        <v/>
      </c>
      <c r="H564" s="24" t="str">
        <f>IF(AND('ASS START SYNC'!C568="SHOW",COUNTA('ASS START SYNC'!$E$8:'ASS START SYNC'!E567)=0),MID('ASS START SYNC'!E568,B564+1,C564-B564-1),IF(AND('ASS START SYNC'!C568="SHOW",COUNTA('ASS START SYNC'!$E$8:'ASS START SYNC'!E567)&lt;&gt;0),I563,""))</f>
        <v/>
      </c>
      <c r="I564" s="24" t="str">
        <f>IF('ASS START SYNC'!C568="SHOW",MID('ASS START SYNC'!E568,C564+1,D564-C564-1),I563)</f>
        <v/>
      </c>
      <c r="J564" s="23" t="str">
        <f>IF('ASS START SYNC'!C568="SHOW",MID('ASS START SYNC'!E568,D564+1,F564-D564+1),"")</f>
        <v/>
      </c>
      <c r="K564" s="23" t="str">
        <f>IF('ASS START SYNC'!C568="SHOW",MID('ASS START SYNC'!E568,F564+2,1000),"")</f>
        <v/>
      </c>
      <c r="M564" s="24"/>
      <c r="N564" s="26">
        <v>561</v>
      </c>
      <c r="O564" s="24" t="str">
        <f>IF('ASS END SYNC'!C568="SHOW",FIND(",",'ASS END SYNC'!E568,1),"")</f>
        <v/>
      </c>
      <c r="P564" s="24" t="str">
        <f>IF('ASS END SYNC'!C568="SHOW",FIND(",",'ASS END SYNC'!E568,O564+1),"")</f>
        <v/>
      </c>
      <c r="Q564" s="24" t="str">
        <f>IF('ASS END SYNC'!C568="SHOW",FIND(",",'ASS END SYNC'!E568,P564+1),"")</f>
        <v/>
      </c>
      <c r="R564" s="25" t="str">
        <f>IF('ASS END SYNC'!C568="SHOW",FIND(",,",'ASS END SYNC'!E568,1),"")</f>
        <v/>
      </c>
      <c r="S564" s="25" t="str">
        <f>IF('ASS END SYNC'!C568="SHOW",FIND(",,",'ASS END SYNC'!E568,R564+1),"")</f>
        <v/>
      </c>
      <c r="T564" s="23" t="str">
        <f>IF('ASS END SYNC'!C568="SHOW",LEFT('ASS END SYNC'!E568,O564),"")</f>
        <v/>
      </c>
      <c r="U564" s="24" t="str">
        <f>IF('ASS END SYNC'!C568="SHOW",MID('ASS END SYNC'!E568,O564+1,P564-O564-1),"")</f>
        <v/>
      </c>
      <c r="V564" s="24" t="str">
        <f>IF(AND('ASS END SYNC'!C568="SHOW",'ASS END SYNC'!C569="SHOW"),U565,IF(AND('ASS END SYNC'!C568="SHOW",'ASS END SYNC'!C569&lt;&gt;"SHOW"),MID('ASS END SYNC'!E568,O564+1,P564-O564-1),""))</f>
        <v/>
      </c>
      <c r="W564" s="23" t="str">
        <f>IF('ASS END SYNC'!C568="SHOW",MID('ASS END SYNC'!E568,Q564+1,S564-Q564+1),"")</f>
        <v/>
      </c>
      <c r="X564" s="23" t="str">
        <f>IF('ASS END SYNC'!C568="SHOW",MID('ASS END SYNC'!E568,S564+2,1000),"")</f>
        <v/>
      </c>
      <c r="Z564" s="24"/>
    </row>
    <row r="565" spans="1:26" x14ac:dyDescent="0.25">
      <c r="A565" s="26">
        <v>562</v>
      </c>
      <c r="B565" s="24" t="str">
        <f>IF('ASS START SYNC'!C569="SHOW",FIND(",",'ASS START SYNC'!E569,1),"")</f>
        <v/>
      </c>
      <c r="C565" s="24" t="str">
        <f>IF('ASS START SYNC'!C569="SHOW",FIND(",",'ASS START SYNC'!E569,B565+1),"")</f>
        <v/>
      </c>
      <c r="D565" s="24" t="str">
        <f>IF('ASS START SYNC'!C569="SHOW",FIND(",",'ASS START SYNC'!E569,C565+1),"")</f>
        <v/>
      </c>
      <c r="E565" s="25" t="str">
        <f>IF('ASS START SYNC'!C569="SHOW",FIND(",,",'ASS START SYNC'!E569,1),"")</f>
        <v/>
      </c>
      <c r="F565" s="25" t="str">
        <f>IF('ASS START SYNC'!C569="SHOW",FIND(",,",'ASS START SYNC'!E569,E565+1),"")</f>
        <v/>
      </c>
      <c r="G565" s="23" t="str">
        <f>IF('ASS START SYNC'!C569="SHOW",LEFT('ASS START SYNC'!E569,B565),"")</f>
        <v/>
      </c>
      <c r="H565" s="24" t="str">
        <f>IF(AND('ASS START SYNC'!C569="SHOW",COUNTA('ASS START SYNC'!$E$8:'ASS START SYNC'!E568)=0),MID('ASS START SYNC'!E569,B565+1,C565-B565-1),IF(AND('ASS START SYNC'!C569="SHOW",COUNTA('ASS START SYNC'!$E$8:'ASS START SYNC'!E568)&lt;&gt;0),I564,""))</f>
        <v/>
      </c>
      <c r="I565" s="24" t="str">
        <f>IF('ASS START SYNC'!C569="SHOW",MID('ASS START SYNC'!E569,C565+1,D565-C565-1),I564)</f>
        <v/>
      </c>
      <c r="J565" s="23" t="str">
        <f>IF('ASS START SYNC'!C569="SHOW",MID('ASS START SYNC'!E569,D565+1,F565-D565+1),"")</f>
        <v/>
      </c>
      <c r="K565" s="23" t="str">
        <f>IF('ASS START SYNC'!C569="SHOW",MID('ASS START SYNC'!E569,F565+2,1000),"")</f>
        <v/>
      </c>
      <c r="M565" s="24"/>
      <c r="N565" s="26">
        <v>562</v>
      </c>
      <c r="O565" s="24" t="str">
        <f>IF('ASS END SYNC'!C569="SHOW",FIND(",",'ASS END SYNC'!E569,1),"")</f>
        <v/>
      </c>
      <c r="P565" s="24" t="str">
        <f>IF('ASS END SYNC'!C569="SHOW",FIND(",",'ASS END SYNC'!E569,O565+1),"")</f>
        <v/>
      </c>
      <c r="Q565" s="24" t="str">
        <f>IF('ASS END SYNC'!C569="SHOW",FIND(",",'ASS END SYNC'!E569,P565+1),"")</f>
        <v/>
      </c>
      <c r="R565" s="25" t="str">
        <f>IF('ASS END SYNC'!C569="SHOW",FIND(",,",'ASS END SYNC'!E569,1),"")</f>
        <v/>
      </c>
      <c r="S565" s="25" t="str">
        <f>IF('ASS END SYNC'!C569="SHOW",FIND(",,",'ASS END SYNC'!E569,R565+1),"")</f>
        <v/>
      </c>
      <c r="T565" s="23" t="str">
        <f>IF('ASS END SYNC'!C569="SHOW",LEFT('ASS END SYNC'!E569,O565),"")</f>
        <v/>
      </c>
      <c r="U565" s="24" t="str">
        <f>IF('ASS END SYNC'!C569="SHOW",MID('ASS END SYNC'!E569,O565+1,P565-O565-1),"")</f>
        <v/>
      </c>
      <c r="V565" s="24" t="str">
        <f>IF(AND('ASS END SYNC'!C569="SHOW",'ASS END SYNC'!C570="SHOW"),U566,IF(AND('ASS END SYNC'!C569="SHOW",'ASS END SYNC'!C570&lt;&gt;"SHOW"),MID('ASS END SYNC'!E569,O565+1,P565-O565-1),""))</f>
        <v/>
      </c>
      <c r="W565" s="23" t="str">
        <f>IF('ASS END SYNC'!C569="SHOW",MID('ASS END SYNC'!E569,Q565+1,S565-Q565+1),"")</f>
        <v/>
      </c>
      <c r="X565" s="23" t="str">
        <f>IF('ASS END SYNC'!C569="SHOW",MID('ASS END SYNC'!E569,S565+2,1000),"")</f>
        <v/>
      </c>
      <c r="Z565" s="24"/>
    </row>
    <row r="566" spans="1:26" x14ac:dyDescent="0.25">
      <c r="A566" s="26">
        <v>563</v>
      </c>
      <c r="B566" s="24" t="str">
        <f>IF('ASS START SYNC'!C570="SHOW",FIND(",",'ASS START SYNC'!E570,1),"")</f>
        <v/>
      </c>
      <c r="C566" s="24" t="str">
        <f>IF('ASS START SYNC'!C570="SHOW",FIND(",",'ASS START SYNC'!E570,B566+1),"")</f>
        <v/>
      </c>
      <c r="D566" s="24" t="str">
        <f>IF('ASS START SYNC'!C570="SHOW",FIND(",",'ASS START SYNC'!E570,C566+1),"")</f>
        <v/>
      </c>
      <c r="E566" s="25" t="str">
        <f>IF('ASS START SYNC'!C570="SHOW",FIND(",,",'ASS START SYNC'!E570,1),"")</f>
        <v/>
      </c>
      <c r="F566" s="25" t="str">
        <f>IF('ASS START SYNC'!C570="SHOW",FIND(",,",'ASS START SYNC'!E570,E566+1),"")</f>
        <v/>
      </c>
      <c r="G566" s="23" t="str">
        <f>IF('ASS START SYNC'!C570="SHOW",LEFT('ASS START SYNC'!E570,B566),"")</f>
        <v/>
      </c>
      <c r="H566" s="24" t="str">
        <f>IF(AND('ASS START SYNC'!C570="SHOW",COUNTA('ASS START SYNC'!$E$8:'ASS START SYNC'!E569)=0),MID('ASS START SYNC'!E570,B566+1,C566-B566-1),IF(AND('ASS START SYNC'!C570="SHOW",COUNTA('ASS START SYNC'!$E$8:'ASS START SYNC'!E569)&lt;&gt;0),I565,""))</f>
        <v/>
      </c>
      <c r="I566" s="24" t="str">
        <f>IF('ASS START SYNC'!C570="SHOW",MID('ASS START SYNC'!E570,C566+1,D566-C566-1),I565)</f>
        <v/>
      </c>
      <c r="J566" s="23" t="str">
        <f>IF('ASS START SYNC'!C570="SHOW",MID('ASS START SYNC'!E570,D566+1,F566-D566+1),"")</f>
        <v/>
      </c>
      <c r="K566" s="23" t="str">
        <f>IF('ASS START SYNC'!C570="SHOW",MID('ASS START SYNC'!E570,F566+2,1000),"")</f>
        <v/>
      </c>
      <c r="M566" s="24"/>
      <c r="N566" s="26">
        <v>563</v>
      </c>
      <c r="O566" s="24" t="str">
        <f>IF('ASS END SYNC'!C570="SHOW",FIND(",",'ASS END SYNC'!E570,1),"")</f>
        <v/>
      </c>
      <c r="P566" s="24" t="str">
        <f>IF('ASS END SYNC'!C570="SHOW",FIND(",",'ASS END SYNC'!E570,O566+1),"")</f>
        <v/>
      </c>
      <c r="Q566" s="24" t="str">
        <f>IF('ASS END SYNC'!C570="SHOW",FIND(",",'ASS END SYNC'!E570,P566+1),"")</f>
        <v/>
      </c>
      <c r="R566" s="25" t="str">
        <f>IF('ASS END SYNC'!C570="SHOW",FIND(",,",'ASS END SYNC'!E570,1),"")</f>
        <v/>
      </c>
      <c r="S566" s="25" t="str">
        <f>IF('ASS END SYNC'!C570="SHOW",FIND(",,",'ASS END SYNC'!E570,R566+1),"")</f>
        <v/>
      </c>
      <c r="T566" s="23" t="str">
        <f>IF('ASS END SYNC'!C570="SHOW",LEFT('ASS END SYNC'!E570,O566),"")</f>
        <v/>
      </c>
      <c r="U566" s="24" t="str">
        <f>IF('ASS END SYNC'!C570="SHOW",MID('ASS END SYNC'!E570,O566+1,P566-O566-1),"")</f>
        <v/>
      </c>
      <c r="V566" s="24" t="str">
        <f>IF(AND('ASS END SYNC'!C570="SHOW",'ASS END SYNC'!C571="SHOW"),U567,IF(AND('ASS END SYNC'!C570="SHOW",'ASS END SYNC'!C571&lt;&gt;"SHOW"),MID('ASS END SYNC'!E570,O566+1,P566-O566-1),""))</f>
        <v/>
      </c>
      <c r="W566" s="23" t="str">
        <f>IF('ASS END SYNC'!C570="SHOW",MID('ASS END SYNC'!E570,Q566+1,S566-Q566+1),"")</f>
        <v/>
      </c>
      <c r="X566" s="23" t="str">
        <f>IF('ASS END SYNC'!C570="SHOW",MID('ASS END SYNC'!E570,S566+2,1000),"")</f>
        <v/>
      </c>
      <c r="Z566" s="24"/>
    </row>
    <row r="567" spans="1:26" x14ac:dyDescent="0.25">
      <c r="A567" s="26">
        <v>564</v>
      </c>
      <c r="B567" s="24" t="str">
        <f>IF('ASS START SYNC'!C571="SHOW",FIND(",",'ASS START SYNC'!E571,1),"")</f>
        <v/>
      </c>
      <c r="C567" s="24" t="str">
        <f>IF('ASS START SYNC'!C571="SHOW",FIND(",",'ASS START SYNC'!E571,B567+1),"")</f>
        <v/>
      </c>
      <c r="D567" s="24" t="str">
        <f>IF('ASS START SYNC'!C571="SHOW",FIND(",",'ASS START SYNC'!E571,C567+1),"")</f>
        <v/>
      </c>
      <c r="E567" s="25" t="str">
        <f>IF('ASS START SYNC'!C571="SHOW",FIND(",,",'ASS START SYNC'!E571,1),"")</f>
        <v/>
      </c>
      <c r="F567" s="25" t="str">
        <f>IF('ASS START SYNC'!C571="SHOW",FIND(",,",'ASS START SYNC'!E571,E567+1),"")</f>
        <v/>
      </c>
      <c r="G567" s="23" t="str">
        <f>IF('ASS START SYNC'!C571="SHOW",LEFT('ASS START SYNC'!E571,B567),"")</f>
        <v/>
      </c>
      <c r="H567" s="24" t="str">
        <f>IF(AND('ASS START SYNC'!C571="SHOW",COUNTA('ASS START SYNC'!$E$8:'ASS START SYNC'!E570)=0),MID('ASS START SYNC'!E571,B567+1,C567-B567-1),IF(AND('ASS START SYNC'!C571="SHOW",COUNTA('ASS START SYNC'!$E$8:'ASS START SYNC'!E570)&lt;&gt;0),I566,""))</f>
        <v/>
      </c>
      <c r="I567" s="24" t="str">
        <f>IF('ASS START SYNC'!C571="SHOW",MID('ASS START SYNC'!E571,C567+1,D567-C567-1),I566)</f>
        <v/>
      </c>
      <c r="J567" s="23" t="str">
        <f>IF('ASS START SYNC'!C571="SHOW",MID('ASS START SYNC'!E571,D567+1,F567-D567+1),"")</f>
        <v/>
      </c>
      <c r="K567" s="23" t="str">
        <f>IF('ASS START SYNC'!C571="SHOW",MID('ASS START SYNC'!E571,F567+2,1000),"")</f>
        <v/>
      </c>
      <c r="M567" s="24"/>
      <c r="N567" s="26">
        <v>564</v>
      </c>
      <c r="O567" s="24" t="str">
        <f>IF('ASS END SYNC'!C571="SHOW",FIND(",",'ASS END SYNC'!E571,1),"")</f>
        <v/>
      </c>
      <c r="P567" s="24" t="str">
        <f>IF('ASS END SYNC'!C571="SHOW",FIND(",",'ASS END SYNC'!E571,O567+1),"")</f>
        <v/>
      </c>
      <c r="Q567" s="24" t="str">
        <f>IF('ASS END SYNC'!C571="SHOW",FIND(",",'ASS END SYNC'!E571,P567+1),"")</f>
        <v/>
      </c>
      <c r="R567" s="25" t="str">
        <f>IF('ASS END SYNC'!C571="SHOW",FIND(",,",'ASS END SYNC'!E571,1),"")</f>
        <v/>
      </c>
      <c r="S567" s="25" t="str">
        <f>IF('ASS END SYNC'!C571="SHOW",FIND(",,",'ASS END SYNC'!E571,R567+1),"")</f>
        <v/>
      </c>
      <c r="T567" s="23" t="str">
        <f>IF('ASS END SYNC'!C571="SHOW",LEFT('ASS END SYNC'!E571,O567),"")</f>
        <v/>
      </c>
      <c r="U567" s="24" t="str">
        <f>IF('ASS END SYNC'!C571="SHOW",MID('ASS END SYNC'!E571,O567+1,P567-O567-1),"")</f>
        <v/>
      </c>
      <c r="V567" s="24" t="str">
        <f>IF(AND('ASS END SYNC'!C571="SHOW",'ASS END SYNC'!C572="SHOW"),U568,IF(AND('ASS END SYNC'!C571="SHOW",'ASS END SYNC'!C572&lt;&gt;"SHOW"),MID('ASS END SYNC'!E571,O567+1,P567-O567-1),""))</f>
        <v/>
      </c>
      <c r="W567" s="23" t="str">
        <f>IF('ASS END SYNC'!C571="SHOW",MID('ASS END SYNC'!E571,Q567+1,S567-Q567+1),"")</f>
        <v/>
      </c>
      <c r="X567" s="23" t="str">
        <f>IF('ASS END SYNC'!C571="SHOW",MID('ASS END SYNC'!E571,S567+2,1000),"")</f>
        <v/>
      </c>
      <c r="Z567" s="24"/>
    </row>
    <row r="568" spans="1:26" x14ac:dyDescent="0.25">
      <c r="A568" s="26">
        <v>565</v>
      </c>
      <c r="B568" s="24" t="str">
        <f>IF('ASS START SYNC'!C572="SHOW",FIND(",",'ASS START SYNC'!E572,1),"")</f>
        <v/>
      </c>
      <c r="C568" s="24" t="str">
        <f>IF('ASS START SYNC'!C572="SHOW",FIND(",",'ASS START SYNC'!E572,B568+1),"")</f>
        <v/>
      </c>
      <c r="D568" s="24" t="str">
        <f>IF('ASS START SYNC'!C572="SHOW",FIND(",",'ASS START SYNC'!E572,C568+1),"")</f>
        <v/>
      </c>
      <c r="E568" s="25" t="str">
        <f>IF('ASS START SYNC'!C572="SHOW",FIND(",,",'ASS START SYNC'!E572,1),"")</f>
        <v/>
      </c>
      <c r="F568" s="25" t="str">
        <f>IF('ASS START SYNC'!C572="SHOW",FIND(",,",'ASS START SYNC'!E572,E568+1),"")</f>
        <v/>
      </c>
      <c r="G568" s="23" t="str">
        <f>IF('ASS START SYNC'!C572="SHOW",LEFT('ASS START SYNC'!E572,B568),"")</f>
        <v/>
      </c>
      <c r="H568" s="24" t="str">
        <f>IF(AND('ASS START SYNC'!C572="SHOW",COUNTA('ASS START SYNC'!$E$8:'ASS START SYNC'!E571)=0),MID('ASS START SYNC'!E572,B568+1,C568-B568-1),IF(AND('ASS START SYNC'!C572="SHOW",COUNTA('ASS START SYNC'!$E$8:'ASS START SYNC'!E571)&lt;&gt;0),I567,""))</f>
        <v/>
      </c>
      <c r="I568" s="24" t="str">
        <f>IF('ASS START SYNC'!C572="SHOW",MID('ASS START SYNC'!E572,C568+1,D568-C568-1),I567)</f>
        <v/>
      </c>
      <c r="J568" s="23" t="str">
        <f>IF('ASS START SYNC'!C572="SHOW",MID('ASS START SYNC'!E572,D568+1,F568-D568+1),"")</f>
        <v/>
      </c>
      <c r="K568" s="23" t="str">
        <f>IF('ASS START SYNC'!C572="SHOW",MID('ASS START SYNC'!E572,F568+2,1000),"")</f>
        <v/>
      </c>
      <c r="M568" s="24"/>
      <c r="N568" s="26">
        <v>565</v>
      </c>
      <c r="O568" s="24" t="str">
        <f>IF('ASS END SYNC'!C572="SHOW",FIND(",",'ASS END SYNC'!E572,1),"")</f>
        <v/>
      </c>
      <c r="P568" s="24" t="str">
        <f>IF('ASS END SYNC'!C572="SHOW",FIND(",",'ASS END SYNC'!E572,O568+1),"")</f>
        <v/>
      </c>
      <c r="Q568" s="24" t="str">
        <f>IF('ASS END SYNC'!C572="SHOW",FIND(",",'ASS END SYNC'!E572,P568+1),"")</f>
        <v/>
      </c>
      <c r="R568" s="25" t="str">
        <f>IF('ASS END SYNC'!C572="SHOW",FIND(",,",'ASS END SYNC'!E572,1),"")</f>
        <v/>
      </c>
      <c r="S568" s="25" t="str">
        <f>IF('ASS END SYNC'!C572="SHOW",FIND(",,",'ASS END SYNC'!E572,R568+1),"")</f>
        <v/>
      </c>
      <c r="T568" s="23" t="str">
        <f>IF('ASS END SYNC'!C572="SHOW",LEFT('ASS END SYNC'!E572,O568),"")</f>
        <v/>
      </c>
      <c r="U568" s="24" t="str">
        <f>IF('ASS END SYNC'!C572="SHOW",MID('ASS END SYNC'!E572,O568+1,P568-O568-1),"")</f>
        <v/>
      </c>
      <c r="V568" s="24" t="str">
        <f>IF(AND('ASS END SYNC'!C572="SHOW",'ASS END SYNC'!C573="SHOW"),U569,IF(AND('ASS END SYNC'!C572="SHOW",'ASS END SYNC'!C573&lt;&gt;"SHOW"),MID('ASS END SYNC'!E572,O568+1,P568-O568-1),""))</f>
        <v/>
      </c>
      <c r="W568" s="23" t="str">
        <f>IF('ASS END SYNC'!C572="SHOW",MID('ASS END SYNC'!E572,Q568+1,S568-Q568+1),"")</f>
        <v/>
      </c>
      <c r="X568" s="23" t="str">
        <f>IF('ASS END SYNC'!C572="SHOW",MID('ASS END SYNC'!E572,S568+2,1000),"")</f>
        <v/>
      </c>
      <c r="Z568" s="24"/>
    </row>
    <row r="569" spans="1:26" x14ac:dyDescent="0.25">
      <c r="A569" s="26">
        <v>566</v>
      </c>
      <c r="B569" s="24" t="str">
        <f>IF('ASS START SYNC'!C573="SHOW",FIND(",",'ASS START SYNC'!E573,1),"")</f>
        <v/>
      </c>
      <c r="C569" s="24" t="str">
        <f>IF('ASS START SYNC'!C573="SHOW",FIND(",",'ASS START SYNC'!E573,B569+1),"")</f>
        <v/>
      </c>
      <c r="D569" s="24" t="str">
        <f>IF('ASS START SYNC'!C573="SHOW",FIND(",",'ASS START SYNC'!E573,C569+1),"")</f>
        <v/>
      </c>
      <c r="E569" s="25" t="str">
        <f>IF('ASS START SYNC'!C573="SHOW",FIND(",,",'ASS START SYNC'!E573,1),"")</f>
        <v/>
      </c>
      <c r="F569" s="25" t="str">
        <f>IF('ASS START SYNC'!C573="SHOW",FIND(",,",'ASS START SYNC'!E573,E569+1),"")</f>
        <v/>
      </c>
      <c r="G569" s="23" t="str">
        <f>IF('ASS START SYNC'!C573="SHOW",LEFT('ASS START SYNC'!E573,B569),"")</f>
        <v/>
      </c>
      <c r="H569" s="24" t="str">
        <f>IF(AND('ASS START SYNC'!C573="SHOW",COUNTA('ASS START SYNC'!$E$8:'ASS START SYNC'!E572)=0),MID('ASS START SYNC'!E573,B569+1,C569-B569-1),IF(AND('ASS START SYNC'!C573="SHOW",COUNTA('ASS START SYNC'!$E$8:'ASS START SYNC'!E572)&lt;&gt;0),I568,""))</f>
        <v/>
      </c>
      <c r="I569" s="24" t="str">
        <f>IF('ASS START SYNC'!C573="SHOW",MID('ASS START SYNC'!E573,C569+1,D569-C569-1),I568)</f>
        <v/>
      </c>
      <c r="J569" s="23" t="str">
        <f>IF('ASS START SYNC'!C573="SHOW",MID('ASS START SYNC'!E573,D569+1,F569-D569+1),"")</f>
        <v/>
      </c>
      <c r="K569" s="23" t="str">
        <f>IF('ASS START SYNC'!C573="SHOW",MID('ASS START SYNC'!E573,F569+2,1000),"")</f>
        <v/>
      </c>
      <c r="M569" s="24"/>
      <c r="N569" s="26">
        <v>566</v>
      </c>
      <c r="O569" s="24" t="str">
        <f>IF('ASS END SYNC'!C573="SHOW",FIND(",",'ASS END SYNC'!E573,1),"")</f>
        <v/>
      </c>
      <c r="P569" s="24" t="str">
        <f>IF('ASS END SYNC'!C573="SHOW",FIND(",",'ASS END SYNC'!E573,O569+1),"")</f>
        <v/>
      </c>
      <c r="Q569" s="24" t="str">
        <f>IF('ASS END SYNC'!C573="SHOW",FIND(",",'ASS END SYNC'!E573,P569+1),"")</f>
        <v/>
      </c>
      <c r="R569" s="25" t="str">
        <f>IF('ASS END SYNC'!C573="SHOW",FIND(",,",'ASS END SYNC'!E573,1),"")</f>
        <v/>
      </c>
      <c r="S569" s="25" t="str">
        <f>IF('ASS END SYNC'!C573="SHOW",FIND(",,",'ASS END SYNC'!E573,R569+1),"")</f>
        <v/>
      </c>
      <c r="T569" s="23" t="str">
        <f>IF('ASS END SYNC'!C573="SHOW",LEFT('ASS END SYNC'!E573,O569),"")</f>
        <v/>
      </c>
      <c r="U569" s="24" t="str">
        <f>IF('ASS END SYNC'!C573="SHOW",MID('ASS END SYNC'!E573,O569+1,P569-O569-1),"")</f>
        <v/>
      </c>
      <c r="V569" s="24" t="str">
        <f>IF(AND('ASS END SYNC'!C573="SHOW",'ASS END SYNC'!C574="SHOW"),U570,IF(AND('ASS END SYNC'!C573="SHOW",'ASS END SYNC'!C574&lt;&gt;"SHOW"),MID('ASS END SYNC'!E573,O569+1,P569-O569-1),""))</f>
        <v/>
      </c>
      <c r="W569" s="23" t="str">
        <f>IF('ASS END SYNC'!C573="SHOW",MID('ASS END SYNC'!E573,Q569+1,S569-Q569+1),"")</f>
        <v/>
      </c>
      <c r="X569" s="23" t="str">
        <f>IF('ASS END SYNC'!C573="SHOW",MID('ASS END SYNC'!E573,S569+2,1000),"")</f>
        <v/>
      </c>
      <c r="Z569" s="24"/>
    </row>
    <row r="570" spans="1:26" x14ac:dyDescent="0.25">
      <c r="A570" s="26">
        <v>567</v>
      </c>
      <c r="B570" s="24" t="str">
        <f>IF('ASS START SYNC'!C574="SHOW",FIND(",",'ASS START SYNC'!E574,1),"")</f>
        <v/>
      </c>
      <c r="C570" s="24" t="str">
        <f>IF('ASS START SYNC'!C574="SHOW",FIND(",",'ASS START SYNC'!E574,B570+1),"")</f>
        <v/>
      </c>
      <c r="D570" s="24" t="str">
        <f>IF('ASS START SYNC'!C574="SHOW",FIND(",",'ASS START SYNC'!E574,C570+1),"")</f>
        <v/>
      </c>
      <c r="E570" s="25" t="str">
        <f>IF('ASS START SYNC'!C574="SHOW",FIND(",,",'ASS START SYNC'!E574,1),"")</f>
        <v/>
      </c>
      <c r="F570" s="25" t="str">
        <f>IF('ASS START SYNC'!C574="SHOW",FIND(",,",'ASS START SYNC'!E574,E570+1),"")</f>
        <v/>
      </c>
      <c r="G570" s="23" t="str">
        <f>IF('ASS START SYNC'!C574="SHOW",LEFT('ASS START SYNC'!E574,B570),"")</f>
        <v/>
      </c>
      <c r="H570" s="24" t="str">
        <f>IF(AND('ASS START SYNC'!C574="SHOW",COUNTA('ASS START SYNC'!$E$8:'ASS START SYNC'!E573)=0),MID('ASS START SYNC'!E574,B570+1,C570-B570-1),IF(AND('ASS START SYNC'!C574="SHOW",COUNTA('ASS START SYNC'!$E$8:'ASS START SYNC'!E573)&lt;&gt;0),I569,""))</f>
        <v/>
      </c>
      <c r="I570" s="24" t="str">
        <f>IF('ASS START SYNC'!C574="SHOW",MID('ASS START SYNC'!E574,C570+1,D570-C570-1),I569)</f>
        <v/>
      </c>
      <c r="J570" s="23" t="str">
        <f>IF('ASS START SYNC'!C574="SHOW",MID('ASS START SYNC'!E574,D570+1,F570-D570+1),"")</f>
        <v/>
      </c>
      <c r="K570" s="23" t="str">
        <f>IF('ASS START SYNC'!C574="SHOW",MID('ASS START SYNC'!E574,F570+2,1000),"")</f>
        <v/>
      </c>
      <c r="M570" s="24"/>
      <c r="N570" s="26">
        <v>567</v>
      </c>
      <c r="O570" s="24" t="str">
        <f>IF('ASS END SYNC'!C574="SHOW",FIND(",",'ASS END SYNC'!E574,1),"")</f>
        <v/>
      </c>
      <c r="P570" s="24" t="str">
        <f>IF('ASS END SYNC'!C574="SHOW",FIND(",",'ASS END SYNC'!E574,O570+1),"")</f>
        <v/>
      </c>
      <c r="Q570" s="24" t="str">
        <f>IF('ASS END SYNC'!C574="SHOW",FIND(",",'ASS END SYNC'!E574,P570+1),"")</f>
        <v/>
      </c>
      <c r="R570" s="25" t="str">
        <f>IF('ASS END SYNC'!C574="SHOW",FIND(",,",'ASS END SYNC'!E574,1),"")</f>
        <v/>
      </c>
      <c r="S570" s="25" t="str">
        <f>IF('ASS END SYNC'!C574="SHOW",FIND(",,",'ASS END SYNC'!E574,R570+1),"")</f>
        <v/>
      </c>
      <c r="T570" s="23" t="str">
        <f>IF('ASS END SYNC'!C574="SHOW",LEFT('ASS END SYNC'!E574,O570),"")</f>
        <v/>
      </c>
      <c r="U570" s="24" t="str">
        <f>IF('ASS END SYNC'!C574="SHOW",MID('ASS END SYNC'!E574,O570+1,P570-O570-1),"")</f>
        <v/>
      </c>
      <c r="V570" s="24" t="str">
        <f>IF(AND('ASS END SYNC'!C574="SHOW",'ASS END SYNC'!C575="SHOW"),U571,IF(AND('ASS END SYNC'!C574="SHOW",'ASS END SYNC'!C575&lt;&gt;"SHOW"),MID('ASS END SYNC'!E574,O570+1,P570-O570-1),""))</f>
        <v/>
      </c>
      <c r="W570" s="23" t="str">
        <f>IF('ASS END SYNC'!C574="SHOW",MID('ASS END SYNC'!E574,Q570+1,S570-Q570+1),"")</f>
        <v/>
      </c>
      <c r="X570" s="23" t="str">
        <f>IF('ASS END SYNC'!C574="SHOW",MID('ASS END SYNC'!E574,S570+2,1000),"")</f>
        <v/>
      </c>
      <c r="Z570" s="24"/>
    </row>
    <row r="571" spans="1:26" x14ac:dyDescent="0.25">
      <c r="A571" s="26">
        <v>568</v>
      </c>
      <c r="B571" s="24" t="str">
        <f>IF('ASS START SYNC'!C575="SHOW",FIND(",",'ASS START SYNC'!E575,1),"")</f>
        <v/>
      </c>
      <c r="C571" s="24" t="str">
        <f>IF('ASS START SYNC'!C575="SHOW",FIND(",",'ASS START SYNC'!E575,B571+1),"")</f>
        <v/>
      </c>
      <c r="D571" s="24" t="str">
        <f>IF('ASS START SYNC'!C575="SHOW",FIND(",",'ASS START SYNC'!E575,C571+1),"")</f>
        <v/>
      </c>
      <c r="E571" s="25" t="str">
        <f>IF('ASS START SYNC'!C575="SHOW",FIND(",,",'ASS START SYNC'!E575,1),"")</f>
        <v/>
      </c>
      <c r="F571" s="25" t="str">
        <f>IF('ASS START SYNC'!C575="SHOW",FIND(",,",'ASS START SYNC'!E575,E571+1),"")</f>
        <v/>
      </c>
      <c r="G571" s="23" t="str">
        <f>IF('ASS START SYNC'!C575="SHOW",LEFT('ASS START SYNC'!E575,B571),"")</f>
        <v/>
      </c>
      <c r="H571" s="24" t="str">
        <f>IF(AND('ASS START SYNC'!C575="SHOW",COUNTA('ASS START SYNC'!$E$8:'ASS START SYNC'!E574)=0),MID('ASS START SYNC'!E575,B571+1,C571-B571-1),IF(AND('ASS START SYNC'!C575="SHOW",COUNTA('ASS START SYNC'!$E$8:'ASS START SYNC'!E574)&lt;&gt;0),I570,""))</f>
        <v/>
      </c>
      <c r="I571" s="24" t="str">
        <f>IF('ASS START SYNC'!C575="SHOW",MID('ASS START SYNC'!E575,C571+1,D571-C571-1),I570)</f>
        <v/>
      </c>
      <c r="J571" s="23" t="str">
        <f>IF('ASS START SYNC'!C575="SHOW",MID('ASS START SYNC'!E575,D571+1,F571-D571+1),"")</f>
        <v/>
      </c>
      <c r="K571" s="23" t="str">
        <f>IF('ASS START SYNC'!C575="SHOW",MID('ASS START SYNC'!E575,F571+2,1000),"")</f>
        <v/>
      </c>
      <c r="M571" s="24"/>
      <c r="N571" s="26">
        <v>568</v>
      </c>
      <c r="O571" s="24" t="str">
        <f>IF('ASS END SYNC'!C575="SHOW",FIND(",",'ASS END SYNC'!E575,1),"")</f>
        <v/>
      </c>
      <c r="P571" s="24" t="str">
        <f>IF('ASS END SYNC'!C575="SHOW",FIND(",",'ASS END SYNC'!E575,O571+1),"")</f>
        <v/>
      </c>
      <c r="Q571" s="24" t="str">
        <f>IF('ASS END SYNC'!C575="SHOW",FIND(",",'ASS END SYNC'!E575,P571+1),"")</f>
        <v/>
      </c>
      <c r="R571" s="25" t="str">
        <f>IF('ASS END SYNC'!C575="SHOW",FIND(",,",'ASS END SYNC'!E575,1),"")</f>
        <v/>
      </c>
      <c r="S571" s="25" t="str">
        <f>IF('ASS END SYNC'!C575="SHOW",FIND(",,",'ASS END SYNC'!E575,R571+1),"")</f>
        <v/>
      </c>
      <c r="T571" s="23" t="str">
        <f>IF('ASS END SYNC'!C575="SHOW",LEFT('ASS END SYNC'!E575,O571),"")</f>
        <v/>
      </c>
      <c r="U571" s="24" t="str">
        <f>IF('ASS END SYNC'!C575="SHOW",MID('ASS END SYNC'!E575,O571+1,P571-O571-1),"")</f>
        <v/>
      </c>
      <c r="V571" s="24" t="str">
        <f>IF(AND('ASS END SYNC'!C575="SHOW",'ASS END SYNC'!C576="SHOW"),U572,IF(AND('ASS END SYNC'!C575="SHOW",'ASS END SYNC'!C576&lt;&gt;"SHOW"),MID('ASS END SYNC'!E575,O571+1,P571-O571-1),""))</f>
        <v/>
      </c>
      <c r="W571" s="23" t="str">
        <f>IF('ASS END SYNC'!C575="SHOW",MID('ASS END SYNC'!E575,Q571+1,S571-Q571+1),"")</f>
        <v/>
      </c>
      <c r="X571" s="23" t="str">
        <f>IF('ASS END SYNC'!C575="SHOW",MID('ASS END SYNC'!E575,S571+2,1000),"")</f>
        <v/>
      </c>
      <c r="Z571" s="24"/>
    </row>
    <row r="572" spans="1:26" x14ac:dyDescent="0.25">
      <c r="A572" s="26">
        <v>569</v>
      </c>
      <c r="B572" s="24" t="str">
        <f>IF('ASS START SYNC'!C576="SHOW",FIND(",",'ASS START SYNC'!E576,1),"")</f>
        <v/>
      </c>
      <c r="C572" s="24" t="str">
        <f>IF('ASS START SYNC'!C576="SHOW",FIND(",",'ASS START SYNC'!E576,B572+1),"")</f>
        <v/>
      </c>
      <c r="D572" s="24" t="str">
        <f>IF('ASS START SYNC'!C576="SHOW",FIND(",",'ASS START SYNC'!E576,C572+1),"")</f>
        <v/>
      </c>
      <c r="E572" s="25" t="str">
        <f>IF('ASS START SYNC'!C576="SHOW",FIND(",,",'ASS START SYNC'!E576,1),"")</f>
        <v/>
      </c>
      <c r="F572" s="25" t="str">
        <f>IF('ASS START SYNC'!C576="SHOW",FIND(",,",'ASS START SYNC'!E576,E572+1),"")</f>
        <v/>
      </c>
      <c r="G572" s="23" t="str">
        <f>IF('ASS START SYNC'!C576="SHOW",LEFT('ASS START SYNC'!E576,B572),"")</f>
        <v/>
      </c>
      <c r="H572" s="24" t="str">
        <f>IF(AND('ASS START SYNC'!C576="SHOW",COUNTA('ASS START SYNC'!$E$8:'ASS START SYNC'!E575)=0),MID('ASS START SYNC'!E576,B572+1,C572-B572-1),IF(AND('ASS START SYNC'!C576="SHOW",COUNTA('ASS START SYNC'!$E$8:'ASS START SYNC'!E575)&lt;&gt;0),I571,""))</f>
        <v/>
      </c>
      <c r="I572" s="24" t="str">
        <f>IF('ASS START SYNC'!C576="SHOW",MID('ASS START SYNC'!E576,C572+1,D572-C572-1),I571)</f>
        <v/>
      </c>
      <c r="J572" s="23" t="str">
        <f>IF('ASS START SYNC'!C576="SHOW",MID('ASS START SYNC'!E576,D572+1,F572-D572+1),"")</f>
        <v/>
      </c>
      <c r="K572" s="23" t="str">
        <f>IF('ASS START SYNC'!C576="SHOW",MID('ASS START SYNC'!E576,F572+2,1000),"")</f>
        <v/>
      </c>
      <c r="M572" s="24"/>
      <c r="N572" s="26">
        <v>569</v>
      </c>
      <c r="O572" s="24" t="str">
        <f>IF('ASS END SYNC'!C576="SHOW",FIND(",",'ASS END SYNC'!E576,1),"")</f>
        <v/>
      </c>
      <c r="P572" s="24" t="str">
        <f>IF('ASS END SYNC'!C576="SHOW",FIND(",",'ASS END SYNC'!E576,O572+1),"")</f>
        <v/>
      </c>
      <c r="Q572" s="24" t="str">
        <f>IF('ASS END SYNC'!C576="SHOW",FIND(",",'ASS END SYNC'!E576,P572+1),"")</f>
        <v/>
      </c>
      <c r="R572" s="25" t="str">
        <f>IF('ASS END SYNC'!C576="SHOW",FIND(",,",'ASS END SYNC'!E576,1),"")</f>
        <v/>
      </c>
      <c r="S572" s="25" t="str">
        <f>IF('ASS END SYNC'!C576="SHOW",FIND(",,",'ASS END SYNC'!E576,R572+1),"")</f>
        <v/>
      </c>
      <c r="T572" s="23" t="str">
        <f>IF('ASS END SYNC'!C576="SHOW",LEFT('ASS END SYNC'!E576,O572),"")</f>
        <v/>
      </c>
      <c r="U572" s="24" t="str">
        <f>IF('ASS END SYNC'!C576="SHOW",MID('ASS END SYNC'!E576,O572+1,P572-O572-1),"")</f>
        <v/>
      </c>
      <c r="V572" s="24" t="str">
        <f>IF(AND('ASS END SYNC'!C576="SHOW",'ASS END SYNC'!C577="SHOW"),U573,IF(AND('ASS END SYNC'!C576="SHOW",'ASS END SYNC'!C577&lt;&gt;"SHOW"),MID('ASS END SYNC'!E576,O572+1,P572-O572-1),""))</f>
        <v/>
      </c>
      <c r="W572" s="23" t="str">
        <f>IF('ASS END SYNC'!C576="SHOW",MID('ASS END SYNC'!E576,Q572+1,S572-Q572+1),"")</f>
        <v/>
      </c>
      <c r="X572" s="23" t="str">
        <f>IF('ASS END SYNC'!C576="SHOW",MID('ASS END SYNC'!E576,S572+2,1000),"")</f>
        <v/>
      </c>
      <c r="Z572" s="24"/>
    </row>
    <row r="573" spans="1:26" x14ac:dyDescent="0.25">
      <c r="A573" s="26">
        <v>570</v>
      </c>
      <c r="B573" s="24" t="str">
        <f>IF('ASS START SYNC'!C577="SHOW",FIND(",",'ASS START SYNC'!E577,1),"")</f>
        <v/>
      </c>
      <c r="C573" s="24" t="str">
        <f>IF('ASS START SYNC'!C577="SHOW",FIND(",",'ASS START SYNC'!E577,B573+1),"")</f>
        <v/>
      </c>
      <c r="D573" s="24" t="str">
        <f>IF('ASS START SYNC'!C577="SHOW",FIND(",",'ASS START SYNC'!E577,C573+1),"")</f>
        <v/>
      </c>
      <c r="E573" s="25" t="str">
        <f>IF('ASS START SYNC'!C577="SHOW",FIND(",,",'ASS START SYNC'!E577,1),"")</f>
        <v/>
      </c>
      <c r="F573" s="25" t="str">
        <f>IF('ASS START SYNC'!C577="SHOW",FIND(",,",'ASS START SYNC'!E577,E573+1),"")</f>
        <v/>
      </c>
      <c r="G573" s="23" t="str">
        <f>IF('ASS START SYNC'!C577="SHOW",LEFT('ASS START SYNC'!E577,B573),"")</f>
        <v/>
      </c>
      <c r="H573" s="24" t="str">
        <f>IF(AND('ASS START SYNC'!C577="SHOW",COUNTA('ASS START SYNC'!$E$8:'ASS START SYNC'!E576)=0),MID('ASS START SYNC'!E577,B573+1,C573-B573-1),IF(AND('ASS START SYNC'!C577="SHOW",COUNTA('ASS START SYNC'!$E$8:'ASS START SYNC'!E576)&lt;&gt;0),I572,""))</f>
        <v/>
      </c>
      <c r="I573" s="24" t="str">
        <f>IF('ASS START SYNC'!C577="SHOW",MID('ASS START SYNC'!E577,C573+1,D573-C573-1),I572)</f>
        <v/>
      </c>
      <c r="J573" s="23" t="str">
        <f>IF('ASS START SYNC'!C577="SHOW",MID('ASS START SYNC'!E577,D573+1,F573-D573+1),"")</f>
        <v/>
      </c>
      <c r="K573" s="23" t="str">
        <f>IF('ASS START SYNC'!C577="SHOW",MID('ASS START SYNC'!E577,F573+2,1000),"")</f>
        <v/>
      </c>
      <c r="M573" s="24"/>
      <c r="N573" s="26">
        <v>570</v>
      </c>
      <c r="O573" s="24" t="str">
        <f>IF('ASS END SYNC'!C577="SHOW",FIND(",",'ASS END SYNC'!E577,1),"")</f>
        <v/>
      </c>
      <c r="P573" s="24" t="str">
        <f>IF('ASS END SYNC'!C577="SHOW",FIND(",",'ASS END SYNC'!E577,O573+1),"")</f>
        <v/>
      </c>
      <c r="Q573" s="24" t="str">
        <f>IF('ASS END SYNC'!C577="SHOW",FIND(",",'ASS END SYNC'!E577,P573+1),"")</f>
        <v/>
      </c>
      <c r="R573" s="25" t="str">
        <f>IF('ASS END SYNC'!C577="SHOW",FIND(",,",'ASS END SYNC'!E577,1),"")</f>
        <v/>
      </c>
      <c r="S573" s="25" t="str">
        <f>IF('ASS END SYNC'!C577="SHOW",FIND(",,",'ASS END SYNC'!E577,R573+1),"")</f>
        <v/>
      </c>
      <c r="T573" s="23" t="str">
        <f>IF('ASS END SYNC'!C577="SHOW",LEFT('ASS END SYNC'!E577,O573),"")</f>
        <v/>
      </c>
      <c r="U573" s="24" t="str">
        <f>IF('ASS END SYNC'!C577="SHOW",MID('ASS END SYNC'!E577,O573+1,P573-O573-1),"")</f>
        <v/>
      </c>
      <c r="V573" s="24" t="str">
        <f>IF(AND('ASS END SYNC'!C577="SHOW",'ASS END SYNC'!C578="SHOW"),U574,IF(AND('ASS END SYNC'!C577="SHOW",'ASS END SYNC'!C578&lt;&gt;"SHOW"),MID('ASS END SYNC'!E577,O573+1,P573-O573-1),""))</f>
        <v/>
      </c>
      <c r="W573" s="23" t="str">
        <f>IF('ASS END SYNC'!C577="SHOW",MID('ASS END SYNC'!E577,Q573+1,S573-Q573+1),"")</f>
        <v/>
      </c>
      <c r="X573" s="23" t="str">
        <f>IF('ASS END SYNC'!C577="SHOW",MID('ASS END SYNC'!E577,S573+2,1000),"")</f>
        <v/>
      </c>
      <c r="Z573" s="24"/>
    </row>
    <row r="574" spans="1:26" x14ac:dyDescent="0.25">
      <c r="A574" s="26">
        <v>571</v>
      </c>
      <c r="B574" s="24" t="str">
        <f>IF('ASS START SYNC'!C578="SHOW",FIND(",",'ASS START SYNC'!E578,1),"")</f>
        <v/>
      </c>
      <c r="C574" s="24" t="str">
        <f>IF('ASS START SYNC'!C578="SHOW",FIND(",",'ASS START SYNC'!E578,B574+1),"")</f>
        <v/>
      </c>
      <c r="D574" s="24" t="str">
        <f>IF('ASS START SYNC'!C578="SHOW",FIND(",",'ASS START SYNC'!E578,C574+1),"")</f>
        <v/>
      </c>
      <c r="E574" s="25" t="str">
        <f>IF('ASS START SYNC'!C578="SHOW",FIND(",,",'ASS START SYNC'!E578,1),"")</f>
        <v/>
      </c>
      <c r="F574" s="25" t="str">
        <f>IF('ASS START SYNC'!C578="SHOW",FIND(",,",'ASS START SYNC'!E578,E574+1),"")</f>
        <v/>
      </c>
      <c r="G574" s="23" t="str">
        <f>IF('ASS START SYNC'!C578="SHOW",LEFT('ASS START SYNC'!E578,B574),"")</f>
        <v/>
      </c>
      <c r="H574" s="24" t="str">
        <f>IF(AND('ASS START SYNC'!C578="SHOW",COUNTA('ASS START SYNC'!$E$8:'ASS START SYNC'!E577)=0),MID('ASS START SYNC'!E578,B574+1,C574-B574-1),IF(AND('ASS START SYNC'!C578="SHOW",COUNTA('ASS START SYNC'!$E$8:'ASS START SYNC'!E577)&lt;&gt;0),I573,""))</f>
        <v/>
      </c>
      <c r="I574" s="24" t="str">
        <f>IF('ASS START SYNC'!C578="SHOW",MID('ASS START SYNC'!E578,C574+1,D574-C574-1),I573)</f>
        <v/>
      </c>
      <c r="J574" s="23" t="str">
        <f>IF('ASS START SYNC'!C578="SHOW",MID('ASS START SYNC'!E578,D574+1,F574-D574+1),"")</f>
        <v/>
      </c>
      <c r="K574" s="23" t="str">
        <f>IF('ASS START SYNC'!C578="SHOW",MID('ASS START SYNC'!E578,F574+2,1000),"")</f>
        <v/>
      </c>
      <c r="M574" s="24"/>
      <c r="N574" s="26">
        <v>571</v>
      </c>
      <c r="O574" s="24" t="str">
        <f>IF('ASS END SYNC'!C578="SHOW",FIND(",",'ASS END SYNC'!E578,1),"")</f>
        <v/>
      </c>
      <c r="P574" s="24" t="str">
        <f>IF('ASS END SYNC'!C578="SHOW",FIND(",",'ASS END SYNC'!E578,O574+1),"")</f>
        <v/>
      </c>
      <c r="Q574" s="24" t="str">
        <f>IF('ASS END SYNC'!C578="SHOW",FIND(",",'ASS END SYNC'!E578,P574+1),"")</f>
        <v/>
      </c>
      <c r="R574" s="25" t="str">
        <f>IF('ASS END SYNC'!C578="SHOW",FIND(",,",'ASS END SYNC'!E578,1),"")</f>
        <v/>
      </c>
      <c r="S574" s="25" t="str">
        <f>IF('ASS END SYNC'!C578="SHOW",FIND(",,",'ASS END SYNC'!E578,R574+1),"")</f>
        <v/>
      </c>
      <c r="T574" s="23" t="str">
        <f>IF('ASS END SYNC'!C578="SHOW",LEFT('ASS END SYNC'!E578,O574),"")</f>
        <v/>
      </c>
      <c r="U574" s="24" t="str">
        <f>IF('ASS END SYNC'!C578="SHOW",MID('ASS END SYNC'!E578,O574+1,P574-O574-1),"")</f>
        <v/>
      </c>
      <c r="V574" s="24" t="str">
        <f>IF(AND('ASS END SYNC'!C578="SHOW",'ASS END SYNC'!C579="SHOW"),U575,IF(AND('ASS END SYNC'!C578="SHOW",'ASS END SYNC'!C579&lt;&gt;"SHOW"),MID('ASS END SYNC'!E578,O574+1,P574-O574-1),""))</f>
        <v/>
      </c>
      <c r="W574" s="23" t="str">
        <f>IF('ASS END SYNC'!C578="SHOW",MID('ASS END SYNC'!E578,Q574+1,S574-Q574+1),"")</f>
        <v/>
      </c>
      <c r="X574" s="23" t="str">
        <f>IF('ASS END SYNC'!C578="SHOW",MID('ASS END SYNC'!E578,S574+2,1000),"")</f>
        <v/>
      </c>
      <c r="Z574" s="24"/>
    </row>
    <row r="575" spans="1:26" x14ac:dyDescent="0.25">
      <c r="A575" s="26">
        <v>572</v>
      </c>
      <c r="B575" s="24" t="str">
        <f>IF('ASS START SYNC'!C579="SHOW",FIND(",",'ASS START SYNC'!E579,1),"")</f>
        <v/>
      </c>
      <c r="C575" s="24" t="str">
        <f>IF('ASS START SYNC'!C579="SHOW",FIND(",",'ASS START SYNC'!E579,B575+1),"")</f>
        <v/>
      </c>
      <c r="D575" s="24" t="str">
        <f>IF('ASS START SYNC'!C579="SHOW",FIND(",",'ASS START SYNC'!E579,C575+1),"")</f>
        <v/>
      </c>
      <c r="E575" s="25" t="str">
        <f>IF('ASS START SYNC'!C579="SHOW",FIND(",,",'ASS START SYNC'!E579,1),"")</f>
        <v/>
      </c>
      <c r="F575" s="25" t="str">
        <f>IF('ASS START SYNC'!C579="SHOW",FIND(",,",'ASS START SYNC'!E579,E575+1),"")</f>
        <v/>
      </c>
      <c r="G575" s="23" t="str">
        <f>IF('ASS START SYNC'!C579="SHOW",LEFT('ASS START SYNC'!E579,B575),"")</f>
        <v/>
      </c>
      <c r="H575" s="24" t="str">
        <f>IF(AND('ASS START SYNC'!C579="SHOW",COUNTA('ASS START SYNC'!$E$8:'ASS START SYNC'!E578)=0),MID('ASS START SYNC'!E579,B575+1,C575-B575-1),IF(AND('ASS START SYNC'!C579="SHOW",COUNTA('ASS START SYNC'!$E$8:'ASS START SYNC'!E578)&lt;&gt;0),I574,""))</f>
        <v/>
      </c>
      <c r="I575" s="24" t="str">
        <f>IF('ASS START SYNC'!C579="SHOW",MID('ASS START SYNC'!E579,C575+1,D575-C575-1),I574)</f>
        <v/>
      </c>
      <c r="J575" s="23" t="str">
        <f>IF('ASS START SYNC'!C579="SHOW",MID('ASS START SYNC'!E579,D575+1,F575-D575+1),"")</f>
        <v/>
      </c>
      <c r="K575" s="23" t="str">
        <f>IF('ASS START SYNC'!C579="SHOW",MID('ASS START SYNC'!E579,F575+2,1000),"")</f>
        <v/>
      </c>
      <c r="M575" s="24"/>
      <c r="N575" s="26">
        <v>572</v>
      </c>
      <c r="O575" s="24" t="str">
        <f>IF('ASS END SYNC'!C579="SHOW",FIND(",",'ASS END SYNC'!E579,1),"")</f>
        <v/>
      </c>
      <c r="P575" s="24" t="str">
        <f>IF('ASS END SYNC'!C579="SHOW",FIND(",",'ASS END SYNC'!E579,O575+1),"")</f>
        <v/>
      </c>
      <c r="Q575" s="24" t="str">
        <f>IF('ASS END SYNC'!C579="SHOW",FIND(",",'ASS END SYNC'!E579,P575+1),"")</f>
        <v/>
      </c>
      <c r="R575" s="25" t="str">
        <f>IF('ASS END SYNC'!C579="SHOW",FIND(",,",'ASS END SYNC'!E579,1),"")</f>
        <v/>
      </c>
      <c r="S575" s="25" t="str">
        <f>IF('ASS END SYNC'!C579="SHOW",FIND(",,",'ASS END SYNC'!E579,R575+1),"")</f>
        <v/>
      </c>
      <c r="T575" s="23" t="str">
        <f>IF('ASS END SYNC'!C579="SHOW",LEFT('ASS END SYNC'!E579,O575),"")</f>
        <v/>
      </c>
      <c r="U575" s="24" t="str">
        <f>IF('ASS END SYNC'!C579="SHOW",MID('ASS END SYNC'!E579,O575+1,P575-O575-1),"")</f>
        <v/>
      </c>
      <c r="V575" s="24" t="str">
        <f>IF(AND('ASS END SYNC'!C579="SHOW",'ASS END SYNC'!C580="SHOW"),U576,IF(AND('ASS END SYNC'!C579="SHOW",'ASS END SYNC'!C580&lt;&gt;"SHOW"),MID('ASS END SYNC'!E579,O575+1,P575-O575-1),""))</f>
        <v/>
      </c>
      <c r="W575" s="23" t="str">
        <f>IF('ASS END SYNC'!C579="SHOW",MID('ASS END SYNC'!E579,Q575+1,S575-Q575+1),"")</f>
        <v/>
      </c>
      <c r="X575" s="23" t="str">
        <f>IF('ASS END SYNC'!C579="SHOW",MID('ASS END SYNC'!E579,S575+2,1000),"")</f>
        <v/>
      </c>
      <c r="Z575" s="24"/>
    </row>
    <row r="576" spans="1:26" x14ac:dyDescent="0.25">
      <c r="A576" s="26">
        <v>573</v>
      </c>
      <c r="B576" s="24" t="str">
        <f>IF('ASS START SYNC'!C580="SHOW",FIND(",",'ASS START SYNC'!E580,1),"")</f>
        <v/>
      </c>
      <c r="C576" s="24" t="str">
        <f>IF('ASS START SYNC'!C580="SHOW",FIND(",",'ASS START SYNC'!E580,B576+1),"")</f>
        <v/>
      </c>
      <c r="D576" s="24" t="str">
        <f>IF('ASS START SYNC'!C580="SHOW",FIND(",",'ASS START SYNC'!E580,C576+1),"")</f>
        <v/>
      </c>
      <c r="E576" s="25" t="str">
        <f>IF('ASS START SYNC'!C580="SHOW",FIND(",,",'ASS START SYNC'!E580,1),"")</f>
        <v/>
      </c>
      <c r="F576" s="25" t="str">
        <f>IF('ASS START SYNC'!C580="SHOW",FIND(",,",'ASS START SYNC'!E580,E576+1),"")</f>
        <v/>
      </c>
      <c r="G576" s="23" t="str">
        <f>IF('ASS START SYNC'!C580="SHOW",LEFT('ASS START SYNC'!E580,B576),"")</f>
        <v/>
      </c>
      <c r="H576" s="24" t="str">
        <f>IF(AND('ASS START SYNC'!C580="SHOW",COUNTA('ASS START SYNC'!$E$8:'ASS START SYNC'!E579)=0),MID('ASS START SYNC'!E580,B576+1,C576-B576-1),IF(AND('ASS START SYNC'!C580="SHOW",COUNTA('ASS START SYNC'!$E$8:'ASS START SYNC'!E579)&lt;&gt;0),I575,""))</f>
        <v/>
      </c>
      <c r="I576" s="24" t="str">
        <f>IF('ASS START SYNC'!C580="SHOW",MID('ASS START SYNC'!E580,C576+1,D576-C576-1),I575)</f>
        <v/>
      </c>
      <c r="J576" s="23" t="str">
        <f>IF('ASS START SYNC'!C580="SHOW",MID('ASS START SYNC'!E580,D576+1,F576-D576+1),"")</f>
        <v/>
      </c>
      <c r="K576" s="23" t="str">
        <f>IF('ASS START SYNC'!C580="SHOW",MID('ASS START SYNC'!E580,F576+2,1000),"")</f>
        <v/>
      </c>
      <c r="M576" s="24"/>
      <c r="N576" s="26">
        <v>573</v>
      </c>
      <c r="O576" s="24" t="str">
        <f>IF('ASS END SYNC'!C580="SHOW",FIND(",",'ASS END SYNC'!E580,1),"")</f>
        <v/>
      </c>
      <c r="P576" s="24" t="str">
        <f>IF('ASS END SYNC'!C580="SHOW",FIND(",",'ASS END SYNC'!E580,O576+1),"")</f>
        <v/>
      </c>
      <c r="Q576" s="24" t="str">
        <f>IF('ASS END SYNC'!C580="SHOW",FIND(",",'ASS END SYNC'!E580,P576+1),"")</f>
        <v/>
      </c>
      <c r="R576" s="25" t="str">
        <f>IF('ASS END SYNC'!C580="SHOW",FIND(",,",'ASS END SYNC'!E580,1),"")</f>
        <v/>
      </c>
      <c r="S576" s="25" t="str">
        <f>IF('ASS END SYNC'!C580="SHOW",FIND(",,",'ASS END SYNC'!E580,R576+1),"")</f>
        <v/>
      </c>
      <c r="T576" s="23" t="str">
        <f>IF('ASS END SYNC'!C580="SHOW",LEFT('ASS END SYNC'!E580,O576),"")</f>
        <v/>
      </c>
      <c r="U576" s="24" t="str">
        <f>IF('ASS END SYNC'!C580="SHOW",MID('ASS END SYNC'!E580,O576+1,P576-O576-1),"")</f>
        <v/>
      </c>
      <c r="V576" s="24" t="str">
        <f>IF(AND('ASS END SYNC'!C580="SHOW",'ASS END SYNC'!C581="SHOW"),U577,IF(AND('ASS END SYNC'!C580="SHOW",'ASS END SYNC'!C581&lt;&gt;"SHOW"),MID('ASS END SYNC'!E580,O576+1,P576-O576-1),""))</f>
        <v/>
      </c>
      <c r="W576" s="23" t="str">
        <f>IF('ASS END SYNC'!C580="SHOW",MID('ASS END SYNC'!E580,Q576+1,S576-Q576+1),"")</f>
        <v/>
      </c>
      <c r="X576" s="23" t="str">
        <f>IF('ASS END SYNC'!C580="SHOW",MID('ASS END SYNC'!E580,S576+2,1000),"")</f>
        <v/>
      </c>
      <c r="Z576" s="24"/>
    </row>
    <row r="577" spans="1:26" x14ac:dyDescent="0.25">
      <c r="A577" s="26">
        <v>574</v>
      </c>
      <c r="B577" s="24" t="str">
        <f>IF('ASS START SYNC'!C581="SHOW",FIND(",",'ASS START SYNC'!E581,1),"")</f>
        <v/>
      </c>
      <c r="C577" s="24" t="str">
        <f>IF('ASS START SYNC'!C581="SHOW",FIND(",",'ASS START SYNC'!E581,B577+1),"")</f>
        <v/>
      </c>
      <c r="D577" s="24" t="str">
        <f>IF('ASS START SYNC'!C581="SHOW",FIND(",",'ASS START SYNC'!E581,C577+1),"")</f>
        <v/>
      </c>
      <c r="E577" s="25" t="str">
        <f>IF('ASS START SYNC'!C581="SHOW",FIND(",,",'ASS START SYNC'!E581,1),"")</f>
        <v/>
      </c>
      <c r="F577" s="25" t="str">
        <f>IF('ASS START SYNC'!C581="SHOW",FIND(",,",'ASS START SYNC'!E581,E577+1),"")</f>
        <v/>
      </c>
      <c r="G577" s="23" t="str">
        <f>IF('ASS START SYNC'!C581="SHOW",LEFT('ASS START SYNC'!E581,B577),"")</f>
        <v/>
      </c>
      <c r="H577" s="24" t="str">
        <f>IF(AND('ASS START SYNC'!C581="SHOW",COUNTA('ASS START SYNC'!$E$8:'ASS START SYNC'!E580)=0),MID('ASS START SYNC'!E581,B577+1,C577-B577-1),IF(AND('ASS START SYNC'!C581="SHOW",COUNTA('ASS START SYNC'!$E$8:'ASS START SYNC'!E580)&lt;&gt;0),I576,""))</f>
        <v/>
      </c>
      <c r="I577" s="24" t="str">
        <f>IF('ASS START SYNC'!C581="SHOW",MID('ASS START SYNC'!E581,C577+1,D577-C577-1),I576)</f>
        <v/>
      </c>
      <c r="J577" s="23" t="str">
        <f>IF('ASS START SYNC'!C581="SHOW",MID('ASS START SYNC'!E581,D577+1,F577-D577+1),"")</f>
        <v/>
      </c>
      <c r="K577" s="23" t="str">
        <f>IF('ASS START SYNC'!C581="SHOW",MID('ASS START SYNC'!E581,F577+2,1000),"")</f>
        <v/>
      </c>
      <c r="M577" s="24"/>
      <c r="N577" s="26">
        <v>574</v>
      </c>
      <c r="O577" s="24" t="str">
        <f>IF('ASS END SYNC'!C581="SHOW",FIND(",",'ASS END SYNC'!E581,1),"")</f>
        <v/>
      </c>
      <c r="P577" s="24" t="str">
        <f>IF('ASS END SYNC'!C581="SHOW",FIND(",",'ASS END SYNC'!E581,O577+1),"")</f>
        <v/>
      </c>
      <c r="Q577" s="24" t="str">
        <f>IF('ASS END SYNC'!C581="SHOW",FIND(",",'ASS END SYNC'!E581,P577+1),"")</f>
        <v/>
      </c>
      <c r="R577" s="25" t="str">
        <f>IF('ASS END SYNC'!C581="SHOW",FIND(",,",'ASS END SYNC'!E581,1),"")</f>
        <v/>
      </c>
      <c r="S577" s="25" t="str">
        <f>IF('ASS END SYNC'!C581="SHOW",FIND(",,",'ASS END SYNC'!E581,R577+1),"")</f>
        <v/>
      </c>
      <c r="T577" s="23" t="str">
        <f>IF('ASS END SYNC'!C581="SHOW",LEFT('ASS END SYNC'!E581,O577),"")</f>
        <v/>
      </c>
      <c r="U577" s="24" t="str">
        <f>IF('ASS END SYNC'!C581="SHOW",MID('ASS END SYNC'!E581,O577+1,P577-O577-1),"")</f>
        <v/>
      </c>
      <c r="V577" s="24" t="str">
        <f>IF(AND('ASS END SYNC'!C581="SHOW",'ASS END SYNC'!C582="SHOW"),U578,IF(AND('ASS END SYNC'!C581="SHOW",'ASS END SYNC'!C582&lt;&gt;"SHOW"),MID('ASS END SYNC'!E581,O577+1,P577-O577-1),""))</f>
        <v/>
      </c>
      <c r="W577" s="23" t="str">
        <f>IF('ASS END SYNC'!C581="SHOW",MID('ASS END SYNC'!E581,Q577+1,S577-Q577+1),"")</f>
        <v/>
      </c>
      <c r="X577" s="23" t="str">
        <f>IF('ASS END SYNC'!C581="SHOW",MID('ASS END SYNC'!E581,S577+2,1000),"")</f>
        <v/>
      </c>
      <c r="Z577" s="24"/>
    </row>
    <row r="578" spans="1:26" x14ac:dyDescent="0.25">
      <c r="A578" s="26">
        <v>575</v>
      </c>
      <c r="B578" s="24" t="str">
        <f>IF('ASS START SYNC'!C582="SHOW",FIND(",",'ASS START SYNC'!E582,1),"")</f>
        <v/>
      </c>
      <c r="C578" s="24" t="str">
        <f>IF('ASS START SYNC'!C582="SHOW",FIND(",",'ASS START SYNC'!E582,B578+1),"")</f>
        <v/>
      </c>
      <c r="D578" s="24" t="str">
        <f>IF('ASS START SYNC'!C582="SHOW",FIND(",",'ASS START SYNC'!E582,C578+1),"")</f>
        <v/>
      </c>
      <c r="E578" s="25" t="str">
        <f>IF('ASS START SYNC'!C582="SHOW",FIND(",,",'ASS START SYNC'!E582,1),"")</f>
        <v/>
      </c>
      <c r="F578" s="25" t="str">
        <f>IF('ASS START SYNC'!C582="SHOW",FIND(",,",'ASS START SYNC'!E582,E578+1),"")</f>
        <v/>
      </c>
      <c r="G578" s="23" t="str">
        <f>IF('ASS START SYNC'!C582="SHOW",LEFT('ASS START SYNC'!E582,B578),"")</f>
        <v/>
      </c>
      <c r="H578" s="24" t="str">
        <f>IF(AND('ASS START SYNC'!C582="SHOW",COUNTA('ASS START SYNC'!$E$8:'ASS START SYNC'!E581)=0),MID('ASS START SYNC'!E582,B578+1,C578-B578-1),IF(AND('ASS START SYNC'!C582="SHOW",COUNTA('ASS START SYNC'!$E$8:'ASS START SYNC'!E581)&lt;&gt;0),I577,""))</f>
        <v/>
      </c>
      <c r="I578" s="24" t="str">
        <f>IF('ASS START SYNC'!C582="SHOW",MID('ASS START SYNC'!E582,C578+1,D578-C578-1),I577)</f>
        <v/>
      </c>
      <c r="J578" s="23" t="str">
        <f>IF('ASS START SYNC'!C582="SHOW",MID('ASS START SYNC'!E582,D578+1,F578-D578+1),"")</f>
        <v/>
      </c>
      <c r="K578" s="23" t="str">
        <f>IF('ASS START SYNC'!C582="SHOW",MID('ASS START SYNC'!E582,F578+2,1000),"")</f>
        <v/>
      </c>
      <c r="M578" s="24"/>
      <c r="N578" s="26">
        <v>575</v>
      </c>
      <c r="O578" s="24" t="str">
        <f>IF('ASS END SYNC'!C582="SHOW",FIND(",",'ASS END SYNC'!E582,1),"")</f>
        <v/>
      </c>
      <c r="P578" s="24" t="str">
        <f>IF('ASS END SYNC'!C582="SHOW",FIND(",",'ASS END SYNC'!E582,O578+1),"")</f>
        <v/>
      </c>
      <c r="Q578" s="24" t="str">
        <f>IF('ASS END SYNC'!C582="SHOW",FIND(",",'ASS END SYNC'!E582,P578+1),"")</f>
        <v/>
      </c>
      <c r="R578" s="25" t="str">
        <f>IF('ASS END SYNC'!C582="SHOW",FIND(",,",'ASS END SYNC'!E582,1),"")</f>
        <v/>
      </c>
      <c r="S578" s="25" t="str">
        <f>IF('ASS END SYNC'!C582="SHOW",FIND(",,",'ASS END SYNC'!E582,R578+1),"")</f>
        <v/>
      </c>
      <c r="T578" s="23" t="str">
        <f>IF('ASS END SYNC'!C582="SHOW",LEFT('ASS END SYNC'!E582,O578),"")</f>
        <v/>
      </c>
      <c r="U578" s="24" t="str">
        <f>IF('ASS END SYNC'!C582="SHOW",MID('ASS END SYNC'!E582,O578+1,P578-O578-1),"")</f>
        <v/>
      </c>
      <c r="V578" s="24" t="str">
        <f>IF(AND('ASS END SYNC'!C582="SHOW",'ASS END SYNC'!C583="SHOW"),U579,IF(AND('ASS END SYNC'!C582="SHOW",'ASS END SYNC'!C583&lt;&gt;"SHOW"),MID('ASS END SYNC'!E582,O578+1,P578-O578-1),""))</f>
        <v/>
      </c>
      <c r="W578" s="23" t="str">
        <f>IF('ASS END SYNC'!C582="SHOW",MID('ASS END SYNC'!E582,Q578+1,S578-Q578+1),"")</f>
        <v/>
      </c>
      <c r="X578" s="23" t="str">
        <f>IF('ASS END SYNC'!C582="SHOW",MID('ASS END SYNC'!E582,S578+2,1000),"")</f>
        <v/>
      </c>
      <c r="Z578" s="24"/>
    </row>
    <row r="579" spans="1:26" x14ac:dyDescent="0.25">
      <c r="A579" s="26">
        <v>576</v>
      </c>
      <c r="B579" s="24" t="str">
        <f>IF('ASS START SYNC'!C583="SHOW",FIND(",",'ASS START SYNC'!E583,1),"")</f>
        <v/>
      </c>
      <c r="C579" s="24" t="str">
        <f>IF('ASS START SYNC'!C583="SHOW",FIND(",",'ASS START SYNC'!E583,B579+1),"")</f>
        <v/>
      </c>
      <c r="D579" s="24" t="str">
        <f>IF('ASS START SYNC'!C583="SHOW",FIND(",",'ASS START SYNC'!E583,C579+1),"")</f>
        <v/>
      </c>
      <c r="E579" s="25" t="str">
        <f>IF('ASS START SYNC'!C583="SHOW",FIND(",,",'ASS START SYNC'!E583,1),"")</f>
        <v/>
      </c>
      <c r="F579" s="25" t="str">
        <f>IF('ASS START SYNC'!C583="SHOW",FIND(",,",'ASS START SYNC'!E583,E579+1),"")</f>
        <v/>
      </c>
      <c r="G579" s="23" t="str">
        <f>IF('ASS START SYNC'!C583="SHOW",LEFT('ASS START SYNC'!E583,B579),"")</f>
        <v/>
      </c>
      <c r="H579" s="24" t="str">
        <f>IF(AND('ASS START SYNC'!C583="SHOW",COUNTA('ASS START SYNC'!$E$8:'ASS START SYNC'!E582)=0),MID('ASS START SYNC'!E583,B579+1,C579-B579-1),IF(AND('ASS START SYNC'!C583="SHOW",COUNTA('ASS START SYNC'!$E$8:'ASS START SYNC'!E582)&lt;&gt;0),I578,""))</f>
        <v/>
      </c>
      <c r="I579" s="24" t="str">
        <f>IF('ASS START SYNC'!C583="SHOW",MID('ASS START SYNC'!E583,C579+1,D579-C579-1),I578)</f>
        <v/>
      </c>
      <c r="J579" s="23" t="str">
        <f>IF('ASS START SYNC'!C583="SHOW",MID('ASS START SYNC'!E583,D579+1,F579-D579+1),"")</f>
        <v/>
      </c>
      <c r="K579" s="23" t="str">
        <f>IF('ASS START SYNC'!C583="SHOW",MID('ASS START SYNC'!E583,F579+2,1000),"")</f>
        <v/>
      </c>
      <c r="M579" s="24"/>
      <c r="N579" s="26">
        <v>576</v>
      </c>
      <c r="O579" s="24" t="str">
        <f>IF('ASS END SYNC'!C583="SHOW",FIND(",",'ASS END SYNC'!E583,1),"")</f>
        <v/>
      </c>
      <c r="P579" s="24" t="str">
        <f>IF('ASS END SYNC'!C583="SHOW",FIND(",",'ASS END SYNC'!E583,O579+1),"")</f>
        <v/>
      </c>
      <c r="Q579" s="24" t="str">
        <f>IF('ASS END SYNC'!C583="SHOW",FIND(",",'ASS END SYNC'!E583,P579+1),"")</f>
        <v/>
      </c>
      <c r="R579" s="25" t="str">
        <f>IF('ASS END SYNC'!C583="SHOW",FIND(",,",'ASS END SYNC'!E583,1),"")</f>
        <v/>
      </c>
      <c r="S579" s="25" t="str">
        <f>IF('ASS END SYNC'!C583="SHOW",FIND(",,",'ASS END SYNC'!E583,R579+1),"")</f>
        <v/>
      </c>
      <c r="T579" s="23" t="str">
        <f>IF('ASS END SYNC'!C583="SHOW",LEFT('ASS END SYNC'!E583,O579),"")</f>
        <v/>
      </c>
      <c r="U579" s="24" t="str">
        <f>IF('ASS END SYNC'!C583="SHOW",MID('ASS END SYNC'!E583,O579+1,P579-O579-1),"")</f>
        <v/>
      </c>
      <c r="V579" s="24" t="str">
        <f>IF(AND('ASS END SYNC'!C583="SHOW",'ASS END SYNC'!C584="SHOW"),U580,IF(AND('ASS END SYNC'!C583="SHOW",'ASS END SYNC'!C584&lt;&gt;"SHOW"),MID('ASS END SYNC'!E583,O579+1,P579-O579-1),""))</f>
        <v/>
      </c>
      <c r="W579" s="23" t="str">
        <f>IF('ASS END SYNC'!C583="SHOW",MID('ASS END SYNC'!E583,Q579+1,S579-Q579+1),"")</f>
        <v/>
      </c>
      <c r="X579" s="23" t="str">
        <f>IF('ASS END SYNC'!C583="SHOW",MID('ASS END SYNC'!E583,S579+2,1000),"")</f>
        <v/>
      </c>
      <c r="Z579" s="24"/>
    </row>
    <row r="580" spans="1:26" x14ac:dyDescent="0.25">
      <c r="A580" s="26">
        <v>577</v>
      </c>
      <c r="B580" s="24" t="str">
        <f>IF('ASS START SYNC'!C584="SHOW",FIND(",",'ASS START SYNC'!E584,1),"")</f>
        <v/>
      </c>
      <c r="C580" s="24" t="str">
        <f>IF('ASS START SYNC'!C584="SHOW",FIND(",",'ASS START SYNC'!E584,B580+1),"")</f>
        <v/>
      </c>
      <c r="D580" s="24" t="str">
        <f>IF('ASS START SYNC'!C584="SHOW",FIND(",",'ASS START SYNC'!E584,C580+1),"")</f>
        <v/>
      </c>
      <c r="E580" s="25" t="str">
        <f>IF('ASS START SYNC'!C584="SHOW",FIND(",,",'ASS START SYNC'!E584,1),"")</f>
        <v/>
      </c>
      <c r="F580" s="25" t="str">
        <f>IF('ASS START SYNC'!C584="SHOW",FIND(",,",'ASS START SYNC'!E584,E580+1),"")</f>
        <v/>
      </c>
      <c r="G580" s="23" t="str">
        <f>IF('ASS START SYNC'!C584="SHOW",LEFT('ASS START SYNC'!E584,B580),"")</f>
        <v/>
      </c>
      <c r="H580" s="24" t="str">
        <f>IF(AND('ASS START SYNC'!C584="SHOW",COUNTA('ASS START SYNC'!$E$8:'ASS START SYNC'!E583)=0),MID('ASS START SYNC'!E584,B580+1,C580-B580-1),IF(AND('ASS START SYNC'!C584="SHOW",COUNTA('ASS START SYNC'!$E$8:'ASS START SYNC'!E583)&lt;&gt;0),I579,""))</f>
        <v/>
      </c>
      <c r="I580" s="24" t="str">
        <f>IF('ASS START SYNC'!C584="SHOW",MID('ASS START SYNC'!E584,C580+1,D580-C580-1),I579)</f>
        <v/>
      </c>
      <c r="J580" s="23" t="str">
        <f>IF('ASS START SYNC'!C584="SHOW",MID('ASS START SYNC'!E584,D580+1,F580-D580+1),"")</f>
        <v/>
      </c>
      <c r="K580" s="23" t="str">
        <f>IF('ASS START SYNC'!C584="SHOW",MID('ASS START SYNC'!E584,F580+2,1000),"")</f>
        <v/>
      </c>
      <c r="M580" s="24"/>
      <c r="N580" s="26">
        <v>577</v>
      </c>
      <c r="O580" s="24" t="str">
        <f>IF('ASS END SYNC'!C584="SHOW",FIND(",",'ASS END SYNC'!E584,1),"")</f>
        <v/>
      </c>
      <c r="P580" s="24" t="str">
        <f>IF('ASS END SYNC'!C584="SHOW",FIND(",",'ASS END SYNC'!E584,O580+1),"")</f>
        <v/>
      </c>
      <c r="Q580" s="24" t="str">
        <f>IF('ASS END SYNC'!C584="SHOW",FIND(",",'ASS END SYNC'!E584,P580+1),"")</f>
        <v/>
      </c>
      <c r="R580" s="25" t="str">
        <f>IF('ASS END SYNC'!C584="SHOW",FIND(",,",'ASS END SYNC'!E584,1),"")</f>
        <v/>
      </c>
      <c r="S580" s="25" t="str">
        <f>IF('ASS END SYNC'!C584="SHOW",FIND(",,",'ASS END SYNC'!E584,R580+1),"")</f>
        <v/>
      </c>
      <c r="T580" s="23" t="str">
        <f>IF('ASS END SYNC'!C584="SHOW",LEFT('ASS END SYNC'!E584,O580),"")</f>
        <v/>
      </c>
      <c r="U580" s="24" t="str">
        <f>IF('ASS END SYNC'!C584="SHOW",MID('ASS END SYNC'!E584,O580+1,P580-O580-1),"")</f>
        <v/>
      </c>
      <c r="V580" s="24" t="str">
        <f>IF(AND('ASS END SYNC'!C584="SHOW",'ASS END SYNC'!C585="SHOW"),U581,IF(AND('ASS END SYNC'!C584="SHOW",'ASS END SYNC'!C585&lt;&gt;"SHOW"),MID('ASS END SYNC'!E584,O580+1,P580-O580-1),""))</f>
        <v/>
      </c>
      <c r="W580" s="23" t="str">
        <f>IF('ASS END SYNC'!C584="SHOW",MID('ASS END SYNC'!E584,Q580+1,S580-Q580+1),"")</f>
        <v/>
      </c>
      <c r="X580" s="23" t="str">
        <f>IF('ASS END SYNC'!C584="SHOW",MID('ASS END SYNC'!E584,S580+2,1000),"")</f>
        <v/>
      </c>
      <c r="Z580" s="24"/>
    </row>
    <row r="581" spans="1:26" x14ac:dyDescent="0.25">
      <c r="A581" s="26">
        <v>578</v>
      </c>
      <c r="B581" s="24" t="str">
        <f>IF('ASS START SYNC'!C585="SHOW",FIND(",",'ASS START SYNC'!E585,1),"")</f>
        <v/>
      </c>
      <c r="C581" s="24" t="str">
        <f>IF('ASS START SYNC'!C585="SHOW",FIND(",",'ASS START SYNC'!E585,B581+1),"")</f>
        <v/>
      </c>
      <c r="D581" s="24" t="str">
        <f>IF('ASS START SYNC'!C585="SHOW",FIND(",",'ASS START SYNC'!E585,C581+1),"")</f>
        <v/>
      </c>
      <c r="E581" s="25" t="str">
        <f>IF('ASS START SYNC'!C585="SHOW",FIND(",,",'ASS START SYNC'!E585,1),"")</f>
        <v/>
      </c>
      <c r="F581" s="25" t="str">
        <f>IF('ASS START SYNC'!C585="SHOW",FIND(",,",'ASS START SYNC'!E585,E581+1),"")</f>
        <v/>
      </c>
      <c r="G581" s="23" t="str">
        <f>IF('ASS START SYNC'!C585="SHOW",LEFT('ASS START SYNC'!E585,B581),"")</f>
        <v/>
      </c>
      <c r="H581" s="24" t="str">
        <f>IF(AND('ASS START SYNC'!C585="SHOW",COUNTA('ASS START SYNC'!$E$8:'ASS START SYNC'!E584)=0),MID('ASS START SYNC'!E585,B581+1,C581-B581-1),IF(AND('ASS START SYNC'!C585="SHOW",COUNTA('ASS START SYNC'!$E$8:'ASS START SYNC'!E584)&lt;&gt;0),I580,""))</f>
        <v/>
      </c>
      <c r="I581" s="24" t="str">
        <f>IF('ASS START SYNC'!C585="SHOW",MID('ASS START SYNC'!E585,C581+1,D581-C581-1),I580)</f>
        <v/>
      </c>
      <c r="J581" s="23" t="str">
        <f>IF('ASS START SYNC'!C585="SHOW",MID('ASS START SYNC'!E585,D581+1,F581-D581+1),"")</f>
        <v/>
      </c>
      <c r="K581" s="23" t="str">
        <f>IF('ASS START SYNC'!C585="SHOW",MID('ASS START SYNC'!E585,F581+2,1000),"")</f>
        <v/>
      </c>
      <c r="M581" s="24"/>
      <c r="N581" s="26">
        <v>578</v>
      </c>
      <c r="O581" s="24" t="str">
        <f>IF('ASS END SYNC'!C585="SHOW",FIND(",",'ASS END SYNC'!E585,1),"")</f>
        <v/>
      </c>
      <c r="P581" s="24" t="str">
        <f>IF('ASS END SYNC'!C585="SHOW",FIND(",",'ASS END SYNC'!E585,O581+1),"")</f>
        <v/>
      </c>
      <c r="Q581" s="24" t="str">
        <f>IF('ASS END SYNC'!C585="SHOW",FIND(",",'ASS END SYNC'!E585,P581+1),"")</f>
        <v/>
      </c>
      <c r="R581" s="25" t="str">
        <f>IF('ASS END SYNC'!C585="SHOW",FIND(",,",'ASS END SYNC'!E585,1),"")</f>
        <v/>
      </c>
      <c r="S581" s="25" t="str">
        <f>IF('ASS END SYNC'!C585="SHOW",FIND(",,",'ASS END SYNC'!E585,R581+1),"")</f>
        <v/>
      </c>
      <c r="T581" s="23" t="str">
        <f>IF('ASS END SYNC'!C585="SHOW",LEFT('ASS END SYNC'!E585,O581),"")</f>
        <v/>
      </c>
      <c r="U581" s="24" t="str">
        <f>IF('ASS END SYNC'!C585="SHOW",MID('ASS END SYNC'!E585,O581+1,P581-O581-1),"")</f>
        <v/>
      </c>
      <c r="V581" s="24" t="str">
        <f>IF(AND('ASS END SYNC'!C585="SHOW",'ASS END SYNC'!C586="SHOW"),U582,IF(AND('ASS END SYNC'!C585="SHOW",'ASS END SYNC'!C586&lt;&gt;"SHOW"),MID('ASS END SYNC'!E585,O581+1,P581-O581-1),""))</f>
        <v/>
      </c>
      <c r="W581" s="23" t="str">
        <f>IF('ASS END SYNC'!C585="SHOW",MID('ASS END SYNC'!E585,Q581+1,S581-Q581+1),"")</f>
        <v/>
      </c>
      <c r="X581" s="23" t="str">
        <f>IF('ASS END SYNC'!C585="SHOW",MID('ASS END SYNC'!E585,S581+2,1000),"")</f>
        <v/>
      </c>
      <c r="Z581" s="24"/>
    </row>
    <row r="582" spans="1:26" x14ac:dyDescent="0.25">
      <c r="A582" s="26">
        <v>579</v>
      </c>
      <c r="B582" s="24" t="str">
        <f>IF('ASS START SYNC'!C586="SHOW",FIND(",",'ASS START SYNC'!E586,1),"")</f>
        <v/>
      </c>
      <c r="C582" s="24" t="str">
        <f>IF('ASS START SYNC'!C586="SHOW",FIND(",",'ASS START SYNC'!E586,B582+1),"")</f>
        <v/>
      </c>
      <c r="D582" s="24" t="str">
        <f>IF('ASS START SYNC'!C586="SHOW",FIND(",",'ASS START SYNC'!E586,C582+1),"")</f>
        <v/>
      </c>
      <c r="E582" s="25" t="str">
        <f>IF('ASS START SYNC'!C586="SHOW",FIND(",,",'ASS START SYNC'!E586,1),"")</f>
        <v/>
      </c>
      <c r="F582" s="25" t="str">
        <f>IF('ASS START SYNC'!C586="SHOW",FIND(",,",'ASS START SYNC'!E586,E582+1),"")</f>
        <v/>
      </c>
      <c r="G582" s="23" t="str">
        <f>IF('ASS START SYNC'!C586="SHOW",LEFT('ASS START SYNC'!E586,B582),"")</f>
        <v/>
      </c>
      <c r="H582" s="24" t="str">
        <f>IF(AND('ASS START SYNC'!C586="SHOW",COUNTA('ASS START SYNC'!$E$8:'ASS START SYNC'!E585)=0),MID('ASS START SYNC'!E586,B582+1,C582-B582-1),IF(AND('ASS START SYNC'!C586="SHOW",COUNTA('ASS START SYNC'!$E$8:'ASS START SYNC'!E585)&lt;&gt;0),I581,""))</f>
        <v/>
      </c>
      <c r="I582" s="24" t="str">
        <f>IF('ASS START SYNC'!C586="SHOW",MID('ASS START SYNC'!E586,C582+1,D582-C582-1),I581)</f>
        <v/>
      </c>
      <c r="J582" s="23" t="str">
        <f>IF('ASS START SYNC'!C586="SHOW",MID('ASS START SYNC'!E586,D582+1,F582-D582+1),"")</f>
        <v/>
      </c>
      <c r="K582" s="23" t="str">
        <f>IF('ASS START SYNC'!C586="SHOW",MID('ASS START SYNC'!E586,F582+2,1000),"")</f>
        <v/>
      </c>
      <c r="M582" s="24"/>
      <c r="N582" s="26">
        <v>579</v>
      </c>
      <c r="O582" s="24" t="str">
        <f>IF('ASS END SYNC'!C586="SHOW",FIND(",",'ASS END SYNC'!E586,1),"")</f>
        <v/>
      </c>
      <c r="P582" s="24" t="str">
        <f>IF('ASS END SYNC'!C586="SHOW",FIND(",",'ASS END SYNC'!E586,O582+1),"")</f>
        <v/>
      </c>
      <c r="Q582" s="24" t="str">
        <f>IF('ASS END SYNC'!C586="SHOW",FIND(",",'ASS END SYNC'!E586,P582+1),"")</f>
        <v/>
      </c>
      <c r="R582" s="25" t="str">
        <f>IF('ASS END SYNC'!C586="SHOW",FIND(",,",'ASS END SYNC'!E586,1),"")</f>
        <v/>
      </c>
      <c r="S582" s="25" t="str">
        <f>IF('ASS END SYNC'!C586="SHOW",FIND(",,",'ASS END SYNC'!E586,R582+1),"")</f>
        <v/>
      </c>
      <c r="T582" s="23" t="str">
        <f>IF('ASS END SYNC'!C586="SHOW",LEFT('ASS END SYNC'!E586,O582),"")</f>
        <v/>
      </c>
      <c r="U582" s="24" t="str">
        <f>IF('ASS END SYNC'!C586="SHOW",MID('ASS END SYNC'!E586,O582+1,P582-O582-1),"")</f>
        <v/>
      </c>
      <c r="V582" s="24" t="str">
        <f>IF(AND('ASS END SYNC'!C586="SHOW",'ASS END SYNC'!C587="SHOW"),U583,IF(AND('ASS END SYNC'!C586="SHOW",'ASS END SYNC'!C587&lt;&gt;"SHOW"),MID('ASS END SYNC'!E586,O582+1,P582-O582-1),""))</f>
        <v/>
      </c>
      <c r="W582" s="23" t="str">
        <f>IF('ASS END SYNC'!C586="SHOW",MID('ASS END SYNC'!E586,Q582+1,S582-Q582+1),"")</f>
        <v/>
      </c>
      <c r="X582" s="23" t="str">
        <f>IF('ASS END SYNC'!C586="SHOW",MID('ASS END SYNC'!E586,S582+2,1000),"")</f>
        <v/>
      </c>
      <c r="Z582" s="24"/>
    </row>
    <row r="583" spans="1:26" x14ac:dyDescent="0.25">
      <c r="A583" s="26">
        <v>580</v>
      </c>
      <c r="B583" s="24" t="str">
        <f>IF('ASS START SYNC'!C587="SHOW",FIND(",",'ASS START SYNC'!E587,1),"")</f>
        <v/>
      </c>
      <c r="C583" s="24" t="str">
        <f>IF('ASS START SYNC'!C587="SHOW",FIND(",",'ASS START SYNC'!E587,B583+1),"")</f>
        <v/>
      </c>
      <c r="D583" s="24" t="str">
        <f>IF('ASS START SYNC'!C587="SHOW",FIND(",",'ASS START SYNC'!E587,C583+1),"")</f>
        <v/>
      </c>
      <c r="E583" s="25" t="str">
        <f>IF('ASS START SYNC'!C587="SHOW",FIND(",,",'ASS START SYNC'!E587,1),"")</f>
        <v/>
      </c>
      <c r="F583" s="25" t="str">
        <f>IF('ASS START SYNC'!C587="SHOW",FIND(",,",'ASS START SYNC'!E587,E583+1),"")</f>
        <v/>
      </c>
      <c r="G583" s="23" t="str">
        <f>IF('ASS START SYNC'!C587="SHOW",LEFT('ASS START SYNC'!E587,B583),"")</f>
        <v/>
      </c>
      <c r="H583" s="24" t="str">
        <f>IF(AND('ASS START SYNC'!C587="SHOW",COUNTA('ASS START SYNC'!$E$8:'ASS START SYNC'!E586)=0),MID('ASS START SYNC'!E587,B583+1,C583-B583-1),IF(AND('ASS START SYNC'!C587="SHOW",COUNTA('ASS START SYNC'!$E$8:'ASS START SYNC'!E586)&lt;&gt;0),I582,""))</f>
        <v/>
      </c>
      <c r="I583" s="24" t="str">
        <f>IF('ASS START SYNC'!C587="SHOW",MID('ASS START SYNC'!E587,C583+1,D583-C583-1),I582)</f>
        <v/>
      </c>
      <c r="J583" s="23" t="str">
        <f>IF('ASS START SYNC'!C587="SHOW",MID('ASS START SYNC'!E587,D583+1,F583-D583+1),"")</f>
        <v/>
      </c>
      <c r="K583" s="23" t="str">
        <f>IF('ASS START SYNC'!C587="SHOW",MID('ASS START SYNC'!E587,F583+2,1000),"")</f>
        <v/>
      </c>
      <c r="M583" s="24"/>
      <c r="N583" s="26">
        <v>580</v>
      </c>
      <c r="O583" s="24" t="str">
        <f>IF('ASS END SYNC'!C587="SHOW",FIND(",",'ASS END SYNC'!E587,1),"")</f>
        <v/>
      </c>
      <c r="P583" s="24" t="str">
        <f>IF('ASS END SYNC'!C587="SHOW",FIND(",",'ASS END SYNC'!E587,O583+1),"")</f>
        <v/>
      </c>
      <c r="Q583" s="24" t="str">
        <f>IF('ASS END SYNC'!C587="SHOW",FIND(",",'ASS END SYNC'!E587,P583+1),"")</f>
        <v/>
      </c>
      <c r="R583" s="25" t="str">
        <f>IF('ASS END SYNC'!C587="SHOW",FIND(",,",'ASS END SYNC'!E587,1),"")</f>
        <v/>
      </c>
      <c r="S583" s="25" t="str">
        <f>IF('ASS END SYNC'!C587="SHOW",FIND(",,",'ASS END SYNC'!E587,R583+1),"")</f>
        <v/>
      </c>
      <c r="T583" s="23" t="str">
        <f>IF('ASS END SYNC'!C587="SHOW",LEFT('ASS END SYNC'!E587,O583),"")</f>
        <v/>
      </c>
      <c r="U583" s="24" t="str">
        <f>IF('ASS END SYNC'!C587="SHOW",MID('ASS END SYNC'!E587,O583+1,P583-O583-1),"")</f>
        <v/>
      </c>
      <c r="V583" s="24" t="str">
        <f>IF(AND('ASS END SYNC'!C587="SHOW",'ASS END SYNC'!C588="SHOW"),U584,IF(AND('ASS END SYNC'!C587="SHOW",'ASS END SYNC'!C588&lt;&gt;"SHOW"),MID('ASS END SYNC'!E587,O583+1,P583-O583-1),""))</f>
        <v/>
      </c>
      <c r="W583" s="23" t="str">
        <f>IF('ASS END SYNC'!C587="SHOW",MID('ASS END SYNC'!E587,Q583+1,S583-Q583+1),"")</f>
        <v/>
      </c>
      <c r="X583" s="23" t="str">
        <f>IF('ASS END SYNC'!C587="SHOW",MID('ASS END SYNC'!E587,S583+2,1000),"")</f>
        <v/>
      </c>
      <c r="Z583" s="24"/>
    </row>
    <row r="584" spans="1:26" x14ac:dyDescent="0.25">
      <c r="A584" s="26">
        <v>581</v>
      </c>
      <c r="B584" s="24" t="str">
        <f>IF('ASS START SYNC'!C588="SHOW",FIND(",",'ASS START SYNC'!E588,1),"")</f>
        <v/>
      </c>
      <c r="C584" s="24" t="str">
        <f>IF('ASS START SYNC'!C588="SHOW",FIND(",",'ASS START SYNC'!E588,B584+1),"")</f>
        <v/>
      </c>
      <c r="D584" s="24" t="str">
        <f>IF('ASS START SYNC'!C588="SHOW",FIND(",",'ASS START SYNC'!E588,C584+1),"")</f>
        <v/>
      </c>
      <c r="E584" s="25" t="str">
        <f>IF('ASS START SYNC'!C588="SHOW",FIND(",,",'ASS START SYNC'!E588,1),"")</f>
        <v/>
      </c>
      <c r="F584" s="25" t="str">
        <f>IF('ASS START SYNC'!C588="SHOW",FIND(",,",'ASS START SYNC'!E588,E584+1),"")</f>
        <v/>
      </c>
      <c r="G584" s="23" t="str">
        <f>IF('ASS START SYNC'!C588="SHOW",LEFT('ASS START SYNC'!E588,B584),"")</f>
        <v/>
      </c>
      <c r="H584" s="24" t="str">
        <f>IF(AND('ASS START SYNC'!C588="SHOW",COUNTA('ASS START SYNC'!$E$8:'ASS START SYNC'!E587)=0),MID('ASS START SYNC'!E588,B584+1,C584-B584-1),IF(AND('ASS START SYNC'!C588="SHOW",COUNTA('ASS START SYNC'!$E$8:'ASS START SYNC'!E587)&lt;&gt;0),I583,""))</f>
        <v/>
      </c>
      <c r="I584" s="24" t="str">
        <f>IF('ASS START SYNC'!C588="SHOW",MID('ASS START SYNC'!E588,C584+1,D584-C584-1),I583)</f>
        <v/>
      </c>
      <c r="J584" s="23" t="str">
        <f>IF('ASS START SYNC'!C588="SHOW",MID('ASS START SYNC'!E588,D584+1,F584-D584+1),"")</f>
        <v/>
      </c>
      <c r="K584" s="23" t="str">
        <f>IF('ASS START SYNC'!C588="SHOW",MID('ASS START SYNC'!E588,F584+2,1000),"")</f>
        <v/>
      </c>
      <c r="M584" s="24"/>
      <c r="N584" s="26">
        <v>581</v>
      </c>
      <c r="O584" s="24" t="str">
        <f>IF('ASS END SYNC'!C588="SHOW",FIND(",",'ASS END SYNC'!E588,1),"")</f>
        <v/>
      </c>
      <c r="P584" s="24" t="str">
        <f>IF('ASS END SYNC'!C588="SHOW",FIND(",",'ASS END SYNC'!E588,O584+1),"")</f>
        <v/>
      </c>
      <c r="Q584" s="24" t="str">
        <f>IF('ASS END SYNC'!C588="SHOW",FIND(",",'ASS END SYNC'!E588,P584+1),"")</f>
        <v/>
      </c>
      <c r="R584" s="25" t="str">
        <f>IF('ASS END SYNC'!C588="SHOW",FIND(",,",'ASS END SYNC'!E588,1),"")</f>
        <v/>
      </c>
      <c r="S584" s="25" t="str">
        <f>IF('ASS END SYNC'!C588="SHOW",FIND(",,",'ASS END SYNC'!E588,R584+1),"")</f>
        <v/>
      </c>
      <c r="T584" s="23" t="str">
        <f>IF('ASS END SYNC'!C588="SHOW",LEFT('ASS END SYNC'!E588,O584),"")</f>
        <v/>
      </c>
      <c r="U584" s="24" t="str">
        <f>IF('ASS END SYNC'!C588="SHOW",MID('ASS END SYNC'!E588,O584+1,P584-O584-1),"")</f>
        <v/>
      </c>
      <c r="V584" s="24" t="str">
        <f>IF(AND('ASS END SYNC'!C588="SHOW",'ASS END SYNC'!C589="SHOW"),U585,IF(AND('ASS END SYNC'!C588="SHOW",'ASS END SYNC'!C589&lt;&gt;"SHOW"),MID('ASS END SYNC'!E588,O584+1,P584-O584-1),""))</f>
        <v/>
      </c>
      <c r="W584" s="23" t="str">
        <f>IF('ASS END SYNC'!C588="SHOW",MID('ASS END SYNC'!E588,Q584+1,S584-Q584+1),"")</f>
        <v/>
      </c>
      <c r="X584" s="23" t="str">
        <f>IF('ASS END SYNC'!C588="SHOW",MID('ASS END SYNC'!E588,S584+2,1000),"")</f>
        <v/>
      </c>
      <c r="Z584" s="24"/>
    </row>
    <row r="585" spans="1:26" x14ac:dyDescent="0.25">
      <c r="A585" s="26">
        <v>582</v>
      </c>
      <c r="B585" s="24" t="str">
        <f>IF('ASS START SYNC'!C589="SHOW",FIND(",",'ASS START SYNC'!E589,1),"")</f>
        <v/>
      </c>
      <c r="C585" s="24" t="str">
        <f>IF('ASS START SYNC'!C589="SHOW",FIND(",",'ASS START SYNC'!E589,B585+1),"")</f>
        <v/>
      </c>
      <c r="D585" s="24" t="str">
        <f>IF('ASS START SYNC'!C589="SHOW",FIND(",",'ASS START SYNC'!E589,C585+1),"")</f>
        <v/>
      </c>
      <c r="E585" s="25" t="str">
        <f>IF('ASS START SYNC'!C589="SHOW",FIND(",,",'ASS START SYNC'!E589,1),"")</f>
        <v/>
      </c>
      <c r="F585" s="25" t="str">
        <f>IF('ASS START SYNC'!C589="SHOW",FIND(",,",'ASS START SYNC'!E589,E585+1),"")</f>
        <v/>
      </c>
      <c r="G585" s="23" t="str">
        <f>IF('ASS START SYNC'!C589="SHOW",LEFT('ASS START SYNC'!E589,B585),"")</f>
        <v/>
      </c>
      <c r="H585" s="24" t="str">
        <f>IF(AND('ASS START SYNC'!C589="SHOW",COUNTA('ASS START SYNC'!$E$8:'ASS START SYNC'!E588)=0),MID('ASS START SYNC'!E589,B585+1,C585-B585-1),IF(AND('ASS START SYNC'!C589="SHOW",COUNTA('ASS START SYNC'!$E$8:'ASS START SYNC'!E588)&lt;&gt;0),I584,""))</f>
        <v/>
      </c>
      <c r="I585" s="24" t="str">
        <f>IF('ASS START SYNC'!C589="SHOW",MID('ASS START SYNC'!E589,C585+1,D585-C585-1),I584)</f>
        <v/>
      </c>
      <c r="J585" s="23" t="str">
        <f>IF('ASS START SYNC'!C589="SHOW",MID('ASS START SYNC'!E589,D585+1,F585-D585+1),"")</f>
        <v/>
      </c>
      <c r="K585" s="23" t="str">
        <f>IF('ASS START SYNC'!C589="SHOW",MID('ASS START SYNC'!E589,F585+2,1000),"")</f>
        <v/>
      </c>
      <c r="M585" s="24"/>
      <c r="N585" s="26">
        <v>582</v>
      </c>
      <c r="O585" s="24" t="str">
        <f>IF('ASS END SYNC'!C589="SHOW",FIND(",",'ASS END SYNC'!E589,1),"")</f>
        <v/>
      </c>
      <c r="P585" s="24" t="str">
        <f>IF('ASS END SYNC'!C589="SHOW",FIND(",",'ASS END SYNC'!E589,O585+1),"")</f>
        <v/>
      </c>
      <c r="Q585" s="24" t="str">
        <f>IF('ASS END SYNC'!C589="SHOW",FIND(",",'ASS END SYNC'!E589,P585+1),"")</f>
        <v/>
      </c>
      <c r="R585" s="25" t="str">
        <f>IF('ASS END SYNC'!C589="SHOW",FIND(",,",'ASS END SYNC'!E589,1),"")</f>
        <v/>
      </c>
      <c r="S585" s="25" t="str">
        <f>IF('ASS END SYNC'!C589="SHOW",FIND(",,",'ASS END SYNC'!E589,R585+1),"")</f>
        <v/>
      </c>
      <c r="T585" s="23" t="str">
        <f>IF('ASS END SYNC'!C589="SHOW",LEFT('ASS END SYNC'!E589,O585),"")</f>
        <v/>
      </c>
      <c r="U585" s="24" t="str">
        <f>IF('ASS END SYNC'!C589="SHOW",MID('ASS END SYNC'!E589,O585+1,P585-O585-1),"")</f>
        <v/>
      </c>
      <c r="V585" s="24" t="str">
        <f>IF(AND('ASS END SYNC'!C589="SHOW",'ASS END SYNC'!C590="SHOW"),U586,IF(AND('ASS END SYNC'!C589="SHOW",'ASS END SYNC'!C590&lt;&gt;"SHOW"),MID('ASS END SYNC'!E589,O585+1,P585-O585-1),""))</f>
        <v/>
      </c>
      <c r="W585" s="23" t="str">
        <f>IF('ASS END SYNC'!C589="SHOW",MID('ASS END SYNC'!E589,Q585+1,S585-Q585+1),"")</f>
        <v/>
      </c>
      <c r="X585" s="23" t="str">
        <f>IF('ASS END SYNC'!C589="SHOW",MID('ASS END SYNC'!E589,S585+2,1000),"")</f>
        <v/>
      </c>
      <c r="Z585" s="24"/>
    </row>
    <row r="586" spans="1:26" x14ac:dyDescent="0.25">
      <c r="A586" s="26">
        <v>583</v>
      </c>
      <c r="B586" s="24" t="str">
        <f>IF('ASS START SYNC'!C590="SHOW",FIND(",",'ASS START SYNC'!E590,1),"")</f>
        <v/>
      </c>
      <c r="C586" s="24" t="str">
        <f>IF('ASS START SYNC'!C590="SHOW",FIND(",",'ASS START SYNC'!E590,B586+1),"")</f>
        <v/>
      </c>
      <c r="D586" s="24" t="str">
        <f>IF('ASS START SYNC'!C590="SHOW",FIND(",",'ASS START SYNC'!E590,C586+1),"")</f>
        <v/>
      </c>
      <c r="E586" s="25" t="str">
        <f>IF('ASS START SYNC'!C590="SHOW",FIND(",,",'ASS START SYNC'!E590,1),"")</f>
        <v/>
      </c>
      <c r="F586" s="25" t="str">
        <f>IF('ASS START SYNC'!C590="SHOW",FIND(",,",'ASS START SYNC'!E590,E586+1),"")</f>
        <v/>
      </c>
      <c r="G586" s="23" t="str">
        <f>IF('ASS START SYNC'!C590="SHOW",LEFT('ASS START SYNC'!E590,B586),"")</f>
        <v/>
      </c>
      <c r="H586" s="24" t="str">
        <f>IF(AND('ASS START SYNC'!C590="SHOW",COUNTA('ASS START SYNC'!$E$8:'ASS START SYNC'!E589)=0),MID('ASS START SYNC'!E590,B586+1,C586-B586-1),IF(AND('ASS START SYNC'!C590="SHOW",COUNTA('ASS START SYNC'!$E$8:'ASS START SYNC'!E589)&lt;&gt;0),I585,""))</f>
        <v/>
      </c>
      <c r="I586" s="24" t="str">
        <f>IF('ASS START SYNC'!C590="SHOW",MID('ASS START SYNC'!E590,C586+1,D586-C586-1),I585)</f>
        <v/>
      </c>
      <c r="J586" s="23" t="str">
        <f>IF('ASS START SYNC'!C590="SHOW",MID('ASS START SYNC'!E590,D586+1,F586-D586+1),"")</f>
        <v/>
      </c>
      <c r="K586" s="23" t="str">
        <f>IF('ASS START SYNC'!C590="SHOW",MID('ASS START SYNC'!E590,F586+2,1000),"")</f>
        <v/>
      </c>
      <c r="M586" s="24"/>
      <c r="N586" s="26">
        <v>583</v>
      </c>
      <c r="O586" s="24" t="str">
        <f>IF('ASS END SYNC'!C590="SHOW",FIND(",",'ASS END SYNC'!E590,1),"")</f>
        <v/>
      </c>
      <c r="P586" s="24" t="str">
        <f>IF('ASS END SYNC'!C590="SHOW",FIND(",",'ASS END SYNC'!E590,O586+1),"")</f>
        <v/>
      </c>
      <c r="Q586" s="24" t="str">
        <f>IF('ASS END SYNC'!C590="SHOW",FIND(",",'ASS END SYNC'!E590,P586+1),"")</f>
        <v/>
      </c>
      <c r="R586" s="25" t="str">
        <f>IF('ASS END SYNC'!C590="SHOW",FIND(",,",'ASS END SYNC'!E590,1),"")</f>
        <v/>
      </c>
      <c r="S586" s="25" t="str">
        <f>IF('ASS END SYNC'!C590="SHOW",FIND(",,",'ASS END SYNC'!E590,R586+1),"")</f>
        <v/>
      </c>
      <c r="T586" s="23" t="str">
        <f>IF('ASS END SYNC'!C590="SHOW",LEFT('ASS END SYNC'!E590,O586),"")</f>
        <v/>
      </c>
      <c r="U586" s="24" t="str">
        <f>IF('ASS END SYNC'!C590="SHOW",MID('ASS END SYNC'!E590,O586+1,P586-O586-1),"")</f>
        <v/>
      </c>
      <c r="V586" s="24" t="str">
        <f>IF(AND('ASS END SYNC'!C590="SHOW",'ASS END SYNC'!C591="SHOW"),U587,IF(AND('ASS END SYNC'!C590="SHOW",'ASS END SYNC'!C591&lt;&gt;"SHOW"),MID('ASS END SYNC'!E590,O586+1,P586-O586-1),""))</f>
        <v/>
      </c>
      <c r="W586" s="23" t="str">
        <f>IF('ASS END SYNC'!C590="SHOW",MID('ASS END SYNC'!E590,Q586+1,S586-Q586+1),"")</f>
        <v/>
      </c>
      <c r="X586" s="23" t="str">
        <f>IF('ASS END SYNC'!C590="SHOW",MID('ASS END SYNC'!E590,S586+2,1000),"")</f>
        <v/>
      </c>
      <c r="Z586" s="24"/>
    </row>
    <row r="587" spans="1:26" x14ac:dyDescent="0.25">
      <c r="A587" s="26">
        <v>584</v>
      </c>
      <c r="B587" s="24" t="str">
        <f>IF('ASS START SYNC'!C591="SHOW",FIND(",",'ASS START SYNC'!E591,1),"")</f>
        <v/>
      </c>
      <c r="C587" s="24" t="str">
        <f>IF('ASS START SYNC'!C591="SHOW",FIND(",",'ASS START SYNC'!E591,B587+1),"")</f>
        <v/>
      </c>
      <c r="D587" s="24" t="str">
        <f>IF('ASS START SYNC'!C591="SHOW",FIND(",",'ASS START SYNC'!E591,C587+1),"")</f>
        <v/>
      </c>
      <c r="E587" s="25" t="str">
        <f>IF('ASS START SYNC'!C591="SHOW",FIND(",,",'ASS START SYNC'!E591,1),"")</f>
        <v/>
      </c>
      <c r="F587" s="25" t="str">
        <f>IF('ASS START SYNC'!C591="SHOW",FIND(",,",'ASS START SYNC'!E591,E587+1),"")</f>
        <v/>
      </c>
      <c r="G587" s="23" t="str">
        <f>IF('ASS START SYNC'!C591="SHOW",LEFT('ASS START SYNC'!E591,B587),"")</f>
        <v/>
      </c>
      <c r="H587" s="24" t="str">
        <f>IF(AND('ASS START SYNC'!C591="SHOW",COUNTA('ASS START SYNC'!$E$8:'ASS START SYNC'!E590)=0),MID('ASS START SYNC'!E591,B587+1,C587-B587-1),IF(AND('ASS START SYNC'!C591="SHOW",COUNTA('ASS START SYNC'!$E$8:'ASS START SYNC'!E590)&lt;&gt;0),I586,""))</f>
        <v/>
      </c>
      <c r="I587" s="24" t="str">
        <f>IF('ASS START SYNC'!C591="SHOW",MID('ASS START SYNC'!E591,C587+1,D587-C587-1),I586)</f>
        <v/>
      </c>
      <c r="J587" s="23" t="str">
        <f>IF('ASS START SYNC'!C591="SHOW",MID('ASS START SYNC'!E591,D587+1,F587-D587+1),"")</f>
        <v/>
      </c>
      <c r="K587" s="23" t="str">
        <f>IF('ASS START SYNC'!C591="SHOW",MID('ASS START SYNC'!E591,F587+2,1000),"")</f>
        <v/>
      </c>
      <c r="M587" s="24"/>
      <c r="N587" s="26">
        <v>584</v>
      </c>
      <c r="O587" s="24" t="str">
        <f>IF('ASS END SYNC'!C591="SHOW",FIND(",",'ASS END SYNC'!E591,1),"")</f>
        <v/>
      </c>
      <c r="P587" s="24" t="str">
        <f>IF('ASS END SYNC'!C591="SHOW",FIND(",",'ASS END SYNC'!E591,O587+1),"")</f>
        <v/>
      </c>
      <c r="Q587" s="24" t="str">
        <f>IF('ASS END SYNC'!C591="SHOW",FIND(",",'ASS END SYNC'!E591,P587+1),"")</f>
        <v/>
      </c>
      <c r="R587" s="25" t="str">
        <f>IF('ASS END SYNC'!C591="SHOW",FIND(",,",'ASS END SYNC'!E591,1),"")</f>
        <v/>
      </c>
      <c r="S587" s="25" t="str">
        <f>IF('ASS END SYNC'!C591="SHOW",FIND(",,",'ASS END SYNC'!E591,R587+1),"")</f>
        <v/>
      </c>
      <c r="T587" s="23" t="str">
        <f>IF('ASS END SYNC'!C591="SHOW",LEFT('ASS END SYNC'!E591,O587),"")</f>
        <v/>
      </c>
      <c r="U587" s="24" t="str">
        <f>IF('ASS END SYNC'!C591="SHOW",MID('ASS END SYNC'!E591,O587+1,P587-O587-1),"")</f>
        <v/>
      </c>
      <c r="V587" s="24" t="str">
        <f>IF(AND('ASS END SYNC'!C591="SHOW",'ASS END SYNC'!C592="SHOW"),U588,IF(AND('ASS END SYNC'!C591="SHOW",'ASS END SYNC'!C592&lt;&gt;"SHOW"),MID('ASS END SYNC'!E591,O587+1,P587-O587-1),""))</f>
        <v/>
      </c>
      <c r="W587" s="23" t="str">
        <f>IF('ASS END SYNC'!C591="SHOW",MID('ASS END SYNC'!E591,Q587+1,S587-Q587+1),"")</f>
        <v/>
      </c>
      <c r="X587" s="23" t="str">
        <f>IF('ASS END SYNC'!C591="SHOW",MID('ASS END SYNC'!E591,S587+2,1000),"")</f>
        <v/>
      </c>
      <c r="Z587" s="24"/>
    </row>
    <row r="588" spans="1:26" x14ac:dyDescent="0.25">
      <c r="A588" s="26">
        <v>585</v>
      </c>
      <c r="B588" s="24" t="str">
        <f>IF('ASS START SYNC'!C592="SHOW",FIND(",",'ASS START SYNC'!E592,1),"")</f>
        <v/>
      </c>
      <c r="C588" s="24" t="str">
        <f>IF('ASS START SYNC'!C592="SHOW",FIND(",",'ASS START SYNC'!E592,B588+1),"")</f>
        <v/>
      </c>
      <c r="D588" s="24" t="str">
        <f>IF('ASS START SYNC'!C592="SHOW",FIND(",",'ASS START SYNC'!E592,C588+1),"")</f>
        <v/>
      </c>
      <c r="E588" s="25" t="str">
        <f>IF('ASS START SYNC'!C592="SHOW",FIND(",,",'ASS START SYNC'!E592,1),"")</f>
        <v/>
      </c>
      <c r="F588" s="25" t="str">
        <f>IF('ASS START SYNC'!C592="SHOW",FIND(",,",'ASS START SYNC'!E592,E588+1),"")</f>
        <v/>
      </c>
      <c r="G588" s="23" t="str">
        <f>IF('ASS START SYNC'!C592="SHOW",LEFT('ASS START SYNC'!E592,B588),"")</f>
        <v/>
      </c>
      <c r="H588" s="24" t="str">
        <f>IF(AND('ASS START SYNC'!C592="SHOW",COUNTA('ASS START SYNC'!$E$8:'ASS START SYNC'!E591)=0),MID('ASS START SYNC'!E592,B588+1,C588-B588-1),IF(AND('ASS START SYNC'!C592="SHOW",COUNTA('ASS START SYNC'!$E$8:'ASS START SYNC'!E591)&lt;&gt;0),I587,""))</f>
        <v/>
      </c>
      <c r="I588" s="24" t="str">
        <f>IF('ASS START SYNC'!C592="SHOW",MID('ASS START SYNC'!E592,C588+1,D588-C588-1),I587)</f>
        <v/>
      </c>
      <c r="J588" s="23" t="str">
        <f>IF('ASS START SYNC'!C592="SHOW",MID('ASS START SYNC'!E592,D588+1,F588-D588+1),"")</f>
        <v/>
      </c>
      <c r="K588" s="23" t="str">
        <f>IF('ASS START SYNC'!C592="SHOW",MID('ASS START SYNC'!E592,F588+2,1000),"")</f>
        <v/>
      </c>
      <c r="M588" s="24"/>
      <c r="N588" s="26">
        <v>585</v>
      </c>
      <c r="O588" s="24" t="str">
        <f>IF('ASS END SYNC'!C592="SHOW",FIND(",",'ASS END SYNC'!E592,1),"")</f>
        <v/>
      </c>
      <c r="P588" s="24" t="str">
        <f>IF('ASS END SYNC'!C592="SHOW",FIND(",",'ASS END SYNC'!E592,O588+1),"")</f>
        <v/>
      </c>
      <c r="Q588" s="24" t="str">
        <f>IF('ASS END SYNC'!C592="SHOW",FIND(",",'ASS END SYNC'!E592,P588+1),"")</f>
        <v/>
      </c>
      <c r="R588" s="25" t="str">
        <f>IF('ASS END SYNC'!C592="SHOW",FIND(",,",'ASS END SYNC'!E592,1),"")</f>
        <v/>
      </c>
      <c r="S588" s="25" t="str">
        <f>IF('ASS END SYNC'!C592="SHOW",FIND(",,",'ASS END SYNC'!E592,R588+1),"")</f>
        <v/>
      </c>
      <c r="T588" s="23" t="str">
        <f>IF('ASS END SYNC'!C592="SHOW",LEFT('ASS END SYNC'!E592,O588),"")</f>
        <v/>
      </c>
      <c r="U588" s="24" t="str">
        <f>IF('ASS END SYNC'!C592="SHOW",MID('ASS END SYNC'!E592,O588+1,P588-O588-1),"")</f>
        <v/>
      </c>
      <c r="V588" s="24" t="str">
        <f>IF(AND('ASS END SYNC'!C592="SHOW",'ASS END SYNC'!C593="SHOW"),U589,IF(AND('ASS END SYNC'!C592="SHOW",'ASS END SYNC'!C593&lt;&gt;"SHOW"),MID('ASS END SYNC'!E592,O588+1,P588-O588-1),""))</f>
        <v/>
      </c>
      <c r="W588" s="23" t="str">
        <f>IF('ASS END SYNC'!C592="SHOW",MID('ASS END SYNC'!E592,Q588+1,S588-Q588+1),"")</f>
        <v/>
      </c>
      <c r="X588" s="23" t="str">
        <f>IF('ASS END SYNC'!C592="SHOW",MID('ASS END SYNC'!E592,S588+2,1000),"")</f>
        <v/>
      </c>
      <c r="Z588" s="24"/>
    </row>
    <row r="589" spans="1:26" x14ac:dyDescent="0.25">
      <c r="A589" s="26">
        <v>586</v>
      </c>
      <c r="B589" s="24" t="str">
        <f>IF('ASS START SYNC'!C593="SHOW",FIND(",",'ASS START SYNC'!E593,1),"")</f>
        <v/>
      </c>
      <c r="C589" s="24" t="str">
        <f>IF('ASS START SYNC'!C593="SHOW",FIND(",",'ASS START SYNC'!E593,B589+1),"")</f>
        <v/>
      </c>
      <c r="D589" s="24" t="str">
        <f>IF('ASS START SYNC'!C593="SHOW",FIND(",",'ASS START SYNC'!E593,C589+1),"")</f>
        <v/>
      </c>
      <c r="E589" s="25" t="str">
        <f>IF('ASS START SYNC'!C593="SHOW",FIND(",,",'ASS START SYNC'!E593,1),"")</f>
        <v/>
      </c>
      <c r="F589" s="25" t="str">
        <f>IF('ASS START SYNC'!C593="SHOW",FIND(",,",'ASS START SYNC'!E593,E589+1),"")</f>
        <v/>
      </c>
      <c r="G589" s="23" t="str">
        <f>IF('ASS START SYNC'!C593="SHOW",LEFT('ASS START SYNC'!E593,B589),"")</f>
        <v/>
      </c>
      <c r="H589" s="24" t="str">
        <f>IF(AND('ASS START SYNC'!C593="SHOW",COUNTA('ASS START SYNC'!$E$8:'ASS START SYNC'!E592)=0),MID('ASS START SYNC'!E593,B589+1,C589-B589-1),IF(AND('ASS START SYNC'!C593="SHOW",COUNTA('ASS START SYNC'!$E$8:'ASS START SYNC'!E592)&lt;&gt;0),I588,""))</f>
        <v/>
      </c>
      <c r="I589" s="24" t="str">
        <f>IF('ASS START SYNC'!C593="SHOW",MID('ASS START SYNC'!E593,C589+1,D589-C589-1),I588)</f>
        <v/>
      </c>
      <c r="J589" s="23" t="str">
        <f>IF('ASS START SYNC'!C593="SHOW",MID('ASS START SYNC'!E593,D589+1,F589-D589+1),"")</f>
        <v/>
      </c>
      <c r="K589" s="23" t="str">
        <f>IF('ASS START SYNC'!C593="SHOW",MID('ASS START SYNC'!E593,F589+2,1000),"")</f>
        <v/>
      </c>
      <c r="M589" s="24"/>
      <c r="N589" s="26">
        <v>586</v>
      </c>
      <c r="O589" s="24" t="str">
        <f>IF('ASS END SYNC'!C593="SHOW",FIND(",",'ASS END SYNC'!E593,1),"")</f>
        <v/>
      </c>
      <c r="P589" s="24" t="str">
        <f>IF('ASS END SYNC'!C593="SHOW",FIND(",",'ASS END SYNC'!E593,O589+1),"")</f>
        <v/>
      </c>
      <c r="Q589" s="24" t="str">
        <f>IF('ASS END SYNC'!C593="SHOW",FIND(",",'ASS END SYNC'!E593,P589+1),"")</f>
        <v/>
      </c>
      <c r="R589" s="25" t="str">
        <f>IF('ASS END SYNC'!C593="SHOW",FIND(",,",'ASS END SYNC'!E593,1),"")</f>
        <v/>
      </c>
      <c r="S589" s="25" t="str">
        <f>IF('ASS END SYNC'!C593="SHOW",FIND(",,",'ASS END SYNC'!E593,R589+1),"")</f>
        <v/>
      </c>
      <c r="T589" s="23" t="str">
        <f>IF('ASS END SYNC'!C593="SHOW",LEFT('ASS END SYNC'!E593,O589),"")</f>
        <v/>
      </c>
      <c r="U589" s="24" t="str">
        <f>IF('ASS END SYNC'!C593="SHOW",MID('ASS END SYNC'!E593,O589+1,P589-O589-1),"")</f>
        <v/>
      </c>
      <c r="V589" s="24" t="str">
        <f>IF(AND('ASS END SYNC'!C593="SHOW",'ASS END SYNC'!C594="SHOW"),U590,IF(AND('ASS END SYNC'!C593="SHOW",'ASS END SYNC'!C594&lt;&gt;"SHOW"),MID('ASS END SYNC'!E593,O589+1,P589-O589-1),""))</f>
        <v/>
      </c>
      <c r="W589" s="23" t="str">
        <f>IF('ASS END SYNC'!C593="SHOW",MID('ASS END SYNC'!E593,Q589+1,S589-Q589+1),"")</f>
        <v/>
      </c>
      <c r="X589" s="23" t="str">
        <f>IF('ASS END SYNC'!C593="SHOW",MID('ASS END SYNC'!E593,S589+2,1000),"")</f>
        <v/>
      </c>
      <c r="Z589" s="24"/>
    </row>
    <row r="590" spans="1:26" x14ac:dyDescent="0.25">
      <c r="A590" s="26">
        <v>587</v>
      </c>
      <c r="B590" s="24" t="str">
        <f>IF('ASS START SYNC'!C594="SHOW",FIND(",",'ASS START SYNC'!E594,1),"")</f>
        <v/>
      </c>
      <c r="C590" s="24" t="str">
        <f>IF('ASS START SYNC'!C594="SHOW",FIND(",",'ASS START SYNC'!E594,B590+1),"")</f>
        <v/>
      </c>
      <c r="D590" s="24" t="str">
        <f>IF('ASS START SYNC'!C594="SHOW",FIND(",",'ASS START SYNC'!E594,C590+1),"")</f>
        <v/>
      </c>
      <c r="E590" s="25" t="str">
        <f>IF('ASS START SYNC'!C594="SHOW",FIND(",,",'ASS START SYNC'!E594,1),"")</f>
        <v/>
      </c>
      <c r="F590" s="25" t="str">
        <f>IF('ASS START SYNC'!C594="SHOW",FIND(",,",'ASS START SYNC'!E594,E590+1),"")</f>
        <v/>
      </c>
      <c r="G590" s="23" t="str">
        <f>IF('ASS START SYNC'!C594="SHOW",LEFT('ASS START SYNC'!E594,B590),"")</f>
        <v/>
      </c>
      <c r="H590" s="24" t="str">
        <f>IF(AND('ASS START SYNC'!C594="SHOW",COUNTA('ASS START SYNC'!$E$8:'ASS START SYNC'!E593)=0),MID('ASS START SYNC'!E594,B590+1,C590-B590-1),IF(AND('ASS START SYNC'!C594="SHOW",COUNTA('ASS START SYNC'!$E$8:'ASS START SYNC'!E593)&lt;&gt;0),I589,""))</f>
        <v/>
      </c>
      <c r="I590" s="24" t="str">
        <f>IF('ASS START SYNC'!C594="SHOW",MID('ASS START SYNC'!E594,C590+1,D590-C590-1),I589)</f>
        <v/>
      </c>
      <c r="J590" s="23" t="str">
        <f>IF('ASS START SYNC'!C594="SHOW",MID('ASS START SYNC'!E594,D590+1,F590-D590+1),"")</f>
        <v/>
      </c>
      <c r="K590" s="23" t="str">
        <f>IF('ASS START SYNC'!C594="SHOW",MID('ASS START SYNC'!E594,F590+2,1000),"")</f>
        <v/>
      </c>
      <c r="M590" s="24"/>
      <c r="N590" s="26">
        <v>587</v>
      </c>
      <c r="O590" s="24" t="str">
        <f>IF('ASS END SYNC'!C594="SHOW",FIND(",",'ASS END SYNC'!E594,1),"")</f>
        <v/>
      </c>
      <c r="P590" s="24" t="str">
        <f>IF('ASS END SYNC'!C594="SHOW",FIND(",",'ASS END SYNC'!E594,O590+1),"")</f>
        <v/>
      </c>
      <c r="Q590" s="24" t="str">
        <f>IF('ASS END SYNC'!C594="SHOW",FIND(",",'ASS END SYNC'!E594,P590+1),"")</f>
        <v/>
      </c>
      <c r="R590" s="25" t="str">
        <f>IF('ASS END SYNC'!C594="SHOW",FIND(",,",'ASS END SYNC'!E594,1),"")</f>
        <v/>
      </c>
      <c r="S590" s="25" t="str">
        <f>IF('ASS END SYNC'!C594="SHOW",FIND(",,",'ASS END SYNC'!E594,R590+1),"")</f>
        <v/>
      </c>
      <c r="T590" s="23" t="str">
        <f>IF('ASS END SYNC'!C594="SHOW",LEFT('ASS END SYNC'!E594,O590),"")</f>
        <v/>
      </c>
      <c r="U590" s="24" t="str">
        <f>IF('ASS END SYNC'!C594="SHOW",MID('ASS END SYNC'!E594,O590+1,P590-O590-1),"")</f>
        <v/>
      </c>
      <c r="V590" s="24" t="str">
        <f>IF(AND('ASS END SYNC'!C594="SHOW",'ASS END SYNC'!C595="SHOW"),U591,IF(AND('ASS END SYNC'!C594="SHOW",'ASS END SYNC'!C595&lt;&gt;"SHOW"),MID('ASS END SYNC'!E594,O590+1,P590-O590-1),""))</f>
        <v/>
      </c>
      <c r="W590" s="23" t="str">
        <f>IF('ASS END SYNC'!C594="SHOW",MID('ASS END SYNC'!E594,Q590+1,S590-Q590+1),"")</f>
        <v/>
      </c>
      <c r="X590" s="23" t="str">
        <f>IF('ASS END SYNC'!C594="SHOW",MID('ASS END SYNC'!E594,S590+2,1000),"")</f>
        <v/>
      </c>
      <c r="Z590" s="24"/>
    </row>
    <row r="591" spans="1:26" x14ac:dyDescent="0.25">
      <c r="A591" s="26">
        <v>588</v>
      </c>
      <c r="B591" s="24" t="str">
        <f>IF('ASS START SYNC'!C595="SHOW",FIND(",",'ASS START SYNC'!E595,1),"")</f>
        <v/>
      </c>
      <c r="C591" s="24" t="str">
        <f>IF('ASS START SYNC'!C595="SHOW",FIND(",",'ASS START SYNC'!E595,B591+1),"")</f>
        <v/>
      </c>
      <c r="D591" s="24" t="str">
        <f>IF('ASS START SYNC'!C595="SHOW",FIND(",",'ASS START SYNC'!E595,C591+1),"")</f>
        <v/>
      </c>
      <c r="E591" s="25" t="str">
        <f>IF('ASS START SYNC'!C595="SHOW",FIND(",,",'ASS START SYNC'!E595,1),"")</f>
        <v/>
      </c>
      <c r="F591" s="25" t="str">
        <f>IF('ASS START SYNC'!C595="SHOW",FIND(",,",'ASS START SYNC'!E595,E591+1),"")</f>
        <v/>
      </c>
      <c r="G591" s="23" t="str">
        <f>IF('ASS START SYNC'!C595="SHOW",LEFT('ASS START SYNC'!E595,B591),"")</f>
        <v/>
      </c>
      <c r="H591" s="24" t="str">
        <f>IF(AND('ASS START SYNC'!C595="SHOW",COUNTA('ASS START SYNC'!$E$8:'ASS START SYNC'!E594)=0),MID('ASS START SYNC'!E595,B591+1,C591-B591-1),IF(AND('ASS START SYNC'!C595="SHOW",COUNTA('ASS START SYNC'!$E$8:'ASS START SYNC'!E594)&lt;&gt;0),I590,""))</f>
        <v/>
      </c>
      <c r="I591" s="24" t="str">
        <f>IF('ASS START SYNC'!C595="SHOW",MID('ASS START SYNC'!E595,C591+1,D591-C591-1),I590)</f>
        <v/>
      </c>
      <c r="J591" s="23" t="str">
        <f>IF('ASS START SYNC'!C595="SHOW",MID('ASS START SYNC'!E595,D591+1,F591-D591+1),"")</f>
        <v/>
      </c>
      <c r="K591" s="23" t="str">
        <f>IF('ASS START SYNC'!C595="SHOW",MID('ASS START SYNC'!E595,F591+2,1000),"")</f>
        <v/>
      </c>
      <c r="M591" s="24"/>
      <c r="N591" s="26">
        <v>588</v>
      </c>
      <c r="O591" s="24" t="str">
        <f>IF('ASS END SYNC'!C595="SHOW",FIND(",",'ASS END SYNC'!E595,1),"")</f>
        <v/>
      </c>
      <c r="P591" s="24" t="str">
        <f>IF('ASS END SYNC'!C595="SHOW",FIND(",",'ASS END SYNC'!E595,O591+1),"")</f>
        <v/>
      </c>
      <c r="Q591" s="24" t="str">
        <f>IF('ASS END SYNC'!C595="SHOW",FIND(",",'ASS END SYNC'!E595,P591+1),"")</f>
        <v/>
      </c>
      <c r="R591" s="25" t="str">
        <f>IF('ASS END SYNC'!C595="SHOW",FIND(",,",'ASS END SYNC'!E595,1),"")</f>
        <v/>
      </c>
      <c r="S591" s="25" t="str">
        <f>IF('ASS END SYNC'!C595="SHOW",FIND(",,",'ASS END SYNC'!E595,R591+1),"")</f>
        <v/>
      </c>
      <c r="T591" s="23" t="str">
        <f>IF('ASS END SYNC'!C595="SHOW",LEFT('ASS END SYNC'!E595,O591),"")</f>
        <v/>
      </c>
      <c r="U591" s="24" t="str">
        <f>IF('ASS END SYNC'!C595="SHOW",MID('ASS END SYNC'!E595,O591+1,P591-O591-1),"")</f>
        <v/>
      </c>
      <c r="V591" s="24" t="str">
        <f>IF(AND('ASS END SYNC'!C595="SHOW",'ASS END SYNC'!C596="SHOW"),U592,IF(AND('ASS END SYNC'!C595="SHOW",'ASS END SYNC'!C596&lt;&gt;"SHOW"),MID('ASS END SYNC'!E595,O591+1,P591-O591-1),""))</f>
        <v/>
      </c>
      <c r="W591" s="23" t="str">
        <f>IF('ASS END SYNC'!C595="SHOW",MID('ASS END SYNC'!E595,Q591+1,S591-Q591+1),"")</f>
        <v/>
      </c>
      <c r="X591" s="23" t="str">
        <f>IF('ASS END SYNC'!C595="SHOW",MID('ASS END SYNC'!E595,S591+2,1000),"")</f>
        <v/>
      </c>
      <c r="Z591" s="24"/>
    </row>
    <row r="592" spans="1:26" x14ac:dyDescent="0.25">
      <c r="A592" s="26">
        <v>589</v>
      </c>
      <c r="B592" s="24" t="str">
        <f>IF('ASS START SYNC'!C596="SHOW",FIND(",",'ASS START SYNC'!E596,1),"")</f>
        <v/>
      </c>
      <c r="C592" s="24" t="str">
        <f>IF('ASS START SYNC'!C596="SHOW",FIND(",",'ASS START SYNC'!E596,B592+1),"")</f>
        <v/>
      </c>
      <c r="D592" s="24" t="str">
        <f>IF('ASS START SYNC'!C596="SHOW",FIND(",",'ASS START SYNC'!E596,C592+1),"")</f>
        <v/>
      </c>
      <c r="E592" s="25" t="str">
        <f>IF('ASS START SYNC'!C596="SHOW",FIND(",,",'ASS START SYNC'!E596,1),"")</f>
        <v/>
      </c>
      <c r="F592" s="25" t="str">
        <f>IF('ASS START SYNC'!C596="SHOW",FIND(",,",'ASS START SYNC'!E596,E592+1),"")</f>
        <v/>
      </c>
      <c r="G592" s="23" t="str">
        <f>IF('ASS START SYNC'!C596="SHOW",LEFT('ASS START SYNC'!E596,B592),"")</f>
        <v/>
      </c>
      <c r="H592" s="24" t="str">
        <f>IF(AND('ASS START SYNC'!C596="SHOW",COUNTA('ASS START SYNC'!$E$8:'ASS START SYNC'!E595)=0),MID('ASS START SYNC'!E596,B592+1,C592-B592-1),IF(AND('ASS START SYNC'!C596="SHOW",COUNTA('ASS START SYNC'!$E$8:'ASS START SYNC'!E595)&lt;&gt;0),I591,""))</f>
        <v/>
      </c>
      <c r="I592" s="24" t="str">
        <f>IF('ASS START SYNC'!C596="SHOW",MID('ASS START SYNC'!E596,C592+1,D592-C592-1),I591)</f>
        <v/>
      </c>
      <c r="J592" s="23" t="str">
        <f>IF('ASS START SYNC'!C596="SHOW",MID('ASS START SYNC'!E596,D592+1,F592-D592+1),"")</f>
        <v/>
      </c>
      <c r="K592" s="23" t="str">
        <f>IF('ASS START SYNC'!C596="SHOW",MID('ASS START SYNC'!E596,F592+2,1000),"")</f>
        <v/>
      </c>
      <c r="M592" s="24"/>
      <c r="N592" s="26">
        <v>589</v>
      </c>
      <c r="O592" s="24" t="str">
        <f>IF('ASS END SYNC'!C596="SHOW",FIND(",",'ASS END SYNC'!E596,1),"")</f>
        <v/>
      </c>
      <c r="P592" s="24" t="str">
        <f>IF('ASS END SYNC'!C596="SHOW",FIND(",",'ASS END SYNC'!E596,O592+1),"")</f>
        <v/>
      </c>
      <c r="Q592" s="24" t="str">
        <f>IF('ASS END SYNC'!C596="SHOW",FIND(",",'ASS END SYNC'!E596,P592+1),"")</f>
        <v/>
      </c>
      <c r="R592" s="25" t="str">
        <f>IF('ASS END SYNC'!C596="SHOW",FIND(",,",'ASS END SYNC'!E596,1),"")</f>
        <v/>
      </c>
      <c r="S592" s="25" t="str">
        <f>IF('ASS END SYNC'!C596="SHOW",FIND(",,",'ASS END SYNC'!E596,R592+1),"")</f>
        <v/>
      </c>
      <c r="T592" s="23" t="str">
        <f>IF('ASS END SYNC'!C596="SHOW",LEFT('ASS END SYNC'!E596,O592),"")</f>
        <v/>
      </c>
      <c r="U592" s="24" t="str">
        <f>IF('ASS END SYNC'!C596="SHOW",MID('ASS END SYNC'!E596,O592+1,P592-O592-1),"")</f>
        <v/>
      </c>
      <c r="V592" s="24" t="str">
        <f>IF(AND('ASS END SYNC'!C596="SHOW",'ASS END SYNC'!C597="SHOW"),U593,IF(AND('ASS END SYNC'!C596="SHOW",'ASS END SYNC'!C597&lt;&gt;"SHOW"),MID('ASS END SYNC'!E596,O592+1,P592-O592-1),""))</f>
        <v/>
      </c>
      <c r="W592" s="23" t="str">
        <f>IF('ASS END SYNC'!C596="SHOW",MID('ASS END SYNC'!E596,Q592+1,S592-Q592+1),"")</f>
        <v/>
      </c>
      <c r="X592" s="23" t="str">
        <f>IF('ASS END SYNC'!C596="SHOW",MID('ASS END SYNC'!E596,S592+2,1000),"")</f>
        <v/>
      </c>
      <c r="Z592" s="24"/>
    </row>
    <row r="593" spans="1:26" x14ac:dyDescent="0.25">
      <c r="A593" s="26">
        <v>590</v>
      </c>
      <c r="B593" s="24" t="str">
        <f>IF('ASS START SYNC'!C597="SHOW",FIND(",",'ASS START SYNC'!E597,1),"")</f>
        <v/>
      </c>
      <c r="C593" s="24" t="str">
        <f>IF('ASS START SYNC'!C597="SHOW",FIND(",",'ASS START SYNC'!E597,B593+1),"")</f>
        <v/>
      </c>
      <c r="D593" s="24" t="str">
        <f>IF('ASS START SYNC'!C597="SHOW",FIND(",",'ASS START SYNC'!E597,C593+1),"")</f>
        <v/>
      </c>
      <c r="E593" s="25" t="str">
        <f>IF('ASS START SYNC'!C597="SHOW",FIND(",,",'ASS START SYNC'!E597,1),"")</f>
        <v/>
      </c>
      <c r="F593" s="25" t="str">
        <f>IF('ASS START SYNC'!C597="SHOW",FIND(",,",'ASS START SYNC'!E597,E593+1),"")</f>
        <v/>
      </c>
      <c r="G593" s="23" t="str">
        <f>IF('ASS START SYNC'!C597="SHOW",LEFT('ASS START SYNC'!E597,B593),"")</f>
        <v/>
      </c>
      <c r="H593" s="24" t="str">
        <f>IF(AND('ASS START SYNC'!C597="SHOW",COUNTA('ASS START SYNC'!$E$8:'ASS START SYNC'!E596)=0),MID('ASS START SYNC'!E597,B593+1,C593-B593-1),IF(AND('ASS START SYNC'!C597="SHOW",COUNTA('ASS START SYNC'!$E$8:'ASS START SYNC'!E596)&lt;&gt;0),I592,""))</f>
        <v/>
      </c>
      <c r="I593" s="24" t="str">
        <f>IF('ASS START SYNC'!C597="SHOW",MID('ASS START SYNC'!E597,C593+1,D593-C593-1),I592)</f>
        <v/>
      </c>
      <c r="J593" s="23" t="str">
        <f>IF('ASS START SYNC'!C597="SHOW",MID('ASS START SYNC'!E597,D593+1,F593-D593+1),"")</f>
        <v/>
      </c>
      <c r="K593" s="23" t="str">
        <f>IF('ASS START SYNC'!C597="SHOW",MID('ASS START SYNC'!E597,F593+2,1000),"")</f>
        <v/>
      </c>
      <c r="M593" s="24"/>
      <c r="N593" s="26">
        <v>590</v>
      </c>
      <c r="O593" s="24" t="str">
        <f>IF('ASS END SYNC'!C597="SHOW",FIND(",",'ASS END SYNC'!E597,1),"")</f>
        <v/>
      </c>
      <c r="P593" s="24" t="str">
        <f>IF('ASS END SYNC'!C597="SHOW",FIND(",",'ASS END SYNC'!E597,O593+1),"")</f>
        <v/>
      </c>
      <c r="Q593" s="24" t="str">
        <f>IF('ASS END SYNC'!C597="SHOW",FIND(",",'ASS END SYNC'!E597,P593+1),"")</f>
        <v/>
      </c>
      <c r="R593" s="25" t="str">
        <f>IF('ASS END SYNC'!C597="SHOW",FIND(",,",'ASS END SYNC'!E597,1),"")</f>
        <v/>
      </c>
      <c r="S593" s="25" t="str">
        <f>IF('ASS END SYNC'!C597="SHOW",FIND(",,",'ASS END SYNC'!E597,R593+1),"")</f>
        <v/>
      </c>
      <c r="T593" s="23" t="str">
        <f>IF('ASS END SYNC'!C597="SHOW",LEFT('ASS END SYNC'!E597,O593),"")</f>
        <v/>
      </c>
      <c r="U593" s="24" t="str">
        <f>IF('ASS END SYNC'!C597="SHOW",MID('ASS END SYNC'!E597,O593+1,P593-O593-1),"")</f>
        <v/>
      </c>
      <c r="V593" s="24" t="str">
        <f>IF(AND('ASS END SYNC'!C597="SHOW",'ASS END SYNC'!C598="SHOW"),U594,IF(AND('ASS END SYNC'!C597="SHOW",'ASS END SYNC'!C598&lt;&gt;"SHOW"),MID('ASS END SYNC'!E597,O593+1,P593-O593-1),""))</f>
        <v/>
      </c>
      <c r="W593" s="23" t="str">
        <f>IF('ASS END SYNC'!C597="SHOW",MID('ASS END SYNC'!E597,Q593+1,S593-Q593+1),"")</f>
        <v/>
      </c>
      <c r="X593" s="23" t="str">
        <f>IF('ASS END SYNC'!C597="SHOW",MID('ASS END SYNC'!E597,S593+2,1000),"")</f>
        <v/>
      </c>
      <c r="Z593" s="24"/>
    </row>
    <row r="594" spans="1:26" x14ac:dyDescent="0.25">
      <c r="A594" s="26">
        <v>591</v>
      </c>
      <c r="B594" s="24" t="str">
        <f>IF('ASS START SYNC'!C598="SHOW",FIND(",",'ASS START SYNC'!E598,1),"")</f>
        <v/>
      </c>
      <c r="C594" s="24" t="str">
        <f>IF('ASS START SYNC'!C598="SHOW",FIND(",",'ASS START SYNC'!E598,B594+1),"")</f>
        <v/>
      </c>
      <c r="D594" s="24" t="str">
        <f>IF('ASS START SYNC'!C598="SHOW",FIND(",",'ASS START SYNC'!E598,C594+1),"")</f>
        <v/>
      </c>
      <c r="E594" s="25" t="str">
        <f>IF('ASS START SYNC'!C598="SHOW",FIND(",,",'ASS START SYNC'!E598,1),"")</f>
        <v/>
      </c>
      <c r="F594" s="25" t="str">
        <f>IF('ASS START SYNC'!C598="SHOW",FIND(",,",'ASS START SYNC'!E598,E594+1),"")</f>
        <v/>
      </c>
      <c r="G594" s="23" t="str">
        <f>IF('ASS START SYNC'!C598="SHOW",LEFT('ASS START SYNC'!E598,B594),"")</f>
        <v/>
      </c>
      <c r="H594" s="24" t="str">
        <f>IF(AND('ASS START SYNC'!C598="SHOW",COUNTA('ASS START SYNC'!$E$8:'ASS START SYNC'!E597)=0),MID('ASS START SYNC'!E598,B594+1,C594-B594-1),IF(AND('ASS START SYNC'!C598="SHOW",COUNTA('ASS START SYNC'!$E$8:'ASS START SYNC'!E597)&lt;&gt;0),I593,""))</f>
        <v/>
      </c>
      <c r="I594" s="24" t="str">
        <f>IF('ASS START SYNC'!C598="SHOW",MID('ASS START SYNC'!E598,C594+1,D594-C594-1),I593)</f>
        <v/>
      </c>
      <c r="J594" s="23" t="str">
        <f>IF('ASS START SYNC'!C598="SHOW",MID('ASS START SYNC'!E598,D594+1,F594-D594+1),"")</f>
        <v/>
      </c>
      <c r="K594" s="23" t="str">
        <f>IF('ASS START SYNC'!C598="SHOW",MID('ASS START SYNC'!E598,F594+2,1000),"")</f>
        <v/>
      </c>
      <c r="M594" s="24"/>
      <c r="N594" s="26">
        <v>591</v>
      </c>
      <c r="O594" s="24" t="str">
        <f>IF('ASS END SYNC'!C598="SHOW",FIND(",",'ASS END SYNC'!E598,1),"")</f>
        <v/>
      </c>
      <c r="P594" s="24" t="str">
        <f>IF('ASS END SYNC'!C598="SHOW",FIND(",",'ASS END SYNC'!E598,O594+1),"")</f>
        <v/>
      </c>
      <c r="Q594" s="24" t="str">
        <f>IF('ASS END SYNC'!C598="SHOW",FIND(",",'ASS END SYNC'!E598,P594+1),"")</f>
        <v/>
      </c>
      <c r="R594" s="25" t="str">
        <f>IF('ASS END SYNC'!C598="SHOW",FIND(",,",'ASS END SYNC'!E598,1),"")</f>
        <v/>
      </c>
      <c r="S594" s="25" t="str">
        <f>IF('ASS END SYNC'!C598="SHOW",FIND(",,",'ASS END SYNC'!E598,R594+1),"")</f>
        <v/>
      </c>
      <c r="T594" s="23" t="str">
        <f>IF('ASS END SYNC'!C598="SHOW",LEFT('ASS END SYNC'!E598,O594),"")</f>
        <v/>
      </c>
      <c r="U594" s="24" t="str">
        <f>IF('ASS END SYNC'!C598="SHOW",MID('ASS END SYNC'!E598,O594+1,P594-O594-1),"")</f>
        <v/>
      </c>
      <c r="V594" s="24" t="str">
        <f>IF(AND('ASS END SYNC'!C598="SHOW",'ASS END SYNC'!C599="SHOW"),U595,IF(AND('ASS END SYNC'!C598="SHOW",'ASS END SYNC'!C599&lt;&gt;"SHOW"),MID('ASS END SYNC'!E598,O594+1,P594-O594-1),""))</f>
        <v/>
      </c>
      <c r="W594" s="23" t="str">
        <f>IF('ASS END SYNC'!C598="SHOW",MID('ASS END SYNC'!E598,Q594+1,S594-Q594+1),"")</f>
        <v/>
      </c>
      <c r="X594" s="23" t="str">
        <f>IF('ASS END SYNC'!C598="SHOW",MID('ASS END SYNC'!E598,S594+2,1000),"")</f>
        <v/>
      </c>
      <c r="Z594" s="24"/>
    </row>
    <row r="595" spans="1:26" x14ac:dyDescent="0.25">
      <c r="A595" s="26">
        <v>592</v>
      </c>
      <c r="B595" s="24" t="str">
        <f>IF('ASS START SYNC'!C599="SHOW",FIND(",",'ASS START SYNC'!E599,1),"")</f>
        <v/>
      </c>
      <c r="C595" s="24" t="str">
        <f>IF('ASS START SYNC'!C599="SHOW",FIND(",",'ASS START SYNC'!E599,B595+1),"")</f>
        <v/>
      </c>
      <c r="D595" s="24" t="str">
        <f>IF('ASS START SYNC'!C599="SHOW",FIND(",",'ASS START SYNC'!E599,C595+1),"")</f>
        <v/>
      </c>
      <c r="E595" s="25" t="str">
        <f>IF('ASS START SYNC'!C599="SHOW",FIND(",,",'ASS START SYNC'!E599,1),"")</f>
        <v/>
      </c>
      <c r="F595" s="25" t="str">
        <f>IF('ASS START SYNC'!C599="SHOW",FIND(",,",'ASS START SYNC'!E599,E595+1),"")</f>
        <v/>
      </c>
      <c r="G595" s="23" t="str">
        <f>IF('ASS START SYNC'!C599="SHOW",LEFT('ASS START SYNC'!E599,B595),"")</f>
        <v/>
      </c>
      <c r="H595" s="24" t="str">
        <f>IF(AND('ASS START SYNC'!C599="SHOW",COUNTA('ASS START SYNC'!$E$8:'ASS START SYNC'!E598)=0),MID('ASS START SYNC'!E599,B595+1,C595-B595-1),IF(AND('ASS START SYNC'!C599="SHOW",COUNTA('ASS START SYNC'!$E$8:'ASS START SYNC'!E598)&lt;&gt;0),I594,""))</f>
        <v/>
      </c>
      <c r="I595" s="24" t="str">
        <f>IF('ASS START SYNC'!C599="SHOW",MID('ASS START SYNC'!E599,C595+1,D595-C595-1),I594)</f>
        <v/>
      </c>
      <c r="J595" s="23" t="str">
        <f>IF('ASS START SYNC'!C599="SHOW",MID('ASS START SYNC'!E599,D595+1,F595-D595+1),"")</f>
        <v/>
      </c>
      <c r="K595" s="23" t="str">
        <f>IF('ASS START SYNC'!C599="SHOW",MID('ASS START SYNC'!E599,F595+2,1000),"")</f>
        <v/>
      </c>
      <c r="M595" s="24"/>
      <c r="N595" s="26">
        <v>592</v>
      </c>
      <c r="O595" s="24" t="str">
        <f>IF('ASS END SYNC'!C599="SHOW",FIND(",",'ASS END SYNC'!E599,1),"")</f>
        <v/>
      </c>
      <c r="P595" s="24" t="str">
        <f>IF('ASS END SYNC'!C599="SHOW",FIND(",",'ASS END SYNC'!E599,O595+1),"")</f>
        <v/>
      </c>
      <c r="Q595" s="24" t="str">
        <f>IF('ASS END SYNC'!C599="SHOW",FIND(",",'ASS END SYNC'!E599,P595+1),"")</f>
        <v/>
      </c>
      <c r="R595" s="25" t="str">
        <f>IF('ASS END SYNC'!C599="SHOW",FIND(",,",'ASS END SYNC'!E599,1),"")</f>
        <v/>
      </c>
      <c r="S595" s="25" t="str">
        <f>IF('ASS END SYNC'!C599="SHOW",FIND(",,",'ASS END SYNC'!E599,R595+1),"")</f>
        <v/>
      </c>
      <c r="T595" s="23" t="str">
        <f>IF('ASS END SYNC'!C599="SHOW",LEFT('ASS END SYNC'!E599,O595),"")</f>
        <v/>
      </c>
      <c r="U595" s="24" t="str">
        <f>IF('ASS END SYNC'!C599="SHOW",MID('ASS END SYNC'!E599,O595+1,P595-O595-1),"")</f>
        <v/>
      </c>
      <c r="V595" s="24" t="str">
        <f>IF(AND('ASS END SYNC'!C599="SHOW",'ASS END SYNC'!C600="SHOW"),U596,IF(AND('ASS END SYNC'!C599="SHOW",'ASS END SYNC'!C600&lt;&gt;"SHOW"),MID('ASS END SYNC'!E599,O595+1,P595-O595-1),""))</f>
        <v/>
      </c>
      <c r="W595" s="23" t="str">
        <f>IF('ASS END SYNC'!C599="SHOW",MID('ASS END SYNC'!E599,Q595+1,S595-Q595+1),"")</f>
        <v/>
      </c>
      <c r="X595" s="23" t="str">
        <f>IF('ASS END SYNC'!C599="SHOW",MID('ASS END SYNC'!E599,S595+2,1000),"")</f>
        <v/>
      </c>
      <c r="Z595" s="24"/>
    </row>
    <row r="596" spans="1:26" x14ac:dyDescent="0.25">
      <c r="A596" s="26">
        <v>593</v>
      </c>
      <c r="B596" s="24" t="str">
        <f>IF('ASS START SYNC'!C600="SHOW",FIND(",",'ASS START SYNC'!E600,1),"")</f>
        <v/>
      </c>
      <c r="C596" s="24" t="str">
        <f>IF('ASS START SYNC'!C600="SHOW",FIND(",",'ASS START SYNC'!E600,B596+1),"")</f>
        <v/>
      </c>
      <c r="D596" s="24" t="str">
        <f>IF('ASS START SYNC'!C600="SHOW",FIND(",",'ASS START SYNC'!E600,C596+1),"")</f>
        <v/>
      </c>
      <c r="E596" s="25" t="str">
        <f>IF('ASS START SYNC'!C600="SHOW",FIND(",,",'ASS START SYNC'!E600,1),"")</f>
        <v/>
      </c>
      <c r="F596" s="25" t="str">
        <f>IF('ASS START SYNC'!C600="SHOW",FIND(",,",'ASS START SYNC'!E600,E596+1),"")</f>
        <v/>
      </c>
      <c r="G596" s="23" t="str">
        <f>IF('ASS START SYNC'!C600="SHOW",LEFT('ASS START SYNC'!E600,B596),"")</f>
        <v/>
      </c>
      <c r="H596" s="24" t="str">
        <f>IF(AND('ASS START SYNC'!C600="SHOW",COUNTA('ASS START SYNC'!$E$8:'ASS START SYNC'!E599)=0),MID('ASS START SYNC'!E600,B596+1,C596-B596-1),IF(AND('ASS START SYNC'!C600="SHOW",COUNTA('ASS START SYNC'!$E$8:'ASS START SYNC'!E599)&lt;&gt;0),I595,""))</f>
        <v/>
      </c>
      <c r="I596" s="24" t="str">
        <f>IF('ASS START SYNC'!C600="SHOW",MID('ASS START SYNC'!E600,C596+1,D596-C596-1),I595)</f>
        <v/>
      </c>
      <c r="J596" s="23" t="str">
        <f>IF('ASS START SYNC'!C600="SHOW",MID('ASS START SYNC'!E600,D596+1,F596-D596+1),"")</f>
        <v/>
      </c>
      <c r="K596" s="23" t="str">
        <f>IF('ASS START SYNC'!C600="SHOW",MID('ASS START SYNC'!E600,F596+2,1000),"")</f>
        <v/>
      </c>
      <c r="M596" s="24"/>
      <c r="N596" s="26">
        <v>593</v>
      </c>
      <c r="O596" s="24" t="str">
        <f>IF('ASS END SYNC'!C600="SHOW",FIND(",",'ASS END SYNC'!E600,1),"")</f>
        <v/>
      </c>
      <c r="P596" s="24" t="str">
        <f>IF('ASS END SYNC'!C600="SHOW",FIND(",",'ASS END SYNC'!E600,O596+1),"")</f>
        <v/>
      </c>
      <c r="Q596" s="24" t="str">
        <f>IF('ASS END SYNC'!C600="SHOW",FIND(",",'ASS END SYNC'!E600,P596+1),"")</f>
        <v/>
      </c>
      <c r="R596" s="25" t="str">
        <f>IF('ASS END SYNC'!C600="SHOW",FIND(",,",'ASS END SYNC'!E600,1),"")</f>
        <v/>
      </c>
      <c r="S596" s="25" t="str">
        <f>IF('ASS END SYNC'!C600="SHOW",FIND(",,",'ASS END SYNC'!E600,R596+1),"")</f>
        <v/>
      </c>
      <c r="T596" s="23" t="str">
        <f>IF('ASS END SYNC'!C600="SHOW",LEFT('ASS END SYNC'!E600,O596),"")</f>
        <v/>
      </c>
      <c r="U596" s="24" t="str">
        <f>IF('ASS END SYNC'!C600="SHOW",MID('ASS END SYNC'!E600,O596+1,P596-O596-1),"")</f>
        <v/>
      </c>
      <c r="V596" s="24" t="str">
        <f>IF(AND('ASS END SYNC'!C600="SHOW",'ASS END SYNC'!C601="SHOW"),U597,IF(AND('ASS END SYNC'!C600="SHOW",'ASS END SYNC'!C601&lt;&gt;"SHOW"),MID('ASS END SYNC'!E600,O596+1,P596-O596-1),""))</f>
        <v/>
      </c>
      <c r="W596" s="23" t="str">
        <f>IF('ASS END SYNC'!C600="SHOW",MID('ASS END SYNC'!E600,Q596+1,S596-Q596+1),"")</f>
        <v/>
      </c>
      <c r="X596" s="23" t="str">
        <f>IF('ASS END SYNC'!C600="SHOW",MID('ASS END SYNC'!E600,S596+2,1000),"")</f>
        <v/>
      </c>
      <c r="Z596" s="24"/>
    </row>
    <row r="597" spans="1:26" x14ac:dyDescent="0.25">
      <c r="A597" s="26">
        <v>594</v>
      </c>
      <c r="B597" s="24" t="str">
        <f>IF('ASS START SYNC'!C601="SHOW",FIND(",",'ASS START SYNC'!E601,1),"")</f>
        <v/>
      </c>
      <c r="C597" s="24" t="str">
        <f>IF('ASS START SYNC'!C601="SHOW",FIND(",",'ASS START SYNC'!E601,B597+1),"")</f>
        <v/>
      </c>
      <c r="D597" s="24" t="str">
        <f>IF('ASS START SYNC'!C601="SHOW",FIND(",",'ASS START SYNC'!E601,C597+1),"")</f>
        <v/>
      </c>
      <c r="E597" s="25" t="str">
        <f>IF('ASS START SYNC'!C601="SHOW",FIND(",,",'ASS START SYNC'!E601,1),"")</f>
        <v/>
      </c>
      <c r="F597" s="25" t="str">
        <f>IF('ASS START SYNC'!C601="SHOW",FIND(",,",'ASS START SYNC'!E601,E597+1),"")</f>
        <v/>
      </c>
      <c r="G597" s="23" t="str">
        <f>IF('ASS START SYNC'!C601="SHOW",LEFT('ASS START SYNC'!E601,B597),"")</f>
        <v/>
      </c>
      <c r="H597" s="24" t="str">
        <f>IF(AND('ASS START SYNC'!C601="SHOW",COUNTA('ASS START SYNC'!$E$8:'ASS START SYNC'!E600)=0),MID('ASS START SYNC'!E601,B597+1,C597-B597-1),IF(AND('ASS START SYNC'!C601="SHOW",COUNTA('ASS START SYNC'!$E$8:'ASS START SYNC'!E600)&lt;&gt;0),I596,""))</f>
        <v/>
      </c>
      <c r="I597" s="24" t="str">
        <f>IF('ASS START SYNC'!C601="SHOW",MID('ASS START SYNC'!E601,C597+1,D597-C597-1),I596)</f>
        <v/>
      </c>
      <c r="J597" s="23" t="str">
        <f>IF('ASS START SYNC'!C601="SHOW",MID('ASS START SYNC'!E601,D597+1,F597-D597+1),"")</f>
        <v/>
      </c>
      <c r="K597" s="23" t="str">
        <f>IF('ASS START SYNC'!C601="SHOW",MID('ASS START SYNC'!E601,F597+2,1000),"")</f>
        <v/>
      </c>
      <c r="M597" s="24"/>
      <c r="N597" s="26">
        <v>594</v>
      </c>
      <c r="O597" s="24" t="str">
        <f>IF('ASS END SYNC'!C601="SHOW",FIND(",",'ASS END SYNC'!E601,1),"")</f>
        <v/>
      </c>
      <c r="P597" s="24" t="str">
        <f>IF('ASS END SYNC'!C601="SHOW",FIND(",",'ASS END SYNC'!E601,O597+1),"")</f>
        <v/>
      </c>
      <c r="Q597" s="24" t="str">
        <f>IF('ASS END SYNC'!C601="SHOW",FIND(",",'ASS END SYNC'!E601,P597+1),"")</f>
        <v/>
      </c>
      <c r="R597" s="25" t="str">
        <f>IF('ASS END SYNC'!C601="SHOW",FIND(",,",'ASS END SYNC'!E601,1),"")</f>
        <v/>
      </c>
      <c r="S597" s="25" t="str">
        <f>IF('ASS END SYNC'!C601="SHOW",FIND(",,",'ASS END SYNC'!E601,R597+1),"")</f>
        <v/>
      </c>
      <c r="T597" s="23" t="str">
        <f>IF('ASS END SYNC'!C601="SHOW",LEFT('ASS END SYNC'!E601,O597),"")</f>
        <v/>
      </c>
      <c r="U597" s="24" t="str">
        <f>IF('ASS END SYNC'!C601="SHOW",MID('ASS END SYNC'!E601,O597+1,P597-O597-1),"")</f>
        <v/>
      </c>
      <c r="V597" s="24" t="str">
        <f>IF(AND('ASS END SYNC'!C601="SHOW",'ASS END SYNC'!C602="SHOW"),U598,IF(AND('ASS END SYNC'!C601="SHOW",'ASS END SYNC'!C602&lt;&gt;"SHOW"),MID('ASS END SYNC'!E601,O597+1,P597-O597-1),""))</f>
        <v/>
      </c>
      <c r="W597" s="23" t="str">
        <f>IF('ASS END SYNC'!C601="SHOW",MID('ASS END SYNC'!E601,Q597+1,S597-Q597+1),"")</f>
        <v/>
      </c>
      <c r="X597" s="23" t="str">
        <f>IF('ASS END SYNC'!C601="SHOW",MID('ASS END SYNC'!E601,S597+2,1000),"")</f>
        <v/>
      </c>
      <c r="Z597" s="24"/>
    </row>
    <row r="598" spans="1:26" x14ac:dyDescent="0.25">
      <c r="A598" s="26">
        <v>595</v>
      </c>
      <c r="B598" s="24" t="str">
        <f>IF('ASS START SYNC'!C602="SHOW",FIND(",",'ASS START SYNC'!E602,1),"")</f>
        <v/>
      </c>
      <c r="C598" s="24" t="str">
        <f>IF('ASS START SYNC'!C602="SHOW",FIND(",",'ASS START SYNC'!E602,B598+1),"")</f>
        <v/>
      </c>
      <c r="D598" s="24" t="str">
        <f>IF('ASS START SYNC'!C602="SHOW",FIND(",",'ASS START SYNC'!E602,C598+1),"")</f>
        <v/>
      </c>
      <c r="E598" s="25" t="str">
        <f>IF('ASS START SYNC'!C602="SHOW",FIND(",,",'ASS START SYNC'!E602,1),"")</f>
        <v/>
      </c>
      <c r="F598" s="25" t="str">
        <f>IF('ASS START SYNC'!C602="SHOW",FIND(",,",'ASS START SYNC'!E602,E598+1),"")</f>
        <v/>
      </c>
      <c r="G598" s="23" t="str">
        <f>IF('ASS START SYNC'!C602="SHOW",LEFT('ASS START SYNC'!E602,B598),"")</f>
        <v/>
      </c>
      <c r="H598" s="24" t="str">
        <f>IF(AND('ASS START SYNC'!C602="SHOW",COUNTA('ASS START SYNC'!$E$8:'ASS START SYNC'!E601)=0),MID('ASS START SYNC'!E602,B598+1,C598-B598-1),IF(AND('ASS START SYNC'!C602="SHOW",COUNTA('ASS START SYNC'!$E$8:'ASS START SYNC'!E601)&lt;&gt;0),I597,""))</f>
        <v/>
      </c>
      <c r="I598" s="24" t="str">
        <f>IF('ASS START SYNC'!C602="SHOW",MID('ASS START SYNC'!E602,C598+1,D598-C598-1),I597)</f>
        <v/>
      </c>
      <c r="J598" s="23" t="str">
        <f>IF('ASS START SYNC'!C602="SHOW",MID('ASS START SYNC'!E602,D598+1,F598-D598+1),"")</f>
        <v/>
      </c>
      <c r="K598" s="23" t="str">
        <f>IF('ASS START SYNC'!C602="SHOW",MID('ASS START SYNC'!E602,F598+2,1000),"")</f>
        <v/>
      </c>
      <c r="M598" s="24"/>
      <c r="N598" s="26">
        <v>595</v>
      </c>
      <c r="O598" s="24" t="str">
        <f>IF('ASS END SYNC'!C602="SHOW",FIND(",",'ASS END SYNC'!E602,1),"")</f>
        <v/>
      </c>
      <c r="P598" s="24" t="str">
        <f>IF('ASS END SYNC'!C602="SHOW",FIND(",",'ASS END SYNC'!E602,O598+1),"")</f>
        <v/>
      </c>
      <c r="Q598" s="24" t="str">
        <f>IF('ASS END SYNC'!C602="SHOW",FIND(",",'ASS END SYNC'!E602,P598+1),"")</f>
        <v/>
      </c>
      <c r="R598" s="25" t="str">
        <f>IF('ASS END SYNC'!C602="SHOW",FIND(",,",'ASS END SYNC'!E602,1),"")</f>
        <v/>
      </c>
      <c r="S598" s="25" t="str">
        <f>IF('ASS END SYNC'!C602="SHOW",FIND(",,",'ASS END SYNC'!E602,R598+1),"")</f>
        <v/>
      </c>
      <c r="T598" s="23" t="str">
        <f>IF('ASS END SYNC'!C602="SHOW",LEFT('ASS END SYNC'!E602,O598),"")</f>
        <v/>
      </c>
      <c r="U598" s="24" t="str">
        <f>IF('ASS END SYNC'!C602="SHOW",MID('ASS END SYNC'!E602,O598+1,P598-O598-1),"")</f>
        <v/>
      </c>
      <c r="V598" s="24" t="str">
        <f>IF(AND('ASS END SYNC'!C602="SHOW",'ASS END SYNC'!C603="SHOW"),U599,IF(AND('ASS END SYNC'!C602="SHOW",'ASS END SYNC'!C603&lt;&gt;"SHOW"),MID('ASS END SYNC'!E602,O598+1,P598-O598-1),""))</f>
        <v/>
      </c>
      <c r="W598" s="23" t="str">
        <f>IF('ASS END SYNC'!C602="SHOW",MID('ASS END SYNC'!E602,Q598+1,S598-Q598+1),"")</f>
        <v/>
      </c>
      <c r="X598" s="23" t="str">
        <f>IF('ASS END SYNC'!C602="SHOW",MID('ASS END SYNC'!E602,S598+2,1000),"")</f>
        <v/>
      </c>
      <c r="Z598" s="24"/>
    </row>
    <row r="599" spans="1:26" x14ac:dyDescent="0.25">
      <c r="A599" s="26">
        <v>596</v>
      </c>
      <c r="B599" s="24" t="str">
        <f>IF('ASS START SYNC'!C603="SHOW",FIND(",",'ASS START SYNC'!E603,1),"")</f>
        <v/>
      </c>
      <c r="C599" s="24" t="str">
        <f>IF('ASS START SYNC'!C603="SHOW",FIND(",",'ASS START SYNC'!E603,B599+1),"")</f>
        <v/>
      </c>
      <c r="D599" s="24" t="str">
        <f>IF('ASS START SYNC'!C603="SHOW",FIND(",",'ASS START SYNC'!E603,C599+1),"")</f>
        <v/>
      </c>
      <c r="E599" s="25" t="str">
        <f>IF('ASS START SYNC'!C603="SHOW",FIND(",,",'ASS START SYNC'!E603,1),"")</f>
        <v/>
      </c>
      <c r="F599" s="25" t="str">
        <f>IF('ASS START SYNC'!C603="SHOW",FIND(",,",'ASS START SYNC'!E603,E599+1),"")</f>
        <v/>
      </c>
      <c r="G599" s="23" t="str">
        <f>IF('ASS START SYNC'!C603="SHOW",LEFT('ASS START SYNC'!E603,B599),"")</f>
        <v/>
      </c>
      <c r="H599" s="24" t="str">
        <f>IF(AND('ASS START SYNC'!C603="SHOW",COUNTA('ASS START SYNC'!$E$8:'ASS START SYNC'!E602)=0),MID('ASS START SYNC'!E603,B599+1,C599-B599-1),IF(AND('ASS START SYNC'!C603="SHOW",COUNTA('ASS START SYNC'!$E$8:'ASS START SYNC'!E602)&lt;&gt;0),I598,""))</f>
        <v/>
      </c>
      <c r="I599" s="24" t="str">
        <f>IF('ASS START SYNC'!C603="SHOW",MID('ASS START SYNC'!E603,C599+1,D599-C599-1),I598)</f>
        <v/>
      </c>
      <c r="J599" s="23" t="str">
        <f>IF('ASS START SYNC'!C603="SHOW",MID('ASS START SYNC'!E603,D599+1,F599-D599+1),"")</f>
        <v/>
      </c>
      <c r="K599" s="23" t="str">
        <f>IF('ASS START SYNC'!C603="SHOW",MID('ASS START SYNC'!E603,F599+2,1000),"")</f>
        <v/>
      </c>
      <c r="M599" s="24"/>
      <c r="N599" s="26">
        <v>596</v>
      </c>
      <c r="O599" s="24" t="str">
        <f>IF('ASS END SYNC'!C603="SHOW",FIND(",",'ASS END SYNC'!E603,1),"")</f>
        <v/>
      </c>
      <c r="P599" s="24" t="str">
        <f>IF('ASS END SYNC'!C603="SHOW",FIND(",",'ASS END SYNC'!E603,O599+1),"")</f>
        <v/>
      </c>
      <c r="Q599" s="24" t="str">
        <f>IF('ASS END SYNC'!C603="SHOW",FIND(",",'ASS END SYNC'!E603,P599+1),"")</f>
        <v/>
      </c>
      <c r="R599" s="25" t="str">
        <f>IF('ASS END SYNC'!C603="SHOW",FIND(",,",'ASS END SYNC'!E603,1),"")</f>
        <v/>
      </c>
      <c r="S599" s="25" t="str">
        <f>IF('ASS END SYNC'!C603="SHOW",FIND(",,",'ASS END SYNC'!E603,R599+1),"")</f>
        <v/>
      </c>
      <c r="T599" s="23" t="str">
        <f>IF('ASS END SYNC'!C603="SHOW",LEFT('ASS END SYNC'!E603,O599),"")</f>
        <v/>
      </c>
      <c r="U599" s="24" t="str">
        <f>IF('ASS END SYNC'!C603="SHOW",MID('ASS END SYNC'!E603,O599+1,P599-O599-1),"")</f>
        <v/>
      </c>
      <c r="V599" s="24" t="str">
        <f>IF(AND('ASS END SYNC'!C603="SHOW",'ASS END SYNC'!C604="SHOW"),U600,IF(AND('ASS END SYNC'!C603="SHOW",'ASS END SYNC'!C604&lt;&gt;"SHOW"),MID('ASS END SYNC'!E603,O599+1,P599-O599-1),""))</f>
        <v/>
      </c>
      <c r="W599" s="23" t="str">
        <f>IF('ASS END SYNC'!C603="SHOW",MID('ASS END SYNC'!E603,Q599+1,S599-Q599+1),"")</f>
        <v/>
      </c>
      <c r="X599" s="23" t="str">
        <f>IF('ASS END SYNC'!C603="SHOW",MID('ASS END SYNC'!E603,S599+2,1000),"")</f>
        <v/>
      </c>
      <c r="Z599" s="24"/>
    </row>
    <row r="600" spans="1:26" x14ac:dyDescent="0.25">
      <c r="A600" s="26">
        <v>597</v>
      </c>
      <c r="B600" s="24" t="str">
        <f>IF('ASS START SYNC'!C604="SHOW",FIND(",",'ASS START SYNC'!E604,1),"")</f>
        <v/>
      </c>
      <c r="C600" s="24" t="str">
        <f>IF('ASS START SYNC'!C604="SHOW",FIND(",",'ASS START SYNC'!E604,B600+1),"")</f>
        <v/>
      </c>
      <c r="D600" s="24" t="str">
        <f>IF('ASS START SYNC'!C604="SHOW",FIND(",",'ASS START SYNC'!E604,C600+1),"")</f>
        <v/>
      </c>
      <c r="E600" s="25" t="str">
        <f>IF('ASS START SYNC'!C604="SHOW",FIND(",,",'ASS START SYNC'!E604,1),"")</f>
        <v/>
      </c>
      <c r="F600" s="25" t="str">
        <f>IF('ASS START SYNC'!C604="SHOW",FIND(",,",'ASS START SYNC'!E604,E600+1),"")</f>
        <v/>
      </c>
      <c r="G600" s="23" t="str">
        <f>IF('ASS START SYNC'!C604="SHOW",LEFT('ASS START SYNC'!E604,B600),"")</f>
        <v/>
      </c>
      <c r="H600" s="24" t="str">
        <f>IF(AND('ASS START SYNC'!C604="SHOW",COUNTA('ASS START SYNC'!$E$8:'ASS START SYNC'!E603)=0),MID('ASS START SYNC'!E604,B600+1,C600-B600-1),IF(AND('ASS START SYNC'!C604="SHOW",COUNTA('ASS START SYNC'!$E$8:'ASS START SYNC'!E603)&lt;&gt;0),I599,""))</f>
        <v/>
      </c>
      <c r="I600" s="24" t="str">
        <f>IF('ASS START SYNC'!C604="SHOW",MID('ASS START SYNC'!E604,C600+1,D600-C600-1),I599)</f>
        <v/>
      </c>
      <c r="J600" s="23" t="str">
        <f>IF('ASS START SYNC'!C604="SHOW",MID('ASS START SYNC'!E604,D600+1,F600-D600+1),"")</f>
        <v/>
      </c>
      <c r="K600" s="23" t="str">
        <f>IF('ASS START SYNC'!C604="SHOW",MID('ASS START SYNC'!E604,F600+2,1000),"")</f>
        <v/>
      </c>
      <c r="M600" s="24"/>
      <c r="N600" s="26">
        <v>597</v>
      </c>
      <c r="O600" s="24" t="str">
        <f>IF('ASS END SYNC'!C604="SHOW",FIND(",",'ASS END SYNC'!E604,1),"")</f>
        <v/>
      </c>
      <c r="P600" s="24" t="str">
        <f>IF('ASS END SYNC'!C604="SHOW",FIND(",",'ASS END SYNC'!E604,O600+1),"")</f>
        <v/>
      </c>
      <c r="Q600" s="24" t="str">
        <f>IF('ASS END SYNC'!C604="SHOW",FIND(",",'ASS END SYNC'!E604,P600+1),"")</f>
        <v/>
      </c>
      <c r="R600" s="25" t="str">
        <f>IF('ASS END SYNC'!C604="SHOW",FIND(",,",'ASS END SYNC'!E604,1),"")</f>
        <v/>
      </c>
      <c r="S600" s="25" t="str">
        <f>IF('ASS END SYNC'!C604="SHOW",FIND(",,",'ASS END SYNC'!E604,R600+1),"")</f>
        <v/>
      </c>
      <c r="T600" s="23" t="str">
        <f>IF('ASS END SYNC'!C604="SHOW",LEFT('ASS END SYNC'!E604,O600),"")</f>
        <v/>
      </c>
      <c r="U600" s="24" t="str">
        <f>IF('ASS END SYNC'!C604="SHOW",MID('ASS END SYNC'!E604,O600+1,P600-O600-1),"")</f>
        <v/>
      </c>
      <c r="V600" s="24" t="str">
        <f>IF(AND('ASS END SYNC'!C604="SHOW",'ASS END SYNC'!C605="SHOW"),U601,IF(AND('ASS END SYNC'!C604="SHOW",'ASS END SYNC'!C605&lt;&gt;"SHOW"),MID('ASS END SYNC'!E604,O600+1,P600-O600-1),""))</f>
        <v/>
      </c>
      <c r="W600" s="23" t="str">
        <f>IF('ASS END SYNC'!C604="SHOW",MID('ASS END SYNC'!E604,Q600+1,S600-Q600+1),"")</f>
        <v/>
      </c>
      <c r="X600" s="23" t="str">
        <f>IF('ASS END SYNC'!C604="SHOW",MID('ASS END SYNC'!E604,S600+2,1000),"")</f>
        <v/>
      </c>
      <c r="Z600" s="24"/>
    </row>
    <row r="601" spans="1:26" x14ac:dyDescent="0.25">
      <c r="A601" s="26">
        <v>598</v>
      </c>
      <c r="B601" s="24" t="str">
        <f>IF('ASS START SYNC'!C605="SHOW",FIND(",",'ASS START SYNC'!E605,1),"")</f>
        <v/>
      </c>
      <c r="C601" s="24" t="str">
        <f>IF('ASS START SYNC'!C605="SHOW",FIND(",",'ASS START SYNC'!E605,B601+1),"")</f>
        <v/>
      </c>
      <c r="D601" s="24" t="str">
        <f>IF('ASS START SYNC'!C605="SHOW",FIND(",",'ASS START SYNC'!E605,C601+1),"")</f>
        <v/>
      </c>
      <c r="E601" s="25" t="str">
        <f>IF('ASS START SYNC'!C605="SHOW",FIND(",,",'ASS START SYNC'!E605,1),"")</f>
        <v/>
      </c>
      <c r="F601" s="25" t="str">
        <f>IF('ASS START SYNC'!C605="SHOW",FIND(",,",'ASS START SYNC'!E605,E601+1),"")</f>
        <v/>
      </c>
      <c r="G601" s="23" t="str">
        <f>IF('ASS START SYNC'!C605="SHOW",LEFT('ASS START SYNC'!E605,B601),"")</f>
        <v/>
      </c>
      <c r="H601" s="24" t="str">
        <f>IF(AND('ASS START SYNC'!C605="SHOW",COUNTA('ASS START SYNC'!$E$8:'ASS START SYNC'!E604)=0),MID('ASS START SYNC'!E605,B601+1,C601-B601-1),IF(AND('ASS START SYNC'!C605="SHOW",COUNTA('ASS START SYNC'!$E$8:'ASS START SYNC'!E604)&lt;&gt;0),I600,""))</f>
        <v/>
      </c>
      <c r="I601" s="24" t="str">
        <f>IF('ASS START SYNC'!C605="SHOW",MID('ASS START SYNC'!E605,C601+1,D601-C601-1),I600)</f>
        <v/>
      </c>
      <c r="J601" s="23" t="str">
        <f>IF('ASS START SYNC'!C605="SHOW",MID('ASS START SYNC'!E605,D601+1,F601-D601+1),"")</f>
        <v/>
      </c>
      <c r="K601" s="23" t="str">
        <f>IF('ASS START SYNC'!C605="SHOW",MID('ASS START SYNC'!E605,F601+2,1000),"")</f>
        <v/>
      </c>
      <c r="M601" s="24"/>
      <c r="N601" s="26">
        <v>598</v>
      </c>
      <c r="O601" s="24" t="str">
        <f>IF('ASS END SYNC'!C605="SHOW",FIND(",",'ASS END SYNC'!E605,1),"")</f>
        <v/>
      </c>
      <c r="P601" s="24" t="str">
        <f>IF('ASS END SYNC'!C605="SHOW",FIND(",",'ASS END SYNC'!E605,O601+1),"")</f>
        <v/>
      </c>
      <c r="Q601" s="24" t="str">
        <f>IF('ASS END SYNC'!C605="SHOW",FIND(",",'ASS END SYNC'!E605,P601+1),"")</f>
        <v/>
      </c>
      <c r="R601" s="25" t="str">
        <f>IF('ASS END SYNC'!C605="SHOW",FIND(",,",'ASS END SYNC'!E605,1),"")</f>
        <v/>
      </c>
      <c r="S601" s="25" t="str">
        <f>IF('ASS END SYNC'!C605="SHOW",FIND(",,",'ASS END SYNC'!E605,R601+1),"")</f>
        <v/>
      </c>
      <c r="T601" s="23" t="str">
        <f>IF('ASS END SYNC'!C605="SHOW",LEFT('ASS END SYNC'!E605,O601),"")</f>
        <v/>
      </c>
      <c r="U601" s="24" t="str">
        <f>IF('ASS END SYNC'!C605="SHOW",MID('ASS END SYNC'!E605,O601+1,P601-O601-1),"")</f>
        <v/>
      </c>
      <c r="V601" s="24" t="str">
        <f>IF(AND('ASS END SYNC'!C605="SHOW",'ASS END SYNC'!C606="SHOW"),U602,IF(AND('ASS END SYNC'!C605="SHOW",'ASS END SYNC'!C606&lt;&gt;"SHOW"),MID('ASS END SYNC'!E605,O601+1,P601-O601-1),""))</f>
        <v/>
      </c>
      <c r="W601" s="23" t="str">
        <f>IF('ASS END SYNC'!C605="SHOW",MID('ASS END SYNC'!E605,Q601+1,S601-Q601+1),"")</f>
        <v/>
      </c>
      <c r="X601" s="23" t="str">
        <f>IF('ASS END SYNC'!C605="SHOW",MID('ASS END SYNC'!E605,S601+2,1000),"")</f>
        <v/>
      </c>
      <c r="Z601" s="24"/>
    </row>
    <row r="602" spans="1:26" x14ac:dyDescent="0.25">
      <c r="A602" s="26">
        <v>599</v>
      </c>
      <c r="B602" s="24" t="str">
        <f>IF('ASS START SYNC'!C606="SHOW",FIND(",",'ASS START SYNC'!E606,1),"")</f>
        <v/>
      </c>
      <c r="C602" s="24" t="str">
        <f>IF('ASS START SYNC'!C606="SHOW",FIND(",",'ASS START SYNC'!E606,B602+1),"")</f>
        <v/>
      </c>
      <c r="D602" s="24" t="str">
        <f>IF('ASS START SYNC'!C606="SHOW",FIND(",",'ASS START SYNC'!E606,C602+1),"")</f>
        <v/>
      </c>
      <c r="E602" s="25" t="str">
        <f>IF('ASS START SYNC'!C606="SHOW",FIND(",,",'ASS START SYNC'!E606,1),"")</f>
        <v/>
      </c>
      <c r="F602" s="25" t="str">
        <f>IF('ASS START SYNC'!C606="SHOW",FIND(",,",'ASS START SYNC'!E606,E602+1),"")</f>
        <v/>
      </c>
      <c r="G602" s="23" t="str">
        <f>IF('ASS START SYNC'!C606="SHOW",LEFT('ASS START SYNC'!E606,B602),"")</f>
        <v/>
      </c>
      <c r="H602" s="24" t="str">
        <f>IF(AND('ASS START SYNC'!C606="SHOW",COUNTA('ASS START SYNC'!$E$8:'ASS START SYNC'!E605)=0),MID('ASS START SYNC'!E606,B602+1,C602-B602-1),IF(AND('ASS START SYNC'!C606="SHOW",COUNTA('ASS START SYNC'!$E$8:'ASS START SYNC'!E605)&lt;&gt;0),I601,""))</f>
        <v/>
      </c>
      <c r="I602" s="24" t="str">
        <f>IF('ASS START SYNC'!C606="SHOW",MID('ASS START SYNC'!E606,C602+1,D602-C602-1),I601)</f>
        <v/>
      </c>
      <c r="J602" s="23" t="str">
        <f>IF('ASS START SYNC'!C606="SHOW",MID('ASS START SYNC'!E606,D602+1,F602-D602+1),"")</f>
        <v/>
      </c>
      <c r="K602" s="23" t="str">
        <f>IF('ASS START SYNC'!C606="SHOW",MID('ASS START SYNC'!E606,F602+2,1000),"")</f>
        <v/>
      </c>
      <c r="M602" s="24"/>
      <c r="N602" s="26">
        <v>599</v>
      </c>
      <c r="O602" s="24" t="str">
        <f>IF('ASS END SYNC'!C606="SHOW",FIND(",",'ASS END SYNC'!E606,1),"")</f>
        <v/>
      </c>
      <c r="P602" s="24" t="str">
        <f>IF('ASS END SYNC'!C606="SHOW",FIND(",",'ASS END SYNC'!E606,O602+1),"")</f>
        <v/>
      </c>
      <c r="Q602" s="24" t="str">
        <f>IF('ASS END SYNC'!C606="SHOW",FIND(",",'ASS END SYNC'!E606,P602+1),"")</f>
        <v/>
      </c>
      <c r="R602" s="25" t="str">
        <f>IF('ASS END SYNC'!C606="SHOW",FIND(",,",'ASS END SYNC'!E606,1),"")</f>
        <v/>
      </c>
      <c r="S602" s="25" t="str">
        <f>IF('ASS END SYNC'!C606="SHOW",FIND(",,",'ASS END SYNC'!E606,R602+1),"")</f>
        <v/>
      </c>
      <c r="T602" s="23" t="str">
        <f>IF('ASS END SYNC'!C606="SHOW",LEFT('ASS END SYNC'!E606,O602),"")</f>
        <v/>
      </c>
      <c r="U602" s="24" t="str">
        <f>IF('ASS END SYNC'!C606="SHOW",MID('ASS END SYNC'!E606,O602+1,P602-O602-1),"")</f>
        <v/>
      </c>
      <c r="V602" s="24" t="str">
        <f>IF(AND('ASS END SYNC'!C606="SHOW",'ASS END SYNC'!C607="SHOW"),U603,IF(AND('ASS END SYNC'!C606="SHOW",'ASS END SYNC'!C607&lt;&gt;"SHOW"),MID('ASS END SYNC'!E606,O602+1,P602-O602-1),""))</f>
        <v/>
      </c>
      <c r="W602" s="23" t="str">
        <f>IF('ASS END SYNC'!C606="SHOW",MID('ASS END SYNC'!E606,Q602+1,S602-Q602+1),"")</f>
        <v/>
      </c>
      <c r="X602" s="23" t="str">
        <f>IF('ASS END SYNC'!C606="SHOW",MID('ASS END SYNC'!E606,S602+2,1000),"")</f>
        <v/>
      </c>
      <c r="Z602" s="24"/>
    </row>
    <row r="603" spans="1:26" x14ac:dyDescent="0.25">
      <c r="A603" s="26">
        <v>600</v>
      </c>
      <c r="B603" s="24" t="str">
        <f>IF('ASS START SYNC'!C607="SHOW",FIND(",",'ASS START SYNC'!E607,1),"")</f>
        <v/>
      </c>
      <c r="C603" s="24" t="str">
        <f>IF('ASS START SYNC'!C607="SHOW",FIND(",",'ASS START SYNC'!E607,B603+1),"")</f>
        <v/>
      </c>
      <c r="D603" s="24" t="str">
        <f>IF('ASS START SYNC'!C607="SHOW",FIND(",",'ASS START SYNC'!E607,C603+1),"")</f>
        <v/>
      </c>
      <c r="E603" s="25" t="str">
        <f>IF('ASS START SYNC'!C607="SHOW",FIND(",,",'ASS START SYNC'!E607,1),"")</f>
        <v/>
      </c>
      <c r="F603" s="25" t="str">
        <f>IF('ASS START SYNC'!C607="SHOW",FIND(",,",'ASS START SYNC'!E607,E603+1),"")</f>
        <v/>
      </c>
      <c r="G603" s="23" t="str">
        <f>IF('ASS START SYNC'!C607="SHOW",LEFT('ASS START SYNC'!E607,B603),"")</f>
        <v/>
      </c>
      <c r="H603" s="24" t="str">
        <f>IF(AND('ASS START SYNC'!C607="SHOW",COUNTA('ASS START SYNC'!$E$8:'ASS START SYNC'!E606)=0),MID('ASS START SYNC'!E607,B603+1,C603-B603-1),IF(AND('ASS START SYNC'!C607="SHOW",COUNTA('ASS START SYNC'!$E$8:'ASS START SYNC'!E606)&lt;&gt;0),I602,""))</f>
        <v/>
      </c>
      <c r="I603" s="24" t="str">
        <f>IF('ASS START SYNC'!C607="SHOW",MID('ASS START SYNC'!E607,C603+1,D603-C603-1),I602)</f>
        <v/>
      </c>
      <c r="J603" s="23" t="str">
        <f>IF('ASS START SYNC'!C607="SHOW",MID('ASS START SYNC'!E607,D603+1,F603-D603+1),"")</f>
        <v/>
      </c>
      <c r="K603" s="23" t="str">
        <f>IF('ASS START SYNC'!C607="SHOW",MID('ASS START SYNC'!E607,F603+2,1000),"")</f>
        <v/>
      </c>
      <c r="M603" s="24"/>
      <c r="N603" s="26">
        <v>600</v>
      </c>
      <c r="O603" s="24" t="str">
        <f>IF('ASS END SYNC'!C607="SHOW",FIND(",",'ASS END SYNC'!E607,1),"")</f>
        <v/>
      </c>
      <c r="P603" s="24" t="str">
        <f>IF('ASS END SYNC'!C607="SHOW",FIND(",",'ASS END SYNC'!E607,O603+1),"")</f>
        <v/>
      </c>
      <c r="Q603" s="24" t="str">
        <f>IF('ASS END SYNC'!C607="SHOW",FIND(",",'ASS END SYNC'!E607,P603+1),"")</f>
        <v/>
      </c>
      <c r="R603" s="25" t="str">
        <f>IF('ASS END SYNC'!C607="SHOW",FIND(",,",'ASS END SYNC'!E607,1),"")</f>
        <v/>
      </c>
      <c r="S603" s="25" t="str">
        <f>IF('ASS END SYNC'!C607="SHOW",FIND(",,",'ASS END SYNC'!E607,R603+1),"")</f>
        <v/>
      </c>
      <c r="T603" s="23" t="str">
        <f>IF('ASS END SYNC'!C607="SHOW",LEFT('ASS END SYNC'!E607,O603),"")</f>
        <v/>
      </c>
      <c r="U603" s="24" t="str">
        <f>IF('ASS END SYNC'!C607="SHOW",MID('ASS END SYNC'!E607,O603+1,P603-O603-1),"")</f>
        <v/>
      </c>
      <c r="V603" s="24" t="str">
        <f>IF(AND('ASS END SYNC'!C607="SHOW",'ASS END SYNC'!C608="SHOW"),U604,IF(AND('ASS END SYNC'!C607="SHOW",'ASS END SYNC'!C608&lt;&gt;"SHOW"),MID('ASS END SYNC'!E607,O603+1,P603-O603-1),""))</f>
        <v/>
      </c>
      <c r="W603" s="23" t="str">
        <f>IF('ASS END SYNC'!C607="SHOW",MID('ASS END SYNC'!E607,Q603+1,S603-Q603+1),"")</f>
        <v/>
      </c>
      <c r="X603" s="23" t="str">
        <f>IF('ASS END SYNC'!C607="SHOW",MID('ASS END SYNC'!E607,S603+2,1000),"")</f>
        <v/>
      </c>
      <c r="Z603" s="24"/>
    </row>
    <row r="604" spans="1:26" x14ac:dyDescent="0.25">
      <c r="A604" s="26">
        <v>601</v>
      </c>
      <c r="B604" s="24" t="str">
        <f>IF('ASS START SYNC'!C608="SHOW",FIND(",",'ASS START SYNC'!E608,1),"")</f>
        <v/>
      </c>
      <c r="C604" s="24" t="str">
        <f>IF('ASS START SYNC'!C608="SHOW",FIND(",",'ASS START SYNC'!E608,B604+1),"")</f>
        <v/>
      </c>
      <c r="D604" s="24" t="str">
        <f>IF('ASS START SYNC'!C608="SHOW",FIND(",",'ASS START SYNC'!E608,C604+1),"")</f>
        <v/>
      </c>
      <c r="E604" s="25" t="str">
        <f>IF('ASS START SYNC'!C608="SHOW",FIND(",,",'ASS START SYNC'!E608,1),"")</f>
        <v/>
      </c>
      <c r="F604" s="25" t="str">
        <f>IF('ASS START SYNC'!C608="SHOW",FIND(",,",'ASS START SYNC'!E608,E604+1),"")</f>
        <v/>
      </c>
      <c r="G604" s="23" t="str">
        <f>IF('ASS START SYNC'!C608="SHOW",LEFT('ASS START SYNC'!E608,B604),"")</f>
        <v/>
      </c>
      <c r="H604" s="24" t="str">
        <f>IF(AND('ASS START SYNC'!C608="SHOW",COUNTA('ASS START SYNC'!$E$8:'ASS START SYNC'!E607)=0),MID('ASS START SYNC'!E608,B604+1,C604-B604-1),IF(AND('ASS START SYNC'!C608="SHOW",COUNTA('ASS START SYNC'!$E$8:'ASS START SYNC'!E607)&lt;&gt;0),I603,""))</f>
        <v/>
      </c>
      <c r="I604" s="24" t="str">
        <f>IF('ASS START SYNC'!C608="SHOW",MID('ASS START SYNC'!E608,C604+1,D604-C604-1),I603)</f>
        <v/>
      </c>
      <c r="J604" s="23" t="str">
        <f>IF('ASS START SYNC'!C608="SHOW",MID('ASS START SYNC'!E608,D604+1,F604-D604+1),"")</f>
        <v/>
      </c>
      <c r="K604" s="23" t="str">
        <f>IF('ASS START SYNC'!C608="SHOW",MID('ASS START SYNC'!E608,F604+2,1000),"")</f>
        <v/>
      </c>
      <c r="M604" s="24"/>
      <c r="N604" s="26">
        <v>601</v>
      </c>
      <c r="O604" s="24" t="str">
        <f>IF('ASS END SYNC'!C608="SHOW",FIND(",",'ASS END SYNC'!E608,1),"")</f>
        <v/>
      </c>
      <c r="P604" s="24" t="str">
        <f>IF('ASS END SYNC'!C608="SHOW",FIND(",",'ASS END SYNC'!E608,O604+1),"")</f>
        <v/>
      </c>
      <c r="Q604" s="24" t="str">
        <f>IF('ASS END SYNC'!C608="SHOW",FIND(",",'ASS END SYNC'!E608,P604+1),"")</f>
        <v/>
      </c>
      <c r="R604" s="25" t="str">
        <f>IF('ASS END SYNC'!C608="SHOW",FIND(",,",'ASS END SYNC'!E608,1),"")</f>
        <v/>
      </c>
      <c r="S604" s="25" t="str">
        <f>IF('ASS END SYNC'!C608="SHOW",FIND(",,",'ASS END SYNC'!E608,R604+1),"")</f>
        <v/>
      </c>
      <c r="T604" s="23" t="str">
        <f>IF('ASS END SYNC'!C608="SHOW",LEFT('ASS END SYNC'!E608,O604),"")</f>
        <v/>
      </c>
      <c r="U604" s="24" t="str">
        <f>IF('ASS END SYNC'!C608="SHOW",MID('ASS END SYNC'!E608,O604+1,P604-O604-1),"")</f>
        <v/>
      </c>
      <c r="V604" s="24" t="str">
        <f>IF(AND('ASS END SYNC'!C608="SHOW",'ASS END SYNC'!C609="SHOW"),U605,IF(AND('ASS END SYNC'!C608="SHOW",'ASS END SYNC'!C609&lt;&gt;"SHOW"),MID('ASS END SYNC'!E608,O604+1,P604-O604-1),""))</f>
        <v/>
      </c>
      <c r="W604" s="23" t="str">
        <f>IF('ASS END SYNC'!C608="SHOW",MID('ASS END SYNC'!E608,Q604+1,S604-Q604+1),"")</f>
        <v/>
      </c>
      <c r="X604" s="23" t="str">
        <f>IF('ASS END SYNC'!C608="SHOW",MID('ASS END SYNC'!E608,S604+2,1000),"")</f>
        <v/>
      </c>
      <c r="Z604" s="24"/>
    </row>
    <row r="605" spans="1:26" x14ac:dyDescent="0.25">
      <c r="A605" s="26">
        <v>602</v>
      </c>
      <c r="B605" s="24" t="str">
        <f>IF('ASS START SYNC'!C609="SHOW",FIND(",",'ASS START SYNC'!E609,1),"")</f>
        <v/>
      </c>
      <c r="C605" s="24" t="str">
        <f>IF('ASS START SYNC'!C609="SHOW",FIND(",",'ASS START SYNC'!E609,B605+1),"")</f>
        <v/>
      </c>
      <c r="D605" s="24" t="str">
        <f>IF('ASS START SYNC'!C609="SHOW",FIND(",",'ASS START SYNC'!E609,C605+1),"")</f>
        <v/>
      </c>
      <c r="E605" s="25" t="str">
        <f>IF('ASS START SYNC'!C609="SHOW",FIND(",,",'ASS START SYNC'!E609,1),"")</f>
        <v/>
      </c>
      <c r="F605" s="25" t="str">
        <f>IF('ASS START SYNC'!C609="SHOW",FIND(",,",'ASS START SYNC'!E609,E605+1),"")</f>
        <v/>
      </c>
      <c r="G605" s="23" t="str">
        <f>IF('ASS START SYNC'!C609="SHOW",LEFT('ASS START SYNC'!E609,B605),"")</f>
        <v/>
      </c>
      <c r="H605" s="24" t="str">
        <f>IF(AND('ASS START SYNC'!C609="SHOW",COUNTA('ASS START SYNC'!$E$8:'ASS START SYNC'!E608)=0),MID('ASS START SYNC'!E609,B605+1,C605-B605-1),IF(AND('ASS START SYNC'!C609="SHOW",COUNTA('ASS START SYNC'!$E$8:'ASS START SYNC'!E608)&lt;&gt;0),I604,""))</f>
        <v/>
      </c>
      <c r="I605" s="24" t="str">
        <f>IF('ASS START SYNC'!C609="SHOW",MID('ASS START SYNC'!E609,C605+1,D605-C605-1),I604)</f>
        <v/>
      </c>
      <c r="J605" s="23" t="str">
        <f>IF('ASS START SYNC'!C609="SHOW",MID('ASS START SYNC'!E609,D605+1,F605-D605+1),"")</f>
        <v/>
      </c>
      <c r="K605" s="23" t="str">
        <f>IF('ASS START SYNC'!C609="SHOW",MID('ASS START SYNC'!E609,F605+2,1000),"")</f>
        <v/>
      </c>
      <c r="M605" s="24"/>
      <c r="N605" s="26">
        <v>602</v>
      </c>
      <c r="O605" s="24" t="str">
        <f>IF('ASS END SYNC'!C609="SHOW",FIND(",",'ASS END SYNC'!E609,1),"")</f>
        <v/>
      </c>
      <c r="P605" s="24" t="str">
        <f>IF('ASS END SYNC'!C609="SHOW",FIND(",",'ASS END SYNC'!E609,O605+1),"")</f>
        <v/>
      </c>
      <c r="Q605" s="24" t="str">
        <f>IF('ASS END SYNC'!C609="SHOW",FIND(",",'ASS END SYNC'!E609,P605+1),"")</f>
        <v/>
      </c>
      <c r="R605" s="25" t="str">
        <f>IF('ASS END SYNC'!C609="SHOW",FIND(",,",'ASS END SYNC'!E609,1),"")</f>
        <v/>
      </c>
      <c r="S605" s="25" t="str">
        <f>IF('ASS END SYNC'!C609="SHOW",FIND(",,",'ASS END SYNC'!E609,R605+1),"")</f>
        <v/>
      </c>
      <c r="T605" s="23" t="str">
        <f>IF('ASS END SYNC'!C609="SHOW",LEFT('ASS END SYNC'!E609,O605),"")</f>
        <v/>
      </c>
      <c r="U605" s="24" t="str">
        <f>IF('ASS END SYNC'!C609="SHOW",MID('ASS END SYNC'!E609,O605+1,P605-O605-1),"")</f>
        <v/>
      </c>
      <c r="V605" s="24" t="str">
        <f>IF(AND('ASS END SYNC'!C609="SHOW",'ASS END SYNC'!C610="SHOW"),U606,IF(AND('ASS END SYNC'!C609="SHOW",'ASS END SYNC'!C610&lt;&gt;"SHOW"),MID('ASS END SYNC'!E609,O605+1,P605-O605-1),""))</f>
        <v/>
      </c>
      <c r="W605" s="23" t="str">
        <f>IF('ASS END SYNC'!C609="SHOW",MID('ASS END SYNC'!E609,Q605+1,S605-Q605+1),"")</f>
        <v/>
      </c>
      <c r="X605" s="23" t="str">
        <f>IF('ASS END SYNC'!C609="SHOW",MID('ASS END SYNC'!E609,S605+2,1000),"")</f>
        <v/>
      </c>
      <c r="Z605" s="24"/>
    </row>
    <row r="606" spans="1:26" x14ac:dyDescent="0.25">
      <c r="A606" s="26">
        <v>603</v>
      </c>
      <c r="B606" s="24" t="str">
        <f>IF('ASS START SYNC'!C610="SHOW",FIND(",",'ASS START SYNC'!E610,1),"")</f>
        <v/>
      </c>
      <c r="C606" s="24" t="str">
        <f>IF('ASS START SYNC'!C610="SHOW",FIND(",",'ASS START SYNC'!E610,B606+1),"")</f>
        <v/>
      </c>
      <c r="D606" s="24" t="str">
        <f>IF('ASS START SYNC'!C610="SHOW",FIND(",",'ASS START SYNC'!E610,C606+1),"")</f>
        <v/>
      </c>
      <c r="E606" s="25" t="str">
        <f>IF('ASS START SYNC'!C610="SHOW",FIND(",,",'ASS START SYNC'!E610,1),"")</f>
        <v/>
      </c>
      <c r="F606" s="25" t="str">
        <f>IF('ASS START SYNC'!C610="SHOW",FIND(",,",'ASS START SYNC'!E610,E606+1),"")</f>
        <v/>
      </c>
      <c r="G606" s="23" t="str">
        <f>IF('ASS START SYNC'!C610="SHOW",LEFT('ASS START SYNC'!E610,B606),"")</f>
        <v/>
      </c>
      <c r="H606" s="24" t="str">
        <f>IF(AND('ASS START SYNC'!C610="SHOW",COUNTA('ASS START SYNC'!$E$8:'ASS START SYNC'!E609)=0),MID('ASS START SYNC'!E610,B606+1,C606-B606-1),IF(AND('ASS START SYNC'!C610="SHOW",COUNTA('ASS START SYNC'!$E$8:'ASS START SYNC'!E609)&lt;&gt;0),I605,""))</f>
        <v/>
      </c>
      <c r="I606" s="24" t="str">
        <f>IF('ASS START SYNC'!C610="SHOW",MID('ASS START SYNC'!E610,C606+1,D606-C606-1),I605)</f>
        <v/>
      </c>
      <c r="J606" s="23" t="str">
        <f>IF('ASS START SYNC'!C610="SHOW",MID('ASS START SYNC'!E610,D606+1,F606-D606+1),"")</f>
        <v/>
      </c>
      <c r="K606" s="23" t="str">
        <f>IF('ASS START SYNC'!C610="SHOW",MID('ASS START SYNC'!E610,F606+2,1000),"")</f>
        <v/>
      </c>
      <c r="M606" s="24"/>
      <c r="N606" s="26">
        <v>603</v>
      </c>
      <c r="O606" s="24" t="str">
        <f>IF('ASS END SYNC'!C610="SHOW",FIND(",",'ASS END SYNC'!E610,1),"")</f>
        <v/>
      </c>
      <c r="P606" s="24" t="str">
        <f>IF('ASS END SYNC'!C610="SHOW",FIND(",",'ASS END SYNC'!E610,O606+1),"")</f>
        <v/>
      </c>
      <c r="Q606" s="24" t="str">
        <f>IF('ASS END SYNC'!C610="SHOW",FIND(",",'ASS END SYNC'!E610,P606+1),"")</f>
        <v/>
      </c>
      <c r="R606" s="25" t="str">
        <f>IF('ASS END SYNC'!C610="SHOW",FIND(",,",'ASS END SYNC'!E610,1),"")</f>
        <v/>
      </c>
      <c r="S606" s="25" t="str">
        <f>IF('ASS END SYNC'!C610="SHOW",FIND(",,",'ASS END SYNC'!E610,R606+1),"")</f>
        <v/>
      </c>
      <c r="T606" s="23" t="str">
        <f>IF('ASS END SYNC'!C610="SHOW",LEFT('ASS END SYNC'!E610,O606),"")</f>
        <v/>
      </c>
      <c r="U606" s="24" t="str">
        <f>IF('ASS END SYNC'!C610="SHOW",MID('ASS END SYNC'!E610,O606+1,P606-O606-1),"")</f>
        <v/>
      </c>
      <c r="V606" s="24" t="str">
        <f>IF(AND('ASS END SYNC'!C610="SHOW",'ASS END SYNC'!C611="SHOW"),U607,IF(AND('ASS END SYNC'!C610="SHOW",'ASS END SYNC'!C611&lt;&gt;"SHOW"),MID('ASS END SYNC'!E610,O606+1,P606-O606-1),""))</f>
        <v/>
      </c>
      <c r="W606" s="23" t="str">
        <f>IF('ASS END SYNC'!C610="SHOW",MID('ASS END SYNC'!E610,Q606+1,S606-Q606+1),"")</f>
        <v/>
      </c>
      <c r="X606" s="23" t="str">
        <f>IF('ASS END SYNC'!C610="SHOW",MID('ASS END SYNC'!E610,S606+2,1000),"")</f>
        <v/>
      </c>
      <c r="Z606" s="24"/>
    </row>
    <row r="607" spans="1:26" x14ac:dyDescent="0.25">
      <c r="A607" s="26">
        <v>604</v>
      </c>
      <c r="B607" s="24" t="str">
        <f>IF('ASS START SYNC'!C611="SHOW",FIND(",",'ASS START SYNC'!E611,1),"")</f>
        <v/>
      </c>
      <c r="C607" s="24" t="str">
        <f>IF('ASS START SYNC'!C611="SHOW",FIND(",",'ASS START SYNC'!E611,B607+1),"")</f>
        <v/>
      </c>
      <c r="D607" s="24" t="str">
        <f>IF('ASS START SYNC'!C611="SHOW",FIND(",",'ASS START SYNC'!E611,C607+1),"")</f>
        <v/>
      </c>
      <c r="E607" s="25" t="str">
        <f>IF('ASS START SYNC'!C611="SHOW",FIND(",,",'ASS START SYNC'!E611,1),"")</f>
        <v/>
      </c>
      <c r="F607" s="25" t="str">
        <f>IF('ASS START SYNC'!C611="SHOW",FIND(",,",'ASS START SYNC'!E611,E607+1),"")</f>
        <v/>
      </c>
      <c r="G607" s="23" t="str">
        <f>IF('ASS START SYNC'!C611="SHOW",LEFT('ASS START SYNC'!E611,B607),"")</f>
        <v/>
      </c>
      <c r="H607" s="24" t="str">
        <f>IF(AND('ASS START SYNC'!C611="SHOW",COUNTA('ASS START SYNC'!$E$8:'ASS START SYNC'!E610)=0),MID('ASS START SYNC'!E611,B607+1,C607-B607-1),IF(AND('ASS START SYNC'!C611="SHOW",COUNTA('ASS START SYNC'!$E$8:'ASS START SYNC'!E610)&lt;&gt;0),I606,""))</f>
        <v/>
      </c>
      <c r="I607" s="24" t="str">
        <f>IF('ASS START SYNC'!C611="SHOW",MID('ASS START SYNC'!E611,C607+1,D607-C607-1),I606)</f>
        <v/>
      </c>
      <c r="J607" s="23" t="str">
        <f>IF('ASS START SYNC'!C611="SHOW",MID('ASS START SYNC'!E611,D607+1,F607-D607+1),"")</f>
        <v/>
      </c>
      <c r="K607" s="23" t="str">
        <f>IF('ASS START SYNC'!C611="SHOW",MID('ASS START SYNC'!E611,F607+2,1000),"")</f>
        <v/>
      </c>
      <c r="M607" s="24"/>
      <c r="N607" s="26">
        <v>604</v>
      </c>
      <c r="O607" s="24" t="str">
        <f>IF('ASS END SYNC'!C611="SHOW",FIND(",",'ASS END SYNC'!E611,1),"")</f>
        <v/>
      </c>
      <c r="P607" s="24" t="str">
        <f>IF('ASS END SYNC'!C611="SHOW",FIND(",",'ASS END SYNC'!E611,O607+1),"")</f>
        <v/>
      </c>
      <c r="Q607" s="24" t="str">
        <f>IF('ASS END SYNC'!C611="SHOW",FIND(",",'ASS END SYNC'!E611,P607+1),"")</f>
        <v/>
      </c>
      <c r="R607" s="25" t="str">
        <f>IF('ASS END SYNC'!C611="SHOW",FIND(",,",'ASS END SYNC'!E611,1),"")</f>
        <v/>
      </c>
      <c r="S607" s="25" t="str">
        <f>IF('ASS END SYNC'!C611="SHOW",FIND(",,",'ASS END SYNC'!E611,R607+1),"")</f>
        <v/>
      </c>
      <c r="T607" s="23" t="str">
        <f>IF('ASS END SYNC'!C611="SHOW",LEFT('ASS END SYNC'!E611,O607),"")</f>
        <v/>
      </c>
      <c r="U607" s="24" t="str">
        <f>IF('ASS END SYNC'!C611="SHOW",MID('ASS END SYNC'!E611,O607+1,P607-O607-1),"")</f>
        <v/>
      </c>
      <c r="V607" s="24" t="str">
        <f>IF(AND('ASS END SYNC'!C611="SHOW",'ASS END SYNC'!C612="SHOW"),U608,IF(AND('ASS END SYNC'!C611="SHOW",'ASS END SYNC'!C612&lt;&gt;"SHOW"),MID('ASS END SYNC'!E611,O607+1,P607-O607-1),""))</f>
        <v/>
      </c>
      <c r="W607" s="23" t="str">
        <f>IF('ASS END SYNC'!C611="SHOW",MID('ASS END SYNC'!E611,Q607+1,S607-Q607+1),"")</f>
        <v/>
      </c>
      <c r="X607" s="23" t="str">
        <f>IF('ASS END SYNC'!C611="SHOW",MID('ASS END SYNC'!E611,S607+2,1000),"")</f>
        <v/>
      </c>
      <c r="Z607" s="24"/>
    </row>
    <row r="608" spans="1:26" x14ac:dyDescent="0.25">
      <c r="A608" s="26">
        <v>605</v>
      </c>
      <c r="B608" s="24" t="str">
        <f>IF('ASS START SYNC'!C612="SHOW",FIND(",",'ASS START SYNC'!E612,1),"")</f>
        <v/>
      </c>
      <c r="C608" s="24" t="str">
        <f>IF('ASS START SYNC'!C612="SHOW",FIND(",",'ASS START SYNC'!E612,B608+1),"")</f>
        <v/>
      </c>
      <c r="D608" s="24" t="str">
        <f>IF('ASS START SYNC'!C612="SHOW",FIND(",",'ASS START SYNC'!E612,C608+1),"")</f>
        <v/>
      </c>
      <c r="E608" s="25" t="str">
        <f>IF('ASS START SYNC'!C612="SHOW",FIND(",,",'ASS START SYNC'!E612,1),"")</f>
        <v/>
      </c>
      <c r="F608" s="25" t="str">
        <f>IF('ASS START SYNC'!C612="SHOW",FIND(",,",'ASS START SYNC'!E612,E608+1),"")</f>
        <v/>
      </c>
      <c r="G608" s="23" t="str">
        <f>IF('ASS START SYNC'!C612="SHOW",LEFT('ASS START SYNC'!E612,B608),"")</f>
        <v/>
      </c>
      <c r="H608" s="24" t="str">
        <f>IF(AND('ASS START SYNC'!C612="SHOW",COUNTA('ASS START SYNC'!$E$8:'ASS START SYNC'!E611)=0),MID('ASS START SYNC'!E612,B608+1,C608-B608-1),IF(AND('ASS START SYNC'!C612="SHOW",COUNTA('ASS START SYNC'!$E$8:'ASS START SYNC'!E611)&lt;&gt;0),I607,""))</f>
        <v/>
      </c>
      <c r="I608" s="24" t="str">
        <f>IF('ASS START SYNC'!C612="SHOW",MID('ASS START SYNC'!E612,C608+1,D608-C608-1),I607)</f>
        <v/>
      </c>
      <c r="J608" s="23" t="str">
        <f>IF('ASS START SYNC'!C612="SHOW",MID('ASS START SYNC'!E612,D608+1,F608-D608+1),"")</f>
        <v/>
      </c>
      <c r="K608" s="23" t="str">
        <f>IF('ASS START SYNC'!C612="SHOW",MID('ASS START SYNC'!E612,F608+2,1000),"")</f>
        <v/>
      </c>
      <c r="M608" s="24"/>
      <c r="N608" s="26">
        <v>605</v>
      </c>
      <c r="O608" s="24" t="str">
        <f>IF('ASS END SYNC'!C612="SHOW",FIND(",",'ASS END SYNC'!E612,1),"")</f>
        <v/>
      </c>
      <c r="P608" s="24" t="str">
        <f>IF('ASS END SYNC'!C612="SHOW",FIND(",",'ASS END SYNC'!E612,O608+1),"")</f>
        <v/>
      </c>
      <c r="Q608" s="24" t="str">
        <f>IF('ASS END SYNC'!C612="SHOW",FIND(",",'ASS END SYNC'!E612,P608+1),"")</f>
        <v/>
      </c>
      <c r="R608" s="25" t="str">
        <f>IF('ASS END SYNC'!C612="SHOW",FIND(",,",'ASS END SYNC'!E612,1),"")</f>
        <v/>
      </c>
      <c r="S608" s="25" t="str">
        <f>IF('ASS END SYNC'!C612="SHOW",FIND(",,",'ASS END SYNC'!E612,R608+1),"")</f>
        <v/>
      </c>
      <c r="T608" s="23" t="str">
        <f>IF('ASS END SYNC'!C612="SHOW",LEFT('ASS END SYNC'!E612,O608),"")</f>
        <v/>
      </c>
      <c r="U608" s="24" t="str">
        <f>IF('ASS END SYNC'!C612="SHOW",MID('ASS END SYNC'!E612,O608+1,P608-O608-1),"")</f>
        <v/>
      </c>
      <c r="V608" s="24" t="str">
        <f>IF(AND('ASS END SYNC'!C612="SHOW",'ASS END SYNC'!C613="SHOW"),U609,IF(AND('ASS END SYNC'!C612="SHOW",'ASS END SYNC'!C613&lt;&gt;"SHOW"),MID('ASS END SYNC'!E612,O608+1,P608-O608-1),""))</f>
        <v/>
      </c>
      <c r="W608" s="23" t="str">
        <f>IF('ASS END SYNC'!C612="SHOW",MID('ASS END SYNC'!E612,Q608+1,S608-Q608+1),"")</f>
        <v/>
      </c>
      <c r="X608" s="23" t="str">
        <f>IF('ASS END SYNC'!C612="SHOW",MID('ASS END SYNC'!E612,S608+2,1000),"")</f>
        <v/>
      </c>
      <c r="Z608" s="24"/>
    </row>
    <row r="609" spans="1:26" x14ac:dyDescent="0.25">
      <c r="A609" s="26">
        <v>606</v>
      </c>
      <c r="B609" s="24" t="str">
        <f>IF('ASS START SYNC'!C613="SHOW",FIND(",",'ASS START SYNC'!E613,1),"")</f>
        <v/>
      </c>
      <c r="C609" s="24" t="str">
        <f>IF('ASS START SYNC'!C613="SHOW",FIND(",",'ASS START SYNC'!E613,B609+1),"")</f>
        <v/>
      </c>
      <c r="D609" s="24" t="str">
        <f>IF('ASS START SYNC'!C613="SHOW",FIND(",",'ASS START SYNC'!E613,C609+1),"")</f>
        <v/>
      </c>
      <c r="E609" s="25" t="str">
        <f>IF('ASS START SYNC'!C613="SHOW",FIND(",,",'ASS START SYNC'!E613,1),"")</f>
        <v/>
      </c>
      <c r="F609" s="25" t="str">
        <f>IF('ASS START SYNC'!C613="SHOW",FIND(",,",'ASS START SYNC'!E613,E609+1),"")</f>
        <v/>
      </c>
      <c r="G609" s="23" t="str">
        <f>IF('ASS START SYNC'!C613="SHOW",LEFT('ASS START SYNC'!E613,B609),"")</f>
        <v/>
      </c>
      <c r="H609" s="24" t="str">
        <f>IF(AND('ASS START SYNC'!C613="SHOW",COUNTA('ASS START SYNC'!$E$8:'ASS START SYNC'!E612)=0),MID('ASS START SYNC'!E613,B609+1,C609-B609-1),IF(AND('ASS START SYNC'!C613="SHOW",COUNTA('ASS START SYNC'!$E$8:'ASS START SYNC'!E612)&lt;&gt;0),I608,""))</f>
        <v/>
      </c>
      <c r="I609" s="24" t="str">
        <f>IF('ASS START SYNC'!C613="SHOW",MID('ASS START SYNC'!E613,C609+1,D609-C609-1),I608)</f>
        <v/>
      </c>
      <c r="J609" s="23" t="str">
        <f>IF('ASS START SYNC'!C613="SHOW",MID('ASS START SYNC'!E613,D609+1,F609-D609+1),"")</f>
        <v/>
      </c>
      <c r="K609" s="23" t="str">
        <f>IF('ASS START SYNC'!C613="SHOW",MID('ASS START SYNC'!E613,F609+2,1000),"")</f>
        <v/>
      </c>
      <c r="M609" s="24"/>
      <c r="N609" s="26">
        <v>606</v>
      </c>
      <c r="O609" s="24" t="str">
        <f>IF('ASS END SYNC'!C613="SHOW",FIND(",",'ASS END SYNC'!E613,1),"")</f>
        <v/>
      </c>
      <c r="P609" s="24" t="str">
        <f>IF('ASS END SYNC'!C613="SHOW",FIND(",",'ASS END SYNC'!E613,O609+1),"")</f>
        <v/>
      </c>
      <c r="Q609" s="24" t="str">
        <f>IF('ASS END SYNC'!C613="SHOW",FIND(",",'ASS END SYNC'!E613,P609+1),"")</f>
        <v/>
      </c>
      <c r="R609" s="25" t="str">
        <f>IF('ASS END SYNC'!C613="SHOW",FIND(",,",'ASS END SYNC'!E613,1),"")</f>
        <v/>
      </c>
      <c r="S609" s="25" t="str">
        <f>IF('ASS END SYNC'!C613="SHOW",FIND(",,",'ASS END SYNC'!E613,R609+1),"")</f>
        <v/>
      </c>
      <c r="T609" s="23" t="str">
        <f>IF('ASS END SYNC'!C613="SHOW",LEFT('ASS END SYNC'!E613,O609),"")</f>
        <v/>
      </c>
      <c r="U609" s="24" t="str">
        <f>IF('ASS END SYNC'!C613="SHOW",MID('ASS END SYNC'!E613,O609+1,P609-O609-1),"")</f>
        <v/>
      </c>
      <c r="V609" s="24" t="str">
        <f>IF(AND('ASS END SYNC'!C613="SHOW",'ASS END SYNC'!C614="SHOW"),U610,IF(AND('ASS END SYNC'!C613="SHOW",'ASS END SYNC'!C614&lt;&gt;"SHOW"),MID('ASS END SYNC'!E613,O609+1,P609-O609-1),""))</f>
        <v/>
      </c>
      <c r="W609" s="23" t="str">
        <f>IF('ASS END SYNC'!C613="SHOW",MID('ASS END SYNC'!E613,Q609+1,S609-Q609+1),"")</f>
        <v/>
      </c>
      <c r="X609" s="23" t="str">
        <f>IF('ASS END SYNC'!C613="SHOW",MID('ASS END SYNC'!E613,S609+2,1000),"")</f>
        <v/>
      </c>
      <c r="Z609" s="24"/>
    </row>
    <row r="610" spans="1:26" x14ac:dyDescent="0.25">
      <c r="A610" s="26">
        <v>607</v>
      </c>
      <c r="B610" s="24" t="str">
        <f>IF('ASS START SYNC'!C614="SHOW",FIND(",",'ASS START SYNC'!E614,1),"")</f>
        <v/>
      </c>
      <c r="C610" s="24" t="str">
        <f>IF('ASS START SYNC'!C614="SHOW",FIND(",",'ASS START SYNC'!E614,B610+1),"")</f>
        <v/>
      </c>
      <c r="D610" s="24" t="str">
        <f>IF('ASS START SYNC'!C614="SHOW",FIND(",",'ASS START SYNC'!E614,C610+1),"")</f>
        <v/>
      </c>
      <c r="E610" s="25" t="str">
        <f>IF('ASS START SYNC'!C614="SHOW",FIND(",,",'ASS START SYNC'!E614,1),"")</f>
        <v/>
      </c>
      <c r="F610" s="25" t="str">
        <f>IF('ASS START SYNC'!C614="SHOW",FIND(",,",'ASS START SYNC'!E614,E610+1),"")</f>
        <v/>
      </c>
      <c r="G610" s="23" t="str">
        <f>IF('ASS START SYNC'!C614="SHOW",LEFT('ASS START SYNC'!E614,B610),"")</f>
        <v/>
      </c>
      <c r="H610" s="24" t="str">
        <f>IF(AND('ASS START SYNC'!C614="SHOW",COUNTA('ASS START SYNC'!$E$8:'ASS START SYNC'!E613)=0),MID('ASS START SYNC'!E614,B610+1,C610-B610-1),IF(AND('ASS START SYNC'!C614="SHOW",COUNTA('ASS START SYNC'!$E$8:'ASS START SYNC'!E613)&lt;&gt;0),I609,""))</f>
        <v/>
      </c>
      <c r="I610" s="24" t="str">
        <f>IF('ASS START SYNC'!C614="SHOW",MID('ASS START SYNC'!E614,C610+1,D610-C610-1),I609)</f>
        <v/>
      </c>
      <c r="J610" s="23" t="str">
        <f>IF('ASS START SYNC'!C614="SHOW",MID('ASS START SYNC'!E614,D610+1,F610-D610+1),"")</f>
        <v/>
      </c>
      <c r="K610" s="23" t="str">
        <f>IF('ASS START SYNC'!C614="SHOW",MID('ASS START SYNC'!E614,F610+2,1000),"")</f>
        <v/>
      </c>
      <c r="M610" s="24"/>
      <c r="N610" s="26">
        <v>607</v>
      </c>
      <c r="O610" s="24" t="str">
        <f>IF('ASS END SYNC'!C614="SHOW",FIND(",",'ASS END SYNC'!E614,1),"")</f>
        <v/>
      </c>
      <c r="P610" s="24" t="str">
        <f>IF('ASS END SYNC'!C614="SHOW",FIND(",",'ASS END SYNC'!E614,O610+1),"")</f>
        <v/>
      </c>
      <c r="Q610" s="24" t="str">
        <f>IF('ASS END SYNC'!C614="SHOW",FIND(",",'ASS END SYNC'!E614,P610+1),"")</f>
        <v/>
      </c>
      <c r="R610" s="25" t="str">
        <f>IF('ASS END SYNC'!C614="SHOW",FIND(",,",'ASS END SYNC'!E614,1),"")</f>
        <v/>
      </c>
      <c r="S610" s="25" t="str">
        <f>IF('ASS END SYNC'!C614="SHOW",FIND(",,",'ASS END SYNC'!E614,R610+1),"")</f>
        <v/>
      </c>
      <c r="T610" s="23" t="str">
        <f>IF('ASS END SYNC'!C614="SHOW",LEFT('ASS END SYNC'!E614,O610),"")</f>
        <v/>
      </c>
      <c r="U610" s="24" t="str">
        <f>IF('ASS END SYNC'!C614="SHOW",MID('ASS END SYNC'!E614,O610+1,P610-O610-1),"")</f>
        <v/>
      </c>
      <c r="V610" s="24" t="str">
        <f>IF(AND('ASS END SYNC'!C614="SHOW",'ASS END SYNC'!C615="SHOW"),U611,IF(AND('ASS END SYNC'!C614="SHOW",'ASS END SYNC'!C615&lt;&gt;"SHOW"),MID('ASS END SYNC'!E614,O610+1,P610-O610-1),""))</f>
        <v/>
      </c>
      <c r="W610" s="23" t="str">
        <f>IF('ASS END SYNC'!C614="SHOW",MID('ASS END SYNC'!E614,Q610+1,S610-Q610+1),"")</f>
        <v/>
      </c>
      <c r="X610" s="23" t="str">
        <f>IF('ASS END SYNC'!C614="SHOW",MID('ASS END SYNC'!E614,S610+2,1000),"")</f>
        <v/>
      </c>
      <c r="Z610" s="24"/>
    </row>
    <row r="611" spans="1:26" x14ac:dyDescent="0.25">
      <c r="A611" s="26">
        <v>608</v>
      </c>
      <c r="B611" s="24" t="str">
        <f>IF('ASS START SYNC'!C615="SHOW",FIND(",",'ASS START SYNC'!E615,1),"")</f>
        <v/>
      </c>
      <c r="C611" s="24" t="str">
        <f>IF('ASS START SYNC'!C615="SHOW",FIND(",",'ASS START SYNC'!E615,B611+1),"")</f>
        <v/>
      </c>
      <c r="D611" s="24" t="str">
        <f>IF('ASS START SYNC'!C615="SHOW",FIND(",",'ASS START SYNC'!E615,C611+1),"")</f>
        <v/>
      </c>
      <c r="E611" s="25" t="str">
        <f>IF('ASS START SYNC'!C615="SHOW",FIND(",,",'ASS START SYNC'!E615,1),"")</f>
        <v/>
      </c>
      <c r="F611" s="25" t="str">
        <f>IF('ASS START SYNC'!C615="SHOW",FIND(",,",'ASS START SYNC'!E615,E611+1),"")</f>
        <v/>
      </c>
      <c r="G611" s="23" t="str">
        <f>IF('ASS START SYNC'!C615="SHOW",LEFT('ASS START SYNC'!E615,B611),"")</f>
        <v/>
      </c>
      <c r="H611" s="24" t="str">
        <f>IF(AND('ASS START SYNC'!C615="SHOW",COUNTA('ASS START SYNC'!$E$8:'ASS START SYNC'!E614)=0),MID('ASS START SYNC'!E615,B611+1,C611-B611-1),IF(AND('ASS START SYNC'!C615="SHOW",COUNTA('ASS START SYNC'!$E$8:'ASS START SYNC'!E614)&lt;&gt;0),I610,""))</f>
        <v/>
      </c>
      <c r="I611" s="24" t="str">
        <f>IF('ASS START SYNC'!C615="SHOW",MID('ASS START SYNC'!E615,C611+1,D611-C611-1),I610)</f>
        <v/>
      </c>
      <c r="J611" s="23" t="str">
        <f>IF('ASS START SYNC'!C615="SHOW",MID('ASS START SYNC'!E615,D611+1,F611-D611+1),"")</f>
        <v/>
      </c>
      <c r="K611" s="23" t="str">
        <f>IF('ASS START SYNC'!C615="SHOW",MID('ASS START SYNC'!E615,F611+2,1000),"")</f>
        <v/>
      </c>
      <c r="M611" s="24"/>
      <c r="N611" s="26">
        <v>608</v>
      </c>
      <c r="O611" s="24" t="str">
        <f>IF('ASS END SYNC'!C615="SHOW",FIND(",",'ASS END SYNC'!E615,1),"")</f>
        <v/>
      </c>
      <c r="P611" s="24" t="str">
        <f>IF('ASS END SYNC'!C615="SHOW",FIND(",",'ASS END SYNC'!E615,O611+1),"")</f>
        <v/>
      </c>
      <c r="Q611" s="24" t="str">
        <f>IF('ASS END SYNC'!C615="SHOW",FIND(",",'ASS END SYNC'!E615,P611+1),"")</f>
        <v/>
      </c>
      <c r="R611" s="25" t="str">
        <f>IF('ASS END SYNC'!C615="SHOW",FIND(",,",'ASS END SYNC'!E615,1),"")</f>
        <v/>
      </c>
      <c r="S611" s="25" t="str">
        <f>IF('ASS END SYNC'!C615="SHOW",FIND(",,",'ASS END SYNC'!E615,R611+1),"")</f>
        <v/>
      </c>
      <c r="T611" s="23" t="str">
        <f>IF('ASS END SYNC'!C615="SHOW",LEFT('ASS END SYNC'!E615,O611),"")</f>
        <v/>
      </c>
      <c r="U611" s="24" t="str">
        <f>IF('ASS END SYNC'!C615="SHOW",MID('ASS END SYNC'!E615,O611+1,P611-O611-1),"")</f>
        <v/>
      </c>
      <c r="V611" s="24" t="str">
        <f>IF(AND('ASS END SYNC'!C615="SHOW",'ASS END SYNC'!C616="SHOW"),U612,IF(AND('ASS END SYNC'!C615="SHOW",'ASS END SYNC'!C616&lt;&gt;"SHOW"),MID('ASS END SYNC'!E615,O611+1,P611-O611-1),""))</f>
        <v/>
      </c>
      <c r="W611" s="23" t="str">
        <f>IF('ASS END SYNC'!C615="SHOW",MID('ASS END SYNC'!E615,Q611+1,S611-Q611+1),"")</f>
        <v/>
      </c>
      <c r="X611" s="23" t="str">
        <f>IF('ASS END SYNC'!C615="SHOW",MID('ASS END SYNC'!E615,S611+2,1000),"")</f>
        <v/>
      </c>
      <c r="Z611" s="24"/>
    </row>
    <row r="612" spans="1:26" x14ac:dyDescent="0.25">
      <c r="A612" s="26">
        <v>609</v>
      </c>
      <c r="B612" s="24" t="str">
        <f>IF('ASS START SYNC'!C616="SHOW",FIND(",",'ASS START SYNC'!E616,1),"")</f>
        <v/>
      </c>
      <c r="C612" s="24" t="str">
        <f>IF('ASS START SYNC'!C616="SHOW",FIND(",",'ASS START SYNC'!E616,B612+1),"")</f>
        <v/>
      </c>
      <c r="D612" s="24" t="str">
        <f>IF('ASS START SYNC'!C616="SHOW",FIND(",",'ASS START SYNC'!E616,C612+1),"")</f>
        <v/>
      </c>
      <c r="E612" s="25" t="str">
        <f>IF('ASS START SYNC'!C616="SHOW",FIND(",,",'ASS START SYNC'!E616,1),"")</f>
        <v/>
      </c>
      <c r="F612" s="25" t="str">
        <f>IF('ASS START SYNC'!C616="SHOW",FIND(",,",'ASS START SYNC'!E616,E612+1),"")</f>
        <v/>
      </c>
      <c r="G612" s="23" t="str">
        <f>IF('ASS START SYNC'!C616="SHOW",LEFT('ASS START SYNC'!E616,B612),"")</f>
        <v/>
      </c>
      <c r="H612" s="24" t="str">
        <f>IF(AND('ASS START SYNC'!C616="SHOW",COUNTA('ASS START SYNC'!$E$8:'ASS START SYNC'!E615)=0),MID('ASS START SYNC'!E616,B612+1,C612-B612-1),IF(AND('ASS START SYNC'!C616="SHOW",COUNTA('ASS START SYNC'!$E$8:'ASS START SYNC'!E615)&lt;&gt;0),I611,""))</f>
        <v/>
      </c>
      <c r="I612" s="24" t="str">
        <f>IF('ASS START SYNC'!C616="SHOW",MID('ASS START SYNC'!E616,C612+1,D612-C612-1),I611)</f>
        <v/>
      </c>
      <c r="J612" s="23" t="str">
        <f>IF('ASS START SYNC'!C616="SHOW",MID('ASS START SYNC'!E616,D612+1,F612-D612+1),"")</f>
        <v/>
      </c>
      <c r="K612" s="23" t="str">
        <f>IF('ASS START SYNC'!C616="SHOW",MID('ASS START SYNC'!E616,F612+2,1000),"")</f>
        <v/>
      </c>
      <c r="M612" s="24"/>
      <c r="N612" s="26">
        <v>609</v>
      </c>
      <c r="O612" s="24" t="str">
        <f>IF('ASS END SYNC'!C616="SHOW",FIND(",",'ASS END SYNC'!E616,1),"")</f>
        <v/>
      </c>
      <c r="P612" s="24" t="str">
        <f>IF('ASS END SYNC'!C616="SHOW",FIND(",",'ASS END SYNC'!E616,O612+1),"")</f>
        <v/>
      </c>
      <c r="Q612" s="24" t="str">
        <f>IF('ASS END SYNC'!C616="SHOW",FIND(",",'ASS END SYNC'!E616,P612+1),"")</f>
        <v/>
      </c>
      <c r="R612" s="25" t="str">
        <f>IF('ASS END SYNC'!C616="SHOW",FIND(",,",'ASS END SYNC'!E616,1),"")</f>
        <v/>
      </c>
      <c r="S612" s="25" t="str">
        <f>IF('ASS END SYNC'!C616="SHOW",FIND(",,",'ASS END SYNC'!E616,R612+1),"")</f>
        <v/>
      </c>
      <c r="T612" s="23" t="str">
        <f>IF('ASS END SYNC'!C616="SHOW",LEFT('ASS END SYNC'!E616,O612),"")</f>
        <v/>
      </c>
      <c r="U612" s="24" t="str">
        <f>IF('ASS END SYNC'!C616="SHOW",MID('ASS END SYNC'!E616,O612+1,P612-O612-1),"")</f>
        <v/>
      </c>
      <c r="V612" s="24" t="str">
        <f>IF(AND('ASS END SYNC'!C616="SHOW",'ASS END SYNC'!C617="SHOW"),U613,IF(AND('ASS END SYNC'!C616="SHOW",'ASS END SYNC'!C617&lt;&gt;"SHOW"),MID('ASS END SYNC'!E616,O612+1,P612-O612-1),""))</f>
        <v/>
      </c>
      <c r="W612" s="23" t="str">
        <f>IF('ASS END SYNC'!C616="SHOW",MID('ASS END SYNC'!E616,Q612+1,S612-Q612+1),"")</f>
        <v/>
      </c>
      <c r="X612" s="23" t="str">
        <f>IF('ASS END SYNC'!C616="SHOW",MID('ASS END SYNC'!E616,S612+2,1000),"")</f>
        <v/>
      </c>
      <c r="Z612" s="24"/>
    </row>
    <row r="613" spans="1:26" x14ac:dyDescent="0.25">
      <c r="A613" s="26">
        <v>610</v>
      </c>
      <c r="B613" s="24" t="str">
        <f>IF('ASS START SYNC'!C617="SHOW",FIND(",",'ASS START SYNC'!E617,1),"")</f>
        <v/>
      </c>
      <c r="C613" s="24" t="str">
        <f>IF('ASS START SYNC'!C617="SHOW",FIND(",",'ASS START SYNC'!E617,B613+1),"")</f>
        <v/>
      </c>
      <c r="D613" s="24" t="str">
        <f>IF('ASS START SYNC'!C617="SHOW",FIND(",",'ASS START SYNC'!E617,C613+1),"")</f>
        <v/>
      </c>
      <c r="E613" s="25" t="str">
        <f>IF('ASS START SYNC'!C617="SHOW",FIND(",,",'ASS START SYNC'!E617,1),"")</f>
        <v/>
      </c>
      <c r="F613" s="25" t="str">
        <f>IF('ASS START SYNC'!C617="SHOW",FIND(",,",'ASS START SYNC'!E617,E613+1),"")</f>
        <v/>
      </c>
      <c r="G613" s="23" t="str">
        <f>IF('ASS START SYNC'!C617="SHOW",LEFT('ASS START SYNC'!E617,B613),"")</f>
        <v/>
      </c>
      <c r="H613" s="24" t="str">
        <f>IF(AND('ASS START SYNC'!C617="SHOW",COUNTA('ASS START SYNC'!$E$8:'ASS START SYNC'!E616)=0),MID('ASS START SYNC'!E617,B613+1,C613-B613-1),IF(AND('ASS START SYNC'!C617="SHOW",COUNTA('ASS START SYNC'!$E$8:'ASS START SYNC'!E616)&lt;&gt;0),I612,""))</f>
        <v/>
      </c>
      <c r="I613" s="24" t="str">
        <f>IF('ASS START SYNC'!C617="SHOW",MID('ASS START SYNC'!E617,C613+1,D613-C613-1),I612)</f>
        <v/>
      </c>
      <c r="J613" s="23" t="str">
        <f>IF('ASS START SYNC'!C617="SHOW",MID('ASS START SYNC'!E617,D613+1,F613-D613+1),"")</f>
        <v/>
      </c>
      <c r="K613" s="23" t="str">
        <f>IF('ASS START SYNC'!C617="SHOW",MID('ASS START SYNC'!E617,F613+2,1000),"")</f>
        <v/>
      </c>
      <c r="M613" s="24"/>
      <c r="N613" s="26">
        <v>610</v>
      </c>
      <c r="O613" s="24" t="str">
        <f>IF('ASS END SYNC'!C617="SHOW",FIND(",",'ASS END SYNC'!E617,1),"")</f>
        <v/>
      </c>
      <c r="P613" s="24" t="str">
        <f>IF('ASS END SYNC'!C617="SHOW",FIND(",",'ASS END SYNC'!E617,O613+1),"")</f>
        <v/>
      </c>
      <c r="Q613" s="24" t="str">
        <f>IF('ASS END SYNC'!C617="SHOW",FIND(",",'ASS END SYNC'!E617,P613+1),"")</f>
        <v/>
      </c>
      <c r="R613" s="25" t="str">
        <f>IF('ASS END SYNC'!C617="SHOW",FIND(",,",'ASS END SYNC'!E617,1),"")</f>
        <v/>
      </c>
      <c r="S613" s="25" t="str">
        <f>IF('ASS END SYNC'!C617="SHOW",FIND(",,",'ASS END SYNC'!E617,R613+1),"")</f>
        <v/>
      </c>
      <c r="T613" s="23" t="str">
        <f>IF('ASS END SYNC'!C617="SHOW",LEFT('ASS END SYNC'!E617,O613),"")</f>
        <v/>
      </c>
      <c r="U613" s="24" t="str">
        <f>IF('ASS END SYNC'!C617="SHOW",MID('ASS END SYNC'!E617,O613+1,P613-O613-1),"")</f>
        <v/>
      </c>
      <c r="V613" s="24" t="str">
        <f>IF(AND('ASS END SYNC'!C617="SHOW",'ASS END SYNC'!C618="SHOW"),U614,IF(AND('ASS END SYNC'!C617="SHOW",'ASS END SYNC'!C618&lt;&gt;"SHOW"),MID('ASS END SYNC'!E617,O613+1,P613-O613-1),""))</f>
        <v/>
      </c>
      <c r="W613" s="23" t="str">
        <f>IF('ASS END SYNC'!C617="SHOW",MID('ASS END SYNC'!E617,Q613+1,S613-Q613+1),"")</f>
        <v/>
      </c>
      <c r="X613" s="23" t="str">
        <f>IF('ASS END SYNC'!C617="SHOW",MID('ASS END SYNC'!E617,S613+2,1000),"")</f>
        <v/>
      </c>
      <c r="Z613" s="24"/>
    </row>
    <row r="614" spans="1:26" x14ac:dyDescent="0.25">
      <c r="A614" s="26">
        <v>611</v>
      </c>
      <c r="B614" s="24" t="str">
        <f>IF('ASS START SYNC'!C618="SHOW",FIND(",",'ASS START SYNC'!E618,1),"")</f>
        <v/>
      </c>
      <c r="C614" s="24" t="str">
        <f>IF('ASS START SYNC'!C618="SHOW",FIND(",",'ASS START SYNC'!E618,B614+1),"")</f>
        <v/>
      </c>
      <c r="D614" s="24" t="str">
        <f>IF('ASS START SYNC'!C618="SHOW",FIND(",",'ASS START SYNC'!E618,C614+1),"")</f>
        <v/>
      </c>
      <c r="E614" s="25" t="str">
        <f>IF('ASS START SYNC'!C618="SHOW",FIND(",,",'ASS START SYNC'!E618,1),"")</f>
        <v/>
      </c>
      <c r="F614" s="25" t="str">
        <f>IF('ASS START SYNC'!C618="SHOW",FIND(",,",'ASS START SYNC'!E618,E614+1),"")</f>
        <v/>
      </c>
      <c r="G614" s="23" t="str">
        <f>IF('ASS START SYNC'!C618="SHOW",LEFT('ASS START SYNC'!E618,B614),"")</f>
        <v/>
      </c>
      <c r="H614" s="24" t="str">
        <f>IF(AND('ASS START SYNC'!C618="SHOW",COUNTA('ASS START SYNC'!$E$8:'ASS START SYNC'!E617)=0),MID('ASS START SYNC'!E618,B614+1,C614-B614-1),IF(AND('ASS START SYNC'!C618="SHOW",COUNTA('ASS START SYNC'!$E$8:'ASS START SYNC'!E617)&lt;&gt;0),I613,""))</f>
        <v/>
      </c>
      <c r="I614" s="24" t="str">
        <f>IF('ASS START SYNC'!C618="SHOW",MID('ASS START SYNC'!E618,C614+1,D614-C614-1),I613)</f>
        <v/>
      </c>
      <c r="J614" s="23" t="str">
        <f>IF('ASS START SYNC'!C618="SHOW",MID('ASS START SYNC'!E618,D614+1,F614-D614+1),"")</f>
        <v/>
      </c>
      <c r="K614" s="23" t="str">
        <f>IF('ASS START SYNC'!C618="SHOW",MID('ASS START SYNC'!E618,F614+2,1000),"")</f>
        <v/>
      </c>
      <c r="M614" s="24"/>
      <c r="N614" s="26">
        <v>611</v>
      </c>
      <c r="O614" s="24" t="str">
        <f>IF('ASS END SYNC'!C618="SHOW",FIND(",",'ASS END SYNC'!E618,1),"")</f>
        <v/>
      </c>
      <c r="P614" s="24" t="str">
        <f>IF('ASS END SYNC'!C618="SHOW",FIND(",",'ASS END SYNC'!E618,O614+1),"")</f>
        <v/>
      </c>
      <c r="Q614" s="24" t="str">
        <f>IF('ASS END SYNC'!C618="SHOW",FIND(",",'ASS END SYNC'!E618,P614+1),"")</f>
        <v/>
      </c>
      <c r="R614" s="25" t="str">
        <f>IF('ASS END SYNC'!C618="SHOW",FIND(",,",'ASS END SYNC'!E618,1),"")</f>
        <v/>
      </c>
      <c r="S614" s="25" t="str">
        <f>IF('ASS END SYNC'!C618="SHOW",FIND(",,",'ASS END SYNC'!E618,R614+1),"")</f>
        <v/>
      </c>
      <c r="T614" s="23" t="str">
        <f>IF('ASS END SYNC'!C618="SHOW",LEFT('ASS END SYNC'!E618,O614),"")</f>
        <v/>
      </c>
      <c r="U614" s="24" t="str">
        <f>IF('ASS END SYNC'!C618="SHOW",MID('ASS END SYNC'!E618,O614+1,P614-O614-1),"")</f>
        <v/>
      </c>
      <c r="V614" s="24" t="str">
        <f>IF(AND('ASS END SYNC'!C618="SHOW",'ASS END SYNC'!C619="SHOW"),U615,IF(AND('ASS END SYNC'!C618="SHOW",'ASS END SYNC'!C619&lt;&gt;"SHOW"),MID('ASS END SYNC'!E618,O614+1,P614-O614-1),""))</f>
        <v/>
      </c>
      <c r="W614" s="23" t="str">
        <f>IF('ASS END SYNC'!C618="SHOW",MID('ASS END SYNC'!E618,Q614+1,S614-Q614+1),"")</f>
        <v/>
      </c>
      <c r="X614" s="23" t="str">
        <f>IF('ASS END SYNC'!C618="SHOW",MID('ASS END SYNC'!E618,S614+2,1000),"")</f>
        <v/>
      </c>
      <c r="Z614" s="24"/>
    </row>
    <row r="615" spans="1:26" x14ac:dyDescent="0.25">
      <c r="A615" s="26">
        <v>612</v>
      </c>
      <c r="B615" s="24" t="str">
        <f>IF('ASS START SYNC'!C619="SHOW",FIND(",",'ASS START SYNC'!E619,1),"")</f>
        <v/>
      </c>
      <c r="C615" s="24" t="str">
        <f>IF('ASS START SYNC'!C619="SHOW",FIND(",",'ASS START SYNC'!E619,B615+1),"")</f>
        <v/>
      </c>
      <c r="D615" s="24" t="str">
        <f>IF('ASS START SYNC'!C619="SHOW",FIND(",",'ASS START SYNC'!E619,C615+1),"")</f>
        <v/>
      </c>
      <c r="E615" s="25" t="str">
        <f>IF('ASS START SYNC'!C619="SHOW",FIND(",,",'ASS START SYNC'!E619,1),"")</f>
        <v/>
      </c>
      <c r="F615" s="25" t="str">
        <f>IF('ASS START SYNC'!C619="SHOW",FIND(",,",'ASS START SYNC'!E619,E615+1),"")</f>
        <v/>
      </c>
      <c r="G615" s="23" t="str">
        <f>IF('ASS START SYNC'!C619="SHOW",LEFT('ASS START SYNC'!E619,B615),"")</f>
        <v/>
      </c>
      <c r="H615" s="24" t="str">
        <f>IF(AND('ASS START SYNC'!C619="SHOW",COUNTA('ASS START SYNC'!$E$8:'ASS START SYNC'!E618)=0),MID('ASS START SYNC'!E619,B615+1,C615-B615-1),IF(AND('ASS START SYNC'!C619="SHOW",COUNTA('ASS START SYNC'!$E$8:'ASS START SYNC'!E618)&lt;&gt;0),I614,""))</f>
        <v/>
      </c>
      <c r="I615" s="24" t="str">
        <f>IF('ASS START SYNC'!C619="SHOW",MID('ASS START SYNC'!E619,C615+1,D615-C615-1),I614)</f>
        <v/>
      </c>
      <c r="J615" s="23" t="str">
        <f>IF('ASS START SYNC'!C619="SHOW",MID('ASS START SYNC'!E619,D615+1,F615-D615+1),"")</f>
        <v/>
      </c>
      <c r="K615" s="23" t="str">
        <f>IF('ASS START SYNC'!C619="SHOW",MID('ASS START SYNC'!E619,F615+2,1000),"")</f>
        <v/>
      </c>
      <c r="M615" s="24"/>
      <c r="N615" s="26">
        <v>612</v>
      </c>
      <c r="O615" s="24" t="str">
        <f>IF('ASS END SYNC'!C619="SHOW",FIND(",",'ASS END SYNC'!E619,1),"")</f>
        <v/>
      </c>
      <c r="P615" s="24" t="str">
        <f>IF('ASS END SYNC'!C619="SHOW",FIND(",",'ASS END SYNC'!E619,O615+1),"")</f>
        <v/>
      </c>
      <c r="Q615" s="24" t="str">
        <f>IF('ASS END SYNC'!C619="SHOW",FIND(",",'ASS END SYNC'!E619,P615+1),"")</f>
        <v/>
      </c>
      <c r="R615" s="25" t="str">
        <f>IF('ASS END SYNC'!C619="SHOW",FIND(",,",'ASS END SYNC'!E619,1),"")</f>
        <v/>
      </c>
      <c r="S615" s="25" t="str">
        <f>IF('ASS END SYNC'!C619="SHOW",FIND(",,",'ASS END SYNC'!E619,R615+1),"")</f>
        <v/>
      </c>
      <c r="T615" s="23" t="str">
        <f>IF('ASS END SYNC'!C619="SHOW",LEFT('ASS END SYNC'!E619,O615),"")</f>
        <v/>
      </c>
      <c r="U615" s="24" t="str">
        <f>IF('ASS END SYNC'!C619="SHOW",MID('ASS END SYNC'!E619,O615+1,P615-O615-1),"")</f>
        <v/>
      </c>
      <c r="V615" s="24" t="str">
        <f>IF(AND('ASS END SYNC'!C619="SHOW",'ASS END SYNC'!C620="SHOW"),U616,IF(AND('ASS END SYNC'!C619="SHOW",'ASS END SYNC'!C620&lt;&gt;"SHOW"),MID('ASS END SYNC'!E619,O615+1,P615-O615-1),""))</f>
        <v/>
      </c>
      <c r="W615" s="23" t="str">
        <f>IF('ASS END SYNC'!C619="SHOW",MID('ASS END SYNC'!E619,Q615+1,S615-Q615+1),"")</f>
        <v/>
      </c>
      <c r="X615" s="23" t="str">
        <f>IF('ASS END SYNC'!C619="SHOW",MID('ASS END SYNC'!E619,S615+2,1000),"")</f>
        <v/>
      </c>
      <c r="Z615" s="24"/>
    </row>
    <row r="616" spans="1:26" x14ac:dyDescent="0.25">
      <c r="A616" s="26">
        <v>613</v>
      </c>
      <c r="B616" s="24" t="str">
        <f>IF('ASS START SYNC'!C620="SHOW",FIND(",",'ASS START SYNC'!E620,1),"")</f>
        <v/>
      </c>
      <c r="C616" s="24" t="str">
        <f>IF('ASS START SYNC'!C620="SHOW",FIND(",",'ASS START SYNC'!E620,B616+1),"")</f>
        <v/>
      </c>
      <c r="D616" s="24" t="str">
        <f>IF('ASS START SYNC'!C620="SHOW",FIND(",",'ASS START SYNC'!E620,C616+1),"")</f>
        <v/>
      </c>
      <c r="E616" s="25" t="str">
        <f>IF('ASS START SYNC'!C620="SHOW",FIND(",,",'ASS START SYNC'!E620,1),"")</f>
        <v/>
      </c>
      <c r="F616" s="25" t="str">
        <f>IF('ASS START SYNC'!C620="SHOW",FIND(",,",'ASS START SYNC'!E620,E616+1),"")</f>
        <v/>
      </c>
      <c r="G616" s="23" t="str">
        <f>IF('ASS START SYNC'!C620="SHOW",LEFT('ASS START SYNC'!E620,B616),"")</f>
        <v/>
      </c>
      <c r="H616" s="24" t="str">
        <f>IF(AND('ASS START SYNC'!C620="SHOW",COUNTA('ASS START SYNC'!$E$8:'ASS START SYNC'!E619)=0),MID('ASS START SYNC'!E620,B616+1,C616-B616-1),IF(AND('ASS START SYNC'!C620="SHOW",COUNTA('ASS START SYNC'!$E$8:'ASS START SYNC'!E619)&lt;&gt;0),I615,""))</f>
        <v/>
      </c>
      <c r="I616" s="24" t="str">
        <f>IF('ASS START SYNC'!C620="SHOW",MID('ASS START SYNC'!E620,C616+1,D616-C616-1),I615)</f>
        <v/>
      </c>
      <c r="J616" s="23" t="str">
        <f>IF('ASS START SYNC'!C620="SHOW",MID('ASS START SYNC'!E620,D616+1,F616-D616+1),"")</f>
        <v/>
      </c>
      <c r="K616" s="23" t="str">
        <f>IF('ASS START SYNC'!C620="SHOW",MID('ASS START SYNC'!E620,F616+2,1000),"")</f>
        <v/>
      </c>
      <c r="M616" s="24"/>
      <c r="N616" s="26">
        <v>613</v>
      </c>
      <c r="O616" s="24" t="str">
        <f>IF('ASS END SYNC'!C620="SHOW",FIND(",",'ASS END SYNC'!E620,1),"")</f>
        <v/>
      </c>
      <c r="P616" s="24" t="str">
        <f>IF('ASS END SYNC'!C620="SHOW",FIND(",",'ASS END SYNC'!E620,O616+1),"")</f>
        <v/>
      </c>
      <c r="Q616" s="24" t="str">
        <f>IF('ASS END SYNC'!C620="SHOW",FIND(",",'ASS END SYNC'!E620,P616+1),"")</f>
        <v/>
      </c>
      <c r="R616" s="25" t="str">
        <f>IF('ASS END SYNC'!C620="SHOW",FIND(",,",'ASS END SYNC'!E620,1),"")</f>
        <v/>
      </c>
      <c r="S616" s="25" t="str">
        <f>IF('ASS END SYNC'!C620="SHOW",FIND(",,",'ASS END SYNC'!E620,R616+1),"")</f>
        <v/>
      </c>
      <c r="T616" s="23" t="str">
        <f>IF('ASS END SYNC'!C620="SHOW",LEFT('ASS END SYNC'!E620,O616),"")</f>
        <v/>
      </c>
      <c r="U616" s="24" t="str">
        <f>IF('ASS END SYNC'!C620="SHOW",MID('ASS END SYNC'!E620,O616+1,P616-O616-1),"")</f>
        <v/>
      </c>
      <c r="V616" s="24" t="str">
        <f>IF(AND('ASS END SYNC'!C620="SHOW",'ASS END SYNC'!C621="SHOW"),U617,IF(AND('ASS END SYNC'!C620="SHOW",'ASS END SYNC'!C621&lt;&gt;"SHOW"),MID('ASS END SYNC'!E620,O616+1,P616-O616-1),""))</f>
        <v/>
      </c>
      <c r="W616" s="23" t="str">
        <f>IF('ASS END SYNC'!C620="SHOW",MID('ASS END SYNC'!E620,Q616+1,S616-Q616+1),"")</f>
        <v/>
      </c>
      <c r="X616" s="23" t="str">
        <f>IF('ASS END SYNC'!C620="SHOW",MID('ASS END SYNC'!E620,S616+2,1000),"")</f>
        <v/>
      </c>
      <c r="Z616" s="24"/>
    </row>
    <row r="617" spans="1:26" x14ac:dyDescent="0.25">
      <c r="A617" s="26">
        <v>614</v>
      </c>
      <c r="B617" s="24" t="str">
        <f>IF('ASS START SYNC'!C621="SHOW",FIND(",",'ASS START SYNC'!E621,1),"")</f>
        <v/>
      </c>
      <c r="C617" s="24" t="str">
        <f>IF('ASS START SYNC'!C621="SHOW",FIND(",",'ASS START SYNC'!E621,B617+1),"")</f>
        <v/>
      </c>
      <c r="D617" s="24" t="str">
        <f>IF('ASS START SYNC'!C621="SHOW",FIND(",",'ASS START SYNC'!E621,C617+1),"")</f>
        <v/>
      </c>
      <c r="E617" s="25" t="str">
        <f>IF('ASS START SYNC'!C621="SHOW",FIND(",,",'ASS START SYNC'!E621,1),"")</f>
        <v/>
      </c>
      <c r="F617" s="25" t="str">
        <f>IF('ASS START SYNC'!C621="SHOW",FIND(",,",'ASS START SYNC'!E621,E617+1),"")</f>
        <v/>
      </c>
      <c r="G617" s="23" t="str">
        <f>IF('ASS START SYNC'!C621="SHOW",LEFT('ASS START SYNC'!E621,B617),"")</f>
        <v/>
      </c>
      <c r="H617" s="24" t="str">
        <f>IF(AND('ASS START SYNC'!C621="SHOW",COUNTA('ASS START SYNC'!$E$8:'ASS START SYNC'!E620)=0),MID('ASS START SYNC'!E621,B617+1,C617-B617-1),IF(AND('ASS START SYNC'!C621="SHOW",COUNTA('ASS START SYNC'!$E$8:'ASS START SYNC'!E620)&lt;&gt;0),I616,""))</f>
        <v/>
      </c>
      <c r="I617" s="24" t="str">
        <f>IF('ASS START SYNC'!C621="SHOW",MID('ASS START SYNC'!E621,C617+1,D617-C617-1),I616)</f>
        <v/>
      </c>
      <c r="J617" s="23" t="str">
        <f>IF('ASS START SYNC'!C621="SHOW",MID('ASS START SYNC'!E621,D617+1,F617-D617+1),"")</f>
        <v/>
      </c>
      <c r="K617" s="23" t="str">
        <f>IF('ASS START SYNC'!C621="SHOW",MID('ASS START SYNC'!E621,F617+2,1000),"")</f>
        <v/>
      </c>
      <c r="M617" s="24"/>
      <c r="N617" s="26">
        <v>614</v>
      </c>
      <c r="O617" s="24" t="str">
        <f>IF('ASS END SYNC'!C621="SHOW",FIND(",",'ASS END SYNC'!E621,1),"")</f>
        <v/>
      </c>
      <c r="P617" s="24" t="str">
        <f>IF('ASS END SYNC'!C621="SHOW",FIND(",",'ASS END SYNC'!E621,O617+1),"")</f>
        <v/>
      </c>
      <c r="Q617" s="24" t="str">
        <f>IF('ASS END SYNC'!C621="SHOW",FIND(",",'ASS END SYNC'!E621,P617+1),"")</f>
        <v/>
      </c>
      <c r="R617" s="25" t="str">
        <f>IF('ASS END SYNC'!C621="SHOW",FIND(",,",'ASS END SYNC'!E621,1),"")</f>
        <v/>
      </c>
      <c r="S617" s="25" t="str">
        <f>IF('ASS END SYNC'!C621="SHOW",FIND(",,",'ASS END SYNC'!E621,R617+1),"")</f>
        <v/>
      </c>
      <c r="T617" s="23" t="str">
        <f>IF('ASS END SYNC'!C621="SHOW",LEFT('ASS END SYNC'!E621,O617),"")</f>
        <v/>
      </c>
      <c r="U617" s="24" t="str">
        <f>IF('ASS END SYNC'!C621="SHOW",MID('ASS END SYNC'!E621,O617+1,P617-O617-1),"")</f>
        <v/>
      </c>
      <c r="V617" s="24" t="str">
        <f>IF(AND('ASS END SYNC'!C621="SHOW",'ASS END SYNC'!C622="SHOW"),U618,IF(AND('ASS END SYNC'!C621="SHOW",'ASS END SYNC'!C622&lt;&gt;"SHOW"),MID('ASS END SYNC'!E621,O617+1,P617-O617-1),""))</f>
        <v/>
      </c>
      <c r="W617" s="23" t="str">
        <f>IF('ASS END SYNC'!C621="SHOW",MID('ASS END SYNC'!E621,Q617+1,S617-Q617+1),"")</f>
        <v/>
      </c>
      <c r="X617" s="23" t="str">
        <f>IF('ASS END SYNC'!C621="SHOW",MID('ASS END SYNC'!E621,S617+2,1000),"")</f>
        <v/>
      </c>
      <c r="Z617" s="24"/>
    </row>
    <row r="618" spans="1:26" x14ac:dyDescent="0.25">
      <c r="A618" s="26">
        <v>615</v>
      </c>
      <c r="B618" s="24" t="str">
        <f>IF('ASS START SYNC'!C622="SHOW",FIND(",",'ASS START SYNC'!E622,1),"")</f>
        <v/>
      </c>
      <c r="C618" s="24" t="str">
        <f>IF('ASS START SYNC'!C622="SHOW",FIND(",",'ASS START SYNC'!E622,B618+1),"")</f>
        <v/>
      </c>
      <c r="D618" s="24" t="str">
        <f>IF('ASS START SYNC'!C622="SHOW",FIND(",",'ASS START SYNC'!E622,C618+1),"")</f>
        <v/>
      </c>
      <c r="E618" s="25" t="str">
        <f>IF('ASS START SYNC'!C622="SHOW",FIND(",,",'ASS START SYNC'!E622,1),"")</f>
        <v/>
      </c>
      <c r="F618" s="25" t="str">
        <f>IF('ASS START SYNC'!C622="SHOW",FIND(",,",'ASS START SYNC'!E622,E618+1),"")</f>
        <v/>
      </c>
      <c r="G618" s="23" t="str">
        <f>IF('ASS START SYNC'!C622="SHOW",LEFT('ASS START SYNC'!E622,B618),"")</f>
        <v/>
      </c>
      <c r="H618" s="24" t="str">
        <f>IF(AND('ASS START SYNC'!C622="SHOW",COUNTA('ASS START SYNC'!$E$8:'ASS START SYNC'!E621)=0),MID('ASS START SYNC'!E622,B618+1,C618-B618-1),IF(AND('ASS START SYNC'!C622="SHOW",COUNTA('ASS START SYNC'!$E$8:'ASS START SYNC'!E621)&lt;&gt;0),I617,""))</f>
        <v/>
      </c>
      <c r="I618" s="24" t="str">
        <f>IF('ASS START SYNC'!C622="SHOW",MID('ASS START SYNC'!E622,C618+1,D618-C618-1),I617)</f>
        <v/>
      </c>
      <c r="J618" s="23" t="str">
        <f>IF('ASS START SYNC'!C622="SHOW",MID('ASS START SYNC'!E622,D618+1,F618-D618+1),"")</f>
        <v/>
      </c>
      <c r="K618" s="23" t="str">
        <f>IF('ASS START SYNC'!C622="SHOW",MID('ASS START SYNC'!E622,F618+2,1000),"")</f>
        <v/>
      </c>
      <c r="M618" s="24"/>
      <c r="N618" s="26">
        <v>615</v>
      </c>
      <c r="O618" s="24" t="str">
        <f>IF('ASS END SYNC'!C622="SHOW",FIND(",",'ASS END SYNC'!E622,1),"")</f>
        <v/>
      </c>
      <c r="P618" s="24" t="str">
        <f>IF('ASS END SYNC'!C622="SHOW",FIND(",",'ASS END SYNC'!E622,O618+1),"")</f>
        <v/>
      </c>
      <c r="Q618" s="24" t="str">
        <f>IF('ASS END SYNC'!C622="SHOW",FIND(",",'ASS END SYNC'!E622,P618+1),"")</f>
        <v/>
      </c>
      <c r="R618" s="25" t="str">
        <f>IF('ASS END SYNC'!C622="SHOW",FIND(",,",'ASS END SYNC'!E622,1),"")</f>
        <v/>
      </c>
      <c r="S618" s="25" t="str">
        <f>IF('ASS END SYNC'!C622="SHOW",FIND(",,",'ASS END SYNC'!E622,R618+1),"")</f>
        <v/>
      </c>
      <c r="T618" s="23" t="str">
        <f>IF('ASS END SYNC'!C622="SHOW",LEFT('ASS END SYNC'!E622,O618),"")</f>
        <v/>
      </c>
      <c r="U618" s="24" t="str">
        <f>IF('ASS END SYNC'!C622="SHOW",MID('ASS END SYNC'!E622,O618+1,P618-O618-1),"")</f>
        <v/>
      </c>
      <c r="V618" s="24" t="str">
        <f>IF(AND('ASS END SYNC'!C622="SHOW",'ASS END SYNC'!C623="SHOW"),U619,IF(AND('ASS END SYNC'!C622="SHOW",'ASS END SYNC'!C623&lt;&gt;"SHOW"),MID('ASS END SYNC'!E622,O618+1,P618-O618-1),""))</f>
        <v/>
      </c>
      <c r="W618" s="23" t="str">
        <f>IF('ASS END SYNC'!C622="SHOW",MID('ASS END SYNC'!E622,Q618+1,S618-Q618+1),"")</f>
        <v/>
      </c>
      <c r="X618" s="23" t="str">
        <f>IF('ASS END SYNC'!C622="SHOW",MID('ASS END SYNC'!E622,S618+2,1000),"")</f>
        <v/>
      </c>
      <c r="Z618" s="24"/>
    </row>
    <row r="619" spans="1:26" x14ac:dyDescent="0.25">
      <c r="A619" s="26">
        <v>616</v>
      </c>
      <c r="B619" s="24" t="str">
        <f>IF('ASS START SYNC'!C623="SHOW",FIND(",",'ASS START SYNC'!E623,1),"")</f>
        <v/>
      </c>
      <c r="C619" s="24" t="str">
        <f>IF('ASS START SYNC'!C623="SHOW",FIND(",",'ASS START SYNC'!E623,B619+1),"")</f>
        <v/>
      </c>
      <c r="D619" s="24" t="str">
        <f>IF('ASS START SYNC'!C623="SHOW",FIND(",",'ASS START SYNC'!E623,C619+1),"")</f>
        <v/>
      </c>
      <c r="E619" s="25" t="str">
        <f>IF('ASS START SYNC'!C623="SHOW",FIND(",,",'ASS START SYNC'!E623,1),"")</f>
        <v/>
      </c>
      <c r="F619" s="25" t="str">
        <f>IF('ASS START SYNC'!C623="SHOW",FIND(",,",'ASS START SYNC'!E623,E619+1),"")</f>
        <v/>
      </c>
      <c r="G619" s="23" t="str">
        <f>IF('ASS START SYNC'!C623="SHOW",LEFT('ASS START SYNC'!E623,B619),"")</f>
        <v/>
      </c>
      <c r="H619" s="24" t="str">
        <f>IF(AND('ASS START SYNC'!C623="SHOW",COUNTA('ASS START SYNC'!$E$8:'ASS START SYNC'!E622)=0),MID('ASS START SYNC'!E623,B619+1,C619-B619-1),IF(AND('ASS START SYNC'!C623="SHOW",COUNTA('ASS START SYNC'!$E$8:'ASS START SYNC'!E622)&lt;&gt;0),I618,""))</f>
        <v/>
      </c>
      <c r="I619" s="24" t="str">
        <f>IF('ASS START SYNC'!C623="SHOW",MID('ASS START SYNC'!E623,C619+1,D619-C619-1),I618)</f>
        <v/>
      </c>
      <c r="J619" s="23" t="str">
        <f>IF('ASS START SYNC'!C623="SHOW",MID('ASS START SYNC'!E623,D619+1,F619-D619+1),"")</f>
        <v/>
      </c>
      <c r="K619" s="23" t="str">
        <f>IF('ASS START SYNC'!C623="SHOW",MID('ASS START SYNC'!E623,F619+2,1000),"")</f>
        <v/>
      </c>
      <c r="M619" s="24"/>
      <c r="N619" s="26">
        <v>616</v>
      </c>
      <c r="O619" s="24" t="str">
        <f>IF('ASS END SYNC'!C623="SHOW",FIND(",",'ASS END SYNC'!E623,1),"")</f>
        <v/>
      </c>
      <c r="P619" s="24" t="str">
        <f>IF('ASS END SYNC'!C623="SHOW",FIND(",",'ASS END SYNC'!E623,O619+1),"")</f>
        <v/>
      </c>
      <c r="Q619" s="24" t="str">
        <f>IF('ASS END SYNC'!C623="SHOW",FIND(",",'ASS END SYNC'!E623,P619+1),"")</f>
        <v/>
      </c>
      <c r="R619" s="25" t="str">
        <f>IF('ASS END SYNC'!C623="SHOW",FIND(",,",'ASS END SYNC'!E623,1),"")</f>
        <v/>
      </c>
      <c r="S619" s="25" t="str">
        <f>IF('ASS END SYNC'!C623="SHOW",FIND(",,",'ASS END SYNC'!E623,R619+1),"")</f>
        <v/>
      </c>
      <c r="T619" s="23" t="str">
        <f>IF('ASS END SYNC'!C623="SHOW",LEFT('ASS END SYNC'!E623,O619),"")</f>
        <v/>
      </c>
      <c r="U619" s="24" t="str">
        <f>IF('ASS END SYNC'!C623="SHOW",MID('ASS END SYNC'!E623,O619+1,P619-O619-1),"")</f>
        <v/>
      </c>
      <c r="V619" s="24" t="str">
        <f>IF(AND('ASS END SYNC'!C623="SHOW",'ASS END SYNC'!C624="SHOW"),U620,IF(AND('ASS END SYNC'!C623="SHOW",'ASS END SYNC'!C624&lt;&gt;"SHOW"),MID('ASS END SYNC'!E623,O619+1,P619-O619-1),""))</f>
        <v/>
      </c>
      <c r="W619" s="23" t="str">
        <f>IF('ASS END SYNC'!C623="SHOW",MID('ASS END SYNC'!E623,Q619+1,S619-Q619+1),"")</f>
        <v/>
      </c>
      <c r="X619" s="23" t="str">
        <f>IF('ASS END SYNC'!C623="SHOW",MID('ASS END SYNC'!E623,S619+2,1000),"")</f>
        <v/>
      </c>
      <c r="Z619" s="24"/>
    </row>
    <row r="620" spans="1:26" x14ac:dyDescent="0.25">
      <c r="A620" s="26">
        <v>617</v>
      </c>
      <c r="B620" s="24" t="str">
        <f>IF('ASS START SYNC'!C624="SHOW",FIND(",",'ASS START SYNC'!E624,1),"")</f>
        <v/>
      </c>
      <c r="C620" s="24" t="str">
        <f>IF('ASS START SYNC'!C624="SHOW",FIND(",",'ASS START SYNC'!E624,B620+1),"")</f>
        <v/>
      </c>
      <c r="D620" s="24" t="str">
        <f>IF('ASS START SYNC'!C624="SHOW",FIND(",",'ASS START SYNC'!E624,C620+1),"")</f>
        <v/>
      </c>
      <c r="E620" s="25" t="str">
        <f>IF('ASS START SYNC'!C624="SHOW",FIND(",,",'ASS START SYNC'!E624,1),"")</f>
        <v/>
      </c>
      <c r="F620" s="25" t="str">
        <f>IF('ASS START SYNC'!C624="SHOW",FIND(",,",'ASS START SYNC'!E624,E620+1),"")</f>
        <v/>
      </c>
      <c r="G620" s="23" t="str">
        <f>IF('ASS START SYNC'!C624="SHOW",LEFT('ASS START SYNC'!E624,B620),"")</f>
        <v/>
      </c>
      <c r="H620" s="24" t="str">
        <f>IF(AND('ASS START SYNC'!C624="SHOW",COUNTA('ASS START SYNC'!$E$8:'ASS START SYNC'!E623)=0),MID('ASS START SYNC'!E624,B620+1,C620-B620-1),IF(AND('ASS START SYNC'!C624="SHOW",COUNTA('ASS START SYNC'!$E$8:'ASS START SYNC'!E623)&lt;&gt;0),I619,""))</f>
        <v/>
      </c>
      <c r="I620" s="24" t="str">
        <f>IF('ASS START SYNC'!C624="SHOW",MID('ASS START SYNC'!E624,C620+1,D620-C620-1),I619)</f>
        <v/>
      </c>
      <c r="J620" s="23" t="str">
        <f>IF('ASS START SYNC'!C624="SHOW",MID('ASS START SYNC'!E624,D620+1,F620-D620+1),"")</f>
        <v/>
      </c>
      <c r="K620" s="23" t="str">
        <f>IF('ASS START SYNC'!C624="SHOW",MID('ASS START SYNC'!E624,F620+2,1000),"")</f>
        <v/>
      </c>
      <c r="M620" s="24"/>
      <c r="N620" s="26">
        <v>617</v>
      </c>
      <c r="O620" s="24" t="str">
        <f>IF('ASS END SYNC'!C624="SHOW",FIND(",",'ASS END SYNC'!E624,1),"")</f>
        <v/>
      </c>
      <c r="P620" s="24" t="str">
        <f>IF('ASS END SYNC'!C624="SHOW",FIND(",",'ASS END SYNC'!E624,O620+1),"")</f>
        <v/>
      </c>
      <c r="Q620" s="24" t="str">
        <f>IF('ASS END SYNC'!C624="SHOW",FIND(",",'ASS END SYNC'!E624,P620+1),"")</f>
        <v/>
      </c>
      <c r="R620" s="25" t="str">
        <f>IF('ASS END SYNC'!C624="SHOW",FIND(",,",'ASS END SYNC'!E624,1),"")</f>
        <v/>
      </c>
      <c r="S620" s="25" t="str">
        <f>IF('ASS END SYNC'!C624="SHOW",FIND(",,",'ASS END SYNC'!E624,R620+1),"")</f>
        <v/>
      </c>
      <c r="T620" s="23" t="str">
        <f>IF('ASS END SYNC'!C624="SHOW",LEFT('ASS END SYNC'!E624,O620),"")</f>
        <v/>
      </c>
      <c r="U620" s="24" t="str">
        <f>IF('ASS END SYNC'!C624="SHOW",MID('ASS END SYNC'!E624,O620+1,P620-O620-1),"")</f>
        <v/>
      </c>
      <c r="V620" s="24" t="str">
        <f>IF(AND('ASS END SYNC'!C624="SHOW",'ASS END SYNC'!C625="SHOW"),U621,IF(AND('ASS END SYNC'!C624="SHOW",'ASS END SYNC'!C625&lt;&gt;"SHOW"),MID('ASS END SYNC'!E624,O620+1,P620-O620-1),""))</f>
        <v/>
      </c>
      <c r="W620" s="23" t="str">
        <f>IF('ASS END SYNC'!C624="SHOW",MID('ASS END SYNC'!E624,Q620+1,S620-Q620+1),"")</f>
        <v/>
      </c>
      <c r="X620" s="23" t="str">
        <f>IF('ASS END SYNC'!C624="SHOW",MID('ASS END SYNC'!E624,S620+2,1000),"")</f>
        <v/>
      </c>
      <c r="Z620" s="24"/>
    </row>
    <row r="621" spans="1:26" x14ac:dyDescent="0.25">
      <c r="A621" s="26">
        <v>618</v>
      </c>
      <c r="B621" s="24" t="str">
        <f>IF('ASS START SYNC'!C625="SHOW",FIND(",",'ASS START SYNC'!E625,1),"")</f>
        <v/>
      </c>
      <c r="C621" s="24" t="str">
        <f>IF('ASS START SYNC'!C625="SHOW",FIND(",",'ASS START SYNC'!E625,B621+1),"")</f>
        <v/>
      </c>
      <c r="D621" s="24" t="str">
        <f>IF('ASS START SYNC'!C625="SHOW",FIND(",",'ASS START SYNC'!E625,C621+1),"")</f>
        <v/>
      </c>
      <c r="E621" s="25" t="str">
        <f>IF('ASS START SYNC'!C625="SHOW",FIND(",,",'ASS START SYNC'!E625,1),"")</f>
        <v/>
      </c>
      <c r="F621" s="25" t="str">
        <f>IF('ASS START SYNC'!C625="SHOW",FIND(",,",'ASS START SYNC'!E625,E621+1),"")</f>
        <v/>
      </c>
      <c r="G621" s="23" t="str">
        <f>IF('ASS START SYNC'!C625="SHOW",LEFT('ASS START SYNC'!E625,B621),"")</f>
        <v/>
      </c>
      <c r="H621" s="24" t="str">
        <f>IF(AND('ASS START SYNC'!C625="SHOW",COUNTA('ASS START SYNC'!$E$8:'ASS START SYNC'!E624)=0),MID('ASS START SYNC'!E625,B621+1,C621-B621-1),IF(AND('ASS START SYNC'!C625="SHOW",COUNTA('ASS START SYNC'!$E$8:'ASS START SYNC'!E624)&lt;&gt;0),I620,""))</f>
        <v/>
      </c>
      <c r="I621" s="24" t="str">
        <f>IF('ASS START SYNC'!C625="SHOW",MID('ASS START SYNC'!E625,C621+1,D621-C621-1),I620)</f>
        <v/>
      </c>
      <c r="J621" s="23" t="str">
        <f>IF('ASS START SYNC'!C625="SHOW",MID('ASS START SYNC'!E625,D621+1,F621-D621+1),"")</f>
        <v/>
      </c>
      <c r="K621" s="23" t="str">
        <f>IF('ASS START SYNC'!C625="SHOW",MID('ASS START SYNC'!E625,F621+2,1000),"")</f>
        <v/>
      </c>
      <c r="M621" s="24"/>
      <c r="N621" s="26">
        <v>618</v>
      </c>
      <c r="O621" s="24" t="str">
        <f>IF('ASS END SYNC'!C625="SHOW",FIND(",",'ASS END SYNC'!E625,1),"")</f>
        <v/>
      </c>
      <c r="P621" s="24" t="str">
        <f>IF('ASS END SYNC'!C625="SHOW",FIND(",",'ASS END SYNC'!E625,O621+1),"")</f>
        <v/>
      </c>
      <c r="Q621" s="24" t="str">
        <f>IF('ASS END SYNC'!C625="SHOW",FIND(",",'ASS END SYNC'!E625,P621+1),"")</f>
        <v/>
      </c>
      <c r="R621" s="25" t="str">
        <f>IF('ASS END SYNC'!C625="SHOW",FIND(",,",'ASS END SYNC'!E625,1),"")</f>
        <v/>
      </c>
      <c r="S621" s="25" t="str">
        <f>IF('ASS END SYNC'!C625="SHOW",FIND(",,",'ASS END SYNC'!E625,R621+1),"")</f>
        <v/>
      </c>
      <c r="T621" s="23" t="str">
        <f>IF('ASS END SYNC'!C625="SHOW",LEFT('ASS END SYNC'!E625,O621),"")</f>
        <v/>
      </c>
      <c r="U621" s="24" t="str">
        <f>IF('ASS END SYNC'!C625="SHOW",MID('ASS END SYNC'!E625,O621+1,P621-O621-1),"")</f>
        <v/>
      </c>
      <c r="V621" s="24" t="str">
        <f>IF(AND('ASS END SYNC'!C625="SHOW",'ASS END SYNC'!C626="SHOW"),U622,IF(AND('ASS END SYNC'!C625="SHOW",'ASS END SYNC'!C626&lt;&gt;"SHOW"),MID('ASS END SYNC'!E625,O621+1,P621-O621-1),""))</f>
        <v/>
      </c>
      <c r="W621" s="23" t="str">
        <f>IF('ASS END SYNC'!C625="SHOW",MID('ASS END SYNC'!E625,Q621+1,S621-Q621+1),"")</f>
        <v/>
      </c>
      <c r="X621" s="23" t="str">
        <f>IF('ASS END SYNC'!C625="SHOW",MID('ASS END SYNC'!E625,S621+2,1000),"")</f>
        <v/>
      </c>
      <c r="Z621" s="24"/>
    </row>
    <row r="622" spans="1:26" x14ac:dyDescent="0.25">
      <c r="A622" s="26">
        <v>619</v>
      </c>
      <c r="B622" s="24" t="str">
        <f>IF('ASS START SYNC'!C626="SHOW",FIND(",",'ASS START SYNC'!E626,1),"")</f>
        <v/>
      </c>
      <c r="C622" s="24" t="str">
        <f>IF('ASS START SYNC'!C626="SHOW",FIND(",",'ASS START SYNC'!E626,B622+1),"")</f>
        <v/>
      </c>
      <c r="D622" s="24" t="str">
        <f>IF('ASS START SYNC'!C626="SHOW",FIND(",",'ASS START SYNC'!E626,C622+1),"")</f>
        <v/>
      </c>
      <c r="E622" s="25" t="str">
        <f>IF('ASS START SYNC'!C626="SHOW",FIND(",,",'ASS START SYNC'!E626,1),"")</f>
        <v/>
      </c>
      <c r="F622" s="25" t="str">
        <f>IF('ASS START SYNC'!C626="SHOW",FIND(",,",'ASS START SYNC'!E626,E622+1),"")</f>
        <v/>
      </c>
      <c r="G622" s="23" t="str">
        <f>IF('ASS START SYNC'!C626="SHOW",LEFT('ASS START SYNC'!E626,B622),"")</f>
        <v/>
      </c>
      <c r="H622" s="24" t="str">
        <f>IF(AND('ASS START SYNC'!C626="SHOW",COUNTA('ASS START SYNC'!$E$8:'ASS START SYNC'!E625)=0),MID('ASS START SYNC'!E626,B622+1,C622-B622-1),IF(AND('ASS START SYNC'!C626="SHOW",COUNTA('ASS START SYNC'!$E$8:'ASS START SYNC'!E625)&lt;&gt;0),I621,""))</f>
        <v/>
      </c>
      <c r="I622" s="24" t="str">
        <f>IF('ASS START SYNC'!C626="SHOW",MID('ASS START SYNC'!E626,C622+1,D622-C622-1),I621)</f>
        <v/>
      </c>
      <c r="J622" s="23" t="str">
        <f>IF('ASS START SYNC'!C626="SHOW",MID('ASS START SYNC'!E626,D622+1,F622-D622+1),"")</f>
        <v/>
      </c>
      <c r="K622" s="23" t="str">
        <f>IF('ASS START SYNC'!C626="SHOW",MID('ASS START SYNC'!E626,F622+2,1000),"")</f>
        <v/>
      </c>
      <c r="M622" s="24"/>
      <c r="N622" s="26">
        <v>619</v>
      </c>
      <c r="O622" s="24" t="str">
        <f>IF('ASS END SYNC'!C626="SHOW",FIND(",",'ASS END SYNC'!E626,1),"")</f>
        <v/>
      </c>
      <c r="P622" s="24" t="str">
        <f>IF('ASS END SYNC'!C626="SHOW",FIND(",",'ASS END SYNC'!E626,O622+1),"")</f>
        <v/>
      </c>
      <c r="Q622" s="24" t="str">
        <f>IF('ASS END SYNC'!C626="SHOW",FIND(",",'ASS END SYNC'!E626,P622+1),"")</f>
        <v/>
      </c>
      <c r="R622" s="25" t="str">
        <f>IF('ASS END SYNC'!C626="SHOW",FIND(",,",'ASS END SYNC'!E626,1),"")</f>
        <v/>
      </c>
      <c r="S622" s="25" t="str">
        <f>IF('ASS END SYNC'!C626="SHOW",FIND(",,",'ASS END SYNC'!E626,R622+1),"")</f>
        <v/>
      </c>
      <c r="T622" s="23" t="str">
        <f>IF('ASS END SYNC'!C626="SHOW",LEFT('ASS END SYNC'!E626,O622),"")</f>
        <v/>
      </c>
      <c r="U622" s="24" t="str">
        <f>IF('ASS END SYNC'!C626="SHOW",MID('ASS END SYNC'!E626,O622+1,P622-O622-1),"")</f>
        <v/>
      </c>
      <c r="V622" s="24" t="str">
        <f>IF(AND('ASS END SYNC'!C626="SHOW",'ASS END SYNC'!C627="SHOW"),U623,IF(AND('ASS END SYNC'!C626="SHOW",'ASS END SYNC'!C627&lt;&gt;"SHOW"),MID('ASS END SYNC'!E626,O622+1,P622-O622-1),""))</f>
        <v/>
      </c>
      <c r="W622" s="23" t="str">
        <f>IF('ASS END SYNC'!C626="SHOW",MID('ASS END SYNC'!E626,Q622+1,S622-Q622+1),"")</f>
        <v/>
      </c>
      <c r="X622" s="23" t="str">
        <f>IF('ASS END SYNC'!C626="SHOW",MID('ASS END SYNC'!E626,S622+2,1000),"")</f>
        <v/>
      </c>
      <c r="Z622" s="24"/>
    </row>
    <row r="623" spans="1:26" x14ac:dyDescent="0.25">
      <c r="A623" s="26">
        <v>620</v>
      </c>
      <c r="B623" s="24" t="str">
        <f>IF('ASS START SYNC'!C627="SHOW",FIND(",",'ASS START SYNC'!E627,1),"")</f>
        <v/>
      </c>
      <c r="C623" s="24" t="str">
        <f>IF('ASS START SYNC'!C627="SHOW",FIND(",",'ASS START SYNC'!E627,B623+1),"")</f>
        <v/>
      </c>
      <c r="D623" s="24" t="str">
        <f>IF('ASS START SYNC'!C627="SHOW",FIND(",",'ASS START SYNC'!E627,C623+1),"")</f>
        <v/>
      </c>
      <c r="E623" s="25" t="str">
        <f>IF('ASS START SYNC'!C627="SHOW",FIND(",,",'ASS START SYNC'!E627,1),"")</f>
        <v/>
      </c>
      <c r="F623" s="25" t="str">
        <f>IF('ASS START SYNC'!C627="SHOW",FIND(",,",'ASS START SYNC'!E627,E623+1),"")</f>
        <v/>
      </c>
      <c r="G623" s="23" t="str">
        <f>IF('ASS START SYNC'!C627="SHOW",LEFT('ASS START SYNC'!E627,B623),"")</f>
        <v/>
      </c>
      <c r="H623" s="24" t="str">
        <f>IF(AND('ASS START SYNC'!C627="SHOW",COUNTA('ASS START SYNC'!$E$8:'ASS START SYNC'!E626)=0),MID('ASS START SYNC'!E627,B623+1,C623-B623-1),IF(AND('ASS START SYNC'!C627="SHOW",COUNTA('ASS START SYNC'!$E$8:'ASS START SYNC'!E626)&lt;&gt;0),I622,""))</f>
        <v/>
      </c>
      <c r="I623" s="24" t="str">
        <f>IF('ASS START SYNC'!C627="SHOW",MID('ASS START SYNC'!E627,C623+1,D623-C623-1),I622)</f>
        <v/>
      </c>
      <c r="J623" s="23" t="str">
        <f>IF('ASS START SYNC'!C627="SHOW",MID('ASS START SYNC'!E627,D623+1,F623-D623+1),"")</f>
        <v/>
      </c>
      <c r="K623" s="23" t="str">
        <f>IF('ASS START SYNC'!C627="SHOW",MID('ASS START SYNC'!E627,F623+2,1000),"")</f>
        <v/>
      </c>
      <c r="M623" s="24"/>
      <c r="N623" s="26">
        <v>620</v>
      </c>
      <c r="O623" s="24" t="str">
        <f>IF('ASS END SYNC'!C627="SHOW",FIND(",",'ASS END SYNC'!E627,1),"")</f>
        <v/>
      </c>
      <c r="P623" s="24" t="str">
        <f>IF('ASS END SYNC'!C627="SHOW",FIND(",",'ASS END SYNC'!E627,O623+1),"")</f>
        <v/>
      </c>
      <c r="Q623" s="24" t="str">
        <f>IF('ASS END SYNC'!C627="SHOW",FIND(",",'ASS END SYNC'!E627,P623+1),"")</f>
        <v/>
      </c>
      <c r="R623" s="25" t="str">
        <f>IF('ASS END SYNC'!C627="SHOW",FIND(",,",'ASS END SYNC'!E627,1),"")</f>
        <v/>
      </c>
      <c r="S623" s="25" t="str">
        <f>IF('ASS END SYNC'!C627="SHOW",FIND(",,",'ASS END SYNC'!E627,R623+1),"")</f>
        <v/>
      </c>
      <c r="T623" s="23" t="str">
        <f>IF('ASS END SYNC'!C627="SHOW",LEFT('ASS END SYNC'!E627,O623),"")</f>
        <v/>
      </c>
      <c r="U623" s="24" t="str">
        <f>IF('ASS END SYNC'!C627="SHOW",MID('ASS END SYNC'!E627,O623+1,P623-O623-1),"")</f>
        <v/>
      </c>
      <c r="V623" s="24" t="str">
        <f>IF(AND('ASS END SYNC'!C627="SHOW",'ASS END SYNC'!C628="SHOW"),U624,IF(AND('ASS END SYNC'!C627="SHOW",'ASS END SYNC'!C628&lt;&gt;"SHOW"),MID('ASS END SYNC'!E627,O623+1,P623-O623-1),""))</f>
        <v/>
      </c>
      <c r="W623" s="23" t="str">
        <f>IF('ASS END SYNC'!C627="SHOW",MID('ASS END SYNC'!E627,Q623+1,S623-Q623+1),"")</f>
        <v/>
      </c>
      <c r="X623" s="23" t="str">
        <f>IF('ASS END SYNC'!C627="SHOW",MID('ASS END SYNC'!E627,S623+2,1000),"")</f>
        <v/>
      </c>
      <c r="Z623" s="24"/>
    </row>
    <row r="624" spans="1:26" x14ac:dyDescent="0.25">
      <c r="A624" s="26">
        <v>621</v>
      </c>
      <c r="B624" s="24" t="str">
        <f>IF('ASS START SYNC'!C628="SHOW",FIND(",",'ASS START SYNC'!E628,1),"")</f>
        <v/>
      </c>
      <c r="C624" s="24" t="str">
        <f>IF('ASS START SYNC'!C628="SHOW",FIND(",",'ASS START SYNC'!E628,B624+1),"")</f>
        <v/>
      </c>
      <c r="D624" s="24" t="str">
        <f>IF('ASS START SYNC'!C628="SHOW",FIND(",",'ASS START SYNC'!E628,C624+1),"")</f>
        <v/>
      </c>
      <c r="E624" s="25" t="str">
        <f>IF('ASS START SYNC'!C628="SHOW",FIND(",,",'ASS START SYNC'!E628,1),"")</f>
        <v/>
      </c>
      <c r="F624" s="25" t="str">
        <f>IF('ASS START SYNC'!C628="SHOW",FIND(",,",'ASS START SYNC'!E628,E624+1),"")</f>
        <v/>
      </c>
      <c r="G624" s="23" t="str">
        <f>IF('ASS START SYNC'!C628="SHOW",LEFT('ASS START SYNC'!E628,B624),"")</f>
        <v/>
      </c>
      <c r="H624" s="24" t="str">
        <f>IF(AND('ASS START SYNC'!C628="SHOW",COUNTA('ASS START SYNC'!$E$8:'ASS START SYNC'!E627)=0),MID('ASS START SYNC'!E628,B624+1,C624-B624-1),IF(AND('ASS START SYNC'!C628="SHOW",COUNTA('ASS START SYNC'!$E$8:'ASS START SYNC'!E627)&lt;&gt;0),I623,""))</f>
        <v/>
      </c>
      <c r="I624" s="24" t="str">
        <f>IF('ASS START SYNC'!C628="SHOW",MID('ASS START SYNC'!E628,C624+1,D624-C624-1),I623)</f>
        <v/>
      </c>
      <c r="J624" s="23" t="str">
        <f>IF('ASS START SYNC'!C628="SHOW",MID('ASS START SYNC'!E628,D624+1,F624-D624+1),"")</f>
        <v/>
      </c>
      <c r="K624" s="23" t="str">
        <f>IF('ASS START SYNC'!C628="SHOW",MID('ASS START SYNC'!E628,F624+2,1000),"")</f>
        <v/>
      </c>
      <c r="M624" s="24"/>
      <c r="N624" s="26">
        <v>621</v>
      </c>
      <c r="O624" s="24" t="str">
        <f>IF('ASS END SYNC'!C628="SHOW",FIND(",",'ASS END SYNC'!E628,1),"")</f>
        <v/>
      </c>
      <c r="P624" s="24" t="str">
        <f>IF('ASS END SYNC'!C628="SHOW",FIND(",",'ASS END SYNC'!E628,O624+1),"")</f>
        <v/>
      </c>
      <c r="Q624" s="24" t="str">
        <f>IF('ASS END SYNC'!C628="SHOW",FIND(",",'ASS END SYNC'!E628,P624+1),"")</f>
        <v/>
      </c>
      <c r="R624" s="25" t="str">
        <f>IF('ASS END SYNC'!C628="SHOW",FIND(",,",'ASS END SYNC'!E628,1),"")</f>
        <v/>
      </c>
      <c r="S624" s="25" t="str">
        <f>IF('ASS END SYNC'!C628="SHOW",FIND(",,",'ASS END SYNC'!E628,R624+1),"")</f>
        <v/>
      </c>
      <c r="T624" s="23" t="str">
        <f>IF('ASS END SYNC'!C628="SHOW",LEFT('ASS END SYNC'!E628,O624),"")</f>
        <v/>
      </c>
      <c r="U624" s="24" t="str">
        <f>IF('ASS END SYNC'!C628="SHOW",MID('ASS END SYNC'!E628,O624+1,P624-O624-1),"")</f>
        <v/>
      </c>
      <c r="V624" s="24" t="str">
        <f>IF(AND('ASS END SYNC'!C628="SHOW",'ASS END SYNC'!C629="SHOW"),U625,IF(AND('ASS END SYNC'!C628="SHOW",'ASS END SYNC'!C629&lt;&gt;"SHOW"),MID('ASS END SYNC'!E628,O624+1,P624-O624-1),""))</f>
        <v/>
      </c>
      <c r="W624" s="23" t="str">
        <f>IF('ASS END SYNC'!C628="SHOW",MID('ASS END SYNC'!E628,Q624+1,S624-Q624+1),"")</f>
        <v/>
      </c>
      <c r="X624" s="23" t="str">
        <f>IF('ASS END SYNC'!C628="SHOW",MID('ASS END SYNC'!E628,S624+2,1000),"")</f>
        <v/>
      </c>
      <c r="Z624" s="24"/>
    </row>
    <row r="625" spans="1:26" x14ac:dyDescent="0.25">
      <c r="A625" s="26">
        <v>622</v>
      </c>
      <c r="B625" s="24" t="str">
        <f>IF('ASS START SYNC'!C629="SHOW",FIND(",",'ASS START SYNC'!E629,1),"")</f>
        <v/>
      </c>
      <c r="C625" s="24" t="str">
        <f>IF('ASS START SYNC'!C629="SHOW",FIND(",",'ASS START SYNC'!E629,B625+1),"")</f>
        <v/>
      </c>
      <c r="D625" s="24" t="str">
        <f>IF('ASS START SYNC'!C629="SHOW",FIND(",",'ASS START SYNC'!E629,C625+1),"")</f>
        <v/>
      </c>
      <c r="E625" s="25" t="str">
        <f>IF('ASS START SYNC'!C629="SHOW",FIND(",,",'ASS START SYNC'!E629,1),"")</f>
        <v/>
      </c>
      <c r="F625" s="25" t="str">
        <f>IF('ASS START SYNC'!C629="SHOW",FIND(",,",'ASS START SYNC'!E629,E625+1),"")</f>
        <v/>
      </c>
      <c r="G625" s="23" t="str">
        <f>IF('ASS START SYNC'!C629="SHOW",LEFT('ASS START SYNC'!E629,B625),"")</f>
        <v/>
      </c>
      <c r="H625" s="24" t="str">
        <f>IF(AND('ASS START SYNC'!C629="SHOW",COUNTA('ASS START SYNC'!$E$8:'ASS START SYNC'!E628)=0),MID('ASS START SYNC'!E629,B625+1,C625-B625-1),IF(AND('ASS START SYNC'!C629="SHOW",COUNTA('ASS START SYNC'!$E$8:'ASS START SYNC'!E628)&lt;&gt;0),I624,""))</f>
        <v/>
      </c>
      <c r="I625" s="24" t="str">
        <f>IF('ASS START SYNC'!C629="SHOW",MID('ASS START SYNC'!E629,C625+1,D625-C625-1),I624)</f>
        <v/>
      </c>
      <c r="J625" s="23" t="str">
        <f>IF('ASS START SYNC'!C629="SHOW",MID('ASS START SYNC'!E629,D625+1,F625-D625+1),"")</f>
        <v/>
      </c>
      <c r="K625" s="23" t="str">
        <f>IF('ASS START SYNC'!C629="SHOW",MID('ASS START SYNC'!E629,F625+2,1000),"")</f>
        <v/>
      </c>
      <c r="M625" s="24"/>
      <c r="N625" s="26">
        <v>622</v>
      </c>
      <c r="O625" s="24" t="str">
        <f>IF('ASS END SYNC'!C629="SHOW",FIND(",",'ASS END SYNC'!E629,1),"")</f>
        <v/>
      </c>
      <c r="P625" s="24" t="str">
        <f>IF('ASS END SYNC'!C629="SHOW",FIND(",",'ASS END SYNC'!E629,O625+1),"")</f>
        <v/>
      </c>
      <c r="Q625" s="24" t="str">
        <f>IF('ASS END SYNC'!C629="SHOW",FIND(",",'ASS END SYNC'!E629,P625+1),"")</f>
        <v/>
      </c>
      <c r="R625" s="25" t="str">
        <f>IF('ASS END SYNC'!C629="SHOW",FIND(",,",'ASS END SYNC'!E629,1),"")</f>
        <v/>
      </c>
      <c r="S625" s="25" t="str">
        <f>IF('ASS END SYNC'!C629="SHOW",FIND(",,",'ASS END SYNC'!E629,R625+1),"")</f>
        <v/>
      </c>
      <c r="T625" s="23" t="str">
        <f>IF('ASS END SYNC'!C629="SHOW",LEFT('ASS END SYNC'!E629,O625),"")</f>
        <v/>
      </c>
      <c r="U625" s="24" t="str">
        <f>IF('ASS END SYNC'!C629="SHOW",MID('ASS END SYNC'!E629,O625+1,P625-O625-1),"")</f>
        <v/>
      </c>
      <c r="V625" s="24" t="str">
        <f>IF(AND('ASS END SYNC'!C629="SHOW",'ASS END SYNC'!C630="SHOW"),U626,IF(AND('ASS END SYNC'!C629="SHOW",'ASS END SYNC'!C630&lt;&gt;"SHOW"),MID('ASS END SYNC'!E629,O625+1,P625-O625-1),""))</f>
        <v/>
      </c>
      <c r="W625" s="23" t="str">
        <f>IF('ASS END SYNC'!C629="SHOW",MID('ASS END SYNC'!E629,Q625+1,S625-Q625+1),"")</f>
        <v/>
      </c>
      <c r="X625" s="23" t="str">
        <f>IF('ASS END SYNC'!C629="SHOW",MID('ASS END SYNC'!E629,S625+2,1000),"")</f>
        <v/>
      </c>
      <c r="Z625" s="24"/>
    </row>
    <row r="626" spans="1:26" x14ac:dyDescent="0.25">
      <c r="A626" s="26">
        <v>623</v>
      </c>
      <c r="B626" s="24" t="str">
        <f>IF('ASS START SYNC'!C630="SHOW",FIND(",",'ASS START SYNC'!E630,1),"")</f>
        <v/>
      </c>
      <c r="C626" s="24" t="str">
        <f>IF('ASS START SYNC'!C630="SHOW",FIND(",",'ASS START SYNC'!E630,B626+1),"")</f>
        <v/>
      </c>
      <c r="D626" s="24" t="str">
        <f>IF('ASS START SYNC'!C630="SHOW",FIND(",",'ASS START SYNC'!E630,C626+1),"")</f>
        <v/>
      </c>
      <c r="E626" s="25" t="str">
        <f>IF('ASS START SYNC'!C630="SHOW",FIND(",,",'ASS START SYNC'!E630,1),"")</f>
        <v/>
      </c>
      <c r="F626" s="25" t="str">
        <f>IF('ASS START SYNC'!C630="SHOW",FIND(",,",'ASS START SYNC'!E630,E626+1),"")</f>
        <v/>
      </c>
      <c r="G626" s="23" t="str">
        <f>IF('ASS START SYNC'!C630="SHOW",LEFT('ASS START SYNC'!E630,B626),"")</f>
        <v/>
      </c>
      <c r="H626" s="24" t="str">
        <f>IF(AND('ASS START SYNC'!C630="SHOW",COUNTA('ASS START SYNC'!$E$8:'ASS START SYNC'!E629)=0),MID('ASS START SYNC'!E630,B626+1,C626-B626-1),IF(AND('ASS START SYNC'!C630="SHOW",COUNTA('ASS START SYNC'!$E$8:'ASS START SYNC'!E629)&lt;&gt;0),I625,""))</f>
        <v/>
      </c>
      <c r="I626" s="24" t="str">
        <f>IF('ASS START SYNC'!C630="SHOW",MID('ASS START SYNC'!E630,C626+1,D626-C626-1),I625)</f>
        <v/>
      </c>
      <c r="J626" s="23" t="str">
        <f>IF('ASS START SYNC'!C630="SHOW",MID('ASS START SYNC'!E630,D626+1,F626-D626+1),"")</f>
        <v/>
      </c>
      <c r="K626" s="23" t="str">
        <f>IF('ASS START SYNC'!C630="SHOW",MID('ASS START SYNC'!E630,F626+2,1000),"")</f>
        <v/>
      </c>
      <c r="M626" s="24"/>
      <c r="N626" s="26">
        <v>623</v>
      </c>
      <c r="O626" s="24" t="str">
        <f>IF('ASS END SYNC'!C630="SHOW",FIND(",",'ASS END SYNC'!E630,1),"")</f>
        <v/>
      </c>
      <c r="P626" s="24" t="str">
        <f>IF('ASS END SYNC'!C630="SHOW",FIND(",",'ASS END SYNC'!E630,O626+1),"")</f>
        <v/>
      </c>
      <c r="Q626" s="24" t="str">
        <f>IF('ASS END SYNC'!C630="SHOW",FIND(",",'ASS END SYNC'!E630,P626+1),"")</f>
        <v/>
      </c>
      <c r="R626" s="25" t="str">
        <f>IF('ASS END SYNC'!C630="SHOW",FIND(",,",'ASS END SYNC'!E630,1),"")</f>
        <v/>
      </c>
      <c r="S626" s="25" t="str">
        <f>IF('ASS END SYNC'!C630="SHOW",FIND(",,",'ASS END SYNC'!E630,R626+1),"")</f>
        <v/>
      </c>
      <c r="T626" s="23" t="str">
        <f>IF('ASS END SYNC'!C630="SHOW",LEFT('ASS END SYNC'!E630,O626),"")</f>
        <v/>
      </c>
      <c r="U626" s="24" t="str">
        <f>IF('ASS END SYNC'!C630="SHOW",MID('ASS END SYNC'!E630,O626+1,P626-O626-1),"")</f>
        <v/>
      </c>
      <c r="V626" s="24" t="str">
        <f>IF(AND('ASS END SYNC'!C630="SHOW",'ASS END SYNC'!C631="SHOW"),U627,IF(AND('ASS END SYNC'!C630="SHOW",'ASS END SYNC'!C631&lt;&gt;"SHOW"),MID('ASS END SYNC'!E630,O626+1,P626-O626-1),""))</f>
        <v/>
      </c>
      <c r="W626" s="23" t="str">
        <f>IF('ASS END SYNC'!C630="SHOW",MID('ASS END SYNC'!E630,Q626+1,S626-Q626+1),"")</f>
        <v/>
      </c>
      <c r="X626" s="23" t="str">
        <f>IF('ASS END SYNC'!C630="SHOW",MID('ASS END SYNC'!E630,S626+2,1000),"")</f>
        <v/>
      </c>
      <c r="Z626" s="24"/>
    </row>
    <row r="627" spans="1:26" x14ac:dyDescent="0.25">
      <c r="A627" s="26">
        <v>624</v>
      </c>
      <c r="B627" s="24" t="str">
        <f>IF('ASS START SYNC'!C631="SHOW",FIND(",",'ASS START SYNC'!E631,1),"")</f>
        <v/>
      </c>
      <c r="C627" s="24" t="str">
        <f>IF('ASS START SYNC'!C631="SHOW",FIND(",",'ASS START SYNC'!E631,B627+1),"")</f>
        <v/>
      </c>
      <c r="D627" s="24" t="str">
        <f>IF('ASS START SYNC'!C631="SHOW",FIND(",",'ASS START SYNC'!E631,C627+1),"")</f>
        <v/>
      </c>
      <c r="E627" s="25" t="str">
        <f>IF('ASS START SYNC'!C631="SHOW",FIND(",,",'ASS START SYNC'!E631,1),"")</f>
        <v/>
      </c>
      <c r="F627" s="25" t="str">
        <f>IF('ASS START SYNC'!C631="SHOW",FIND(",,",'ASS START SYNC'!E631,E627+1),"")</f>
        <v/>
      </c>
      <c r="G627" s="23" t="str">
        <f>IF('ASS START SYNC'!C631="SHOW",LEFT('ASS START SYNC'!E631,B627),"")</f>
        <v/>
      </c>
      <c r="H627" s="24" t="str">
        <f>IF(AND('ASS START SYNC'!C631="SHOW",COUNTA('ASS START SYNC'!$E$8:'ASS START SYNC'!E630)=0),MID('ASS START SYNC'!E631,B627+1,C627-B627-1),IF(AND('ASS START SYNC'!C631="SHOW",COUNTA('ASS START SYNC'!$E$8:'ASS START SYNC'!E630)&lt;&gt;0),I626,""))</f>
        <v/>
      </c>
      <c r="I627" s="24" t="str">
        <f>IF('ASS START SYNC'!C631="SHOW",MID('ASS START SYNC'!E631,C627+1,D627-C627-1),I626)</f>
        <v/>
      </c>
      <c r="J627" s="23" t="str">
        <f>IF('ASS START SYNC'!C631="SHOW",MID('ASS START SYNC'!E631,D627+1,F627-D627+1),"")</f>
        <v/>
      </c>
      <c r="K627" s="23" t="str">
        <f>IF('ASS START SYNC'!C631="SHOW",MID('ASS START SYNC'!E631,F627+2,1000),"")</f>
        <v/>
      </c>
      <c r="M627" s="24"/>
      <c r="N627" s="26">
        <v>624</v>
      </c>
      <c r="O627" s="24" t="str">
        <f>IF('ASS END SYNC'!C631="SHOW",FIND(",",'ASS END SYNC'!E631,1),"")</f>
        <v/>
      </c>
      <c r="P627" s="24" t="str">
        <f>IF('ASS END SYNC'!C631="SHOW",FIND(",",'ASS END SYNC'!E631,O627+1),"")</f>
        <v/>
      </c>
      <c r="Q627" s="24" t="str">
        <f>IF('ASS END SYNC'!C631="SHOW",FIND(",",'ASS END SYNC'!E631,P627+1),"")</f>
        <v/>
      </c>
      <c r="R627" s="25" t="str">
        <f>IF('ASS END SYNC'!C631="SHOW",FIND(",,",'ASS END SYNC'!E631,1),"")</f>
        <v/>
      </c>
      <c r="S627" s="25" t="str">
        <f>IF('ASS END SYNC'!C631="SHOW",FIND(",,",'ASS END SYNC'!E631,R627+1),"")</f>
        <v/>
      </c>
      <c r="T627" s="23" t="str">
        <f>IF('ASS END SYNC'!C631="SHOW",LEFT('ASS END SYNC'!E631,O627),"")</f>
        <v/>
      </c>
      <c r="U627" s="24" t="str">
        <f>IF('ASS END SYNC'!C631="SHOW",MID('ASS END SYNC'!E631,O627+1,P627-O627-1),"")</f>
        <v/>
      </c>
      <c r="V627" s="24" t="str">
        <f>IF(AND('ASS END SYNC'!C631="SHOW",'ASS END SYNC'!C632="SHOW"),U628,IF(AND('ASS END SYNC'!C631="SHOW",'ASS END SYNC'!C632&lt;&gt;"SHOW"),MID('ASS END SYNC'!E631,O627+1,P627-O627-1),""))</f>
        <v/>
      </c>
      <c r="W627" s="23" t="str">
        <f>IF('ASS END SYNC'!C631="SHOW",MID('ASS END SYNC'!E631,Q627+1,S627-Q627+1),"")</f>
        <v/>
      </c>
      <c r="X627" s="23" t="str">
        <f>IF('ASS END SYNC'!C631="SHOW",MID('ASS END SYNC'!E631,S627+2,1000),"")</f>
        <v/>
      </c>
      <c r="Z627" s="24"/>
    </row>
    <row r="628" spans="1:26" x14ac:dyDescent="0.25">
      <c r="A628" s="26">
        <v>625</v>
      </c>
      <c r="B628" s="24" t="str">
        <f>IF('ASS START SYNC'!C632="SHOW",FIND(",",'ASS START SYNC'!E632,1),"")</f>
        <v/>
      </c>
      <c r="C628" s="24" t="str">
        <f>IF('ASS START SYNC'!C632="SHOW",FIND(",",'ASS START SYNC'!E632,B628+1),"")</f>
        <v/>
      </c>
      <c r="D628" s="24" t="str">
        <f>IF('ASS START SYNC'!C632="SHOW",FIND(",",'ASS START SYNC'!E632,C628+1),"")</f>
        <v/>
      </c>
      <c r="E628" s="25" t="str">
        <f>IF('ASS START SYNC'!C632="SHOW",FIND(",,",'ASS START SYNC'!E632,1),"")</f>
        <v/>
      </c>
      <c r="F628" s="25" t="str">
        <f>IF('ASS START SYNC'!C632="SHOW",FIND(",,",'ASS START SYNC'!E632,E628+1),"")</f>
        <v/>
      </c>
      <c r="G628" s="23" t="str">
        <f>IF('ASS START SYNC'!C632="SHOW",LEFT('ASS START SYNC'!E632,B628),"")</f>
        <v/>
      </c>
      <c r="H628" s="24" t="str">
        <f>IF(AND('ASS START SYNC'!C632="SHOW",COUNTA('ASS START SYNC'!$E$8:'ASS START SYNC'!E631)=0),MID('ASS START SYNC'!E632,B628+1,C628-B628-1),IF(AND('ASS START SYNC'!C632="SHOW",COUNTA('ASS START SYNC'!$E$8:'ASS START SYNC'!E631)&lt;&gt;0),I627,""))</f>
        <v/>
      </c>
      <c r="I628" s="24" t="str">
        <f>IF('ASS START SYNC'!C632="SHOW",MID('ASS START SYNC'!E632,C628+1,D628-C628-1),I627)</f>
        <v/>
      </c>
      <c r="J628" s="23" t="str">
        <f>IF('ASS START SYNC'!C632="SHOW",MID('ASS START SYNC'!E632,D628+1,F628-D628+1),"")</f>
        <v/>
      </c>
      <c r="K628" s="23" t="str">
        <f>IF('ASS START SYNC'!C632="SHOW",MID('ASS START SYNC'!E632,F628+2,1000),"")</f>
        <v/>
      </c>
      <c r="M628" s="24"/>
      <c r="N628" s="26">
        <v>625</v>
      </c>
      <c r="O628" s="24" t="str">
        <f>IF('ASS END SYNC'!C632="SHOW",FIND(",",'ASS END SYNC'!E632,1),"")</f>
        <v/>
      </c>
      <c r="P628" s="24" t="str">
        <f>IF('ASS END SYNC'!C632="SHOW",FIND(",",'ASS END SYNC'!E632,O628+1),"")</f>
        <v/>
      </c>
      <c r="Q628" s="24" t="str">
        <f>IF('ASS END SYNC'!C632="SHOW",FIND(",",'ASS END SYNC'!E632,P628+1),"")</f>
        <v/>
      </c>
      <c r="R628" s="25" t="str">
        <f>IF('ASS END SYNC'!C632="SHOW",FIND(",,",'ASS END SYNC'!E632,1),"")</f>
        <v/>
      </c>
      <c r="S628" s="25" t="str">
        <f>IF('ASS END SYNC'!C632="SHOW",FIND(",,",'ASS END SYNC'!E632,R628+1),"")</f>
        <v/>
      </c>
      <c r="T628" s="23" t="str">
        <f>IF('ASS END SYNC'!C632="SHOW",LEFT('ASS END SYNC'!E632,O628),"")</f>
        <v/>
      </c>
      <c r="U628" s="24" t="str">
        <f>IF('ASS END SYNC'!C632="SHOW",MID('ASS END SYNC'!E632,O628+1,P628-O628-1),"")</f>
        <v/>
      </c>
      <c r="V628" s="24" t="str">
        <f>IF(AND('ASS END SYNC'!C632="SHOW",'ASS END SYNC'!C633="SHOW"),U629,IF(AND('ASS END SYNC'!C632="SHOW",'ASS END SYNC'!C633&lt;&gt;"SHOW"),MID('ASS END SYNC'!E632,O628+1,P628-O628-1),""))</f>
        <v/>
      </c>
      <c r="W628" s="23" t="str">
        <f>IF('ASS END SYNC'!C632="SHOW",MID('ASS END SYNC'!E632,Q628+1,S628-Q628+1),"")</f>
        <v/>
      </c>
      <c r="X628" s="23" t="str">
        <f>IF('ASS END SYNC'!C632="SHOW",MID('ASS END SYNC'!E632,S628+2,1000),"")</f>
        <v/>
      </c>
      <c r="Z628" s="24"/>
    </row>
    <row r="629" spans="1:26" x14ac:dyDescent="0.25">
      <c r="A629" s="26">
        <v>626</v>
      </c>
      <c r="B629" s="24" t="str">
        <f>IF('ASS START SYNC'!C633="SHOW",FIND(",",'ASS START SYNC'!E633,1),"")</f>
        <v/>
      </c>
      <c r="C629" s="24" t="str">
        <f>IF('ASS START SYNC'!C633="SHOW",FIND(",",'ASS START SYNC'!E633,B629+1),"")</f>
        <v/>
      </c>
      <c r="D629" s="24" t="str">
        <f>IF('ASS START SYNC'!C633="SHOW",FIND(",",'ASS START SYNC'!E633,C629+1),"")</f>
        <v/>
      </c>
      <c r="E629" s="25" t="str">
        <f>IF('ASS START SYNC'!C633="SHOW",FIND(",,",'ASS START SYNC'!E633,1),"")</f>
        <v/>
      </c>
      <c r="F629" s="25" t="str">
        <f>IF('ASS START SYNC'!C633="SHOW",FIND(",,",'ASS START SYNC'!E633,E629+1),"")</f>
        <v/>
      </c>
      <c r="G629" s="23" t="str">
        <f>IF('ASS START SYNC'!C633="SHOW",LEFT('ASS START SYNC'!E633,B629),"")</f>
        <v/>
      </c>
      <c r="H629" s="24" t="str">
        <f>IF(AND('ASS START SYNC'!C633="SHOW",COUNTA('ASS START SYNC'!$E$8:'ASS START SYNC'!E632)=0),MID('ASS START SYNC'!E633,B629+1,C629-B629-1),IF(AND('ASS START SYNC'!C633="SHOW",COUNTA('ASS START SYNC'!$E$8:'ASS START SYNC'!E632)&lt;&gt;0),I628,""))</f>
        <v/>
      </c>
      <c r="I629" s="24" t="str">
        <f>IF('ASS START SYNC'!C633="SHOW",MID('ASS START SYNC'!E633,C629+1,D629-C629-1),I628)</f>
        <v/>
      </c>
      <c r="J629" s="23" t="str">
        <f>IF('ASS START SYNC'!C633="SHOW",MID('ASS START SYNC'!E633,D629+1,F629-D629+1),"")</f>
        <v/>
      </c>
      <c r="K629" s="23" t="str">
        <f>IF('ASS START SYNC'!C633="SHOW",MID('ASS START SYNC'!E633,F629+2,1000),"")</f>
        <v/>
      </c>
      <c r="M629" s="24"/>
      <c r="N629" s="26">
        <v>626</v>
      </c>
      <c r="O629" s="24" t="str">
        <f>IF('ASS END SYNC'!C633="SHOW",FIND(",",'ASS END SYNC'!E633,1),"")</f>
        <v/>
      </c>
      <c r="P629" s="24" t="str">
        <f>IF('ASS END SYNC'!C633="SHOW",FIND(",",'ASS END SYNC'!E633,O629+1),"")</f>
        <v/>
      </c>
      <c r="Q629" s="24" t="str">
        <f>IF('ASS END SYNC'!C633="SHOW",FIND(",",'ASS END SYNC'!E633,P629+1),"")</f>
        <v/>
      </c>
      <c r="R629" s="25" t="str">
        <f>IF('ASS END SYNC'!C633="SHOW",FIND(",,",'ASS END SYNC'!E633,1),"")</f>
        <v/>
      </c>
      <c r="S629" s="25" t="str">
        <f>IF('ASS END SYNC'!C633="SHOW",FIND(",,",'ASS END SYNC'!E633,R629+1),"")</f>
        <v/>
      </c>
      <c r="T629" s="23" t="str">
        <f>IF('ASS END SYNC'!C633="SHOW",LEFT('ASS END SYNC'!E633,O629),"")</f>
        <v/>
      </c>
      <c r="U629" s="24" t="str">
        <f>IF('ASS END SYNC'!C633="SHOW",MID('ASS END SYNC'!E633,O629+1,P629-O629-1),"")</f>
        <v/>
      </c>
      <c r="V629" s="24" t="str">
        <f>IF(AND('ASS END SYNC'!C633="SHOW",'ASS END SYNC'!C634="SHOW"),U630,IF(AND('ASS END SYNC'!C633="SHOW",'ASS END SYNC'!C634&lt;&gt;"SHOW"),MID('ASS END SYNC'!E633,O629+1,P629-O629-1),""))</f>
        <v/>
      </c>
      <c r="W629" s="23" t="str">
        <f>IF('ASS END SYNC'!C633="SHOW",MID('ASS END SYNC'!E633,Q629+1,S629-Q629+1),"")</f>
        <v/>
      </c>
      <c r="X629" s="23" t="str">
        <f>IF('ASS END SYNC'!C633="SHOW",MID('ASS END SYNC'!E633,S629+2,1000),"")</f>
        <v/>
      </c>
      <c r="Z629" s="24"/>
    </row>
    <row r="630" spans="1:26" x14ac:dyDescent="0.25">
      <c r="A630" s="26">
        <v>627</v>
      </c>
      <c r="B630" s="24" t="str">
        <f>IF('ASS START SYNC'!C634="SHOW",FIND(",",'ASS START SYNC'!E634,1),"")</f>
        <v/>
      </c>
      <c r="C630" s="24" t="str">
        <f>IF('ASS START SYNC'!C634="SHOW",FIND(",",'ASS START SYNC'!E634,B630+1),"")</f>
        <v/>
      </c>
      <c r="D630" s="24" t="str">
        <f>IF('ASS START SYNC'!C634="SHOW",FIND(",",'ASS START SYNC'!E634,C630+1),"")</f>
        <v/>
      </c>
      <c r="E630" s="25" t="str">
        <f>IF('ASS START SYNC'!C634="SHOW",FIND(",,",'ASS START SYNC'!E634,1),"")</f>
        <v/>
      </c>
      <c r="F630" s="25" t="str">
        <f>IF('ASS START SYNC'!C634="SHOW",FIND(",,",'ASS START SYNC'!E634,E630+1),"")</f>
        <v/>
      </c>
      <c r="G630" s="23" t="str">
        <f>IF('ASS START SYNC'!C634="SHOW",LEFT('ASS START SYNC'!E634,B630),"")</f>
        <v/>
      </c>
      <c r="H630" s="24" t="str">
        <f>IF(AND('ASS START SYNC'!C634="SHOW",COUNTA('ASS START SYNC'!$E$8:'ASS START SYNC'!E633)=0),MID('ASS START SYNC'!E634,B630+1,C630-B630-1),IF(AND('ASS START SYNC'!C634="SHOW",COUNTA('ASS START SYNC'!$E$8:'ASS START SYNC'!E633)&lt;&gt;0),I629,""))</f>
        <v/>
      </c>
      <c r="I630" s="24" t="str">
        <f>IF('ASS START SYNC'!C634="SHOW",MID('ASS START SYNC'!E634,C630+1,D630-C630-1),I629)</f>
        <v/>
      </c>
      <c r="J630" s="23" t="str">
        <f>IF('ASS START SYNC'!C634="SHOW",MID('ASS START SYNC'!E634,D630+1,F630-D630+1),"")</f>
        <v/>
      </c>
      <c r="K630" s="23" t="str">
        <f>IF('ASS START SYNC'!C634="SHOW",MID('ASS START SYNC'!E634,F630+2,1000),"")</f>
        <v/>
      </c>
      <c r="M630" s="24"/>
      <c r="N630" s="26">
        <v>627</v>
      </c>
      <c r="O630" s="24" t="str">
        <f>IF('ASS END SYNC'!C634="SHOW",FIND(",",'ASS END SYNC'!E634,1),"")</f>
        <v/>
      </c>
      <c r="P630" s="24" t="str">
        <f>IF('ASS END SYNC'!C634="SHOW",FIND(",",'ASS END SYNC'!E634,O630+1),"")</f>
        <v/>
      </c>
      <c r="Q630" s="24" t="str">
        <f>IF('ASS END SYNC'!C634="SHOW",FIND(",",'ASS END SYNC'!E634,P630+1),"")</f>
        <v/>
      </c>
      <c r="R630" s="25" t="str">
        <f>IF('ASS END SYNC'!C634="SHOW",FIND(",,",'ASS END SYNC'!E634,1),"")</f>
        <v/>
      </c>
      <c r="S630" s="25" t="str">
        <f>IF('ASS END SYNC'!C634="SHOW",FIND(",,",'ASS END SYNC'!E634,R630+1),"")</f>
        <v/>
      </c>
      <c r="T630" s="23" t="str">
        <f>IF('ASS END SYNC'!C634="SHOW",LEFT('ASS END SYNC'!E634,O630),"")</f>
        <v/>
      </c>
      <c r="U630" s="24" t="str">
        <f>IF('ASS END SYNC'!C634="SHOW",MID('ASS END SYNC'!E634,O630+1,P630-O630-1),"")</f>
        <v/>
      </c>
      <c r="V630" s="24" t="str">
        <f>IF(AND('ASS END SYNC'!C634="SHOW",'ASS END SYNC'!C635="SHOW"),U631,IF(AND('ASS END SYNC'!C634="SHOW",'ASS END SYNC'!C635&lt;&gt;"SHOW"),MID('ASS END SYNC'!E634,O630+1,P630-O630-1),""))</f>
        <v/>
      </c>
      <c r="W630" s="23" t="str">
        <f>IF('ASS END SYNC'!C634="SHOW",MID('ASS END SYNC'!E634,Q630+1,S630-Q630+1),"")</f>
        <v/>
      </c>
      <c r="X630" s="23" t="str">
        <f>IF('ASS END SYNC'!C634="SHOW",MID('ASS END SYNC'!E634,S630+2,1000),"")</f>
        <v/>
      </c>
      <c r="Z630" s="24"/>
    </row>
    <row r="631" spans="1:26" x14ac:dyDescent="0.25">
      <c r="A631" s="26">
        <v>628</v>
      </c>
      <c r="B631" s="24" t="str">
        <f>IF('ASS START SYNC'!C635="SHOW",FIND(",",'ASS START SYNC'!E635,1),"")</f>
        <v/>
      </c>
      <c r="C631" s="24" t="str">
        <f>IF('ASS START SYNC'!C635="SHOW",FIND(",",'ASS START SYNC'!E635,B631+1),"")</f>
        <v/>
      </c>
      <c r="D631" s="24" t="str">
        <f>IF('ASS START SYNC'!C635="SHOW",FIND(",",'ASS START SYNC'!E635,C631+1),"")</f>
        <v/>
      </c>
      <c r="E631" s="25" t="str">
        <f>IF('ASS START SYNC'!C635="SHOW",FIND(",,",'ASS START SYNC'!E635,1),"")</f>
        <v/>
      </c>
      <c r="F631" s="25" t="str">
        <f>IF('ASS START SYNC'!C635="SHOW",FIND(",,",'ASS START SYNC'!E635,E631+1),"")</f>
        <v/>
      </c>
      <c r="G631" s="23" t="str">
        <f>IF('ASS START SYNC'!C635="SHOW",LEFT('ASS START SYNC'!E635,B631),"")</f>
        <v/>
      </c>
      <c r="H631" s="24" t="str">
        <f>IF(AND('ASS START SYNC'!C635="SHOW",COUNTA('ASS START SYNC'!$E$8:'ASS START SYNC'!E634)=0),MID('ASS START SYNC'!E635,B631+1,C631-B631-1),IF(AND('ASS START SYNC'!C635="SHOW",COUNTA('ASS START SYNC'!$E$8:'ASS START SYNC'!E634)&lt;&gt;0),I630,""))</f>
        <v/>
      </c>
      <c r="I631" s="24" t="str">
        <f>IF('ASS START SYNC'!C635="SHOW",MID('ASS START SYNC'!E635,C631+1,D631-C631-1),I630)</f>
        <v/>
      </c>
      <c r="J631" s="23" t="str">
        <f>IF('ASS START SYNC'!C635="SHOW",MID('ASS START SYNC'!E635,D631+1,F631-D631+1),"")</f>
        <v/>
      </c>
      <c r="K631" s="23" t="str">
        <f>IF('ASS START SYNC'!C635="SHOW",MID('ASS START SYNC'!E635,F631+2,1000),"")</f>
        <v/>
      </c>
      <c r="M631" s="24"/>
      <c r="N631" s="26">
        <v>628</v>
      </c>
      <c r="O631" s="24" t="str">
        <f>IF('ASS END SYNC'!C635="SHOW",FIND(",",'ASS END SYNC'!E635,1),"")</f>
        <v/>
      </c>
      <c r="P631" s="24" t="str">
        <f>IF('ASS END SYNC'!C635="SHOW",FIND(",",'ASS END SYNC'!E635,O631+1),"")</f>
        <v/>
      </c>
      <c r="Q631" s="24" t="str">
        <f>IF('ASS END SYNC'!C635="SHOW",FIND(",",'ASS END SYNC'!E635,P631+1),"")</f>
        <v/>
      </c>
      <c r="R631" s="25" t="str">
        <f>IF('ASS END SYNC'!C635="SHOW",FIND(",,",'ASS END SYNC'!E635,1),"")</f>
        <v/>
      </c>
      <c r="S631" s="25" t="str">
        <f>IF('ASS END SYNC'!C635="SHOW",FIND(",,",'ASS END SYNC'!E635,R631+1),"")</f>
        <v/>
      </c>
      <c r="T631" s="23" t="str">
        <f>IF('ASS END SYNC'!C635="SHOW",LEFT('ASS END SYNC'!E635,O631),"")</f>
        <v/>
      </c>
      <c r="U631" s="24" t="str">
        <f>IF('ASS END SYNC'!C635="SHOW",MID('ASS END SYNC'!E635,O631+1,P631-O631-1),"")</f>
        <v/>
      </c>
      <c r="V631" s="24" t="str">
        <f>IF(AND('ASS END SYNC'!C635="SHOW",'ASS END SYNC'!C636="SHOW"),U632,IF(AND('ASS END SYNC'!C635="SHOW",'ASS END SYNC'!C636&lt;&gt;"SHOW"),MID('ASS END SYNC'!E635,O631+1,P631-O631-1),""))</f>
        <v/>
      </c>
      <c r="W631" s="23" t="str">
        <f>IF('ASS END SYNC'!C635="SHOW",MID('ASS END SYNC'!E635,Q631+1,S631-Q631+1),"")</f>
        <v/>
      </c>
      <c r="X631" s="23" t="str">
        <f>IF('ASS END SYNC'!C635="SHOW",MID('ASS END SYNC'!E635,S631+2,1000),"")</f>
        <v/>
      </c>
      <c r="Z631" s="24"/>
    </row>
    <row r="632" spans="1:26" x14ac:dyDescent="0.25">
      <c r="A632" s="26">
        <v>629</v>
      </c>
      <c r="B632" s="24" t="str">
        <f>IF('ASS START SYNC'!C636="SHOW",FIND(",",'ASS START SYNC'!E636,1),"")</f>
        <v/>
      </c>
      <c r="C632" s="24" t="str">
        <f>IF('ASS START SYNC'!C636="SHOW",FIND(",",'ASS START SYNC'!E636,B632+1),"")</f>
        <v/>
      </c>
      <c r="D632" s="24" t="str">
        <f>IF('ASS START SYNC'!C636="SHOW",FIND(",",'ASS START SYNC'!E636,C632+1),"")</f>
        <v/>
      </c>
      <c r="E632" s="25" t="str">
        <f>IF('ASS START SYNC'!C636="SHOW",FIND(",,",'ASS START SYNC'!E636,1),"")</f>
        <v/>
      </c>
      <c r="F632" s="25" t="str">
        <f>IF('ASS START SYNC'!C636="SHOW",FIND(",,",'ASS START SYNC'!E636,E632+1),"")</f>
        <v/>
      </c>
      <c r="G632" s="23" t="str">
        <f>IF('ASS START SYNC'!C636="SHOW",LEFT('ASS START SYNC'!E636,B632),"")</f>
        <v/>
      </c>
      <c r="H632" s="24" t="str">
        <f>IF(AND('ASS START SYNC'!C636="SHOW",COUNTA('ASS START SYNC'!$E$8:'ASS START SYNC'!E635)=0),MID('ASS START SYNC'!E636,B632+1,C632-B632-1),IF(AND('ASS START SYNC'!C636="SHOW",COUNTA('ASS START SYNC'!$E$8:'ASS START SYNC'!E635)&lt;&gt;0),I631,""))</f>
        <v/>
      </c>
      <c r="I632" s="24" t="str">
        <f>IF('ASS START SYNC'!C636="SHOW",MID('ASS START SYNC'!E636,C632+1,D632-C632-1),I631)</f>
        <v/>
      </c>
      <c r="J632" s="23" t="str">
        <f>IF('ASS START SYNC'!C636="SHOW",MID('ASS START SYNC'!E636,D632+1,F632-D632+1),"")</f>
        <v/>
      </c>
      <c r="K632" s="23" t="str">
        <f>IF('ASS START SYNC'!C636="SHOW",MID('ASS START SYNC'!E636,F632+2,1000),"")</f>
        <v/>
      </c>
      <c r="M632" s="24"/>
      <c r="N632" s="26">
        <v>629</v>
      </c>
      <c r="O632" s="24" t="str">
        <f>IF('ASS END SYNC'!C636="SHOW",FIND(",",'ASS END SYNC'!E636,1),"")</f>
        <v/>
      </c>
      <c r="P632" s="24" t="str">
        <f>IF('ASS END SYNC'!C636="SHOW",FIND(",",'ASS END SYNC'!E636,O632+1),"")</f>
        <v/>
      </c>
      <c r="Q632" s="24" t="str">
        <f>IF('ASS END SYNC'!C636="SHOW",FIND(",",'ASS END SYNC'!E636,P632+1),"")</f>
        <v/>
      </c>
      <c r="R632" s="25" t="str">
        <f>IF('ASS END SYNC'!C636="SHOW",FIND(",,",'ASS END SYNC'!E636,1),"")</f>
        <v/>
      </c>
      <c r="S632" s="25" t="str">
        <f>IF('ASS END SYNC'!C636="SHOW",FIND(",,",'ASS END SYNC'!E636,R632+1),"")</f>
        <v/>
      </c>
      <c r="T632" s="23" t="str">
        <f>IF('ASS END SYNC'!C636="SHOW",LEFT('ASS END SYNC'!E636,O632),"")</f>
        <v/>
      </c>
      <c r="U632" s="24" t="str">
        <f>IF('ASS END SYNC'!C636="SHOW",MID('ASS END SYNC'!E636,O632+1,P632-O632-1),"")</f>
        <v/>
      </c>
      <c r="V632" s="24" t="str">
        <f>IF(AND('ASS END SYNC'!C636="SHOW",'ASS END SYNC'!C637="SHOW"),U633,IF(AND('ASS END SYNC'!C636="SHOW",'ASS END SYNC'!C637&lt;&gt;"SHOW"),MID('ASS END SYNC'!E636,O632+1,P632-O632-1),""))</f>
        <v/>
      </c>
      <c r="W632" s="23" t="str">
        <f>IF('ASS END SYNC'!C636="SHOW",MID('ASS END SYNC'!E636,Q632+1,S632-Q632+1),"")</f>
        <v/>
      </c>
      <c r="X632" s="23" t="str">
        <f>IF('ASS END SYNC'!C636="SHOW",MID('ASS END SYNC'!E636,S632+2,1000),"")</f>
        <v/>
      </c>
      <c r="Z632" s="24"/>
    </row>
    <row r="633" spans="1:26" x14ac:dyDescent="0.25">
      <c r="A633" s="26">
        <v>630</v>
      </c>
      <c r="B633" s="24" t="str">
        <f>IF('ASS START SYNC'!C637="SHOW",FIND(",",'ASS START SYNC'!E637,1),"")</f>
        <v/>
      </c>
      <c r="C633" s="24" t="str">
        <f>IF('ASS START SYNC'!C637="SHOW",FIND(",",'ASS START SYNC'!E637,B633+1),"")</f>
        <v/>
      </c>
      <c r="D633" s="24" t="str">
        <f>IF('ASS START SYNC'!C637="SHOW",FIND(",",'ASS START SYNC'!E637,C633+1),"")</f>
        <v/>
      </c>
      <c r="E633" s="25" t="str">
        <f>IF('ASS START SYNC'!C637="SHOW",FIND(",,",'ASS START SYNC'!E637,1),"")</f>
        <v/>
      </c>
      <c r="F633" s="25" t="str">
        <f>IF('ASS START SYNC'!C637="SHOW",FIND(",,",'ASS START SYNC'!E637,E633+1),"")</f>
        <v/>
      </c>
      <c r="G633" s="23" t="str">
        <f>IF('ASS START SYNC'!C637="SHOW",LEFT('ASS START SYNC'!E637,B633),"")</f>
        <v/>
      </c>
      <c r="H633" s="24" t="str">
        <f>IF(AND('ASS START SYNC'!C637="SHOW",COUNTA('ASS START SYNC'!$E$8:'ASS START SYNC'!E636)=0),MID('ASS START SYNC'!E637,B633+1,C633-B633-1),IF(AND('ASS START SYNC'!C637="SHOW",COUNTA('ASS START SYNC'!$E$8:'ASS START SYNC'!E636)&lt;&gt;0),I632,""))</f>
        <v/>
      </c>
      <c r="I633" s="24" t="str">
        <f>IF('ASS START SYNC'!C637="SHOW",MID('ASS START SYNC'!E637,C633+1,D633-C633-1),I632)</f>
        <v/>
      </c>
      <c r="J633" s="23" t="str">
        <f>IF('ASS START SYNC'!C637="SHOW",MID('ASS START SYNC'!E637,D633+1,F633-D633+1),"")</f>
        <v/>
      </c>
      <c r="K633" s="23" t="str">
        <f>IF('ASS START SYNC'!C637="SHOW",MID('ASS START SYNC'!E637,F633+2,1000),"")</f>
        <v/>
      </c>
      <c r="M633" s="24"/>
      <c r="N633" s="26">
        <v>630</v>
      </c>
      <c r="O633" s="24" t="str">
        <f>IF('ASS END SYNC'!C637="SHOW",FIND(",",'ASS END SYNC'!E637,1),"")</f>
        <v/>
      </c>
      <c r="P633" s="24" t="str">
        <f>IF('ASS END SYNC'!C637="SHOW",FIND(",",'ASS END SYNC'!E637,O633+1),"")</f>
        <v/>
      </c>
      <c r="Q633" s="24" t="str">
        <f>IF('ASS END SYNC'!C637="SHOW",FIND(",",'ASS END SYNC'!E637,P633+1),"")</f>
        <v/>
      </c>
      <c r="R633" s="25" t="str">
        <f>IF('ASS END SYNC'!C637="SHOW",FIND(",,",'ASS END SYNC'!E637,1),"")</f>
        <v/>
      </c>
      <c r="S633" s="25" t="str">
        <f>IF('ASS END SYNC'!C637="SHOW",FIND(",,",'ASS END SYNC'!E637,R633+1),"")</f>
        <v/>
      </c>
      <c r="T633" s="23" t="str">
        <f>IF('ASS END SYNC'!C637="SHOW",LEFT('ASS END SYNC'!E637,O633),"")</f>
        <v/>
      </c>
      <c r="U633" s="24" t="str">
        <f>IF('ASS END SYNC'!C637="SHOW",MID('ASS END SYNC'!E637,O633+1,P633-O633-1),"")</f>
        <v/>
      </c>
      <c r="V633" s="24" t="str">
        <f>IF(AND('ASS END SYNC'!C637="SHOW",'ASS END SYNC'!C638="SHOW"),U634,IF(AND('ASS END SYNC'!C637="SHOW",'ASS END SYNC'!C638&lt;&gt;"SHOW"),MID('ASS END SYNC'!E637,O633+1,P633-O633-1),""))</f>
        <v/>
      </c>
      <c r="W633" s="23" t="str">
        <f>IF('ASS END SYNC'!C637="SHOW",MID('ASS END SYNC'!E637,Q633+1,S633-Q633+1),"")</f>
        <v/>
      </c>
      <c r="X633" s="23" t="str">
        <f>IF('ASS END SYNC'!C637="SHOW",MID('ASS END SYNC'!E637,S633+2,1000),"")</f>
        <v/>
      </c>
      <c r="Z633" s="24"/>
    </row>
    <row r="634" spans="1:26" x14ac:dyDescent="0.25">
      <c r="A634" s="26">
        <v>631</v>
      </c>
      <c r="B634" s="24" t="str">
        <f>IF('ASS START SYNC'!C638="SHOW",FIND(",",'ASS START SYNC'!E638,1),"")</f>
        <v/>
      </c>
      <c r="C634" s="24" t="str">
        <f>IF('ASS START SYNC'!C638="SHOW",FIND(",",'ASS START SYNC'!E638,B634+1),"")</f>
        <v/>
      </c>
      <c r="D634" s="24" t="str">
        <f>IF('ASS START SYNC'!C638="SHOW",FIND(",",'ASS START SYNC'!E638,C634+1),"")</f>
        <v/>
      </c>
      <c r="E634" s="25" t="str">
        <f>IF('ASS START SYNC'!C638="SHOW",FIND(",,",'ASS START SYNC'!E638,1),"")</f>
        <v/>
      </c>
      <c r="F634" s="25" t="str">
        <f>IF('ASS START SYNC'!C638="SHOW",FIND(",,",'ASS START SYNC'!E638,E634+1),"")</f>
        <v/>
      </c>
      <c r="G634" s="23" t="str">
        <f>IF('ASS START SYNC'!C638="SHOW",LEFT('ASS START SYNC'!E638,B634),"")</f>
        <v/>
      </c>
      <c r="H634" s="24" t="str">
        <f>IF(AND('ASS START SYNC'!C638="SHOW",COUNTA('ASS START SYNC'!$E$8:'ASS START SYNC'!E637)=0),MID('ASS START SYNC'!E638,B634+1,C634-B634-1),IF(AND('ASS START SYNC'!C638="SHOW",COUNTA('ASS START SYNC'!$E$8:'ASS START SYNC'!E637)&lt;&gt;0),I633,""))</f>
        <v/>
      </c>
      <c r="I634" s="24" t="str">
        <f>IF('ASS START SYNC'!C638="SHOW",MID('ASS START SYNC'!E638,C634+1,D634-C634-1),I633)</f>
        <v/>
      </c>
      <c r="J634" s="23" t="str">
        <f>IF('ASS START SYNC'!C638="SHOW",MID('ASS START SYNC'!E638,D634+1,F634-D634+1),"")</f>
        <v/>
      </c>
      <c r="K634" s="23" t="str">
        <f>IF('ASS START SYNC'!C638="SHOW",MID('ASS START SYNC'!E638,F634+2,1000),"")</f>
        <v/>
      </c>
      <c r="M634" s="24"/>
      <c r="N634" s="26">
        <v>631</v>
      </c>
      <c r="O634" s="24" t="str">
        <f>IF('ASS END SYNC'!C638="SHOW",FIND(",",'ASS END SYNC'!E638,1),"")</f>
        <v/>
      </c>
      <c r="P634" s="24" t="str">
        <f>IF('ASS END SYNC'!C638="SHOW",FIND(",",'ASS END SYNC'!E638,O634+1),"")</f>
        <v/>
      </c>
      <c r="Q634" s="24" t="str">
        <f>IF('ASS END SYNC'!C638="SHOW",FIND(",",'ASS END SYNC'!E638,P634+1),"")</f>
        <v/>
      </c>
      <c r="R634" s="25" t="str">
        <f>IF('ASS END SYNC'!C638="SHOW",FIND(",,",'ASS END SYNC'!E638,1),"")</f>
        <v/>
      </c>
      <c r="S634" s="25" t="str">
        <f>IF('ASS END SYNC'!C638="SHOW",FIND(",,",'ASS END SYNC'!E638,R634+1),"")</f>
        <v/>
      </c>
      <c r="T634" s="23" t="str">
        <f>IF('ASS END SYNC'!C638="SHOW",LEFT('ASS END SYNC'!E638,O634),"")</f>
        <v/>
      </c>
      <c r="U634" s="24" t="str">
        <f>IF('ASS END SYNC'!C638="SHOW",MID('ASS END SYNC'!E638,O634+1,P634-O634-1),"")</f>
        <v/>
      </c>
      <c r="V634" s="24" t="str">
        <f>IF(AND('ASS END SYNC'!C638="SHOW",'ASS END SYNC'!C639="SHOW"),U635,IF(AND('ASS END SYNC'!C638="SHOW",'ASS END SYNC'!C639&lt;&gt;"SHOW"),MID('ASS END SYNC'!E638,O634+1,P634-O634-1),""))</f>
        <v/>
      </c>
      <c r="W634" s="23" t="str">
        <f>IF('ASS END SYNC'!C638="SHOW",MID('ASS END SYNC'!E638,Q634+1,S634-Q634+1),"")</f>
        <v/>
      </c>
      <c r="X634" s="23" t="str">
        <f>IF('ASS END SYNC'!C638="SHOW",MID('ASS END SYNC'!E638,S634+2,1000),"")</f>
        <v/>
      </c>
      <c r="Z634" s="24"/>
    </row>
    <row r="635" spans="1:26" x14ac:dyDescent="0.25">
      <c r="A635" s="26">
        <v>632</v>
      </c>
      <c r="B635" s="24" t="str">
        <f>IF('ASS START SYNC'!C639="SHOW",FIND(",",'ASS START SYNC'!E639,1),"")</f>
        <v/>
      </c>
      <c r="C635" s="24" t="str">
        <f>IF('ASS START SYNC'!C639="SHOW",FIND(",",'ASS START SYNC'!E639,B635+1),"")</f>
        <v/>
      </c>
      <c r="D635" s="24" t="str">
        <f>IF('ASS START SYNC'!C639="SHOW",FIND(",",'ASS START SYNC'!E639,C635+1),"")</f>
        <v/>
      </c>
      <c r="E635" s="25" t="str">
        <f>IF('ASS START SYNC'!C639="SHOW",FIND(",,",'ASS START SYNC'!E639,1),"")</f>
        <v/>
      </c>
      <c r="F635" s="25" t="str">
        <f>IF('ASS START SYNC'!C639="SHOW",FIND(",,",'ASS START SYNC'!E639,E635+1),"")</f>
        <v/>
      </c>
      <c r="G635" s="23" t="str">
        <f>IF('ASS START SYNC'!C639="SHOW",LEFT('ASS START SYNC'!E639,B635),"")</f>
        <v/>
      </c>
      <c r="H635" s="24" t="str">
        <f>IF(AND('ASS START SYNC'!C639="SHOW",COUNTA('ASS START SYNC'!$E$8:'ASS START SYNC'!E638)=0),MID('ASS START SYNC'!E639,B635+1,C635-B635-1),IF(AND('ASS START SYNC'!C639="SHOW",COUNTA('ASS START SYNC'!$E$8:'ASS START SYNC'!E638)&lt;&gt;0),I634,""))</f>
        <v/>
      </c>
      <c r="I635" s="24" t="str">
        <f>IF('ASS START SYNC'!C639="SHOW",MID('ASS START SYNC'!E639,C635+1,D635-C635-1),I634)</f>
        <v/>
      </c>
      <c r="J635" s="23" t="str">
        <f>IF('ASS START SYNC'!C639="SHOW",MID('ASS START SYNC'!E639,D635+1,F635-D635+1),"")</f>
        <v/>
      </c>
      <c r="K635" s="23" t="str">
        <f>IF('ASS START SYNC'!C639="SHOW",MID('ASS START SYNC'!E639,F635+2,1000),"")</f>
        <v/>
      </c>
      <c r="M635" s="24"/>
      <c r="N635" s="26">
        <v>632</v>
      </c>
      <c r="O635" s="24" t="str">
        <f>IF('ASS END SYNC'!C639="SHOW",FIND(",",'ASS END SYNC'!E639,1),"")</f>
        <v/>
      </c>
      <c r="P635" s="24" t="str">
        <f>IF('ASS END SYNC'!C639="SHOW",FIND(",",'ASS END SYNC'!E639,O635+1),"")</f>
        <v/>
      </c>
      <c r="Q635" s="24" t="str">
        <f>IF('ASS END SYNC'!C639="SHOW",FIND(",",'ASS END SYNC'!E639,P635+1),"")</f>
        <v/>
      </c>
      <c r="R635" s="25" t="str">
        <f>IF('ASS END SYNC'!C639="SHOW",FIND(",,",'ASS END SYNC'!E639,1),"")</f>
        <v/>
      </c>
      <c r="S635" s="25" t="str">
        <f>IF('ASS END SYNC'!C639="SHOW",FIND(",,",'ASS END SYNC'!E639,R635+1),"")</f>
        <v/>
      </c>
      <c r="T635" s="23" t="str">
        <f>IF('ASS END SYNC'!C639="SHOW",LEFT('ASS END SYNC'!E639,O635),"")</f>
        <v/>
      </c>
      <c r="U635" s="24" t="str">
        <f>IF('ASS END SYNC'!C639="SHOW",MID('ASS END SYNC'!E639,O635+1,P635-O635-1),"")</f>
        <v/>
      </c>
      <c r="V635" s="24" t="str">
        <f>IF(AND('ASS END SYNC'!C639="SHOW",'ASS END SYNC'!C640="SHOW"),U636,IF(AND('ASS END SYNC'!C639="SHOW",'ASS END SYNC'!C640&lt;&gt;"SHOW"),MID('ASS END SYNC'!E639,O635+1,P635-O635-1),""))</f>
        <v/>
      </c>
      <c r="W635" s="23" t="str">
        <f>IF('ASS END SYNC'!C639="SHOW",MID('ASS END SYNC'!E639,Q635+1,S635-Q635+1),"")</f>
        <v/>
      </c>
      <c r="X635" s="23" t="str">
        <f>IF('ASS END SYNC'!C639="SHOW",MID('ASS END SYNC'!E639,S635+2,1000),"")</f>
        <v/>
      </c>
      <c r="Z635" s="24"/>
    </row>
    <row r="636" spans="1:26" x14ac:dyDescent="0.25">
      <c r="A636" s="26">
        <v>633</v>
      </c>
      <c r="B636" s="24" t="str">
        <f>IF('ASS START SYNC'!C640="SHOW",FIND(",",'ASS START SYNC'!E640,1),"")</f>
        <v/>
      </c>
      <c r="C636" s="24" t="str">
        <f>IF('ASS START SYNC'!C640="SHOW",FIND(",",'ASS START SYNC'!E640,B636+1),"")</f>
        <v/>
      </c>
      <c r="D636" s="24" t="str">
        <f>IF('ASS START SYNC'!C640="SHOW",FIND(",",'ASS START SYNC'!E640,C636+1),"")</f>
        <v/>
      </c>
      <c r="E636" s="25" t="str">
        <f>IF('ASS START SYNC'!C640="SHOW",FIND(",,",'ASS START SYNC'!E640,1),"")</f>
        <v/>
      </c>
      <c r="F636" s="25" t="str">
        <f>IF('ASS START SYNC'!C640="SHOW",FIND(",,",'ASS START SYNC'!E640,E636+1),"")</f>
        <v/>
      </c>
      <c r="G636" s="23" t="str">
        <f>IF('ASS START SYNC'!C640="SHOW",LEFT('ASS START SYNC'!E640,B636),"")</f>
        <v/>
      </c>
      <c r="H636" s="24" t="str">
        <f>IF(AND('ASS START SYNC'!C640="SHOW",COUNTA('ASS START SYNC'!$E$8:'ASS START SYNC'!E639)=0),MID('ASS START SYNC'!E640,B636+1,C636-B636-1),IF(AND('ASS START SYNC'!C640="SHOW",COUNTA('ASS START SYNC'!$E$8:'ASS START SYNC'!E639)&lt;&gt;0),I635,""))</f>
        <v/>
      </c>
      <c r="I636" s="24" t="str">
        <f>IF('ASS START SYNC'!C640="SHOW",MID('ASS START SYNC'!E640,C636+1,D636-C636-1),I635)</f>
        <v/>
      </c>
      <c r="J636" s="23" t="str">
        <f>IF('ASS START SYNC'!C640="SHOW",MID('ASS START SYNC'!E640,D636+1,F636-D636+1),"")</f>
        <v/>
      </c>
      <c r="K636" s="23" t="str">
        <f>IF('ASS START SYNC'!C640="SHOW",MID('ASS START SYNC'!E640,F636+2,1000),"")</f>
        <v/>
      </c>
      <c r="M636" s="24"/>
      <c r="N636" s="26">
        <v>633</v>
      </c>
      <c r="O636" s="24" t="str">
        <f>IF('ASS END SYNC'!C640="SHOW",FIND(",",'ASS END SYNC'!E640,1),"")</f>
        <v/>
      </c>
      <c r="P636" s="24" t="str">
        <f>IF('ASS END SYNC'!C640="SHOW",FIND(",",'ASS END SYNC'!E640,O636+1),"")</f>
        <v/>
      </c>
      <c r="Q636" s="24" t="str">
        <f>IF('ASS END SYNC'!C640="SHOW",FIND(",",'ASS END SYNC'!E640,P636+1),"")</f>
        <v/>
      </c>
      <c r="R636" s="25" t="str">
        <f>IF('ASS END SYNC'!C640="SHOW",FIND(",,",'ASS END SYNC'!E640,1),"")</f>
        <v/>
      </c>
      <c r="S636" s="25" t="str">
        <f>IF('ASS END SYNC'!C640="SHOW",FIND(",,",'ASS END SYNC'!E640,R636+1),"")</f>
        <v/>
      </c>
      <c r="T636" s="23" t="str">
        <f>IF('ASS END SYNC'!C640="SHOW",LEFT('ASS END SYNC'!E640,O636),"")</f>
        <v/>
      </c>
      <c r="U636" s="24" t="str">
        <f>IF('ASS END SYNC'!C640="SHOW",MID('ASS END SYNC'!E640,O636+1,P636-O636-1),"")</f>
        <v/>
      </c>
      <c r="V636" s="24" t="str">
        <f>IF(AND('ASS END SYNC'!C640="SHOW",'ASS END SYNC'!C641="SHOW"),U637,IF(AND('ASS END SYNC'!C640="SHOW",'ASS END SYNC'!C641&lt;&gt;"SHOW"),MID('ASS END SYNC'!E640,O636+1,P636-O636-1),""))</f>
        <v/>
      </c>
      <c r="W636" s="23" t="str">
        <f>IF('ASS END SYNC'!C640="SHOW",MID('ASS END SYNC'!E640,Q636+1,S636-Q636+1),"")</f>
        <v/>
      </c>
      <c r="X636" s="23" t="str">
        <f>IF('ASS END SYNC'!C640="SHOW",MID('ASS END SYNC'!E640,S636+2,1000),"")</f>
        <v/>
      </c>
      <c r="Z636" s="24"/>
    </row>
    <row r="637" spans="1:26" x14ac:dyDescent="0.25">
      <c r="A637" s="26">
        <v>634</v>
      </c>
      <c r="B637" s="24" t="str">
        <f>IF('ASS START SYNC'!C641="SHOW",FIND(",",'ASS START SYNC'!E641,1),"")</f>
        <v/>
      </c>
      <c r="C637" s="24" t="str">
        <f>IF('ASS START SYNC'!C641="SHOW",FIND(",",'ASS START SYNC'!E641,B637+1),"")</f>
        <v/>
      </c>
      <c r="D637" s="24" t="str">
        <f>IF('ASS START SYNC'!C641="SHOW",FIND(",",'ASS START SYNC'!E641,C637+1),"")</f>
        <v/>
      </c>
      <c r="E637" s="25" t="str">
        <f>IF('ASS START SYNC'!C641="SHOW",FIND(",,",'ASS START SYNC'!E641,1),"")</f>
        <v/>
      </c>
      <c r="F637" s="25" t="str">
        <f>IF('ASS START SYNC'!C641="SHOW",FIND(",,",'ASS START SYNC'!E641,E637+1),"")</f>
        <v/>
      </c>
      <c r="G637" s="23" t="str">
        <f>IF('ASS START SYNC'!C641="SHOW",LEFT('ASS START SYNC'!E641,B637),"")</f>
        <v/>
      </c>
      <c r="H637" s="24" t="str">
        <f>IF(AND('ASS START SYNC'!C641="SHOW",COUNTA('ASS START SYNC'!$E$8:'ASS START SYNC'!E640)=0),MID('ASS START SYNC'!E641,B637+1,C637-B637-1),IF(AND('ASS START SYNC'!C641="SHOW",COUNTA('ASS START SYNC'!$E$8:'ASS START SYNC'!E640)&lt;&gt;0),I636,""))</f>
        <v/>
      </c>
      <c r="I637" s="24" t="str">
        <f>IF('ASS START SYNC'!C641="SHOW",MID('ASS START SYNC'!E641,C637+1,D637-C637-1),I636)</f>
        <v/>
      </c>
      <c r="J637" s="23" t="str">
        <f>IF('ASS START SYNC'!C641="SHOW",MID('ASS START SYNC'!E641,D637+1,F637-D637+1),"")</f>
        <v/>
      </c>
      <c r="K637" s="23" t="str">
        <f>IF('ASS START SYNC'!C641="SHOW",MID('ASS START SYNC'!E641,F637+2,1000),"")</f>
        <v/>
      </c>
      <c r="M637" s="24"/>
      <c r="N637" s="26">
        <v>634</v>
      </c>
      <c r="O637" s="24" t="str">
        <f>IF('ASS END SYNC'!C641="SHOW",FIND(",",'ASS END SYNC'!E641,1),"")</f>
        <v/>
      </c>
      <c r="P637" s="24" t="str">
        <f>IF('ASS END SYNC'!C641="SHOW",FIND(",",'ASS END SYNC'!E641,O637+1),"")</f>
        <v/>
      </c>
      <c r="Q637" s="24" t="str">
        <f>IF('ASS END SYNC'!C641="SHOW",FIND(",",'ASS END SYNC'!E641,P637+1),"")</f>
        <v/>
      </c>
      <c r="R637" s="25" t="str">
        <f>IF('ASS END SYNC'!C641="SHOW",FIND(",,",'ASS END SYNC'!E641,1),"")</f>
        <v/>
      </c>
      <c r="S637" s="25" t="str">
        <f>IF('ASS END SYNC'!C641="SHOW",FIND(",,",'ASS END SYNC'!E641,R637+1),"")</f>
        <v/>
      </c>
      <c r="T637" s="23" t="str">
        <f>IF('ASS END SYNC'!C641="SHOW",LEFT('ASS END SYNC'!E641,O637),"")</f>
        <v/>
      </c>
      <c r="U637" s="24" t="str">
        <f>IF('ASS END SYNC'!C641="SHOW",MID('ASS END SYNC'!E641,O637+1,P637-O637-1),"")</f>
        <v/>
      </c>
      <c r="V637" s="24" t="str">
        <f>IF(AND('ASS END SYNC'!C641="SHOW",'ASS END SYNC'!C642="SHOW"),U638,IF(AND('ASS END SYNC'!C641="SHOW",'ASS END SYNC'!C642&lt;&gt;"SHOW"),MID('ASS END SYNC'!E641,O637+1,P637-O637-1),""))</f>
        <v/>
      </c>
      <c r="W637" s="23" t="str">
        <f>IF('ASS END SYNC'!C641="SHOW",MID('ASS END SYNC'!E641,Q637+1,S637-Q637+1),"")</f>
        <v/>
      </c>
      <c r="X637" s="23" t="str">
        <f>IF('ASS END SYNC'!C641="SHOW",MID('ASS END SYNC'!E641,S637+2,1000),"")</f>
        <v/>
      </c>
      <c r="Z637" s="24"/>
    </row>
    <row r="638" spans="1:26" x14ac:dyDescent="0.25">
      <c r="A638" s="26">
        <v>635</v>
      </c>
      <c r="B638" s="24" t="str">
        <f>IF('ASS START SYNC'!C642="SHOW",FIND(",",'ASS START SYNC'!E642,1),"")</f>
        <v/>
      </c>
      <c r="C638" s="24" t="str">
        <f>IF('ASS START SYNC'!C642="SHOW",FIND(",",'ASS START SYNC'!E642,B638+1),"")</f>
        <v/>
      </c>
      <c r="D638" s="24" t="str">
        <f>IF('ASS START SYNC'!C642="SHOW",FIND(",",'ASS START SYNC'!E642,C638+1),"")</f>
        <v/>
      </c>
      <c r="E638" s="25" t="str">
        <f>IF('ASS START SYNC'!C642="SHOW",FIND(",,",'ASS START SYNC'!E642,1),"")</f>
        <v/>
      </c>
      <c r="F638" s="25" t="str">
        <f>IF('ASS START SYNC'!C642="SHOW",FIND(",,",'ASS START SYNC'!E642,E638+1),"")</f>
        <v/>
      </c>
      <c r="G638" s="23" t="str">
        <f>IF('ASS START SYNC'!C642="SHOW",LEFT('ASS START SYNC'!E642,B638),"")</f>
        <v/>
      </c>
      <c r="H638" s="24" t="str">
        <f>IF(AND('ASS START SYNC'!C642="SHOW",COUNTA('ASS START SYNC'!$E$8:'ASS START SYNC'!E641)=0),MID('ASS START SYNC'!E642,B638+1,C638-B638-1),IF(AND('ASS START SYNC'!C642="SHOW",COUNTA('ASS START SYNC'!$E$8:'ASS START SYNC'!E641)&lt;&gt;0),I637,""))</f>
        <v/>
      </c>
      <c r="I638" s="24" t="str">
        <f>IF('ASS START SYNC'!C642="SHOW",MID('ASS START SYNC'!E642,C638+1,D638-C638-1),I637)</f>
        <v/>
      </c>
      <c r="J638" s="23" t="str">
        <f>IF('ASS START SYNC'!C642="SHOW",MID('ASS START SYNC'!E642,D638+1,F638-D638+1),"")</f>
        <v/>
      </c>
      <c r="K638" s="23" t="str">
        <f>IF('ASS START SYNC'!C642="SHOW",MID('ASS START SYNC'!E642,F638+2,1000),"")</f>
        <v/>
      </c>
      <c r="M638" s="24"/>
      <c r="N638" s="26">
        <v>635</v>
      </c>
      <c r="O638" s="24" t="str">
        <f>IF('ASS END SYNC'!C642="SHOW",FIND(",",'ASS END SYNC'!E642,1),"")</f>
        <v/>
      </c>
      <c r="P638" s="24" t="str">
        <f>IF('ASS END SYNC'!C642="SHOW",FIND(",",'ASS END SYNC'!E642,O638+1),"")</f>
        <v/>
      </c>
      <c r="Q638" s="24" t="str">
        <f>IF('ASS END SYNC'!C642="SHOW",FIND(",",'ASS END SYNC'!E642,P638+1),"")</f>
        <v/>
      </c>
      <c r="R638" s="25" t="str">
        <f>IF('ASS END SYNC'!C642="SHOW",FIND(",,",'ASS END SYNC'!E642,1),"")</f>
        <v/>
      </c>
      <c r="S638" s="25" t="str">
        <f>IF('ASS END SYNC'!C642="SHOW",FIND(",,",'ASS END SYNC'!E642,R638+1),"")</f>
        <v/>
      </c>
      <c r="T638" s="23" t="str">
        <f>IF('ASS END SYNC'!C642="SHOW",LEFT('ASS END SYNC'!E642,O638),"")</f>
        <v/>
      </c>
      <c r="U638" s="24" t="str">
        <f>IF('ASS END SYNC'!C642="SHOW",MID('ASS END SYNC'!E642,O638+1,P638-O638-1),"")</f>
        <v/>
      </c>
      <c r="V638" s="24" t="str">
        <f>IF(AND('ASS END SYNC'!C642="SHOW",'ASS END SYNC'!C643="SHOW"),U639,IF(AND('ASS END SYNC'!C642="SHOW",'ASS END SYNC'!C643&lt;&gt;"SHOW"),MID('ASS END SYNC'!E642,O638+1,P638-O638-1),""))</f>
        <v/>
      </c>
      <c r="W638" s="23" t="str">
        <f>IF('ASS END SYNC'!C642="SHOW",MID('ASS END SYNC'!E642,Q638+1,S638-Q638+1),"")</f>
        <v/>
      </c>
      <c r="X638" s="23" t="str">
        <f>IF('ASS END SYNC'!C642="SHOW",MID('ASS END SYNC'!E642,S638+2,1000),"")</f>
        <v/>
      </c>
      <c r="Z638" s="24"/>
    </row>
    <row r="639" spans="1:26" x14ac:dyDescent="0.25">
      <c r="A639" s="26">
        <v>636</v>
      </c>
      <c r="B639" s="24" t="str">
        <f>IF('ASS START SYNC'!C643="SHOW",FIND(",",'ASS START SYNC'!E643,1),"")</f>
        <v/>
      </c>
      <c r="C639" s="24" t="str">
        <f>IF('ASS START SYNC'!C643="SHOW",FIND(",",'ASS START SYNC'!E643,B639+1),"")</f>
        <v/>
      </c>
      <c r="D639" s="24" t="str">
        <f>IF('ASS START SYNC'!C643="SHOW",FIND(",",'ASS START SYNC'!E643,C639+1),"")</f>
        <v/>
      </c>
      <c r="E639" s="25" t="str">
        <f>IF('ASS START SYNC'!C643="SHOW",FIND(",,",'ASS START SYNC'!E643,1),"")</f>
        <v/>
      </c>
      <c r="F639" s="25" t="str">
        <f>IF('ASS START SYNC'!C643="SHOW",FIND(",,",'ASS START SYNC'!E643,E639+1),"")</f>
        <v/>
      </c>
      <c r="G639" s="23" t="str">
        <f>IF('ASS START SYNC'!C643="SHOW",LEFT('ASS START SYNC'!E643,B639),"")</f>
        <v/>
      </c>
      <c r="H639" s="24" t="str">
        <f>IF(AND('ASS START SYNC'!C643="SHOW",COUNTA('ASS START SYNC'!$E$8:'ASS START SYNC'!E642)=0),MID('ASS START SYNC'!E643,B639+1,C639-B639-1),IF(AND('ASS START SYNC'!C643="SHOW",COUNTA('ASS START SYNC'!$E$8:'ASS START SYNC'!E642)&lt;&gt;0),I638,""))</f>
        <v/>
      </c>
      <c r="I639" s="24" t="str">
        <f>IF('ASS START SYNC'!C643="SHOW",MID('ASS START SYNC'!E643,C639+1,D639-C639-1),I638)</f>
        <v/>
      </c>
      <c r="J639" s="23" t="str">
        <f>IF('ASS START SYNC'!C643="SHOW",MID('ASS START SYNC'!E643,D639+1,F639-D639+1),"")</f>
        <v/>
      </c>
      <c r="K639" s="23" t="str">
        <f>IF('ASS START SYNC'!C643="SHOW",MID('ASS START SYNC'!E643,F639+2,1000),"")</f>
        <v/>
      </c>
      <c r="M639" s="24"/>
      <c r="N639" s="26">
        <v>636</v>
      </c>
      <c r="O639" s="24" t="str">
        <f>IF('ASS END SYNC'!C643="SHOW",FIND(",",'ASS END SYNC'!E643,1),"")</f>
        <v/>
      </c>
      <c r="P639" s="24" t="str">
        <f>IF('ASS END SYNC'!C643="SHOW",FIND(",",'ASS END SYNC'!E643,O639+1),"")</f>
        <v/>
      </c>
      <c r="Q639" s="24" t="str">
        <f>IF('ASS END SYNC'!C643="SHOW",FIND(",",'ASS END SYNC'!E643,P639+1),"")</f>
        <v/>
      </c>
      <c r="R639" s="25" t="str">
        <f>IF('ASS END SYNC'!C643="SHOW",FIND(",,",'ASS END SYNC'!E643,1),"")</f>
        <v/>
      </c>
      <c r="S639" s="25" t="str">
        <f>IF('ASS END SYNC'!C643="SHOW",FIND(",,",'ASS END SYNC'!E643,R639+1),"")</f>
        <v/>
      </c>
      <c r="T639" s="23" t="str">
        <f>IF('ASS END SYNC'!C643="SHOW",LEFT('ASS END SYNC'!E643,O639),"")</f>
        <v/>
      </c>
      <c r="U639" s="24" t="str">
        <f>IF('ASS END SYNC'!C643="SHOW",MID('ASS END SYNC'!E643,O639+1,P639-O639-1),"")</f>
        <v/>
      </c>
      <c r="V639" s="24" t="str">
        <f>IF(AND('ASS END SYNC'!C643="SHOW",'ASS END SYNC'!C644="SHOW"),U640,IF(AND('ASS END SYNC'!C643="SHOW",'ASS END SYNC'!C644&lt;&gt;"SHOW"),MID('ASS END SYNC'!E643,O639+1,P639-O639-1),""))</f>
        <v/>
      </c>
      <c r="W639" s="23" t="str">
        <f>IF('ASS END SYNC'!C643="SHOW",MID('ASS END SYNC'!E643,Q639+1,S639-Q639+1),"")</f>
        <v/>
      </c>
      <c r="X639" s="23" t="str">
        <f>IF('ASS END SYNC'!C643="SHOW",MID('ASS END SYNC'!E643,S639+2,1000),"")</f>
        <v/>
      </c>
      <c r="Z639" s="24"/>
    </row>
    <row r="640" spans="1:26" x14ac:dyDescent="0.25">
      <c r="A640" s="26">
        <v>637</v>
      </c>
      <c r="B640" s="24" t="str">
        <f>IF('ASS START SYNC'!C644="SHOW",FIND(",",'ASS START SYNC'!E644,1),"")</f>
        <v/>
      </c>
      <c r="C640" s="24" t="str">
        <f>IF('ASS START SYNC'!C644="SHOW",FIND(",",'ASS START SYNC'!E644,B640+1),"")</f>
        <v/>
      </c>
      <c r="D640" s="24" t="str">
        <f>IF('ASS START SYNC'!C644="SHOW",FIND(",",'ASS START SYNC'!E644,C640+1),"")</f>
        <v/>
      </c>
      <c r="E640" s="25" t="str">
        <f>IF('ASS START SYNC'!C644="SHOW",FIND(",,",'ASS START SYNC'!E644,1),"")</f>
        <v/>
      </c>
      <c r="F640" s="25" t="str">
        <f>IF('ASS START SYNC'!C644="SHOW",FIND(",,",'ASS START SYNC'!E644,E640+1),"")</f>
        <v/>
      </c>
      <c r="G640" s="23" t="str">
        <f>IF('ASS START SYNC'!C644="SHOW",LEFT('ASS START SYNC'!E644,B640),"")</f>
        <v/>
      </c>
      <c r="H640" s="24" t="str">
        <f>IF(AND('ASS START SYNC'!C644="SHOW",COUNTA('ASS START SYNC'!$E$8:'ASS START SYNC'!E643)=0),MID('ASS START SYNC'!E644,B640+1,C640-B640-1),IF(AND('ASS START SYNC'!C644="SHOW",COUNTA('ASS START SYNC'!$E$8:'ASS START SYNC'!E643)&lt;&gt;0),I639,""))</f>
        <v/>
      </c>
      <c r="I640" s="24" t="str">
        <f>IF('ASS START SYNC'!C644="SHOW",MID('ASS START SYNC'!E644,C640+1,D640-C640-1),I639)</f>
        <v/>
      </c>
      <c r="J640" s="23" t="str">
        <f>IF('ASS START SYNC'!C644="SHOW",MID('ASS START SYNC'!E644,D640+1,F640-D640+1),"")</f>
        <v/>
      </c>
      <c r="K640" s="23" t="str">
        <f>IF('ASS START SYNC'!C644="SHOW",MID('ASS START SYNC'!E644,F640+2,1000),"")</f>
        <v/>
      </c>
      <c r="M640" s="24"/>
      <c r="N640" s="26">
        <v>637</v>
      </c>
      <c r="O640" s="24" t="str">
        <f>IF('ASS END SYNC'!C644="SHOW",FIND(",",'ASS END SYNC'!E644,1),"")</f>
        <v/>
      </c>
      <c r="P640" s="24" t="str">
        <f>IF('ASS END SYNC'!C644="SHOW",FIND(",",'ASS END SYNC'!E644,O640+1),"")</f>
        <v/>
      </c>
      <c r="Q640" s="24" t="str">
        <f>IF('ASS END SYNC'!C644="SHOW",FIND(",",'ASS END SYNC'!E644,P640+1),"")</f>
        <v/>
      </c>
      <c r="R640" s="25" t="str">
        <f>IF('ASS END SYNC'!C644="SHOW",FIND(",,",'ASS END SYNC'!E644,1),"")</f>
        <v/>
      </c>
      <c r="S640" s="25" t="str">
        <f>IF('ASS END SYNC'!C644="SHOW",FIND(",,",'ASS END SYNC'!E644,R640+1),"")</f>
        <v/>
      </c>
      <c r="T640" s="23" t="str">
        <f>IF('ASS END SYNC'!C644="SHOW",LEFT('ASS END SYNC'!E644,O640),"")</f>
        <v/>
      </c>
      <c r="U640" s="24" t="str">
        <f>IF('ASS END SYNC'!C644="SHOW",MID('ASS END SYNC'!E644,O640+1,P640-O640-1),"")</f>
        <v/>
      </c>
      <c r="V640" s="24" t="str">
        <f>IF(AND('ASS END SYNC'!C644="SHOW",'ASS END SYNC'!C645="SHOW"),U641,IF(AND('ASS END SYNC'!C644="SHOW",'ASS END SYNC'!C645&lt;&gt;"SHOW"),MID('ASS END SYNC'!E644,O640+1,P640-O640-1),""))</f>
        <v/>
      </c>
      <c r="W640" s="23" t="str">
        <f>IF('ASS END SYNC'!C644="SHOW",MID('ASS END SYNC'!E644,Q640+1,S640-Q640+1),"")</f>
        <v/>
      </c>
      <c r="X640" s="23" t="str">
        <f>IF('ASS END SYNC'!C644="SHOW",MID('ASS END SYNC'!E644,S640+2,1000),"")</f>
        <v/>
      </c>
      <c r="Z640" s="24"/>
    </row>
    <row r="641" spans="1:26" x14ac:dyDescent="0.25">
      <c r="A641" s="26">
        <v>638</v>
      </c>
      <c r="B641" s="24" t="str">
        <f>IF('ASS START SYNC'!C645="SHOW",FIND(",",'ASS START SYNC'!E645,1),"")</f>
        <v/>
      </c>
      <c r="C641" s="24" t="str">
        <f>IF('ASS START SYNC'!C645="SHOW",FIND(",",'ASS START SYNC'!E645,B641+1),"")</f>
        <v/>
      </c>
      <c r="D641" s="24" t="str">
        <f>IF('ASS START SYNC'!C645="SHOW",FIND(",",'ASS START SYNC'!E645,C641+1),"")</f>
        <v/>
      </c>
      <c r="E641" s="25" t="str">
        <f>IF('ASS START SYNC'!C645="SHOW",FIND(",,",'ASS START SYNC'!E645,1),"")</f>
        <v/>
      </c>
      <c r="F641" s="25" t="str">
        <f>IF('ASS START SYNC'!C645="SHOW",FIND(",,",'ASS START SYNC'!E645,E641+1),"")</f>
        <v/>
      </c>
      <c r="G641" s="23" t="str">
        <f>IF('ASS START SYNC'!C645="SHOW",LEFT('ASS START SYNC'!E645,B641),"")</f>
        <v/>
      </c>
      <c r="H641" s="24" t="str">
        <f>IF(AND('ASS START SYNC'!C645="SHOW",COUNTA('ASS START SYNC'!$E$8:'ASS START SYNC'!E644)=0),MID('ASS START SYNC'!E645,B641+1,C641-B641-1),IF(AND('ASS START SYNC'!C645="SHOW",COUNTA('ASS START SYNC'!$E$8:'ASS START SYNC'!E644)&lt;&gt;0),I640,""))</f>
        <v/>
      </c>
      <c r="I641" s="24" t="str">
        <f>IF('ASS START SYNC'!C645="SHOW",MID('ASS START SYNC'!E645,C641+1,D641-C641-1),I640)</f>
        <v/>
      </c>
      <c r="J641" s="23" t="str">
        <f>IF('ASS START SYNC'!C645="SHOW",MID('ASS START SYNC'!E645,D641+1,F641-D641+1),"")</f>
        <v/>
      </c>
      <c r="K641" s="23" t="str">
        <f>IF('ASS START SYNC'!C645="SHOW",MID('ASS START SYNC'!E645,F641+2,1000),"")</f>
        <v/>
      </c>
      <c r="M641" s="24"/>
      <c r="N641" s="26">
        <v>638</v>
      </c>
      <c r="O641" s="24" t="str">
        <f>IF('ASS END SYNC'!C645="SHOW",FIND(",",'ASS END SYNC'!E645,1),"")</f>
        <v/>
      </c>
      <c r="P641" s="24" t="str">
        <f>IF('ASS END SYNC'!C645="SHOW",FIND(",",'ASS END SYNC'!E645,O641+1),"")</f>
        <v/>
      </c>
      <c r="Q641" s="24" t="str">
        <f>IF('ASS END SYNC'!C645="SHOW",FIND(",",'ASS END SYNC'!E645,P641+1),"")</f>
        <v/>
      </c>
      <c r="R641" s="25" t="str">
        <f>IF('ASS END SYNC'!C645="SHOW",FIND(",,",'ASS END SYNC'!E645,1),"")</f>
        <v/>
      </c>
      <c r="S641" s="25" t="str">
        <f>IF('ASS END SYNC'!C645="SHOW",FIND(",,",'ASS END SYNC'!E645,R641+1),"")</f>
        <v/>
      </c>
      <c r="T641" s="23" t="str">
        <f>IF('ASS END SYNC'!C645="SHOW",LEFT('ASS END SYNC'!E645,O641),"")</f>
        <v/>
      </c>
      <c r="U641" s="24" t="str">
        <f>IF('ASS END SYNC'!C645="SHOW",MID('ASS END SYNC'!E645,O641+1,P641-O641-1),"")</f>
        <v/>
      </c>
      <c r="V641" s="24" t="str">
        <f>IF(AND('ASS END SYNC'!C645="SHOW",'ASS END SYNC'!C646="SHOW"),U642,IF(AND('ASS END SYNC'!C645="SHOW",'ASS END SYNC'!C646&lt;&gt;"SHOW"),MID('ASS END SYNC'!E645,O641+1,P641-O641-1),""))</f>
        <v/>
      </c>
      <c r="W641" s="23" t="str">
        <f>IF('ASS END SYNC'!C645="SHOW",MID('ASS END SYNC'!E645,Q641+1,S641-Q641+1),"")</f>
        <v/>
      </c>
      <c r="X641" s="23" t="str">
        <f>IF('ASS END SYNC'!C645="SHOW",MID('ASS END SYNC'!E645,S641+2,1000),"")</f>
        <v/>
      </c>
      <c r="Z641" s="24"/>
    </row>
    <row r="642" spans="1:26" x14ac:dyDescent="0.25">
      <c r="A642" s="26">
        <v>639</v>
      </c>
      <c r="B642" s="24" t="str">
        <f>IF('ASS START SYNC'!C646="SHOW",FIND(",",'ASS START SYNC'!E646,1),"")</f>
        <v/>
      </c>
      <c r="C642" s="24" t="str">
        <f>IF('ASS START SYNC'!C646="SHOW",FIND(",",'ASS START SYNC'!E646,B642+1),"")</f>
        <v/>
      </c>
      <c r="D642" s="24" t="str">
        <f>IF('ASS START SYNC'!C646="SHOW",FIND(",",'ASS START SYNC'!E646,C642+1),"")</f>
        <v/>
      </c>
      <c r="E642" s="25" t="str">
        <f>IF('ASS START SYNC'!C646="SHOW",FIND(",,",'ASS START SYNC'!E646,1),"")</f>
        <v/>
      </c>
      <c r="F642" s="25" t="str">
        <f>IF('ASS START SYNC'!C646="SHOW",FIND(",,",'ASS START SYNC'!E646,E642+1),"")</f>
        <v/>
      </c>
      <c r="G642" s="23" t="str">
        <f>IF('ASS START SYNC'!C646="SHOW",LEFT('ASS START SYNC'!E646,B642),"")</f>
        <v/>
      </c>
      <c r="H642" s="24" t="str">
        <f>IF(AND('ASS START SYNC'!C646="SHOW",COUNTA('ASS START SYNC'!$E$8:'ASS START SYNC'!E645)=0),MID('ASS START SYNC'!E646,B642+1,C642-B642-1),IF(AND('ASS START SYNC'!C646="SHOW",COUNTA('ASS START SYNC'!$E$8:'ASS START SYNC'!E645)&lt;&gt;0),I641,""))</f>
        <v/>
      </c>
      <c r="I642" s="24" t="str">
        <f>IF('ASS START SYNC'!C646="SHOW",MID('ASS START SYNC'!E646,C642+1,D642-C642-1),I641)</f>
        <v/>
      </c>
      <c r="J642" s="23" t="str">
        <f>IF('ASS START SYNC'!C646="SHOW",MID('ASS START SYNC'!E646,D642+1,F642-D642+1),"")</f>
        <v/>
      </c>
      <c r="K642" s="23" t="str">
        <f>IF('ASS START SYNC'!C646="SHOW",MID('ASS START SYNC'!E646,F642+2,1000),"")</f>
        <v/>
      </c>
      <c r="M642" s="24"/>
      <c r="N642" s="26">
        <v>639</v>
      </c>
      <c r="O642" s="24" t="str">
        <f>IF('ASS END SYNC'!C646="SHOW",FIND(",",'ASS END SYNC'!E646,1),"")</f>
        <v/>
      </c>
      <c r="P642" s="24" t="str">
        <f>IF('ASS END SYNC'!C646="SHOW",FIND(",",'ASS END SYNC'!E646,O642+1),"")</f>
        <v/>
      </c>
      <c r="Q642" s="24" t="str">
        <f>IF('ASS END SYNC'!C646="SHOW",FIND(",",'ASS END SYNC'!E646,P642+1),"")</f>
        <v/>
      </c>
      <c r="R642" s="25" t="str">
        <f>IF('ASS END SYNC'!C646="SHOW",FIND(",,",'ASS END SYNC'!E646,1),"")</f>
        <v/>
      </c>
      <c r="S642" s="25" t="str">
        <f>IF('ASS END SYNC'!C646="SHOW",FIND(",,",'ASS END SYNC'!E646,R642+1),"")</f>
        <v/>
      </c>
      <c r="T642" s="23" t="str">
        <f>IF('ASS END SYNC'!C646="SHOW",LEFT('ASS END SYNC'!E646,O642),"")</f>
        <v/>
      </c>
      <c r="U642" s="24" t="str">
        <f>IF('ASS END SYNC'!C646="SHOW",MID('ASS END SYNC'!E646,O642+1,P642-O642-1),"")</f>
        <v/>
      </c>
      <c r="V642" s="24" t="str">
        <f>IF(AND('ASS END SYNC'!C646="SHOW",'ASS END SYNC'!C647="SHOW"),U643,IF(AND('ASS END SYNC'!C646="SHOW",'ASS END SYNC'!C647&lt;&gt;"SHOW"),MID('ASS END SYNC'!E646,O642+1,P642-O642-1),""))</f>
        <v/>
      </c>
      <c r="W642" s="23" t="str">
        <f>IF('ASS END SYNC'!C646="SHOW",MID('ASS END SYNC'!E646,Q642+1,S642-Q642+1),"")</f>
        <v/>
      </c>
      <c r="X642" s="23" t="str">
        <f>IF('ASS END SYNC'!C646="SHOW",MID('ASS END SYNC'!E646,S642+2,1000),"")</f>
        <v/>
      </c>
      <c r="Z642" s="24"/>
    </row>
    <row r="643" spans="1:26" x14ac:dyDescent="0.25">
      <c r="A643" s="26">
        <v>640</v>
      </c>
      <c r="B643" s="24" t="str">
        <f>IF('ASS START SYNC'!C647="SHOW",FIND(",",'ASS START SYNC'!E647,1),"")</f>
        <v/>
      </c>
      <c r="C643" s="24" t="str">
        <f>IF('ASS START SYNC'!C647="SHOW",FIND(",",'ASS START SYNC'!E647,B643+1),"")</f>
        <v/>
      </c>
      <c r="D643" s="24" t="str">
        <f>IF('ASS START SYNC'!C647="SHOW",FIND(",",'ASS START SYNC'!E647,C643+1),"")</f>
        <v/>
      </c>
      <c r="E643" s="25" t="str">
        <f>IF('ASS START SYNC'!C647="SHOW",FIND(",,",'ASS START SYNC'!E647,1),"")</f>
        <v/>
      </c>
      <c r="F643" s="25" t="str">
        <f>IF('ASS START SYNC'!C647="SHOW",FIND(",,",'ASS START SYNC'!E647,E643+1),"")</f>
        <v/>
      </c>
      <c r="G643" s="23" t="str">
        <f>IF('ASS START SYNC'!C647="SHOW",LEFT('ASS START SYNC'!E647,B643),"")</f>
        <v/>
      </c>
      <c r="H643" s="24" t="str">
        <f>IF(AND('ASS START SYNC'!C647="SHOW",COUNTA('ASS START SYNC'!$E$8:'ASS START SYNC'!E646)=0),MID('ASS START SYNC'!E647,B643+1,C643-B643-1),IF(AND('ASS START SYNC'!C647="SHOW",COUNTA('ASS START SYNC'!$E$8:'ASS START SYNC'!E646)&lt;&gt;0),I642,""))</f>
        <v/>
      </c>
      <c r="I643" s="24" t="str">
        <f>IF('ASS START SYNC'!C647="SHOW",MID('ASS START SYNC'!E647,C643+1,D643-C643-1),I642)</f>
        <v/>
      </c>
      <c r="J643" s="23" t="str">
        <f>IF('ASS START SYNC'!C647="SHOW",MID('ASS START SYNC'!E647,D643+1,F643-D643+1),"")</f>
        <v/>
      </c>
      <c r="K643" s="23" t="str">
        <f>IF('ASS START SYNC'!C647="SHOW",MID('ASS START SYNC'!E647,F643+2,1000),"")</f>
        <v/>
      </c>
      <c r="M643" s="24"/>
      <c r="N643" s="26">
        <v>640</v>
      </c>
      <c r="O643" s="24" t="str">
        <f>IF('ASS END SYNC'!C647="SHOW",FIND(",",'ASS END SYNC'!E647,1),"")</f>
        <v/>
      </c>
      <c r="P643" s="24" t="str">
        <f>IF('ASS END SYNC'!C647="SHOW",FIND(",",'ASS END SYNC'!E647,O643+1),"")</f>
        <v/>
      </c>
      <c r="Q643" s="24" t="str">
        <f>IF('ASS END SYNC'!C647="SHOW",FIND(",",'ASS END SYNC'!E647,P643+1),"")</f>
        <v/>
      </c>
      <c r="R643" s="25" t="str">
        <f>IF('ASS END SYNC'!C647="SHOW",FIND(",,",'ASS END SYNC'!E647,1),"")</f>
        <v/>
      </c>
      <c r="S643" s="25" t="str">
        <f>IF('ASS END SYNC'!C647="SHOW",FIND(",,",'ASS END SYNC'!E647,R643+1),"")</f>
        <v/>
      </c>
      <c r="T643" s="23" t="str">
        <f>IF('ASS END SYNC'!C647="SHOW",LEFT('ASS END SYNC'!E647,O643),"")</f>
        <v/>
      </c>
      <c r="U643" s="24" t="str">
        <f>IF('ASS END SYNC'!C647="SHOW",MID('ASS END SYNC'!E647,O643+1,P643-O643-1),"")</f>
        <v/>
      </c>
      <c r="V643" s="24" t="str">
        <f>IF(AND('ASS END SYNC'!C647="SHOW",'ASS END SYNC'!C648="SHOW"),U644,IF(AND('ASS END SYNC'!C647="SHOW",'ASS END SYNC'!C648&lt;&gt;"SHOW"),MID('ASS END SYNC'!E647,O643+1,P643-O643-1),""))</f>
        <v/>
      </c>
      <c r="W643" s="23" t="str">
        <f>IF('ASS END SYNC'!C647="SHOW",MID('ASS END SYNC'!E647,Q643+1,S643-Q643+1),"")</f>
        <v/>
      </c>
      <c r="X643" s="23" t="str">
        <f>IF('ASS END SYNC'!C647="SHOW",MID('ASS END SYNC'!E647,S643+2,1000),"")</f>
        <v/>
      </c>
      <c r="Z643" s="24"/>
    </row>
    <row r="644" spans="1:26" x14ac:dyDescent="0.25">
      <c r="A644" s="26">
        <v>641</v>
      </c>
      <c r="B644" s="24" t="str">
        <f>IF('ASS START SYNC'!C648="SHOW",FIND(",",'ASS START SYNC'!E648,1),"")</f>
        <v/>
      </c>
      <c r="C644" s="24" t="str">
        <f>IF('ASS START SYNC'!C648="SHOW",FIND(",",'ASS START SYNC'!E648,B644+1),"")</f>
        <v/>
      </c>
      <c r="D644" s="24" t="str">
        <f>IF('ASS START SYNC'!C648="SHOW",FIND(",",'ASS START SYNC'!E648,C644+1),"")</f>
        <v/>
      </c>
      <c r="E644" s="25" t="str">
        <f>IF('ASS START SYNC'!C648="SHOW",FIND(",,",'ASS START SYNC'!E648,1),"")</f>
        <v/>
      </c>
      <c r="F644" s="25" t="str">
        <f>IF('ASS START SYNC'!C648="SHOW",FIND(",,",'ASS START SYNC'!E648,E644+1),"")</f>
        <v/>
      </c>
      <c r="G644" s="23" t="str">
        <f>IF('ASS START SYNC'!C648="SHOW",LEFT('ASS START SYNC'!E648,B644),"")</f>
        <v/>
      </c>
      <c r="H644" s="24" t="str">
        <f>IF(AND('ASS START SYNC'!C648="SHOW",COUNTA('ASS START SYNC'!$E$8:'ASS START SYNC'!E647)=0),MID('ASS START SYNC'!E648,B644+1,C644-B644-1),IF(AND('ASS START SYNC'!C648="SHOW",COUNTA('ASS START SYNC'!$E$8:'ASS START SYNC'!E647)&lt;&gt;0),I643,""))</f>
        <v/>
      </c>
      <c r="I644" s="24" t="str">
        <f>IF('ASS START SYNC'!C648="SHOW",MID('ASS START SYNC'!E648,C644+1,D644-C644-1),I643)</f>
        <v/>
      </c>
      <c r="J644" s="23" t="str">
        <f>IF('ASS START SYNC'!C648="SHOW",MID('ASS START SYNC'!E648,D644+1,F644-D644+1),"")</f>
        <v/>
      </c>
      <c r="K644" s="23" t="str">
        <f>IF('ASS START SYNC'!C648="SHOW",MID('ASS START SYNC'!E648,F644+2,1000),"")</f>
        <v/>
      </c>
      <c r="M644" s="24"/>
      <c r="N644" s="26">
        <v>641</v>
      </c>
      <c r="O644" s="24" t="str">
        <f>IF('ASS END SYNC'!C648="SHOW",FIND(",",'ASS END SYNC'!E648,1),"")</f>
        <v/>
      </c>
      <c r="P644" s="24" t="str">
        <f>IF('ASS END SYNC'!C648="SHOW",FIND(",",'ASS END SYNC'!E648,O644+1),"")</f>
        <v/>
      </c>
      <c r="Q644" s="24" t="str">
        <f>IF('ASS END SYNC'!C648="SHOW",FIND(",",'ASS END SYNC'!E648,P644+1),"")</f>
        <v/>
      </c>
      <c r="R644" s="25" t="str">
        <f>IF('ASS END SYNC'!C648="SHOW",FIND(",,",'ASS END SYNC'!E648,1),"")</f>
        <v/>
      </c>
      <c r="S644" s="25" t="str">
        <f>IF('ASS END SYNC'!C648="SHOW",FIND(",,",'ASS END SYNC'!E648,R644+1),"")</f>
        <v/>
      </c>
      <c r="T644" s="23" t="str">
        <f>IF('ASS END SYNC'!C648="SHOW",LEFT('ASS END SYNC'!E648,O644),"")</f>
        <v/>
      </c>
      <c r="U644" s="24" t="str">
        <f>IF('ASS END SYNC'!C648="SHOW",MID('ASS END SYNC'!E648,O644+1,P644-O644-1),"")</f>
        <v/>
      </c>
      <c r="V644" s="24" t="str">
        <f>IF(AND('ASS END SYNC'!C648="SHOW",'ASS END SYNC'!C649="SHOW"),U645,IF(AND('ASS END SYNC'!C648="SHOW",'ASS END SYNC'!C649&lt;&gt;"SHOW"),MID('ASS END SYNC'!E648,O644+1,P644-O644-1),""))</f>
        <v/>
      </c>
      <c r="W644" s="23" t="str">
        <f>IF('ASS END SYNC'!C648="SHOW",MID('ASS END SYNC'!E648,Q644+1,S644-Q644+1),"")</f>
        <v/>
      </c>
      <c r="X644" s="23" t="str">
        <f>IF('ASS END SYNC'!C648="SHOW",MID('ASS END SYNC'!E648,S644+2,1000),"")</f>
        <v/>
      </c>
      <c r="Z644" s="24"/>
    </row>
    <row r="645" spans="1:26" x14ac:dyDescent="0.25">
      <c r="A645" s="26">
        <v>642</v>
      </c>
      <c r="B645" s="24" t="str">
        <f>IF('ASS START SYNC'!C649="SHOW",FIND(",",'ASS START SYNC'!E649,1),"")</f>
        <v/>
      </c>
      <c r="C645" s="24" t="str">
        <f>IF('ASS START SYNC'!C649="SHOW",FIND(",",'ASS START SYNC'!E649,B645+1),"")</f>
        <v/>
      </c>
      <c r="D645" s="24" t="str">
        <f>IF('ASS START SYNC'!C649="SHOW",FIND(",",'ASS START SYNC'!E649,C645+1),"")</f>
        <v/>
      </c>
      <c r="E645" s="25" t="str">
        <f>IF('ASS START SYNC'!C649="SHOW",FIND(",,",'ASS START SYNC'!E649,1),"")</f>
        <v/>
      </c>
      <c r="F645" s="25" t="str">
        <f>IF('ASS START SYNC'!C649="SHOW",FIND(",,",'ASS START SYNC'!E649,E645+1),"")</f>
        <v/>
      </c>
      <c r="G645" s="23" t="str">
        <f>IF('ASS START SYNC'!C649="SHOW",LEFT('ASS START SYNC'!E649,B645),"")</f>
        <v/>
      </c>
      <c r="H645" s="24" t="str">
        <f>IF(AND('ASS START SYNC'!C649="SHOW",COUNTA('ASS START SYNC'!$E$8:'ASS START SYNC'!E648)=0),MID('ASS START SYNC'!E649,B645+1,C645-B645-1),IF(AND('ASS START SYNC'!C649="SHOW",COUNTA('ASS START SYNC'!$E$8:'ASS START SYNC'!E648)&lt;&gt;0),I644,""))</f>
        <v/>
      </c>
      <c r="I645" s="24" t="str">
        <f>IF('ASS START SYNC'!C649="SHOW",MID('ASS START SYNC'!E649,C645+1,D645-C645-1),I644)</f>
        <v/>
      </c>
      <c r="J645" s="23" t="str">
        <f>IF('ASS START SYNC'!C649="SHOW",MID('ASS START SYNC'!E649,D645+1,F645-D645+1),"")</f>
        <v/>
      </c>
      <c r="K645" s="23" t="str">
        <f>IF('ASS START SYNC'!C649="SHOW",MID('ASS START SYNC'!E649,F645+2,1000),"")</f>
        <v/>
      </c>
      <c r="M645" s="24"/>
      <c r="N645" s="26">
        <v>642</v>
      </c>
      <c r="O645" s="24" t="str">
        <f>IF('ASS END SYNC'!C649="SHOW",FIND(",",'ASS END SYNC'!E649,1),"")</f>
        <v/>
      </c>
      <c r="P645" s="24" t="str">
        <f>IF('ASS END SYNC'!C649="SHOW",FIND(",",'ASS END SYNC'!E649,O645+1),"")</f>
        <v/>
      </c>
      <c r="Q645" s="24" t="str">
        <f>IF('ASS END SYNC'!C649="SHOW",FIND(",",'ASS END SYNC'!E649,P645+1),"")</f>
        <v/>
      </c>
      <c r="R645" s="25" t="str">
        <f>IF('ASS END SYNC'!C649="SHOW",FIND(",,",'ASS END SYNC'!E649,1),"")</f>
        <v/>
      </c>
      <c r="S645" s="25" t="str">
        <f>IF('ASS END SYNC'!C649="SHOW",FIND(",,",'ASS END SYNC'!E649,R645+1),"")</f>
        <v/>
      </c>
      <c r="T645" s="23" t="str">
        <f>IF('ASS END SYNC'!C649="SHOW",LEFT('ASS END SYNC'!E649,O645),"")</f>
        <v/>
      </c>
      <c r="U645" s="24" t="str">
        <f>IF('ASS END SYNC'!C649="SHOW",MID('ASS END SYNC'!E649,O645+1,P645-O645-1),"")</f>
        <v/>
      </c>
      <c r="V645" s="24" t="str">
        <f>IF(AND('ASS END SYNC'!C649="SHOW",'ASS END SYNC'!C650="SHOW"),U646,IF(AND('ASS END SYNC'!C649="SHOW",'ASS END SYNC'!C650&lt;&gt;"SHOW"),MID('ASS END SYNC'!E649,O645+1,P645-O645-1),""))</f>
        <v/>
      </c>
      <c r="W645" s="23" t="str">
        <f>IF('ASS END SYNC'!C649="SHOW",MID('ASS END SYNC'!E649,Q645+1,S645-Q645+1),"")</f>
        <v/>
      </c>
      <c r="X645" s="23" t="str">
        <f>IF('ASS END SYNC'!C649="SHOW",MID('ASS END SYNC'!E649,S645+2,1000),"")</f>
        <v/>
      </c>
      <c r="Z645" s="24"/>
    </row>
    <row r="646" spans="1:26" x14ac:dyDescent="0.25">
      <c r="A646" s="26">
        <v>643</v>
      </c>
      <c r="B646" s="24" t="str">
        <f>IF('ASS START SYNC'!C650="SHOW",FIND(",",'ASS START SYNC'!E650,1),"")</f>
        <v/>
      </c>
      <c r="C646" s="24" t="str">
        <f>IF('ASS START SYNC'!C650="SHOW",FIND(",",'ASS START SYNC'!E650,B646+1),"")</f>
        <v/>
      </c>
      <c r="D646" s="24" t="str">
        <f>IF('ASS START SYNC'!C650="SHOW",FIND(",",'ASS START SYNC'!E650,C646+1),"")</f>
        <v/>
      </c>
      <c r="E646" s="25" t="str">
        <f>IF('ASS START SYNC'!C650="SHOW",FIND(",,",'ASS START SYNC'!E650,1),"")</f>
        <v/>
      </c>
      <c r="F646" s="25" t="str">
        <f>IF('ASS START SYNC'!C650="SHOW",FIND(",,",'ASS START SYNC'!E650,E646+1),"")</f>
        <v/>
      </c>
      <c r="G646" s="23" t="str">
        <f>IF('ASS START SYNC'!C650="SHOW",LEFT('ASS START SYNC'!E650,B646),"")</f>
        <v/>
      </c>
      <c r="H646" s="24" t="str">
        <f>IF(AND('ASS START SYNC'!C650="SHOW",COUNTA('ASS START SYNC'!$E$8:'ASS START SYNC'!E649)=0),MID('ASS START SYNC'!E650,B646+1,C646-B646-1),IF(AND('ASS START SYNC'!C650="SHOW",COUNTA('ASS START SYNC'!$E$8:'ASS START SYNC'!E649)&lt;&gt;0),I645,""))</f>
        <v/>
      </c>
      <c r="I646" s="24" t="str">
        <f>IF('ASS START SYNC'!C650="SHOW",MID('ASS START SYNC'!E650,C646+1,D646-C646-1),I645)</f>
        <v/>
      </c>
      <c r="J646" s="23" t="str">
        <f>IF('ASS START SYNC'!C650="SHOW",MID('ASS START SYNC'!E650,D646+1,F646-D646+1),"")</f>
        <v/>
      </c>
      <c r="K646" s="23" t="str">
        <f>IF('ASS START SYNC'!C650="SHOW",MID('ASS START SYNC'!E650,F646+2,1000),"")</f>
        <v/>
      </c>
      <c r="M646" s="24"/>
      <c r="N646" s="26">
        <v>643</v>
      </c>
      <c r="O646" s="24" t="str">
        <f>IF('ASS END SYNC'!C650="SHOW",FIND(",",'ASS END SYNC'!E650,1),"")</f>
        <v/>
      </c>
      <c r="P646" s="24" t="str">
        <f>IF('ASS END SYNC'!C650="SHOW",FIND(",",'ASS END SYNC'!E650,O646+1),"")</f>
        <v/>
      </c>
      <c r="Q646" s="24" t="str">
        <f>IF('ASS END SYNC'!C650="SHOW",FIND(",",'ASS END SYNC'!E650,P646+1),"")</f>
        <v/>
      </c>
      <c r="R646" s="25" t="str">
        <f>IF('ASS END SYNC'!C650="SHOW",FIND(",,",'ASS END SYNC'!E650,1),"")</f>
        <v/>
      </c>
      <c r="S646" s="25" t="str">
        <f>IF('ASS END SYNC'!C650="SHOW",FIND(",,",'ASS END SYNC'!E650,R646+1),"")</f>
        <v/>
      </c>
      <c r="T646" s="23" t="str">
        <f>IF('ASS END SYNC'!C650="SHOW",LEFT('ASS END SYNC'!E650,O646),"")</f>
        <v/>
      </c>
      <c r="U646" s="24" t="str">
        <f>IF('ASS END SYNC'!C650="SHOW",MID('ASS END SYNC'!E650,O646+1,P646-O646-1),"")</f>
        <v/>
      </c>
      <c r="V646" s="24" t="str">
        <f>IF(AND('ASS END SYNC'!C650="SHOW",'ASS END SYNC'!C651="SHOW"),U647,IF(AND('ASS END SYNC'!C650="SHOW",'ASS END SYNC'!C651&lt;&gt;"SHOW"),MID('ASS END SYNC'!E650,O646+1,P646-O646-1),""))</f>
        <v/>
      </c>
      <c r="W646" s="23" t="str">
        <f>IF('ASS END SYNC'!C650="SHOW",MID('ASS END SYNC'!E650,Q646+1,S646-Q646+1),"")</f>
        <v/>
      </c>
      <c r="X646" s="23" t="str">
        <f>IF('ASS END SYNC'!C650="SHOW",MID('ASS END SYNC'!E650,S646+2,1000),"")</f>
        <v/>
      </c>
      <c r="Z646" s="24"/>
    </row>
    <row r="647" spans="1:26" x14ac:dyDescent="0.25">
      <c r="A647" s="26">
        <v>644</v>
      </c>
      <c r="B647" s="24" t="str">
        <f>IF('ASS START SYNC'!C651="SHOW",FIND(",",'ASS START SYNC'!E651,1),"")</f>
        <v/>
      </c>
      <c r="C647" s="24" t="str">
        <f>IF('ASS START SYNC'!C651="SHOW",FIND(",",'ASS START SYNC'!E651,B647+1),"")</f>
        <v/>
      </c>
      <c r="D647" s="24" t="str">
        <f>IF('ASS START SYNC'!C651="SHOW",FIND(",",'ASS START SYNC'!E651,C647+1),"")</f>
        <v/>
      </c>
      <c r="E647" s="25" t="str">
        <f>IF('ASS START SYNC'!C651="SHOW",FIND(",,",'ASS START SYNC'!E651,1),"")</f>
        <v/>
      </c>
      <c r="F647" s="25" t="str">
        <f>IF('ASS START SYNC'!C651="SHOW",FIND(",,",'ASS START SYNC'!E651,E647+1),"")</f>
        <v/>
      </c>
      <c r="G647" s="23" t="str">
        <f>IF('ASS START SYNC'!C651="SHOW",LEFT('ASS START SYNC'!E651,B647),"")</f>
        <v/>
      </c>
      <c r="H647" s="24" t="str">
        <f>IF(AND('ASS START SYNC'!C651="SHOW",COUNTA('ASS START SYNC'!$E$8:'ASS START SYNC'!E650)=0),MID('ASS START SYNC'!E651,B647+1,C647-B647-1),IF(AND('ASS START SYNC'!C651="SHOW",COUNTA('ASS START SYNC'!$E$8:'ASS START SYNC'!E650)&lt;&gt;0),I646,""))</f>
        <v/>
      </c>
      <c r="I647" s="24" t="str">
        <f>IF('ASS START SYNC'!C651="SHOW",MID('ASS START SYNC'!E651,C647+1,D647-C647-1),I646)</f>
        <v/>
      </c>
      <c r="J647" s="23" t="str">
        <f>IF('ASS START SYNC'!C651="SHOW",MID('ASS START SYNC'!E651,D647+1,F647-D647+1),"")</f>
        <v/>
      </c>
      <c r="K647" s="23" t="str">
        <f>IF('ASS START SYNC'!C651="SHOW",MID('ASS START SYNC'!E651,F647+2,1000),"")</f>
        <v/>
      </c>
      <c r="M647" s="24"/>
      <c r="N647" s="26">
        <v>644</v>
      </c>
      <c r="O647" s="24" t="str">
        <f>IF('ASS END SYNC'!C651="SHOW",FIND(",",'ASS END SYNC'!E651,1),"")</f>
        <v/>
      </c>
      <c r="P647" s="24" t="str">
        <f>IF('ASS END SYNC'!C651="SHOW",FIND(",",'ASS END SYNC'!E651,O647+1),"")</f>
        <v/>
      </c>
      <c r="Q647" s="24" t="str">
        <f>IF('ASS END SYNC'!C651="SHOW",FIND(",",'ASS END SYNC'!E651,P647+1),"")</f>
        <v/>
      </c>
      <c r="R647" s="25" t="str">
        <f>IF('ASS END SYNC'!C651="SHOW",FIND(",,",'ASS END SYNC'!E651,1),"")</f>
        <v/>
      </c>
      <c r="S647" s="25" t="str">
        <f>IF('ASS END SYNC'!C651="SHOW",FIND(",,",'ASS END SYNC'!E651,R647+1),"")</f>
        <v/>
      </c>
      <c r="T647" s="23" t="str">
        <f>IF('ASS END SYNC'!C651="SHOW",LEFT('ASS END SYNC'!E651,O647),"")</f>
        <v/>
      </c>
      <c r="U647" s="24" t="str">
        <f>IF('ASS END SYNC'!C651="SHOW",MID('ASS END SYNC'!E651,O647+1,P647-O647-1),"")</f>
        <v/>
      </c>
      <c r="V647" s="24" t="str">
        <f>IF(AND('ASS END SYNC'!C651="SHOW",'ASS END SYNC'!C652="SHOW"),U648,IF(AND('ASS END SYNC'!C651="SHOW",'ASS END SYNC'!C652&lt;&gt;"SHOW"),MID('ASS END SYNC'!E651,O647+1,P647-O647-1),""))</f>
        <v/>
      </c>
      <c r="W647" s="23" t="str">
        <f>IF('ASS END SYNC'!C651="SHOW",MID('ASS END SYNC'!E651,Q647+1,S647-Q647+1),"")</f>
        <v/>
      </c>
      <c r="X647" s="23" t="str">
        <f>IF('ASS END SYNC'!C651="SHOW",MID('ASS END SYNC'!E651,S647+2,1000),"")</f>
        <v/>
      </c>
      <c r="Z647" s="24"/>
    </row>
    <row r="648" spans="1:26" x14ac:dyDescent="0.25">
      <c r="A648" s="26">
        <v>645</v>
      </c>
      <c r="B648" s="24" t="str">
        <f>IF('ASS START SYNC'!C652="SHOW",FIND(",",'ASS START SYNC'!E652,1),"")</f>
        <v/>
      </c>
      <c r="C648" s="24" t="str">
        <f>IF('ASS START SYNC'!C652="SHOW",FIND(",",'ASS START SYNC'!E652,B648+1),"")</f>
        <v/>
      </c>
      <c r="D648" s="24" t="str">
        <f>IF('ASS START SYNC'!C652="SHOW",FIND(",",'ASS START SYNC'!E652,C648+1),"")</f>
        <v/>
      </c>
      <c r="E648" s="25" t="str">
        <f>IF('ASS START SYNC'!C652="SHOW",FIND(",,",'ASS START SYNC'!E652,1),"")</f>
        <v/>
      </c>
      <c r="F648" s="25" t="str">
        <f>IF('ASS START SYNC'!C652="SHOW",FIND(",,",'ASS START SYNC'!E652,E648+1),"")</f>
        <v/>
      </c>
      <c r="G648" s="23" t="str">
        <f>IF('ASS START SYNC'!C652="SHOW",LEFT('ASS START SYNC'!E652,B648),"")</f>
        <v/>
      </c>
      <c r="H648" s="24" t="str">
        <f>IF(AND('ASS START SYNC'!C652="SHOW",COUNTA('ASS START SYNC'!$E$8:'ASS START SYNC'!E651)=0),MID('ASS START SYNC'!E652,B648+1,C648-B648-1),IF(AND('ASS START SYNC'!C652="SHOW",COUNTA('ASS START SYNC'!$E$8:'ASS START SYNC'!E651)&lt;&gt;0),I647,""))</f>
        <v/>
      </c>
      <c r="I648" s="24" t="str">
        <f>IF('ASS START SYNC'!C652="SHOW",MID('ASS START SYNC'!E652,C648+1,D648-C648-1),I647)</f>
        <v/>
      </c>
      <c r="J648" s="23" t="str">
        <f>IF('ASS START SYNC'!C652="SHOW",MID('ASS START SYNC'!E652,D648+1,F648-D648+1),"")</f>
        <v/>
      </c>
      <c r="K648" s="23" t="str">
        <f>IF('ASS START SYNC'!C652="SHOW",MID('ASS START SYNC'!E652,F648+2,1000),"")</f>
        <v/>
      </c>
      <c r="M648" s="24"/>
      <c r="N648" s="26">
        <v>645</v>
      </c>
      <c r="O648" s="24" t="str">
        <f>IF('ASS END SYNC'!C652="SHOW",FIND(",",'ASS END SYNC'!E652,1),"")</f>
        <v/>
      </c>
      <c r="P648" s="24" t="str">
        <f>IF('ASS END SYNC'!C652="SHOW",FIND(",",'ASS END SYNC'!E652,O648+1),"")</f>
        <v/>
      </c>
      <c r="Q648" s="24" t="str">
        <f>IF('ASS END SYNC'!C652="SHOW",FIND(",",'ASS END SYNC'!E652,P648+1),"")</f>
        <v/>
      </c>
      <c r="R648" s="25" t="str">
        <f>IF('ASS END SYNC'!C652="SHOW",FIND(",,",'ASS END SYNC'!E652,1),"")</f>
        <v/>
      </c>
      <c r="S648" s="25" t="str">
        <f>IF('ASS END SYNC'!C652="SHOW",FIND(",,",'ASS END SYNC'!E652,R648+1),"")</f>
        <v/>
      </c>
      <c r="T648" s="23" t="str">
        <f>IF('ASS END SYNC'!C652="SHOW",LEFT('ASS END SYNC'!E652,O648),"")</f>
        <v/>
      </c>
      <c r="U648" s="24" t="str">
        <f>IF('ASS END SYNC'!C652="SHOW",MID('ASS END SYNC'!E652,O648+1,P648-O648-1),"")</f>
        <v/>
      </c>
      <c r="V648" s="24" t="str">
        <f>IF(AND('ASS END SYNC'!C652="SHOW",'ASS END SYNC'!C653="SHOW"),U649,IF(AND('ASS END SYNC'!C652="SHOW",'ASS END SYNC'!C653&lt;&gt;"SHOW"),MID('ASS END SYNC'!E652,O648+1,P648-O648-1),""))</f>
        <v/>
      </c>
      <c r="W648" s="23" t="str">
        <f>IF('ASS END SYNC'!C652="SHOW",MID('ASS END SYNC'!E652,Q648+1,S648-Q648+1),"")</f>
        <v/>
      </c>
      <c r="X648" s="23" t="str">
        <f>IF('ASS END SYNC'!C652="SHOW",MID('ASS END SYNC'!E652,S648+2,1000),"")</f>
        <v/>
      </c>
      <c r="Z648" s="24"/>
    </row>
    <row r="649" spans="1:26" x14ac:dyDescent="0.25">
      <c r="A649" s="26">
        <v>646</v>
      </c>
      <c r="B649" s="24" t="str">
        <f>IF('ASS START SYNC'!C653="SHOW",FIND(",",'ASS START SYNC'!E653,1),"")</f>
        <v/>
      </c>
      <c r="C649" s="24" t="str">
        <f>IF('ASS START SYNC'!C653="SHOW",FIND(",",'ASS START SYNC'!E653,B649+1),"")</f>
        <v/>
      </c>
      <c r="D649" s="24" t="str">
        <f>IF('ASS START SYNC'!C653="SHOW",FIND(",",'ASS START SYNC'!E653,C649+1),"")</f>
        <v/>
      </c>
      <c r="E649" s="25" t="str">
        <f>IF('ASS START SYNC'!C653="SHOW",FIND(",,",'ASS START SYNC'!E653,1),"")</f>
        <v/>
      </c>
      <c r="F649" s="25" t="str">
        <f>IF('ASS START SYNC'!C653="SHOW",FIND(",,",'ASS START SYNC'!E653,E649+1),"")</f>
        <v/>
      </c>
      <c r="G649" s="23" t="str">
        <f>IF('ASS START SYNC'!C653="SHOW",LEFT('ASS START SYNC'!E653,B649),"")</f>
        <v/>
      </c>
      <c r="H649" s="24" t="str">
        <f>IF(AND('ASS START SYNC'!C653="SHOW",COUNTA('ASS START SYNC'!$E$8:'ASS START SYNC'!E652)=0),MID('ASS START SYNC'!E653,B649+1,C649-B649-1),IF(AND('ASS START SYNC'!C653="SHOW",COUNTA('ASS START SYNC'!$E$8:'ASS START SYNC'!E652)&lt;&gt;0),I648,""))</f>
        <v/>
      </c>
      <c r="I649" s="24" t="str">
        <f>IF('ASS START SYNC'!C653="SHOW",MID('ASS START SYNC'!E653,C649+1,D649-C649-1),I648)</f>
        <v/>
      </c>
      <c r="J649" s="23" t="str">
        <f>IF('ASS START SYNC'!C653="SHOW",MID('ASS START SYNC'!E653,D649+1,F649-D649+1),"")</f>
        <v/>
      </c>
      <c r="K649" s="23" t="str">
        <f>IF('ASS START SYNC'!C653="SHOW",MID('ASS START SYNC'!E653,F649+2,1000),"")</f>
        <v/>
      </c>
      <c r="M649" s="24"/>
      <c r="N649" s="26">
        <v>646</v>
      </c>
      <c r="O649" s="24" t="str">
        <f>IF('ASS END SYNC'!C653="SHOW",FIND(",",'ASS END SYNC'!E653,1),"")</f>
        <v/>
      </c>
      <c r="P649" s="24" t="str">
        <f>IF('ASS END SYNC'!C653="SHOW",FIND(",",'ASS END SYNC'!E653,O649+1),"")</f>
        <v/>
      </c>
      <c r="Q649" s="24" t="str">
        <f>IF('ASS END SYNC'!C653="SHOW",FIND(",",'ASS END SYNC'!E653,P649+1),"")</f>
        <v/>
      </c>
      <c r="R649" s="25" t="str">
        <f>IF('ASS END SYNC'!C653="SHOW",FIND(",,",'ASS END SYNC'!E653,1),"")</f>
        <v/>
      </c>
      <c r="S649" s="25" t="str">
        <f>IF('ASS END SYNC'!C653="SHOW",FIND(",,",'ASS END SYNC'!E653,R649+1),"")</f>
        <v/>
      </c>
      <c r="T649" s="23" t="str">
        <f>IF('ASS END SYNC'!C653="SHOW",LEFT('ASS END SYNC'!E653,O649),"")</f>
        <v/>
      </c>
      <c r="U649" s="24" t="str">
        <f>IF('ASS END SYNC'!C653="SHOW",MID('ASS END SYNC'!E653,O649+1,P649-O649-1),"")</f>
        <v/>
      </c>
      <c r="V649" s="24" t="str">
        <f>IF(AND('ASS END SYNC'!C653="SHOW",'ASS END SYNC'!C654="SHOW"),U650,IF(AND('ASS END SYNC'!C653="SHOW",'ASS END SYNC'!C654&lt;&gt;"SHOW"),MID('ASS END SYNC'!E653,O649+1,P649-O649-1),""))</f>
        <v/>
      </c>
      <c r="W649" s="23" t="str">
        <f>IF('ASS END SYNC'!C653="SHOW",MID('ASS END SYNC'!E653,Q649+1,S649-Q649+1),"")</f>
        <v/>
      </c>
      <c r="X649" s="23" t="str">
        <f>IF('ASS END SYNC'!C653="SHOW",MID('ASS END SYNC'!E653,S649+2,1000),"")</f>
        <v/>
      </c>
      <c r="Z649" s="24"/>
    </row>
    <row r="650" spans="1:26" x14ac:dyDescent="0.25">
      <c r="A650" s="26">
        <v>647</v>
      </c>
      <c r="B650" s="24" t="str">
        <f>IF('ASS START SYNC'!C654="SHOW",FIND(",",'ASS START SYNC'!E654,1),"")</f>
        <v/>
      </c>
      <c r="C650" s="24" t="str">
        <f>IF('ASS START SYNC'!C654="SHOW",FIND(",",'ASS START SYNC'!E654,B650+1),"")</f>
        <v/>
      </c>
      <c r="D650" s="24" t="str">
        <f>IF('ASS START SYNC'!C654="SHOW",FIND(",",'ASS START SYNC'!E654,C650+1),"")</f>
        <v/>
      </c>
      <c r="E650" s="25" t="str">
        <f>IF('ASS START SYNC'!C654="SHOW",FIND(",,",'ASS START SYNC'!E654,1),"")</f>
        <v/>
      </c>
      <c r="F650" s="25" t="str">
        <f>IF('ASS START SYNC'!C654="SHOW",FIND(",,",'ASS START SYNC'!E654,E650+1),"")</f>
        <v/>
      </c>
      <c r="G650" s="23" t="str">
        <f>IF('ASS START SYNC'!C654="SHOW",LEFT('ASS START SYNC'!E654,B650),"")</f>
        <v/>
      </c>
      <c r="H650" s="24" t="str">
        <f>IF(AND('ASS START SYNC'!C654="SHOW",COUNTA('ASS START SYNC'!$E$8:'ASS START SYNC'!E653)=0),MID('ASS START SYNC'!E654,B650+1,C650-B650-1),IF(AND('ASS START SYNC'!C654="SHOW",COUNTA('ASS START SYNC'!$E$8:'ASS START SYNC'!E653)&lt;&gt;0),I649,""))</f>
        <v/>
      </c>
      <c r="I650" s="24" t="str">
        <f>IF('ASS START SYNC'!C654="SHOW",MID('ASS START SYNC'!E654,C650+1,D650-C650-1),I649)</f>
        <v/>
      </c>
      <c r="J650" s="23" t="str">
        <f>IF('ASS START SYNC'!C654="SHOW",MID('ASS START SYNC'!E654,D650+1,F650-D650+1),"")</f>
        <v/>
      </c>
      <c r="K650" s="23" t="str">
        <f>IF('ASS START SYNC'!C654="SHOW",MID('ASS START SYNC'!E654,F650+2,1000),"")</f>
        <v/>
      </c>
      <c r="M650" s="24"/>
      <c r="N650" s="26">
        <v>647</v>
      </c>
      <c r="O650" s="24" t="str">
        <f>IF('ASS END SYNC'!C654="SHOW",FIND(",",'ASS END SYNC'!E654,1),"")</f>
        <v/>
      </c>
      <c r="P650" s="24" t="str">
        <f>IF('ASS END SYNC'!C654="SHOW",FIND(",",'ASS END SYNC'!E654,O650+1),"")</f>
        <v/>
      </c>
      <c r="Q650" s="24" t="str">
        <f>IF('ASS END SYNC'!C654="SHOW",FIND(",",'ASS END SYNC'!E654,P650+1),"")</f>
        <v/>
      </c>
      <c r="R650" s="25" t="str">
        <f>IF('ASS END SYNC'!C654="SHOW",FIND(",,",'ASS END SYNC'!E654,1),"")</f>
        <v/>
      </c>
      <c r="S650" s="25" t="str">
        <f>IF('ASS END SYNC'!C654="SHOW",FIND(",,",'ASS END SYNC'!E654,R650+1),"")</f>
        <v/>
      </c>
      <c r="T650" s="23" t="str">
        <f>IF('ASS END SYNC'!C654="SHOW",LEFT('ASS END SYNC'!E654,O650),"")</f>
        <v/>
      </c>
      <c r="U650" s="24" t="str">
        <f>IF('ASS END SYNC'!C654="SHOW",MID('ASS END SYNC'!E654,O650+1,P650-O650-1),"")</f>
        <v/>
      </c>
      <c r="V650" s="24" t="str">
        <f>IF(AND('ASS END SYNC'!C654="SHOW",'ASS END SYNC'!C655="SHOW"),U651,IF(AND('ASS END SYNC'!C654="SHOW",'ASS END SYNC'!C655&lt;&gt;"SHOW"),MID('ASS END SYNC'!E654,O650+1,P650-O650-1),""))</f>
        <v/>
      </c>
      <c r="W650" s="23" t="str">
        <f>IF('ASS END SYNC'!C654="SHOW",MID('ASS END SYNC'!E654,Q650+1,S650-Q650+1),"")</f>
        <v/>
      </c>
      <c r="X650" s="23" t="str">
        <f>IF('ASS END SYNC'!C654="SHOW",MID('ASS END SYNC'!E654,S650+2,1000),"")</f>
        <v/>
      </c>
      <c r="Z650" s="24"/>
    </row>
    <row r="651" spans="1:26" x14ac:dyDescent="0.25">
      <c r="A651" s="26">
        <v>648</v>
      </c>
      <c r="B651" s="24" t="str">
        <f>IF('ASS START SYNC'!C655="SHOW",FIND(",",'ASS START SYNC'!E655,1),"")</f>
        <v/>
      </c>
      <c r="C651" s="24" t="str">
        <f>IF('ASS START SYNC'!C655="SHOW",FIND(",",'ASS START SYNC'!E655,B651+1),"")</f>
        <v/>
      </c>
      <c r="D651" s="24" t="str">
        <f>IF('ASS START SYNC'!C655="SHOW",FIND(",",'ASS START SYNC'!E655,C651+1),"")</f>
        <v/>
      </c>
      <c r="E651" s="25" t="str">
        <f>IF('ASS START SYNC'!C655="SHOW",FIND(",,",'ASS START SYNC'!E655,1),"")</f>
        <v/>
      </c>
      <c r="F651" s="25" t="str">
        <f>IF('ASS START SYNC'!C655="SHOW",FIND(",,",'ASS START SYNC'!E655,E651+1),"")</f>
        <v/>
      </c>
      <c r="G651" s="23" t="str">
        <f>IF('ASS START SYNC'!C655="SHOW",LEFT('ASS START SYNC'!E655,B651),"")</f>
        <v/>
      </c>
      <c r="H651" s="24" t="str">
        <f>IF(AND('ASS START SYNC'!C655="SHOW",COUNTA('ASS START SYNC'!$E$8:'ASS START SYNC'!E654)=0),MID('ASS START SYNC'!E655,B651+1,C651-B651-1),IF(AND('ASS START SYNC'!C655="SHOW",COUNTA('ASS START SYNC'!$E$8:'ASS START SYNC'!E654)&lt;&gt;0),I650,""))</f>
        <v/>
      </c>
      <c r="I651" s="24" t="str">
        <f>IF('ASS START SYNC'!C655="SHOW",MID('ASS START SYNC'!E655,C651+1,D651-C651-1),I650)</f>
        <v/>
      </c>
      <c r="J651" s="23" t="str">
        <f>IF('ASS START SYNC'!C655="SHOW",MID('ASS START SYNC'!E655,D651+1,F651-D651+1),"")</f>
        <v/>
      </c>
      <c r="K651" s="23" t="str">
        <f>IF('ASS START SYNC'!C655="SHOW",MID('ASS START SYNC'!E655,F651+2,1000),"")</f>
        <v/>
      </c>
      <c r="M651" s="24"/>
      <c r="N651" s="26">
        <v>648</v>
      </c>
      <c r="O651" s="24" t="str">
        <f>IF('ASS END SYNC'!C655="SHOW",FIND(",",'ASS END SYNC'!E655,1),"")</f>
        <v/>
      </c>
      <c r="P651" s="24" t="str">
        <f>IF('ASS END SYNC'!C655="SHOW",FIND(",",'ASS END SYNC'!E655,O651+1),"")</f>
        <v/>
      </c>
      <c r="Q651" s="24" t="str">
        <f>IF('ASS END SYNC'!C655="SHOW",FIND(",",'ASS END SYNC'!E655,P651+1),"")</f>
        <v/>
      </c>
      <c r="R651" s="25" t="str">
        <f>IF('ASS END SYNC'!C655="SHOW",FIND(",,",'ASS END SYNC'!E655,1),"")</f>
        <v/>
      </c>
      <c r="S651" s="25" t="str">
        <f>IF('ASS END SYNC'!C655="SHOW",FIND(",,",'ASS END SYNC'!E655,R651+1),"")</f>
        <v/>
      </c>
      <c r="T651" s="23" t="str">
        <f>IF('ASS END SYNC'!C655="SHOW",LEFT('ASS END SYNC'!E655,O651),"")</f>
        <v/>
      </c>
      <c r="U651" s="24" t="str">
        <f>IF('ASS END SYNC'!C655="SHOW",MID('ASS END SYNC'!E655,O651+1,P651-O651-1),"")</f>
        <v/>
      </c>
      <c r="V651" s="24" t="str">
        <f>IF(AND('ASS END SYNC'!C655="SHOW",'ASS END SYNC'!C656="SHOW"),U652,IF(AND('ASS END SYNC'!C655="SHOW",'ASS END SYNC'!C656&lt;&gt;"SHOW"),MID('ASS END SYNC'!E655,O651+1,P651-O651-1),""))</f>
        <v/>
      </c>
      <c r="W651" s="23" t="str">
        <f>IF('ASS END SYNC'!C655="SHOW",MID('ASS END SYNC'!E655,Q651+1,S651-Q651+1),"")</f>
        <v/>
      </c>
      <c r="X651" s="23" t="str">
        <f>IF('ASS END SYNC'!C655="SHOW",MID('ASS END SYNC'!E655,S651+2,1000),"")</f>
        <v/>
      </c>
      <c r="Z651" s="24"/>
    </row>
    <row r="652" spans="1:26" x14ac:dyDescent="0.25">
      <c r="A652" s="26">
        <v>649</v>
      </c>
      <c r="B652" s="24" t="str">
        <f>IF('ASS START SYNC'!C656="SHOW",FIND(",",'ASS START SYNC'!E656,1),"")</f>
        <v/>
      </c>
      <c r="C652" s="24" t="str">
        <f>IF('ASS START SYNC'!C656="SHOW",FIND(",",'ASS START SYNC'!E656,B652+1),"")</f>
        <v/>
      </c>
      <c r="D652" s="24" t="str">
        <f>IF('ASS START SYNC'!C656="SHOW",FIND(",",'ASS START SYNC'!E656,C652+1),"")</f>
        <v/>
      </c>
      <c r="E652" s="25" t="str">
        <f>IF('ASS START SYNC'!C656="SHOW",FIND(",,",'ASS START SYNC'!E656,1),"")</f>
        <v/>
      </c>
      <c r="F652" s="25" t="str">
        <f>IF('ASS START SYNC'!C656="SHOW",FIND(",,",'ASS START SYNC'!E656,E652+1),"")</f>
        <v/>
      </c>
      <c r="G652" s="23" t="str">
        <f>IF('ASS START SYNC'!C656="SHOW",LEFT('ASS START SYNC'!E656,B652),"")</f>
        <v/>
      </c>
      <c r="H652" s="24" t="str">
        <f>IF(AND('ASS START SYNC'!C656="SHOW",COUNTA('ASS START SYNC'!$E$8:'ASS START SYNC'!E655)=0),MID('ASS START SYNC'!E656,B652+1,C652-B652-1),IF(AND('ASS START SYNC'!C656="SHOW",COUNTA('ASS START SYNC'!$E$8:'ASS START SYNC'!E655)&lt;&gt;0),I651,""))</f>
        <v/>
      </c>
      <c r="I652" s="24" t="str">
        <f>IF('ASS START SYNC'!C656="SHOW",MID('ASS START SYNC'!E656,C652+1,D652-C652-1),I651)</f>
        <v/>
      </c>
      <c r="J652" s="23" t="str">
        <f>IF('ASS START SYNC'!C656="SHOW",MID('ASS START SYNC'!E656,D652+1,F652-D652+1),"")</f>
        <v/>
      </c>
      <c r="K652" s="23" t="str">
        <f>IF('ASS START SYNC'!C656="SHOW",MID('ASS START SYNC'!E656,F652+2,1000),"")</f>
        <v/>
      </c>
      <c r="M652" s="24"/>
      <c r="N652" s="26">
        <v>649</v>
      </c>
      <c r="O652" s="24" t="str">
        <f>IF('ASS END SYNC'!C656="SHOW",FIND(",",'ASS END SYNC'!E656,1),"")</f>
        <v/>
      </c>
      <c r="P652" s="24" t="str">
        <f>IF('ASS END SYNC'!C656="SHOW",FIND(",",'ASS END SYNC'!E656,O652+1),"")</f>
        <v/>
      </c>
      <c r="Q652" s="24" t="str">
        <f>IF('ASS END SYNC'!C656="SHOW",FIND(",",'ASS END SYNC'!E656,P652+1),"")</f>
        <v/>
      </c>
      <c r="R652" s="25" t="str">
        <f>IF('ASS END SYNC'!C656="SHOW",FIND(",,",'ASS END SYNC'!E656,1),"")</f>
        <v/>
      </c>
      <c r="S652" s="25" t="str">
        <f>IF('ASS END SYNC'!C656="SHOW",FIND(",,",'ASS END SYNC'!E656,R652+1),"")</f>
        <v/>
      </c>
      <c r="T652" s="23" t="str">
        <f>IF('ASS END SYNC'!C656="SHOW",LEFT('ASS END SYNC'!E656,O652),"")</f>
        <v/>
      </c>
      <c r="U652" s="24" t="str">
        <f>IF('ASS END SYNC'!C656="SHOW",MID('ASS END SYNC'!E656,O652+1,P652-O652-1),"")</f>
        <v/>
      </c>
      <c r="V652" s="24" t="str">
        <f>IF(AND('ASS END SYNC'!C656="SHOW",'ASS END SYNC'!C657="SHOW"),U653,IF(AND('ASS END SYNC'!C656="SHOW",'ASS END SYNC'!C657&lt;&gt;"SHOW"),MID('ASS END SYNC'!E656,O652+1,P652-O652-1),""))</f>
        <v/>
      </c>
      <c r="W652" s="23" t="str">
        <f>IF('ASS END SYNC'!C656="SHOW",MID('ASS END SYNC'!E656,Q652+1,S652-Q652+1),"")</f>
        <v/>
      </c>
      <c r="X652" s="23" t="str">
        <f>IF('ASS END SYNC'!C656="SHOW",MID('ASS END SYNC'!E656,S652+2,1000),"")</f>
        <v/>
      </c>
      <c r="Z652" s="24"/>
    </row>
    <row r="653" spans="1:26" x14ac:dyDescent="0.25">
      <c r="A653" s="26">
        <v>650</v>
      </c>
      <c r="B653" s="24" t="str">
        <f>IF('ASS START SYNC'!C657="SHOW",FIND(",",'ASS START SYNC'!E657,1),"")</f>
        <v/>
      </c>
      <c r="C653" s="24" t="str">
        <f>IF('ASS START SYNC'!C657="SHOW",FIND(",",'ASS START SYNC'!E657,B653+1),"")</f>
        <v/>
      </c>
      <c r="D653" s="24" t="str">
        <f>IF('ASS START SYNC'!C657="SHOW",FIND(",",'ASS START SYNC'!E657,C653+1),"")</f>
        <v/>
      </c>
      <c r="E653" s="25" t="str">
        <f>IF('ASS START SYNC'!C657="SHOW",FIND(",,",'ASS START SYNC'!E657,1),"")</f>
        <v/>
      </c>
      <c r="F653" s="25" t="str">
        <f>IF('ASS START SYNC'!C657="SHOW",FIND(",,",'ASS START SYNC'!E657,E653+1),"")</f>
        <v/>
      </c>
      <c r="G653" s="23" t="str">
        <f>IF('ASS START SYNC'!C657="SHOW",LEFT('ASS START SYNC'!E657,B653),"")</f>
        <v/>
      </c>
      <c r="H653" s="24" t="str">
        <f>IF(AND('ASS START SYNC'!C657="SHOW",COUNTA('ASS START SYNC'!$E$8:'ASS START SYNC'!E656)=0),MID('ASS START SYNC'!E657,B653+1,C653-B653-1),IF(AND('ASS START SYNC'!C657="SHOW",COUNTA('ASS START SYNC'!$E$8:'ASS START SYNC'!E656)&lt;&gt;0),I652,""))</f>
        <v/>
      </c>
      <c r="I653" s="24" t="str">
        <f>IF('ASS START SYNC'!C657="SHOW",MID('ASS START SYNC'!E657,C653+1,D653-C653-1),I652)</f>
        <v/>
      </c>
      <c r="J653" s="23" t="str">
        <f>IF('ASS START SYNC'!C657="SHOW",MID('ASS START SYNC'!E657,D653+1,F653-D653+1),"")</f>
        <v/>
      </c>
      <c r="K653" s="23" t="str">
        <f>IF('ASS START SYNC'!C657="SHOW",MID('ASS START SYNC'!E657,F653+2,1000),"")</f>
        <v/>
      </c>
      <c r="M653" s="24"/>
      <c r="N653" s="26">
        <v>650</v>
      </c>
      <c r="O653" s="24" t="str">
        <f>IF('ASS END SYNC'!C657="SHOW",FIND(",",'ASS END SYNC'!E657,1),"")</f>
        <v/>
      </c>
      <c r="P653" s="24" t="str">
        <f>IF('ASS END SYNC'!C657="SHOW",FIND(",",'ASS END SYNC'!E657,O653+1),"")</f>
        <v/>
      </c>
      <c r="Q653" s="24" t="str">
        <f>IF('ASS END SYNC'!C657="SHOW",FIND(",",'ASS END SYNC'!E657,P653+1),"")</f>
        <v/>
      </c>
      <c r="R653" s="25" t="str">
        <f>IF('ASS END SYNC'!C657="SHOW",FIND(",,",'ASS END SYNC'!E657,1),"")</f>
        <v/>
      </c>
      <c r="S653" s="25" t="str">
        <f>IF('ASS END SYNC'!C657="SHOW",FIND(",,",'ASS END SYNC'!E657,R653+1),"")</f>
        <v/>
      </c>
      <c r="T653" s="23" t="str">
        <f>IF('ASS END SYNC'!C657="SHOW",LEFT('ASS END SYNC'!E657,O653),"")</f>
        <v/>
      </c>
      <c r="U653" s="24" t="str">
        <f>IF('ASS END SYNC'!C657="SHOW",MID('ASS END SYNC'!E657,O653+1,P653-O653-1),"")</f>
        <v/>
      </c>
      <c r="V653" s="24" t="str">
        <f>IF(AND('ASS END SYNC'!C657="SHOW",'ASS END SYNC'!C658="SHOW"),U654,IF(AND('ASS END SYNC'!C657="SHOW",'ASS END SYNC'!C658&lt;&gt;"SHOW"),MID('ASS END SYNC'!E657,O653+1,P653-O653-1),""))</f>
        <v/>
      </c>
      <c r="W653" s="23" t="str">
        <f>IF('ASS END SYNC'!C657="SHOW",MID('ASS END SYNC'!E657,Q653+1,S653-Q653+1),"")</f>
        <v/>
      </c>
      <c r="X653" s="23" t="str">
        <f>IF('ASS END SYNC'!C657="SHOW",MID('ASS END SYNC'!E657,S653+2,1000),"")</f>
        <v/>
      </c>
      <c r="Z653" s="24"/>
    </row>
    <row r="654" spans="1:26" x14ac:dyDescent="0.25">
      <c r="A654" s="26">
        <v>651</v>
      </c>
      <c r="B654" s="24" t="str">
        <f>IF('ASS START SYNC'!C658="SHOW",FIND(",",'ASS START SYNC'!E658,1),"")</f>
        <v/>
      </c>
      <c r="C654" s="24" t="str">
        <f>IF('ASS START SYNC'!C658="SHOW",FIND(",",'ASS START SYNC'!E658,B654+1),"")</f>
        <v/>
      </c>
      <c r="D654" s="24" t="str">
        <f>IF('ASS START SYNC'!C658="SHOW",FIND(",",'ASS START SYNC'!E658,C654+1),"")</f>
        <v/>
      </c>
      <c r="E654" s="25" t="str">
        <f>IF('ASS START SYNC'!C658="SHOW",FIND(",,",'ASS START SYNC'!E658,1),"")</f>
        <v/>
      </c>
      <c r="F654" s="25" t="str">
        <f>IF('ASS START SYNC'!C658="SHOW",FIND(",,",'ASS START SYNC'!E658,E654+1),"")</f>
        <v/>
      </c>
      <c r="G654" s="23" t="str">
        <f>IF('ASS START SYNC'!C658="SHOW",LEFT('ASS START SYNC'!E658,B654),"")</f>
        <v/>
      </c>
      <c r="H654" s="24" t="str">
        <f>IF(AND('ASS START SYNC'!C658="SHOW",COUNTA('ASS START SYNC'!$E$8:'ASS START SYNC'!E657)=0),MID('ASS START SYNC'!E658,B654+1,C654-B654-1),IF(AND('ASS START SYNC'!C658="SHOW",COUNTA('ASS START SYNC'!$E$8:'ASS START SYNC'!E657)&lt;&gt;0),I653,""))</f>
        <v/>
      </c>
      <c r="I654" s="24" t="str">
        <f>IF('ASS START SYNC'!C658="SHOW",MID('ASS START SYNC'!E658,C654+1,D654-C654-1),I653)</f>
        <v/>
      </c>
      <c r="J654" s="23" t="str">
        <f>IF('ASS START SYNC'!C658="SHOW",MID('ASS START SYNC'!E658,D654+1,F654-D654+1),"")</f>
        <v/>
      </c>
      <c r="K654" s="23" t="str">
        <f>IF('ASS START SYNC'!C658="SHOW",MID('ASS START SYNC'!E658,F654+2,1000),"")</f>
        <v/>
      </c>
      <c r="M654" s="24"/>
      <c r="N654" s="26">
        <v>651</v>
      </c>
      <c r="O654" s="24" t="str">
        <f>IF('ASS END SYNC'!C658="SHOW",FIND(",",'ASS END SYNC'!E658,1),"")</f>
        <v/>
      </c>
      <c r="P654" s="24" t="str">
        <f>IF('ASS END SYNC'!C658="SHOW",FIND(",",'ASS END SYNC'!E658,O654+1),"")</f>
        <v/>
      </c>
      <c r="Q654" s="24" t="str">
        <f>IF('ASS END SYNC'!C658="SHOW",FIND(",",'ASS END SYNC'!E658,P654+1),"")</f>
        <v/>
      </c>
      <c r="R654" s="25" t="str">
        <f>IF('ASS END SYNC'!C658="SHOW",FIND(",,",'ASS END SYNC'!E658,1),"")</f>
        <v/>
      </c>
      <c r="S654" s="25" t="str">
        <f>IF('ASS END SYNC'!C658="SHOW",FIND(",,",'ASS END SYNC'!E658,R654+1),"")</f>
        <v/>
      </c>
      <c r="T654" s="23" t="str">
        <f>IF('ASS END SYNC'!C658="SHOW",LEFT('ASS END SYNC'!E658,O654),"")</f>
        <v/>
      </c>
      <c r="U654" s="24" t="str">
        <f>IF('ASS END SYNC'!C658="SHOW",MID('ASS END SYNC'!E658,O654+1,P654-O654-1),"")</f>
        <v/>
      </c>
      <c r="V654" s="24" t="str">
        <f>IF(AND('ASS END SYNC'!C658="SHOW",'ASS END SYNC'!C659="SHOW"),U655,IF(AND('ASS END SYNC'!C658="SHOW",'ASS END SYNC'!C659&lt;&gt;"SHOW"),MID('ASS END SYNC'!E658,O654+1,P654-O654-1),""))</f>
        <v/>
      </c>
      <c r="W654" s="23" t="str">
        <f>IF('ASS END SYNC'!C658="SHOW",MID('ASS END SYNC'!E658,Q654+1,S654-Q654+1),"")</f>
        <v/>
      </c>
      <c r="X654" s="23" t="str">
        <f>IF('ASS END SYNC'!C658="SHOW",MID('ASS END SYNC'!E658,S654+2,1000),"")</f>
        <v/>
      </c>
      <c r="Z654" s="24"/>
    </row>
    <row r="655" spans="1:26" x14ac:dyDescent="0.25">
      <c r="A655" s="26">
        <v>652</v>
      </c>
      <c r="B655" s="24" t="str">
        <f>IF('ASS START SYNC'!C659="SHOW",FIND(",",'ASS START SYNC'!E659,1),"")</f>
        <v/>
      </c>
      <c r="C655" s="24" t="str">
        <f>IF('ASS START SYNC'!C659="SHOW",FIND(",",'ASS START SYNC'!E659,B655+1),"")</f>
        <v/>
      </c>
      <c r="D655" s="24" t="str">
        <f>IF('ASS START SYNC'!C659="SHOW",FIND(",",'ASS START SYNC'!E659,C655+1),"")</f>
        <v/>
      </c>
      <c r="E655" s="25" t="str">
        <f>IF('ASS START SYNC'!C659="SHOW",FIND(",,",'ASS START SYNC'!E659,1),"")</f>
        <v/>
      </c>
      <c r="F655" s="25" t="str">
        <f>IF('ASS START SYNC'!C659="SHOW",FIND(",,",'ASS START SYNC'!E659,E655+1),"")</f>
        <v/>
      </c>
      <c r="G655" s="23" t="str">
        <f>IF('ASS START SYNC'!C659="SHOW",LEFT('ASS START SYNC'!E659,B655),"")</f>
        <v/>
      </c>
      <c r="H655" s="24" t="str">
        <f>IF(AND('ASS START SYNC'!C659="SHOW",COUNTA('ASS START SYNC'!$E$8:'ASS START SYNC'!E658)=0),MID('ASS START SYNC'!E659,B655+1,C655-B655-1),IF(AND('ASS START SYNC'!C659="SHOW",COUNTA('ASS START SYNC'!$E$8:'ASS START SYNC'!E658)&lt;&gt;0),I654,""))</f>
        <v/>
      </c>
      <c r="I655" s="24" t="str">
        <f>IF('ASS START SYNC'!C659="SHOW",MID('ASS START SYNC'!E659,C655+1,D655-C655-1),I654)</f>
        <v/>
      </c>
      <c r="J655" s="23" t="str">
        <f>IF('ASS START SYNC'!C659="SHOW",MID('ASS START SYNC'!E659,D655+1,F655-D655+1),"")</f>
        <v/>
      </c>
      <c r="K655" s="23" t="str">
        <f>IF('ASS START SYNC'!C659="SHOW",MID('ASS START SYNC'!E659,F655+2,1000),"")</f>
        <v/>
      </c>
      <c r="M655" s="24"/>
      <c r="N655" s="26">
        <v>652</v>
      </c>
      <c r="O655" s="24" t="str">
        <f>IF('ASS END SYNC'!C659="SHOW",FIND(",",'ASS END SYNC'!E659,1),"")</f>
        <v/>
      </c>
      <c r="P655" s="24" t="str">
        <f>IF('ASS END SYNC'!C659="SHOW",FIND(",",'ASS END SYNC'!E659,O655+1),"")</f>
        <v/>
      </c>
      <c r="Q655" s="24" t="str">
        <f>IF('ASS END SYNC'!C659="SHOW",FIND(",",'ASS END SYNC'!E659,P655+1),"")</f>
        <v/>
      </c>
      <c r="R655" s="25" t="str">
        <f>IF('ASS END SYNC'!C659="SHOW",FIND(",,",'ASS END SYNC'!E659,1),"")</f>
        <v/>
      </c>
      <c r="S655" s="25" t="str">
        <f>IF('ASS END SYNC'!C659="SHOW",FIND(",,",'ASS END SYNC'!E659,R655+1),"")</f>
        <v/>
      </c>
      <c r="T655" s="23" t="str">
        <f>IF('ASS END SYNC'!C659="SHOW",LEFT('ASS END SYNC'!E659,O655),"")</f>
        <v/>
      </c>
      <c r="U655" s="24" t="str">
        <f>IF('ASS END SYNC'!C659="SHOW",MID('ASS END SYNC'!E659,O655+1,P655-O655-1),"")</f>
        <v/>
      </c>
      <c r="V655" s="24" t="str">
        <f>IF(AND('ASS END SYNC'!C659="SHOW",'ASS END SYNC'!C660="SHOW"),U656,IF(AND('ASS END SYNC'!C659="SHOW",'ASS END SYNC'!C660&lt;&gt;"SHOW"),MID('ASS END SYNC'!E659,O655+1,P655-O655-1),""))</f>
        <v/>
      </c>
      <c r="W655" s="23" t="str">
        <f>IF('ASS END SYNC'!C659="SHOW",MID('ASS END SYNC'!E659,Q655+1,S655-Q655+1),"")</f>
        <v/>
      </c>
      <c r="X655" s="23" t="str">
        <f>IF('ASS END SYNC'!C659="SHOW",MID('ASS END SYNC'!E659,S655+2,1000),"")</f>
        <v/>
      </c>
      <c r="Z655" s="24"/>
    </row>
    <row r="656" spans="1:26" x14ac:dyDescent="0.25">
      <c r="A656" s="26">
        <v>653</v>
      </c>
      <c r="B656" s="24" t="str">
        <f>IF('ASS START SYNC'!C660="SHOW",FIND(",",'ASS START SYNC'!E660,1),"")</f>
        <v/>
      </c>
      <c r="C656" s="24" t="str">
        <f>IF('ASS START SYNC'!C660="SHOW",FIND(",",'ASS START SYNC'!E660,B656+1),"")</f>
        <v/>
      </c>
      <c r="D656" s="24" t="str">
        <f>IF('ASS START SYNC'!C660="SHOW",FIND(",",'ASS START SYNC'!E660,C656+1),"")</f>
        <v/>
      </c>
      <c r="E656" s="25" t="str">
        <f>IF('ASS START SYNC'!C660="SHOW",FIND(",,",'ASS START SYNC'!E660,1),"")</f>
        <v/>
      </c>
      <c r="F656" s="25" t="str">
        <f>IF('ASS START SYNC'!C660="SHOW",FIND(",,",'ASS START SYNC'!E660,E656+1),"")</f>
        <v/>
      </c>
      <c r="G656" s="23" t="str">
        <f>IF('ASS START SYNC'!C660="SHOW",LEFT('ASS START SYNC'!E660,B656),"")</f>
        <v/>
      </c>
      <c r="H656" s="24" t="str">
        <f>IF(AND('ASS START SYNC'!C660="SHOW",COUNTA('ASS START SYNC'!$E$8:'ASS START SYNC'!E659)=0),MID('ASS START SYNC'!E660,B656+1,C656-B656-1),IF(AND('ASS START SYNC'!C660="SHOW",COUNTA('ASS START SYNC'!$E$8:'ASS START SYNC'!E659)&lt;&gt;0),I655,""))</f>
        <v/>
      </c>
      <c r="I656" s="24" t="str">
        <f>IF('ASS START SYNC'!C660="SHOW",MID('ASS START SYNC'!E660,C656+1,D656-C656-1),I655)</f>
        <v/>
      </c>
      <c r="J656" s="23" t="str">
        <f>IF('ASS START SYNC'!C660="SHOW",MID('ASS START SYNC'!E660,D656+1,F656-D656+1),"")</f>
        <v/>
      </c>
      <c r="K656" s="23" t="str">
        <f>IF('ASS START SYNC'!C660="SHOW",MID('ASS START SYNC'!E660,F656+2,1000),"")</f>
        <v/>
      </c>
      <c r="M656" s="24"/>
      <c r="N656" s="26">
        <v>653</v>
      </c>
      <c r="O656" s="24" t="str">
        <f>IF('ASS END SYNC'!C660="SHOW",FIND(",",'ASS END SYNC'!E660,1),"")</f>
        <v/>
      </c>
      <c r="P656" s="24" t="str">
        <f>IF('ASS END SYNC'!C660="SHOW",FIND(",",'ASS END SYNC'!E660,O656+1),"")</f>
        <v/>
      </c>
      <c r="Q656" s="24" t="str">
        <f>IF('ASS END SYNC'!C660="SHOW",FIND(",",'ASS END SYNC'!E660,P656+1),"")</f>
        <v/>
      </c>
      <c r="R656" s="25" t="str">
        <f>IF('ASS END SYNC'!C660="SHOW",FIND(",,",'ASS END SYNC'!E660,1),"")</f>
        <v/>
      </c>
      <c r="S656" s="25" t="str">
        <f>IF('ASS END SYNC'!C660="SHOW",FIND(",,",'ASS END SYNC'!E660,R656+1),"")</f>
        <v/>
      </c>
      <c r="T656" s="23" t="str">
        <f>IF('ASS END SYNC'!C660="SHOW",LEFT('ASS END SYNC'!E660,O656),"")</f>
        <v/>
      </c>
      <c r="U656" s="24" t="str">
        <f>IF('ASS END SYNC'!C660="SHOW",MID('ASS END SYNC'!E660,O656+1,P656-O656-1),"")</f>
        <v/>
      </c>
      <c r="V656" s="24" t="str">
        <f>IF(AND('ASS END SYNC'!C660="SHOW",'ASS END SYNC'!C661="SHOW"),U657,IF(AND('ASS END SYNC'!C660="SHOW",'ASS END SYNC'!C661&lt;&gt;"SHOW"),MID('ASS END SYNC'!E660,O656+1,P656-O656-1),""))</f>
        <v/>
      </c>
      <c r="W656" s="23" t="str">
        <f>IF('ASS END SYNC'!C660="SHOW",MID('ASS END SYNC'!E660,Q656+1,S656-Q656+1),"")</f>
        <v/>
      </c>
      <c r="X656" s="23" t="str">
        <f>IF('ASS END SYNC'!C660="SHOW",MID('ASS END SYNC'!E660,S656+2,1000),"")</f>
        <v/>
      </c>
      <c r="Z656" s="24"/>
    </row>
    <row r="657" spans="1:26" x14ac:dyDescent="0.25">
      <c r="A657" s="26">
        <v>654</v>
      </c>
      <c r="B657" s="24" t="str">
        <f>IF('ASS START SYNC'!C661="SHOW",FIND(",",'ASS START SYNC'!E661,1),"")</f>
        <v/>
      </c>
      <c r="C657" s="24" t="str">
        <f>IF('ASS START SYNC'!C661="SHOW",FIND(",",'ASS START SYNC'!E661,B657+1),"")</f>
        <v/>
      </c>
      <c r="D657" s="24" t="str">
        <f>IF('ASS START SYNC'!C661="SHOW",FIND(",",'ASS START SYNC'!E661,C657+1),"")</f>
        <v/>
      </c>
      <c r="E657" s="25" t="str">
        <f>IF('ASS START SYNC'!C661="SHOW",FIND(",,",'ASS START SYNC'!E661,1),"")</f>
        <v/>
      </c>
      <c r="F657" s="25" t="str">
        <f>IF('ASS START SYNC'!C661="SHOW",FIND(",,",'ASS START SYNC'!E661,E657+1),"")</f>
        <v/>
      </c>
      <c r="G657" s="23" t="str">
        <f>IF('ASS START SYNC'!C661="SHOW",LEFT('ASS START SYNC'!E661,B657),"")</f>
        <v/>
      </c>
      <c r="H657" s="24" t="str">
        <f>IF(AND('ASS START SYNC'!C661="SHOW",COUNTA('ASS START SYNC'!$E$8:'ASS START SYNC'!E660)=0),MID('ASS START SYNC'!E661,B657+1,C657-B657-1),IF(AND('ASS START SYNC'!C661="SHOW",COUNTA('ASS START SYNC'!$E$8:'ASS START SYNC'!E660)&lt;&gt;0),I656,""))</f>
        <v/>
      </c>
      <c r="I657" s="24" t="str">
        <f>IF('ASS START SYNC'!C661="SHOW",MID('ASS START SYNC'!E661,C657+1,D657-C657-1),I656)</f>
        <v/>
      </c>
      <c r="J657" s="23" t="str">
        <f>IF('ASS START SYNC'!C661="SHOW",MID('ASS START SYNC'!E661,D657+1,F657-D657+1),"")</f>
        <v/>
      </c>
      <c r="K657" s="23" t="str">
        <f>IF('ASS START SYNC'!C661="SHOW",MID('ASS START SYNC'!E661,F657+2,1000),"")</f>
        <v/>
      </c>
      <c r="M657" s="24"/>
      <c r="N657" s="26">
        <v>654</v>
      </c>
      <c r="O657" s="24" t="str">
        <f>IF('ASS END SYNC'!C661="SHOW",FIND(",",'ASS END SYNC'!E661,1),"")</f>
        <v/>
      </c>
      <c r="P657" s="24" t="str">
        <f>IF('ASS END SYNC'!C661="SHOW",FIND(",",'ASS END SYNC'!E661,O657+1),"")</f>
        <v/>
      </c>
      <c r="Q657" s="24" t="str">
        <f>IF('ASS END SYNC'!C661="SHOW",FIND(",",'ASS END SYNC'!E661,P657+1),"")</f>
        <v/>
      </c>
      <c r="R657" s="25" t="str">
        <f>IF('ASS END SYNC'!C661="SHOW",FIND(",,",'ASS END SYNC'!E661,1),"")</f>
        <v/>
      </c>
      <c r="S657" s="25" t="str">
        <f>IF('ASS END SYNC'!C661="SHOW",FIND(",,",'ASS END SYNC'!E661,R657+1),"")</f>
        <v/>
      </c>
      <c r="T657" s="23" t="str">
        <f>IF('ASS END SYNC'!C661="SHOW",LEFT('ASS END SYNC'!E661,O657),"")</f>
        <v/>
      </c>
      <c r="U657" s="24" t="str">
        <f>IF('ASS END SYNC'!C661="SHOW",MID('ASS END SYNC'!E661,O657+1,P657-O657-1),"")</f>
        <v/>
      </c>
      <c r="V657" s="24" t="str">
        <f>IF(AND('ASS END SYNC'!C661="SHOW",'ASS END SYNC'!C662="SHOW"),U658,IF(AND('ASS END SYNC'!C661="SHOW",'ASS END SYNC'!C662&lt;&gt;"SHOW"),MID('ASS END SYNC'!E661,O657+1,P657-O657-1),""))</f>
        <v/>
      </c>
      <c r="W657" s="23" t="str">
        <f>IF('ASS END SYNC'!C661="SHOW",MID('ASS END SYNC'!E661,Q657+1,S657-Q657+1),"")</f>
        <v/>
      </c>
      <c r="X657" s="23" t="str">
        <f>IF('ASS END SYNC'!C661="SHOW",MID('ASS END SYNC'!E661,S657+2,1000),"")</f>
        <v/>
      </c>
      <c r="Z657" s="24"/>
    </row>
    <row r="658" spans="1:26" x14ac:dyDescent="0.25">
      <c r="A658" s="26">
        <v>655</v>
      </c>
      <c r="B658" s="24" t="str">
        <f>IF('ASS START SYNC'!C662="SHOW",FIND(",",'ASS START SYNC'!E662,1),"")</f>
        <v/>
      </c>
      <c r="C658" s="24" t="str">
        <f>IF('ASS START SYNC'!C662="SHOW",FIND(",",'ASS START SYNC'!E662,B658+1),"")</f>
        <v/>
      </c>
      <c r="D658" s="24" t="str">
        <f>IF('ASS START SYNC'!C662="SHOW",FIND(",",'ASS START SYNC'!E662,C658+1),"")</f>
        <v/>
      </c>
      <c r="E658" s="25" t="str">
        <f>IF('ASS START SYNC'!C662="SHOW",FIND(",,",'ASS START SYNC'!E662,1),"")</f>
        <v/>
      </c>
      <c r="F658" s="25" t="str">
        <f>IF('ASS START SYNC'!C662="SHOW",FIND(",,",'ASS START SYNC'!E662,E658+1),"")</f>
        <v/>
      </c>
      <c r="G658" s="23" t="str">
        <f>IF('ASS START SYNC'!C662="SHOW",LEFT('ASS START SYNC'!E662,B658),"")</f>
        <v/>
      </c>
      <c r="H658" s="24" t="str">
        <f>IF(AND('ASS START SYNC'!C662="SHOW",COUNTA('ASS START SYNC'!$E$8:'ASS START SYNC'!E661)=0),MID('ASS START SYNC'!E662,B658+1,C658-B658-1),IF(AND('ASS START SYNC'!C662="SHOW",COUNTA('ASS START SYNC'!$E$8:'ASS START SYNC'!E661)&lt;&gt;0),I657,""))</f>
        <v/>
      </c>
      <c r="I658" s="24" t="str">
        <f>IF('ASS START SYNC'!C662="SHOW",MID('ASS START SYNC'!E662,C658+1,D658-C658-1),I657)</f>
        <v/>
      </c>
      <c r="J658" s="23" t="str">
        <f>IF('ASS START SYNC'!C662="SHOW",MID('ASS START SYNC'!E662,D658+1,F658-D658+1),"")</f>
        <v/>
      </c>
      <c r="K658" s="23" t="str">
        <f>IF('ASS START SYNC'!C662="SHOW",MID('ASS START SYNC'!E662,F658+2,1000),"")</f>
        <v/>
      </c>
      <c r="M658" s="24"/>
      <c r="N658" s="26">
        <v>655</v>
      </c>
      <c r="O658" s="24" t="str">
        <f>IF('ASS END SYNC'!C662="SHOW",FIND(",",'ASS END SYNC'!E662,1),"")</f>
        <v/>
      </c>
      <c r="P658" s="24" t="str">
        <f>IF('ASS END SYNC'!C662="SHOW",FIND(",",'ASS END SYNC'!E662,O658+1),"")</f>
        <v/>
      </c>
      <c r="Q658" s="24" t="str">
        <f>IF('ASS END SYNC'!C662="SHOW",FIND(",",'ASS END SYNC'!E662,P658+1),"")</f>
        <v/>
      </c>
      <c r="R658" s="25" t="str">
        <f>IF('ASS END SYNC'!C662="SHOW",FIND(",,",'ASS END SYNC'!E662,1),"")</f>
        <v/>
      </c>
      <c r="S658" s="25" t="str">
        <f>IF('ASS END SYNC'!C662="SHOW",FIND(",,",'ASS END SYNC'!E662,R658+1),"")</f>
        <v/>
      </c>
      <c r="T658" s="23" t="str">
        <f>IF('ASS END SYNC'!C662="SHOW",LEFT('ASS END SYNC'!E662,O658),"")</f>
        <v/>
      </c>
      <c r="U658" s="24" t="str">
        <f>IF('ASS END SYNC'!C662="SHOW",MID('ASS END SYNC'!E662,O658+1,P658-O658-1),"")</f>
        <v/>
      </c>
      <c r="V658" s="24" t="str">
        <f>IF(AND('ASS END SYNC'!C662="SHOW",'ASS END SYNC'!C663="SHOW"),U659,IF(AND('ASS END SYNC'!C662="SHOW",'ASS END SYNC'!C663&lt;&gt;"SHOW"),MID('ASS END SYNC'!E662,O658+1,P658-O658-1),""))</f>
        <v/>
      </c>
      <c r="W658" s="23" t="str">
        <f>IF('ASS END SYNC'!C662="SHOW",MID('ASS END SYNC'!E662,Q658+1,S658-Q658+1),"")</f>
        <v/>
      </c>
      <c r="X658" s="23" t="str">
        <f>IF('ASS END SYNC'!C662="SHOW",MID('ASS END SYNC'!E662,S658+2,1000),"")</f>
        <v/>
      </c>
      <c r="Z658" s="24"/>
    </row>
    <row r="659" spans="1:26" x14ac:dyDescent="0.25">
      <c r="A659" s="26">
        <v>656</v>
      </c>
      <c r="B659" s="24" t="str">
        <f>IF('ASS START SYNC'!C663="SHOW",FIND(",",'ASS START SYNC'!E663,1),"")</f>
        <v/>
      </c>
      <c r="C659" s="24" t="str">
        <f>IF('ASS START SYNC'!C663="SHOW",FIND(",",'ASS START SYNC'!E663,B659+1),"")</f>
        <v/>
      </c>
      <c r="D659" s="24" t="str">
        <f>IF('ASS START SYNC'!C663="SHOW",FIND(",",'ASS START SYNC'!E663,C659+1),"")</f>
        <v/>
      </c>
      <c r="E659" s="25" t="str">
        <f>IF('ASS START SYNC'!C663="SHOW",FIND(",,",'ASS START SYNC'!E663,1),"")</f>
        <v/>
      </c>
      <c r="F659" s="25" t="str">
        <f>IF('ASS START SYNC'!C663="SHOW",FIND(",,",'ASS START SYNC'!E663,E659+1),"")</f>
        <v/>
      </c>
      <c r="G659" s="23" t="str">
        <f>IF('ASS START SYNC'!C663="SHOW",LEFT('ASS START SYNC'!E663,B659),"")</f>
        <v/>
      </c>
      <c r="H659" s="24" t="str">
        <f>IF(AND('ASS START SYNC'!C663="SHOW",COUNTA('ASS START SYNC'!$E$8:'ASS START SYNC'!E662)=0),MID('ASS START SYNC'!E663,B659+1,C659-B659-1),IF(AND('ASS START SYNC'!C663="SHOW",COUNTA('ASS START SYNC'!$E$8:'ASS START SYNC'!E662)&lt;&gt;0),I658,""))</f>
        <v/>
      </c>
      <c r="I659" s="24" t="str">
        <f>IF('ASS START SYNC'!C663="SHOW",MID('ASS START SYNC'!E663,C659+1,D659-C659-1),I658)</f>
        <v/>
      </c>
      <c r="J659" s="23" t="str">
        <f>IF('ASS START SYNC'!C663="SHOW",MID('ASS START SYNC'!E663,D659+1,F659-D659+1),"")</f>
        <v/>
      </c>
      <c r="K659" s="23" t="str">
        <f>IF('ASS START SYNC'!C663="SHOW",MID('ASS START SYNC'!E663,F659+2,1000),"")</f>
        <v/>
      </c>
      <c r="M659" s="24"/>
      <c r="N659" s="26">
        <v>656</v>
      </c>
      <c r="O659" s="24" t="str">
        <f>IF('ASS END SYNC'!C663="SHOW",FIND(",",'ASS END SYNC'!E663,1),"")</f>
        <v/>
      </c>
      <c r="P659" s="24" t="str">
        <f>IF('ASS END SYNC'!C663="SHOW",FIND(",",'ASS END SYNC'!E663,O659+1),"")</f>
        <v/>
      </c>
      <c r="Q659" s="24" t="str">
        <f>IF('ASS END SYNC'!C663="SHOW",FIND(",",'ASS END SYNC'!E663,P659+1),"")</f>
        <v/>
      </c>
      <c r="R659" s="25" t="str">
        <f>IF('ASS END SYNC'!C663="SHOW",FIND(",,",'ASS END SYNC'!E663,1),"")</f>
        <v/>
      </c>
      <c r="S659" s="25" t="str">
        <f>IF('ASS END SYNC'!C663="SHOW",FIND(",,",'ASS END SYNC'!E663,R659+1),"")</f>
        <v/>
      </c>
      <c r="T659" s="23" t="str">
        <f>IF('ASS END SYNC'!C663="SHOW",LEFT('ASS END SYNC'!E663,O659),"")</f>
        <v/>
      </c>
      <c r="U659" s="24" t="str">
        <f>IF('ASS END SYNC'!C663="SHOW",MID('ASS END SYNC'!E663,O659+1,P659-O659-1),"")</f>
        <v/>
      </c>
      <c r="V659" s="24" t="str">
        <f>IF(AND('ASS END SYNC'!C663="SHOW",'ASS END SYNC'!C664="SHOW"),U660,IF(AND('ASS END SYNC'!C663="SHOW",'ASS END SYNC'!C664&lt;&gt;"SHOW"),MID('ASS END SYNC'!E663,O659+1,P659-O659-1),""))</f>
        <v/>
      </c>
      <c r="W659" s="23" t="str">
        <f>IF('ASS END SYNC'!C663="SHOW",MID('ASS END SYNC'!E663,Q659+1,S659-Q659+1),"")</f>
        <v/>
      </c>
      <c r="X659" s="23" t="str">
        <f>IF('ASS END SYNC'!C663="SHOW",MID('ASS END SYNC'!E663,S659+2,1000),"")</f>
        <v/>
      </c>
      <c r="Z659" s="24"/>
    </row>
    <row r="660" spans="1:26" x14ac:dyDescent="0.25">
      <c r="A660" s="26">
        <v>657</v>
      </c>
      <c r="B660" s="24" t="str">
        <f>IF('ASS START SYNC'!C664="SHOW",FIND(",",'ASS START SYNC'!E664,1),"")</f>
        <v/>
      </c>
      <c r="C660" s="24" t="str">
        <f>IF('ASS START SYNC'!C664="SHOW",FIND(",",'ASS START SYNC'!E664,B660+1),"")</f>
        <v/>
      </c>
      <c r="D660" s="24" t="str">
        <f>IF('ASS START SYNC'!C664="SHOW",FIND(",",'ASS START SYNC'!E664,C660+1),"")</f>
        <v/>
      </c>
      <c r="E660" s="25" t="str">
        <f>IF('ASS START SYNC'!C664="SHOW",FIND(",,",'ASS START SYNC'!E664,1),"")</f>
        <v/>
      </c>
      <c r="F660" s="25" t="str">
        <f>IF('ASS START SYNC'!C664="SHOW",FIND(",,",'ASS START SYNC'!E664,E660+1),"")</f>
        <v/>
      </c>
      <c r="G660" s="23" t="str">
        <f>IF('ASS START SYNC'!C664="SHOW",LEFT('ASS START SYNC'!E664,B660),"")</f>
        <v/>
      </c>
      <c r="H660" s="24" t="str">
        <f>IF(AND('ASS START SYNC'!C664="SHOW",COUNTA('ASS START SYNC'!$E$8:'ASS START SYNC'!E663)=0),MID('ASS START SYNC'!E664,B660+1,C660-B660-1),IF(AND('ASS START SYNC'!C664="SHOW",COUNTA('ASS START SYNC'!$E$8:'ASS START SYNC'!E663)&lt;&gt;0),I659,""))</f>
        <v/>
      </c>
      <c r="I660" s="24" t="str">
        <f>IF('ASS START SYNC'!C664="SHOW",MID('ASS START SYNC'!E664,C660+1,D660-C660-1),I659)</f>
        <v/>
      </c>
      <c r="J660" s="23" t="str">
        <f>IF('ASS START SYNC'!C664="SHOW",MID('ASS START SYNC'!E664,D660+1,F660-D660+1),"")</f>
        <v/>
      </c>
      <c r="K660" s="23" t="str">
        <f>IF('ASS START SYNC'!C664="SHOW",MID('ASS START SYNC'!E664,F660+2,1000),"")</f>
        <v/>
      </c>
      <c r="M660" s="24"/>
      <c r="N660" s="26">
        <v>657</v>
      </c>
      <c r="O660" s="24" t="str">
        <f>IF('ASS END SYNC'!C664="SHOW",FIND(",",'ASS END SYNC'!E664,1),"")</f>
        <v/>
      </c>
      <c r="P660" s="24" t="str">
        <f>IF('ASS END SYNC'!C664="SHOW",FIND(",",'ASS END SYNC'!E664,O660+1),"")</f>
        <v/>
      </c>
      <c r="Q660" s="24" t="str">
        <f>IF('ASS END SYNC'!C664="SHOW",FIND(",",'ASS END SYNC'!E664,P660+1),"")</f>
        <v/>
      </c>
      <c r="R660" s="25" t="str">
        <f>IF('ASS END SYNC'!C664="SHOW",FIND(",,",'ASS END SYNC'!E664,1),"")</f>
        <v/>
      </c>
      <c r="S660" s="25" t="str">
        <f>IF('ASS END SYNC'!C664="SHOW",FIND(",,",'ASS END SYNC'!E664,R660+1),"")</f>
        <v/>
      </c>
      <c r="T660" s="23" t="str">
        <f>IF('ASS END SYNC'!C664="SHOW",LEFT('ASS END SYNC'!E664,O660),"")</f>
        <v/>
      </c>
      <c r="U660" s="24" t="str">
        <f>IF('ASS END SYNC'!C664="SHOW",MID('ASS END SYNC'!E664,O660+1,P660-O660-1),"")</f>
        <v/>
      </c>
      <c r="V660" s="24" t="str">
        <f>IF(AND('ASS END SYNC'!C664="SHOW",'ASS END SYNC'!C665="SHOW"),U661,IF(AND('ASS END SYNC'!C664="SHOW",'ASS END SYNC'!C665&lt;&gt;"SHOW"),MID('ASS END SYNC'!E664,O660+1,P660-O660-1),""))</f>
        <v/>
      </c>
      <c r="W660" s="23" t="str">
        <f>IF('ASS END SYNC'!C664="SHOW",MID('ASS END SYNC'!E664,Q660+1,S660-Q660+1),"")</f>
        <v/>
      </c>
      <c r="X660" s="23" t="str">
        <f>IF('ASS END SYNC'!C664="SHOW",MID('ASS END SYNC'!E664,S660+2,1000),"")</f>
        <v/>
      </c>
      <c r="Z660" s="24"/>
    </row>
    <row r="661" spans="1:26" x14ac:dyDescent="0.25">
      <c r="A661" s="26">
        <v>658</v>
      </c>
      <c r="B661" s="24" t="str">
        <f>IF('ASS START SYNC'!C665="SHOW",FIND(",",'ASS START SYNC'!E665,1),"")</f>
        <v/>
      </c>
      <c r="C661" s="24" t="str">
        <f>IF('ASS START SYNC'!C665="SHOW",FIND(",",'ASS START SYNC'!E665,B661+1),"")</f>
        <v/>
      </c>
      <c r="D661" s="24" t="str">
        <f>IF('ASS START SYNC'!C665="SHOW",FIND(",",'ASS START SYNC'!E665,C661+1),"")</f>
        <v/>
      </c>
      <c r="E661" s="25" t="str">
        <f>IF('ASS START SYNC'!C665="SHOW",FIND(",,",'ASS START SYNC'!E665,1),"")</f>
        <v/>
      </c>
      <c r="F661" s="25" t="str">
        <f>IF('ASS START SYNC'!C665="SHOW",FIND(",,",'ASS START SYNC'!E665,E661+1),"")</f>
        <v/>
      </c>
      <c r="G661" s="23" t="str">
        <f>IF('ASS START SYNC'!C665="SHOW",LEFT('ASS START SYNC'!E665,B661),"")</f>
        <v/>
      </c>
      <c r="H661" s="24" t="str">
        <f>IF(AND('ASS START SYNC'!C665="SHOW",COUNTA('ASS START SYNC'!$E$8:'ASS START SYNC'!E664)=0),MID('ASS START SYNC'!E665,B661+1,C661-B661-1),IF(AND('ASS START SYNC'!C665="SHOW",COUNTA('ASS START SYNC'!$E$8:'ASS START SYNC'!E664)&lt;&gt;0),I660,""))</f>
        <v/>
      </c>
      <c r="I661" s="24" t="str">
        <f>IF('ASS START SYNC'!C665="SHOW",MID('ASS START SYNC'!E665,C661+1,D661-C661-1),I660)</f>
        <v/>
      </c>
      <c r="J661" s="23" t="str">
        <f>IF('ASS START SYNC'!C665="SHOW",MID('ASS START SYNC'!E665,D661+1,F661-D661+1),"")</f>
        <v/>
      </c>
      <c r="K661" s="23" t="str">
        <f>IF('ASS START SYNC'!C665="SHOW",MID('ASS START SYNC'!E665,F661+2,1000),"")</f>
        <v/>
      </c>
      <c r="M661" s="24"/>
      <c r="N661" s="26">
        <v>658</v>
      </c>
      <c r="O661" s="24" t="str">
        <f>IF('ASS END SYNC'!C665="SHOW",FIND(",",'ASS END SYNC'!E665,1),"")</f>
        <v/>
      </c>
      <c r="P661" s="24" t="str">
        <f>IF('ASS END SYNC'!C665="SHOW",FIND(",",'ASS END SYNC'!E665,O661+1),"")</f>
        <v/>
      </c>
      <c r="Q661" s="24" t="str">
        <f>IF('ASS END SYNC'!C665="SHOW",FIND(",",'ASS END SYNC'!E665,P661+1),"")</f>
        <v/>
      </c>
      <c r="R661" s="25" t="str">
        <f>IF('ASS END SYNC'!C665="SHOW",FIND(",,",'ASS END SYNC'!E665,1),"")</f>
        <v/>
      </c>
      <c r="S661" s="25" t="str">
        <f>IF('ASS END SYNC'!C665="SHOW",FIND(",,",'ASS END SYNC'!E665,R661+1),"")</f>
        <v/>
      </c>
      <c r="T661" s="23" t="str">
        <f>IF('ASS END SYNC'!C665="SHOW",LEFT('ASS END SYNC'!E665,O661),"")</f>
        <v/>
      </c>
      <c r="U661" s="24" t="str">
        <f>IF('ASS END SYNC'!C665="SHOW",MID('ASS END SYNC'!E665,O661+1,P661-O661-1),"")</f>
        <v/>
      </c>
      <c r="V661" s="24" t="str">
        <f>IF(AND('ASS END SYNC'!C665="SHOW",'ASS END SYNC'!C666="SHOW"),U662,IF(AND('ASS END SYNC'!C665="SHOW",'ASS END SYNC'!C666&lt;&gt;"SHOW"),MID('ASS END SYNC'!E665,O661+1,P661-O661-1),""))</f>
        <v/>
      </c>
      <c r="W661" s="23" t="str">
        <f>IF('ASS END SYNC'!C665="SHOW",MID('ASS END SYNC'!E665,Q661+1,S661-Q661+1),"")</f>
        <v/>
      </c>
      <c r="X661" s="23" t="str">
        <f>IF('ASS END SYNC'!C665="SHOW",MID('ASS END SYNC'!E665,S661+2,1000),"")</f>
        <v/>
      </c>
      <c r="Z661" s="24"/>
    </row>
    <row r="662" spans="1:26" x14ac:dyDescent="0.25">
      <c r="A662" s="26">
        <v>659</v>
      </c>
      <c r="B662" s="24" t="str">
        <f>IF('ASS START SYNC'!C666="SHOW",FIND(",",'ASS START SYNC'!E666,1),"")</f>
        <v/>
      </c>
      <c r="C662" s="24" t="str">
        <f>IF('ASS START SYNC'!C666="SHOW",FIND(",",'ASS START SYNC'!E666,B662+1),"")</f>
        <v/>
      </c>
      <c r="D662" s="24" t="str">
        <f>IF('ASS START SYNC'!C666="SHOW",FIND(",",'ASS START SYNC'!E666,C662+1),"")</f>
        <v/>
      </c>
      <c r="E662" s="25" t="str">
        <f>IF('ASS START SYNC'!C666="SHOW",FIND(",,",'ASS START SYNC'!E666,1),"")</f>
        <v/>
      </c>
      <c r="F662" s="25" t="str">
        <f>IF('ASS START SYNC'!C666="SHOW",FIND(",,",'ASS START SYNC'!E666,E662+1),"")</f>
        <v/>
      </c>
      <c r="G662" s="23" t="str">
        <f>IF('ASS START SYNC'!C666="SHOW",LEFT('ASS START SYNC'!E666,B662),"")</f>
        <v/>
      </c>
      <c r="H662" s="24" t="str">
        <f>IF(AND('ASS START SYNC'!C666="SHOW",COUNTA('ASS START SYNC'!$E$8:'ASS START SYNC'!E665)=0),MID('ASS START SYNC'!E666,B662+1,C662-B662-1),IF(AND('ASS START SYNC'!C666="SHOW",COUNTA('ASS START SYNC'!$E$8:'ASS START SYNC'!E665)&lt;&gt;0),I661,""))</f>
        <v/>
      </c>
      <c r="I662" s="24" t="str">
        <f>IF('ASS START SYNC'!C666="SHOW",MID('ASS START SYNC'!E666,C662+1,D662-C662-1),I661)</f>
        <v/>
      </c>
      <c r="J662" s="23" t="str">
        <f>IF('ASS START SYNC'!C666="SHOW",MID('ASS START SYNC'!E666,D662+1,F662-D662+1),"")</f>
        <v/>
      </c>
      <c r="K662" s="23" t="str">
        <f>IF('ASS START SYNC'!C666="SHOW",MID('ASS START SYNC'!E666,F662+2,1000),"")</f>
        <v/>
      </c>
      <c r="M662" s="24"/>
      <c r="N662" s="26">
        <v>659</v>
      </c>
      <c r="O662" s="24" t="str">
        <f>IF('ASS END SYNC'!C666="SHOW",FIND(",",'ASS END SYNC'!E666,1),"")</f>
        <v/>
      </c>
      <c r="P662" s="24" t="str">
        <f>IF('ASS END SYNC'!C666="SHOW",FIND(",",'ASS END SYNC'!E666,O662+1),"")</f>
        <v/>
      </c>
      <c r="Q662" s="24" t="str">
        <f>IF('ASS END SYNC'!C666="SHOW",FIND(",",'ASS END SYNC'!E666,P662+1),"")</f>
        <v/>
      </c>
      <c r="R662" s="25" t="str">
        <f>IF('ASS END SYNC'!C666="SHOW",FIND(",,",'ASS END SYNC'!E666,1),"")</f>
        <v/>
      </c>
      <c r="S662" s="25" t="str">
        <f>IF('ASS END SYNC'!C666="SHOW",FIND(",,",'ASS END SYNC'!E666,R662+1),"")</f>
        <v/>
      </c>
      <c r="T662" s="23" t="str">
        <f>IF('ASS END SYNC'!C666="SHOW",LEFT('ASS END SYNC'!E666,O662),"")</f>
        <v/>
      </c>
      <c r="U662" s="24" t="str">
        <f>IF('ASS END SYNC'!C666="SHOW",MID('ASS END SYNC'!E666,O662+1,P662-O662-1),"")</f>
        <v/>
      </c>
      <c r="V662" s="24" t="str">
        <f>IF(AND('ASS END SYNC'!C666="SHOW",'ASS END SYNC'!C667="SHOW"),U663,IF(AND('ASS END SYNC'!C666="SHOW",'ASS END SYNC'!C667&lt;&gt;"SHOW"),MID('ASS END SYNC'!E666,O662+1,P662-O662-1),""))</f>
        <v/>
      </c>
      <c r="W662" s="23" t="str">
        <f>IF('ASS END SYNC'!C666="SHOW",MID('ASS END SYNC'!E666,Q662+1,S662-Q662+1),"")</f>
        <v/>
      </c>
      <c r="X662" s="23" t="str">
        <f>IF('ASS END SYNC'!C666="SHOW",MID('ASS END SYNC'!E666,S662+2,1000),"")</f>
        <v/>
      </c>
      <c r="Z662" s="24"/>
    </row>
    <row r="663" spans="1:26" x14ac:dyDescent="0.25">
      <c r="A663" s="26">
        <v>660</v>
      </c>
      <c r="B663" s="24" t="str">
        <f>IF('ASS START SYNC'!C667="SHOW",FIND(",",'ASS START SYNC'!E667,1),"")</f>
        <v/>
      </c>
      <c r="C663" s="24" t="str">
        <f>IF('ASS START SYNC'!C667="SHOW",FIND(",",'ASS START SYNC'!E667,B663+1),"")</f>
        <v/>
      </c>
      <c r="D663" s="24" t="str">
        <f>IF('ASS START SYNC'!C667="SHOW",FIND(",",'ASS START SYNC'!E667,C663+1),"")</f>
        <v/>
      </c>
      <c r="E663" s="25" t="str">
        <f>IF('ASS START SYNC'!C667="SHOW",FIND(",,",'ASS START SYNC'!E667,1),"")</f>
        <v/>
      </c>
      <c r="F663" s="25" t="str">
        <f>IF('ASS START SYNC'!C667="SHOW",FIND(",,",'ASS START SYNC'!E667,E663+1),"")</f>
        <v/>
      </c>
      <c r="G663" s="23" t="str">
        <f>IF('ASS START SYNC'!C667="SHOW",LEFT('ASS START SYNC'!E667,B663),"")</f>
        <v/>
      </c>
      <c r="H663" s="24" t="str">
        <f>IF(AND('ASS START SYNC'!C667="SHOW",COUNTA('ASS START SYNC'!$E$8:'ASS START SYNC'!E666)=0),MID('ASS START SYNC'!E667,B663+1,C663-B663-1),IF(AND('ASS START SYNC'!C667="SHOW",COUNTA('ASS START SYNC'!$E$8:'ASS START SYNC'!E666)&lt;&gt;0),I662,""))</f>
        <v/>
      </c>
      <c r="I663" s="24" t="str">
        <f>IF('ASS START SYNC'!C667="SHOW",MID('ASS START SYNC'!E667,C663+1,D663-C663-1),I662)</f>
        <v/>
      </c>
      <c r="J663" s="23" t="str">
        <f>IF('ASS START SYNC'!C667="SHOW",MID('ASS START SYNC'!E667,D663+1,F663-D663+1),"")</f>
        <v/>
      </c>
      <c r="K663" s="23" t="str">
        <f>IF('ASS START SYNC'!C667="SHOW",MID('ASS START SYNC'!E667,F663+2,1000),"")</f>
        <v/>
      </c>
      <c r="M663" s="24"/>
      <c r="N663" s="26">
        <v>660</v>
      </c>
      <c r="O663" s="24" t="str">
        <f>IF('ASS END SYNC'!C667="SHOW",FIND(",",'ASS END SYNC'!E667,1),"")</f>
        <v/>
      </c>
      <c r="P663" s="24" t="str">
        <f>IF('ASS END SYNC'!C667="SHOW",FIND(",",'ASS END SYNC'!E667,O663+1),"")</f>
        <v/>
      </c>
      <c r="Q663" s="24" t="str">
        <f>IF('ASS END SYNC'!C667="SHOW",FIND(",",'ASS END SYNC'!E667,P663+1),"")</f>
        <v/>
      </c>
      <c r="R663" s="25" t="str">
        <f>IF('ASS END SYNC'!C667="SHOW",FIND(",,",'ASS END SYNC'!E667,1),"")</f>
        <v/>
      </c>
      <c r="S663" s="25" t="str">
        <f>IF('ASS END SYNC'!C667="SHOW",FIND(",,",'ASS END SYNC'!E667,R663+1),"")</f>
        <v/>
      </c>
      <c r="T663" s="23" t="str">
        <f>IF('ASS END SYNC'!C667="SHOW",LEFT('ASS END SYNC'!E667,O663),"")</f>
        <v/>
      </c>
      <c r="U663" s="24" t="str">
        <f>IF('ASS END SYNC'!C667="SHOW",MID('ASS END SYNC'!E667,O663+1,P663-O663-1),"")</f>
        <v/>
      </c>
      <c r="V663" s="24" t="str">
        <f>IF(AND('ASS END SYNC'!C667="SHOW",'ASS END SYNC'!C668="SHOW"),U664,IF(AND('ASS END SYNC'!C667="SHOW",'ASS END SYNC'!C668&lt;&gt;"SHOW"),MID('ASS END SYNC'!E667,O663+1,P663-O663-1),""))</f>
        <v/>
      </c>
      <c r="W663" s="23" t="str">
        <f>IF('ASS END SYNC'!C667="SHOW",MID('ASS END SYNC'!E667,Q663+1,S663-Q663+1),"")</f>
        <v/>
      </c>
      <c r="X663" s="23" t="str">
        <f>IF('ASS END SYNC'!C667="SHOW",MID('ASS END SYNC'!E667,S663+2,1000),"")</f>
        <v/>
      </c>
      <c r="Z663" s="24"/>
    </row>
    <row r="664" spans="1:26" x14ac:dyDescent="0.25">
      <c r="A664" s="26">
        <v>661</v>
      </c>
      <c r="B664" s="24" t="str">
        <f>IF('ASS START SYNC'!C668="SHOW",FIND(",",'ASS START SYNC'!E668,1),"")</f>
        <v/>
      </c>
      <c r="C664" s="24" t="str">
        <f>IF('ASS START SYNC'!C668="SHOW",FIND(",",'ASS START SYNC'!E668,B664+1),"")</f>
        <v/>
      </c>
      <c r="D664" s="24" t="str">
        <f>IF('ASS START SYNC'!C668="SHOW",FIND(",",'ASS START SYNC'!E668,C664+1),"")</f>
        <v/>
      </c>
      <c r="E664" s="25" t="str">
        <f>IF('ASS START SYNC'!C668="SHOW",FIND(",,",'ASS START SYNC'!E668,1),"")</f>
        <v/>
      </c>
      <c r="F664" s="25" t="str">
        <f>IF('ASS START SYNC'!C668="SHOW",FIND(",,",'ASS START SYNC'!E668,E664+1),"")</f>
        <v/>
      </c>
      <c r="G664" s="23" t="str">
        <f>IF('ASS START SYNC'!C668="SHOW",LEFT('ASS START SYNC'!E668,B664),"")</f>
        <v/>
      </c>
      <c r="H664" s="24" t="str">
        <f>IF(AND('ASS START SYNC'!C668="SHOW",COUNTA('ASS START SYNC'!$E$8:'ASS START SYNC'!E667)=0),MID('ASS START SYNC'!E668,B664+1,C664-B664-1),IF(AND('ASS START SYNC'!C668="SHOW",COUNTA('ASS START SYNC'!$E$8:'ASS START SYNC'!E667)&lt;&gt;0),I663,""))</f>
        <v/>
      </c>
      <c r="I664" s="24" t="str">
        <f>IF('ASS START SYNC'!C668="SHOW",MID('ASS START SYNC'!E668,C664+1,D664-C664-1),I663)</f>
        <v/>
      </c>
      <c r="J664" s="23" t="str">
        <f>IF('ASS START SYNC'!C668="SHOW",MID('ASS START SYNC'!E668,D664+1,F664-D664+1),"")</f>
        <v/>
      </c>
      <c r="K664" s="23" t="str">
        <f>IF('ASS START SYNC'!C668="SHOW",MID('ASS START SYNC'!E668,F664+2,1000),"")</f>
        <v/>
      </c>
      <c r="M664" s="24"/>
      <c r="N664" s="26">
        <v>661</v>
      </c>
      <c r="O664" s="24" t="str">
        <f>IF('ASS END SYNC'!C668="SHOW",FIND(",",'ASS END SYNC'!E668,1),"")</f>
        <v/>
      </c>
      <c r="P664" s="24" t="str">
        <f>IF('ASS END SYNC'!C668="SHOW",FIND(",",'ASS END SYNC'!E668,O664+1),"")</f>
        <v/>
      </c>
      <c r="Q664" s="24" t="str">
        <f>IF('ASS END SYNC'!C668="SHOW",FIND(",",'ASS END SYNC'!E668,P664+1),"")</f>
        <v/>
      </c>
      <c r="R664" s="25" t="str">
        <f>IF('ASS END SYNC'!C668="SHOW",FIND(",,",'ASS END SYNC'!E668,1),"")</f>
        <v/>
      </c>
      <c r="S664" s="25" t="str">
        <f>IF('ASS END SYNC'!C668="SHOW",FIND(",,",'ASS END SYNC'!E668,R664+1),"")</f>
        <v/>
      </c>
      <c r="T664" s="23" t="str">
        <f>IF('ASS END SYNC'!C668="SHOW",LEFT('ASS END SYNC'!E668,O664),"")</f>
        <v/>
      </c>
      <c r="U664" s="24" t="str">
        <f>IF('ASS END SYNC'!C668="SHOW",MID('ASS END SYNC'!E668,O664+1,P664-O664-1),"")</f>
        <v/>
      </c>
      <c r="V664" s="24" t="str">
        <f>IF(AND('ASS END SYNC'!C668="SHOW",'ASS END SYNC'!C669="SHOW"),U665,IF(AND('ASS END SYNC'!C668="SHOW",'ASS END SYNC'!C669&lt;&gt;"SHOW"),MID('ASS END SYNC'!E668,O664+1,P664-O664-1),""))</f>
        <v/>
      </c>
      <c r="W664" s="23" t="str">
        <f>IF('ASS END SYNC'!C668="SHOW",MID('ASS END SYNC'!E668,Q664+1,S664-Q664+1),"")</f>
        <v/>
      </c>
      <c r="X664" s="23" t="str">
        <f>IF('ASS END SYNC'!C668="SHOW",MID('ASS END SYNC'!E668,S664+2,1000),"")</f>
        <v/>
      </c>
      <c r="Z664" s="24"/>
    </row>
    <row r="665" spans="1:26" x14ac:dyDescent="0.25">
      <c r="A665" s="26">
        <v>662</v>
      </c>
      <c r="B665" s="24" t="str">
        <f>IF('ASS START SYNC'!C669="SHOW",FIND(",",'ASS START SYNC'!E669,1),"")</f>
        <v/>
      </c>
      <c r="C665" s="24" t="str">
        <f>IF('ASS START SYNC'!C669="SHOW",FIND(",",'ASS START SYNC'!E669,B665+1),"")</f>
        <v/>
      </c>
      <c r="D665" s="24" t="str">
        <f>IF('ASS START SYNC'!C669="SHOW",FIND(",",'ASS START SYNC'!E669,C665+1),"")</f>
        <v/>
      </c>
      <c r="E665" s="25" t="str">
        <f>IF('ASS START SYNC'!C669="SHOW",FIND(",,",'ASS START SYNC'!E669,1),"")</f>
        <v/>
      </c>
      <c r="F665" s="25" t="str">
        <f>IF('ASS START SYNC'!C669="SHOW",FIND(",,",'ASS START SYNC'!E669,E665+1),"")</f>
        <v/>
      </c>
      <c r="G665" s="23" t="str">
        <f>IF('ASS START SYNC'!C669="SHOW",LEFT('ASS START SYNC'!E669,B665),"")</f>
        <v/>
      </c>
      <c r="H665" s="24" t="str">
        <f>IF(AND('ASS START SYNC'!C669="SHOW",COUNTA('ASS START SYNC'!$E$8:'ASS START SYNC'!E668)=0),MID('ASS START SYNC'!E669,B665+1,C665-B665-1),IF(AND('ASS START SYNC'!C669="SHOW",COUNTA('ASS START SYNC'!$E$8:'ASS START SYNC'!E668)&lt;&gt;0),I664,""))</f>
        <v/>
      </c>
      <c r="I665" s="24" t="str">
        <f>IF('ASS START SYNC'!C669="SHOW",MID('ASS START SYNC'!E669,C665+1,D665-C665-1),I664)</f>
        <v/>
      </c>
      <c r="J665" s="23" t="str">
        <f>IF('ASS START SYNC'!C669="SHOW",MID('ASS START SYNC'!E669,D665+1,F665-D665+1),"")</f>
        <v/>
      </c>
      <c r="K665" s="23" t="str">
        <f>IF('ASS START SYNC'!C669="SHOW",MID('ASS START SYNC'!E669,F665+2,1000),"")</f>
        <v/>
      </c>
      <c r="M665" s="24"/>
      <c r="N665" s="26">
        <v>662</v>
      </c>
      <c r="O665" s="24" t="str">
        <f>IF('ASS END SYNC'!C669="SHOW",FIND(",",'ASS END SYNC'!E669,1),"")</f>
        <v/>
      </c>
      <c r="P665" s="24" t="str">
        <f>IF('ASS END SYNC'!C669="SHOW",FIND(",",'ASS END SYNC'!E669,O665+1),"")</f>
        <v/>
      </c>
      <c r="Q665" s="24" t="str">
        <f>IF('ASS END SYNC'!C669="SHOW",FIND(",",'ASS END SYNC'!E669,P665+1),"")</f>
        <v/>
      </c>
      <c r="R665" s="25" t="str">
        <f>IF('ASS END SYNC'!C669="SHOW",FIND(",,",'ASS END SYNC'!E669,1),"")</f>
        <v/>
      </c>
      <c r="S665" s="25" t="str">
        <f>IF('ASS END SYNC'!C669="SHOW",FIND(",,",'ASS END SYNC'!E669,R665+1),"")</f>
        <v/>
      </c>
      <c r="T665" s="23" t="str">
        <f>IF('ASS END SYNC'!C669="SHOW",LEFT('ASS END SYNC'!E669,O665),"")</f>
        <v/>
      </c>
      <c r="U665" s="24" t="str">
        <f>IF('ASS END SYNC'!C669="SHOW",MID('ASS END SYNC'!E669,O665+1,P665-O665-1),"")</f>
        <v/>
      </c>
      <c r="V665" s="24" t="str">
        <f>IF(AND('ASS END SYNC'!C669="SHOW",'ASS END SYNC'!C670="SHOW"),U666,IF(AND('ASS END SYNC'!C669="SHOW",'ASS END SYNC'!C670&lt;&gt;"SHOW"),MID('ASS END SYNC'!E669,O665+1,P665-O665-1),""))</f>
        <v/>
      </c>
      <c r="W665" s="23" t="str">
        <f>IF('ASS END SYNC'!C669="SHOW",MID('ASS END SYNC'!E669,Q665+1,S665-Q665+1),"")</f>
        <v/>
      </c>
      <c r="X665" s="23" t="str">
        <f>IF('ASS END SYNC'!C669="SHOW",MID('ASS END SYNC'!E669,S665+2,1000),"")</f>
        <v/>
      </c>
      <c r="Z665" s="24"/>
    </row>
    <row r="666" spans="1:26" x14ac:dyDescent="0.25">
      <c r="A666" s="26">
        <v>663</v>
      </c>
      <c r="B666" s="24" t="str">
        <f>IF('ASS START SYNC'!C670="SHOW",FIND(",",'ASS START SYNC'!E670,1),"")</f>
        <v/>
      </c>
      <c r="C666" s="24" t="str">
        <f>IF('ASS START SYNC'!C670="SHOW",FIND(",",'ASS START SYNC'!E670,B666+1),"")</f>
        <v/>
      </c>
      <c r="D666" s="24" t="str">
        <f>IF('ASS START SYNC'!C670="SHOW",FIND(",",'ASS START SYNC'!E670,C666+1),"")</f>
        <v/>
      </c>
      <c r="E666" s="25" t="str">
        <f>IF('ASS START SYNC'!C670="SHOW",FIND(",,",'ASS START SYNC'!E670,1),"")</f>
        <v/>
      </c>
      <c r="F666" s="25" t="str">
        <f>IF('ASS START SYNC'!C670="SHOW",FIND(",,",'ASS START SYNC'!E670,E666+1),"")</f>
        <v/>
      </c>
      <c r="G666" s="23" t="str">
        <f>IF('ASS START SYNC'!C670="SHOW",LEFT('ASS START SYNC'!E670,B666),"")</f>
        <v/>
      </c>
      <c r="H666" s="24" t="str">
        <f>IF(AND('ASS START SYNC'!C670="SHOW",COUNTA('ASS START SYNC'!$E$8:'ASS START SYNC'!E669)=0),MID('ASS START SYNC'!E670,B666+1,C666-B666-1),IF(AND('ASS START SYNC'!C670="SHOW",COUNTA('ASS START SYNC'!$E$8:'ASS START SYNC'!E669)&lt;&gt;0),I665,""))</f>
        <v/>
      </c>
      <c r="I666" s="24" t="str">
        <f>IF('ASS START SYNC'!C670="SHOW",MID('ASS START SYNC'!E670,C666+1,D666-C666-1),I665)</f>
        <v/>
      </c>
      <c r="J666" s="23" t="str">
        <f>IF('ASS START SYNC'!C670="SHOW",MID('ASS START SYNC'!E670,D666+1,F666-D666+1),"")</f>
        <v/>
      </c>
      <c r="K666" s="23" t="str">
        <f>IF('ASS START SYNC'!C670="SHOW",MID('ASS START SYNC'!E670,F666+2,1000),"")</f>
        <v/>
      </c>
      <c r="M666" s="24"/>
      <c r="N666" s="26">
        <v>663</v>
      </c>
      <c r="O666" s="24" t="str">
        <f>IF('ASS END SYNC'!C670="SHOW",FIND(",",'ASS END SYNC'!E670,1),"")</f>
        <v/>
      </c>
      <c r="P666" s="24" t="str">
        <f>IF('ASS END SYNC'!C670="SHOW",FIND(",",'ASS END SYNC'!E670,O666+1),"")</f>
        <v/>
      </c>
      <c r="Q666" s="24" t="str">
        <f>IF('ASS END SYNC'!C670="SHOW",FIND(",",'ASS END SYNC'!E670,P666+1),"")</f>
        <v/>
      </c>
      <c r="R666" s="25" t="str">
        <f>IF('ASS END SYNC'!C670="SHOW",FIND(",,",'ASS END SYNC'!E670,1),"")</f>
        <v/>
      </c>
      <c r="S666" s="25" t="str">
        <f>IF('ASS END SYNC'!C670="SHOW",FIND(",,",'ASS END SYNC'!E670,R666+1),"")</f>
        <v/>
      </c>
      <c r="T666" s="23" t="str">
        <f>IF('ASS END SYNC'!C670="SHOW",LEFT('ASS END SYNC'!E670,O666),"")</f>
        <v/>
      </c>
      <c r="U666" s="24" t="str">
        <f>IF('ASS END SYNC'!C670="SHOW",MID('ASS END SYNC'!E670,O666+1,P666-O666-1),"")</f>
        <v/>
      </c>
      <c r="V666" s="24" t="str">
        <f>IF(AND('ASS END SYNC'!C670="SHOW",'ASS END SYNC'!C671="SHOW"),U667,IF(AND('ASS END SYNC'!C670="SHOW",'ASS END SYNC'!C671&lt;&gt;"SHOW"),MID('ASS END SYNC'!E670,O666+1,P666-O666-1),""))</f>
        <v/>
      </c>
      <c r="W666" s="23" t="str">
        <f>IF('ASS END SYNC'!C670="SHOW",MID('ASS END SYNC'!E670,Q666+1,S666-Q666+1),"")</f>
        <v/>
      </c>
      <c r="X666" s="23" t="str">
        <f>IF('ASS END SYNC'!C670="SHOW",MID('ASS END SYNC'!E670,S666+2,1000),"")</f>
        <v/>
      </c>
      <c r="Z666" s="24"/>
    </row>
    <row r="667" spans="1:26" x14ac:dyDescent="0.25">
      <c r="A667" s="26">
        <v>664</v>
      </c>
      <c r="B667" s="24" t="str">
        <f>IF('ASS START SYNC'!C671="SHOW",FIND(",",'ASS START SYNC'!E671,1),"")</f>
        <v/>
      </c>
      <c r="C667" s="24" t="str">
        <f>IF('ASS START SYNC'!C671="SHOW",FIND(",",'ASS START SYNC'!E671,B667+1),"")</f>
        <v/>
      </c>
      <c r="D667" s="24" t="str">
        <f>IF('ASS START SYNC'!C671="SHOW",FIND(",",'ASS START SYNC'!E671,C667+1),"")</f>
        <v/>
      </c>
      <c r="E667" s="25" t="str">
        <f>IF('ASS START SYNC'!C671="SHOW",FIND(",,",'ASS START SYNC'!E671,1),"")</f>
        <v/>
      </c>
      <c r="F667" s="25" t="str">
        <f>IF('ASS START SYNC'!C671="SHOW",FIND(",,",'ASS START SYNC'!E671,E667+1),"")</f>
        <v/>
      </c>
      <c r="G667" s="23" t="str">
        <f>IF('ASS START SYNC'!C671="SHOW",LEFT('ASS START SYNC'!E671,B667),"")</f>
        <v/>
      </c>
      <c r="H667" s="24" t="str">
        <f>IF(AND('ASS START SYNC'!C671="SHOW",COUNTA('ASS START SYNC'!$E$8:'ASS START SYNC'!E670)=0),MID('ASS START SYNC'!E671,B667+1,C667-B667-1),IF(AND('ASS START SYNC'!C671="SHOW",COUNTA('ASS START SYNC'!$E$8:'ASS START SYNC'!E670)&lt;&gt;0),I666,""))</f>
        <v/>
      </c>
      <c r="I667" s="24" t="str">
        <f>IF('ASS START SYNC'!C671="SHOW",MID('ASS START SYNC'!E671,C667+1,D667-C667-1),I666)</f>
        <v/>
      </c>
      <c r="J667" s="23" t="str">
        <f>IF('ASS START SYNC'!C671="SHOW",MID('ASS START SYNC'!E671,D667+1,F667-D667+1),"")</f>
        <v/>
      </c>
      <c r="K667" s="23" t="str">
        <f>IF('ASS START SYNC'!C671="SHOW",MID('ASS START SYNC'!E671,F667+2,1000),"")</f>
        <v/>
      </c>
      <c r="M667" s="24"/>
      <c r="N667" s="26">
        <v>664</v>
      </c>
      <c r="O667" s="24" t="str">
        <f>IF('ASS END SYNC'!C671="SHOW",FIND(",",'ASS END SYNC'!E671,1),"")</f>
        <v/>
      </c>
      <c r="P667" s="24" t="str">
        <f>IF('ASS END SYNC'!C671="SHOW",FIND(",",'ASS END SYNC'!E671,O667+1),"")</f>
        <v/>
      </c>
      <c r="Q667" s="24" t="str">
        <f>IF('ASS END SYNC'!C671="SHOW",FIND(",",'ASS END SYNC'!E671,P667+1),"")</f>
        <v/>
      </c>
      <c r="R667" s="25" t="str">
        <f>IF('ASS END SYNC'!C671="SHOW",FIND(",,",'ASS END SYNC'!E671,1),"")</f>
        <v/>
      </c>
      <c r="S667" s="25" t="str">
        <f>IF('ASS END SYNC'!C671="SHOW",FIND(",,",'ASS END SYNC'!E671,R667+1),"")</f>
        <v/>
      </c>
      <c r="T667" s="23" t="str">
        <f>IF('ASS END SYNC'!C671="SHOW",LEFT('ASS END SYNC'!E671,O667),"")</f>
        <v/>
      </c>
      <c r="U667" s="24" t="str">
        <f>IF('ASS END SYNC'!C671="SHOW",MID('ASS END SYNC'!E671,O667+1,P667-O667-1),"")</f>
        <v/>
      </c>
      <c r="V667" s="24" t="str">
        <f>IF(AND('ASS END SYNC'!C671="SHOW",'ASS END SYNC'!C672="SHOW"),U668,IF(AND('ASS END SYNC'!C671="SHOW",'ASS END SYNC'!C672&lt;&gt;"SHOW"),MID('ASS END SYNC'!E671,O667+1,P667-O667-1),""))</f>
        <v/>
      </c>
      <c r="W667" s="23" t="str">
        <f>IF('ASS END SYNC'!C671="SHOW",MID('ASS END SYNC'!E671,Q667+1,S667-Q667+1),"")</f>
        <v/>
      </c>
      <c r="X667" s="23" t="str">
        <f>IF('ASS END SYNC'!C671="SHOW",MID('ASS END SYNC'!E671,S667+2,1000),"")</f>
        <v/>
      </c>
      <c r="Z667" s="24"/>
    </row>
    <row r="668" spans="1:26" x14ac:dyDescent="0.25">
      <c r="A668" s="26">
        <v>665</v>
      </c>
      <c r="B668" s="24" t="str">
        <f>IF('ASS START SYNC'!C672="SHOW",FIND(",",'ASS START SYNC'!E672,1),"")</f>
        <v/>
      </c>
      <c r="C668" s="24" t="str">
        <f>IF('ASS START SYNC'!C672="SHOW",FIND(",",'ASS START SYNC'!E672,B668+1),"")</f>
        <v/>
      </c>
      <c r="D668" s="24" t="str">
        <f>IF('ASS START SYNC'!C672="SHOW",FIND(",",'ASS START SYNC'!E672,C668+1),"")</f>
        <v/>
      </c>
      <c r="E668" s="25" t="str">
        <f>IF('ASS START SYNC'!C672="SHOW",FIND(",,",'ASS START SYNC'!E672,1),"")</f>
        <v/>
      </c>
      <c r="F668" s="25" t="str">
        <f>IF('ASS START SYNC'!C672="SHOW",FIND(",,",'ASS START SYNC'!E672,E668+1),"")</f>
        <v/>
      </c>
      <c r="G668" s="23" t="str">
        <f>IF('ASS START SYNC'!C672="SHOW",LEFT('ASS START SYNC'!E672,B668),"")</f>
        <v/>
      </c>
      <c r="H668" s="24" t="str">
        <f>IF(AND('ASS START SYNC'!C672="SHOW",COUNTA('ASS START SYNC'!$E$8:'ASS START SYNC'!E671)=0),MID('ASS START SYNC'!E672,B668+1,C668-B668-1),IF(AND('ASS START SYNC'!C672="SHOW",COUNTA('ASS START SYNC'!$E$8:'ASS START SYNC'!E671)&lt;&gt;0),I667,""))</f>
        <v/>
      </c>
      <c r="I668" s="24" t="str">
        <f>IF('ASS START SYNC'!C672="SHOW",MID('ASS START SYNC'!E672,C668+1,D668-C668-1),I667)</f>
        <v/>
      </c>
      <c r="J668" s="23" t="str">
        <f>IF('ASS START SYNC'!C672="SHOW",MID('ASS START SYNC'!E672,D668+1,F668-D668+1),"")</f>
        <v/>
      </c>
      <c r="K668" s="23" t="str">
        <f>IF('ASS START SYNC'!C672="SHOW",MID('ASS START SYNC'!E672,F668+2,1000),"")</f>
        <v/>
      </c>
      <c r="M668" s="24"/>
      <c r="N668" s="26">
        <v>665</v>
      </c>
      <c r="O668" s="24" t="str">
        <f>IF('ASS END SYNC'!C672="SHOW",FIND(",",'ASS END SYNC'!E672,1),"")</f>
        <v/>
      </c>
      <c r="P668" s="24" t="str">
        <f>IF('ASS END SYNC'!C672="SHOW",FIND(",",'ASS END SYNC'!E672,O668+1),"")</f>
        <v/>
      </c>
      <c r="Q668" s="24" t="str">
        <f>IF('ASS END SYNC'!C672="SHOW",FIND(",",'ASS END SYNC'!E672,P668+1),"")</f>
        <v/>
      </c>
      <c r="R668" s="25" t="str">
        <f>IF('ASS END SYNC'!C672="SHOW",FIND(",,",'ASS END SYNC'!E672,1),"")</f>
        <v/>
      </c>
      <c r="S668" s="25" t="str">
        <f>IF('ASS END SYNC'!C672="SHOW",FIND(",,",'ASS END SYNC'!E672,R668+1),"")</f>
        <v/>
      </c>
      <c r="T668" s="23" t="str">
        <f>IF('ASS END SYNC'!C672="SHOW",LEFT('ASS END SYNC'!E672,O668),"")</f>
        <v/>
      </c>
      <c r="U668" s="24" t="str">
        <f>IF('ASS END SYNC'!C672="SHOW",MID('ASS END SYNC'!E672,O668+1,P668-O668-1),"")</f>
        <v/>
      </c>
      <c r="V668" s="24" t="str">
        <f>IF(AND('ASS END SYNC'!C672="SHOW",'ASS END SYNC'!C673="SHOW"),U669,IF(AND('ASS END SYNC'!C672="SHOW",'ASS END SYNC'!C673&lt;&gt;"SHOW"),MID('ASS END SYNC'!E672,O668+1,P668-O668-1),""))</f>
        <v/>
      </c>
      <c r="W668" s="23" t="str">
        <f>IF('ASS END SYNC'!C672="SHOW",MID('ASS END SYNC'!E672,Q668+1,S668-Q668+1),"")</f>
        <v/>
      </c>
      <c r="X668" s="23" t="str">
        <f>IF('ASS END SYNC'!C672="SHOW",MID('ASS END SYNC'!E672,S668+2,1000),"")</f>
        <v/>
      </c>
      <c r="Z668" s="24"/>
    </row>
    <row r="669" spans="1:26" x14ac:dyDescent="0.25">
      <c r="A669" s="26">
        <v>666</v>
      </c>
      <c r="B669" s="24" t="str">
        <f>IF('ASS START SYNC'!C673="SHOW",FIND(",",'ASS START SYNC'!E673,1),"")</f>
        <v/>
      </c>
      <c r="C669" s="24" t="str">
        <f>IF('ASS START SYNC'!C673="SHOW",FIND(",",'ASS START SYNC'!E673,B669+1),"")</f>
        <v/>
      </c>
      <c r="D669" s="24" t="str">
        <f>IF('ASS START SYNC'!C673="SHOW",FIND(",",'ASS START SYNC'!E673,C669+1),"")</f>
        <v/>
      </c>
      <c r="E669" s="25" t="str">
        <f>IF('ASS START SYNC'!C673="SHOW",FIND(",,",'ASS START SYNC'!E673,1),"")</f>
        <v/>
      </c>
      <c r="F669" s="25" t="str">
        <f>IF('ASS START SYNC'!C673="SHOW",FIND(",,",'ASS START SYNC'!E673,E669+1),"")</f>
        <v/>
      </c>
      <c r="G669" s="23" t="str">
        <f>IF('ASS START SYNC'!C673="SHOW",LEFT('ASS START SYNC'!E673,B669),"")</f>
        <v/>
      </c>
      <c r="H669" s="24" t="str">
        <f>IF(AND('ASS START SYNC'!C673="SHOW",COUNTA('ASS START SYNC'!$E$8:'ASS START SYNC'!E672)=0),MID('ASS START SYNC'!E673,B669+1,C669-B669-1),IF(AND('ASS START SYNC'!C673="SHOW",COUNTA('ASS START SYNC'!$E$8:'ASS START SYNC'!E672)&lt;&gt;0),I668,""))</f>
        <v/>
      </c>
      <c r="I669" s="24" t="str">
        <f>IF('ASS START SYNC'!C673="SHOW",MID('ASS START SYNC'!E673,C669+1,D669-C669-1),I668)</f>
        <v/>
      </c>
      <c r="J669" s="23" t="str">
        <f>IF('ASS START SYNC'!C673="SHOW",MID('ASS START SYNC'!E673,D669+1,F669-D669+1),"")</f>
        <v/>
      </c>
      <c r="K669" s="23" t="str">
        <f>IF('ASS START SYNC'!C673="SHOW",MID('ASS START SYNC'!E673,F669+2,1000),"")</f>
        <v/>
      </c>
      <c r="M669" s="24"/>
      <c r="N669" s="26">
        <v>666</v>
      </c>
      <c r="O669" s="24" t="str">
        <f>IF('ASS END SYNC'!C673="SHOW",FIND(",",'ASS END SYNC'!E673,1),"")</f>
        <v/>
      </c>
      <c r="P669" s="24" t="str">
        <f>IF('ASS END SYNC'!C673="SHOW",FIND(",",'ASS END SYNC'!E673,O669+1),"")</f>
        <v/>
      </c>
      <c r="Q669" s="24" t="str">
        <f>IF('ASS END SYNC'!C673="SHOW",FIND(",",'ASS END SYNC'!E673,P669+1),"")</f>
        <v/>
      </c>
      <c r="R669" s="25" t="str">
        <f>IF('ASS END SYNC'!C673="SHOW",FIND(",,",'ASS END SYNC'!E673,1),"")</f>
        <v/>
      </c>
      <c r="S669" s="25" t="str">
        <f>IF('ASS END SYNC'!C673="SHOW",FIND(",,",'ASS END SYNC'!E673,R669+1),"")</f>
        <v/>
      </c>
      <c r="T669" s="23" t="str">
        <f>IF('ASS END SYNC'!C673="SHOW",LEFT('ASS END SYNC'!E673,O669),"")</f>
        <v/>
      </c>
      <c r="U669" s="24" t="str">
        <f>IF('ASS END SYNC'!C673="SHOW",MID('ASS END SYNC'!E673,O669+1,P669-O669-1),"")</f>
        <v/>
      </c>
      <c r="V669" s="24" t="str">
        <f>IF(AND('ASS END SYNC'!C673="SHOW",'ASS END SYNC'!C674="SHOW"),U670,IF(AND('ASS END SYNC'!C673="SHOW",'ASS END SYNC'!C674&lt;&gt;"SHOW"),MID('ASS END SYNC'!E673,O669+1,P669-O669-1),""))</f>
        <v/>
      </c>
      <c r="W669" s="23" t="str">
        <f>IF('ASS END SYNC'!C673="SHOW",MID('ASS END SYNC'!E673,Q669+1,S669-Q669+1),"")</f>
        <v/>
      </c>
      <c r="X669" s="23" t="str">
        <f>IF('ASS END SYNC'!C673="SHOW",MID('ASS END SYNC'!E673,S669+2,1000),"")</f>
        <v/>
      </c>
      <c r="Z669" s="24"/>
    </row>
    <row r="670" spans="1:26" x14ac:dyDescent="0.25">
      <c r="A670" s="26">
        <v>667</v>
      </c>
      <c r="B670" s="24" t="str">
        <f>IF('ASS START SYNC'!C674="SHOW",FIND(",",'ASS START SYNC'!E674,1),"")</f>
        <v/>
      </c>
      <c r="C670" s="24" t="str">
        <f>IF('ASS START SYNC'!C674="SHOW",FIND(",",'ASS START SYNC'!E674,B670+1),"")</f>
        <v/>
      </c>
      <c r="D670" s="24" t="str">
        <f>IF('ASS START SYNC'!C674="SHOW",FIND(",",'ASS START SYNC'!E674,C670+1),"")</f>
        <v/>
      </c>
      <c r="E670" s="25" t="str">
        <f>IF('ASS START SYNC'!C674="SHOW",FIND(",,",'ASS START SYNC'!E674,1),"")</f>
        <v/>
      </c>
      <c r="F670" s="25" t="str">
        <f>IF('ASS START SYNC'!C674="SHOW",FIND(",,",'ASS START SYNC'!E674,E670+1),"")</f>
        <v/>
      </c>
      <c r="G670" s="23" t="str">
        <f>IF('ASS START SYNC'!C674="SHOW",LEFT('ASS START SYNC'!E674,B670),"")</f>
        <v/>
      </c>
      <c r="H670" s="24" t="str">
        <f>IF(AND('ASS START SYNC'!C674="SHOW",COUNTA('ASS START SYNC'!$E$8:'ASS START SYNC'!E673)=0),MID('ASS START SYNC'!E674,B670+1,C670-B670-1),IF(AND('ASS START SYNC'!C674="SHOW",COUNTA('ASS START SYNC'!$E$8:'ASS START SYNC'!E673)&lt;&gt;0),I669,""))</f>
        <v/>
      </c>
      <c r="I670" s="24" t="str">
        <f>IF('ASS START SYNC'!C674="SHOW",MID('ASS START SYNC'!E674,C670+1,D670-C670-1),I669)</f>
        <v/>
      </c>
      <c r="J670" s="23" t="str">
        <f>IF('ASS START SYNC'!C674="SHOW",MID('ASS START SYNC'!E674,D670+1,F670-D670+1),"")</f>
        <v/>
      </c>
      <c r="K670" s="23" t="str">
        <f>IF('ASS START SYNC'!C674="SHOW",MID('ASS START SYNC'!E674,F670+2,1000),"")</f>
        <v/>
      </c>
      <c r="M670" s="24"/>
      <c r="N670" s="26">
        <v>667</v>
      </c>
      <c r="O670" s="24" t="str">
        <f>IF('ASS END SYNC'!C674="SHOW",FIND(",",'ASS END SYNC'!E674,1),"")</f>
        <v/>
      </c>
      <c r="P670" s="24" t="str">
        <f>IF('ASS END SYNC'!C674="SHOW",FIND(",",'ASS END SYNC'!E674,O670+1),"")</f>
        <v/>
      </c>
      <c r="Q670" s="24" t="str">
        <f>IF('ASS END SYNC'!C674="SHOW",FIND(",",'ASS END SYNC'!E674,P670+1),"")</f>
        <v/>
      </c>
      <c r="R670" s="25" t="str">
        <f>IF('ASS END SYNC'!C674="SHOW",FIND(",,",'ASS END SYNC'!E674,1),"")</f>
        <v/>
      </c>
      <c r="S670" s="25" t="str">
        <f>IF('ASS END SYNC'!C674="SHOW",FIND(",,",'ASS END SYNC'!E674,R670+1),"")</f>
        <v/>
      </c>
      <c r="T670" s="23" t="str">
        <f>IF('ASS END SYNC'!C674="SHOW",LEFT('ASS END SYNC'!E674,O670),"")</f>
        <v/>
      </c>
      <c r="U670" s="24" t="str">
        <f>IF('ASS END SYNC'!C674="SHOW",MID('ASS END SYNC'!E674,O670+1,P670-O670-1),"")</f>
        <v/>
      </c>
      <c r="V670" s="24" t="str">
        <f>IF(AND('ASS END SYNC'!C674="SHOW",'ASS END SYNC'!C675="SHOW"),U671,IF(AND('ASS END SYNC'!C674="SHOW",'ASS END SYNC'!C675&lt;&gt;"SHOW"),MID('ASS END SYNC'!E674,O670+1,P670-O670-1),""))</f>
        <v/>
      </c>
      <c r="W670" s="23" t="str">
        <f>IF('ASS END SYNC'!C674="SHOW",MID('ASS END SYNC'!E674,Q670+1,S670-Q670+1),"")</f>
        <v/>
      </c>
      <c r="X670" s="23" t="str">
        <f>IF('ASS END SYNC'!C674="SHOW",MID('ASS END SYNC'!E674,S670+2,1000),"")</f>
        <v/>
      </c>
      <c r="Z670" s="24"/>
    </row>
    <row r="671" spans="1:26" x14ac:dyDescent="0.25">
      <c r="A671" s="26">
        <v>668</v>
      </c>
      <c r="B671" s="24" t="str">
        <f>IF('ASS START SYNC'!C675="SHOW",FIND(",",'ASS START SYNC'!E675,1),"")</f>
        <v/>
      </c>
      <c r="C671" s="24" t="str">
        <f>IF('ASS START SYNC'!C675="SHOW",FIND(",",'ASS START SYNC'!E675,B671+1),"")</f>
        <v/>
      </c>
      <c r="D671" s="24" t="str">
        <f>IF('ASS START SYNC'!C675="SHOW",FIND(",",'ASS START SYNC'!E675,C671+1),"")</f>
        <v/>
      </c>
      <c r="E671" s="25" t="str">
        <f>IF('ASS START SYNC'!C675="SHOW",FIND(",,",'ASS START SYNC'!E675,1),"")</f>
        <v/>
      </c>
      <c r="F671" s="25" t="str">
        <f>IF('ASS START SYNC'!C675="SHOW",FIND(",,",'ASS START SYNC'!E675,E671+1),"")</f>
        <v/>
      </c>
      <c r="G671" s="23" t="str">
        <f>IF('ASS START SYNC'!C675="SHOW",LEFT('ASS START SYNC'!E675,B671),"")</f>
        <v/>
      </c>
      <c r="H671" s="24" t="str">
        <f>IF(AND('ASS START SYNC'!C675="SHOW",COUNTA('ASS START SYNC'!$E$8:'ASS START SYNC'!E674)=0),MID('ASS START SYNC'!E675,B671+1,C671-B671-1),IF(AND('ASS START SYNC'!C675="SHOW",COUNTA('ASS START SYNC'!$E$8:'ASS START SYNC'!E674)&lt;&gt;0),I670,""))</f>
        <v/>
      </c>
      <c r="I671" s="24" t="str">
        <f>IF('ASS START SYNC'!C675="SHOW",MID('ASS START SYNC'!E675,C671+1,D671-C671-1),I670)</f>
        <v/>
      </c>
      <c r="J671" s="23" t="str">
        <f>IF('ASS START SYNC'!C675="SHOW",MID('ASS START SYNC'!E675,D671+1,F671-D671+1),"")</f>
        <v/>
      </c>
      <c r="K671" s="23" t="str">
        <f>IF('ASS START SYNC'!C675="SHOW",MID('ASS START SYNC'!E675,F671+2,1000),"")</f>
        <v/>
      </c>
      <c r="M671" s="24"/>
      <c r="N671" s="26">
        <v>668</v>
      </c>
      <c r="O671" s="24" t="str">
        <f>IF('ASS END SYNC'!C675="SHOW",FIND(",",'ASS END SYNC'!E675,1),"")</f>
        <v/>
      </c>
      <c r="P671" s="24" t="str">
        <f>IF('ASS END SYNC'!C675="SHOW",FIND(",",'ASS END SYNC'!E675,O671+1),"")</f>
        <v/>
      </c>
      <c r="Q671" s="24" t="str">
        <f>IF('ASS END SYNC'!C675="SHOW",FIND(",",'ASS END SYNC'!E675,P671+1),"")</f>
        <v/>
      </c>
      <c r="R671" s="25" t="str">
        <f>IF('ASS END SYNC'!C675="SHOW",FIND(",,",'ASS END SYNC'!E675,1),"")</f>
        <v/>
      </c>
      <c r="S671" s="25" t="str">
        <f>IF('ASS END SYNC'!C675="SHOW",FIND(",,",'ASS END SYNC'!E675,R671+1),"")</f>
        <v/>
      </c>
      <c r="T671" s="23" t="str">
        <f>IF('ASS END SYNC'!C675="SHOW",LEFT('ASS END SYNC'!E675,O671),"")</f>
        <v/>
      </c>
      <c r="U671" s="24" t="str">
        <f>IF('ASS END SYNC'!C675="SHOW",MID('ASS END SYNC'!E675,O671+1,P671-O671-1),"")</f>
        <v/>
      </c>
      <c r="V671" s="24" t="str">
        <f>IF(AND('ASS END SYNC'!C675="SHOW",'ASS END SYNC'!C676="SHOW"),U672,IF(AND('ASS END SYNC'!C675="SHOW",'ASS END SYNC'!C676&lt;&gt;"SHOW"),MID('ASS END SYNC'!E675,O671+1,P671-O671-1),""))</f>
        <v/>
      </c>
      <c r="W671" s="23" t="str">
        <f>IF('ASS END SYNC'!C675="SHOW",MID('ASS END SYNC'!E675,Q671+1,S671-Q671+1),"")</f>
        <v/>
      </c>
      <c r="X671" s="23" t="str">
        <f>IF('ASS END SYNC'!C675="SHOW",MID('ASS END SYNC'!E675,S671+2,1000),"")</f>
        <v/>
      </c>
      <c r="Z671" s="24"/>
    </row>
    <row r="672" spans="1:26" x14ac:dyDescent="0.25">
      <c r="A672" s="26">
        <v>669</v>
      </c>
      <c r="B672" s="24" t="str">
        <f>IF('ASS START SYNC'!C676="SHOW",FIND(",",'ASS START SYNC'!E676,1),"")</f>
        <v/>
      </c>
      <c r="C672" s="24" t="str">
        <f>IF('ASS START SYNC'!C676="SHOW",FIND(",",'ASS START SYNC'!E676,B672+1),"")</f>
        <v/>
      </c>
      <c r="D672" s="24" t="str">
        <f>IF('ASS START SYNC'!C676="SHOW",FIND(",",'ASS START SYNC'!E676,C672+1),"")</f>
        <v/>
      </c>
      <c r="E672" s="25" t="str">
        <f>IF('ASS START SYNC'!C676="SHOW",FIND(",,",'ASS START SYNC'!E676,1),"")</f>
        <v/>
      </c>
      <c r="F672" s="25" t="str">
        <f>IF('ASS START SYNC'!C676="SHOW",FIND(",,",'ASS START SYNC'!E676,E672+1),"")</f>
        <v/>
      </c>
      <c r="G672" s="23" t="str">
        <f>IF('ASS START SYNC'!C676="SHOW",LEFT('ASS START SYNC'!E676,B672),"")</f>
        <v/>
      </c>
      <c r="H672" s="24" t="str">
        <f>IF(AND('ASS START SYNC'!C676="SHOW",COUNTA('ASS START SYNC'!$E$8:'ASS START SYNC'!E675)=0),MID('ASS START SYNC'!E676,B672+1,C672-B672-1),IF(AND('ASS START SYNC'!C676="SHOW",COUNTA('ASS START SYNC'!$E$8:'ASS START SYNC'!E675)&lt;&gt;0),I671,""))</f>
        <v/>
      </c>
      <c r="I672" s="24" t="str">
        <f>IF('ASS START SYNC'!C676="SHOW",MID('ASS START SYNC'!E676,C672+1,D672-C672-1),I671)</f>
        <v/>
      </c>
      <c r="J672" s="23" t="str">
        <f>IF('ASS START SYNC'!C676="SHOW",MID('ASS START SYNC'!E676,D672+1,F672-D672+1),"")</f>
        <v/>
      </c>
      <c r="K672" s="23" t="str">
        <f>IF('ASS START SYNC'!C676="SHOW",MID('ASS START SYNC'!E676,F672+2,1000),"")</f>
        <v/>
      </c>
      <c r="M672" s="24"/>
      <c r="N672" s="26">
        <v>669</v>
      </c>
      <c r="O672" s="24" t="str">
        <f>IF('ASS END SYNC'!C676="SHOW",FIND(",",'ASS END SYNC'!E676,1),"")</f>
        <v/>
      </c>
      <c r="P672" s="24" t="str">
        <f>IF('ASS END SYNC'!C676="SHOW",FIND(",",'ASS END SYNC'!E676,O672+1),"")</f>
        <v/>
      </c>
      <c r="Q672" s="24" t="str">
        <f>IF('ASS END SYNC'!C676="SHOW",FIND(",",'ASS END SYNC'!E676,P672+1),"")</f>
        <v/>
      </c>
      <c r="R672" s="25" t="str">
        <f>IF('ASS END SYNC'!C676="SHOW",FIND(",,",'ASS END SYNC'!E676,1),"")</f>
        <v/>
      </c>
      <c r="S672" s="25" t="str">
        <f>IF('ASS END SYNC'!C676="SHOW",FIND(",,",'ASS END SYNC'!E676,R672+1),"")</f>
        <v/>
      </c>
      <c r="T672" s="23" t="str">
        <f>IF('ASS END SYNC'!C676="SHOW",LEFT('ASS END SYNC'!E676,O672),"")</f>
        <v/>
      </c>
      <c r="U672" s="24" t="str">
        <f>IF('ASS END SYNC'!C676="SHOW",MID('ASS END SYNC'!E676,O672+1,P672-O672-1),"")</f>
        <v/>
      </c>
      <c r="V672" s="24" t="str">
        <f>IF(AND('ASS END SYNC'!C676="SHOW",'ASS END SYNC'!C677="SHOW"),U673,IF(AND('ASS END SYNC'!C676="SHOW",'ASS END SYNC'!C677&lt;&gt;"SHOW"),MID('ASS END SYNC'!E676,O672+1,P672-O672-1),""))</f>
        <v/>
      </c>
      <c r="W672" s="23" t="str">
        <f>IF('ASS END SYNC'!C676="SHOW",MID('ASS END SYNC'!E676,Q672+1,S672-Q672+1),"")</f>
        <v/>
      </c>
      <c r="X672" s="23" t="str">
        <f>IF('ASS END SYNC'!C676="SHOW",MID('ASS END SYNC'!E676,S672+2,1000),"")</f>
        <v/>
      </c>
      <c r="Z672" s="24"/>
    </row>
    <row r="673" spans="1:26" x14ac:dyDescent="0.25">
      <c r="A673" s="26">
        <v>670</v>
      </c>
      <c r="B673" s="24" t="str">
        <f>IF('ASS START SYNC'!C677="SHOW",FIND(",",'ASS START SYNC'!E677,1),"")</f>
        <v/>
      </c>
      <c r="C673" s="24" t="str">
        <f>IF('ASS START SYNC'!C677="SHOW",FIND(",",'ASS START SYNC'!E677,B673+1),"")</f>
        <v/>
      </c>
      <c r="D673" s="24" t="str">
        <f>IF('ASS START SYNC'!C677="SHOW",FIND(",",'ASS START SYNC'!E677,C673+1),"")</f>
        <v/>
      </c>
      <c r="E673" s="25" t="str">
        <f>IF('ASS START SYNC'!C677="SHOW",FIND(",,",'ASS START SYNC'!E677,1),"")</f>
        <v/>
      </c>
      <c r="F673" s="25" t="str">
        <f>IF('ASS START SYNC'!C677="SHOW",FIND(",,",'ASS START SYNC'!E677,E673+1),"")</f>
        <v/>
      </c>
      <c r="G673" s="23" t="str">
        <f>IF('ASS START SYNC'!C677="SHOW",LEFT('ASS START SYNC'!E677,B673),"")</f>
        <v/>
      </c>
      <c r="H673" s="24" t="str">
        <f>IF(AND('ASS START SYNC'!C677="SHOW",COUNTA('ASS START SYNC'!$E$8:'ASS START SYNC'!E676)=0),MID('ASS START SYNC'!E677,B673+1,C673-B673-1),IF(AND('ASS START SYNC'!C677="SHOW",COUNTA('ASS START SYNC'!$E$8:'ASS START SYNC'!E676)&lt;&gt;0),I672,""))</f>
        <v/>
      </c>
      <c r="I673" s="24" t="str">
        <f>IF('ASS START SYNC'!C677="SHOW",MID('ASS START SYNC'!E677,C673+1,D673-C673-1),I672)</f>
        <v/>
      </c>
      <c r="J673" s="23" t="str">
        <f>IF('ASS START SYNC'!C677="SHOW",MID('ASS START SYNC'!E677,D673+1,F673-D673+1),"")</f>
        <v/>
      </c>
      <c r="K673" s="23" t="str">
        <f>IF('ASS START SYNC'!C677="SHOW",MID('ASS START SYNC'!E677,F673+2,1000),"")</f>
        <v/>
      </c>
      <c r="M673" s="24"/>
      <c r="N673" s="26">
        <v>670</v>
      </c>
      <c r="O673" s="24" t="str">
        <f>IF('ASS END SYNC'!C677="SHOW",FIND(",",'ASS END SYNC'!E677,1),"")</f>
        <v/>
      </c>
      <c r="P673" s="24" t="str">
        <f>IF('ASS END SYNC'!C677="SHOW",FIND(",",'ASS END SYNC'!E677,O673+1),"")</f>
        <v/>
      </c>
      <c r="Q673" s="24" t="str">
        <f>IF('ASS END SYNC'!C677="SHOW",FIND(",",'ASS END SYNC'!E677,P673+1),"")</f>
        <v/>
      </c>
      <c r="R673" s="25" t="str">
        <f>IF('ASS END SYNC'!C677="SHOW",FIND(",,",'ASS END SYNC'!E677,1),"")</f>
        <v/>
      </c>
      <c r="S673" s="25" t="str">
        <f>IF('ASS END SYNC'!C677="SHOW",FIND(",,",'ASS END SYNC'!E677,R673+1),"")</f>
        <v/>
      </c>
      <c r="T673" s="23" t="str">
        <f>IF('ASS END SYNC'!C677="SHOW",LEFT('ASS END SYNC'!E677,O673),"")</f>
        <v/>
      </c>
      <c r="U673" s="24" t="str">
        <f>IF('ASS END SYNC'!C677="SHOW",MID('ASS END SYNC'!E677,O673+1,P673-O673-1),"")</f>
        <v/>
      </c>
      <c r="V673" s="24" t="str">
        <f>IF(AND('ASS END SYNC'!C677="SHOW",'ASS END SYNC'!C678="SHOW"),U674,IF(AND('ASS END SYNC'!C677="SHOW",'ASS END SYNC'!C678&lt;&gt;"SHOW"),MID('ASS END SYNC'!E677,O673+1,P673-O673-1),""))</f>
        <v/>
      </c>
      <c r="W673" s="23" t="str">
        <f>IF('ASS END SYNC'!C677="SHOW",MID('ASS END SYNC'!E677,Q673+1,S673-Q673+1),"")</f>
        <v/>
      </c>
      <c r="X673" s="23" t="str">
        <f>IF('ASS END SYNC'!C677="SHOW",MID('ASS END SYNC'!E677,S673+2,1000),"")</f>
        <v/>
      </c>
      <c r="Z673" s="24"/>
    </row>
    <row r="674" spans="1:26" x14ac:dyDescent="0.25">
      <c r="A674" s="26">
        <v>671</v>
      </c>
      <c r="B674" s="24" t="str">
        <f>IF('ASS START SYNC'!C678="SHOW",FIND(",",'ASS START SYNC'!E678,1),"")</f>
        <v/>
      </c>
      <c r="C674" s="24" t="str">
        <f>IF('ASS START SYNC'!C678="SHOW",FIND(",",'ASS START SYNC'!E678,B674+1),"")</f>
        <v/>
      </c>
      <c r="D674" s="24" t="str">
        <f>IF('ASS START SYNC'!C678="SHOW",FIND(",",'ASS START SYNC'!E678,C674+1),"")</f>
        <v/>
      </c>
      <c r="E674" s="25" t="str">
        <f>IF('ASS START SYNC'!C678="SHOW",FIND(",,",'ASS START SYNC'!E678,1),"")</f>
        <v/>
      </c>
      <c r="F674" s="25" t="str">
        <f>IF('ASS START SYNC'!C678="SHOW",FIND(",,",'ASS START SYNC'!E678,E674+1),"")</f>
        <v/>
      </c>
      <c r="G674" s="23" t="str">
        <f>IF('ASS START SYNC'!C678="SHOW",LEFT('ASS START SYNC'!E678,B674),"")</f>
        <v/>
      </c>
      <c r="H674" s="24" t="str">
        <f>IF(AND('ASS START SYNC'!C678="SHOW",COUNTA('ASS START SYNC'!$E$8:'ASS START SYNC'!E677)=0),MID('ASS START SYNC'!E678,B674+1,C674-B674-1),IF(AND('ASS START SYNC'!C678="SHOW",COUNTA('ASS START SYNC'!$E$8:'ASS START SYNC'!E677)&lt;&gt;0),I673,""))</f>
        <v/>
      </c>
      <c r="I674" s="24" t="str">
        <f>IF('ASS START SYNC'!C678="SHOW",MID('ASS START SYNC'!E678,C674+1,D674-C674-1),I673)</f>
        <v/>
      </c>
      <c r="J674" s="23" t="str">
        <f>IF('ASS START SYNC'!C678="SHOW",MID('ASS START SYNC'!E678,D674+1,F674-D674+1),"")</f>
        <v/>
      </c>
      <c r="K674" s="23" t="str">
        <f>IF('ASS START SYNC'!C678="SHOW",MID('ASS START SYNC'!E678,F674+2,1000),"")</f>
        <v/>
      </c>
      <c r="M674" s="24"/>
      <c r="N674" s="26">
        <v>671</v>
      </c>
      <c r="O674" s="24" t="str">
        <f>IF('ASS END SYNC'!C678="SHOW",FIND(",",'ASS END SYNC'!E678,1),"")</f>
        <v/>
      </c>
      <c r="P674" s="24" t="str">
        <f>IF('ASS END SYNC'!C678="SHOW",FIND(",",'ASS END SYNC'!E678,O674+1),"")</f>
        <v/>
      </c>
      <c r="Q674" s="24" t="str">
        <f>IF('ASS END SYNC'!C678="SHOW",FIND(",",'ASS END SYNC'!E678,P674+1),"")</f>
        <v/>
      </c>
      <c r="R674" s="25" t="str">
        <f>IF('ASS END SYNC'!C678="SHOW",FIND(",,",'ASS END SYNC'!E678,1),"")</f>
        <v/>
      </c>
      <c r="S674" s="25" t="str">
        <f>IF('ASS END SYNC'!C678="SHOW",FIND(",,",'ASS END SYNC'!E678,R674+1),"")</f>
        <v/>
      </c>
      <c r="T674" s="23" t="str">
        <f>IF('ASS END SYNC'!C678="SHOW",LEFT('ASS END SYNC'!E678,O674),"")</f>
        <v/>
      </c>
      <c r="U674" s="24" t="str">
        <f>IF('ASS END SYNC'!C678="SHOW",MID('ASS END SYNC'!E678,O674+1,P674-O674-1),"")</f>
        <v/>
      </c>
      <c r="V674" s="24" t="str">
        <f>IF(AND('ASS END SYNC'!C678="SHOW",'ASS END SYNC'!C679="SHOW"),U675,IF(AND('ASS END SYNC'!C678="SHOW",'ASS END SYNC'!C679&lt;&gt;"SHOW"),MID('ASS END SYNC'!E678,O674+1,P674-O674-1),""))</f>
        <v/>
      </c>
      <c r="W674" s="23" t="str">
        <f>IF('ASS END SYNC'!C678="SHOW",MID('ASS END SYNC'!E678,Q674+1,S674-Q674+1),"")</f>
        <v/>
      </c>
      <c r="X674" s="23" t="str">
        <f>IF('ASS END SYNC'!C678="SHOW",MID('ASS END SYNC'!E678,S674+2,1000),"")</f>
        <v/>
      </c>
      <c r="Z674" s="24"/>
    </row>
    <row r="675" spans="1:26" x14ac:dyDescent="0.25">
      <c r="A675" s="26">
        <v>672</v>
      </c>
      <c r="B675" s="24" t="str">
        <f>IF('ASS START SYNC'!C679="SHOW",FIND(",",'ASS START SYNC'!E679,1),"")</f>
        <v/>
      </c>
      <c r="C675" s="24" t="str">
        <f>IF('ASS START SYNC'!C679="SHOW",FIND(",",'ASS START SYNC'!E679,B675+1),"")</f>
        <v/>
      </c>
      <c r="D675" s="24" t="str">
        <f>IF('ASS START SYNC'!C679="SHOW",FIND(",",'ASS START SYNC'!E679,C675+1),"")</f>
        <v/>
      </c>
      <c r="E675" s="25" t="str">
        <f>IF('ASS START SYNC'!C679="SHOW",FIND(",,",'ASS START SYNC'!E679,1),"")</f>
        <v/>
      </c>
      <c r="F675" s="25" t="str">
        <f>IF('ASS START SYNC'!C679="SHOW",FIND(",,",'ASS START SYNC'!E679,E675+1),"")</f>
        <v/>
      </c>
      <c r="G675" s="23" t="str">
        <f>IF('ASS START SYNC'!C679="SHOW",LEFT('ASS START SYNC'!E679,B675),"")</f>
        <v/>
      </c>
      <c r="H675" s="24" t="str">
        <f>IF(AND('ASS START SYNC'!C679="SHOW",COUNTA('ASS START SYNC'!$E$8:'ASS START SYNC'!E678)=0),MID('ASS START SYNC'!E679,B675+1,C675-B675-1),IF(AND('ASS START SYNC'!C679="SHOW",COUNTA('ASS START SYNC'!$E$8:'ASS START SYNC'!E678)&lt;&gt;0),I674,""))</f>
        <v/>
      </c>
      <c r="I675" s="24" t="str">
        <f>IF('ASS START SYNC'!C679="SHOW",MID('ASS START SYNC'!E679,C675+1,D675-C675-1),I674)</f>
        <v/>
      </c>
      <c r="J675" s="23" t="str">
        <f>IF('ASS START SYNC'!C679="SHOW",MID('ASS START SYNC'!E679,D675+1,F675-D675+1),"")</f>
        <v/>
      </c>
      <c r="K675" s="23" t="str">
        <f>IF('ASS START SYNC'!C679="SHOW",MID('ASS START SYNC'!E679,F675+2,1000),"")</f>
        <v/>
      </c>
      <c r="M675" s="24"/>
      <c r="N675" s="26">
        <v>672</v>
      </c>
      <c r="O675" s="24" t="str">
        <f>IF('ASS END SYNC'!C679="SHOW",FIND(",",'ASS END SYNC'!E679,1),"")</f>
        <v/>
      </c>
      <c r="P675" s="24" t="str">
        <f>IF('ASS END SYNC'!C679="SHOW",FIND(",",'ASS END SYNC'!E679,O675+1),"")</f>
        <v/>
      </c>
      <c r="Q675" s="24" t="str">
        <f>IF('ASS END SYNC'!C679="SHOW",FIND(",",'ASS END SYNC'!E679,P675+1),"")</f>
        <v/>
      </c>
      <c r="R675" s="25" t="str">
        <f>IF('ASS END SYNC'!C679="SHOW",FIND(",,",'ASS END SYNC'!E679,1),"")</f>
        <v/>
      </c>
      <c r="S675" s="25" t="str">
        <f>IF('ASS END SYNC'!C679="SHOW",FIND(",,",'ASS END SYNC'!E679,R675+1),"")</f>
        <v/>
      </c>
      <c r="T675" s="23" t="str">
        <f>IF('ASS END SYNC'!C679="SHOW",LEFT('ASS END SYNC'!E679,O675),"")</f>
        <v/>
      </c>
      <c r="U675" s="24" t="str">
        <f>IF('ASS END SYNC'!C679="SHOW",MID('ASS END SYNC'!E679,O675+1,P675-O675-1),"")</f>
        <v/>
      </c>
      <c r="V675" s="24" t="str">
        <f>IF(AND('ASS END SYNC'!C679="SHOW",'ASS END SYNC'!C680="SHOW"),U676,IF(AND('ASS END SYNC'!C679="SHOW",'ASS END SYNC'!C680&lt;&gt;"SHOW"),MID('ASS END SYNC'!E679,O675+1,P675-O675-1),""))</f>
        <v/>
      </c>
      <c r="W675" s="23" t="str">
        <f>IF('ASS END SYNC'!C679="SHOW",MID('ASS END SYNC'!E679,Q675+1,S675-Q675+1),"")</f>
        <v/>
      </c>
      <c r="X675" s="23" t="str">
        <f>IF('ASS END SYNC'!C679="SHOW",MID('ASS END SYNC'!E679,S675+2,1000),"")</f>
        <v/>
      </c>
      <c r="Z675" s="24"/>
    </row>
    <row r="676" spans="1:26" x14ac:dyDescent="0.25">
      <c r="A676" s="26">
        <v>673</v>
      </c>
      <c r="B676" s="24" t="str">
        <f>IF('ASS START SYNC'!C680="SHOW",FIND(",",'ASS START SYNC'!E680,1),"")</f>
        <v/>
      </c>
      <c r="C676" s="24" t="str">
        <f>IF('ASS START SYNC'!C680="SHOW",FIND(",",'ASS START SYNC'!E680,B676+1),"")</f>
        <v/>
      </c>
      <c r="D676" s="24" t="str">
        <f>IF('ASS START SYNC'!C680="SHOW",FIND(",",'ASS START SYNC'!E680,C676+1),"")</f>
        <v/>
      </c>
      <c r="E676" s="25" t="str">
        <f>IF('ASS START SYNC'!C680="SHOW",FIND(",,",'ASS START SYNC'!E680,1),"")</f>
        <v/>
      </c>
      <c r="F676" s="25" t="str">
        <f>IF('ASS START SYNC'!C680="SHOW",FIND(",,",'ASS START SYNC'!E680,E676+1),"")</f>
        <v/>
      </c>
      <c r="G676" s="23" t="str">
        <f>IF('ASS START SYNC'!C680="SHOW",LEFT('ASS START SYNC'!E680,B676),"")</f>
        <v/>
      </c>
      <c r="H676" s="24" t="str">
        <f>IF(AND('ASS START SYNC'!C680="SHOW",COUNTA('ASS START SYNC'!$E$8:'ASS START SYNC'!E679)=0),MID('ASS START SYNC'!E680,B676+1,C676-B676-1),IF(AND('ASS START SYNC'!C680="SHOW",COUNTA('ASS START SYNC'!$E$8:'ASS START SYNC'!E679)&lt;&gt;0),I675,""))</f>
        <v/>
      </c>
      <c r="I676" s="24" t="str">
        <f>IF('ASS START SYNC'!C680="SHOW",MID('ASS START SYNC'!E680,C676+1,D676-C676-1),I675)</f>
        <v/>
      </c>
      <c r="J676" s="23" t="str">
        <f>IF('ASS START SYNC'!C680="SHOW",MID('ASS START SYNC'!E680,D676+1,F676-D676+1),"")</f>
        <v/>
      </c>
      <c r="K676" s="23" t="str">
        <f>IF('ASS START SYNC'!C680="SHOW",MID('ASS START SYNC'!E680,F676+2,1000),"")</f>
        <v/>
      </c>
      <c r="M676" s="24"/>
      <c r="N676" s="26">
        <v>673</v>
      </c>
      <c r="O676" s="24" t="str">
        <f>IF('ASS END SYNC'!C680="SHOW",FIND(",",'ASS END SYNC'!E680,1),"")</f>
        <v/>
      </c>
      <c r="P676" s="24" t="str">
        <f>IF('ASS END SYNC'!C680="SHOW",FIND(",",'ASS END SYNC'!E680,O676+1),"")</f>
        <v/>
      </c>
      <c r="Q676" s="24" t="str">
        <f>IF('ASS END SYNC'!C680="SHOW",FIND(",",'ASS END SYNC'!E680,P676+1),"")</f>
        <v/>
      </c>
      <c r="R676" s="25" t="str">
        <f>IF('ASS END SYNC'!C680="SHOW",FIND(",,",'ASS END SYNC'!E680,1),"")</f>
        <v/>
      </c>
      <c r="S676" s="25" t="str">
        <f>IF('ASS END SYNC'!C680="SHOW",FIND(",,",'ASS END SYNC'!E680,R676+1),"")</f>
        <v/>
      </c>
      <c r="T676" s="23" t="str">
        <f>IF('ASS END SYNC'!C680="SHOW",LEFT('ASS END SYNC'!E680,O676),"")</f>
        <v/>
      </c>
      <c r="U676" s="24" t="str">
        <f>IF('ASS END SYNC'!C680="SHOW",MID('ASS END SYNC'!E680,O676+1,P676-O676-1),"")</f>
        <v/>
      </c>
      <c r="V676" s="24" t="str">
        <f>IF(AND('ASS END SYNC'!C680="SHOW",'ASS END SYNC'!C681="SHOW"),U677,IF(AND('ASS END SYNC'!C680="SHOW",'ASS END SYNC'!C681&lt;&gt;"SHOW"),MID('ASS END SYNC'!E680,O676+1,P676-O676-1),""))</f>
        <v/>
      </c>
      <c r="W676" s="23" t="str">
        <f>IF('ASS END SYNC'!C680="SHOW",MID('ASS END SYNC'!E680,Q676+1,S676-Q676+1),"")</f>
        <v/>
      </c>
      <c r="X676" s="23" t="str">
        <f>IF('ASS END SYNC'!C680="SHOW",MID('ASS END SYNC'!E680,S676+2,1000),"")</f>
        <v/>
      </c>
      <c r="Z676" s="24"/>
    </row>
    <row r="677" spans="1:26" x14ac:dyDescent="0.25">
      <c r="A677" s="26">
        <v>674</v>
      </c>
      <c r="B677" s="24" t="str">
        <f>IF('ASS START SYNC'!C681="SHOW",FIND(",",'ASS START SYNC'!E681,1),"")</f>
        <v/>
      </c>
      <c r="C677" s="24" t="str">
        <f>IF('ASS START SYNC'!C681="SHOW",FIND(",",'ASS START SYNC'!E681,B677+1),"")</f>
        <v/>
      </c>
      <c r="D677" s="24" t="str">
        <f>IF('ASS START SYNC'!C681="SHOW",FIND(",",'ASS START SYNC'!E681,C677+1),"")</f>
        <v/>
      </c>
      <c r="E677" s="25" t="str">
        <f>IF('ASS START SYNC'!C681="SHOW",FIND(",,",'ASS START SYNC'!E681,1),"")</f>
        <v/>
      </c>
      <c r="F677" s="25" t="str">
        <f>IF('ASS START SYNC'!C681="SHOW",FIND(",,",'ASS START SYNC'!E681,E677+1),"")</f>
        <v/>
      </c>
      <c r="G677" s="23" t="str">
        <f>IF('ASS START SYNC'!C681="SHOW",LEFT('ASS START SYNC'!E681,B677),"")</f>
        <v/>
      </c>
      <c r="H677" s="24" t="str">
        <f>IF(AND('ASS START SYNC'!C681="SHOW",COUNTA('ASS START SYNC'!$E$8:'ASS START SYNC'!E680)=0),MID('ASS START SYNC'!E681,B677+1,C677-B677-1),IF(AND('ASS START SYNC'!C681="SHOW",COUNTA('ASS START SYNC'!$E$8:'ASS START SYNC'!E680)&lt;&gt;0),I676,""))</f>
        <v/>
      </c>
      <c r="I677" s="24" t="str">
        <f>IF('ASS START SYNC'!C681="SHOW",MID('ASS START SYNC'!E681,C677+1,D677-C677-1),I676)</f>
        <v/>
      </c>
      <c r="J677" s="23" t="str">
        <f>IF('ASS START SYNC'!C681="SHOW",MID('ASS START SYNC'!E681,D677+1,F677-D677+1),"")</f>
        <v/>
      </c>
      <c r="K677" s="23" t="str">
        <f>IF('ASS START SYNC'!C681="SHOW",MID('ASS START SYNC'!E681,F677+2,1000),"")</f>
        <v/>
      </c>
      <c r="M677" s="24"/>
      <c r="N677" s="26">
        <v>674</v>
      </c>
      <c r="O677" s="24" t="str">
        <f>IF('ASS END SYNC'!C681="SHOW",FIND(",",'ASS END SYNC'!E681,1),"")</f>
        <v/>
      </c>
      <c r="P677" s="24" t="str">
        <f>IF('ASS END SYNC'!C681="SHOW",FIND(",",'ASS END SYNC'!E681,O677+1),"")</f>
        <v/>
      </c>
      <c r="Q677" s="24" t="str">
        <f>IF('ASS END SYNC'!C681="SHOW",FIND(",",'ASS END SYNC'!E681,P677+1),"")</f>
        <v/>
      </c>
      <c r="R677" s="25" t="str">
        <f>IF('ASS END SYNC'!C681="SHOW",FIND(",,",'ASS END SYNC'!E681,1),"")</f>
        <v/>
      </c>
      <c r="S677" s="25" t="str">
        <f>IF('ASS END SYNC'!C681="SHOW",FIND(",,",'ASS END SYNC'!E681,R677+1),"")</f>
        <v/>
      </c>
      <c r="T677" s="23" t="str">
        <f>IF('ASS END SYNC'!C681="SHOW",LEFT('ASS END SYNC'!E681,O677),"")</f>
        <v/>
      </c>
      <c r="U677" s="24" t="str">
        <f>IF('ASS END SYNC'!C681="SHOW",MID('ASS END SYNC'!E681,O677+1,P677-O677-1),"")</f>
        <v/>
      </c>
      <c r="V677" s="24" t="str">
        <f>IF(AND('ASS END SYNC'!C681="SHOW",'ASS END SYNC'!C682="SHOW"),U678,IF(AND('ASS END SYNC'!C681="SHOW",'ASS END SYNC'!C682&lt;&gt;"SHOW"),MID('ASS END SYNC'!E681,O677+1,P677-O677-1),""))</f>
        <v/>
      </c>
      <c r="W677" s="23" t="str">
        <f>IF('ASS END SYNC'!C681="SHOW",MID('ASS END SYNC'!E681,Q677+1,S677-Q677+1),"")</f>
        <v/>
      </c>
      <c r="X677" s="23" t="str">
        <f>IF('ASS END SYNC'!C681="SHOW",MID('ASS END SYNC'!E681,S677+2,1000),"")</f>
        <v/>
      </c>
      <c r="Z677" s="24"/>
    </row>
    <row r="678" spans="1:26" x14ac:dyDescent="0.25">
      <c r="A678" s="26">
        <v>675</v>
      </c>
      <c r="B678" s="24" t="str">
        <f>IF('ASS START SYNC'!C682="SHOW",FIND(",",'ASS START SYNC'!E682,1),"")</f>
        <v/>
      </c>
      <c r="C678" s="24" t="str">
        <f>IF('ASS START SYNC'!C682="SHOW",FIND(",",'ASS START SYNC'!E682,B678+1),"")</f>
        <v/>
      </c>
      <c r="D678" s="24" t="str">
        <f>IF('ASS START SYNC'!C682="SHOW",FIND(",",'ASS START SYNC'!E682,C678+1),"")</f>
        <v/>
      </c>
      <c r="E678" s="25" t="str">
        <f>IF('ASS START SYNC'!C682="SHOW",FIND(",,",'ASS START SYNC'!E682,1),"")</f>
        <v/>
      </c>
      <c r="F678" s="25" t="str">
        <f>IF('ASS START SYNC'!C682="SHOW",FIND(",,",'ASS START SYNC'!E682,E678+1),"")</f>
        <v/>
      </c>
      <c r="G678" s="23" t="str">
        <f>IF('ASS START SYNC'!C682="SHOW",LEFT('ASS START SYNC'!E682,B678),"")</f>
        <v/>
      </c>
      <c r="H678" s="24" t="str">
        <f>IF(AND('ASS START SYNC'!C682="SHOW",COUNTA('ASS START SYNC'!$E$8:'ASS START SYNC'!E681)=0),MID('ASS START SYNC'!E682,B678+1,C678-B678-1),IF(AND('ASS START SYNC'!C682="SHOW",COUNTA('ASS START SYNC'!$E$8:'ASS START SYNC'!E681)&lt;&gt;0),I677,""))</f>
        <v/>
      </c>
      <c r="I678" s="24" t="str">
        <f>IF('ASS START SYNC'!C682="SHOW",MID('ASS START SYNC'!E682,C678+1,D678-C678-1),I677)</f>
        <v/>
      </c>
      <c r="J678" s="23" t="str">
        <f>IF('ASS START SYNC'!C682="SHOW",MID('ASS START SYNC'!E682,D678+1,F678-D678+1),"")</f>
        <v/>
      </c>
      <c r="K678" s="23" t="str">
        <f>IF('ASS START SYNC'!C682="SHOW",MID('ASS START SYNC'!E682,F678+2,1000),"")</f>
        <v/>
      </c>
      <c r="M678" s="24"/>
      <c r="N678" s="26">
        <v>675</v>
      </c>
      <c r="O678" s="24" t="str">
        <f>IF('ASS END SYNC'!C682="SHOW",FIND(",",'ASS END SYNC'!E682,1),"")</f>
        <v/>
      </c>
      <c r="P678" s="24" t="str">
        <f>IF('ASS END SYNC'!C682="SHOW",FIND(",",'ASS END SYNC'!E682,O678+1),"")</f>
        <v/>
      </c>
      <c r="Q678" s="24" t="str">
        <f>IF('ASS END SYNC'!C682="SHOW",FIND(",",'ASS END SYNC'!E682,P678+1),"")</f>
        <v/>
      </c>
      <c r="R678" s="25" t="str">
        <f>IF('ASS END SYNC'!C682="SHOW",FIND(",,",'ASS END SYNC'!E682,1),"")</f>
        <v/>
      </c>
      <c r="S678" s="25" t="str">
        <f>IF('ASS END SYNC'!C682="SHOW",FIND(",,",'ASS END SYNC'!E682,R678+1),"")</f>
        <v/>
      </c>
      <c r="T678" s="23" t="str">
        <f>IF('ASS END SYNC'!C682="SHOW",LEFT('ASS END SYNC'!E682,O678),"")</f>
        <v/>
      </c>
      <c r="U678" s="24" t="str">
        <f>IF('ASS END SYNC'!C682="SHOW",MID('ASS END SYNC'!E682,O678+1,P678-O678-1),"")</f>
        <v/>
      </c>
      <c r="V678" s="24" t="str">
        <f>IF(AND('ASS END SYNC'!C682="SHOW",'ASS END SYNC'!C683="SHOW"),U679,IF(AND('ASS END SYNC'!C682="SHOW",'ASS END SYNC'!C683&lt;&gt;"SHOW"),MID('ASS END SYNC'!E682,O678+1,P678-O678-1),""))</f>
        <v/>
      </c>
      <c r="W678" s="23" t="str">
        <f>IF('ASS END SYNC'!C682="SHOW",MID('ASS END SYNC'!E682,Q678+1,S678-Q678+1),"")</f>
        <v/>
      </c>
      <c r="X678" s="23" t="str">
        <f>IF('ASS END SYNC'!C682="SHOW",MID('ASS END SYNC'!E682,S678+2,1000),"")</f>
        <v/>
      </c>
      <c r="Z678" s="24"/>
    </row>
    <row r="679" spans="1:26" x14ac:dyDescent="0.25">
      <c r="A679" s="26">
        <v>676</v>
      </c>
      <c r="B679" s="24" t="str">
        <f>IF('ASS START SYNC'!C683="SHOW",FIND(",",'ASS START SYNC'!E683,1),"")</f>
        <v/>
      </c>
      <c r="C679" s="24" t="str">
        <f>IF('ASS START SYNC'!C683="SHOW",FIND(",",'ASS START SYNC'!E683,B679+1),"")</f>
        <v/>
      </c>
      <c r="D679" s="24" t="str">
        <f>IF('ASS START SYNC'!C683="SHOW",FIND(",",'ASS START SYNC'!E683,C679+1),"")</f>
        <v/>
      </c>
      <c r="E679" s="25" t="str">
        <f>IF('ASS START SYNC'!C683="SHOW",FIND(",,",'ASS START SYNC'!E683,1),"")</f>
        <v/>
      </c>
      <c r="F679" s="25" t="str">
        <f>IF('ASS START SYNC'!C683="SHOW",FIND(",,",'ASS START SYNC'!E683,E679+1),"")</f>
        <v/>
      </c>
      <c r="G679" s="23" t="str">
        <f>IF('ASS START SYNC'!C683="SHOW",LEFT('ASS START SYNC'!E683,B679),"")</f>
        <v/>
      </c>
      <c r="H679" s="24" t="str">
        <f>IF(AND('ASS START SYNC'!C683="SHOW",COUNTA('ASS START SYNC'!$E$8:'ASS START SYNC'!E682)=0),MID('ASS START SYNC'!E683,B679+1,C679-B679-1),IF(AND('ASS START SYNC'!C683="SHOW",COUNTA('ASS START SYNC'!$E$8:'ASS START SYNC'!E682)&lt;&gt;0),I678,""))</f>
        <v/>
      </c>
      <c r="I679" s="24" t="str">
        <f>IF('ASS START SYNC'!C683="SHOW",MID('ASS START SYNC'!E683,C679+1,D679-C679-1),I678)</f>
        <v/>
      </c>
      <c r="J679" s="23" t="str">
        <f>IF('ASS START SYNC'!C683="SHOW",MID('ASS START SYNC'!E683,D679+1,F679-D679+1),"")</f>
        <v/>
      </c>
      <c r="K679" s="23" t="str">
        <f>IF('ASS START SYNC'!C683="SHOW",MID('ASS START SYNC'!E683,F679+2,1000),"")</f>
        <v/>
      </c>
      <c r="M679" s="24"/>
      <c r="N679" s="26">
        <v>676</v>
      </c>
      <c r="O679" s="24" t="str">
        <f>IF('ASS END SYNC'!C683="SHOW",FIND(",",'ASS END SYNC'!E683,1),"")</f>
        <v/>
      </c>
      <c r="P679" s="24" t="str">
        <f>IF('ASS END SYNC'!C683="SHOW",FIND(",",'ASS END SYNC'!E683,O679+1),"")</f>
        <v/>
      </c>
      <c r="Q679" s="24" t="str">
        <f>IF('ASS END SYNC'!C683="SHOW",FIND(",",'ASS END SYNC'!E683,P679+1),"")</f>
        <v/>
      </c>
      <c r="R679" s="25" t="str">
        <f>IF('ASS END SYNC'!C683="SHOW",FIND(",,",'ASS END SYNC'!E683,1),"")</f>
        <v/>
      </c>
      <c r="S679" s="25" t="str">
        <f>IF('ASS END SYNC'!C683="SHOW",FIND(",,",'ASS END SYNC'!E683,R679+1),"")</f>
        <v/>
      </c>
      <c r="T679" s="23" t="str">
        <f>IF('ASS END SYNC'!C683="SHOW",LEFT('ASS END SYNC'!E683,O679),"")</f>
        <v/>
      </c>
      <c r="U679" s="24" t="str">
        <f>IF('ASS END SYNC'!C683="SHOW",MID('ASS END SYNC'!E683,O679+1,P679-O679-1),"")</f>
        <v/>
      </c>
      <c r="V679" s="24" t="str">
        <f>IF(AND('ASS END SYNC'!C683="SHOW",'ASS END SYNC'!C684="SHOW"),U680,IF(AND('ASS END SYNC'!C683="SHOW",'ASS END SYNC'!C684&lt;&gt;"SHOW"),MID('ASS END SYNC'!E683,O679+1,P679-O679-1),""))</f>
        <v/>
      </c>
      <c r="W679" s="23" t="str">
        <f>IF('ASS END SYNC'!C683="SHOW",MID('ASS END SYNC'!E683,Q679+1,S679-Q679+1),"")</f>
        <v/>
      </c>
      <c r="X679" s="23" t="str">
        <f>IF('ASS END SYNC'!C683="SHOW",MID('ASS END SYNC'!E683,S679+2,1000),"")</f>
        <v/>
      </c>
      <c r="Z679" s="24"/>
    </row>
    <row r="680" spans="1:26" x14ac:dyDescent="0.25">
      <c r="A680" s="26">
        <v>677</v>
      </c>
      <c r="B680" s="24" t="str">
        <f>IF('ASS START SYNC'!C684="SHOW",FIND(",",'ASS START SYNC'!E684,1),"")</f>
        <v/>
      </c>
      <c r="C680" s="24" t="str">
        <f>IF('ASS START SYNC'!C684="SHOW",FIND(",",'ASS START SYNC'!E684,B680+1),"")</f>
        <v/>
      </c>
      <c r="D680" s="24" t="str">
        <f>IF('ASS START SYNC'!C684="SHOW",FIND(",",'ASS START SYNC'!E684,C680+1),"")</f>
        <v/>
      </c>
      <c r="E680" s="25" t="str">
        <f>IF('ASS START SYNC'!C684="SHOW",FIND(",,",'ASS START SYNC'!E684,1),"")</f>
        <v/>
      </c>
      <c r="F680" s="25" t="str">
        <f>IF('ASS START SYNC'!C684="SHOW",FIND(",,",'ASS START SYNC'!E684,E680+1),"")</f>
        <v/>
      </c>
      <c r="G680" s="23" t="str">
        <f>IF('ASS START SYNC'!C684="SHOW",LEFT('ASS START SYNC'!E684,B680),"")</f>
        <v/>
      </c>
      <c r="H680" s="24" t="str">
        <f>IF(AND('ASS START SYNC'!C684="SHOW",COUNTA('ASS START SYNC'!$E$8:'ASS START SYNC'!E683)=0),MID('ASS START SYNC'!E684,B680+1,C680-B680-1),IF(AND('ASS START SYNC'!C684="SHOW",COUNTA('ASS START SYNC'!$E$8:'ASS START SYNC'!E683)&lt;&gt;0),I679,""))</f>
        <v/>
      </c>
      <c r="I680" s="24" t="str">
        <f>IF('ASS START SYNC'!C684="SHOW",MID('ASS START SYNC'!E684,C680+1,D680-C680-1),I679)</f>
        <v/>
      </c>
      <c r="J680" s="23" t="str">
        <f>IF('ASS START SYNC'!C684="SHOW",MID('ASS START SYNC'!E684,D680+1,F680-D680+1),"")</f>
        <v/>
      </c>
      <c r="K680" s="23" t="str">
        <f>IF('ASS START SYNC'!C684="SHOW",MID('ASS START SYNC'!E684,F680+2,1000),"")</f>
        <v/>
      </c>
      <c r="M680" s="24"/>
      <c r="N680" s="26">
        <v>677</v>
      </c>
      <c r="O680" s="24" t="str">
        <f>IF('ASS END SYNC'!C684="SHOW",FIND(",",'ASS END SYNC'!E684,1),"")</f>
        <v/>
      </c>
      <c r="P680" s="24" t="str">
        <f>IF('ASS END SYNC'!C684="SHOW",FIND(",",'ASS END SYNC'!E684,O680+1),"")</f>
        <v/>
      </c>
      <c r="Q680" s="24" t="str">
        <f>IF('ASS END SYNC'!C684="SHOW",FIND(",",'ASS END SYNC'!E684,P680+1),"")</f>
        <v/>
      </c>
      <c r="R680" s="25" t="str">
        <f>IF('ASS END SYNC'!C684="SHOW",FIND(",,",'ASS END SYNC'!E684,1),"")</f>
        <v/>
      </c>
      <c r="S680" s="25" t="str">
        <f>IF('ASS END SYNC'!C684="SHOW",FIND(",,",'ASS END SYNC'!E684,R680+1),"")</f>
        <v/>
      </c>
      <c r="T680" s="23" t="str">
        <f>IF('ASS END SYNC'!C684="SHOW",LEFT('ASS END SYNC'!E684,O680),"")</f>
        <v/>
      </c>
      <c r="U680" s="24" t="str">
        <f>IF('ASS END SYNC'!C684="SHOW",MID('ASS END SYNC'!E684,O680+1,P680-O680-1),"")</f>
        <v/>
      </c>
      <c r="V680" s="24" t="str">
        <f>IF(AND('ASS END SYNC'!C684="SHOW",'ASS END SYNC'!C685="SHOW"),U681,IF(AND('ASS END SYNC'!C684="SHOW",'ASS END SYNC'!C685&lt;&gt;"SHOW"),MID('ASS END SYNC'!E684,O680+1,P680-O680-1),""))</f>
        <v/>
      </c>
      <c r="W680" s="23" t="str">
        <f>IF('ASS END SYNC'!C684="SHOW",MID('ASS END SYNC'!E684,Q680+1,S680-Q680+1),"")</f>
        <v/>
      </c>
      <c r="X680" s="23" t="str">
        <f>IF('ASS END SYNC'!C684="SHOW",MID('ASS END SYNC'!E684,S680+2,1000),"")</f>
        <v/>
      </c>
      <c r="Z680" s="24"/>
    </row>
    <row r="681" spans="1:26" x14ac:dyDescent="0.25">
      <c r="A681" s="26">
        <v>678</v>
      </c>
      <c r="B681" s="24" t="str">
        <f>IF('ASS START SYNC'!C685="SHOW",FIND(",",'ASS START SYNC'!E685,1),"")</f>
        <v/>
      </c>
      <c r="C681" s="24" t="str">
        <f>IF('ASS START SYNC'!C685="SHOW",FIND(",",'ASS START SYNC'!E685,B681+1),"")</f>
        <v/>
      </c>
      <c r="D681" s="24" t="str">
        <f>IF('ASS START SYNC'!C685="SHOW",FIND(",",'ASS START SYNC'!E685,C681+1),"")</f>
        <v/>
      </c>
      <c r="E681" s="25" t="str">
        <f>IF('ASS START SYNC'!C685="SHOW",FIND(",,",'ASS START SYNC'!E685,1),"")</f>
        <v/>
      </c>
      <c r="F681" s="25" t="str">
        <f>IF('ASS START SYNC'!C685="SHOW",FIND(",,",'ASS START SYNC'!E685,E681+1),"")</f>
        <v/>
      </c>
      <c r="G681" s="23" t="str">
        <f>IF('ASS START SYNC'!C685="SHOW",LEFT('ASS START SYNC'!E685,B681),"")</f>
        <v/>
      </c>
      <c r="H681" s="24" t="str">
        <f>IF(AND('ASS START SYNC'!C685="SHOW",COUNTA('ASS START SYNC'!$E$8:'ASS START SYNC'!E684)=0),MID('ASS START SYNC'!E685,B681+1,C681-B681-1),IF(AND('ASS START SYNC'!C685="SHOW",COUNTA('ASS START SYNC'!$E$8:'ASS START SYNC'!E684)&lt;&gt;0),I680,""))</f>
        <v/>
      </c>
      <c r="I681" s="24" t="str">
        <f>IF('ASS START SYNC'!C685="SHOW",MID('ASS START SYNC'!E685,C681+1,D681-C681-1),I680)</f>
        <v/>
      </c>
      <c r="J681" s="23" t="str">
        <f>IF('ASS START SYNC'!C685="SHOW",MID('ASS START SYNC'!E685,D681+1,F681-D681+1),"")</f>
        <v/>
      </c>
      <c r="K681" s="23" t="str">
        <f>IF('ASS START SYNC'!C685="SHOW",MID('ASS START SYNC'!E685,F681+2,1000),"")</f>
        <v/>
      </c>
      <c r="M681" s="24"/>
      <c r="N681" s="26">
        <v>678</v>
      </c>
      <c r="O681" s="24" t="str">
        <f>IF('ASS END SYNC'!C685="SHOW",FIND(",",'ASS END SYNC'!E685,1),"")</f>
        <v/>
      </c>
      <c r="P681" s="24" t="str">
        <f>IF('ASS END SYNC'!C685="SHOW",FIND(",",'ASS END SYNC'!E685,O681+1),"")</f>
        <v/>
      </c>
      <c r="Q681" s="24" t="str">
        <f>IF('ASS END SYNC'!C685="SHOW",FIND(",",'ASS END SYNC'!E685,P681+1),"")</f>
        <v/>
      </c>
      <c r="R681" s="25" t="str">
        <f>IF('ASS END SYNC'!C685="SHOW",FIND(",,",'ASS END SYNC'!E685,1),"")</f>
        <v/>
      </c>
      <c r="S681" s="25" t="str">
        <f>IF('ASS END SYNC'!C685="SHOW",FIND(",,",'ASS END SYNC'!E685,R681+1),"")</f>
        <v/>
      </c>
      <c r="T681" s="23" t="str">
        <f>IF('ASS END SYNC'!C685="SHOW",LEFT('ASS END SYNC'!E685,O681),"")</f>
        <v/>
      </c>
      <c r="U681" s="24" t="str">
        <f>IF('ASS END SYNC'!C685="SHOW",MID('ASS END SYNC'!E685,O681+1,P681-O681-1),"")</f>
        <v/>
      </c>
      <c r="V681" s="24" t="str">
        <f>IF(AND('ASS END SYNC'!C685="SHOW",'ASS END SYNC'!C686="SHOW"),U682,IF(AND('ASS END SYNC'!C685="SHOW",'ASS END SYNC'!C686&lt;&gt;"SHOW"),MID('ASS END SYNC'!E685,O681+1,P681-O681-1),""))</f>
        <v/>
      </c>
      <c r="W681" s="23" t="str">
        <f>IF('ASS END SYNC'!C685="SHOW",MID('ASS END SYNC'!E685,Q681+1,S681-Q681+1),"")</f>
        <v/>
      </c>
      <c r="X681" s="23" t="str">
        <f>IF('ASS END SYNC'!C685="SHOW",MID('ASS END SYNC'!E685,S681+2,1000),"")</f>
        <v/>
      </c>
      <c r="Z681" s="24"/>
    </row>
    <row r="682" spans="1:26" x14ac:dyDescent="0.25">
      <c r="A682" s="26">
        <v>679</v>
      </c>
      <c r="B682" s="24" t="str">
        <f>IF('ASS START SYNC'!C686="SHOW",FIND(",",'ASS START SYNC'!E686,1),"")</f>
        <v/>
      </c>
      <c r="C682" s="24" t="str">
        <f>IF('ASS START SYNC'!C686="SHOW",FIND(",",'ASS START SYNC'!E686,B682+1),"")</f>
        <v/>
      </c>
      <c r="D682" s="24" t="str">
        <f>IF('ASS START SYNC'!C686="SHOW",FIND(",",'ASS START SYNC'!E686,C682+1),"")</f>
        <v/>
      </c>
      <c r="E682" s="25" t="str">
        <f>IF('ASS START SYNC'!C686="SHOW",FIND(",,",'ASS START SYNC'!E686,1),"")</f>
        <v/>
      </c>
      <c r="F682" s="25" t="str">
        <f>IF('ASS START SYNC'!C686="SHOW",FIND(",,",'ASS START SYNC'!E686,E682+1),"")</f>
        <v/>
      </c>
      <c r="G682" s="23" t="str">
        <f>IF('ASS START SYNC'!C686="SHOW",LEFT('ASS START SYNC'!E686,B682),"")</f>
        <v/>
      </c>
      <c r="H682" s="24" t="str">
        <f>IF(AND('ASS START SYNC'!C686="SHOW",COUNTA('ASS START SYNC'!$E$8:'ASS START SYNC'!E685)=0),MID('ASS START SYNC'!E686,B682+1,C682-B682-1),IF(AND('ASS START SYNC'!C686="SHOW",COUNTA('ASS START SYNC'!$E$8:'ASS START SYNC'!E685)&lt;&gt;0),I681,""))</f>
        <v/>
      </c>
      <c r="I682" s="24" t="str">
        <f>IF('ASS START SYNC'!C686="SHOW",MID('ASS START SYNC'!E686,C682+1,D682-C682-1),I681)</f>
        <v/>
      </c>
      <c r="J682" s="23" t="str">
        <f>IF('ASS START SYNC'!C686="SHOW",MID('ASS START SYNC'!E686,D682+1,F682-D682+1),"")</f>
        <v/>
      </c>
      <c r="K682" s="23" t="str">
        <f>IF('ASS START SYNC'!C686="SHOW",MID('ASS START SYNC'!E686,F682+2,1000),"")</f>
        <v/>
      </c>
      <c r="M682" s="24"/>
      <c r="N682" s="26">
        <v>679</v>
      </c>
      <c r="O682" s="24" t="str">
        <f>IF('ASS END SYNC'!C686="SHOW",FIND(",",'ASS END SYNC'!E686,1),"")</f>
        <v/>
      </c>
      <c r="P682" s="24" t="str">
        <f>IF('ASS END SYNC'!C686="SHOW",FIND(",",'ASS END SYNC'!E686,O682+1),"")</f>
        <v/>
      </c>
      <c r="Q682" s="24" t="str">
        <f>IF('ASS END SYNC'!C686="SHOW",FIND(",",'ASS END SYNC'!E686,P682+1),"")</f>
        <v/>
      </c>
      <c r="R682" s="25" t="str">
        <f>IF('ASS END SYNC'!C686="SHOW",FIND(",,",'ASS END SYNC'!E686,1),"")</f>
        <v/>
      </c>
      <c r="S682" s="25" t="str">
        <f>IF('ASS END SYNC'!C686="SHOW",FIND(",,",'ASS END SYNC'!E686,R682+1),"")</f>
        <v/>
      </c>
      <c r="T682" s="23" t="str">
        <f>IF('ASS END SYNC'!C686="SHOW",LEFT('ASS END SYNC'!E686,O682),"")</f>
        <v/>
      </c>
      <c r="U682" s="24" t="str">
        <f>IF('ASS END SYNC'!C686="SHOW",MID('ASS END SYNC'!E686,O682+1,P682-O682-1),"")</f>
        <v/>
      </c>
      <c r="V682" s="24" t="str">
        <f>IF(AND('ASS END SYNC'!C686="SHOW",'ASS END SYNC'!C687="SHOW"),U683,IF(AND('ASS END SYNC'!C686="SHOW",'ASS END SYNC'!C687&lt;&gt;"SHOW"),MID('ASS END SYNC'!E686,O682+1,P682-O682-1),""))</f>
        <v/>
      </c>
      <c r="W682" s="23" t="str">
        <f>IF('ASS END SYNC'!C686="SHOW",MID('ASS END SYNC'!E686,Q682+1,S682-Q682+1),"")</f>
        <v/>
      </c>
      <c r="X682" s="23" t="str">
        <f>IF('ASS END SYNC'!C686="SHOW",MID('ASS END SYNC'!E686,S682+2,1000),"")</f>
        <v/>
      </c>
      <c r="Z682" s="24"/>
    </row>
    <row r="683" spans="1:26" x14ac:dyDescent="0.25">
      <c r="A683" s="26">
        <v>680</v>
      </c>
      <c r="B683" s="24" t="str">
        <f>IF('ASS START SYNC'!C687="SHOW",FIND(",",'ASS START SYNC'!E687,1),"")</f>
        <v/>
      </c>
      <c r="C683" s="24" t="str">
        <f>IF('ASS START SYNC'!C687="SHOW",FIND(",",'ASS START SYNC'!E687,B683+1),"")</f>
        <v/>
      </c>
      <c r="D683" s="24" t="str">
        <f>IF('ASS START SYNC'!C687="SHOW",FIND(",",'ASS START SYNC'!E687,C683+1),"")</f>
        <v/>
      </c>
      <c r="E683" s="25" t="str">
        <f>IF('ASS START SYNC'!C687="SHOW",FIND(",,",'ASS START SYNC'!E687,1),"")</f>
        <v/>
      </c>
      <c r="F683" s="25" t="str">
        <f>IF('ASS START SYNC'!C687="SHOW",FIND(",,",'ASS START SYNC'!E687,E683+1),"")</f>
        <v/>
      </c>
      <c r="G683" s="23" t="str">
        <f>IF('ASS START SYNC'!C687="SHOW",LEFT('ASS START SYNC'!E687,B683),"")</f>
        <v/>
      </c>
      <c r="H683" s="24" t="str">
        <f>IF(AND('ASS START SYNC'!C687="SHOW",COUNTA('ASS START SYNC'!$E$8:'ASS START SYNC'!E686)=0),MID('ASS START SYNC'!E687,B683+1,C683-B683-1),IF(AND('ASS START SYNC'!C687="SHOW",COUNTA('ASS START SYNC'!$E$8:'ASS START SYNC'!E686)&lt;&gt;0),I682,""))</f>
        <v/>
      </c>
      <c r="I683" s="24" t="str">
        <f>IF('ASS START SYNC'!C687="SHOW",MID('ASS START SYNC'!E687,C683+1,D683-C683-1),I682)</f>
        <v/>
      </c>
      <c r="J683" s="23" t="str">
        <f>IF('ASS START SYNC'!C687="SHOW",MID('ASS START SYNC'!E687,D683+1,F683-D683+1),"")</f>
        <v/>
      </c>
      <c r="K683" s="23" t="str">
        <f>IF('ASS START SYNC'!C687="SHOW",MID('ASS START SYNC'!E687,F683+2,1000),"")</f>
        <v/>
      </c>
      <c r="M683" s="24"/>
      <c r="N683" s="26">
        <v>680</v>
      </c>
      <c r="O683" s="24" t="str">
        <f>IF('ASS END SYNC'!C687="SHOW",FIND(",",'ASS END SYNC'!E687,1),"")</f>
        <v/>
      </c>
      <c r="P683" s="24" t="str">
        <f>IF('ASS END SYNC'!C687="SHOW",FIND(",",'ASS END SYNC'!E687,O683+1),"")</f>
        <v/>
      </c>
      <c r="Q683" s="24" t="str">
        <f>IF('ASS END SYNC'!C687="SHOW",FIND(",",'ASS END SYNC'!E687,P683+1),"")</f>
        <v/>
      </c>
      <c r="R683" s="25" t="str">
        <f>IF('ASS END SYNC'!C687="SHOW",FIND(",,",'ASS END SYNC'!E687,1),"")</f>
        <v/>
      </c>
      <c r="S683" s="25" t="str">
        <f>IF('ASS END SYNC'!C687="SHOW",FIND(",,",'ASS END SYNC'!E687,R683+1),"")</f>
        <v/>
      </c>
      <c r="T683" s="23" t="str">
        <f>IF('ASS END SYNC'!C687="SHOW",LEFT('ASS END SYNC'!E687,O683),"")</f>
        <v/>
      </c>
      <c r="U683" s="24" t="str">
        <f>IF('ASS END SYNC'!C687="SHOW",MID('ASS END SYNC'!E687,O683+1,P683-O683-1),"")</f>
        <v/>
      </c>
      <c r="V683" s="24" t="str">
        <f>IF(AND('ASS END SYNC'!C687="SHOW",'ASS END SYNC'!C688="SHOW"),U684,IF(AND('ASS END SYNC'!C687="SHOW",'ASS END SYNC'!C688&lt;&gt;"SHOW"),MID('ASS END SYNC'!E687,O683+1,P683-O683-1),""))</f>
        <v/>
      </c>
      <c r="W683" s="23" t="str">
        <f>IF('ASS END SYNC'!C687="SHOW",MID('ASS END SYNC'!E687,Q683+1,S683-Q683+1),"")</f>
        <v/>
      </c>
      <c r="X683" s="23" t="str">
        <f>IF('ASS END SYNC'!C687="SHOW",MID('ASS END SYNC'!E687,S683+2,1000),"")</f>
        <v/>
      </c>
      <c r="Z683" s="24"/>
    </row>
    <row r="684" spans="1:26" x14ac:dyDescent="0.25">
      <c r="A684" s="26">
        <v>681</v>
      </c>
      <c r="B684" s="24" t="str">
        <f>IF('ASS START SYNC'!C688="SHOW",FIND(",",'ASS START SYNC'!E688,1),"")</f>
        <v/>
      </c>
      <c r="C684" s="24" t="str">
        <f>IF('ASS START SYNC'!C688="SHOW",FIND(",",'ASS START SYNC'!E688,B684+1),"")</f>
        <v/>
      </c>
      <c r="D684" s="24" t="str">
        <f>IF('ASS START SYNC'!C688="SHOW",FIND(",",'ASS START SYNC'!E688,C684+1),"")</f>
        <v/>
      </c>
      <c r="E684" s="25" t="str">
        <f>IF('ASS START SYNC'!C688="SHOW",FIND(",,",'ASS START SYNC'!E688,1),"")</f>
        <v/>
      </c>
      <c r="F684" s="25" t="str">
        <f>IF('ASS START SYNC'!C688="SHOW",FIND(",,",'ASS START SYNC'!E688,E684+1),"")</f>
        <v/>
      </c>
      <c r="G684" s="23" t="str">
        <f>IF('ASS START SYNC'!C688="SHOW",LEFT('ASS START SYNC'!E688,B684),"")</f>
        <v/>
      </c>
      <c r="H684" s="24" t="str">
        <f>IF(AND('ASS START SYNC'!C688="SHOW",COUNTA('ASS START SYNC'!$E$8:'ASS START SYNC'!E687)=0),MID('ASS START SYNC'!E688,B684+1,C684-B684-1),IF(AND('ASS START SYNC'!C688="SHOW",COUNTA('ASS START SYNC'!$E$8:'ASS START SYNC'!E687)&lt;&gt;0),I683,""))</f>
        <v/>
      </c>
      <c r="I684" s="24" t="str">
        <f>IF('ASS START SYNC'!C688="SHOW",MID('ASS START SYNC'!E688,C684+1,D684-C684-1),I683)</f>
        <v/>
      </c>
      <c r="J684" s="23" t="str">
        <f>IF('ASS START SYNC'!C688="SHOW",MID('ASS START SYNC'!E688,D684+1,F684-D684+1),"")</f>
        <v/>
      </c>
      <c r="K684" s="23" t="str">
        <f>IF('ASS START SYNC'!C688="SHOW",MID('ASS START SYNC'!E688,F684+2,1000),"")</f>
        <v/>
      </c>
      <c r="M684" s="24"/>
      <c r="N684" s="26">
        <v>681</v>
      </c>
      <c r="O684" s="24" t="str">
        <f>IF('ASS END SYNC'!C688="SHOW",FIND(",",'ASS END SYNC'!E688,1),"")</f>
        <v/>
      </c>
      <c r="P684" s="24" t="str">
        <f>IF('ASS END SYNC'!C688="SHOW",FIND(",",'ASS END SYNC'!E688,O684+1),"")</f>
        <v/>
      </c>
      <c r="Q684" s="24" t="str">
        <f>IF('ASS END SYNC'!C688="SHOW",FIND(",",'ASS END SYNC'!E688,P684+1),"")</f>
        <v/>
      </c>
      <c r="R684" s="25" t="str">
        <f>IF('ASS END SYNC'!C688="SHOW",FIND(",,",'ASS END SYNC'!E688,1),"")</f>
        <v/>
      </c>
      <c r="S684" s="25" t="str">
        <f>IF('ASS END SYNC'!C688="SHOW",FIND(",,",'ASS END SYNC'!E688,R684+1),"")</f>
        <v/>
      </c>
      <c r="T684" s="23" t="str">
        <f>IF('ASS END SYNC'!C688="SHOW",LEFT('ASS END SYNC'!E688,O684),"")</f>
        <v/>
      </c>
      <c r="U684" s="24" t="str">
        <f>IF('ASS END SYNC'!C688="SHOW",MID('ASS END SYNC'!E688,O684+1,P684-O684-1),"")</f>
        <v/>
      </c>
      <c r="V684" s="24" t="str">
        <f>IF(AND('ASS END SYNC'!C688="SHOW",'ASS END SYNC'!C689="SHOW"),U685,IF(AND('ASS END SYNC'!C688="SHOW",'ASS END SYNC'!C689&lt;&gt;"SHOW"),MID('ASS END SYNC'!E688,O684+1,P684-O684-1),""))</f>
        <v/>
      </c>
      <c r="W684" s="23" t="str">
        <f>IF('ASS END SYNC'!C688="SHOW",MID('ASS END SYNC'!E688,Q684+1,S684-Q684+1),"")</f>
        <v/>
      </c>
      <c r="X684" s="23" t="str">
        <f>IF('ASS END SYNC'!C688="SHOW",MID('ASS END SYNC'!E688,S684+2,1000),"")</f>
        <v/>
      </c>
      <c r="Z684" s="24"/>
    </row>
    <row r="685" spans="1:26" x14ac:dyDescent="0.25">
      <c r="A685" s="26">
        <v>682</v>
      </c>
      <c r="B685" s="24" t="str">
        <f>IF('ASS START SYNC'!C689="SHOW",FIND(",",'ASS START SYNC'!E689,1),"")</f>
        <v/>
      </c>
      <c r="C685" s="24" t="str">
        <f>IF('ASS START SYNC'!C689="SHOW",FIND(",",'ASS START SYNC'!E689,B685+1),"")</f>
        <v/>
      </c>
      <c r="D685" s="24" t="str">
        <f>IF('ASS START SYNC'!C689="SHOW",FIND(",",'ASS START SYNC'!E689,C685+1),"")</f>
        <v/>
      </c>
      <c r="E685" s="25" t="str">
        <f>IF('ASS START SYNC'!C689="SHOW",FIND(",,",'ASS START SYNC'!E689,1),"")</f>
        <v/>
      </c>
      <c r="F685" s="25" t="str">
        <f>IF('ASS START SYNC'!C689="SHOW",FIND(",,",'ASS START SYNC'!E689,E685+1),"")</f>
        <v/>
      </c>
      <c r="G685" s="23" t="str">
        <f>IF('ASS START SYNC'!C689="SHOW",LEFT('ASS START SYNC'!E689,B685),"")</f>
        <v/>
      </c>
      <c r="H685" s="24" t="str">
        <f>IF(AND('ASS START SYNC'!C689="SHOW",COUNTA('ASS START SYNC'!$E$8:'ASS START SYNC'!E688)=0),MID('ASS START SYNC'!E689,B685+1,C685-B685-1),IF(AND('ASS START SYNC'!C689="SHOW",COUNTA('ASS START SYNC'!$E$8:'ASS START SYNC'!E688)&lt;&gt;0),I684,""))</f>
        <v/>
      </c>
      <c r="I685" s="24" t="str">
        <f>IF('ASS START SYNC'!C689="SHOW",MID('ASS START SYNC'!E689,C685+1,D685-C685-1),I684)</f>
        <v/>
      </c>
      <c r="J685" s="23" t="str">
        <f>IF('ASS START SYNC'!C689="SHOW",MID('ASS START SYNC'!E689,D685+1,F685-D685+1),"")</f>
        <v/>
      </c>
      <c r="K685" s="23" t="str">
        <f>IF('ASS START SYNC'!C689="SHOW",MID('ASS START SYNC'!E689,F685+2,1000),"")</f>
        <v/>
      </c>
      <c r="M685" s="24"/>
      <c r="N685" s="26">
        <v>682</v>
      </c>
      <c r="O685" s="24" t="str">
        <f>IF('ASS END SYNC'!C689="SHOW",FIND(",",'ASS END SYNC'!E689,1),"")</f>
        <v/>
      </c>
      <c r="P685" s="24" t="str">
        <f>IF('ASS END SYNC'!C689="SHOW",FIND(",",'ASS END SYNC'!E689,O685+1),"")</f>
        <v/>
      </c>
      <c r="Q685" s="24" t="str">
        <f>IF('ASS END SYNC'!C689="SHOW",FIND(",",'ASS END SYNC'!E689,P685+1),"")</f>
        <v/>
      </c>
      <c r="R685" s="25" t="str">
        <f>IF('ASS END SYNC'!C689="SHOW",FIND(",,",'ASS END SYNC'!E689,1),"")</f>
        <v/>
      </c>
      <c r="S685" s="25" t="str">
        <f>IF('ASS END SYNC'!C689="SHOW",FIND(",,",'ASS END SYNC'!E689,R685+1),"")</f>
        <v/>
      </c>
      <c r="T685" s="23" t="str">
        <f>IF('ASS END SYNC'!C689="SHOW",LEFT('ASS END SYNC'!E689,O685),"")</f>
        <v/>
      </c>
      <c r="U685" s="24" t="str">
        <f>IF('ASS END SYNC'!C689="SHOW",MID('ASS END SYNC'!E689,O685+1,P685-O685-1),"")</f>
        <v/>
      </c>
      <c r="V685" s="24" t="str">
        <f>IF(AND('ASS END SYNC'!C689="SHOW",'ASS END SYNC'!C690="SHOW"),U686,IF(AND('ASS END SYNC'!C689="SHOW",'ASS END SYNC'!C690&lt;&gt;"SHOW"),MID('ASS END SYNC'!E689,O685+1,P685-O685-1),""))</f>
        <v/>
      </c>
      <c r="W685" s="23" t="str">
        <f>IF('ASS END SYNC'!C689="SHOW",MID('ASS END SYNC'!E689,Q685+1,S685-Q685+1),"")</f>
        <v/>
      </c>
      <c r="X685" s="23" t="str">
        <f>IF('ASS END SYNC'!C689="SHOW",MID('ASS END SYNC'!E689,S685+2,1000),"")</f>
        <v/>
      </c>
      <c r="Z685" s="24"/>
    </row>
    <row r="686" spans="1:26" x14ac:dyDescent="0.25">
      <c r="A686" s="26">
        <v>683</v>
      </c>
      <c r="B686" s="24" t="str">
        <f>IF('ASS START SYNC'!C690="SHOW",FIND(",",'ASS START SYNC'!E690,1),"")</f>
        <v/>
      </c>
      <c r="C686" s="24" t="str">
        <f>IF('ASS START SYNC'!C690="SHOW",FIND(",",'ASS START SYNC'!E690,B686+1),"")</f>
        <v/>
      </c>
      <c r="D686" s="24" t="str">
        <f>IF('ASS START SYNC'!C690="SHOW",FIND(",",'ASS START SYNC'!E690,C686+1),"")</f>
        <v/>
      </c>
      <c r="E686" s="25" t="str">
        <f>IF('ASS START SYNC'!C690="SHOW",FIND(",,",'ASS START SYNC'!E690,1),"")</f>
        <v/>
      </c>
      <c r="F686" s="25" t="str">
        <f>IF('ASS START SYNC'!C690="SHOW",FIND(",,",'ASS START SYNC'!E690,E686+1),"")</f>
        <v/>
      </c>
      <c r="G686" s="23" t="str">
        <f>IF('ASS START SYNC'!C690="SHOW",LEFT('ASS START SYNC'!E690,B686),"")</f>
        <v/>
      </c>
      <c r="H686" s="24" t="str">
        <f>IF(AND('ASS START SYNC'!C690="SHOW",COUNTA('ASS START SYNC'!$E$8:'ASS START SYNC'!E689)=0),MID('ASS START SYNC'!E690,B686+1,C686-B686-1),IF(AND('ASS START SYNC'!C690="SHOW",COUNTA('ASS START SYNC'!$E$8:'ASS START SYNC'!E689)&lt;&gt;0),I685,""))</f>
        <v/>
      </c>
      <c r="I686" s="24" t="str">
        <f>IF('ASS START SYNC'!C690="SHOW",MID('ASS START SYNC'!E690,C686+1,D686-C686-1),I685)</f>
        <v/>
      </c>
      <c r="J686" s="23" t="str">
        <f>IF('ASS START SYNC'!C690="SHOW",MID('ASS START SYNC'!E690,D686+1,F686-D686+1),"")</f>
        <v/>
      </c>
      <c r="K686" s="23" t="str">
        <f>IF('ASS START SYNC'!C690="SHOW",MID('ASS START SYNC'!E690,F686+2,1000),"")</f>
        <v/>
      </c>
      <c r="M686" s="24"/>
      <c r="N686" s="26">
        <v>683</v>
      </c>
      <c r="O686" s="24" t="str">
        <f>IF('ASS END SYNC'!C690="SHOW",FIND(",",'ASS END SYNC'!E690,1),"")</f>
        <v/>
      </c>
      <c r="P686" s="24" t="str">
        <f>IF('ASS END SYNC'!C690="SHOW",FIND(",",'ASS END SYNC'!E690,O686+1),"")</f>
        <v/>
      </c>
      <c r="Q686" s="24" t="str">
        <f>IF('ASS END SYNC'!C690="SHOW",FIND(",",'ASS END SYNC'!E690,P686+1),"")</f>
        <v/>
      </c>
      <c r="R686" s="25" t="str">
        <f>IF('ASS END SYNC'!C690="SHOW",FIND(",,",'ASS END SYNC'!E690,1),"")</f>
        <v/>
      </c>
      <c r="S686" s="25" t="str">
        <f>IF('ASS END SYNC'!C690="SHOW",FIND(",,",'ASS END SYNC'!E690,R686+1),"")</f>
        <v/>
      </c>
      <c r="T686" s="23" t="str">
        <f>IF('ASS END SYNC'!C690="SHOW",LEFT('ASS END SYNC'!E690,O686),"")</f>
        <v/>
      </c>
      <c r="U686" s="24" t="str">
        <f>IF('ASS END SYNC'!C690="SHOW",MID('ASS END SYNC'!E690,O686+1,P686-O686-1),"")</f>
        <v/>
      </c>
      <c r="V686" s="24" t="str">
        <f>IF(AND('ASS END SYNC'!C690="SHOW",'ASS END SYNC'!C691="SHOW"),U687,IF(AND('ASS END SYNC'!C690="SHOW",'ASS END SYNC'!C691&lt;&gt;"SHOW"),MID('ASS END SYNC'!E690,O686+1,P686-O686-1),""))</f>
        <v/>
      </c>
      <c r="W686" s="23" t="str">
        <f>IF('ASS END SYNC'!C690="SHOW",MID('ASS END SYNC'!E690,Q686+1,S686-Q686+1),"")</f>
        <v/>
      </c>
      <c r="X686" s="23" t="str">
        <f>IF('ASS END SYNC'!C690="SHOW",MID('ASS END SYNC'!E690,S686+2,1000),"")</f>
        <v/>
      </c>
      <c r="Z686" s="24"/>
    </row>
    <row r="687" spans="1:26" x14ac:dyDescent="0.25">
      <c r="A687" s="26">
        <v>684</v>
      </c>
      <c r="B687" s="24" t="str">
        <f>IF('ASS START SYNC'!C691="SHOW",FIND(",",'ASS START SYNC'!E691,1),"")</f>
        <v/>
      </c>
      <c r="C687" s="24" t="str">
        <f>IF('ASS START SYNC'!C691="SHOW",FIND(",",'ASS START SYNC'!E691,B687+1),"")</f>
        <v/>
      </c>
      <c r="D687" s="24" t="str">
        <f>IF('ASS START SYNC'!C691="SHOW",FIND(",",'ASS START SYNC'!E691,C687+1),"")</f>
        <v/>
      </c>
      <c r="E687" s="25" t="str">
        <f>IF('ASS START SYNC'!C691="SHOW",FIND(",,",'ASS START SYNC'!E691,1),"")</f>
        <v/>
      </c>
      <c r="F687" s="25" t="str">
        <f>IF('ASS START SYNC'!C691="SHOW",FIND(",,",'ASS START SYNC'!E691,E687+1),"")</f>
        <v/>
      </c>
      <c r="G687" s="23" t="str">
        <f>IF('ASS START SYNC'!C691="SHOW",LEFT('ASS START SYNC'!E691,B687),"")</f>
        <v/>
      </c>
      <c r="H687" s="24" t="str">
        <f>IF(AND('ASS START SYNC'!C691="SHOW",COUNTA('ASS START SYNC'!$E$8:'ASS START SYNC'!E690)=0),MID('ASS START SYNC'!E691,B687+1,C687-B687-1),IF(AND('ASS START SYNC'!C691="SHOW",COUNTA('ASS START SYNC'!$E$8:'ASS START SYNC'!E690)&lt;&gt;0),I686,""))</f>
        <v/>
      </c>
      <c r="I687" s="24" t="str">
        <f>IF('ASS START SYNC'!C691="SHOW",MID('ASS START SYNC'!E691,C687+1,D687-C687-1),I686)</f>
        <v/>
      </c>
      <c r="J687" s="23" t="str">
        <f>IF('ASS START SYNC'!C691="SHOW",MID('ASS START SYNC'!E691,D687+1,F687-D687+1),"")</f>
        <v/>
      </c>
      <c r="K687" s="23" t="str">
        <f>IF('ASS START SYNC'!C691="SHOW",MID('ASS START SYNC'!E691,F687+2,1000),"")</f>
        <v/>
      </c>
      <c r="M687" s="24"/>
      <c r="N687" s="26">
        <v>684</v>
      </c>
      <c r="O687" s="24" t="str">
        <f>IF('ASS END SYNC'!C691="SHOW",FIND(",",'ASS END SYNC'!E691,1),"")</f>
        <v/>
      </c>
      <c r="P687" s="24" t="str">
        <f>IF('ASS END SYNC'!C691="SHOW",FIND(",",'ASS END SYNC'!E691,O687+1),"")</f>
        <v/>
      </c>
      <c r="Q687" s="24" t="str">
        <f>IF('ASS END SYNC'!C691="SHOW",FIND(",",'ASS END SYNC'!E691,P687+1),"")</f>
        <v/>
      </c>
      <c r="R687" s="25" t="str">
        <f>IF('ASS END SYNC'!C691="SHOW",FIND(",,",'ASS END SYNC'!E691,1),"")</f>
        <v/>
      </c>
      <c r="S687" s="25" t="str">
        <f>IF('ASS END SYNC'!C691="SHOW",FIND(",,",'ASS END SYNC'!E691,R687+1),"")</f>
        <v/>
      </c>
      <c r="T687" s="23" t="str">
        <f>IF('ASS END SYNC'!C691="SHOW",LEFT('ASS END SYNC'!E691,O687),"")</f>
        <v/>
      </c>
      <c r="U687" s="24" t="str">
        <f>IF('ASS END SYNC'!C691="SHOW",MID('ASS END SYNC'!E691,O687+1,P687-O687-1),"")</f>
        <v/>
      </c>
      <c r="V687" s="24" t="str">
        <f>IF(AND('ASS END SYNC'!C691="SHOW",'ASS END SYNC'!C692="SHOW"),U688,IF(AND('ASS END SYNC'!C691="SHOW",'ASS END SYNC'!C692&lt;&gt;"SHOW"),MID('ASS END SYNC'!E691,O687+1,P687-O687-1),""))</f>
        <v/>
      </c>
      <c r="W687" s="23" t="str">
        <f>IF('ASS END SYNC'!C691="SHOW",MID('ASS END SYNC'!E691,Q687+1,S687-Q687+1),"")</f>
        <v/>
      </c>
      <c r="X687" s="23" t="str">
        <f>IF('ASS END SYNC'!C691="SHOW",MID('ASS END SYNC'!E691,S687+2,1000),"")</f>
        <v/>
      </c>
      <c r="Z687" s="24"/>
    </row>
    <row r="688" spans="1:26" x14ac:dyDescent="0.25">
      <c r="A688" s="26">
        <v>685</v>
      </c>
      <c r="B688" s="24" t="str">
        <f>IF('ASS START SYNC'!C692="SHOW",FIND(",",'ASS START SYNC'!E692,1),"")</f>
        <v/>
      </c>
      <c r="C688" s="24" t="str">
        <f>IF('ASS START SYNC'!C692="SHOW",FIND(",",'ASS START SYNC'!E692,B688+1),"")</f>
        <v/>
      </c>
      <c r="D688" s="24" t="str">
        <f>IF('ASS START SYNC'!C692="SHOW",FIND(",",'ASS START SYNC'!E692,C688+1),"")</f>
        <v/>
      </c>
      <c r="E688" s="25" t="str">
        <f>IF('ASS START SYNC'!C692="SHOW",FIND(",,",'ASS START SYNC'!E692,1),"")</f>
        <v/>
      </c>
      <c r="F688" s="25" t="str">
        <f>IF('ASS START SYNC'!C692="SHOW",FIND(",,",'ASS START SYNC'!E692,E688+1),"")</f>
        <v/>
      </c>
      <c r="G688" s="23" t="str">
        <f>IF('ASS START SYNC'!C692="SHOW",LEFT('ASS START SYNC'!E692,B688),"")</f>
        <v/>
      </c>
      <c r="H688" s="24" t="str">
        <f>IF(AND('ASS START SYNC'!C692="SHOW",COUNTA('ASS START SYNC'!$E$8:'ASS START SYNC'!E691)=0),MID('ASS START SYNC'!E692,B688+1,C688-B688-1),IF(AND('ASS START SYNC'!C692="SHOW",COUNTA('ASS START SYNC'!$E$8:'ASS START SYNC'!E691)&lt;&gt;0),I687,""))</f>
        <v/>
      </c>
      <c r="I688" s="24" t="str">
        <f>IF('ASS START SYNC'!C692="SHOW",MID('ASS START SYNC'!E692,C688+1,D688-C688-1),I687)</f>
        <v/>
      </c>
      <c r="J688" s="23" t="str">
        <f>IF('ASS START SYNC'!C692="SHOW",MID('ASS START SYNC'!E692,D688+1,F688-D688+1),"")</f>
        <v/>
      </c>
      <c r="K688" s="23" t="str">
        <f>IF('ASS START SYNC'!C692="SHOW",MID('ASS START SYNC'!E692,F688+2,1000),"")</f>
        <v/>
      </c>
      <c r="M688" s="24"/>
      <c r="N688" s="26">
        <v>685</v>
      </c>
      <c r="O688" s="24" t="str">
        <f>IF('ASS END SYNC'!C692="SHOW",FIND(",",'ASS END SYNC'!E692,1),"")</f>
        <v/>
      </c>
      <c r="P688" s="24" t="str">
        <f>IF('ASS END SYNC'!C692="SHOW",FIND(",",'ASS END SYNC'!E692,O688+1),"")</f>
        <v/>
      </c>
      <c r="Q688" s="24" t="str">
        <f>IF('ASS END SYNC'!C692="SHOW",FIND(",",'ASS END SYNC'!E692,P688+1),"")</f>
        <v/>
      </c>
      <c r="R688" s="25" t="str">
        <f>IF('ASS END SYNC'!C692="SHOW",FIND(",,",'ASS END SYNC'!E692,1),"")</f>
        <v/>
      </c>
      <c r="S688" s="25" t="str">
        <f>IF('ASS END SYNC'!C692="SHOW",FIND(",,",'ASS END SYNC'!E692,R688+1),"")</f>
        <v/>
      </c>
      <c r="T688" s="23" t="str">
        <f>IF('ASS END SYNC'!C692="SHOW",LEFT('ASS END SYNC'!E692,O688),"")</f>
        <v/>
      </c>
      <c r="U688" s="24" t="str">
        <f>IF('ASS END SYNC'!C692="SHOW",MID('ASS END SYNC'!E692,O688+1,P688-O688-1),"")</f>
        <v/>
      </c>
      <c r="V688" s="24" t="str">
        <f>IF(AND('ASS END SYNC'!C692="SHOW",'ASS END SYNC'!C693="SHOW"),U689,IF(AND('ASS END SYNC'!C692="SHOW",'ASS END SYNC'!C693&lt;&gt;"SHOW"),MID('ASS END SYNC'!E692,O688+1,P688-O688-1),""))</f>
        <v/>
      </c>
      <c r="W688" s="23" t="str">
        <f>IF('ASS END SYNC'!C692="SHOW",MID('ASS END SYNC'!E692,Q688+1,S688-Q688+1),"")</f>
        <v/>
      </c>
      <c r="X688" s="23" t="str">
        <f>IF('ASS END SYNC'!C692="SHOW",MID('ASS END SYNC'!E692,S688+2,1000),"")</f>
        <v/>
      </c>
      <c r="Z688" s="24"/>
    </row>
    <row r="689" spans="1:26" x14ac:dyDescent="0.25">
      <c r="A689" s="26">
        <v>686</v>
      </c>
      <c r="B689" s="24" t="str">
        <f>IF('ASS START SYNC'!C693="SHOW",FIND(",",'ASS START SYNC'!E693,1),"")</f>
        <v/>
      </c>
      <c r="C689" s="24" t="str">
        <f>IF('ASS START SYNC'!C693="SHOW",FIND(",",'ASS START SYNC'!E693,B689+1),"")</f>
        <v/>
      </c>
      <c r="D689" s="24" t="str">
        <f>IF('ASS START SYNC'!C693="SHOW",FIND(",",'ASS START SYNC'!E693,C689+1),"")</f>
        <v/>
      </c>
      <c r="E689" s="25" t="str">
        <f>IF('ASS START SYNC'!C693="SHOW",FIND(",,",'ASS START SYNC'!E693,1),"")</f>
        <v/>
      </c>
      <c r="F689" s="25" t="str">
        <f>IF('ASS START SYNC'!C693="SHOW",FIND(",,",'ASS START SYNC'!E693,E689+1),"")</f>
        <v/>
      </c>
      <c r="G689" s="23" t="str">
        <f>IF('ASS START SYNC'!C693="SHOW",LEFT('ASS START SYNC'!E693,B689),"")</f>
        <v/>
      </c>
      <c r="H689" s="24" t="str">
        <f>IF(AND('ASS START SYNC'!C693="SHOW",COUNTA('ASS START SYNC'!$E$8:'ASS START SYNC'!E692)=0),MID('ASS START SYNC'!E693,B689+1,C689-B689-1),IF(AND('ASS START SYNC'!C693="SHOW",COUNTA('ASS START SYNC'!$E$8:'ASS START SYNC'!E692)&lt;&gt;0),I688,""))</f>
        <v/>
      </c>
      <c r="I689" s="24" t="str">
        <f>IF('ASS START SYNC'!C693="SHOW",MID('ASS START SYNC'!E693,C689+1,D689-C689-1),I688)</f>
        <v/>
      </c>
      <c r="J689" s="23" t="str">
        <f>IF('ASS START SYNC'!C693="SHOW",MID('ASS START SYNC'!E693,D689+1,F689-D689+1),"")</f>
        <v/>
      </c>
      <c r="K689" s="23" t="str">
        <f>IF('ASS START SYNC'!C693="SHOW",MID('ASS START SYNC'!E693,F689+2,1000),"")</f>
        <v/>
      </c>
      <c r="M689" s="24"/>
      <c r="N689" s="26">
        <v>686</v>
      </c>
      <c r="O689" s="24" t="str">
        <f>IF('ASS END SYNC'!C693="SHOW",FIND(",",'ASS END SYNC'!E693,1),"")</f>
        <v/>
      </c>
      <c r="P689" s="24" t="str">
        <f>IF('ASS END SYNC'!C693="SHOW",FIND(",",'ASS END SYNC'!E693,O689+1),"")</f>
        <v/>
      </c>
      <c r="Q689" s="24" t="str">
        <f>IF('ASS END SYNC'!C693="SHOW",FIND(",",'ASS END SYNC'!E693,P689+1),"")</f>
        <v/>
      </c>
      <c r="R689" s="25" t="str">
        <f>IF('ASS END SYNC'!C693="SHOW",FIND(",,",'ASS END SYNC'!E693,1),"")</f>
        <v/>
      </c>
      <c r="S689" s="25" t="str">
        <f>IF('ASS END SYNC'!C693="SHOW",FIND(",,",'ASS END SYNC'!E693,R689+1),"")</f>
        <v/>
      </c>
      <c r="T689" s="23" t="str">
        <f>IF('ASS END SYNC'!C693="SHOW",LEFT('ASS END SYNC'!E693,O689),"")</f>
        <v/>
      </c>
      <c r="U689" s="24" t="str">
        <f>IF('ASS END SYNC'!C693="SHOW",MID('ASS END SYNC'!E693,O689+1,P689-O689-1),"")</f>
        <v/>
      </c>
      <c r="V689" s="24" t="str">
        <f>IF(AND('ASS END SYNC'!C693="SHOW",'ASS END SYNC'!C694="SHOW"),U690,IF(AND('ASS END SYNC'!C693="SHOW",'ASS END SYNC'!C694&lt;&gt;"SHOW"),MID('ASS END SYNC'!E693,O689+1,P689-O689-1),""))</f>
        <v/>
      </c>
      <c r="W689" s="23" t="str">
        <f>IF('ASS END SYNC'!C693="SHOW",MID('ASS END SYNC'!E693,Q689+1,S689-Q689+1),"")</f>
        <v/>
      </c>
      <c r="X689" s="23" t="str">
        <f>IF('ASS END SYNC'!C693="SHOW",MID('ASS END SYNC'!E693,S689+2,1000),"")</f>
        <v/>
      </c>
      <c r="Z689" s="24"/>
    </row>
    <row r="690" spans="1:26" x14ac:dyDescent="0.25">
      <c r="A690" s="26">
        <v>687</v>
      </c>
      <c r="B690" s="24" t="str">
        <f>IF('ASS START SYNC'!C694="SHOW",FIND(",",'ASS START SYNC'!E694,1),"")</f>
        <v/>
      </c>
      <c r="C690" s="24" t="str">
        <f>IF('ASS START SYNC'!C694="SHOW",FIND(",",'ASS START SYNC'!E694,B690+1),"")</f>
        <v/>
      </c>
      <c r="D690" s="24" t="str">
        <f>IF('ASS START SYNC'!C694="SHOW",FIND(",",'ASS START SYNC'!E694,C690+1),"")</f>
        <v/>
      </c>
      <c r="E690" s="25" t="str">
        <f>IF('ASS START SYNC'!C694="SHOW",FIND(",,",'ASS START SYNC'!E694,1),"")</f>
        <v/>
      </c>
      <c r="F690" s="25" t="str">
        <f>IF('ASS START SYNC'!C694="SHOW",FIND(",,",'ASS START SYNC'!E694,E690+1),"")</f>
        <v/>
      </c>
      <c r="G690" s="23" t="str">
        <f>IF('ASS START SYNC'!C694="SHOW",LEFT('ASS START SYNC'!E694,B690),"")</f>
        <v/>
      </c>
      <c r="H690" s="24" t="str">
        <f>IF(AND('ASS START SYNC'!C694="SHOW",COUNTA('ASS START SYNC'!$E$8:'ASS START SYNC'!E693)=0),MID('ASS START SYNC'!E694,B690+1,C690-B690-1),IF(AND('ASS START SYNC'!C694="SHOW",COUNTA('ASS START SYNC'!$E$8:'ASS START SYNC'!E693)&lt;&gt;0),I689,""))</f>
        <v/>
      </c>
      <c r="I690" s="24" t="str">
        <f>IF('ASS START SYNC'!C694="SHOW",MID('ASS START SYNC'!E694,C690+1,D690-C690-1),I689)</f>
        <v/>
      </c>
      <c r="J690" s="23" t="str">
        <f>IF('ASS START SYNC'!C694="SHOW",MID('ASS START SYNC'!E694,D690+1,F690-D690+1),"")</f>
        <v/>
      </c>
      <c r="K690" s="23" t="str">
        <f>IF('ASS START SYNC'!C694="SHOW",MID('ASS START SYNC'!E694,F690+2,1000),"")</f>
        <v/>
      </c>
      <c r="M690" s="24"/>
      <c r="N690" s="26">
        <v>687</v>
      </c>
      <c r="O690" s="24" t="str">
        <f>IF('ASS END SYNC'!C694="SHOW",FIND(",",'ASS END SYNC'!E694,1),"")</f>
        <v/>
      </c>
      <c r="P690" s="24" t="str">
        <f>IF('ASS END SYNC'!C694="SHOW",FIND(",",'ASS END SYNC'!E694,O690+1),"")</f>
        <v/>
      </c>
      <c r="Q690" s="24" t="str">
        <f>IF('ASS END SYNC'!C694="SHOW",FIND(",",'ASS END SYNC'!E694,P690+1),"")</f>
        <v/>
      </c>
      <c r="R690" s="25" t="str">
        <f>IF('ASS END SYNC'!C694="SHOW",FIND(",,",'ASS END SYNC'!E694,1),"")</f>
        <v/>
      </c>
      <c r="S690" s="25" t="str">
        <f>IF('ASS END SYNC'!C694="SHOW",FIND(",,",'ASS END SYNC'!E694,R690+1),"")</f>
        <v/>
      </c>
      <c r="T690" s="23" t="str">
        <f>IF('ASS END SYNC'!C694="SHOW",LEFT('ASS END SYNC'!E694,O690),"")</f>
        <v/>
      </c>
      <c r="U690" s="24" t="str">
        <f>IF('ASS END SYNC'!C694="SHOW",MID('ASS END SYNC'!E694,O690+1,P690-O690-1),"")</f>
        <v/>
      </c>
      <c r="V690" s="24" t="str">
        <f>IF(AND('ASS END SYNC'!C694="SHOW",'ASS END SYNC'!C695="SHOW"),U691,IF(AND('ASS END SYNC'!C694="SHOW",'ASS END SYNC'!C695&lt;&gt;"SHOW"),MID('ASS END SYNC'!E694,O690+1,P690-O690-1),""))</f>
        <v/>
      </c>
      <c r="W690" s="23" t="str">
        <f>IF('ASS END SYNC'!C694="SHOW",MID('ASS END SYNC'!E694,Q690+1,S690-Q690+1),"")</f>
        <v/>
      </c>
      <c r="X690" s="23" t="str">
        <f>IF('ASS END SYNC'!C694="SHOW",MID('ASS END SYNC'!E694,S690+2,1000),"")</f>
        <v/>
      </c>
      <c r="Z690" s="24"/>
    </row>
    <row r="691" spans="1:26" x14ac:dyDescent="0.25">
      <c r="A691" s="26">
        <v>688</v>
      </c>
      <c r="B691" s="24" t="str">
        <f>IF('ASS START SYNC'!C695="SHOW",FIND(",",'ASS START SYNC'!E695,1),"")</f>
        <v/>
      </c>
      <c r="C691" s="24" t="str">
        <f>IF('ASS START SYNC'!C695="SHOW",FIND(",",'ASS START SYNC'!E695,B691+1),"")</f>
        <v/>
      </c>
      <c r="D691" s="24" t="str">
        <f>IF('ASS START SYNC'!C695="SHOW",FIND(",",'ASS START SYNC'!E695,C691+1),"")</f>
        <v/>
      </c>
      <c r="E691" s="25" t="str">
        <f>IF('ASS START SYNC'!C695="SHOW",FIND(",,",'ASS START SYNC'!E695,1),"")</f>
        <v/>
      </c>
      <c r="F691" s="25" t="str">
        <f>IF('ASS START SYNC'!C695="SHOW",FIND(",,",'ASS START SYNC'!E695,E691+1),"")</f>
        <v/>
      </c>
      <c r="G691" s="23" t="str">
        <f>IF('ASS START SYNC'!C695="SHOW",LEFT('ASS START SYNC'!E695,B691),"")</f>
        <v/>
      </c>
      <c r="H691" s="24" t="str">
        <f>IF(AND('ASS START SYNC'!C695="SHOW",COUNTA('ASS START SYNC'!$E$8:'ASS START SYNC'!E694)=0),MID('ASS START SYNC'!E695,B691+1,C691-B691-1),IF(AND('ASS START SYNC'!C695="SHOW",COUNTA('ASS START SYNC'!$E$8:'ASS START SYNC'!E694)&lt;&gt;0),I690,""))</f>
        <v/>
      </c>
      <c r="I691" s="24" t="str">
        <f>IF('ASS START SYNC'!C695="SHOW",MID('ASS START SYNC'!E695,C691+1,D691-C691-1),I690)</f>
        <v/>
      </c>
      <c r="J691" s="23" t="str">
        <f>IF('ASS START SYNC'!C695="SHOW",MID('ASS START SYNC'!E695,D691+1,F691-D691+1),"")</f>
        <v/>
      </c>
      <c r="K691" s="23" t="str">
        <f>IF('ASS START SYNC'!C695="SHOW",MID('ASS START SYNC'!E695,F691+2,1000),"")</f>
        <v/>
      </c>
      <c r="M691" s="24"/>
      <c r="N691" s="26">
        <v>688</v>
      </c>
      <c r="O691" s="24" t="str">
        <f>IF('ASS END SYNC'!C695="SHOW",FIND(",",'ASS END SYNC'!E695,1),"")</f>
        <v/>
      </c>
      <c r="P691" s="24" t="str">
        <f>IF('ASS END SYNC'!C695="SHOW",FIND(",",'ASS END SYNC'!E695,O691+1),"")</f>
        <v/>
      </c>
      <c r="Q691" s="24" t="str">
        <f>IF('ASS END SYNC'!C695="SHOW",FIND(",",'ASS END SYNC'!E695,P691+1),"")</f>
        <v/>
      </c>
      <c r="R691" s="25" t="str">
        <f>IF('ASS END SYNC'!C695="SHOW",FIND(",,",'ASS END SYNC'!E695,1),"")</f>
        <v/>
      </c>
      <c r="S691" s="25" t="str">
        <f>IF('ASS END SYNC'!C695="SHOW",FIND(",,",'ASS END SYNC'!E695,R691+1),"")</f>
        <v/>
      </c>
      <c r="T691" s="23" t="str">
        <f>IF('ASS END SYNC'!C695="SHOW",LEFT('ASS END SYNC'!E695,O691),"")</f>
        <v/>
      </c>
      <c r="U691" s="24" t="str">
        <f>IF('ASS END SYNC'!C695="SHOW",MID('ASS END SYNC'!E695,O691+1,P691-O691-1),"")</f>
        <v/>
      </c>
      <c r="V691" s="24" t="str">
        <f>IF(AND('ASS END SYNC'!C695="SHOW",'ASS END SYNC'!C696="SHOW"),U692,IF(AND('ASS END SYNC'!C695="SHOW",'ASS END SYNC'!C696&lt;&gt;"SHOW"),MID('ASS END SYNC'!E695,O691+1,P691-O691-1),""))</f>
        <v/>
      </c>
      <c r="W691" s="23" t="str">
        <f>IF('ASS END SYNC'!C695="SHOW",MID('ASS END SYNC'!E695,Q691+1,S691-Q691+1),"")</f>
        <v/>
      </c>
      <c r="X691" s="23" t="str">
        <f>IF('ASS END SYNC'!C695="SHOW",MID('ASS END SYNC'!E695,S691+2,1000),"")</f>
        <v/>
      </c>
      <c r="Z691" s="24"/>
    </row>
    <row r="692" spans="1:26" x14ac:dyDescent="0.25">
      <c r="A692" s="26">
        <v>689</v>
      </c>
      <c r="B692" s="24" t="str">
        <f>IF('ASS START SYNC'!C696="SHOW",FIND(",",'ASS START SYNC'!E696,1),"")</f>
        <v/>
      </c>
      <c r="C692" s="24" t="str">
        <f>IF('ASS START SYNC'!C696="SHOW",FIND(",",'ASS START SYNC'!E696,B692+1),"")</f>
        <v/>
      </c>
      <c r="D692" s="24" t="str">
        <f>IF('ASS START SYNC'!C696="SHOW",FIND(",",'ASS START SYNC'!E696,C692+1),"")</f>
        <v/>
      </c>
      <c r="E692" s="25" t="str">
        <f>IF('ASS START SYNC'!C696="SHOW",FIND(",,",'ASS START SYNC'!E696,1),"")</f>
        <v/>
      </c>
      <c r="F692" s="25" t="str">
        <f>IF('ASS START SYNC'!C696="SHOW",FIND(",,",'ASS START SYNC'!E696,E692+1),"")</f>
        <v/>
      </c>
      <c r="G692" s="23" t="str">
        <f>IF('ASS START SYNC'!C696="SHOW",LEFT('ASS START SYNC'!E696,B692),"")</f>
        <v/>
      </c>
      <c r="H692" s="24" t="str">
        <f>IF(AND('ASS START SYNC'!C696="SHOW",COUNTA('ASS START SYNC'!$E$8:'ASS START SYNC'!E695)=0),MID('ASS START SYNC'!E696,B692+1,C692-B692-1),IF(AND('ASS START SYNC'!C696="SHOW",COUNTA('ASS START SYNC'!$E$8:'ASS START SYNC'!E695)&lt;&gt;0),I691,""))</f>
        <v/>
      </c>
      <c r="I692" s="24" t="str">
        <f>IF('ASS START SYNC'!C696="SHOW",MID('ASS START SYNC'!E696,C692+1,D692-C692-1),I691)</f>
        <v/>
      </c>
      <c r="J692" s="23" t="str">
        <f>IF('ASS START SYNC'!C696="SHOW",MID('ASS START SYNC'!E696,D692+1,F692-D692+1),"")</f>
        <v/>
      </c>
      <c r="K692" s="23" t="str">
        <f>IF('ASS START SYNC'!C696="SHOW",MID('ASS START SYNC'!E696,F692+2,1000),"")</f>
        <v/>
      </c>
      <c r="M692" s="24"/>
      <c r="N692" s="26">
        <v>689</v>
      </c>
      <c r="O692" s="24" t="str">
        <f>IF('ASS END SYNC'!C696="SHOW",FIND(",",'ASS END SYNC'!E696,1),"")</f>
        <v/>
      </c>
      <c r="P692" s="24" t="str">
        <f>IF('ASS END SYNC'!C696="SHOW",FIND(",",'ASS END SYNC'!E696,O692+1),"")</f>
        <v/>
      </c>
      <c r="Q692" s="24" t="str">
        <f>IF('ASS END SYNC'!C696="SHOW",FIND(",",'ASS END SYNC'!E696,P692+1),"")</f>
        <v/>
      </c>
      <c r="R692" s="25" t="str">
        <f>IF('ASS END SYNC'!C696="SHOW",FIND(",,",'ASS END SYNC'!E696,1),"")</f>
        <v/>
      </c>
      <c r="S692" s="25" t="str">
        <f>IF('ASS END SYNC'!C696="SHOW",FIND(",,",'ASS END SYNC'!E696,R692+1),"")</f>
        <v/>
      </c>
      <c r="T692" s="23" t="str">
        <f>IF('ASS END SYNC'!C696="SHOW",LEFT('ASS END SYNC'!E696,O692),"")</f>
        <v/>
      </c>
      <c r="U692" s="24" t="str">
        <f>IF('ASS END SYNC'!C696="SHOW",MID('ASS END SYNC'!E696,O692+1,P692-O692-1),"")</f>
        <v/>
      </c>
      <c r="V692" s="24" t="str">
        <f>IF(AND('ASS END SYNC'!C696="SHOW",'ASS END SYNC'!C697="SHOW"),U693,IF(AND('ASS END SYNC'!C696="SHOW",'ASS END SYNC'!C697&lt;&gt;"SHOW"),MID('ASS END SYNC'!E696,O692+1,P692-O692-1),""))</f>
        <v/>
      </c>
      <c r="W692" s="23" t="str">
        <f>IF('ASS END SYNC'!C696="SHOW",MID('ASS END SYNC'!E696,Q692+1,S692-Q692+1),"")</f>
        <v/>
      </c>
      <c r="X692" s="23" t="str">
        <f>IF('ASS END SYNC'!C696="SHOW",MID('ASS END SYNC'!E696,S692+2,1000),"")</f>
        <v/>
      </c>
      <c r="Z692" s="24"/>
    </row>
    <row r="693" spans="1:26" x14ac:dyDescent="0.25">
      <c r="A693" s="26">
        <v>690</v>
      </c>
      <c r="B693" s="24" t="str">
        <f>IF('ASS START SYNC'!C697="SHOW",FIND(",",'ASS START SYNC'!E697,1),"")</f>
        <v/>
      </c>
      <c r="C693" s="24" t="str">
        <f>IF('ASS START SYNC'!C697="SHOW",FIND(",",'ASS START SYNC'!E697,B693+1),"")</f>
        <v/>
      </c>
      <c r="D693" s="24" t="str">
        <f>IF('ASS START SYNC'!C697="SHOW",FIND(",",'ASS START SYNC'!E697,C693+1),"")</f>
        <v/>
      </c>
      <c r="E693" s="25" t="str">
        <f>IF('ASS START SYNC'!C697="SHOW",FIND(",,",'ASS START SYNC'!E697,1),"")</f>
        <v/>
      </c>
      <c r="F693" s="25" t="str">
        <f>IF('ASS START SYNC'!C697="SHOW",FIND(",,",'ASS START SYNC'!E697,E693+1),"")</f>
        <v/>
      </c>
      <c r="G693" s="23" t="str">
        <f>IF('ASS START SYNC'!C697="SHOW",LEFT('ASS START SYNC'!E697,B693),"")</f>
        <v/>
      </c>
      <c r="H693" s="24" t="str">
        <f>IF(AND('ASS START SYNC'!C697="SHOW",COUNTA('ASS START SYNC'!$E$8:'ASS START SYNC'!E696)=0),MID('ASS START SYNC'!E697,B693+1,C693-B693-1),IF(AND('ASS START SYNC'!C697="SHOW",COUNTA('ASS START SYNC'!$E$8:'ASS START SYNC'!E696)&lt;&gt;0),I692,""))</f>
        <v/>
      </c>
      <c r="I693" s="24" t="str">
        <f>IF('ASS START SYNC'!C697="SHOW",MID('ASS START SYNC'!E697,C693+1,D693-C693-1),I692)</f>
        <v/>
      </c>
      <c r="J693" s="23" t="str">
        <f>IF('ASS START SYNC'!C697="SHOW",MID('ASS START SYNC'!E697,D693+1,F693-D693+1),"")</f>
        <v/>
      </c>
      <c r="K693" s="23" t="str">
        <f>IF('ASS START SYNC'!C697="SHOW",MID('ASS START SYNC'!E697,F693+2,1000),"")</f>
        <v/>
      </c>
      <c r="M693" s="24"/>
      <c r="N693" s="26">
        <v>690</v>
      </c>
      <c r="O693" s="24" t="str">
        <f>IF('ASS END SYNC'!C697="SHOW",FIND(",",'ASS END SYNC'!E697,1),"")</f>
        <v/>
      </c>
      <c r="P693" s="24" t="str">
        <f>IF('ASS END SYNC'!C697="SHOW",FIND(",",'ASS END SYNC'!E697,O693+1),"")</f>
        <v/>
      </c>
      <c r="Q693" s="24" t="str">
        <f>IF('ASS END SYNC'!C697="SHOW",FIND(",",'ASS END SYNC'!E697,P693+1),"")</f>
        <v/>
      </c>
      <c r="R693" s="25" t="str">
        <f>IF('ASS END SYNC'!C697="SHOW",FIND(",,",'ASS END SYNC'!E697,1),"")</f>
        <v/>
      </c>
      <c r="S693" s="25" t="str">
        <f>IF('ASS END SYNC'!C697="SHOW",FIND(",,",'ASS END SYNC'!E697,R693+1),"")</f>
        <v/>
      </c>
      <c r="T693" s="23" t="str">
        <f>IF('ASS END SYNC'!C697="SHOW",LEFT('ASS END SYNC'!E697,O693),"")</f>
        <v/>
      </c>
      <c r="U693" s="24" t="str">
        <f>IF('ASS END SYNC'!C697="SHOW",MID('ASS END SYNC'!E697,O693+1,P693-O693-1),"")</f>
        <v/>
      </c>
      <c r="V693" s="24" t="str">
        <f>IF(AND('ASS END SYNC'!C697="SHOW",'ASS END SYNC'!C698="SHOW"),U694,IF(AND('ASS END SYNC'!C697="SHOW",'ASS END SYNC'!C698&lt;&gt;"SHOW"),MID('ASS END SYNC'!E697,O693+1,P693-O693-1),""))</f>
        <v/>
      </c>
      <c r="W693" s="23" t="str">
        <f>IF('ASS END SYNC'!C697="SHOW",MID('ASS END SYNC'!E697,Q693+1,S693-Q693+1),"")</f>
        <v/>
      </c>
      <c r="X693" s="23" t="str">
        <f>IF('ASS END SYNC'!C697="SHOW",MID('ASS END SYNC'!E697,S693+2,1000),"")</f>
        <v/>
      </c>
      <c r="Z693" s="24"/>
    </row>
    <row r="694" spans="1:26" x14ac:dyDescent="0.25">
      <c r="A694" s="26">
        <v>691</v>
      </c>
      <c r="B694" s="24" t="str">
        <f>IF('ASS START SYNC'!C698="SHOW",FIND(",",'ASS START SYNC'!E698,1),"")</f>
        <v/>
      </c>
      <c r="C694" s="24" t="str">
        <f>IF('ASS START SYNC'!C698="SHOW",FIND(",",'ASS START SYNC'!E698,B694+1),"")</f>
        <v/>
      </c>
      <c r="D694" s="24" t="str">
        <f>IF('ASS START SYNC'!C698="SHOW",FIND(",",'ASS START SYNC'!E698,C694+1),"")</f>
        <v/>
      </c>
      <c r="E694" s="25" t="str">
        <f>IF('ASS START SYNC'!C698="SHOW",FIND(",,",'ASS START SYNC'!E698,1),"")</f>
        <v/>
      </c>
      <c r="F694" s="25" t="str">
        <f>IF('ASS START SYNC'!C698="SHOW",FIND(",,",'ASS START SYNC'!E698,E694+1),"")</f>
        <v/>
      </c>
      <c r="G694" s="23" t="str">
        <f>IF('ASS START SYNC'!C698="SHOW",LEFT('ASS START SYNC'!E698,B694),"")</f>
        <v/>
      </c>
      <c r="H694" s="24" t="str">
        <f>IF(AND('ASS START SYNC'!C698="SHOW",COUNTA('ASS START SYNC'!$E$8:'ASS START SYNC'!E697)=0),MID('ASS START SYNC'!E698,B694+1,C694-B694-1),IF(AND('ASS START SYNC'!C698="SHOW",COUNTA('ASS START SYNC'!$E$8:'ASS START SYNC'!E697)&lt;&gt;0),I693,""))</f>
        <v/>
      </c>
      <c r="I694" s="24" t="str">
        <f>IF('ASS START SYNC'!C698="SHOW",MID('ASS START SYNC'!E698,C694+1,D694-C694-1),I693)</f>
        <v/>
      </c>
      <c r="J694" s="23" t="str">
        <f>IF('ASS START SYNC'!C698="SHOW",MID('ASS START SYNC'!E698,D694+1,F694-D694+1),"")</f>
        <v/>
      </c>
      <c r="K694" s="23" t="str">
        <f>IF('ASS START SYNC'!C698="SHOW",MID('ASS START SYNC'!E698,F694+2,1000),"")</f>
        <v/>
      </c>
      <c r="M694" s="24"/>
      <c r="N694" s="26">
        <v>691</v>
      </c>
      <c r="O694" s="24" t="str">
        <f>IF('ASS END SYNC'!C698="SHOW",FIND(",",'ASS END SYNC'!E698,1),"")</f>
        <v/>
      </c>
      <c r="P694" s="24" t="str">
        <f>IF('ASS END SYNC'!C698="SHOW",FIND(",",'ASS END SYNC'!E698,O694+1),"")</f>
        <v/>
      </c>
      <c r="Q694" s="24" t="str">
        <f>IF('ASS END SYNC'!C698="SHOW",FIND(",",'ASS END SYNC'!E698,P694+1),"")</f>
        <v/>
      </c>
      <c r="R694" s="25" t="str">
        <f>IF('ASS END SYNC'!C698="SHOW",FIND(",,",'ASS END SYNC'!E698,1),"")</f>
        <v/>
      </c>
      <c r="S694" s="25" t="str">
        <f>IF('ASS END SYNC'!C698="SHOW",FIND(",,",'ASS END SYNC'!E698,R694+1),"")</f>
        <v/>
      </c>
      <c r="T694" s="23" t="str">
        <f>IF('ASS END SYNC'!C698="SHOW",LEFT('ASS END SYNC'!E698,O694),"")</f>
        <v/>
      </c>
      <c r="U694" s="24" t="str">
        <f>IF('ASS END SYNC'!C698="SHOW",MID('ASS END SYNC'!E698,O694+1,P694-O694-1),"")</f>
        <v/>
      </c>
      <c r="V694" s="24" t="str">
        <f>IF(AND('ASS END SYNC'!C698="SHOW",'ASS END SYNC'!C699="SHOW"),U695,IF(AND('ASS END SYNC'!C698="SHOW",'ASS END SYNC'!C699&lt;&gt;"SHOW"),MID('ASS END SYNC'!E698,O694+1,P694-O694-1),""))</f>
        <v/>
      </c>
      <c r="W694" s="23" t="str">
        <f>IF('ASS END SYNC'!C698="SHOW",MID('ASS END SYNC'!E698,Q694+1,S694-Q694+1),"")</f>
        <v/>
      </c>
      <c r="X694" s="23" t="str">
        <f>IF('ASS END SYNC'!C698="SHOW",MID('ASS END SYNC'!E698,S694+2,1000),"")</f>
        <v/>
      </c>
      <c r="Z694" s="24"/>
    </row>
    <row r="695" spans="1:26" x14ac:dyDescent="0.25">
      <c r="A695" s="26">
        <v>692</v>
      </c>
      <c r="B695" s="24" t="str">
        <f>IF('ASS START SYNC'!C699="SHOW",FIND(",",'ASS START SYNC'!E699,1),"")</f>
        <v/>
      </c>
      <c r="C695" s="24" t="str">
        <f>IF('ASS START SYNC'!C699="SHOW",FIND(",",'ASS START SYNC'!E699,B695+1),"")</f>
        <v/>
      </c>
      <c r="D695" s="24" t="str">
        <f>IF('ASS START SYNC'!C699="SHOW",FIND(",",'ASS START SYNC'!E699,C695+1),"")</f>
        <v/>
      </c>
      <c r="E695" s="25" t="str">
        <f>IF('ASS START SYNC'!C699="SHOW",FIND(",,",'ASS START SYNC'!E699,1),"")</f>
        <v/>
      </c>
      <c r="F695" s="25" t="str">
        <f>IF('ASS START SYNC'!C699="SHOW",FIND(",,",'ASS START SYNC'!E699,E695+1),"")</f>
        <v/>
      </c>
      <c r="G695" s="23" t="str">
        <f>IF('ASS START SYNC'!C699="SHOW",LEFT('ASS START SYNC'!E699,B695),"")</f>
        <v/>
      </c>
      <c r="H695" s="24" t="str">
        <f>IF(AND('ASS START SYNC'!C699="SHOW",COUNTA('ASS START SYNC'!$E$8:'ASS START SYNC'!E698)=0),MID('ASS START SYNC'!E699,B695+1,C695-B695-1),IF(AND('ASS START SYNC'!C699="SHOW",COUNTA('ASS START SYNC'!$E$8:'ASS START SYNC'!E698)&lt;&gt;0),I694,""))</f>
        <v/>
      </c>
      <c r="I695" s="24" t="str">
        <f>IF('ASS START SYNC'!C699="SHOW",MID('ASS START SYNC'!E699,C695+1,D695-C695-1),I694)</f>
        <v/>
      </c>
      <c r="J695" s="23" t="str">
        <f>IF('ASS START SYNC'!C699="SHOW",MID('ASS START SYNC'!E699,D695+1,F695-D695+1),"")</f>
        <v/>
      </c>
      <c r="K695" s="23" t="str">
        <f>IF('ASS START SYNC'!C699="SHOW",MID('ASS START SYNC'!E699,F695+2,1000),"")</f>
        <v/>
      </c>
      <c r="M695" s="24"/>
      <c r="N695" s="26">
        <v>692</v>
      </c>
      <c r="O695" s="24" t="str">
        <f>IF('ASS END SYNC'!C699="SHOW",FIND(",",'ASS END SYNC'!E699,1),"")</f>
        <v/>
      </c>
      <c r="P695" s="24" t="str">
        <f>IF('ASS END SYNC'!C699="SHOW",FIND(",",'ASS END SYNC'!E699,O695+1),"")</f>
        <v/>
      </c>
      <c r="Q695" s="24" t="str">
        <f>IF('ASS END SYNC'!C699="SHOW",FIND(",",'ASS END SYNC'!E699,P695+1),"")</f>
        <v/>
      </c>
      <c r="R695" s="25" t="str">
        <f>IF('ASS END SYNC'!C699="SHOW",FIND(",,",'ASS END SYNC'!E699,1),"")</f>
        <v/>
      </c>
      <c r="S695" s="25" t="str">
        <f>IF('ASS END SYNC'!C699="SHOW",FIND(",,",'ASS END SYNC'!E699,R695+1),"")</f>
        <v/>
      </c>
      <c r="T695" s="23" t="str">
        <f>IF('ASS END SYNC'!C699="SHOW",LEFT('ASS END SYNC'!E699,O695),"")</f>
        <v/>
      </c>
      <c r="U695" s="24" t="str">
        <f>IF('ASS END SYNC'!C699="SHOW",MID('ASS END SYNC'!E699,O695+1,P695-O695-1),"")</f>
        <v/>
      </c>
      <c r="V695" s="24" t="str">
        <f>IF(AND('ASS END SYNC'!C699="SHOW",'ASS END SYNC'!C700="SHOW"),U696,IF(AND('ASS END SYNC'!C699="SHOW",'ASS END SYNC'!C700&lt;&gt;"SHOW"),MID('ASS END SYNC'!E699,O695+1,P695-O695-1),""))</f>
        <v/>
      </c>
      <c r="W695" s="23" t="str">
        <f>IF('ASS END SYNC'!C699="SHOW",MID('ASS END SYNC'!E699,Q695+1,S695-Q695+1),"")</f>
        <v/>
      </c>
      <c r="X695" s="23" t="str">
        <f>IF('ASS END SYNC'!C699="SHOW",MID('ASS END SYNC'!E699,S695+2,1000),"")</f>
        <v/>
      </c>
      <c r="Z695" s="24"/>
    </row>
    <row r="696" spans="1:26" x14ac:dyDescent="0.25">
      <c r="A696" s="26">
        <v>693</v>
      </c>
      <c r="B696" s="24" t="str">
        <f>IF('ASS START SYNC'!C700="SHOW",FIND(",",'ASS START SYNC'!E700,1),"")</f>
        <v/>
      </c>
      <c r="C696" s="24" t="str">
        <f>IF('ASS START SYNC'!C700="SHOW",FIND(",",'ASS START SYNC'!E700,B696+1),"")</f>
        <v/>
      </c>
      <c r="D696" s="24" t="str">
        <f>IF('ASS START SYNC'!C700="SHOW",FIND(",",'ASS START SYNC'!E700,C696+1),"")</f>
        <v/>
      </c>
      <c r="E696" s="25" t="str">
        <f>IF('ASS START SYNC'!C700="SHOW",FIND(",,",'ASS START SYNC'!E700,1),"")</f>
        <v/>
      </c>
      <c r="F696" s="25" t="str">
        <f>IF('ASS START SYNC'!C700="SHOW",FIND(",,",'ASS START SYNC'!E700,E696+1),"")</f>
        <v/>
      </c>
      <c r="G696" s="23" t="str">
        <f>IF('ASS START SYNC'!C700="SHOW",LEFT('ASS START SYNC'!E700,B696),"")</f>
        <v/>
      </c>
      <c r="H696" s="24" t="str">
        <f>IF(AND('ASS START SYNC'!C700="SHOW",COUNTA('ASS START SYNC'!$E$8:'ASS START SYNC'!E699)=0),MID('ASS START SYNC'!E700,B696+1,C696-B696-1),IF(AND('ASS START SYNC'!C700="SHOW",COUNTA('ASS START SYNC'!$E$8:'ASS START SYNC'!E699)&lt;&gt;0),I695,""))</f>
        <v/>
      </c>
      <c r="I696" s="24" t="str">
        <f>IF('ASS START SYNC'!C700="SHOW",MID('ASS START SYNC'!E700,C696+1,D696-C696-1),I695)</f>
        <v/>
      </c>
      <c r="J696" s="23" t="str">
        <f>IF('ASS START SYNC'!C700="SHOW",MID('ASS START SYNC'!E700,D696+1,F696-D696+1),"")</f>
        <v/>
      </c>
      <c r="K696" s="23" t="str">
        <f>IF('ASS START SYNC'!C700="SHOW",MID('ASS START SYNC'!E700,F696+2,1000),"")</f>
        <v/>
      </c>
      <c r="M696" s="24"/>
      <c r="N696" s="26">
        <v>693</v>
      </c>
      <c r="O696" s="24" t="str">
        <f>IF('ASS END SYNC'!C700="SHOW",FIND(",",'ASS END SYNC'!E700,1),"")</f>
        <v/>
      </c>
      <c r="P696" s="24" t="str">
        <f>IF('ASS END SYNC'!C700="SHOW",FIND(",",'ASS END SYNC'!E700,O696+1),"")</f>
        <v/>
      </c>
      <c r="Q696" s="24" t="str">
        <f>IF('ASS END SYNC'!C700="SHOW",FIND(",",'ASS END SYNC'!E700,P696+1),"")</f>
        <v/>
      </c>
      <c r="R696" s="25" t="str">
        <f>IF('ASS END SYNC'!C700="SHOW",FIND(",,",'ASS END SYNC'!E700,1),"")</f>
        <v/>
      </c>
      <c r="S696" s="25" t="str">
        <f>IF('ASS END SYNC'!C700="SHOW",FIND(",,",'ASS END SYNC'!E700,R696+1),"")</f>
        <v/>
      </c>
      <c r="T696" s="23" t="str">
        <f>IF('ASS END SYNC'!C700="SHOW",LEFT('ASS END SYNC'!E700,O696),"")</f>
        <v/>
      </c>
      <c r="U696" s="24" t="str">
        <f>IF('ASS END SYNC'!C700="SHOW",MID('ASS END SYNC'!E700,O696+1,P696-O696-1),"")</f>
        <v/>
      </c>
      <c r="V696" s="24" t="str">
        <f>IF(AND('ASS END SYNC'!C700="SHOW",'ASS END SYNC'!C701="SHOW"),U697,IF(AND('ASS END SYNC'!C700="SHOW",'ASS END SYNC'!C701&lt;&gt;"SHOW"),MID('ASS END SYNC'!E700,O696+1,P696-O696-1),""))</f>
        <v/>
      </c>
      <c r="W696" s="23" t="str">
        <f>IF('ASS END SYNC'!C700="SHOW",MID('ASS END SYNC'!E700,Q696+1,S696-Q696+1),"")</f>
        <v/>
      </c>
      <c r="X696" s="23" t="str">
        <f>IF('ASS END SYNC'!C700="SHOW",MID('ASS END SYNC'!E700,S696+2,1000),"")</f>
        <v/>
      </c>
      <c r="Z696" s="24"/>
    </row>
    <row r="697" spans="1:26" x14ac:dyDescent="0.25">
      <c r="A697" s="26">
        <v>694</v>
      </c>
      <c r="B697" s="24" t="str">
        <f>IF('ASS START SYNC'!C701="SHOW",FIND(",",'ASS START SYNC'!E701,1),"")</f>
        <v/>
      </c>
      <c r="C697" s="24" t="str">
        <f>IF('ASS START SYNC'!C701="SHOW",FIND(",",'ASS START SYNC'!E701,B697+1),"")</f>
        <v/>
      </c>
      <c r="D697" s="24" t="str">
        <f>IF('ASS START SYNC'!C701="SHOW",FIND(",",'ASS START SYNC'!E701,C697+1),"")</f>
        <v/>
      </c>
      <c r="E697" s="25" t="str">
        <f>IF('ASS START SYNC'!C701="SHOW",FIND(",,",'ASS START SYNC'!E701,1),"")</f>
        <v/>
      </c>
      <c r="F697" s="25" t="str">
        <f>IF('ASS START SYNC'!C701="SHOW",FIND(",,",'ASS START SYNC'!E701,E697+1),"")</f>
        <v/>
      </c>
      <c r="G697" s="23" t="str">
        <f>IF('ASS START SYNC'!C701="SHOW",LEFT('ASS START SYNC'!E701,B697),"")</f>
        <v/>
      </c>
      <c r="H697" s="24" t="str">
        <f>IF(AND('ASS START SYNC'!C701="SHOW",COUNTA('ASS START SYNC'!$E$8:'ASS START SYNC'!E700)=0),MID('ASS START SYNC'!E701,B697+1,C697-B697-1),IF(AND('ASS START SYNC'!C701="SHOW",COUNTA('ASS START SYNC'!$E$8:'ASS START SYNC'!E700)&lt;&gt;0),I696,""))</f>
        <v/>
      </c>
      <c r="I697" s="24" t="str">
        <f>IF('ASS START SYNC'!C701="SHOW",MID('ASS START SYNC'!E701,C697+1,D697-C697-1),I696)</f>
        <v/>
      </c>
      <c r="J697" s="23" t="str">
        <f>IF('ASS START SYNC'!C701="SHOW",MID('ASS START SYNC'!E701,D697+1,F697-D697+1),"")</f>
        <v/>
      </c>
      <c r="K697" s="23" t="str">
        <f>IF('ASS START SYNC'!C701="SHOW",MID('ASS START SYNC'!E701,F697+2,1000),"")</f>
        <v/>
      </c>
      <c r="M697" s="24"/>
      <c r="N697" s="26">
        <v>694</v>
      </c>
      <c r="O697" s="24" t="str">
        <f>IF('ASS END SYNC'!C701="SHOW",FIND(",",'ASS END SYNC'!E701,1),"")</f>
        <v/>
      </c>
      <c r="P697" s="24" t="str">
        <f>IF('ASS END SYNC'!C701="SHOW",FIND(",",'ASS END SYNC'!E701,O697+1),"")</f>
        <v/>
      </c>
      <c r="Q697" s="24" t="str">
        <f>IF('ASS END SYNC'!C701="SHOW",FIND(",",'ASS END SYNC'!E701,P697+1),"")</f>
        <v/>
      </c>
      <c r="R697" s="25" t="str">
        <f>IF('ASS END SYNC'!C701="SHOW",FIND(",,",'ASS END SYNC'!E701,1),"")</f>
        <v/>
      </c>
      <c r="S697" s="25" t="str">
        <f>IF('ASS END SYNC'!C701="SHOW",FIND(",,",'ASS END SYNC'!E701,R697+1),"")</f>
        <v/>
      </c>
      <c r="T697" s="23" t="str">
        <f>IF('ASS END SYNC'!C701="SHOW",LEFT('ASS END SYNC'!E701,O697),"")</f>
        <v/>
      </c>
      <c r="U697" s="24" t="str">
        <f>IF('ASS END SYNC'!C701="SHOW",MID('ASS END SYNC'!E701,O697+1,P697-O697-1),"")</f>
        <v/>
      </c>
      <c r="V697" s="24" t="str">
        <f>IF(AND('ASS END SYNC'!C701="SHOW",'ASS END SYNC'!C702="SHOW"),U698,IF(AND('ASS END SYNC'!C701="SHOW",'ASS END SYNC'!C702&lt;&gt;"SHOW"),MID('ASS END SYNC'!E701,O697+1,P697-O697-1),""))</f>
        <v/>
      </c>
      <c r="W697" s="23" t="str">
        <f>IF('ASS END SYNC'!C701="SHOW",MID('ASS END SYNC'!E701,Q697+1,S697-Q697+1),"")</f>
        <v/>
      </c>
      <c r="X697" s="23" t="str">
        <f>IF('ASS END SYNC'!C701="SHOW",MID('ASS END SYNC'!E701,S697+2,1000),"")</f>
        <v/>
      </c>
      <c r="Z697" s="24"/>
    </row>
    <row r="698" spans="1:26" x14ac:dyDescent="0.25">
      <c r="A698" s="26">
        <v>695</v>
      </c>
      <c r="B698" s="24" t="str">
        <f>IF('ASS START SYNC'!C702="SHOW",FIND(",",'ASS START SYNC'!E702,1),"")</f>
        <v/>
      </c>
      <c r="C698" s="24" t="str">
        <f>IF('ASS START SYNC'!C702="SHOW",FIND(",",'ASS START SYNC'!E702,B698+1),"")</f>
        <v/>
      </c>
      <c r="D698" s="24" t="str">
        <f>IF('ASS START SYNC'!C702="SHOW",FIND(",",'ASS START SYNC'!E702,C698+1),"")</f>
        <v/>
      </c>
      <c r="E698" s="25" t="str">
        <f>IF('ASS START SYNC'!C702="SHOW",FIND(",,",'ASS START SYNC'!E702,1),"")</f>
        <v/>
      </c>
      <c r="F698" s="25" t="str">
        <f>IF('ASS START SYNC'!C702="SHOW",FIND(",,",'ASS START SYNC'!E702,E698+1),"")</f>
        <v/>
      </c>
      <c r="G698" s="23" t="str">
        <f>IF('ASS START SYNC'!C702="SHOW",LEFT('ASS START SYNC'!E702,B698),"")</f>
        <v/>
      </c>
      <c r="H698" s="24" t="str">
        <f>IF(AND('ASS START SYNC'!C702="SHOW",COUNTA('ASS START SYNC'!$E$8:'ASS START SYNC'!E701)=0),MID('ASS START SYNC'!E702,B698+1,C698-B698-1),IF(AND('ASS START SYNC'!C702="SHOW",COUNTA('ASS START SYNC'!$E$8:'ASS START SYNC'!E701)&lt;&gt;0),I697,""))</f>
        <v/>
      </c>
      <c r="I698" s="24" t="str">
        <f>IF('ASS START SYNC'!C702="SHOW",MID('ASS START SYNC'!E702,C698+1,D698-C698-1),I697)</f>
        <v/>
      </c>
      <c r="J698" s="23" t="str">
        <f>IF('ASS START SYNC'!C702="SHOW",MID('ASS START SYNC'!E702,D698+1,F698-D698+1),"")</f>
        <v/>
      </c>
      <c r="K698" s="23" t="str">
        <f>IF('ASS START SYNC'!C702="SHOW",MID('ASS START SYNC'!E702,F698+2,1000),"")</f>
        <v/>
      </c>
      <c r="M698" s="24"/>
      <c r="N698" s="26">
        <v>695</v>
      </c>
      <c r="O698" s="24" t="str">
        <f>IF('ASS END SYNC'!C702="SHOW",FIND(",",'ASS END SYNC'!E702,1),"")</f>
        <v/>
      </c>
      <c r="P698" s="24" t="str">
        <f>IF('ASS END SYNC'!C702="SHOW",FIND(",",'ASS END SYNC'!E702,O698+1),"")</f>
        <v/>
      </c>
      <c r="Q698" s="24" t="str">
        <f>IF('ASS END SYNC'!C702="SHOW",FIND(",",'ASS END SYNC'!E702,P698+1),"")</f>
        <v/>
      </c>
      <c r="R698" s="25" t="str">
        <f>IF('ASS END SYNC'!C702="SHOW",FIND(",,",'ASS END SYNC'!E702,1),"")</f>
        <v/>
      </c>
      <c r="S698" s="25" t="str">
        <f>IF('ASS END SYNC'!C702="SHOW",FIND(",,",'ASS END SYNC'!E702,R698+1),"")</f>
        <v/>
      </c>
      <c r="T698" s="23" t="str">
        <f>IF('ASS END SYNC'!C702="SHOW",LEFT('ASS END SYNC'!E702,O698),"")</f>
        <v/>
      </c>
      <c r="U698" s="24" t="str">
        <f>IF('ASS END SYNC'!C702="SHOW",MID('ASS END SYNC'!E702,O698+1,P698-O698-1),"")</f>
        <v/>
      </c>
      <c r="V698" s="24" t="str">
        <f>IF(AND('ASS END SYNC'!C702="SHOW",'ASS END SYNC'!C703="SHOW"),U699,IF(AND('ASS END SYNC'!C702="SHOW",'ASS END SYNC'!C703&lt;&gt;"SHOW"),MID('ASS END SYNC'!E702,O698+1,P698-O698-1),""))</f>
        <v/>
      </c>
      <c r="W698" s="23" t="str">
        <f>IF('ASS END SYNC'!C702="SHOW",MID('ASS END SYNC'!E702,Q698+1,S698-Q698+1),"")</f>
        <v/>
      </c>
      <c r="X698" s="23" t="str">
        <f>IF('ASS END SYNC'!C702="SHOW",MID('ASS END SYNC'!E702,S698+2,1000),"")</f>
        <v/>
      </c>
      <c r="Z698" s="24"/>
    </row>
    <row r="699" spans="1:26" x14ac:dyDescent="0.25">
      <c r="A699" s="26">
        <v>696</v>
      </c>
      <c r="B699" s="24" t="str">
        <f>IF('ASS START SYNC'!C703="SHOW",FIND(",",'ASS START SYNC'!E703,1),"")</f>
        <v/>
      </c>
      <c r="C699" s="24" t="str">
        <f>IF('ASS START SYNC'!C703="SHOW",FIND(",",'ASS START SYNC'!E703,B699+1),"")</f>
        <v/>
      </c>
      <c r="D699" s="24" t="str">
        <f>IF('ASS START SYNC'!C703="SHOW",FIND(",",'ASS START SYNC'!E703,C699+1),"")</f>
        <v/>
      </c>
      <c r="E699" s="25" t="str">
        <f>IF('ASS START SYNC'!C703="SHOW",FIND(",,",'ASS START SYNC'!E703,1),"")</f>
        <v/>
      </c>
      <c r="F699" s="25" t="str">
        <f>IF('ASS START SYNC'!C703="SHOW",FIND(",,",'ASS START SYNC'!E703,E699+1),"")</f>
        <v/>
      </c>
      <c r="G699" s="23" t="str">
        <f>IF('ASS START SYNC'!C703="SHOW",LEFT('ASS START SYNC'!E703,B699),"")</f>
        <v/>
      </c>
      <c r="H699" s="24" t="str">
        <f>IF(AND('ASS START SYNC'!C703="SHOW",COUNTA('ASS START SYNC'!$E$8:'ASS START SYNC'!E702)=0),MID('ASS START SYNC'!E703,B699+1,C699-B699-1),IF(AND('ASS START SYNC'!C703="SHOW",COUNTA('ASS START SYNC'!$E$8:'ASS START SYNC'!E702)&lt;&gt;0),I698,""))</f>
        <v/>
      </c>
      <c r="I699" s="24" t="str">
        <f>IF('ASS START SYNC'!C703="SHOW",MID('ASS START SYNC'!E703,C699+1,D699-C699-1),I698)</f>
        <v/>
      </c>
      <c r="J699" s="23" t="str">
        <f>IF('ASS START SYNC'!C703="SHOW",MID('ASS START SYNC'!E703,D699+1,F699-D699+1),"")</f>
        <v/>
      </c>
      <c r="K699" s="23" t="str">
        <f>IF('ASS START SYNC'!C703="SHOW",MID('ASS START SYNC'!E703,F699+2,1000),"")</f>
        <v/>
      </c>
      <c r="M699" s="24"/>
      <c r="N699" s="26">
        <v>696</v>
      </c>
      <c r="O699" s="24" t="str">
        <f>IF('ASS END SYNC'!C703="SHOW",FIND(",",'ASS END SYNC'!E703,1),"")</f>
        <v/>
      </c>
      <c r="P699" s="24" t="str">
        <f>IF('ASS END SYNC'!C703="SHOW",FIND(",",'ASS END SYNC'!E703,O699+1),"")</f>
        <v/>
      </c>
      <c r="Q699" s="24" t="str">
        <f>IF('ASS END SYNC'!C703="SHOW",FIND(",",'ASS END SYNC'!E703,P699+1),"")</f>
        <v/>
      </c>
      <c r="R699" s="25" t="str">
        <f>IF('ASS END SYNC'!C703="SHOW",FIND(",,",'ASS END SYNC'!E703,1),"")</f>
        <v/>
      </c>
      <c r="S699" s="25" t="str">
        <f>IF('ASS END SYNC'!C703="SHOW",FIND(",,",'ASS END SYNC'!E703,R699+1),"")</f>
        <v/>
      </c>
      <c r="T699" s="23" t="str">
        <f>IF('ASS END SYNC'!C703="SHOW",LEFT('ASS END SYNC'!E703,O699),"")</f>
        <v/>
      </c>
      <c r="U699" s="24" t="str">
        <f>IF('ASS END SYNC'!C703="SHOW",MID('ASS END SYNC'!E703,O699+1,P699-O699-1),"")</f>
        <v/>
      </c>
      <c r="V699" s="24" t="str">
        <f>IF(AND('ASS END SYNC'!C703="SHOW",'ASS END SYNC'!C704="SHOW"),U700,IF(AND('ASS END SYNC'!C703="SHOW",'ASS END SYNC'!C704&lt;&gt;"SHOW"),MID('ASS END SYNC'!E703,O699+1,P699-O699-1),""))</f>
        <v/>
      </c>
      <c r="W699" s="23" t="str">
        <f>IF('ASS END SYNC'!C703="SHOW",MID('ASS END SYNC'!E703,Q699+1,S699-Q699+1),"")</f>
        <v/>
      </c>
      <c r="X699" s="23" t="str">
        <f>IF('ASS END SYNC'!C703="SHOW",MID('ASS END SYNC'!E703,S699+2,1000),"")</f>
        <v/>
      </c>
      <c r="Z699" s="24"/>
    </row>
    <row r="700" spans="1:26" x14ac:dyDescent="0.25">
      <c r="A700" s="26">
        <v>697</v>
      </c>
      <c r="B700" s="24" t="str">
        <f>IF('ASS START SYNC'!C704="SHOW",FIND(",",'ASS START SYNC'!E704,1),"")</f>
        <v/>
      </c>
      <c r="C700" s="24" t="str">
        <f>IF('ASS START SYNC'!C704="SHOW",FIND(",",'ASS START SYNC'!E704,B700+1),"")</f>
        <v/>
      </c>
      <c r="D700" s="24" t="str">
        <f>IF('ASS START SYNC'!C704="SHOW",FIND(",",'ASS START SYNC'!E704,C700+1),"")</f>
        <v/>
      </c>
      <c r="E700" s="25" t="str">
        <f>IF('ASS START SYNC'!C704="SHOW",FIND(",,",'ASS START SYNC'!E704,1),"")</f>
        <v/>
      </c>
      <c r="F700" s="25" t="str">
        <f>IF('ASS START SYNC'!C704="SHOW",FIND(",,",'ASS START SYNC'!E704,E700+1),"")</f>
        <v/>
      </c>
      <c r="G700" s="23" t="str">
        <f>IF('ASS START SYNC'!C704="SHOW",LEFT('ASS START SYNC'!E704,B700),"")</f>
        <v/>
      </c>
      <c r="H700" s="24" t="str">
        <f>IF(AND('ASS START SYNC'!C704="SHOW",COUNTA('ASS START SYNC'!$E$8:'ASS START SYNC'!E703)=0),MID('ASS START SYNC'!E704,B700+1,C700-B700-1),IF(AND('ASS START SYNC'!C704="SHOW",COUNTA('ASS START SYNC'!$E$8:'ASS START SYNC'!E703)&lt;&gt;0),I699,""))</f>
        <v/>
      </c>
      <c r="I700" s="24" t="str">
        <f>IF('ASS START SYNC'!C704="SHOW",MID('ASS START SYNC'!E704,C700+1,D700-C700-1),I699)</f>
        <v/>
      </c>
      <c r="J700" s="23" t="str">
        <f>IF('ASS START SYNC'!C704="SHOW",MID('ASS START SYNC'!E704,D700+1,F700-D700+1),"")</f>
        <v/>
      </c>
      <c r="K700" s="23" t="str">
        <f>IF('ASS START SYNC'!C704="SHOW",MID('ASS START SYNC'!E704,F700+2,1000),"")</f>
        <v/>
      </c>
      <c r="M700" s="24"/>
      <c r="N700" s="26">
        <v>697</v>
      </c>
      <c r="O700" s="24" t="str">
        <f>IF('ASS END SYNC'!C704="SHOW",FIND(",",'ASS END SYNC'!E704,1),"")</f>
        <v/>
      </c>
      <c r="P700" s="24" t="str">
        <f>IF('ASS END SYNC'!C704="SHOW",FIND(",",'ASS END SYNC'!E704,O700+1),"")</f>
        <v/>
      </c>
      <c r="Q700" s="24" t="str">
        <f>IF('ASS END SYNC'!C704="SHOW",FIND(",",'ASS END SYNC'!E704,P700+1),"")</f>
        <v/>
      </c>
      <c r="R700" s="25" t="str">
        <f>IF('ASS END SYNC'!C704="SHOW",FIND(",,",'ASS END SYNC'!E704,1),"")</f>
        <v/>
      </c>
      <c r="S700" s="25" t="str">
        <f>IF('ASS END SYNC'!C704="SHOW",FIND(",,",'ASS END SYNC'!E704,R700+1),"")</f>
        <v/>
      </c>
      <c r="T700" s="23" t="str">
        <f>IF('ASS END SYNC'!C704="SHOW",LEFT('ASS END SYNC'!E704,O700),"")</f>
        <v/>
      </c>
      <c r="U700" s="24" t="str">
        <f>IF('ASS END SYNC'!C704="SHOW",MID('ASS END SYNC'!E704,O700+1,P700-O700-1),"")</f>
        <v/>
      </c>
      <c r="V700" s="24" t="str">
        <f>IF(AND('ASS END SYNC'!C704="SHOW",'ASS END SYNC'!C705="SHOW"),U701,IF(AND('ASS END SYNC'!C704="SHOW",'ASS END SYNC'!C705&lt;&gt;"SHOW"),MID('ASS END SYNC'!E704,O700+1,P700-O700-1),""))</f>
        <v/>
      </c>
      <c r="W700" s="23" t="str">
        <f>IF('ASS END SYNC'!C704="SHOW",MID('ASS END SYNC'!E704,Q700+1,S700-Q700+1),"")</f>
        <v/>
      </c>
      <c r="X700" s="23" t="str">
        <f>IF('ASS END SYNC'!C704="SHOW",MID('ASS END SYNC'!E704,S700+2,1000),"")</f>
        <v/>
      </c>
      <c r="Z700" s="24"/>
    </row>
    <row r="701" spans="1:26" x14ac:dyDescent="0.25">
      <c r="A701" s="26">
        <v>698</v>
      </c>
      <c r="B701" s="24" t="str">
        <f>IF('ASS START SYNC'!C705="SHOW",FIND(",",'ASS START SYNC'!E705,1),"")</f>
        <v/>
      </c>
      <c r="C701" s="24" t="str">
        <f>IF('ASS START SYNC'!C705="SHOW",FIND(",",'ASS START SYNC'!E705,B701+1),"")</f>
        <v/>
      </c>
      <c r="D701" s="24" t="str">
        <f>IF('ASS START SYNC'!C705="SHOW",FIND(",",'ASS START SYNC'!E705,C701+1),"")</f>
        <v/>
      </c>
      <c r="E701" s="25" t="str">
        <f>IF('ASS START SYNC'!C705="SHOW",FIND(",,",'ASS START SYNC'!E705,1),"")</f>
        <v/>
      </c>
      <c r="F701" s="25" t="str">
        <f>IF('ASS START SYNC'!C705="SHOW",FIND(",,",'ASS START SYNC'!E705,E701+1),"")</f>
        <v/>
      </c>
      <c r="G701" s="23" t="str">
        <f>IF('ASS START SYNC'!C705="SHOW",LEFT('ASS START SYNC'!E705,B701),"")</f>
        <v/>
      </c>
      <c r="H701" s="24" t="str">
        <f>IF(AND('ASS START SYNC'!C705="SHOW",COUNTA('ASS START SYNC'!$E$8:'ASS START SYNC'!E704)=0),MID('ASS START SYNC'!E705,B701+1,C701-B701-1),IF(AND('ASS START SYNC'!C705="SHOW",COUNTA('ASS START SYNC'!$E$8:'ASS START SYNC'!E704)&lt;&gt;0),I700,""))</f>
        <v/>
      </c>
      <c r="I701" s="24" t="str">
        <f>IF('ASS START SYNC'!C705="SHOW",MID('ASS START SYNC'!E705,C701+1,D701-C701-1),I700)</f>
        <v/>
      </c>
      <c r="J701" s="23" t="str">
        <f>IF('ASS START SYNC'!C705="SHOW",MID('ASS START SYNC'!E705,D701+1,F701-D701+1),"")</f>
        <v/>
      </c>
      <c r="K701" s="23" t="str">
        <f>IF('ASS START SYNC'!C705="SHOW",MID('ASS START SYNC'!E705,F701+2,1000),"")</f>
        <v/>
      </c>
      <c r="M701" s="24"/>
      <c r="N701" s="26">
        <v>698</v>
      </c>
      <c r="O701" s="24" t="str">
        <f>IF('ASS END SYNC'!C705="SHOW",FIND(",",'ASS END SYNC'!E705,1),"")</f>
        <v/>
      </c>
      <c r="P701" s="24" t="str">
        <f>IF('ASS END SYNC'!C705="SHOW",FIND(",",'ASS END SYNC'!E705,O701+1),"")</f>
        <v/>
      </c>
      <c r="Q701" s="24" t="str">
        <f>IF('ASS END SYNC'!C705="SHOW",FIND(",",'ASS END SYNC'!E705,P701+1),"")</f>
        <v/>
      </c>
      <c r="R701" s="25" t="str">
        <f>IF('ASS END SYNC'!C705="SHOW",FIND(",,",'ASS END SYNC'!E705,1),"")</f>
        <v/>
      </c>
      <c r="S701" s="25" t="str">
        <f>IF('ASS END SYNC'!C705="SHOW",FIND(",,",'ASS END SYNC'!E705,R701+1),"")</f>
        <v/>
      </c>
      <c r="T701" s="23" t="str">
        <f>IF('ASS END SYNC'!C705="SHOW",LEFT('ASS END SYNC'!E705,O701),"")</f>
        <v/>
      </c>
      <c r="U701" s="24" t="str">
        <f>IF('ASS END SYNC'!C705="SHOW",MID('ASS END SYNC'!E705,O701+1,P701-O701-1),"")</f>
        <v/>
      </c>
      <c r="V701" s="24" t="str">
        <f>IF(AND('ASS END SYNC'!C705="SHOW",'ASS END SYNC'!C706="SHOW"),U702,IF(AND('ASS END SYNC'!C705="SHOW",'ASS END SYNC'!C706&lt;&gt;"SHOW"),MID('ASS END SYNC'!E705,O701+1,P701-O701-1),""))</f>
        <v/>
      </c>
      <c r="W701" s="23" t="str">
        <f>IF('ASS END SYNC'!C705="SHOW",MID('ASS END SYNC'!E705,Q701+1,S701-Q701+1),"")</f>
        <v/>
      </c>
      <c r="X701" s="23" t="str">
        <f>IF('ASS END SYNC'!C705="SHOW",MID('ASS END SYNC'!E705,S701+2,1000),"")</f>
        <v/>
      </c>
      <c r="Z701" s="24"/>
    </row>
    <row r="702" spans="1:26" x14ac:dyDescent="0.25">
      <c r="A702" s="26">
        <v>699</v>
      </c>
      <c r="B702" s="24" t="str">
        <f>IF('ASS START SYNC'!C706="SHOW",FIND(",",'ASS START SYNC'!E706,1),"")</f>
        <v/>
      </c>
      <c r="C702" s="24" t="str">
        <f>IF('ASS START SYNC'!C706="SHOW",FIND(",",'ASS START SYNC'!E706,B702+1),"")</f>
        <v/>
      </c>
      <c r="D702" s="24" t="str">
        <f>IF('ASS START SYNC'!C706="SHOW",FIND(",",'ASS START SYNC'!E706,C702+1),"")</f>
        <v/>
      </c>
      <c r="E702" s="25" t="str">
        <f>IF('ASS START SYNC'!C706="SHOW",FIND(",,",'ASS START SYNC'!E706,1),"")</f>
        <v/>
      </c>
      <c r="F702" s="25" t="str">
        <f>IF('ASS START SYNC'!C706="SHOW",FIND(",,",'ASS START SYNC'!E706,E702+1),"")</f>
        <v/>
      </c>
      <c r="G702" s="23" t="str">
        <f>IF('ASS START SYNC'!C706="SHOW",LEFT('ASS START SYNC'!E706,B702),"")</f>
        <v/>
      </c>
      <c r="H702" s="24" t="str">
        <f>IF(AND('ASS START SYNC'!C706="SHOW",COUNTA('ASS START SYNC'!$E$8:'ASS START SYNC'!E705)=0),MID('ASS START SYNC'!E706,B702+1,C702-B702-1),IF(AND('ASS START SYNC'!C706="SHOW",COUNTA('ASS START SYNC'!$E$8:'ASS START SYNC'!E705)&lt;&gt;0),I701,""))</f>
        <v/>
      </c>
      <c r="I702" s="24" t="str">
        <f>IF('ASS START SYNC'!C706="SHOW",MID('ASS START SYNC'!E706,C702+1,D702-C702-1),I701)</f>
        <v/>
      </c>
      <c r="J702" s="23" t="str">
        <f>IF('ASS START SYNC'!C706="SHOW",MID('ASS START SYNC'!E706,D702+1,F702-D702+1),"")</f>
        <v/>
      </c>
      <c r="K702" s="23" t="str">
        <f>IF('ASS START SYNC'!C706="SHOW",MID('ASS START SYNC'!E706,F702+2,1000),"")</f>
        <v/>
      </c>
      <c r="M702" s="24"/>
      <c r="N702" s="26">
        <v>699</v>
      </c>
      <c r="O702" s="24" t="str">
        <f>IF('ASS END SYNC'!C706="SHOW",FIND(",",'ASS END SYNC'!E706,1),"")</f>
        <v/>
      </c>
      <c r="P702" s="24" t="str">
        <f>IF('ASS END SYNC'!C706="SHOW",FIND(",",'ASS END SYNC'!E706,O702+1),"")</f>
        <v/>
      </c>
      <c r="Q702" s="24" t="str">
        <f>IF('ASS END SYNC'!C706="SHOW",FIND(",",'ASS END SYNC'!E706,P702+1),"")</f>
        <v/>
      </c>
      <c r="R702" s="25" t="str">
        <f>IF('ASS END SYNC'!C706="SHOW",FIND(",,",'ASS END SYNC'!E706,1),"")</f>
        <v/>
      </c>
      <c r="S702" s="25" t="str">
        <f>IF('ASS END SYNC'!C706="SHOW",FIND(",,",'ASS END SYNC'!E706,R702+1),"")</f>
        <v/>
      </c>
      <c r="T702" s="23" t="str">
        <f>IF('ASS END SYNC'!C706="SHOW",LEFT('ASS END SYNC'!E706,O702),"")</f>
        <v/>
      </c>
      <c r="U702" s="24" t="str">
        <f>IF('ASS END SYNC'!C706="SHOW",MID('ASS END SYNC'!E706,O702+1,P702-O702-1),"")</f>
        <v/>
      </c>
      <c r="V702" s="24" t="str">
        <f>IF(AND('ASS END SYNC'!C706="SHOW",'ASS END SYNC'!C707="SHOW"),U703,IF(AND('ASS END SYNC'!C706="SHOW",'ASS END SYNC'!C707&lt;&gt;"SHOW"),MID('ASS END SYNC'!E706,O702+1,P702-O702-1),""))</f>
        <v/>
      </c>
      <c r="W702" s="23" t="str">
        <f>IF('ASS END SYNC'!C706="SHOW",MID('ASS END SYNC'!E706,Q702+1,S702-Q702+1),"")</f>
        <v/>
      </c>
      <c r="X702" s="23" t="str">
        <f>IF('ASS END SYNC'!C706="SHOW",MID('ASS END SYNC'!E706,S702+2,1000),"")</f>
        <v/>
      </c>
      <c r="Z702" s="24"/>
    </row>
    <row r="703" spans="1:26" x14ac:dyDescent="0.25">
      <c r="A703" s="26">
        <v>700</v>
      </c>
      <c r="B703" s="24" t="str">
        <f>IF('ASS START SYNC'!C707="SHOW",FIND(",",'ASS START SYNC'!E707,1),"")</f>
        <v/>
      </c>
      <c r="C703" s="24" t="str">
        <f>IF('ASS START SYNC'!C707="SHOW",FIND(",",'ASS START SYNC'!E707,B703+1),"")</f>
        <v/>
      </c>
      <c r="D703" s="24" t="str">
        <f>IF('ASS START SYNC'!C707="SHOW",FIND(",",'ASS START SYNC'!E707,C703+1),"")</f>
        <v/>
      </c>
      <c r="E703" s="25" t="str">
        <f>IF('ASS START SYNC'!C707="SHOW",FIND(",,",'ASS START SYNC'!E707,1),"")</f>
        <v/>
      </c>
      <c r="F703" s="25" t="str">
        <f>IF('ASS START SYNC'!C707="SHOW",FIND(",,",'ASS START SYNC'!E707,E703+1),"")</f>
        <v/>
      </c>
      <c r="G703" s="23" t="str">
        <f>IF('ASS START SYNC'!C707="SHOW",LEFT('ASS START SYNC'!E707,B703),"")</f>
        <v/>
      </c>
      <c r="H703" s="24" t="str">
        <f>IF(AND('ASS START SYNC'!C707="SHOW",COUNTA('ASS START SYNC'!$E$8:'ASS START SYNC'!E706)=0),MID('ASS START SYNC'!E707,B703+1,C703-B703-1),IF(AND('ASS START SYNC'!C707="SHOW",COUNTA('ASS START SYNC'!$E$8:'ASS START SYNC'!E706)&lt;&gt;0),I702,""))</f>
        <v/>
      </c>
      <c r="I703" s="24" t="str">
        <f>IF('ASS START SYNC'!C707="SHOW",MID('ASS START SYNC'!E707,C703+1,D703-C703-1),I702)</f>
        <v/>
      </c>
      <c r="J703" s="23" t="str">
        <f>IF('ASS START SYNC'!C707="SHOW",MID('ASS START SYNC'!E707,D703+1,F703-D703+1),"")</f>
        <v/>
      </c>
      <c r="K703" s="23" t="str">
        <f>IF('ASS START SYNC'!C707="SHOW",MID('ASS START SYNC'!E707,F703+2,1000),"")</f>
        <v/>
      </c>
      <c r="M703" s="24"/>
      <c r="N703" s="26">
        <v>700</v>
      </c>
      <c r="O703" s="24" t="str">
        <f>IF('ASS END SYNC'!C707="SHOW",FIND(",",'ASS END SYNC'!E707,1),"")</f>
        <v/>
      </c>
      <c r="P703" s="24" t="str">
        <f>IF('ASS END SYNC'!C707="SHOW",FIND(",",'ASS END SYNC'!E707,O703+1),"")</f>
        <v/>
      </c>
      <c r="Q703" s="24" t="str">
        <f>IF('ASS END SYNC'!C707="SHOW",FIND(",",'ASS END SYNC'!E707,P703+1),"")</f>
        <v/>
      </c>
      <c r="R703" s="25" t="str">
        <f>IF('ASS END SYNC'!C707="SHOW",FIND(",,",'ASS END SYNC'!E707,1),"")</f>
        <v/>
      </c>
      <c r="S703" s="25" t="str">
        <f>IF('ASS END SYNC'!C707="SHOW",FIND(",,",'ASS END SYNC'!E707,R703+1),"")</f>
        <v/>
      </c>
      <c r="T703" s="23" t="str">
        <f>IF('ASS END SYNC'!C707="SHOW",LEFT('ASS END SYNC'!E707,O703),"")</f>
        <v/>
      </c>
      <c r="U703" s="24" t="str">
        <f>IF('ASS END SYNC'!C707="SHOW",MID('ASS END SYNC'!E707,O703+1,P703-O703-1),"")</f>
        <v/>
      </c>
      <c r="V703" s="24" t="str">
        <f>IF(AND('ASS END SYNC'!C707="SHOW",'ASS END SYNC'!C708="SHOW"),U704,IF(AND('ASS END SYNC'!C707="SHOW",'ASS END SYNC'!C708&lt;&gt;"SHOW"),MID('ASS END SYNC'!E707,O703+1,P703-O703-1),""))</f>
        <v/>
      </c>
      <c r="W703" s="23" t="str">
        <f>IF('ASS END SYNC'!C707="SHOW",MID('ASS END SYNC'!E707,Q703+1,S703-Q703+1),"")</f>
        <v/>
      </c>
      <c r="X703" s="23" t="str">
        <f>IF('ASS END SYNC'!C707="SHOW",MID('ASS END SYNC'!E707,S703+2,1000),"")</f>
        <v/>
      </c>
      <c r="Z703" s="24"/>
    </row>
    <row r="704" spans="1:26" x14ac:dyDescent="0.25">
      <c r="A704" s="26">
        <v>701</v>
      </c>
      <c r="B704" s="24" t="str">
        <f>IF('ASS START SYNC'!C708="SHOW",FIND(",",'ASS START SYNC'!E708,1),"")</f>
        <v/>
      </c>
      <c r="C704" s="24" t="str">
        <f>IF('ASS START SYNC'!C708="SHOW",FIND(",",'ASS START SYNC'!E708,B704+1),"")</f>
        <v/>
      </c>
      <c r="D704" s="24" t="str">
        <f>IF('ASS START SYNC'!C708="SHOW",FIND(",",'ASS START SYNC'!E708,C704+1),"")</f>
        <v/>
      </c>
      <c r="E704" s="25" t="str">
        <f>IF('ASS START SYNC'!C708="SHOW",FIND(",,",'ASS START SYNC'!E708,1),"")</f>
        <v/>
      </c>
      <c r="F704" s="25" t="str">
        <f>IF('ASS START SYNC'!C708="SHOW",FIND(",,",'ASS START SYNC'!E708,E704+1),"")</f>
        <v/>
      </c>
      <c r="G704" s="23" t="str">
        <f>IF('ASS START SYNC'!C708="SHOW",LEFT('ASS START SYNC'!E708,B704),"")</f>
        <v/>
      </c>
      <c r="H704" s="24" t="str">
        <f>IF(AND('ASS START SYNC'!C708="SHOW",COUNTA('ASS START SYNC'!$E$8:'ASS START SYNC'!E707)=0),MID('ASS START SYNC'!E708,B704+1,C704-B704-1),IF(AND('ASS START SYNC'!C708="SHOW",COUNTA('ASS START SYNC'!$E$8:'ASS START SYNC'!E707)&lt;&gt;0),I703,""))</f>
        <v/>
      </c>
      <c r="I704" s="24" t="str">
        <f>IF('ASS START SYNC'!C708="SHOW",MID('ASS START SYNC'!E708,C704+1,D704-C704-1),I703)</f>
        <v/>
      </c>
      <c r="J704" s="23" t="str">
        <f>IF('ASS START SYNC'!C708="SHOW",MID('ASS START SYNC'!E708,D704+1,F704-D704+1),"")</f>
        <v/>
      </c>
      <c r="K704" s="23" t="str">
        <f>IF('ASS START SYNC'!C708="SHOW",MID('ASS START SYNC'!E708,F704+2,1000),"")</f>
        <v/>
      </c>
      <c r="M704" s="24"/>
      <c r="N704" s="26">
        <v>701</v>
      </c>
      <c r="O704" s="24" t="str">
        <f>IF('ASS END SYNC'!C708="SHOW",FIND(",",'ASS END SYNC'!E708,1),"")</f>
        <v/>
      </c>
      <c r="P704" s="24" t="str">
        <f>IF('ASS END SYNC'!C708="SHOW",FIND(",",'ASS END SYNC'!E708,O704+1),"")</f>
        <v/>
      </c>
      <c r="Q704" s="24" t="str">
        <f>IF('ASS END SYNC'!C708="SHOW",FIND(",",'ASS END SYNC'!E708,P704+1),"")</f>
        <v/>
      </c>
      <c r="R704" s="25" t="str">
        <f>IF('ASS END SYNC'!C708="SHOW",FIND(",,",'ASS END SYNC'!E708,1),"")</f>
        <v/>
      </c>
      <c r="S704" s="25" t="str">
        <f>IF('ASS END SYNC'!C708="SHOW",FIND(",,",'ASS END SYNC'!E708,R704+1),"")</f>
        <v/>
      </c>
      <c r="T704" s="23" t="str">
        <f>IF('ASS END SYNC'!C708="SHOW",LEFT('ASS END SYNC'!E708,O704),"")</f>
        <v/>
      </c>
      <c r="U704" s="24" t="str">
        <f>IF('ASS END SYNC'!C708="SHOW",MID('ASS END SYNC'!E708,O704+1,P704-O704-1),"")</f>
        <v/>
      </c>
      <c r="V704" s="24" t="str">
        <f>IF(AND('ASS END SYNC'!C708="SHOW",'ASS END SYNC'!C709="SHOW"),U705,IF(AND('ASS END SYNC'!C708="SHOW",'ASS END SYNC'!C709&lt;&gt;"SHOW"),MID('ASS END SYNC'!E708,O704+1,P704-O704-1),""))</f>
        <v/>
      </c>
      <c r="W704" s="23" t="str">
        <f>IF('ASS END SYNC'!C708="SHOW",MID('ASS END SYNC'!E708,Q704+1,S704-Q704+1),"")</f>
        <v/>
      </c>
      <c r="X704" s="23" t="str">
        <f>IF('ASS END SYNC'!C708="SHOW",MID('ASS END SYNC'!E708,S704+2,1000),"")</f>
        <v/>
      </c>
      <c r="Z704" s="24"/>
    </row>
    <row r="705" spans="1:26" x14ac:dyDescent="0.25">
      <c r="A705" s="26">
        <v>702</v>
      </c>
      <c r="B705" s="24" t="str">
        <f>IF('ASS START SYNC'!C709="SHOW",FIND(",",'ASS START SYNC'!E709,1),"")</f>
        <v/>
      </c>
      <c r="C705" s="24" t="str">
        <f>IF('ASS START SYNC'!C709="SHOW",FIND(",",'ASS START SYNC'!E709,B705+1),"")</f>
        <v/>
      </c>
      <c r="D705" s="24" t="str">
        <f>IF('ASS START SYNC'!C709="SHOW",FIND(",",'ASS START SYNC'!E709,C705+1),"")</f>
        <v/>
      </c>
      <c r="E705" s="25" t="str">
        <f>IF('ASS START SYNC'!C709="SHOW",FIND(",,",'ASS START SYNC'!E709,1),"")</f>
        <v/>
      </c>
      <c r="F705" s="25" t="str">
        <f>IF('ASS START SYNC'!C709="SHOW",FIND(",,",'ASS START SYNC'!E709,E705+1),"")</f>
        <v/>
      </c>
      <c r="G705" s="23" t="str">
        <f>IF('ASS START SYNC'!C709="SHOW",LEFT('ASS START SYNC'!E709,B705),"")</f>
        <v/>
      </c>
      <c r="H705" s="24" t="str">
        <f>IF(AND('ASS START SYNC'!C709="SHOW",COUNTA('ASS START SYNC'!$E$8:'ASS START SYNC'!E708)=0),MID('ASS START SYNC'!E709,B705+1,C705-B705-1),IF(AND('ASS START SYNC'!C709="SHOW",COUNTA('ASS START SYNC'!$E$8:'ASS START SYNC'!E708)&lt;&gt;0),I704,""))</f>
        <v/>
      </c>
      <c r="I705" s="24" t="str">
        <f>IF('ASS START SYNC'!C709="SHOW",MID('ASS START SYNC'!E709,C705+1,D705-C705-1),I704)</f>
        <v/>
      </c>
      <c r="J705" s="23" t="str">
        <f>IF('ASS START SYNC'!C709="SHOW",MID('ASS START SYNC'!E709,D705+1,F705-D705+1),"")</f>
        <v/>
      </c>
      <c r="K705" s="23" t="str">
        <f>IF('ASS START SYNC'!C709="SHOW",MID('ASS START SYNC'!E709,F705+2,1000),"")</f>
        <v/>
      </c>
      <c r="M705" s="24"/>
      <c r="N705" s="26">
        <v>702</v>
      </c>
      <c r="O705" s="24" t="str">
        <f>IF('ASS END SYNC'!C709="SHOW",FIND(",",'ASS END SYNC'!E709,1),"")</f>
        <v/>
      </c>
      <c r="P705" s="24" t="str">
        <f>IF('ASS END SYNC'!C709="SHOW",FIND(",",'ASS END SYNC'!E709,O705+1),"")</f>
        <v/>
      </c>
      <c r="Q705" s="24" t="str">
        <f>IF('ASS END SYNC'!C709="SHOW",FIND(",",'ASS END SYNC'!E709,P705+1),"")</f>
        <v/>
      </c>
      <c r="R705" s="25" t="str">
        <f>IF('ASS END SYNC'!C709="SHOW",FIND(",,",'ASS END SYNC'!E709,1),"")</f>
        <v/>
      </c>
      <c r="S705" s="25" t="str">
        <f>IF('ASS END SYNC'!C709="SHOW",FIND(",,",'ASS END SYNC'!E709,R705+1),"")</f>
        <v/>
      </c>
      <c r="T705" s="23" t="str">
        <f>IF('ASS END SYNC'!C709="SHOW",LEFT('ASS END SYNC'!E709,O705),"")</f>
        <v/>
      </c>
      <c r="U705" s="24" t="str">
        <f>IF('ASS END SYNC'!C709="SHOW",MID('ASS END SYNC'!E709,O705+1,P705-O705-1),"")</f>
        <v/>
      </c>
      <c r="V705" s="24" t="str">
        <f>IF(AND('ASS END SYNC'!C709="SHOW",'ASS END SYNC'!C710="SHOW"),U706,IF(AND('ASS END SYNC'!C709="SHOW",'ASS END SYNC'!C710&lt;&gt;"SHOW"),MID('ASS END SYNC'!E709,O705+1,P705-O705-1),""))</f>
        <v/>
      </c>
      <c r="W705" s="23" t="str">
        <f>IF('ASS END SYNC'!C709="SHOW",MID('ASS END SYNC'!E709,Q705+1,S705-Q705+1),"")</f>
        <v/>
      </c>
      <c r="X705" s="23" t="str">
        <f>IF('ASS END SYNC'!C709="SHOW",MID('ASS END SYNC'!E709,S705+2,1000),"")</f>
        <v/>
      </c>
      <c r="Z705" s="24"/>
    </row>
    <row r="706" spans="1:26" x14ac:dyDescent="0.25">
      <c r="A706" s="26">
        <v>703</v>
      </c>
      <c r="B706" s="24" t="str">
        <f>IF('ASS START SYNC'!C710="SHOW",FIND(",",'ASS START SYNC'!E710,1),"")</f>
        <v/>
      </c>
      <c r="C706" s="24" t="str">
        <f>IF('ASS START SYNC'!C710="SHOW",FIND(",",'ASS START SYNC'!E710,B706+1),"")</f>
        <v/>
      </c>
      <c r="D706" s="24" t="str">
        <f>IF('ASS START SYNC'!C710="SHOW",FIND(",",'ASS START SYNC'!E710,C706+1),"")</f>
        <v/>
      </c>
      <c r="E706" s="25" t="str">
        <f>IF('ASS START SYNC'!C710="SHOW",FIND(",,",'ASS START SYNC'!E710,1),"")</f>
        <v/>
      </c>
      <c r="F706" s="25" t="str">
        <f>IF('ASS START SYNC'!C710="SHOW",FIND(",,",'ASS START SYNC'!E710,E706+1),"")</f>
        <v/>
      </c>
      <c r="G706" s="23" t="str">
        <f>IF('ASS START SYNC'!C710="SHOW",LEFT('ASS START SYNC'!E710,B706),"")</f>
        <v/>
      </c>
      <c r="H706" s="24" t="str">
        <f>IF(AND('ASS START SYNC'!C710="SHOW",COUNTA('ASS START SYNC'!$E$8:'ASS START SYNC'!E709)=0),MID('ASS START SYNC'!E710,B706+1,C706-B706-1),IF(AND('ASS START SYNC'!C710="SHOW",COUNTA('ASS START SYNC'!$E$8:'ASS START SYNC'!E709)&lt;&gt;0),I705,""))</f>
        <v/>
      </c>
      <c r="I706" s="24" t="str">
        <f>IF('ASS START SYNC'!C710="SHOW",MID('ASS START SYNC'!E710,C706+1,D706-C706-1),I705)</f>
        <v/>
      </c>
      <c r="J706" s="23" t="str">
        <f>IF('ASS START SYNC'!C710="SHOW",MID('ASS START SYNC'!E710,D706+1,F706-D706+1),"")</f>
        <v/>
      </c>
      <c r="K706" s="23" t="str">
        <f>IF('ASS START SYNC'!C710="SHOW",MID('ASS START SYNC'!E710,F706+2,1000),"")</f>
        <v/>
      </c>
      <c r="M706" s="24"/>
      <c r="N706" s="26">
        <v>703</v>
      </c>
      <c r="O706" s="24" t="str">
        <f>IF('ASS END SYNC'!C710="SHOW",FIND(",",'ASS END SYNC'!E710,1),"")</f>
        <v/>
      </c>
      <c r="P706" s="24" t="str">
        <f>IF('ASS END SYNC'!C710="SHOW",FIND(",",'ASS END SYNC'!E710,O706+1),"")</f>
        <v/>
      </c>
      <c r="Q706" s="24" t="str">
        <f>IF('ASS END SYNC'!C710="SHOW",FIND(",",'ASS END SYNC'!E710,P706+1),"")</f>
        <v/>
      </c>
      <c r="R706" s="25" t="str">
        <f>IF('ASS END SYNC'!C710="SHOW",FIND(",,",'ASS END SYNC'!E710,1),"")</f>
        <v/>
      </c>
      <c r="S706" s="25" t="str">
        <f>IF('ASS END SYNC'!C710="SHOW",FIND(",,",'ASS END SYNC'!E710,R706+1),"")</f>
        <v/>
      </c>
      <c r="T706" s="23" t="str">
        <f>IF('ASS END SYNC'!C710="SHOW",LEFT('ASS END SYNC'!E710,O706),"")</f>
        <v/>
      </c>
      <c r="U706" s="24" t="str">
        <f>IF('ASS END SYNC'!C710="SHOW",MID('ASS END SYNC'!E710,O706+1,P706-O706-1),"")</f>
        <v/>
      </c>
      <c r="V706" s="24" t="str">
        <f>IF(AND('ASS END SYNC'!C710="SHOW",'ASS END SYNC'!C711="SHOW"),U707,IF(AND('ASS END SYNC'!C710="SHOW",'ASS END SYNC'!C711&lt;&gt;"SHOW"),MID('ASS END SYNC'!E710,O706+1,P706-O706-1),""))</f>
        <v/>
      </c>
      <c r="W706" s="23" t="str">
        <f>IF('ASS END SYNC'!C710="SHOW",MID('ASS END SYNC'!E710,Q706+1,S706-Q706+1),"")</f>
        <v/>
      </c>
      <c r="X706" s="23" t="str">
        <f>IF('ASS END SYNC'!C710="SHOW",MID('ASS END SYNC'!E710,S706+2,1000),"")</f>
        <v/>
      </c>
      <c r="Z706" s="24"/>
    </row>
    <row r="707" spans="1:26" x14ac:dyDescent="0.25">
      <c r="A707" s="26">
        <v>704</v>
      </c>
      <c r="B707" s="24" t="str">
        <f>IF('ASS START SYNC'!C711="SHOW",FIND(",",'ASS START SYNC'!E711,1),"")</f>
        <v/>
      </c>
      <c r="C707" s="24" t="str">
        <f>IF('ASS START SYNC'!C711="SHOW",FIND(",",'ASS START SYNC'!E711,B707+1),"")</f>
        <v/>
      </c>
      <c r="D707" s="24" t="str">
        <f>IF('ASS START SYNC'!C711="SHOW",FIND(",",'ASS START SYNC'!E711,C707+1),"")</f>
        <v/>
      </c>
      <c r="E707" s="25" t="str">
        <f>IF('ASS START SYNC'!C711="SHOW",FIND(",,",'ASS START SYNC'!E711,1),"")</f>
        <v/>
      </c>
      <c r="F707" s="25" t="str">
        <f>IF('ASS START SYNC'!C711="SHOW",FIND(",,",'ASS START SYNC'!E711,E707+1),"")</f>
        <v/>
      </c>
      <c r="G707" s="23" t="str">
        <f>IF('ASS START SYNC'!C711="SHOW",LEFT('ASS START SYNC'!E711,B707),"")</f>
        <v/>
      </c>
      <c r="H707" s="24" t="str">
        <f>IF(AND('ASS START SYNC'!C711="SHOW",COUNTA('ASS START SYNC'!$E$8:'ASS START SYNC'!E710)=0),MID('ASS START SYNC'!E711,B707+1,C707-B707-1),IF(AND('ASS START SYNC'!C711="SHOW",COUNTA('ASS START SYNC'!$E$8:'ASS START SYNC'!E710)&lt;&gt;0),I706,""))</f>
        <v/>
      </c>
      <c r="I707" s="24" t="str">
        <f>IF('ASS START SYNC'!C711="SHOW",MID('ASS START SYNC'!E711,C707+1,D707-C707-1),I706)</f>
        <v/>
      </c>
      <c r="J707" s="23" t="str">
        <f>IF('ASS START SYNC'!C711="SHOW",MID('ASS START SYNC'!E711,D707+1,F707-D707+1),"")</f>
        <v/>
      </c>
      <c r="K707" s="23" t="str">
        <f>IF('ASS START SYNC'!C711="SHOW",MID('ASS START SYNC'!E711,F707+2,1000),"")</f>
        <v/>
      </c>
      <c r="M707" s="24"/>
      <c r="N707" s="26">
        <v>704</v>
      </c>
      <c r="O707" s="24" t="str">
        <f>IF('ASS END SYNC'!C711="SHOW",FIND(",",'ASS END SYNC'!E711,1),"")</f>
        <v/>
      </c>
      <c r="P707" s="24" t="str">
        <f>IF('ASS END SYNC'!C711="SHOW",FIND(",",'ASS END SYNC'!E711,O707+1),"")</f>
        <v/>
      </c>
      <c r="Q707" s="24" t="str">
        <f>IF('ASS END SYNC'!C711="SHOW",FIND(",",'ASS END SYNC'!E711,P707+1),"")</f>
        <v/>
      </c>
      <c r="R707" s="25" t="str">
        <f>IF('ASS END SYNC'!C711="SHOW",FIND(",,",'ASS END SYNC'!E711,1),"")</f>
        <v/>
      </c>
      <c r="S707" s="25" t="str">
        <f>IF('ASS END SYNC'!C711="SHOW",FIND(",,",'ASS END SYNC'!E711,R707+1),"")</f>
        <v/>
      </c>
      <c r="T707" s="23" t="str">
        <f>IF('ASS END SYNC'!C711="SHOW",LEFT('ASS END SYNC'!E711,O707),"")</f>
        <v/>
      </c>
      <c r="U707" s="24" t="str">
        <f>IF('ASS END SYNC'!C711="SHOW",MID('ASS END SYNC'!E711,O707+1,P707-O707-1),"")</f>
        <v/>
      </c>
      <c r="V707" s="24" t="str">
        <f>IF(AND('ASS END SYNC'!C711="SHOW",'ASS END SYNC'!C712="SHOW"),U708,IF(AND('ASS END SYNC'!C711="SHOW",'ASS END SYNC'!C712&lt;&gt;"SHOW"),MID('ASS END SYNC'!E711,O707+1,P707-O707-1),""))</f>
        <v/>
      </c>
      <c r="W707" s="23" t="str">
        <f>IF('ASS END SYNC'!C711="SHOW",MID('ASS END SYNC'!E711,Q707+1,S707-Q707+1),"")</f>
        <v/>
      </c>
      <c r="X707" s="23" t="str">
        <f>IF('ASS END SYNC'!C711="SHOW",MID('ASS END SYNC'!E711,S707+2,1000),"")</f>
        <v/>
      </c>
      <c r="Z707" s="24"/>
    </row>
    <row r="708" spans="1:26" x14ac:dyDescent="0.25">
      <c r="A708" s="26">
        <v>705</v>
      </c>
      <c r="B708" s="24" t="str">
        <f>IF('ASS START SYNC'!C712="SHOW",FIND(",",'ASS START SYNC'!E712,1),"")</f>
        <v/>
      </c>
      <c r="C708" s="24" t="str">
        <f>IF('ASS START SYNC'!C712="SHOW",FIND(",",'ASS START SYNC'!E712,B708+1),"")</f>
        <v/>
      </c>
      <c r="D708" s="24" t="str">
        <f>IF('ASS START SYNC'!C712="SHOW",FIND(",",'ASS START SYNC'!E712,C708+1),"")</f>
        <v/>
      </c>
      <c r="E708" s="25" t="str">
        <f>IF('ASS START SYNC'!C712="SHOW",FIND(",,",'ASS START SYNC'!E712,1),"")</f>
        <v/>
      </c>
      <c r="F708" s="25" t="str">
        <f>IF('ASS START SYNC'!C712="SHOW",FIND(",,",'ASS START SYNC'!E712,E708+1),"")</f>
        <v/>
      </c>
      <c r="G708" s="23" t="str">
        <f>IF('ASS START SYNC'!C712="SHOW",LEFT('ASS START SYNC'!E712,B708),"")</f>
        <v/>
      </c>
      <c r="H708" s="24" t="str">
        <f>IF(AND('ASS START SYNC'!C712="SHOW",COUNTA('ASS START SYNC'!$E$8:'ASS START SYNC'!E711)=0),MID('ASS START SYNC'!E712,B708+1,C708-B708-1),IF(AND('ASS START SYNC'!C712="SHOW",COUNTA('ASS START SYNC'!$E$8:'ASS START SYNC'!E711)&lt;&gt;0),I707,""))</f>
        <v/>
      </c>
      <c r="I708" s="24" t="str">
        <f>IF('ASS START SYNC'!C712="SHOW",MID('ASS START SYNC'!E712,C708+1,D708-C708-1),I707)</f>
        <v/>
      </c>
      <c r="J708" s="23" t="str">
        <f>IF('ASS START SYNC'!C712="SHOW",MID('ASS START SYNC'!E712,D708+1,F708-D708+1),"")</f>
        <v/>
      </c>
      <c r="K708" s="23" t="str">
        <f>IF('ASS START SYNC'!C712="SHOW",MID('ASS START SYNC'!E712,F708+2,1000),"")</f>
        <v/>
      </c>
      <c r="M708" s="24"/>
      <c r="N708" s="26">
        <v>705</v>
      </c>
      <c r="O708" s="24" t="str">
        <f>IF('ASS END SYNC'!C712="SHOW",FIND(",",'ASS END SYNC'!E712,1),"")</f>
        <v/>
      </c>
      <c r="P708" s="24" t="str">
        <f>IF('ASS END SYNC'!C712="SHOW",FIND(",",'ASS END SYNC'!E712,O708+1),"")</f>
        <v/>
      </c>
      <c r="Q708" s="24" t="str">
        <f>IF('ASS END SYNC'!C712="SHOW",FIND(",",'ASS END SYNC'!E712,P708+1),"")</f>
        <v/>
      </c>
      <c r="R708" s="25" t="str">
        <f>IF('ASS END SYNC'!C712="SHOW",FIND(",,",'ASS END SYNC'!E712,1),"")</f>
        <v/>
      </c>
      <c r="S708" s="25" t="str">
        <f>IF('ASS END SYNC'!C712="SHOW",FIND(",,",'ASS END SYNC'!E712,R708+1),"")</f>
        <v/>
      </c>
      <c r="T708" s="23" t="str">
        <f>IF('ASS END SYNC'!C712="SHOW",LEFT('ASS END SYNC'!E712,O708),"")</f>
        <v/>
      </c>
      <c r="U708" s="24" t="str">
        <f>IF('ASS END SYNC'!C712="SHOW",MID('ASS END SYNC'!E712,O708+1,P708-O708-1),"")</f>
        <v/>
      </c>
      <c r="V708" s="24" t="str">
        <f>IF(AND('ASS END SYNC'!C712="SHOW",'ASS END SYNC'!C713="SHOW"),U709,IF(AND('ASS END SYNC'!C712="SHOW",'ASS END SYNC'!C713&lt;&gt;"SHOW"),MID('ASS END SYNC'!E712,O708+1,P708-O708-1),""))</f>
        <v/>
      </c>
      <c r="W708" s="23" t="str">
        <f>IF('ASS END SYNC'!C712="SHOW",MID('ASS END SYNC'!E712,Q708+1,S708-Q708+1),"")</f>
        <v/>
      </c>
      <c r="X708" s="23" t="str">
        <f>IF('ASS END SYNC'!C712="SHOW",MID('ASS END SYNC'!E712,S708+2,1000),"")</f>
        <v/>
      </c>
      <c r="Z708" s="24"/>
    </row>
    <row r="709" spans="1:26" x14ac:dyDescent="0.25">
      <c r="A709" s="26">
        <v>706</v>
      </c>
      <c r="B709" s="24" t="str">
        <f>IF('ASS START SYNC'!C713="SHOW",FIND(",",'ASS START SYNC'!E713,1),"")</f>
        <v/>
      </c>
      <c r="C709" s="24" t="str">
        <f>IF('ASS START SYNC'!C713="SHOW",FIND(",",'ASS START SYNC'!E713,B709+1),"")</f>
        <v/>
      </c>
      <c r="D709" s="24" t="str">
        <f>IF('ASS START SYNC'!C713="SHOW",FIND(",",'ASS START SYNC'!E713,C709+1),"")</f>
        <v/>
      </c>
      <c r="E709" s="25" t="str">
        <f>IF('ASS START SYNC'!C713="SHOW",FIND(",,",'ASS START SYNC'!E713,1),"")</f>
        <v/>
      </c>
      <c r="F709" s="25" t="str">
        <f>IF('ASS START SYNC'!C713="SHOW",FIND(",,",'ASS START SYNC'!E713,E709+1),"")</f>
        <v/>
      </c>
      <c r="G709" s="23" t="str">
        <f>IF('ASS START SYNC'!C713="SHOW",LEFT('ASS START SYNC'!E713,B709),"")</f>
        <v/>
      </c>
      <c r="H709" s="24" t="str">
        <f>IF(AND('ASS START SYNC'!C713="SHOW",COUNTA('ASS START SYNC'!$E$8:'ASS START SYNC'!E712)=0),MID('ASS START SYNC'!E713,B709+1,C709-B709-1),IF(AND('ASS START SYNC'!C713="SHOW",COUNTA('ASS START SYNC'!$E$8:'ASS START SYNC'!E712)&lt;&gt;0),I708,""))</f>
        <v/>
      </c>
      <c r="I709" s="24" t="str">
        <f>IF('ASS START SYNC'!C713="SHOW",MID('ASS START SYNC'!E713,C709+1,D709-C709-1),I708)</f>
        <v/>
      </c>
      <c r="J709" s="23" t="str">
        <f>IF('ASS START SYNC'!C713="SHOW",MID('ASS START SYNC'!E713,D709+1,F709-D709+1),"")</f>
        <v/>
      </c>
      <c r="K709" s="23" t="str">
        <f>IF('ASS START SYNC'!C713="SHOW",MID('ASS START SYNC'!E713,F709+2,1000),"")</f>
        <v/>
      </c>
      <c r="M709" s="24"/>
      <c r="N709" s="26">
        <v>706</v>
      </c>
      <c r="O709" s="24" t="str">
        <f>IF('ASS END SYNC'!C713="SHOW",FIND(",",'ASS END SYNC'!E713,1),"")</f>
        <v/>
      </c>
      <c r="P709" s="24" t="str">
        <f>IF('ASS END SYNC'!C713="SHOW",FIND(",",'ASS END SYNC'!E713,O709+1),"")</f>
        <v/>
      </c>
      <c r="Q709" s="24" t="str">
        <f>IF('ASS END SYNC'!C713="SHOW",FIND(",",'ASS END SYNC'!E713,P709+1),"")</f>
        <v/>
      </c>
      <c r="R709" s="25" t="str">
        <f>IF('ASS END SYNC'!C713="SHOW",FIND(",,",'ASS END SYNC'!E713,1),"")</f>
        <v/>
      </c>
      <c r="S709" s="25" t="str">
        <f>IF('ASS END SYNC'!C713="SHOW",FIND(",,",'ASS END SYNC'!E713,R709+1),"")</f>
        <v/>
      </c>
      <c r="T709" s="23" t="str">
        <f>IF('ASS END SYNC'!C713="SHOW",LEFT('ASS END SYNC'!E713,O709),"")</f>
        <v/>
      </c>
      <c r="U709" s="24" t="str">
        <f>IF('ASS END SYNC'!C713="SHOW",MID('ASS END SYNC'!E713,O709+1,P709-O709-1),"")</f>
        <v/>
      </c>
      <c r="V709" s="24" t="str">
        <f>IF(AND('ASS END SYNC'!C713="SHOW",'ASS END SYNC'!C714="SHOW"),U710,IF(AND('ASS END SYNC'!C713="SHOW",'ASS END SYNC'!C714&lt;&gt;"SHOW"),MID('ASS END SYNC'!E713,O709+1,P709-O709-1),""))</f>
        <v/>
      </c>
      <c r="W709" s="23" t="str">
        <f>IF('ASS END SYNC'!C713="SHOW",MID('ASS END SYNC'!E713,Q709+1,S709-Q709+1),"")</f>
        <v/>
      </c>
      <c r="X709" s="23" t="str">
        <f>IF('ASS END SYNC'!C713="SHOW",MID('ASS END SYNC'!E713,S709+2,1000),"")</f>
        <v/>
      </c>
      <c r="Z709" s="24"/>
    </row>
    <row r="710" spans="1:26" x14ac:dyDescent="0.25">
      <c r="A710" s="26">
        <v>707</v>
      </c>
      <c r="B710" s="24" t="str">
        <f>IF('ASS START SYNC'!C714="SHOW",FIND(",",'ASS START SYNC'!E714,1),"")</f>
        <v/>
      </c>
      <c r="C710" s="24" t="str">
        <f>IF('ASS START SYNC'!C714="SHOW",FIND(",",'ASS START SYNC'!E714,B710+1),"")</f>
        <v/>
      </c>
      <c r="D710" s="24" t="str">
        <f>IF('ASS START SYNC'!C714="SHOW",FIND(",",'ASS START SYNC'!E714,C710+1),"")</f>
        <v/>
      </c>
      <c r="E710" s="25" t="str">
        <f>IF('ASS START SYNC'!C714="SHOW",FIND(",,",'ASS START SYNC'!E714,1),"")</f>
        <v/>
      </c>
      <c r="F710" s="25" t="str">
        <f>IF('ASS START SYNC'!C714="SHOW",FIND(",,",'ASS START SYNC'!E714,E710+1),"")</f>
        <v/>
      </c>
      <c r="G710" s="23" t="str">
        <f>IF('ASS START SYNC'!C714="SHOW",LEFT('ASS START SYNC'!E714,B710),"")</f>
        <v/>
      </c>
      <c r="H710" s="24" t="str">
        <f>IF(AND('ASS START SYNC'!C714="SHOW",COUNTA('ASS START SYNC'!$E$8:'ASS START SYNC'!E713)=0),MID('ASS START SYNC'!E714,B710+1,C710-B710-1),IF(AND('ASS START SYNC'!C714="SHOW",COUNTA('ASS START SYNC'!$E$8:'ASS START SYNC'!E713)&lt;&gt;0),I709,""))</f>
        <v/>
      </c>
      <c r="I710" s="24" t="str">
        <f>IF('ASS START SYNC'!C714="SHOW",MID('ASS START SYNC'!E714,C710+1,D710-C710-1),I709)</f>
        <v/>
      </c>
      <c r="J710" s="23" t="str">
        <f>IF('ASS START SYNC'!C714="SHOW",MID('ASS START SYNC'!E714,D710+1,F710-D710+1),"")</f>
        <v/>
      </c>
      <c r="K710" s="23" t="str">
        <f>IF('ASS START SYNC'!C714="SHOW",MID('ASS START SYNC'!E714,F710+2,1000),"")</f>
        <v/>
      </c>
      <c r="M710" s="24"/>
      <c r="N710" s="26">
        <v>707</v>
      </c>
      <c r="O710" s="24" t="str">
        <f>IF('ASS END SYNC'!C714="SHOW",FIND(",",'ASS END SYNC'!E714,1),"")</f>
        <v/>
      </c>
      <c r="P710" s="24" t="str">
        <f>IF('ASS END SYNC'!C714="SHOW",FIND(",",'ASS END SYNC'!E714,O710+1),"")</f>
        <v/>
      </c>
      <c r="Q710" s="24" t="str">
        <f>IF('ASS END SYNC'!C714="SHOW",FIND(",",'ASS END SYNC'!E714,P710+1),"")</f>
        <v/>
      </c>
      <c r="R710" s="25" t="str">
        <f>IF('ASS END SYNC'!C714="SHOW",FIND(",,",'ASS END SYNC'!E714,1),"")</f>
        <v/>
      </c>
      <c r="S710" s="25" t="str">
        <f>IF('ASS END SYNC'!C714="SHOW",FIND(",,",'ASS END SYNC'!E714,R710+1),"")</f>
        <v/>
      </c>
      <c r="T710" s="23" t="str">
        <f>IF('ASS END SYNC'!C714="SHOW",LEFT('ASS END SYNC'!E714,O710),"")</f>
        <v/>
      </c>
      <c r="U710" s="24" t="str">
        <f>IF('ASS END SYNC'!C714="SHOW",MID('ASS END SYNC'!E714,O710+1,P710-O710-1),"")</f>
        <v/>
      </c>
      <c r="V710" s="24" t="str">
        <f>IF(AND('ASS END SYNC'!C714="SHOW",'ASS END SYNC'!C715="SHOW"),U711,IF(AND('ASS END SYNC'!C714="SHOW",'ASS END SYNC'!C715&lt;&gt;"SHOW"),MID('ASS END SYNC'!E714,O710+1,P710-O710-1),""))</f>
        <v/>
      </c>
      <c r="W710" s="23" t="str">
        <f>IF('ASS END SYNC'!C714="SHOW",MID('ASS END SYNC'!E714,Q710+1,S710-Q710+1),"")</f>
        <v/>
      </c>
      <c r="X710" s="23" t="str">
        <f>IF('ASS END SYNC'!C714="SHOW",MID('ASS END SYNC'!E714,S710+2,1000),"")</f>
        <v/>
      </c>
      <c r="Z710" s="24"/>
    </row>
    <row r="711" spans="1:26" x14ac:dyDescent="0.25">
      <c r="A711" s="26">
        <v>708</v>
      </c>
      <c r="B711" s="24" t="str">
        <f>IF('ASS START SYNC'!C715="SHOW",FIND(",",'ASS START SYNC'!E715,1),"")</f>
        <v/>
      </c>
      <c r="C711" s="24" t="str">
        <f>IF('ASS START SYNC'!C715="SHOW",FIND(",",'ASS START SYNC'!E715,B711+1),"")</f>
        <v/>
      </c>
      <c r="D711" s="24" t="str">
        <f>IF('ASS START SYNC'!C715="SHOW",FIND(",",'ASS START SYNC'!E715,C711+1),"")</f>
        <v/>
      </c>
      <c r="E711" s="25" t="str">
        <f>IF('ASS START SYNC'!C715="SHOW",FIND(",,",'ASS START SYNC'!E715,1),"")</f>
        <v/>
      </c>
      <c r="F711" s="25" t="str">
        <f>IF('ASS START SYNC'!C715="SHOW",FIND(",,",'ASS START SYNC'!E715,E711+1),"")</f>
        <v/>
      </c>
      <c r="G711" s="23" t="str">
        <f>IF('ASS START SYNC'!C715="SHOW",LEFT('ASS START SYNC'!E715,B711),"")</f>
        <v/>
      </c>
      <c r="H711" s="24" t="str">
        <f>IF(AND('ASS START SYNC'!C715="SHOW",COUNTA('ASS START SYNC'!$E$8:'ASS START SYNC'!E714)=0),MID('ASS START SYNC'!E715,B711+1,C711-B711-1),IF(AND('ASS START SYNC'!C715="SHOW",COUNTA('ASS START SYNC'!$E$8:'ASS START SYNC'!E714)&lt;&gt;0),I710,""))</f>
        <v/>
      </c>
      <c r="I711" s="24" t="str">
        <f>IF('ASS START SYNC'!C715="SHOW",MID('ASS START SYNC'!E715,C711+1,D711-C711-1),I710)</f>
        <v/>
      </c>
      <c r="J711" s="23" t="str">
        <f>IF('ASS START SYNC'!C715="SHOW",MID('ASS START SYNC'!E715,D711+1,F711-D711+1),"")</f>
        <v/>
      </c>
      <c r="K711" s="23" t="str">
        <f>IF('ASS START SYNC'!C715="SHOW",MID('ASS START SYNC'!E715,F711+2,1000),"")</f>
        <v/>
      </c>
      <c r="M711" s="24"/>
      <c r="N711" s="26">
        <v>708</v>
      </c>
      <c r="O711" s="24" t="str">
        <f>IF('ASS END SYNC'!C715="SHOW",FIND(",",'ASS END SYNC'!E715,1),"")</f>
        <v/>
      </c>
      <c r="P711" s="24" t="str">
        <f>IF('ASS END SYNC'!C715="SHOW",FIND(",",'ASS END SYNC'!E715,O711+1),"")</f>
        <v/>
      </c>
      <c r="Q711" s="24" t="str">
        <f>IF('ASS END SYNC'!C715="SHOW",FIND(",",'ASS END SYNC'!E715,P711+1),"")</f>
        <v/>
      </c>
      <c r="R711" s="25" t="str">
        <f>IF('ASS END SYNC'!C715="SHOW",FIND(",,",'ASS END SYNC'!E715,1),"")</f>
        <v/>
      </c>
      <c r="S711" s="25" t="str">
        <f>IF('ASS END SYNC'!C715="SHOW",FIND(",,",'ASS END SYNC'!E715,R711+1),"")</f>
        <v/>
      </c>
      <c r="T711" s="23" t="str">
        <f>IF('ASS END SYNC'!C715="SHOW",LEFT('ASS END SYNC'!E715,O711),"")</f>
        <v/>
      </c>
      <c r="U711" s="24" t="str">
        <f>IF('ASS END SYNC'!C715="SHOW",MID('ASS END SYNC'!E715,O711+1,P711-O711-1),"")</f>
        <v/>
      </c>
      <c r="V711" s="24" t="str">
        <f>IF(AND('ASS END SYNC'!C715="SHOW",'ASS END SYNC'!C716="SHOW"),U712,IF(AND('ASS END SYNC'!C715="SHOW",'ASS END SYNC'!C716&lt;&gt;"SHOW"),MID('ASS END SYNC'!E715,O711+1,P711-O711-1),""))</f>
        <v/>
      </c>
      <c r="W711" s="23" t="str">
        <f>IF('ASS END SYNC'!C715="SHOW",MID('ASS END SYNC'!E715,Q711+1,S711-Q711+1),"")</f>
        <v/>
      </c>
      <c r="X711" s="23" t="str">
        <f>IF('ASS END SYNC'!C715="SHOW",MID('ASS END SYNC'!E715,S711+2,1000),"")</f>
        <v/>
      </c>
      <c r="Z711" s="24"/>
    </row>
    <row r="712" spans="1:26" x14ac:dyDescent="0.25">
      <c r="A712" s="26">
        <v>709</v>
      </c>
      <c r="B712" s="24" t="str">
        <f>IF('ASS START SYNC'!C716="SHOW",FIND(",",'ASS START SYNC'!E716,1),"")</f>
        <v/>
      </c>
      <c r="C712" s="24" t="str">
        <f>IF('ASS START SYNC'!C716="SHOW",FIND(",",'ASS START SYNC'!E716,B712+1),"")</f>
        <v/>
      </c>
      <c r="D712" s="24" t="str">
        <f>IF('ASS START SYNC'!C716="SHOW",FIND(",",'ASS START SYNC'!E716,C712+1),"")</f>
        <v/>
      </c>
      <c r="E712" s="25" t="str">
        <f>IF('ASS START SYNC'!C716="SHOW",FIND(",,",'ASS START SYNC'!E716,1),"")</f>
        <v/>
      </c>
      <c r="F712" s="25" t="str">
        <f>IF('ASS START SYNC'!C716="SHOW",FIND(",,",'ASS START SYNC'!E716,E712+1),"")</f>
        <v/>
      </c>
      <c r="G712" s="23" t="str">
        <f>IF('ASS START SYNC'!C716="SHOW",LEFT('ASS START SYNC'!E716,B712),"")</f>
        <v/>
      </c>
      <c r="H712" s="24" t="str">
        <f>IF(AND('ASS START SYNC'!C716="SHOW",COUNTA('ASS START SYNC'!$E$8:'ASS START SYNC'!E715)=0),MID('ASS START SYNC'!E716,B712+1,C712-B712-1),IF(AND('ASS START SYNC'!C716="SHOW",COUNTA('ASS START SYNC'!$E$8:'ASS START SYNC'!E715)&lt;&gt;0),I711,""))</f>
        <v/>
      </c>
      <c r="I712" s="24" t="str">
        <f>IF('ASS START SYNC'!C716="SHOW",MID('ASS START SYNC'!E716,C712+1,D712-C712-1),I711)</f>
        <v/>
      </c>
      <c r="J712" s="23" t="str">
        <f>IF('ASS START SYNC'!C716="SHOW",MID('ASS START SYNC'!E716,D712+1,F712-D712+1),"")</f>
        <v/>
      </c>
      <c r="K712" s="23" t="str">
        <f>IF('ASS START SYNC'!C716="SHOW",MID('ASS START SYNC'!E716,F712+2,1000),"")</f>
        <v/>
      </c>
      <c r="M712" s="24"/>
      <c r="N712" s="26">
        <v>709</v>
      </c>
      <c r="O712" s="24" t="str">
        <f>IF('ASS END SYNC'!C716="SHOW",FIND(",",'ASS END SYNC'!E716,1),"")</f>
        <v/>
      </c>
      <c r="P712" s="24" t="str">
        <f>IF('ASS END SYNC'!C716="SHOW",FIND(",",'ASS END SYNC'!E716,O712+1),"")</f>
        <v/>
      </c>
      <c r="Q712" s="24" t="str">
        <f>IF('ASS END SYNC'!C716="SHOW",FIND(",",'ASS END SYNC'!E716,P712+1),"")</f>
        <v/>
      </c>
      <c r="R712" s="25" t="str">
        <f>IF('ASS END SYNC'!C716="SHOW",FIND(",,",'ASS END SYNC'!E716,1),"")</f>
        <v/>
      </c>
      <c r="S712" s="25" t="str">
        <f>IF('ASS END SYNC'!C716="SHOW",FIND(",,",'ASS END SYNC'!E716,R712+1),"")</f>
        <v/>
      </c>
      <c r="T712" s="23" t="str">
        <f>IF('ASS END SYNC'!C716="SHOW",LEFT('ASS END SYNC'!E716,O712),"")</f>
        <v/>
      </c>
      <c r="U712" s="24" t="str">
        <f>IF('ASS END SYNC'!C716="SHOW",MID('ASS END SYNC'!E716,O712+1,P712-O712-1),"")</f>
        <v/>
      </c>
      <c r="V712" s="24" t="str">
        <f>IF(AND('ASS END SYNC'!C716="SHOW",'ASS END SYNC'!C717="SHOW"),U713,IF(AND('ASS END SYNC'!C716="SHOW",'ASS END SYNC'!C717&lt;&gt;"SHOW"),MID('ASS END SYNC'!E716,O712+1,P712-O712-1),""))</f>
        <v/>
      </c>
      <c r="W712" s="23" t="str">
        <f>IF('ASS END SYNC'!C716="SHOW",MID('ASS END SYNC'!E716,Q712+1,S712-Q712+1),"")</f>
        <v/>
      </c>
      <c r="X712" s="23" t="str">
        <f>IF('ASS END SYNC'!C716="SHOW",MID('ASS END SYNC'!E716,S712+2,1000),"")</f>
        <v/>
      </c>
      <c r="Z712" s="24"/>
    </row>
    <row r="713" spans="1:26" x14ac:dyDescent="0.25">
      <c r="A713" s="26">
        <v>710</v>
      </c>
      <c r="B713" s="24" t="str">
        <f>IF('ASS START SYNC'!C717="SHOW",FIND(",",'ASS START SYNC'!E717,1),"")</f>
        <v/>
      </c>
      <c r="C713" s="24" t="str">
        <f>IF('ASS START SYNC'!C717="SHOW",FIND(",",'ASS START SYNC'!E717,B713+1),"")</f>
        <v/>
      </c>
      <c r="D713" s="24" t="str">
        <f>IF('ASS START SYNC'!C717="SHOW",FIND(",",'ASS START SYNC'!E717,C713+1),"")</f>
        <v/>
      </c>
      <c r="E713" s="25" t="str">
        <f>IF('ASS START SYNC'!C717="SHOW",FIND(",,",'ASS START SYNC'!E717,1),"")</f>
        <v/>
      </c>
      <c r="F713" s="25" t="str">
        <f>IF('ASS START SYNC'!C717="SHOW",FIND(",,",'ASS START SYNC'!E717,E713+1),"")</f>
        <v/>
      </c>
      <c r="G713" s="23" t="str">
        <f>IF('ASS START SYNC'!C717="SHOW",LEFT('ASS START SYNC'!E717,B713),"")</f>
        <v/>
      </c>
      <c r="H713" s="24" t="str">
        <f>IF(AND('ASS START SYNC'!C717="SHOW",COUNTA('ASS START SYNC'!$E$8:'ASS START SYNC'!E716)=0),MID('ASS START SYNC'!E717,B713+1,C713-B713-1),IF(AND('ASS START SYNC'!C717="SHOW",COUNTA('ASS START SYNC'!$E$8:'ASS START SYNC'!E716)&lt;&gt;0),I712,""))</f>
        <v/>
      </c>
      <c r="I713" s="24" t="str">
        <f>IF('ASS START SYNC'!C717="SHOW",MID('ASS START SYNC'!E717,C713+1,D713-C713-1),I712)</f>
        <v/>
      </c>
      <c r="J713" s="23" t="str">
        <f>IF('ASS START SYNC'!C717="SHOW",MID('ASS START SYNC'!E717,D713+1,F713-D713+1),"")</f>
        <v/>
      </c>
      <c r="K713" s="23" t="str">
        <f>IF('ASS START SYNC'!C717="SHOW",MID('ASS START SYNC'!E717,F713+2,1000),"")</f>
        <v/>
      </c>
      <c r="M713" s="24"/>
      <c r="N713" s="26">
        <v>710</v>
      </c>
      <c r="O713" s="24" t="str">
        <f>IF('ASS END SYNC'!C717="SHOW",FIND(",",'ASS END SYNC'!E717,1),"")</f>
        <v/>
      </c>
      <c r="P713" s="24" t="str">
        <f>IF('ASS END SYNC'!C717="SHOW",FIND(",",'ASS END SYNC'!E717,O713+1),"")</f>
        <v/>
      </c>
      <c r="Q713" s="24" t="str">
        <f>IF('ASS END SYNC'!C717="SHOW",FIND(",",'ASS END SYNC'!E717,P713+1),"")</f>
        <v/>
      </c>
      <c r="R713" s="25" t="str">
        <f>IF('ASS END SYNC'!C717="SHOW",FIND(",,",'ASS END SYNC'!E717,1),"")</f>
        <v/>
      </c>
      <c r="S713" s="25" t="str">
        <f>IF('ASS END SYNC'!C717="SHOW",FIND(",,",'ASS END SYNC'!E717,R713+1),"")</f>
        <v/>
      </c>
      <c r="T713" s="23" t="str">
        <f>IF('ASS END SYNC'!C717="SHOW",LEFT('ASS END SYNC'!E717,O713),"")</f>
        <v/>
      </c>
      <c r="U713" s="24" t="str">
        <f>IF('ASS END SYNC'!C717="SHOW",MID('ASS END SYNC'!E717,O713+1,P713-O713-1),"")</f>
        <v/>
      </c>
      <c r="V713" s="24" t="str">
        <f>IF(AND('ASS END SYNC'!C717="SHOW",'ASS END SYNC'!C718="SHOW"),U714,IF(AND('ASS END SYNC'!C717="SHOW",'ASS END SYNC'!C718&lt;&gt;"SHOW"),MID('ASS END SYNC'!E717,O713+1,P713-O713-1),""))</f>
        <v/>
      </c>
      <c r="W713" s="23" t="str">
        <f>IF('ASS END SYNC'!C717="SHOW",MID('ASS END SYNC'!E717,Q713+1,S713-Q713+1),"")</f>
        <v/>
      </c>
      <c r="X713" s="23" t="str">
        <f>IF('ASS END SYNC'!C717="SHOW",MID('ASS END SYNC'!E717,S713+2,1000),"")</f>
        <v/>
      </c>
      <c r="Z713" s="24"/>
    </row>
    <row r="714" spans="1:26" x14ac:dyDescent="0.25">
      <c r="A714" s="26">
        <v>711</v>
      </c>
      <c r="B714" s="24" t="str">
        <f>IF('ASS START SYNC'!C718="SHOW",FIND(",",'ASS START SYNC'!E718,1),"")</f>
        <v/>
      </c>
      <c r="C714" s="24" t="str">
        <f>IF('ASS START SYNC'!C718="SHOW",FIND(",",'ASS START SYNC'!E718,B714+1),"")</f>
        <v/>
      </c>
      <c r="D714" s="24" t="str">
        <f>IF('ASS START SYNC'!C718="SHOW",FIND(",",'ASS START SYNC'!E718,C714+1),"")</f>
        <v/>
      </c>
      <c r="E714" s="25" t="str">
        <f>IF('ASS START SYNC'!C718="SHOW",FIND(",,",'ASS START SYNC'!E718,1),"")</f>
        <v/>
      </c>
      <c r="F714" s="25" t="str">
        <f>IF('ASS START SYNC'!C718="SHOW",FIND(",,",'ASS START SYNC'!E718,E714+1),"")</f>
        <v/>
      </c>
      <c r="G714" s="23" t="str">
        <f>IF('ASS START SYNC'!C718="SHOW",LEFT('ASS START SYNC'!E718,B714),"")</f>
        <v/>
      </c>
      <c r="H714" s="24" t="str">
        <f>IF(AND('ASS START SYNC'!C718="SHOW",COUNTA('ASS START SYNC'!$E$8:'ASS START SYNC'!E717)=0),MID('ASS START SYNC'!E718,B714+1,C714-B714-1),IF(AND('ASS START SYNC'!C718="SHOW",COUNTA('ASS START SYNC'!$E$8:'ASS START SYNC'!E717)&lt;&gt;0),I713,""))</f>
        <v/>
      </c>
      <c r="I714" s="24" t="str">
        <f>IF('ASS START SYNC'!C718="SHOW",MID('ASS START SYNC'!E718,C714+1,D714-C714-1),I713)</f>
        <v/>
      </c>
      <c r="J714" s="23" t="str">
        <f>IF('ASS START SYNC'!C718="SHOW",MID('ASS START SYNC'!E718,D714+1,F714-D714+1),"")</f>
        <v/>
      </c>
      <c r="K714" s="23" t="str">
        <f>IF('ASS START SYNC'!C718="SHOW",MID('ASS START SYNC'!E718,F714+2,1000),"")</f>
        <v/>
      </c>
      <c r="M714" s="24"/>
      <c r="N714" s="26">
        <v>711</v>
      </c>
      <c r="O714" s="24" t="str">
        <f>IF('ASS END SYNC'!C718="SHOW",FIND(",",'ASS END SYNC'!E718,1),"")</f>
        <v/>
      </c>
      <c r="P714" s="24" t="str">
        <f>IF('ASS END SYNC'!C718="SHOW",FIND(",",'ASS END SYNC'!E718,O714+1),"")</f>
        <v/>
      </c>
      <c r="Q714" s="24" t="str">
        <f>IF('ASS END SYNC'!C718="SHOW",FIND(",",'ASS END SYNC'!E718,P714+1),"")</f>
        <v/>
      </c>
      <c r="R714" s="25" t="str">
        <f>IF('ASS END SYNC'!C718="SHOW",FIND(",,",'ASS END SYNC'!E718,1),"")</f>
        <v/>
      </c>
      <c r="S714" s="25" t="str">
        <f>IF('ASS END SYNC'!C718="SHOW",FIND(",,",'ASS END SYNC'!E718,R714+1),"")</f>
        <v/>
      </c>
      <c r="T714" s="23" t="str">
        <f>IF('ASS END SYNC'!C718="SHOW",LEFT('ASS END SYNC'!E718,O714),"")</f>
        <v/>
      </c>
      <c r="U714" s="24" t="str">
        <f>IF('ASS END SYNC'!C718="SHOW",MID('ASS END SYNC'!E718,O714+1,P714-O714-1),"")</f>
        <v/>
      </c>
      <c r="V714" s="24" t="str">
        <f>IF(AND('ASS END SYNC'!C718="SHOW",'ASS END SYNC'!C719="SHOW"),U715,IF(AND('ASS END SYNC'!C718="SHOW",'ASS END SYNC'!C719&lt;&gt;"SHOW"),MID('ASS END SYNC'!E718,O714+1,P714-O714-1),""))</f>
        <v/>
      </c>
      <c r="W714" s="23" t="str">
        <f>IF('ASS END SYNC'!C718="SHOW",MID('ASS END SYNC'!E718,Q714+1,S714-Q714+1),"")</f>
        <v/>
      </c>
      <c r="X714" s="23" t="str">
        <f>IF('ASS END SYNC'!C718="SHOW",MID('ASS END SYNC'!E718,S714+2,1000),"")</f>
        <v/>
      </c>
      <c r="Z714" s="24"/>
    </row>
    <row r="715" spans="1:26" x14ac:dyDescent="0.25">
      <c r="A715" s="26">
        <v>712</v>
      </c>
      <c r="B715" s="24" t="str">
        <f>IF('ASS START SYNC'!C719="SHOW",FIND(",",'ASS START SYNC'!E719,1),"")</f>
        <v/>
      </c>
      <c r="C715" s="24" t="str">
        <f>IF('ASS START SYNC'!C719="SHOW",FIND(",",'ASS START SYNC'!E719,B715+1),"")</f>
        <v/>
      </c>
      <c r="D715" s="24" t="str">
        <f>IF('ASS START SYNC'!C719="SHOW",FIND(",",'ASS START SYNC'!E719,C715+1),"")</f>
        <v/>
      </c>
      <c r="E715" s="25" t="str">
        <f>IF('ASS START SYNC'!C719="SHOW",FIND(",,",'ASS START SYNC'!E719,1),"")</f>
        <v/>
      </c>
      <c r="F715" s="25" t="str">
        <f>IF('ASS START SYNC'!C719="SHOW",FIND(",,",'ASS START SYNC'!E719,E715+1),"")</f>
        <v/>
      </c>
      <c r="G715" s="23" t="str">
        <f>IF('ASS START SYNC'!C719="SHOW",LEFT('ASS START SYNC'!E719,B715),"")</f>
        <v/>
      </c>
      <c r="H715" s="24" t="str">
        <f>IF(AND('ASS START SYNC'!C719="SHOW",COUNTA('ASS START SYNC'!$E$8:'ASS START SYNC'!E718)=0),MID('ASS START SYNC'!E719,B715+1,C715-B715-1),IF(AND('ASS START SYNC'!C719="SHOW",COUNTA('ASS START SYNC'!$E$8:'ASS START SYNC'!E718)&lt;&gt;0),I714,""))</f>
        <v/>
      </c>
      <c r="I715" s="24" t="str">
        <f>IF('ASS START SYNC'!C719="SHOW",MID('ASS START SYNC'!E719,C715+1,D715-C715-1),I714)</f>
        <v/>
      </c>
      <c r="J715" s="23" t="str">
        <f>IF('ASS START SYNC'!C719="SHOW",MID('ASS START SYNC'!E719,D715+1,F715-D715+1),"")</f>
        <v/>
      </c>
      <c r="K715" s="23" t="str">
        <f>IF('ASS START SYNC'!C719="SHOW",MID('ASS START SYNC'!E719,F715+2,1000),"")</f>
        <v/>
      </c>
      <c r="M715" s="24"/>
      <c r="N715" s="26">
        <v>712</v>
      </c>
      <c r="O715" s="24" t="str">
        <f>IF('ASS END SYNC'!C719="SHOW",FIND(",",'ASS END SYNC'!E719,1),"")</f>
        <v/>
      </c>
      <c r="P715" s="24" t="str">
        <f>IF('ASS END SYNC'!C719="SHOW",FIND(",",'ASS END SYNC'!E719,O715+1),"")</f>
        <v/>
      </c>
      <c r="Q715" s="24" t="str">
        <f>IF('ASS END SYNC'!C719="SHOW",FIND(",",'ASS END SYNC'!E719,P715+1),"")</f>
        <v/>
      </c>
      <c r="R715" s="25" t="str">
        <f>IF('ASS END SYNC'!C719="SHOW",FIND(",,",'ASS END SYNC'!E719,1),"")</f>
        <v/>
      </c>
      <c r="S715" s="25" t="str">
        <f>IF('ASS END SYNC'!C719="SHOW",FIND(",,",'ASS END SYNC'!E719,R715+1),"")</f>
        <v/>
      </c>
      <c r="T715" s="23" t="str">
        <f>IF('ASS END SYNC'!C719="SHOW",LEFT('ASS END SYNC'!E719,O715),"")</f>
        <v/>
      </c>
      <c r="U715" s="24" t="str">
        <f>IF('ASS END SYNC'!C719="SHOW",MID('ASS END SYNC'!E719,O715+1,P715-O715-1),"")</f>
        <v/>
      </c>
      <c r="V715" s="24" t="str">
        <f>IF(AND('ASS END SYNC'!C719="SHOW",'ASS END SYNC'!C720="SHOW"),U716,IF(AND('ASS END SYNC'!C719="SHOW",'ASS END SYNC'!C720&lt;&gt;"SHOW"),MID('ASS END SYNC'!E719,O715+1,P715-O715-1),""))</f>
        <v/>
      </c>
      <c r="W715" s="23" t="str">
        <f>IF('ASS END SYNC'!C719="SHOW",MID('ASS END SYNC'!E719,Q715+1,S715-Q715+1),"")</f>
        <v/>
      </c>
      <c r="X715" s="23" t="str">
        <f>IF('ASS END SYNC'!C719="SHOW",MID('ASS END SYNC'!E719,S715+2,1000),"")</f>
        <v/>
      </c>
      <c r="Z715" s="24"/>
    </row>
    <row r="716" spans="1:26" x14ac:dyDescent="0.25">
      <c r="A716" s="26">
        <v>713</v>
      </c>
      <c r="B716" s="24" t="str">
        <f>IF('ASS START SYNC'!C720="SHOW",FIND(",",'ASS START SYNC'!E720,1),"")</f>
        <v/>
      </c>
      <c r="C716" s="24" t="str">
        <f>IF('ASS START SYNC'!C720="SHOW",FIND(",",'ASS START SYNC'!E720,B716+1),"")</f>
        <v/>
      </c>
      <c r="D716" s="24" t="str">
        <f>IF('ASS START SYNC'!C720="SHOW",FIND(",",'ASS START SYNC'!E720,C716+1),"")</f>
        <v/>
      </c>
      <c r="E716" s="25" t="str">
        <f>IF('ASS START SYNC'!C720="SHOW",FIND(",,",'ASS START SYNC'!E720,1),"")</f>
        <v/>
      </c>
      <c r="F716" s="25" t="str">
        <f>IF('ASS START SYNC'!C720="SHOW",FIND(",,",'ASS START SYNC'!E720,E716+1),"")</f>
        <v/>
      </c>
      <c r="G716" s="23" t="str">
        <f>IF('ASS START SYNC'!C720="SHOW",LEFT('ASS START SYNC'!E720,B716),"")</f>
        <v/>
      </c>
      <c r="H716" s="24" t="str">
        <f>IF(AND('ASS START SYNC'!C720="SHOW",COUNTA('ASS START SYNC'!$E$8:'ASS START SYNC'!E719)=0),MID('ASS START SYNC'!E720,B716+1,C716-B716-1),IF(AND('ASS START SYNC'!C720="SHOW",COUNTA('ASS START SYNC'!$E$8:'ASS START SYNC'!E719)&lt;&gt;0),I715,""))</f>
        <v/>
      </c>
      <c r="I716" s="24" t="str">
        <f>IF('ASS START SYNC'!C720="SHOW",MID('ASS START SYNC'!E720,C716+1,D716-C716-1),I715)</f>
        <v/>
      </c>
      <c r="J716" s="23" t="str">
        <f>IF('ASS START SYNC'!C720="SHOW",MID('ASS START SYNC'!E720,D716+1,F716-D716+1),"")</f>
        <v/>
      </c>
      <c r="K716" s="23" t="str">
        <f>IF('ASS START SYNC'!C720="SHOW",MID('ASS START SYNC'!E720,F716+2,1000),"")</f>
        <v/>
      </c>
      <c r="M716" s="24"/>
      <c r="N716" s="26">
        <v>713</v>
      </c>
      <c r="O716" s="24" t="str">
        <f>IF('ASS END SYNC'!C720="SHOW",FIND(",",'ASS END SYNC'!E720,1),"")</f>
        <v/>
      </c>
      <c r="P716" s="24" t="str">
        <f>IF('ASS END SYNC'!C720="SHOW",FIND(",",'ASS END SYNC'!E720,O716+1),"")</f>
        <v/>
      </c>
      <c r="Q716" s="24" t="str">
        <f>IF('ASS END SYNC'!C720="SHOW",FIND(",",'ASS END SYNC'!E720,P716+1),"")</f>
        <v/>
      </c>
      <c r="R716" s="25" t="str">
        <f>IF('ASS END SYNC'!C720="SHOW",FIND(",,",'ASS END SYNC'!E720,1),"")</f>
        <v/>
      </c>
      <c r="S716" s="25" t="str">
        <f>IF('ASS END SYNC'!C720="SHOW",FIND(",,",'ASS END SYNC'!E720,R716+1),"")</f>
        <v/>
      </c>
      <c r="T716" s="23" t="str">
        <f>IF('ASS END SYNC'!C720="SHOW",LEFT('ASS END SYNC'!E720,O716),"")</f>
        <v/>
      </c>
      <c r="U716" s="24" t="str">
        <f>IF('ASS END SYNC'!C720="SHOW",MID('ASS END SYNC'!E720,O716+1,P716-O716-1),"")</f>
        <v/>
      </c>
      <c r="V716" s="24" t="str">
        <f>IF(AND('ASS END SYNC'!C720="SHOW",'ASS END SYNC'!C721="SHOW"),U717,IF(AND('ASS END SYNC'!C720="SHOW",'ASS END SYNC'!C721&lt;&gt;"SHOW"),MID('ASS END SYNC'!E720,O716+1,P716-O716-1),""))</f>
        <v/>
      </c>
      <c r="W716" s="23" t="str">
        <f>IF('ASS END SYNC'!C720="SHOW",MID('ASS END SYNC'!E720,Q716+1,S716-Q716+1),"")</f>
        <v/>
      </c>
      <c r="X716" s="23" t="str">
        <f>IF('ASS END SYNC'!C720="SHOW",MID('ASS END SYNC'!E720,S716+2,1000),"")</f>
        <v/>
      </c>
      <c r="Z716" s="24"/>
    </row>
    <row r="717" spans="1:26" x14ac:dyDescent="0.25">
      <c r="A717" s="26">
        <v>714</v>
      </c>
      <c r="B717" s="24" t="str">
        <f>IF('ASS START SYNC'!C721="SHOW",FIND(",",'ASS START SYNC'!E721,1),"")</f>
        <v/>
      </c>
      <c r="C717" s="24" t="str">
        <f>IF('ASS START SYNC'!C721="SHOW",FIND(",",'ASS START SYNC'!E721,B717+1),"")</f>
        <v/>
      </c>
      <c r="D717" s="24" t="str">
        <f>IF('ASS START SYNC'!C721="SHOW",FIND(",",'ASS START SYNC'!E721,C717+1),"")</f>
        <v/>
      </c>
      <c r="E717" s="25" t="str">
        <f>IF('ASS START SYNC'!C721="SHOW",FIND(",,",'ASS START SYNC'!E721,1),"")</f>
        <v/>
      </c>
      <c r="F717" s="25" t="str">
        <f>IF('ASS START SYNC'!C721="SHOW",FIND(",,",'ASS START SYNC'!E721,E717+1),"")</f>
        <v/>
      </c>
      <c r="G717" s="23" t="str">
        <f>IF('ASS START SYNC'!C721="SHOW",LEFT('ASS START SYNC'!E721,B717),"")</f>
        <v/>
      </c>
      <c r="H717" s="24" t="str">
        <f>IF(AND('ASS START SYNC'!C721="SHOW",COUNTA('ASS START SYNC'!$E$8:'ASS START SYNC'!E720)=0),MID('ASS START SYNC'!E721,B717+1,C717-B717-1),IF(AND('ASS START SYNC'!C721="SHOW",COUNTA('ASS START SYNC'!$E$8:'ASS START SYNC'!E720)&lt;&gt;0),I716,""))</f>
        <v/>
      </c>
      <c r="I717" s="24" t="str">
        <f>IF('ASS START SYNC'!C721="SHOW",MID('ASS START SYNC'!E721,C717+1,D717-C717-1),I716)</f>
        <v/>
      </c>
      <c r="J717" s="23" t="str">
        <f>IF('ASS START SYNC'!C721="SHOW",MID('ASS START SYNC'!E721,D717+1,F717-D717+1),"")</f>
        <v/>
      </c>
      <c r="K717" s="23" t="str">
        <f>IF('ASS START SYNC'!C721="SHOW",MID('ASS START SYNC'!E721,F717+2,1000),"")</f>
        <v/>
      </c>
      <c r="M717" s="24"/>
      <c r="N717" s="26">
        <v>714</v>
      </c>
      <c r="O717" s="24" t="str">
        <f>IF('ASS END SYNC'!C721="SHOW",FIND(",",'ASS END SYNC'!E721,1),"")</f>
        <v/>
      </c>
      <c r="P717" s="24" t="str">
        <f>IF('ASS END SYNC'!C721="SHOW",FIND(",",'ASS END SYNC'!E721,O717+1),"")</f>
        <v/>
      </c>
      <c r="Q717" s="24" t="str">
        <f>IF('ASS END SYNC'!C721="SHOW",FIND(",",'ASS END SYNC'!E721,P717+1),"")</f>
        <v/>
      </c>
      <c r="R717" s="25" t="str">
        <f>IF('ASS END SYNC'!C721="SHOW",FIND(",,",'ASS END SYNC'!E721,1),"")</f>
        <v/>
      </c>
      <c r="S717" s="25" t="str">
        <f>IF('ASS END SYNC'!C721="SHOW",FIND(",,",'ASS END SYNC'!E721,R717+1),"")</f>
        <v/>
      </c>
      <c r="T717" s="23" t="str">
        <f>IF('ASS END SYNC'!C721="SHOW",LEFT('ASS END SYNC'!E721,O717),"")</f>
        <v/>
      </c>
      <c r="U717" s="24" t="str">
        <f>IF('ASS END SYNC'!C721="SHOW",MID('ASS END SYNC'!E721,O717+1,P717-O717-1),"")</f>
        <v/>
      </c>
      <c r="V717" s="24" t="str">
        <f>IF(AND('ASS END SYNC'!C721="SHOW",'ASS END SYNC'!C722="SHOW"),U718,IF(AND('ASS END SYNC'!C721="SHOW",'ASS END SYNC'!C722&lt;&gt;"SHOW"),MID('ASS END SYNC'!E721,O717+1,P717-O717-1),""))</f>
        <v/>
      </c>
      <c r="W717" s="23" t="str">
        <f>IF('ASS END SYNC'!C721="SHOW",MID('ASS END SYNC'!E721,Q717+1,S717-Q717+1),"")</f>
        <v/>
      </c>
      <c r="X717" s="23" t="str">
        <f>IF('ASS END SYNC'!C721="SHOW",MID('ASS END SYNC'!E721,S717+2,1000),"")</f>
        <v/>
      </c>
      <c r="Z717" s="24"/>
    </row>
    <row r="718" spans="1:26" x14ac:dyDescent="0.25">
      <c r="A718" s="26">
        <v>715</v>
      </c>
      <c r="B718" s="24" t="str">
        <f>IF('ASS START SYNC'!C722="SHOW",FIND(",",'ASS START SYNC'!E722,1),"")</f>
        <v/>
      </c>
      <c r="C718" s="24" t="str">
        <f>IF('ASS START SYNC'!C722="SHOW",FIND(",",'ASS START SYNC'!E722,B718+1),"")</f>
        <v/>
      </c>
      <c r="D718" s="24" t="str">
        <f>IF('ASS START SYNC'!C722="SHOW",FIND(",",'ASS START SYNC'!E722,C718+1),"")</f>
        <v/>
      </c>
      <c r="E718" s="25" t="str">
        <f>IF('ASS START SYNC'!C722="SHOW",FIND(",,",'ASS START SYNC'!E722,1),"")</f>
        <v/>
      </c>
      <c r="F718" s="25" t="str">
        <f>IF('ASS START SYNC'!C722="SHOW",FIND(",,",'ASS START SYNC'!E722,E718+1),"")</f>
        <v/>
      </c>
      <c r="G718" s="23" t="str">
        <f>IF('ASS START SYNC'!C722="SHOW",LEFT('ASS START SYNC'!E722,B718),"")</f>
        <v/>
      </c>
      <c r="H718" s="24" t="str">
        <f>IF(AND('ASS START SYNC'!C722="SHOW",COUNTA('ASS START SYNC'!$E$8:'ASS START SYNC'!E721)=0),MID('ASS START SYNC'!E722,B718+1,C718-B718-1),IF(AND('ASS START SYNC'!C722="SHOW",COUNTA('ASS START SYNC'!$E$8:'ASS START SYNC'!E721)&lt;&gt;0),I717,""))</f>
        <v/>
      </c>
      <c r="I718" s="24" t="str">
        <f>IF('ASS START SYNC'!C722="SHOW",MID('ASS START SYNC'!E722,C718+1,D718-C718-1),I717)</f>
        <v/>
      </c>
      <c r="J718" s="23" t="str">
        <f>IF('ASS START SYNC'!C722="SHOW",MID('ASS START SYNC'!E722,D718+1,F718-D718+1),"")</f>
        <v/>
      </c>
      <c r="K718" s="23" t="str">
        <f>IF('ASS START SYNC'!C722="SHOW",MID('ASS START SYNC'!E722,F718+2,1000),"")</f>
        <v/>
      </c>
      <c r="M718" s="24"/>
      <c r="N718" s="26">
        <v>715</v>
      </c>
      <c r="O718" s="24" t="str">
        <f>IF('ASS END SYNC'!C722="SHOW",FIND(",",'ASS END SYNC'!E722,1),"")</f>
        <v/>
      </c>
      <c r="P718" s="24" t="str">
        <f>IF('ASS END SYNC'!C722="SHOW",FIND(",",'ASS END SYNC'!E722,O718+1),"")</f>
        <v/>
      </c>
      <c r="Q718" s="24" t="str">
        <f>IF('ASS END SYNC'!C722="SHOW",FIND(",",'ASS END SYNC'!E722,P718+1),"")</f>
        <v/>
      </c>
      <c r="R718" s="25" t="str">
        <f>IF('ASS END SYNC'!C722="SHOW",FIND(",,",'ASS END SYNC'!E722,1),"")</f>
        <v/>
      </c>
      <c r="S718" s="25" t="str">
        <f>IF('ASS END SYNC'!C722="SHOW",FIND(",,",'ASS END SYNC'!E722,R718+1),"")</f>
        <v/>
      </c>
      <c r="T718" s="23" t="str">
        <f>IF('ASS END SYNC'!C722="SHOW",LEFT('ASS END SYNC'!E722,O718),"")</f>
        <v/>
      </c>
      <c r="U718" s="24" t="str">
        <f>IF('ASS END SYNC'!C722="SHOW",MID('ASS END SYNC'!E722,O718+1,P718-O718-1),"")</f>
        <v/>
      </c>
      <c r="V718" s="24" t="str">
        <f>IF(AND('ASS END SYNC'!C722="SHOW",'ASS END SYNC'!C723="SHOW"),U719,IF(AND('ASS END SYNC'!C722="SHOW",'ASS END SYNC'!C723&lt;&gt;"SHOW"),MID('ASS END SYNC'!E722,O718+1,P718-O718-1),""))</f>
        <v/>
      </c>
      <c r="W718" s="23" t="str">
        <f>IF('ASS END SYNC'!C722="SHOW",MID('ASS END SYNC'!E722,Q718+1,S718-Q718+1),"")</f>
        <v/>
      </c>
      <c r="X718" s="23" t="str">
        <f>IF('ASS END SYNC'!C722="SHOW",MID('ASS END SYNC'!E722,S718+2,1000),"")</f>
        <v/>
      </c>
      <c r="Z718" s="24"/>
    </row>
    <row r="719" spans="1:26" x14ac:dyDescent="0.25">
      <c r="A719" s="26">
        <v>716</v>
      </c>
      <c r="B719" s="24" t="str">
        <f>IF('ASS START SYNC'!C723="SHOW",FIND(",",'ASS START SYNC'!E723,1),"")</f>
        <v/>
      </c>
      <c r="C719" s="24" t="str">
        <f>IF('ASS START SYNC'!C723="SHOW",FIND(",",'ASS START SYNC'!E723,B719+1),"")</f>
        <v/>
      </c>
      <c r="D719" s="24" t="str">
        <f>IF('ASS START SYNC'!C723="SHOW",FIND(",",'ASS START SYNC'!E723,C719+1),"")</f>
        <v/>
      </c>
      <c r="E719" s="25" t="str">
        <f>IF('ASS START SYNC'!C723="SHOW",FIND(",,",'ASS START SYNC'!E723,1),"")</f>
        <v/>
      </c>
      <c r="F719" s="25" t="str">
        <f>IF('ASS START SYNC'!C723="SHOW",FIND(",,",'ASS START SYNC'!E723,E719+1),"")</f>
        <v/>
      </c>
      <c r="G719" s="23" t="str">
        <f>IF('ASS START SYNC'!C723="SHOW",LEFT('ASS START SYNC'!E723,B719),"")</f>
        <v/>
      </c>
      <c r="H719" s="24" t="str">
        <f>IF(AND('ASS START SYNC'!C723="SHOW",COUNTA('ASS START SYNC'!$E$8:'ASS START SYNC'!E722)=0),MID('ASS START SYNC'!E723,B719+1,C719-B719-1),IF(AND('ASS START SYNC'!C723="SHOW",COUNTA('ASS START SYNC'!$E$8:'ASS START SYNC'!E722)&lt;&gt;0),I718,""))</f>
        <v/>
      </c>
      <c r="I719" s="24" t="str">
        <f>IF('ASS START SYNC'!C723="SHOW",MID('ASS START SYNC'!E723,C719+1,D719-C719-1),I718)</f>
        <v/>
      </c>
      <c r="J719" s="23" t="str">
        <f>IF('ASS START SYNC'!C723="SHOW",MID('ASS START SYNC'!E723,D719+1,F719-D719+1),"")</f>
        <v/>
      </c>
      <c r="K719" s="23" t="str">
        <f>IF('ASS START SYNC'!C723="SHOW",MID('ASS START SYNC'!E723,F719+2,1000),"")</f>
        <v/>
      </c>
      <c r="M719" s="24"/>
      <c r="N719" s="26">
        <v>716</v>
      </c>
      <c r="O719" s="24" t="str">
        <f>IF('ASS END SYNC'!C723="SHOW",FIND(",",'ASS END SYNC'!E723,1),"")</f>
        <v/>
      </c>
      <c r="P719" s="24" t="str">
        <f>IF('ASS END SYNC'!C723="SHOW",FIND(",",'ASS END SYNC'!E723,O719+1),"")</f>
        <v/>
      </c>
      <c r="Q719" s="24" t="str">
        <f>IF('ASS END SYNC'!C723="SHOW",FIND(",",'ASS END SYNC'!E723,P719+1),"")</f>
        <v/>
      </c>
      <c r="R719" s="25" t="str">
        <f>IF('ASS END SYNC'!C723="SHOW",FIND(",,",'ASS END SYNC'!E723,1),"")</f>
        <v/>
      </c>
      <c r="S719" s="25" t="str">
        <f>IF('ASS END SYNC'!C723="SHOW",FIND(",,",'ASS END SYNC'!E723,R719+1),"")</f>
        <v/>
      </c>
      <c r="T719" s="23" t="str">
        <f>IF('ASS END SYNC'!C723="SHOW",LEFT('ASS END SYNC'!E723,O719),"")</f>
        <v/>
      </c>
      <c r="U719" s="24" t="str">
        <f>IF('ASS END SYNC'!C723="SHOW",MID('ASS END SYNC'!E723,O719+1,P719-O719-1),"")</f>
        <v/>
      </c>
      <c r="V719" s="24" t="str">
        <f>IF(AND('ASS END SYNC'!C723="SHOW",'ASS END SYNC'!C724="SHOW"),U720,IF(AND('ASS END SYNC'!C723="SHOW",'ASS END SYNC'!C724&lt;&gt;"SHOW"),MID('ASS END SYNC'!E723,O719+1,P719-O719-1),""))</f>
        <v/>
      </c>
      <c r="W719" s="23" t="str">
        <f>IF('ASS END SYNC'!C723="SHOW",MID('ASS END SYNC'!E723,Q719+1,S719-Q719+1),"")</f>
        <v/>
      </c>
      <c r="X719" s="23" t="str">
        <f>IF('ASS END SYNC'!C723="SHOW",MID('ASS END SYNC'!E723,S719+2,1000),"")</f>
        <v/>
      </c>
      <c r="Z719" s="24"/>
    </row>
    <row r="720" spans="1:26" x14ac:dyDescent="0.25">
      <c r="A720" s="26">
        <v>717</v>
      </c>
      <c r="B720" s="24" t="str">
        <f>IF('ASS START SYNC'!C724="SHOW",FIND(",",'ASS START SYNC'!E724,1),"")</f>
        <v/>
      </c>
      <c r="C720" s="24" t="str">
        <f>IF('ASS START SYNC'!C724="SHOW",FIND(",",'ASS START SYNC'!E724,B720+1),"")</f>
        <v/>
      </c>
      <c r="D720" s="24" t="str">
        <f>IF('ASS START SYNC'!C724="SHOW",FIND(",",'ASS START SYNC'!E724,C720+1),"")</f>
        <v/>
      </c>
      <c r="E720" s="25" t="str">
        <f>IF('ASS START SYNC'!C724="SHOW",FIND(",,",'ASS START SYNC'!E724,1),"")</f>
        <v/>
      </c>
      <c r="F720" s="25" t="str">
        <f>IF('ASS START SYNC'!C724="SHOW",FIND(",,",'ASS START SYNC'!E724,E720+1),"")</f>
        <v/>
      </c>
      <c r="G720" s="23" t="str">
        <f>IF('ASS START SYNC'!C724="SHOW",LEFT('ASS START SYNC'!E724,B720),"")</f>
        <v/>
      </c>
      <c r="H720" s="24" t="str">
        <f>IF(AND('ASS START SYNC'!C724="SHOW",COUNTA('ASS START SYNC'!$E$8:'ASS START SYNC'!E723)=0),MID('ASS START SYNC'!E724,B720+1,C720-B720-1),IF(AND('ASS START SYNC'!C724="SHOW",COUNTA('ASS START SYNC'!$E$8:'ASS START SYNC'!E723)&lt;&gt;0),I719,""))</f>
        <v/>
      </c>
      <c r="I720" s="24" t="str">
        <f>IF('ASS START SYNC'!C724="SHOW",MID('ASS START SYNC'!E724,C720+1,D720-C720-1),I719)</f>
        <v/>
      </c>
      <c r="J720" s="23" t="str">
        <f>IF('ASS START SYNC'!C724="SHOW",MID('ASS START SYNC'!E724,D720+1,F720-D720+1),"")</f>
        <v/>
      </c>
      <c r="K720" s="23" t="str">
        <f>IF('ASS START SYNC'!C724="SHOW",MID('ASS START SYNC'!E724,F720+2,1000),"")</f>
        <v/>
      </c>
      <c r="M720" s="24"/>
      <c r="N720" s="26">
        <v>717</v>
      </c>
      <c r="O720" s="24" t="str">
        <f>IF('ASS END SYNC'!C724="SHOW",FIND(",",'ASS END SYNC'!E724,1),"")</f>
        <v/>
      </c>
      <c r="P720" s="24" t="str">
        <f>IF('ASS END SYNC'!C724="SHOW",FIND(",",'ASS END SYNC'!E724,O720+1),"")</f>
        <v/>
      </c>
      <c r="Q720" s="24" t="str">
        <f>IF('ASS END SYNC'!C724="SHOW",FIND(",",'ASS END SYNC'!E724,P720+1),"")</f>
        <v/>
      </c>
      <c r="R720" s="25" t="str">
        <f>IF('ASS END SYNC'!C724="SHOW",FIND(",,",'ASS END SYNC'!E724,1),"")</f>
        <v/>
      </c>
      <c r="S720" s="25" t="str">
        <f>IF('ASS END SYNC'!C724="SHOW",FIND(",,",'ASS END SYNC'!E724,R720+1),"")</f>
        <v/>
      </c>
      <c r="T720" s="23" t="str">
        <f>IF('ASS END SYNC'!C724="SHOW",LEFT('ASS END SYNC'!E724,O720),"")</f>
        <v/>
      </c>
      <c r="U720" s="24" t="str">
        <f>IF('ASS END SYNC'!C724="SHOW",MID('ASS END SYNC'!E724,O720+1,P720-O720-1),"")</f>
        <v/>
      </c>
      <c r="V720" s="24" t="str">
        <f>IF(AND('ASS END SYNC'!C724="SHOW",'ASS END SYNC'!C725="SHOW"),U721,IF(AND('ASS END SYNC'!C724="SHOW",'ASS END SYNC'!C725&lt;&gt;"SHOW"),MID('ASS END SYNC'!E724,O720+1,P720-O720-1),""))</f>
        <v/>
      </c>
      <c r="W720" s="23" t="str">
        <f>IF('ASS END SYNC'!C724="SHOW",MID('ASS END SYNC'!E724,Q720+1,S720-Q720+1),"")</f>
        <v/>
      </c>
      <c r="X720" s="23" t="str">
        <f>IF('ASS END SYNC'!C724="SHOW",MID('ASS END SYNC'!E724,S720+2,1000),"")</f>
        <v/>
      </c>
      <c r="Z720" s="24"/>
    </row>
    <row r="721" spans="1:26" x14ac:dyDescent="0.25">
      <c r="A721" s="26">
        <v>718</v>
      </c>
      <c r="B721" s="24" t="str">
        <f>IF('ASS START SYNC'!C725="SHOW",FIND(",",'ASS START SYNC'!E725,1),"")</f>
        <v/>
      </c>
      <c r="C721" s="24" t="str">
        <f>IF('ASS START SYNC'!C725="SHOW",FIND(",",'ASS START SYNC'!E725,B721+1),"")</f>
        <v/>
      </c>
      <c r="D721" s="24" t="str">
        <f>IF('ASS START SYNC'!C725="SHOW",FIND(",",'ASS START SYNC'!E725,C721+1),"")</f>
        <v/>
      </c>
      <c r="E721" s="25" t="str">
        <f>IF('ASS START SYNC'!C725="SHOW",FIND(",,",'ASS START SYNC'!E725,1),"")</f>
        <v/>
      </c>
      <c r="F721" s="25" t="str">
        <f>IF('ASS START SYNC'!C725="SHOW",FIND(",,",'ASS START SYNC'!E725,E721+1),"")</f>
        <v/>
      </c>
      <c r="G721" s="23" t="str">
        <f>IF('ASS START SYNC'!C725="SHOW",LEFT('ASS START SYNC'!E725,B721),"")</f>
        <v/>
      </c>
      <c r="H721" s="24" t="str">
        <f>IF(AND('ASS START SYNC'!C725="SHOW",COUNTA('ASS START SYNC'!$E$8:'ASS START SYNC'!E724)=0),MID('ASS START SYNC'!E725,B721+1,C721-B721-1),IF(AND('ASS START SYNC'!C725="SHOW",COUNTA('ASS START SYNC'!$E$8:'ASS START SYNC'!E724)&lt;&gt;0),I720,""))</f>
        <v/>
      </c>
      <c r="I721" s="24" t="str">
        <f>IF('ASS START SYNC'!C725="SHOW",MID('ASS START SYNC'!E725,C721+1,D721-C721-1),I720)</f>
        <v/>
      </c>
      <c r="J721" s="23" t="str">
        <f>IF('ASS START SYNC'!C725="SHOW",MID('ASS START SYNC'!E725,D721+1,F721-D721+1),"")</f>
        <v/>
      </c>
      <c r="K721" s="23" t="str">
        <f>IF('ASS START SYNC'!C725="SHOW",MID('ASS START SYNC'!E725,F721+2,1000),"")</f>
        <v/>
      </c>
      <c r="M721" s="24"/>
      <c r="N721" s="26">
        <v>718</v>
      </c>
      <c r="O721" s="24" t="str">
        <f>IF('ASS END SYNC'!C725="SHOW",FIND(",",'ASS END SYNC'!E725,1),"")</f>
        <v/>
      </c>
      <c r="P721" s="24" t="str">
        <f>IF('ASS END SYNC'!C725="SHOW",FIND(",",'ASS END SYNC'!E725,O721+1),"")</f>
        <v/>
      </c>
      <c r="Q721" s="24" t="str">
        <f>IF('ASS END SYNC'!C725="SHOW",FIND(",",'ASS END SYNC'!E725,P721+1),"")</f>
        <v/>
      </c>
      <c r="R721" s="25" t="str">
        <f>IF('ASS END SYNC'!C725="SHOW",FIND(",,",'ASS END SYNC'!E725,1),"")</f>
        <v/>
      </c>
      <c r="S721" s="25" t="str">
        <f>IF('ASS END SYNC'!C725="SHOW",FIND(",,",'ASS END SYNC'!E725,R721+1),"")</f>
        <v/>
      </c>
      <c r="T721" s="23" t="str">
        <f>IF('ASS END SYNC'!C725="SHOW",LEFT('ASS END SYNC'!E725,O721),"")</f>
        <v/>
      </c>
      <c r="U721" s="24" t="str">
        <f>IF('ASS END SYNC'!C725="SHOW",MID('ASS END SYNC'!E725,O721+1,P721-O721-1),"")</f>
        <v/>
      </c>
      <c r="V721" s="24" t="str">
        <f>IF(AND('ASS END SYNC'!C725="SHOW",'ASS END SYNC'!C726="SHOW"),U722,IF(AND('ASS END SYNC'!C725="SHOW",'ASS END SYNC'!C726&lt;&gt;"SHOW"),MID('ASS END SYNC'!E725,O721+1,P721-O721-1),""))</f>
        <v/>
      </c>
      <c r="W721" s="23" t="str">
        <f>IF('ASS END SYNC'!C725="SHOW",MID('ASS END SYNC'!E725,Q721+1,S721-Q721+1),"")</f>
        <v/>
      </c>
      <c r="X721" s="23" t="str">
        <f>IF('ASS END SYNC'!C725="SHOW",MID('ASS END SYNC'!E725,S721+2,1000),"")</f>
        <v/>
      </c>
      <c r="Z721" s="24"/>
    </row>
    <row r="722" spans="1:26" x14ac:dyDescent="0.25">
      <c r="A722" s="26">
        <v>719</v>
      </c>
      <c r="B722" s="24" t="str">
        <f>IF('ASS START SYNC'!C726="SHOW",FIND(",",'ASS START SYNC'!E726,1),"")</f>
        <v/>
      </c>
      <c r="C722" s="24" t="str">
        <f>IF('ASS START SYNC'!C726="SHOW",FIND(",",'ASS START SYNC'!E726,B722+1),"")</f>
        <v/>
      </c>
      <c r="D722" s="24" t="str">
        <f>IF('ASS START SYNC'!C726="SHOW",FIND(",",'ASS START SYNC'!E726,C722+1),"")</f>
        <v/>
      </c>
      <c r="E722" s="25" t="str">
        <f>IF('ASS START SYNC'!C726="SHOW",FIND(",,",'ASS START SYNC'!E726,1),"")</f>
        <v/>
      </c>
      <c r="F722" s="25" t="str">
        <f>IF('ASS START SYNC'!C726="SHOW",FIND(",,",'ASS START SYNC'!E726,E722+1),"")</f>
        <v/>
      </c>
      <c r="G722" s="23" t="str">
        <f>IF('ASS START SYNC'!C726="SHOW",LEFT('ASS START SYNC'!E726,B722),"")</f>
        <v/>
      </c>
      <c r="H722" s="24" t="str">
        <f>IF(AND('ASS START SYNC'!C726="SHOW",COUNTA('ASS START SYNC'!$E$8:'ASS START SYNC'!E725)=0),MID('ASS START SYNC'!E726,B722+1,C722-B722-1),IF(AND('ASS START SYNC'!C726="SHOW",COUNTA('ASS START SYNC'!$E$8:'ASS START SYNC'!E725)&lt;&gt;0),I721,""))</f>
        <v/>
      </c>
      <c r="I722" s="24" t="str">
        <f>IF('ASS START SYNC'!C726="SHOW",MID('ASS START SYNC'!E726,C722+1,D722-C722-1),I721)</f>
        <v/>
      </c>
      <c r="J722" s="23" t="str">
        <f>IF('ASS START SYNC'!C726="SHOW",MID('ASS START SYNC'!E726,D722+1,F722-D722+1),"")</f>
        <v/>
      </c>
      <c r="K722" s="23" t="str">
        <f>IF('ASS START SYNC'!C726="SHOW",MID('ASS START SYNC'!E726,F722+2,1000),"")</f>
        <v/>
      </c>
      <c r="M722" s="24"/>
      <c r="N722" s="26">
        <v>719</v>
      </c>
      <c r="O722" s="24" t="str">
        <f>IF('ASS END SYNC'!C726="SHOW",FIND(",",'ASS END SYNC'!E726,1),"")</f>
        <v/>
      </c>
      <c r="P722" s="24" t="str">
        <f>IF('ASS END SYNC'!C726="SHOW",FIND(",",'ASS END SYNC'!E726,O722+1),"")</f>
        <v/>
      </c>
      <c r="Q722" s="24" t="str">
        <f>IF('ASS END SYNC'!C726="SHOW",FIND(",",'ASS END SYNC'!E726,P722+1),"")</f>
        <v/>
      </c>
      <c r="R722" s="25" t="str">
        <f>IF('ASS END SYNC'!C726="SHOW",FIND(",,",'ASS END SYNC'!E726,1),"")</f>
        <v/>
      </c>
      <c r="S722" s="25" t="str">
        <f>IF('ASS END SYNC'!C726="SHOW",FIND(",,",'ASS END SYNC'!E726,R722+1),"")</f>
        <v/>
      </c>
      <c r="T722" s="23" t="str">
        <f>IF('ASS END SYNC'!C726="SHOW",LEFT('ASS END SYNC'!E726,O722),"")</f>
        <v/>
      </c>
      <c r="U722" s="24" t="str">
        <f>IF('ASS END SYNC'!C726="SHOW",MID('ASS END SYNC'!E726,O722+1,P722-O722-1),"")</f>
        <v/>
      </c>
      <c r="V722" s="24" t="str">
        <f>IF(AND('ASS END SYNC'!C726="SHOW",'ASS END SYNC'!C727="SHOW"),U723,IF(AND('ASS END SYNC'!C726="SHOW",'ASS END SYNC'!C727&lt;&gt;"SHOW"),MID('ASS END SYNC'!E726,O722+1,P722-O722-1),""))</f>
        <v/>
      </c>
      <c r="W722" s="23" t="str">
        <f>IF('ASS END SYNC'!C726="SHOW",MID('ASS END SYNC'!E726,Q722+1,S722-Q722+1),"")</f>
        <v/>
      </c>
      <c r="X722" s="23" t="str">
        <f>IF('ASS END SYNC'!C726="SHOW",MID('ASS END SYNC'!E726,S722+2,1000),"")</f>
        <v/>
      </c>
      <c r="Z722" s="24"/>
    </row>
    <row r="723" spans="1:26" x14ac:dyDescent="0.25">
      <c r="A723" s="26">
        <v>720</v>
      </c>
      <c r="B723" s="24" t="str">
        <f>IF('ASS START SYNC'!C727="SHOW",FIND(",",'ASS START SYNC'!E727,1),"")</f>
        <v/>
      </c>
      <c r="C723" s="24" t="str">
        <f>IF('ASS START SYNC'!C727="SHOW",FIND(",",'ASS START SYNC'!E727,B723+1),"")</f>
        <v/>
      </c>
      <c r="D723" s="24" t="str">
        <f>IF('ASS START SYNC'!C727="SHOW",FIND(",",'ASS START SYNC'!E727,C723+1),"")</f>
        <v/>
      </c>
      <c r="E723" s="25" t="str">
        <f>IF('ASS START SYNC'!C727="SHOW",FIND(",,",'ASS START SYNC'!E727,1),"")</f>
        <v/>
      </c>
      <c r="F723" s="25" t="str">
        <f>IF('ASS START SYNC'!C727="SHOW",FIND(",,",'ASS START SYNC'!E727,E723+1),"")</f>
        <v/>
      </c>
      <c r="G723" s="23" t="str">
        <f>IF('ASS START SYNC'!C727="SHOW",LEFT('ASS START SYNC'!E727,B723),"")</f>
        <v/>
      </c>
      <c r="H723" s="24" t="str">
        <f>IF(AND('ASS START SYNC'!C727="SHOW",COUNTA('ASS START SYNC'!$E$8:'ASS START SYNC'!E726)=0),MID('ASS START SYNC'!E727,B723+1,C723-B723-1),IF(AND('ASS START SYNC'!C727="SHOW",COUNTA('ASS START SYNC'!$E$8:'ASS START SYNC'!E726)&lt;&gt;0),I722,""))</f>
        <v/>
      </c>
      <c r="I723" s="24" t="str">
        <f>IF('ASS START SYNC'!C727="SHOW",MID('ASS START SYNC'!E727,C723+1,D723-C723-1),I722)</f>
        <v/>
      </c>
      <c r="J723" s="23" t="str">
        <f>IF('ASS START SYNC'!C727="SHOW",MID('ASS START SYNC'!E727,D723+1,F723-D723+1),"")</f>
        <v/>
      </c>
      <c r="K723" s="23" t="str">
        <f>IF('ASS START SYNC'!C727="SHOW",MID('ASS START SYNC'!E727,F723+2,1000),"")</f>
        <v/>
      </c>
      <c r="M723" s="24"/>
      <c r="N723" s="26">
        <v>720</v>
      </c>
      <c r="O723" s="24" t="str">
        <f>IF('ASS END SYNC'!C727="SHOW",FIND(",",'ASS END SYNC'!E727,1),"")</f>
        <v/>
      </c>
      <c r="P723" s="24" t="str">
        <f>IF('ASS END SYNC'!C727="SHOW",FIND(",",'ASS END SYNC'!E727,O723+1),"")</f>
        <v/>
      </c>
      <c r="Q723" s="24" t="str">
        <f>IF('ASS END SYNC'!C727="SHOW",FIND(",",'ASS END SYNC'!E727,P723+1),"")</f>
        <v/>
      </c>
      <c r="R723" s="25" t="str">
        <f>IF('ASS END SYNC'!C727="SHOW",FIND(",,",'ASS END SYNC'!E727,1),"")</f>
        <v/>
      </c>
      <c r="S723" s="25" t="str">
        <f>IF('ASS END SYNC'!C727="SHOW",FIND(",,",'ASS END SYNC'!E727,R723+1),"")</f>
        <v/>
      </c>
      <c r="T723" s="23" t="str">
        <f>IF('ASS END SYNC'!C727="SHOW",LEFT('ASS END SYNC'!E727,O723),"")</f>
        <v/>
      </c>
      <c r="U723" s="24" t="str">
        <f>IF('ASS END SYNC'!C727="SHOW",MID('ASS END SYNC'!E727,O723+1,P723-O723-1),"")</f>
        <v/>
      </c>
      <c r="V723" s="24" t="str">
        <f>IF(AND('ASS END SYNC'!C727="SHOW",'ASS END SYNC'!C728="SHOW"),U724,IF(AND('ASS END SYNC'!C727="SHOW",'ASS END SYNC'!C728&lt;&gt;"SHOW"),MID('ASS END SYNC'!E727,O723+1,P723-O723-1),""))</f>
        <v/>
      </c>
      <c r="W723" s="23" t="str">
        <f>IF('ASS END SYNC'!C727="SHOW",MID('ASS END SYNC'!E727,Q723+1,S723-Q723+1),"")</f>
        <v/>
      </c>
      <c r="X723" s="23" t="str">
        <f>IF('ASS END SYNC'!C727="SHOW",MID('ASS END SYNC'!E727,S723+2,1000),"")</f>
        <v/>
      </c>
      <c r="Z723" s="24"/>
    </row>
    <row r="724" spans="1:26" x14ac:dyDescent="0.25">
      <c r="A724" s="26">
        <v>721</v>
      </c>
      <c r="B724" s="24" t="str">
        <f>IF('ASS START SYNC'!C728="SHOW",FIND(",",'ASS START SYNC'!E728,1),"")</f>
        <v/>
      </c>
      <c r="C724" s="24" t="str">
        <f>IF('ASS START SYNC'!C728="SHOW",FIND(",",'ASS START SYNC'!E728,B724+1),"")</f>
        <v/>
      </c>
      <c r="D724" s="24" t="str">
        <f>IF('ASS START SYNC'!C728="SHOW",FIND(",",'ASS START SYNC'!E728,C724+1),"")</f>
        <v/>
      </c>
      <c r="E724" s="25" t="str">
        <f>IF('ASS START SYNC'!C728="SHOW",FIND(",,",'ASS START SYNC'!E728,1),"")</f>
        <v/>
      </c>
      <c r="F724" s="25" t="str">
        <f>IF('ASS START SYNC'!C728="SHOW",FIND(",,",'ASS START SYNC'!E728,E724+1),"")</f>
        <v/>
      </c>
      <c r="G724" s="23" t="str">
        <f>IF('ASS START SYNC'!C728="SHOW",LEFT('ASS START SYNC'!E728,B724),"")</f>
        <v/>
      </c>
      <c r="H724" s="24" t="str">
        <f>IF(AND('ASS START SYNC'!C728="SHOW",COUNTA('ASS START SYNC'!$E$8:'ASS START SYNC'!E727)=0),MID('ASS START SYNC'!E728,B724+1,C724-B724-1),IF(AND('ASS START SYNC'!C728="SHOW",COUNTA('ASS START SYNC'!$E$8:'ASS START SYNC'!E727)&lt;&gt;0),I723,""))</f>
        <v/>
      </c>
      <c r="I724" s="24" t="str">
        <f>IF('ASS START SYNC'!C728="SHOW",MID('ASS START SYNC'!E728,C724+1,D724-C724-1),I723)</f>
        <v/>
      </c>
      <c r="J724" s="23" t="str">
        <f>IF('ASS START SYNC'!C728="SHOW",MID('ASS START SYNC'!E728,D724+1,F724-D724+1),"")</f>
        <v/>
      </c>
      <c r="K724" s="23" t="str">
        <f>IF('ASS START SYNC'!C728="SHOW",MID('ASS START SYNC'!E728,F724+2,1000),"")</f>
        <v/>
      </c>
      <c r="M724" s="24"/>
      <c r="N724" s="26">
        <v>721</v>
      </c>
      <c r="O724" s="24" t="str">
        <f>IF('ASS END SYNC'!C728="SHOW",FIND(",",'ASS END SYNC'!E728,1),"")</f>
        <v/>
      </c>
      <c r="P724" s="24" t="str">
        <f>IF('ASS END SYNC'!C728="SHOW",FIND(",",'ASS END SYNC'!E728,O724+1),"")</f>
        <v/>
      </c>
      <c r="Q724" s="24" t="str">
        <f>IF('ASS END SYNC'!C728="SHOW",FIND(",",'ASS END SYNC'!E728,P724+1),"")</f>
        <v/>
      </c>
      <c r="R724" s="25" t="str">
        <f>IF('ASS END SYNC'!C728="SHOW",FIND(",,",'ASS END SYNC'!E728,1),"")</f>
        <v/>
      </c>
      <c r="S724" s="25" t="str">
        <f>IF('ASS END SYNC'!C728="SHOW",FIND(",,",'ASS END SYNC'!E728,R724+1),"")</f>
        <v/>
      </c>
      <c r="T724" s="23" t="str">
        <f>IF('ASS END SYNC'!C728="SHOW",LEFT('ASS END SYNC'!E728,O724),"")</f>
        <v/>
      </c>
      <c r="U724" s="24" t="str">
        <f>IF('ASS END SYNC'!C728="SHOW",MID('ASS END SYNC'!E728,O724+1,P724-O724-1),"")</f>
        <v/>
      </c>
      <c r="V724" s="24" t="str">
        <f>IF(AND('ASS END SYNC'!C728="SHOW",'ASS END SYNC'!C729="SHOW"),U725,IF(AND('ASS END SYNC'!C728="SHOW",'ASS END SYNC'!C729&lt;&gt;"SHOW"),MID('ASS END SYNC'!E728,O724+1,P724-O724-1),""))</f>
        <v/>
      </c>
      <c r="W724" s="23" t="str">
        <f>IF('ASS END SYNC'!C728="SHOW",MID('ASS END SYNC'!E728,Q724+1,S724-Q724+1),"")</f>
        <v/>
      </c>
      <c r="X724" s="23" t="str">
        <f>IF('ASS END SYNC'!C728="SHOW",MID('ASS END SYNC'!E728,S724+2,1000),"")</f>
        <v/>
      </c>
      <c r="Z724" s="24"/>
    </row>
    <row r="725" spans="1:26" x14ac:dyDescent="0.25">
      <c r="A725" s="26">
        <v>722</v>
      </c>
      <c r="B725" s="24" t="str">
        <f>IF('ASS START SYNC'!C729="SHOW",FIND(",",'ASS START SYNC'!E729,1),"")</f>
        <v/>
      </c>
      <c r="C725" s="24" t="str">
        <f>IF('ASS START SYNC'!C729="SHOW",FIND(",",'ASS START SYNC'!E729,B725+1),"")</f>
        <v/>
      </c>
      <c r="D725" s="24" t="str">
        <f>IF('ASS START SYNC'!C729="SHOW",FIND(",",'ASS START SYNC'!E729,C725+1),"")</f>
        <v/>
      </c>
      <c r="E725" s="25" t="str">
        <f>IF('ASS START SYNC'!C729="SHOW",FIND(",,",'ASS START SYNC'!E729,1),"")</f>
        <v/>
      </c>
      <c r="F725" s="25" t="str">
        <f>IF('ASS START SYNC'!C729="SHOW",FIND(",,",'ASS START SYNC'!E729,E725+1),"")</f>
        <v/>
      </c>
      <c r="G725" s="23" t="str">
        <f>IF('ASS START SYNC'!C729="SHOW",LEFT('ASS START SYNC'!E729,B725),"")</f>
        <v/>
      </c>
      <c r="H725" s="24" t="str">
        <f>IF(AND('ASS START SYNC'!C729="SHOW",COUNTA('ASS START SYNC'!$E$8:'ASS START SYNC'!E728)=0),MID('ASS START SYNC'!E729,B725+1,C725-B725-1),IF(AND('ASS START SYNC'!C729="SHOW",COUNTA('ASS START SYNC'!$E$8:'ASS START SYNC'!E728)&lt;&gt;0),I724,""))</f>
        <v/>
      </c>
      <c r="I725" s="24" t="str">
        <f>IF('ASS START SYNC'!C729="SHOW",MID('ASS START SYNC'!E729,C725+1,D725-C725-1),I724)</f>
        <v/>
      </c>
      <c r="J725" s="23" t="str">
        <f>IF('ASS START SYNC'!C729="SHOW",MID('ASS START SYNC'!E729,D725+1,F725-D725+1),"")</f>
        <v/>
      </c>
      <c r="K725" s="23" t="str">
        <f>IF('ASS START SYNC'!C729="SHOW",MID('ASS START SYNC'!E729,F725+2,1000),"")</f>
        <v/>
      </c>
      <c r="M725" s="24"/>
      <c r="N725" s="26">
        <v>722</v>
      </c>
      <c r="O725" s="24" t="str">
        <f>IF('ASS END SYNC'!C729="SHOW",FIND(",",'ASS END SYNC'!E729,1),"")</f>
        <v/>
      </c>
      <c r="P725" s="24" t="str">
        <f>IF('ASS END SYNC'!C729="SHOW",FIND(",",'ASS END SYNC'!E729,O725+1),"")</f>
        <v/>
      </c>
      <c r="Q725" s="24" t="str">
        <f>IF('ASS END SYNC'!C729="SHOW",FIND(",",'ASS END SYNC'!E729,P725+1),"")</f>
        <v/>
      </c>
      <c r="R725" s="25" t="str">
        <f>IF('ASS END SYNC'!C729="SHOW",FIND(",,",'ASS END SYNC'!E729,1),"")</f>
        <v/>
      </c>
      <c r="S725" s="25" t="str">
        <f>IF('ASS END SYNC'!C729="SHOW",FIND(",,",'ASS END SYNC'!E729,R725+1),"")</f>
        <v/>
      </c>
      <c r="T725" s="23" t="str">
        <f>IF('ASS END SYNC'!C729="SHOW",LEFT('ASS END SYNC'!E729,O725),"")</f>
        <v/>
      </c>
      <c r="U725" s="24" t="str">
        <f>IF('ASS END SYNC'!C729="SHOW",MID('ASS END SYNC'!E729,O725+1,P725-O725-1),"")</f>
        <v/>
      </c>
      <c r="V725" s="24" t="str">
        <f>IF(AND('ASS END SYNC'!C729="SHOW",'ASS END SYNC'!C730="SHOW"),U726,IF(AND('ASS END SYNC'!C729="SHOW",'ASS END SYNC'!C730&lt;&gt;"SHOW"),MID('ASS END SYNC'!E729,O725+1,P725-O725-1),""))</f>
        <v/>
      </c>
      <c r="W725" s="23" t="str">
        <f>IF('ASS END SYNC'!C729="SHOW",MID('ASS END SYNC'!E729,Q725+1,S725-Q725+1),"")</f>
        <v/>
      </c>
      <c r="X725" s="23" t="str">
        <f>IF('ASS END SYNC'!C729="SHOW",MID('ASS END SYNC'!E729,S725+2,1000),"")</f>
        <v/>
      </c>
      <c r="Z725" s="24"/>
    </row>
    <row r="726" spans="1:26" x14ac:dyDescent="0.25">
      <c r="A726" s="26">
        <v>723</v>
      </c>
      <c r="B726" s="24" t="str">
        <f>IF('ASS START SYNC'!C730="SHOW",FIND(",",'ASS START SYNC'!E730,1),"")</f>
        <v/>
      </c>
      <c r="C726" s="24" t="str">
        <f>IF('ASS START SYNC'!C730="SHOW",FIND(",",'ASS START SYNC'!E730,B726+1),"")</f>
        <v/>
      </c>
      <c r="D726" s="24" t="str">
        <f>IF('ASS START SYNC'!C730="SHOW",FIND(",",'ASS START SYNC'!E730,C726+1),"")</f>
        <v/>
      </c>
      <c r="E726" s="25" t="str">
        <f>IF('ASS START SYNC'!C730="SHOW",FIND(",,",'ASS START SYNC'!E730,1),"")</f>
        <v/>
      </c>
      <c r="F726" s="25" t="str">
        <f>IF('ASS START SYNC'!C730="SHOW",FIND(",,",'ASS START SYNC'!E730,E726+1),"")</f>
        <v/>
      </c>
      <c r="G726" s="23" t="str">
        <f>IF('ASS START SYNC'!C730="SHOW",LEFT('ASS START SYNC'!E730,B726),"")</f>
        <v/>
      </c>
      <c r="H726" s="24" t="str">
        <f>IF(AND('ASS START SYNC'!C730="SHOW",COUNTA('ASS START SYNC'!$E$8:'ASS START SYNC'!E729)=0),MID('ASS START SYNC'!E730,B726+1,C726-B726-1),IF(AND('ASS START SYNC'!C730="SHOW",COUNTA('ASS START SYNC'!$E$8:'ASS START SYNC'!E729)&lt;&gt;0),I725,""))</f>
        <v/>
      </c>
      <c r="I726" s="24" t="str">
        <f>IF('ASS START SYNC'!C730="SHOW",MID('ASS START SYNC'!E730,C726+1,D726-C726-1),I725)</f>
        <v/>
      </c>
      <c r="J726" s="23" t="str">
        <f>IF('ASS START SYNC'!C730="SHOW",MID('ASS START SYNC'!E730,D726+1,F726-D726+1),"")</f>
        <v/>
      </c>
      <c r="K726" s="23" t="str">
        <f>IF('ASS START SYNC'!C730="SHOW",MID('ASS START SYNC'!E730,F726+2,1000),"")</f>
        <v/>
      </c>
      <c r="M726" s="24"/>
      <c r="N726" s="26">
        <v>723</v>
      </c>
      <c r="O726" s="24" t="str">
        <f>IF('ASS END SYNC'!C730="SHOW",FIND(",",'ASS END SYNC'!E730,1),"")</f>
        <v/>
      </c>
      <c r="P726" s="24" t="str">
        <f>IF('ASS END SYNC'!C730="SHOW",FIND(",",'ASS END SYNC'!E730,O726+1),"")</f>
        <v/>
      </c>
      <c r="Q726" s="24" t="str">
        <f>IF('ASS END SYNC'!C730="SHOW",FIND(",",'ASS END SYNC'!E730,P726+1),"")</f>
        <v/>
      </c>
      <c r="R726" s="25" t="str">
        <f>IF('ASS END SYNC'!C730="SHOW",FIND(",,",'ASS END SYNC'!E730,1),"")</f>
        <v/>
      </c>
      <c r="S726" s="25" t="str">
        <f>IF('ASS END SYNC'!C730="SHOW",FIND(",,",'ASS END SYNC'!E730,R726+1),"")</f>
        <v/>
      </c>
      <c r="T726" s="23" t="str">
        <f>IF('ASS END SYNC'!C730="SHOW",LEFT('ASS END SYNC'!E730,O726),"")</f>
        <v/>
      </c>
      <c r="U726" s="24" t="str">
        <f>IF('ASS END SYNC'!C730="SHOW",MID('ASS END SYNC'!E730,O726+1,P726-O726-1),"")</f>
        <v/>
      </c>
      <c r="V726" s="24" t="str">
        <f>IF(AND('ASS END SYNC'!C730="SHOW",'ASS END SYNC'!C731="SHOW"),U727,IF(AND('ASS END SYNC'!C730="SHOW",'ASS END SYNC'!C731&lt;&gt;"SHOW"),MID('ASS END SYNC'!E730,O726+1,P726-O726-1),""))</f>
        <v/>
      </c>
      <c r="W726" s="23" t="str">
        <f>IF('ASS END SYNC'!C730="SHOW",MID('ASS END SYNC'!E730,Q726+1,S726-Q726+1),"")</f>
        <v/>
      </c>
      <c r="X726" s="23" t="str">
        <f>IF('ASS END SYNC'!C730="SHOW",MID('ASS END SYNC'!E730,S726+2,1000),"")</f>
        <v/>
      </c>
      <c r="Z726" s="24"/>
    </row>
    <row r="727" spans="1:26" x14ac:dyDescent="0.25">
      <c r="A727" s="26">
        <v>724</v>
      </c>
      <c r="B727" s="24" t="str">
        <f>IF('ASS START SYNC'!C731="SHOW",FIND(",",'ASS START SYNC'!E731,1),"")</f>
        <v/>
      </c>
      <c r="C727" s="24" t="str">
        <f>IF('ASS START SYNC'!C731="SHOW",FIND(",",'ASS START SYNC'!E731,B727+1),"")</f>
        <v/>
      </c>
      <c r="D727" s="24" t="str">
        <f>IF('ASS START SYNC'!C731="SHOW",FIND(",",'ASS START SYNC'!E731,C727+1),"")</f>
        <v/>
      </c>
      <c r="E727" s="25" t="str">
        <f>IF('ASS START SYNC'!C731="SHOW",FIND(",,",'ASS START SYNC'!E731,1),"")</f>
        <v/>
      </c>
      <c r="F727" s="25" t="str">
        <f>IF('ASS START SYNC'!C731="SHOW",FIND(",,",'ASS START SYNC'!E731,E727+1),"")</f>
        <v/>
      </c>
      <c r="G727" s="23" t="str">
        <f>IF('ASS START SYNC'!C731="SHOW",LEFT('ASS START SYNC'!E731,B727),"")</f>
        <v/>
      </c>
      <c r="H727" s="24" t="str">
        <f>IF(AND('ASS START SYNC'!C731="SHOW",COUNTA('ASS START SYNC'!$E$8:'ASS START SYNC'!E730)=0),MID('ASS START SYNC'!E731,B727+1,C727-B727-1),IF(AND('ASS START SYNC'!C731="SHOW",COUNTA('ASS START SYNC'!$E$8:'ASS START SYNC'!E730)&lt;&gt;0),I726,""))</f>
        <v/>
      </c>
      <c r="I727" s="24" t="str">
        <f>IF('ASS START SYNC'!C731="SHOW",MID('ASS START SYNC'!E731,C727+1,D727-C727-1),I726)</f>
        <v/>
      </c>
      <c r="J727" s="23" t="str">
        <f>IF('ASS START SYNC'!C731="SHOW",MID('ASS START SYNC'!E731,D727+1,F727-D727+1),"")</f>
        <v/>
      </c>
      <c r="K727" s="23" t="str">
        <f>IF('ASS START SYNC'!C731="SHOW",MID('ASS START SYNC'!E731,F727+2,1000),"")</f>
        <v/>
      </c>
      <c r="M727" s="24"/>
      <c r="N727" s="26">
        <v>724</v>
      </c>
      <c r="O727" s="24" t="str">
        <f>IF('ASS END SYNC'!C731="SHOW",FIND(",",'ASS END SYNC'!E731,1),"")</f>
        <v/>
      </c>
      <c r="P727" s="24" t="str">
        <f>IF('ASS END SYNC'!C731="SHOW",FIND(",",'ASS END SYNC'!E731,O727+1),"")</f>
        <v/>
      </c>
      <c r="Q727" s="24" t="str">
        <f>IF('ASS END SYNC'!C731="SHOW",FIND(",",'ASS END SYNC'!E731,P727+1),"")</f>
        <v/>
      </c>
      <c r="R727" s="25" t="str">
        <f>IF('ASS END SYNC'!C731="SHOW",FIND(",,",'ASS END SYNC'!E731,1),"")</f>
        <v/>
      </c>
      <c r="S727" s="25" t="str">
        <f>IF('ASS END SYNC'!C731="SHOW",FIND(",,",'ASS END SYNC'!E731,R727+1),"")</f>
        <v/>
      </c>
      <c r="T727" s="23" t="str">
        <f>IF('ASS END SYNC'!C731="SHOW",LEFT('ASS END SYNC'!E731,O727),"")</f>
        <v/>
      </c>
      <c r="U727" s="24" t="str">
        <f>IF('ASS END SYNC'!C731="SHOW",MID('ASS END SYNC'!E731,O727+1,P727-O727-1),"")</f>
        <v/>
      </c>
      <c r="V727" s="24" t="str">
        <f>IF(AND('ASS END SYNC'!C731="SHOW",'ASS END SYNC'!C732="SHOW"),U728,IF(AND('ASS END SYNC'!C731="SHOW",'ASS END SYNC'!C732&lt;&gt;"SHOW"),MID('ASS END SYNC'!E731,O727+1,P727-O727-1),""))</f>
        <v/>
      </c>
      <c r="W727" s="23" t="str">
        <f>IF('ASS END SYNC'!C731="SHOW",MID('ASS END SYNC'!E731,Q727+1,S727-Q727+1),"")</f>
        <v/>
      </c>
      <c r="X727" s="23" t="str">
        <f>IF('ASS END SYNC'!C731="SHOW",MID('ASS END SYNC'!E731,S727+2,1000),"")</f>
        <v/>
      </c>
      <c r="Z727" s="24"/>
    </row>
    <row r="728" spans="1:26" x14ac:dyDescent="0.25">
      <c r="A728" s="26">
        <v>725</v>
      </c>
      <c r="B728" s="24" t="str">
        <f>IF('ASS START SYNC'!C732="SHOW",FIND(",",'ASS START SYNC'!E732,1),"")</f>
        <v/>
      </c>
      <c r="C728" s="24" t="str">
        <f>IF('ASS START SYNC'!C732="SHOW",FIND(",",'ASS START SYNC'!E732,B728+1),"")</f>
        <v/>
      </c>
      <c r="D728" s="24" t="str">
        <f>IF('ASS START SYNC'!C732="SHOW",FIND(",",'ASS START SYNC'!E732,C728+1),"")</f>
        <v/>
      </c>
      <c r="E728" s="25" t="str">
        <f>IF('ASS START SYNC'!C732="SHOW",FIND(",,",'ASS START SYNC'!E732,1),"")</f>
        <v/>
      </c>
      <c r="F728" s="25" t="str">
        <f>IF('ASS START SYNC'!C732="SHOW",FIND(",,",'ASS START SYNC'!E732,E728+1),"")</f>
        <v/>
      </c>
      <c r="G728" s="23" t="str">
        <f>IF('ASS START SYNC'!C732="SHOW",LEFT('ASS START SYNC'!E732,B728),"")</f>
        <v/>
      </c>
      <c r="H728" s="24" t="str">
        <f>IF(AND('ASS START SYNC'!C732="SHOW",COUNTA('ASS START SYNC'!$E$8:'ASS START SYNC'!E731)=0),MID('ASS START SYNC'!E732,B728+1,C728-B728-1),IF(AND('ASS START SYNC'!C732="SHOW",COUNTA('ASS START SYNC'!$E$8:'ASS START SYNC'!E731)&lt;&gt;0),I727,""))</f>
        <v/>
      </c>
      <c r="I728" s="24" t="str">
        <f>IF('ASS START SYNC'!C732="SHOW",MID('ASS START SYNC'!E732,C728+1,D728-C728-1),I727)</f>
        <v/>
      </c>
      <c r="J728" s="23" t="str">
        <f>IF('ASS START SYNC'!C732="SHOW",MID('ASS START SYNC'!E732,D728+1,F728-D728+1),"")</f>
        <v/>
      </c>
      <c r="K728" s="23" t="str">
        <f>IF('ASS START SYNC'!C732="SHOW",MID('ASS START SYNC'!E732,F728+2,1000),"")</f>
        <v/>
      </c>
      <c r="M728" s="24"/>
      <c r="N728" s="26">
        <v>725</v>
      </c>
      <c r="O728" s="24" t="str">
        <f>IF('ASS END SYNC'!C732="SHOW",FIND(",",'ASS END SYNC'!E732,1),"")</f>
        <v/>
      </c>
      <c r="P728" s="24" t="str">
        <f>IF('ASS END SYNC'!C732="SHOW",FIND(",",'ASS END SYNC'!E732,O728+1),"")</f>
        <v/>
      </c>
      <c r="Q728" s="24" t="str">
        <f>IF('ASS END SYNC'!C732="SHOW",FIND(",",'ASS END SYNC'!E732,P728+1),"")</f>
        <v/>
      </c>
      <c r="R728" s="25" t="str">
        <f>IF('ASS END SYNC'!C732="SHOW",FIND(",,",'ASS END SYNC'!E732,1),"")</f>
        <v/>
      </c>
      <c r="S728" s="25" t="str">
        <f>IF('ASS END SYNC'!C732="SHOW",FIND(",,",'ASS END SYNC'!E732,R728+1),"")</f>
        <v/>
      </c>
      <c r="T728" s="23" t="str">
        <f>IF('ASS END SYNC'!C732="SHOW",LEFT('ASS END SYNC'!E732,O728),"")</f>
        <v/>
      </c>
      <c r="U728" s="24" t="str">
        <f>IF('ASS END SYNC'!C732="SHOW",MID('ASS END SYNC'!E732,O728+1,P728-O728-1),"")</f>
        <v/>
      </c>
      <c r="V728" s="24" t="str">
        <f>IF(AND('ASS END SYNC'!C732="SHOW",'ASS END SYNC'!C733="SHOW"),U729,IF(AND('ASS END SYNC'!C732="SHOW",'ASS END SYNC'!C733&lt;&gt;"SHOW"),MID('ASS END SYNC'!E732,O728+1,P728-O728-1),""))</f>
        <v/>
      </c>
      <c r="W728" s="23" t="str">
        <f>IF('ASS END SYNC'!C732="SHOW",MID('ASS END SYNC'!E732,Q728+1,S728-Q728+1),"")</f>
        <v/>
      </c>
      <c r="X728" s="23" t="str">
        <f>IF('ASS END SYNC'!C732="SHOW",MID('ASS END SYNC'!E732,S728+2,1000),"")</f>
        <v/>
      </c>
      <c r="Z728" s="24"/>
    </row>
    <row r="729" spans="1:26" x14ac:dyDescent="0.25">
      <c r="A729" s="26">
        <v>726</v>
      </c>
      <c r="B729" s="24" t="str">
        <f>IF('ASS START SYNC'!C733="SHOW",FIND(",",'ASS START SYNC'!E733,1),"")</f>
        <v/>
      </c>
      <c r="C729" s="24" t="str">
        <f>IF('ASS START SYNC'!C733="SHOW",FIND(",",'ASS START SYNC'!E733,B729+1),"")</f>
        <v/>
      </c>
      <c r="D729" s="24" t="str">
        <f>IF('ASS START SYNC'!C733="SHOW",FIND(",",'ASS START SYNC'!E733,C729+1),"")</f>
        <v/>
      </c>
      <c r="E729" s="25" t="str">
        <f>IF('ASS START SYNC'!C733="SHOW",FIND(",,",'ASS START SYNC'!E733,1),"")</f>
        <v/>
      </c>
      <c r="F729" s="25" t="str">
        <f>IF('ASS START SYNC'!C733="SHOW",FIND(",,",'ASS START SYNC'!E733,E729+1),"")</f>
        <v/>
      </c>
      <c r="G729" s="23" t="str">
        <f>IF('ASS START SYNC'!C733="SHOW",LEFT('ASS START SYNC'!E733,B729),"")</f>
        <v/>
      </c>
      <c r="H729" s="24" t="str">
        <f>IF(AND('ASS START SYNC'!C733="SHOW",COUNTA('ASS START SYNC'!$E$8:'ASS START SYNC'!E732)=0),MID('ASS START SYNC'!E733,B729+1,C729-B729-1),IF(AND('ASS START SYNC'!C733="SHOW",COUNTA('ASS START SYNC'!$E$8:'ASS START SYNC'!E732)&lt;&gt;0),I728,""))</f>
        <v/>
      </c>
      <c r="I729" s="24" t="str">
        <f>IF('ASS START SYNC'!C733="SHOW",MID('ASS START SYNC'!E733,C729+1,D729-C729-1),I728)</f>
        <v/>
      </c>
      <c r="J729" s="23" t="str">
        <f>IF('ASS START SYNC'!C733="SHOW",MID('ASS START SYNC'!E733,D729+1,F729-D729+1),"")</f>
        <v/>
      </c>
      <c r="K729" s="23" t="str">
        <f>IF('ASS START SYNC'!C733="SHOW",MID('ASS START SYNC'!E733,F729+2,1000),"")</f>
        <v/>
      </c>
      <c r="M729" s="24"/>
      <c r="N729" s="26">
        <v>726</v>
      </c>
      <c r="O729" s="24" t="str">
        <f>IF('ASS END SYNC'!C733="SHOW",FIND(",",'ASS END SYNC'!E733,1),"")</f>
        <v/>
      </c>
      <c r="P729" s="24" t="str">
        <f>IF('ASS END SYNC'!C733="SHOW",FIND(",",'ASS END SYNC'!E733,O729+1),"")</f>
        <v/>
      </c>
      <c r="Q729" s="24" t="str">
        <f>IF('ASS END SYNC'!C733="SHOW",FIND(",",'ASS END SYNC'!E733,P729+1),"")</f>
        <v/>
      </c>
      <c r="R729" s="25" t="str">
        <f>IF('ASS END SYNC'!C733="SHOW",FIND(",,",'ASS END SYNC'!E733,1),"")</f>
        <v/>
      </c>
      <c r="S729" s="25" t="str">
        <f>IF('ASS END SYNC'!C733="SHOW",FIND(",,",'ASS END SYNC'!E733,R729+1),"")</f>
        <v/>
      </c>
      <c r="T729" s="23" t="str">
        <f>IF('ASS END SYNC'!C733="SHOW",LEFT('ASS END SYNC'!E733,O729),"")</f>
        <v/>
      </c>
      <c r="U729" s="24" t="str">
        <f>IF('ASS END SYNC'!C733="SHOW",MID('ASS END SYNC'!E733,O729+1,P729-O729-1),"")</f>
        <v/>
      </c>
      <c r="V729" s="24" t="str">
        <f>IF(AND('ASS END SYNC'!C733="SHOW",'ASS END SYNC'!C734="SHOW"),U730,IF(AND('ASS END SYNC'!C733="SHOW",'ASS END SYNC'!C734&lt;&gt;"SHOW"),MID('ASS END SYNC'!E733,O729+1,P729-O729-1),""))</f>
        <v/>
      </c>
      <c r="W729" s="23" t="str">
        <f>IF('ASS END SYNC'!C733="SHOW",MID('ASS END SYNC'!E733,Q729+1,S729-Q729+1),"")</f>
        <v/>
      </c>
      <c r="X729" s="23" t="str">
        <f>IF('ASS END SYNC'!C733="SHOW",MID('ASS END SYNC'!E733,S729+2,1000),"")</f>
        <v/>
      </c>
      <c r="Z729" s="24"/>
    </row>
    <row r="730" spans="1:26" x14ac:dyDescent="0.25">
      <c r="A730" s="26">
        <v>727</v>
      </c>
      <c r="B730" s="24" t="str">
        <f>IF('ASS START SYNC'!C734="SHOW",FIND(",",'ASS START SYNC'!E734,1),"")</f>
        <v/>
      </c>
      <c r="C730" s="24" t="str">
        <f>IF('ASS START SYNC'!C734="SHOW",FIND(",",'ASS START SYNC'!E734,B730+1),"")</f>
        <v/>
      </c>
      <c r="D730" s="24" t="str">
        <f>IF('ASS START SYNC'!C734="SHOW",FIND(",",'ASS START SYNC'!E734,C730+1),"")</f>
        <v/>
      </c>
      <c r="E730" s="25" t="str">
        <f>IF('ASS START SYNC'!C734="SHOW",FIND(",,",'ASS START SYNC'!E734,1),"")</f>
        <v/>
      </c>
      <c r="F730" s="25" t="str">
        <f>IF('ASS START SYNC'!C734="SHOW",FIND(",,",'ASS START SYNC'!E734,E730+1),"")</f>
        <v/>
      </c>
      <c r="G730" s="23" t="str">
        <f>IF('ASS START SYNC'!C734="SHOW",LEFT('ASS START SYNC'!E734,B730),"")</f>
        <v/>
      </c>
      <c r="H730" s="24" t="str">
        <f>IF(AND('ASS START SYNC'!C734="SHOW",COUNTA('ASS START SYNC'!$E$8:'ASS START SYNC'!E733)=0),MID('ASS START SYNC'!E734,B730+1,C730-B730-1),IF(AND('ASS START SYNC'!C734="SHOW",COUNTA('ASS START SYNC'!$E$8:'ASS START SYNC'!E733)&lt;&gt;0),I729,""))</f>
        <v/>
      </c>
      <c r="I730" s="24" t="str">
        <f>IF('ASS START SYNC'!C734="SHOW",MID('ASS START SYNC'!E734,C730+1,D730-C730-1),I729)</f>
        <v/>
      </c>
      <c r="J730" s="23" t="str">
        <f>IF('ASS START SYNC'!C734="SHOW",MID('ASS START SYNC'!E734,D730+1,F730-D730+1),"")</f>
        <v/>
      </c>
      <c r="K730" s="23" t="str">
        <f>IF('ASS START SYNC'!C734="SHOW",MID('ASS START SYNC'!E734,F730+2,1000),"")</f>
        <v/>
      </c>
      <c r="M730" s="24"/>
      <c r="N730" s="26">
        <v>727</v>
      </c>
      <c r="O730" s="24" t="str">
        <f>IF('ASS END SYNC'!C734="SHOW",FIND(",",'ASS END SYNC'!E734,1),"")</f>
        <v/>
      </c>
      <c r="P730" s="24" t="str">
        <f>IF('ASS END SYNC'!C734="SHOW",FIND(",",'ASS END SYNC'!E734,O730+1),"")</f>
        <v/>
      </c>
      <c r="Q730" s="24" t="str">
        <f>IF('ASS END SYNC'!C734="SHOW",FIND(",",'ASS END SYNC'!E734,P730+1),"")</f>
        <v/>
      </c>
      <c r="R730" s="25" t="str">
        <f>IF('ASS END SYNC'!C734="SHOW",FIND(",,",'ASS END SYNC'!E734,1),"")</f>
        <v/>
      </c>
      <c r="S730" s="25" t="str">
        <f>IF('ASS END SYNC'!C734="SHOW",FIND(",,",'ASS END SYNC'!E734,R730+1),"")</f>
        <v/>
      </c>
      <c r="T730" s="23" t="str">
        <f>IF('ASS END SYNC'!C734="SHOW",LEFT('ASS END SYNC'!E734,O730),"")</f>
        <v/>
      </c>
      <c r="U730" s="24" t="str">
        <f>IF('ASS END SYNC'!C734="SHOW",MID('ASS END SYNC'!E734,O730+1,P730-O730-1),"")</f>
        <v/>
      </c>
      <c r="V730" s="24" t="str">
        <f>IF(AND('ASS END SYNC'!C734="SHOW",'ASS END SYNC'!C735="SHOW"),U731,IF(AND('ASS END SYNC'!C734="SHOW",'ASS END SYNC'!C735&lt;&gt;"SHOW"),MID('ASS END SYNC'!E734,O730+1,P730-O730-1),""))</f>
        <v/>
      </c>
      <c r="W730" s="23" t="str">
        <f>IF('ASS END SYNC'!C734="SHOW",MID('ASS END SYNC'!E734,Q730+1,S730-Q730+1),"")</f>
        <v/>
      </c>
      <c r="X730" s="23" t="str">
        <f>IF('ASS END SYNC'!C734="SHOW",MID('ASS END SYNC'!E734,S730+2,1000),"")</f>
        <v/>
      </c>
      <c r="Z730" s="24"/>
    </row>
    <row r="731" spans="1:26" x14ac:dyDescent="0.25">
      <c r="A731" s="26">
        <v>728</v>
      </c>
      <c r="B731" s="24" t="str">
        <f>IF('ASS START SYNC'!C735="SHOW",FIND(",",'ASS START SYNC'!E735,1),"")</f>
        <v/>
      </c>
      <c r="C731" s="24" t="str">
        <f>IF('ASS START SYNC'!C735="SHOW",FIND(",",'ASS START SYNC'!E735,B731+1),"")</f>
        <v/>
      </c>
      <c r="D731" s="24" t="str">
        <f>IF('ASS START SYNC'!C735="SHOW",FIND(",",'ASS START SYNC'!E735,C731+1),"")</f>
        <v/>
      </c>
      <c r="E731" s="25" t="str">
        <f>IF('ASS START SYNC'!C735="SHOW",FIND(",,",'ASS START SYNC'!E735,1),"")</f>
        <v/>
      </c>
      <c r="F731" s="25" t="str">
        <f>IF('ASS START SYNC'!C735="SHOW",FIND(",,",'ASS START SYNC'!E735,E731+1),"")</f>
        <v/>
      </c>
      <c r="G731" s="23" t="str">
        <f>IF('ASS START SYNC'!C735="SHOW",LEFT('ASS START SYNC'!E735,B731),"")</f>
        <v/>
      </c>
      <c r="H731" s="24" t="str">
        <f>IF(AND('ASS START SYNC'!C735="SHOW",COUNTA('ASS START SYNC'!$E$8:'ASS START SYNC'!E734)=0),MID('ASS START SYNC'!E735,B731+1,C731-B731-1),IF(AND('ASS START SYNC'!C735="SHOW",COUNTA('ASS START SYNC'!$E$8:'ASS START SYNC'!E734)&lt;&gt;0),I730,""))</f>
        <v/>
      </c>
      <c r="I731" s="24" t="str">
        <f>IF('ASS START SYNC'!C735="SHOW",MID('ASS START SYNC'!E735,C731+1,D731-C731-1),I730)</f>
        <v/>
      </c>
      <c r="J731" s="23" t="str">
        <f>IF('ASS START SYNC'!C735="SHOW",MID('ASS START SYNC'!E735,D731+1,F731-D731+1),"")</f>
        <v/>
      </c>
      <c r="K731" s="23" t="str">
        <f>IF('ASS START SYNC'!C735="SHOW",MID('ASS START SYNC'!E735,F731+2,1000),"")</f>
        <v/>
      </c>
      <c r="M731" s="24"/>
      <c r="N731" s="26">
        <v>728</v>
      </c>
      <c r="O731" s="24" t="str">
        <f>IF('ASS END SYNC'!C735="SHOW",FIND(",",'ASS END SYNC'!E735,1),"")</f>
        <v/>
      </c>
      <c r="P731" s="24" t="str">
        <f>IF('ASS END SYNC'!C735="SHOW",FIND(",",'ASS END SYNC'!E735,O731+1),"")</f>
        <v/>
      </c>
      <c r="Q731" s="24" t="str">
        <f>IF('ASS END SYNC'!C735="SHOW",FIND(",",'ASS END SYNC'!E735,P731+1),"")</f>
        <v/>
      </c>
      <c r="R731" s="25" t="str">
        <f>IF('ASS END SYNC'!C735="SHOW",FIND(",,",'ASS END SYNC'!E735,1),"")</f>
        <v/>
      </c>
      <c r="S731" s="25" t="str">
        <f>IF('ASS END SYNC'!C735="SHOW",FIND(",,",'ASS END SYNC'!E735,R731+1),"")</f>
        <v/>
      </c>
      <c r="T731" s="23" t="str">
        <f>IF('ASS END SYNC'!C735="SHOW",LEFT('ASS END SYNC'!E735,O731),"")</f>
        <v/>
      </c>
      <c r="U731" s="24" t="str">
        <f>IF('ASS END SYNC'!C735="SHOW",MID('ASS END SYNC'!E735,O731+1,P731-O731-1),"")</f>
        <v/>
      </c>
      <c r="V731" s="24" t="str">
        <f>IF(AND('ASS END SYNC'!C735="SHOW",'ASS END SYNC'!C736="SHOW"),U732,IF(AND('ASS END SYNC'!C735="SHOW",'ASS END SYNC'!C736&lt;&gt;"SHOW"),MID('ASS END SYNC'!E735,O731+1,P731-O731-1),""))</f>
        <v/>
      </c>
      <c r="W731" s="23" t="str">
        <f>IF('ASS END SYNC'!C735="SHOW",MID('ASS END SYNC'!E735,Q731+1,S731-Q731+1),"")</f>
        <v/>
      </c>
      <c r="X731" s="23" t="str">
        <f>IF('ASS END SYNC'!C735="SHOW",MID('ASS END SYNC'!E735,S731+2,1000),"")</f>
        <v/>
      </c>
      <c r="Z731" s="24"/>
    </row>
    <row r="732" spans="1:26" x14ac:dyDescent="0.25">
      <c r="A732" s="26">
        <v>729</v>
      </c>
      <c r="B732" s="24" t="str">
        <f>IF('ASS START SYNC'!C736="SHOW",FIND(",",'ASS START SYNC'!E736,1),"")</f>
        <v/>
      </c>
      <c r="C732" s="24" t="str">
        <f>IF('ASS START SYNC'!C736="SHOW",FIND(",",'ASS START SYNC'!E736,B732+1),"")</f>
        <v/>
      </c>
      <c r="D732" s="24" t="str">
        <f>IF('ASS START SYNC'!C736="SHOW",FIND(",",'ASS START SYNC'!E736,C732+1),"")</f>
        <v/>
      </c>
      <c r="E732" s="25" t="str">
        <f>IF('ASS START SYNC'!C736="SHOW",FIND(",,",'ASS START SYNC'!E736,1),"")</f>
        <v/>
      </c>
      <c r="F732" s="25" t="str">
        <f>IF('ASS START SYNC'!C736="SHOW",FIND(",,",'ASS START SYNC'!E736,E732+1),"")</f>
        <v/>
      </c>
      <c r="G732" s="23" t="str">
        <f>IF('ASS START SYNC'!C736="SHOW",LEFT('ASS START SYNC'!E736,B732),"")</f>
        <v/>
      </c>
      <c r="H732" s="24" t="str">
        <f>IF(AND('ASS START SYNC'!C736="SHOW",COUNTA('ASS START SYNC'!$E$8:'ASS START SYNC'!E735)=0),MID('ASS START SYNC'!E736,B732+1,C732-B732-1),IF(AND('ASS START SYNC'!C736="SHOW",COUNTA('ASS START SYNC'!$E$8:'ASS START SYNC'!E735)&lt;&gt;0),I731,""))</f>
        <v/>
      </c>
      <c r="I732" s="24" t="str">
        <f>IF('ASS START SYNC'!C736="SHOW",MID('ASS START SYNC'!E736,C732+1,D732-C732-1),I731)</f>
        <v/>
      </c>
      <c r="J732" s="23" t="str">
        <f>IF('ASS START SYNC'!C736="SHOW",MID('ASS START SYNC'!E736,D732+1,F732-D732+1),"")</f>
        <v/>
      </c>
      <c r="K732" s="23" t="str">
        <f>IF('ASS START SYNC'!C736="SHOW",MID('ASS START SYNC'!E736,F732+2,1000),"")</f>
        <v/>
      </c>
      <c r="M732" s="24"/>
      <c r="N732" s="26">
        <v>729</v>
      </c>
      <c r="O732" s="24" t="str">
        <f>IF('ASS END SYNC'!C736="SHOW",FIND(",",'ASS END SYNC'!E736,1),"")</f>
        <v/>
      </c>
      <c r="P732" s="24" t="str">
        <f>IF('ASS END SYNC'!C736="SHOW",FIND(",",'ASS END SYNC'!E736,O732+1),"")</f>
        <v/>
      </c>
      <c r="Q732" s="24" t="str">
        <f>IF('ASS END SYNC'!C736="SHOW",FIND(",",'ASS END SYNC'!E736,P732+1),"")</f>
        <v/>
      </c>
      <c r="R732" s="25" t="str">
        <f>IF('ASS END SYNC'!C736="SHOW",FIND(",,",'ASS END SYNC'!E736,1),"")</f>
        <v/>
      </c>
      <c r="S732" s="25" t="str">
        <f>IF('ASS END SYNC'!C736="SHOW",FIND(",,",'ASS END SYNC'!E736,R732+1),"")</f>
        <v/>
      </c>
      <c r="T732" s="23" t="str">
        <f>IF('ASS END SYNC'!C736="SHOW",LEFT('ASS END SYNC'!E736,O732),"")</f>
        <v/>
      </c>
      <c r="U732" s="24" t="str">
        <f>IF('ASS END SYNC'!C736="SHOW",MID('ASS END SYNC'!E736,O732+1,P732-O732-1),"")</f>
        <v/>
      </c>
      <c r="V732" s="24" t="str">
        <f>IF(AND('ASS END SYNC'!C736="SHOW",'ASS END SYNC'!C737="SHOW"),U733,IF(AND('ASS END SYNC'!C736="SHOW",'ASS END SYNC'!C737&lt;&gt;"SHOW"),MID('ASS END SYNC'!E736,O732+1,P732-O732-1),""))</f>
        <v/>
      </c>
      <c r="W732" s="23" t="str">
        <f>IF('ASS END SYNC'!C736="SHOW",MID('ASS END SYNC'!E736,Q732+1,S732-Q732+1),"")</f>
        <v/>
      </c>
      <c r="X732" s="23" t="str">
        <f>IF('ASS END SYNC'!C736="SHOW",MID('ASS END SYNC'!E736,S732+2,1000),"")</f>
        <v/>
      </c>
      <c r="Z732" s="24"/>
    </row>
    <row r="733" spans="1:26" x14ac:dyDescent="0.25">
      <c r="A733" s="26">
        <v>730</v>
      </c>
      <c r="B733" s="24" t="str">
        <f>IF('ASS START SYNC'!C737="SHOW",FIND(",",'ASS START SYNC'!E737,1),"")</f>
        <v/>
      </c>
      <c r="C733" s="24" t="str">
        <f>IF('ASS START SYNC'!C737="SHOW",FIND(",",'ASS START SYNC'!E737,B733+1),"")</f>
        <v/>
      </c>
      <c r="D733" s="24" t="str">
        <f>IF('ASS START SYNC'!C737="SHOW",FIND(",",'ASS START SYNC'!E737,C733+1),"")</f>
        <v/>
      </c>
      <c r="E733" s="25" t="str">
        <f>IF('ASS START SYNC'!C737="SHOW",FIND(",,",'ASS START SYNC'!E737,1),"")</f>
        <v/>
      </c>
      <c r="F733" s="25" t="str">
        <f>IF('ASS START SYNC'!C737="SHOW",FIND(",,",'ASS START SYNC'!E737,E733+1),"")</f>
        <v/>
      </c>
      <c r="G733" s="23" t="str">
        <f>IF('ASS START SYNC'!C737="SHOW",LEFT('ASS START SYNC'!E737,B733),"")</f>
        <v/>
      </c>
      <c r="H733" s="24" t="str">
        <f>IF(AND('ASS START SYNC'!C737="SHOW",COUNTA('ASS START SYNC'!$E$8:'ASS START SYNC'!E736)=0),MID('ASS START SYNC'!E737,B733+1,C733-B733-1),IF(AND('ASS START SYNC'!C737="SHOW",COUNTA('ASS START SYNC'!$E$8:'ASS START SYNC'!E736)&lt;&gt;0),I732,""))</f>
        <v/>
      </c>
      <c r="I733" s="24" t="str">
        <f>IF('ASS START SYNC'!C737="SHOW",MID('ASS START SYNC'!E737,C733+1,D733-C733-1),I732)</f>
        <v/>
      </c>
      <c r="J733" s="23" t="str">
        <f>IF('ASS START SYNC'!C737="SHOW",MID('ASS START SYNC'!E737,D733+1,F733-D733+1),"")</f>
        <v/>
      </c>
      <c r="K733" s="23" t="str">
        <f>IF('ASS START SYNC'!C737="SHOW",MID('ASS START SYNC'!E737,F733+2,1000),"")</f>
        <v/>
      </c>
      <c r="M733" s="24"/>
      <c r="N733" s="26">
        <v>730</v>
      </c>
      <c r="O733" s="24" t="str">
        <f>IF('ASS END SYNC'!C737="SHOW",FIND(",",'ASS END SYNC'!E737,1),"")</f>
        <v/>
      </c>
      <c r="P733" s="24" t="str">
        <f>IF('ASS END SYNC'!C737="SHOW",FIND(",",'ASS END SYNC'!E737,O733+1),"")</f>
        <v/>
      </c>
      <c r="Q733" s="24" t="str">
        <f>IF('ASS END SYNC'!C737="SHOW",FIND(",",'ASS END SYNC'!E737,P733+1),"")</f>
        <v/>
      </c>
      <c r="R733" s="25" t="str">
        <f>IF('ASS END SYNC'!C737="SHOW",FIND(",,",'ASS END SYNC'!E737,1),"")</f>
        <v/>
      </c>
      <c r="S733" s="25" t="str">
        <f>IF('ASS END SYNC'!C737="SHOW",FIND(",,",'ASS END SYNC'!E737,R733+1),"")</f>
        <v/>
      </c>
      <c r="T733" s="23" t="str">
        <f>IF('ASS END SYNC'!C737="SHOW",LEFT('ASS END SYNC'!E737,O733),"")</f>
        <v/>
      </c>
      <c r="U733" s="24" t="str">
        <f>IF('ASS END SYNC'!C737="SHOW",MID('ASS END SYNC'!E737,O733+1,P733-O733-1),"")</f>
        <v/>
      </c>
      <c r="V733" s="24" t="str">
        <f>IF(AND('ASS END SYNC'!C737="SHOW",'ASS END SYNC'!C738="SHOW"),U734,IF(AND('ASS END SYNC'!C737="SHOW",'ASS END SYNC'!C738&lt;&gt;"SHOW"),MID('ASS END SYNC'!E737,O733+1,P733-O733-1),""))</f>
        <v/>
      </c>
      <c r="W733" s="23" t="str">
        <f>IF('ASS END SYNC'!C737="SHOW",MID('ASS END SYNC'!E737,Q733+1,S733-Q733+1),"")</f>
        <v/>
      </c>
      <c r="X733" s="23" t="str">
        <f>IF('ASS END SYNC'!C737="SHOW",MID('ASS END SYNC'!E737,S733+2,1000),"")</f>
        <v/>
      </c>
      <c r="Z733" s="24"/>
    </row>
    <row r="734" spans="1:26" x14ac:dyDescent="0.25">
      <c r="A734" s="26">
        <v>731</v>
      </c>
      <c r="B734" s="24" t="str">
        <f>IF('ASS START SYNC'!C738="SHOW",FIND(",",'ASS START SYNC'!E738,1),"")</f>
        <v/>
      </c>
      <c r="C734" s="24" t="str">
        <f>IF('ASS START SYNC'!C738="SHOW",FIND(",",'ASS START SYNC'!E738,B734+1),"")</f>
        <v/>
      </c>
      <c r="D734" s="24" t="str">
        <f>IF('ASS START SYNC'!C738="SHOW",FIND(",",'ASS START SYNC'!E738,C734+1),"")</f>
        <v/>
      </c>
      <c r="E734" s="25" t="str">
        <f>IF('ASS START SYNC'!C738="SHOW",FIND(",,",'ASS START SYNC'!E738,1),"")</f>
        <v/>
      </c>
      <c r="F734" s="25" t="str">
        <f>IF('ASS START SYNC'!C738="SHOW",FIND(",,",'ASS START SYNC'!E738,E734+1),"")</f>
        <v/>
      </c>
      <c r="G734" s="23" t="str">
        <f>IF('ASS START SYNC'!C738="SHOW",LEFT('ASS START SYNC'!E738,B734),"")</f>
        <v/>
      </c>
      <c r="H734" s="24" t="str">
        <f>IF(AND('ASS START SYNC'!C738="SHOW",COUNTA('ASS START SYNC'!$E$8:'ASS START SYNC'!E737)=0),MID('ASS START SYNC'!E738,B734+1,C734-B734-1),IF(AND('ASS START SYNC'!C738="SHOW",COUNTA('ASS START SYNC'!$E$8:'ASS START SYNC'!E737)&lt;&gt;0),I733,""))</f>
        <v/>
      </c>
      <c r="I734" s="24" t="str">
        <f>IF('ASS START SYNC'!C738="SHOW",MID('ASS START SYNC'!E738,C734+1,D734-C734-1),I733)</f>
        <v/>
      </c>
      <c r="J734" s="23" t="str">
        <f>IF('ASS START SYNC'!C738="SHOW",MID('ASS START SYNC'!E738,D734+1,F734-D734+1),"")</f>
        <v/>
      </c>
      <c r="K734" s="23" t="str">
        <f>IF('ASS START SYNC'!C738="SHOW",MID('ASS START SYNC'!E738,F734+2,1000),"")</f>
        <v/>
      </c>
      <c r="M734" s="24"/>
      <c r="N734" s="26">
        <v>731</v>
      </c>
      <c r="O734" s="24" t="str">
        <f>IF('ASS END SYNC'!C738="SHOW",FIND(",",'ASS END SYNC'!E738,1),"")</f>
        <v/>
      </c>
      <c r="P734" s="24" t="str">
        <f>IF('ASS END SYNC'!C738="SHOW",FIND(",",'ASS END SYNC'!E738,O734+1),"")</f>
        <v/>
      </c>
      <c r="Q734" s="24" t="str">
        <f>IF('ASS END SYNC'!C738="SHOW",FIND(",",'ASS END SYNC'!E738,P734+1),"")</f>
        <v/>
      </c>
      <c r="R734" s="25" t="str">
        <f>IF('ASS END SYNC'!C738="SHOW",FIND(",,",'ASS END SYNC'!E738,1),"")</f>
        <v/>
      </c>
      <c r="S734" s="25" t="str">
        <f>IF('ASS END SYNC'!C738="SHOW",FIND(",,",'ASS END SYNC'!E738,R734+1),"")</f>
        <v/>
      </c>
      <c r="T734" s="23" t="str">
        <f>IF('ASS END SYNC'!C738="SHOW",LEFT('ASS END SYNC'!E738,O734),"")</f>
        <v/>
      </c>
      <c r="U734" s="24" t="str">
        <f>IF('ASS END SYNC'!C738="SHOW",MID('ASS END SYNC'!E738,O734+1,P734-O734-1),"")</f>
        <v/>
      </c>
      <c r="V734" s="24" t="str">
        <f>IF(AND('ASS END SYNC'!C738="SHOW",'ASS END SYNC'!C739="SHOW"),U735,IF(AND('ASS END SYNC'!C738="SHOW",'ASS END SYNC'!C739&lt;&gt;"SHOW"),MID('ASS END SYNC'!E738,O734+1,P734-O734-1),""))</f>
        <v/>
      </c>
      <c r="W734" s="23" t="str">
        <f>IF('ASS END SYNC'!C738="SHOW",MID('ASS END SYNC'!E738,Q734+1,S734-Q734+1),"")</f>
        <v/>
      </c>
      <c r="X734" s="23" t="str">
        <f>IF('ASS END SYNC'!C738="SHOW",MID('ASS END SYNC'!E738,S734+2,1000),"")</f>
        <v/>
      </c>
      <c r="Z734" s="24"/>
    </row>
    <row r="735" spans="1:26" x14ac:dyDescent="0.25">
      <c r="A735" s="26">
        <v>732</v>
      </c>
      <c r="B735" s="24" t="str">
        <f>IF('ASS START SYNC'!C739="SHOW",FIND(",",'ASS START SYNC'!E739,1),"")</f>
        <v/>
      </c>
      <c r="C735" s="24" t="str">
        <f>IF('ASS START SYNC'!C739="SHOW",FIND(",",'ASS START SYNC'!E739,B735+1),"")</f>
        <v/>
      </c>
      <c r="D735" s="24" t="str">
        <f>IF('ASS START SYNC'!C739="SHOW",FIND(",",'ASS START SYNC'!E739,C735+1),"")</f>
        <v/>
      </c>
      <c r="E735" s="25" t="str">
        <f>IF('ASS START SYNC'!C739="SHOW",FIND(",,",'ASS START SYNC'!E739,1),"")</f>
        <v/>
      </c>
      <c r="F735" s="25" t="str">
        <f>IF('ASS START SYNC'!C739="SHOW",FIND(",,",'ASS START SYNC'!E739,E735+1),"")</f>
        <v/>
      </c>
      <c r="G735" s="23" t="str">
        <f>IF('ASS START SYNC'!C739="SHOW",LEFT('ASS START SYNC'!E739,B735),"")</f>
        <v/>
      </c>
      <c r="H735" s="24" t="str">
        <f>IF(AND('ASS START SYNC'!C739="SHOW",COUNTA('ASS START SYNC'!$E$8:'ASS START SYNC'!E738)=0),MID('ASS START SYNC'!E739,B735+1,C735-B735-1),IF(AND('ASS START SYNC'!C739="SHOW",COUNTA('ASS START SYNC'!$E$8:'ASS START SYNC'!E738)&lt;&gt;0),I734,""))</f>
        <v/>
      </c>
      <c r="I735" s="24" t="str">
        <f>IF('ASS START SYNC'!C739="SHOW",MID('ASS START SYNC'!E739,C735+1,D735-C735-1),I734)</f>
        <v/>
      </c>
      <c r="J735" s="23" t="str">
        <f>IF('ASS START SYNC'!C739="SHOW",MID('ASS START SYNC'!E739,D735+1,F735-D735+1),"")</f>
        <v/>
      </c>
      <c r="K735" s="23" t="str">
        <f>IF('ASS START SYNC'!C739="SHOW",MID('ASS START SYNC'!E739,F735+2,1000),"")</f>
        <v/>
      </c>
      <c r="M735" s="24"/>
      <c r="N735" s="26">
        <v>732</v>
      </c>
      <c r="O735" s="24" t="str">
        <f>IF('ASS END SYNC'!C739="SHOW",FIND(",",'ASS END SYNC'!E739,1),"")</f>
        <v/>
      </c>
      <c r="P735" s="24" t="str">
        <f>IF('ASS END SYNC'!C739="SHOW",FIND(",",'ASS END SYNC'!E739,O735+1),"")</f>
        <v/>
      </c>
      <c r="Q735" s="24" t="str">
        <f>IF('ASS END SYNC'!C739="SHOW",FIND(",",'ASS END SYNC'!E739,P735+1),"")</f>
        <v/>
      </c>
      <c r="R735" s="25" t="str">
        <f>IF('ASS END SYNC'!C739="SHOW",FIND(",,",'ASS END SYNC'!E739,1),"")</f>
        <v/>
      </c>
      <c r="S735" s="25" t="str">
        <f>IF('ASS END SYNC'!C739="SHOW",FIND(",,",'ASS END SYNC'!E739,R735+1),"")</f>
        <v/>
      </c>
      <c r="T735" s="23" t="str">
        <f>IF('ASS END SYNC'!C739="SHOW",LEFT('ASS END SYNC'!E739,O735),"")</f>
        <v/>
      </c>
      <c r="U735" s="24" t="str">
        <f>IF('ASS END SYNC'!C739="SHOW",MID('ASS END SYNC'!E739,O735+1,P735-O735-1),"")</f>
        <v/>
      </c>
      <c r="V735" s="24" t="str">
        <f>IF(AND('ASS END SYNC'!C739="SHOW",'ASS END SYNC'!C740="SHOW"),U736,IF(AND('ASS END SYNC'!C739="SHOW",'ASS END SYNC'!C740&lt;&gt;"SHOW"),MID('ASS END SYNC'!E739,O735+1,P735-O735-1),""))</f>
        <v/>
      </c>
      <c r="W735" s="23" t="str">
        <f>IF('ASS END SYNC'!C739="SHOW",MID('ASS END SYNC'!E739,Q735+1,S735-Q735+1),"")</f>
        <v/>
      </c>
      <c r="X735" s="23" t="str">
        <f>IF('ASS END SYNC'!C739="SHOW",MID('ASS END SYNC'!E739,S735+2,1000),"")</f>
        <v/>
      </c>
      <c r="Z735" s="24"/>
    </row>
    <row r="736" spans="1:26" x14ac:dyDescent="0.25">
      <c r="A736" s="26">
        <v>733</v>
      </c>
      <c r="B736" s="24" t="str">
        <f>IF('ASS START SYNC'!C740="SHOW",FIND(",",'ASS START SYNC'!E740,1),"")</f>
        <v/>
      </c>
      <c r="C736" s="24" t="str">
        <f>IF('ASS START SYNC'!C740="SHOW",FIND(",",'ASS START SYNC'!E740,B736+1),"")</f>
        <v/>
      </c>
      <c r="D736" s="24" t="str">
        <f>IF('ASS START SYNC'!C740="SHOW",FIND(",",'ASS START SYNC'!E740,C736+1),"")</f>
        <v/>
      </c>
      <c r="E736" s="25" t="str">
        <f>IF('ASS START SYNC'!C740="SHOW",FIND(",,",'ASS START SYNC'!E740,1),"")</f>
        <v/>
      </c>
      <c r="F736" s="25" t="str">
        <f>IF('ASS START SYNC'!C740="SHOW",FIND(",,",'ASS START SYNC'!E740,E736+1),"")</f>
        <v/>
      </c>
      <c r="G736" s="23" t="str">
        <f>IF('ASS START SYNC'!C740="SHOW",LEFT('ASS START SYNC'!E740,B736),"")</f>
        <v/>
      </c>
      <c r="H736" s="24" t="str">
        <f>IF(AND('ASS START SYNC'!C740="SHOW",COUNTA('ASS START SYNC'!$E$8:'ASS START SYNC'!E739)=0),MID('ASS START SYNC'!E740,B736+1,C736-B736-1),IF(AND('ASS START SYNC'!C740="SHOW",COUNTA('ASS START SYNC'!$E$8:'ASS START SYNC'!E739)&lt;&gt;0),I735,""))</f>
        <v/>
      </c>
      <c r="I736" s="24" t="str">
        <f>IF('ASS START SYNC'!C740="SHOW",MID('ASS START SYNC'!E740,C736+1,D736-C736-1),I735)</f>
        <v/>
      </c>
      <c r="J736" s="23" t="str">
        <f>IF('ASS START SYNC'!C740="SHOW",MID('ASS START SYNC'!E740,D736+1,F736-D736+1),"")</f>
        <v/>
      </c>
      <c r="K736" s="23" t="str">
        <f>IF('ASS START SYNC'!C740="SHOW",MID('ASS START SYNC'!E740,F736+2,1000),"")</f>
        <v/>
      </c>
      <c r="M736" s="24"/>
      <c r="N736" s="26">
        <v>733</v>
      </c>
      <c r="O736" s="24" t="str">
        <f>IF('ASS END SYNC'!C740="SHOW",FIND(",",'ASS END SYNC'!E740,1),"")</f>
        <v/>
      </c>
      <c r="P736" s="24" t="str">
        <f>IF('ASS END SYNC'!C740="SHOW",FIND(",",'ASS END SYNC'!E740,O736+1),"")</f>
        <v/>
      </c>
      <c r="Q736" s="24" t="str">
        <f>IF('ASS END SYNC'!C740="SHOW",FIND(",",'ASS END SYNC'!E740,P736+1),"")</f>
        <v/>
      </c>
      <c r="R736" s="25" t="str">
        <f>IF('ASS END SYNC'!C740="SHOW",FIND(",,",'ASS END SYNC'!E740,1),"")</f>
        <v/>
      </c>
      <c r="S736" s="25" t="str">
        <f>IF('ASS END SYNC'!C740="SHOW",FIND(",,",'ASS END SYNC'!E740,R736+1),"")</f>
        <v/>
      </c>
      <c r="T736" s="23" t="str">
        <f>IF('ASS END SYNC'!C740="SHOW",LEFT('ASS END SYNC'!E740,O736),"")</f>
        <v/>
      </c>
      <c r="U736" s="24" t="str">
        <f>IF('ASS END SYNC'!C740="SHOW",MID('ASS END SYNC'!E740,O736+1,P736-O736-1),"")</f>
        <v/>
      </c>
      <c r="V736" s="24" t="str">
        <f>IF(AND('ASS END SYNC'!C740="SHOW",'ASS END SYNC'!C741="SHOW"),U737,IF(AND('ASS END SYNC'!C740="SHOW",'ASS END SYNC'!C741&lt;&gt;"SHOW"),MID('ASS END SYNC'!E740,O736+1,P736-O736-1),""))</f>
        <v/>
      </c>
      <c r="W736" s="23" t="str">
        <f>IF('ASS END SYNC'!C740="SHOW",MID('ASS END SYNC'!E740,Q736+1,S736-Q736+1),"")</f>
        <v/>
      </c>
      <c r="X736" s="23" t="str">
        <f>IF('ASS END SYNC'!C740="SHOW",MID('ASS END SYNC'!E740,S736+2,1000),"")</f>
        <v/>
      </c>
      <c r="Z736" s="24"/>
    </row>
    <row r="737" spans="1:26" x14ac:dyDescent="0.25">
      <c r="A737" s="26">
        <v>734</v>
      </c>
      <c r="B737" s="24" t="str">
        <f>IF('ASS START SYNC'!C741="SHOW",FIND(",",'ASS START SYNC'!E741,1),"")</f>
        <v/>
      </c>
      <c r="C737" s="24" t="str">
        <f>IF('ASS START SYNC'!C741="SHOW",FIND(",",'ASS START SYNC'!E741,B737+1),"")</f>
        <v/>
      </c>
      <c r="D737" s="24" t="str">
        <f>IF('ASS START SYNC'!C741="SHOW",FIND(",",'ASS START SYNC'!E741,C737+1),"")</f>
        <v/>
      </c>
      <c r="E737" s="25" t="str">
        <f>IF('ASS START SYNC'!C741="SHOW",FIND(",,",'ASS START SYNC'!E741,1),"")</f>
        <v/>
      </c>
      <c r="F737" s="25" t="str">
        <f>IF('ASS START SYNC'!C741="SHOW",FIND(",,",'ASS START SYNC'!E741,E737+1),"")</f>
        <v/>
      </c>
      <c r="G737" s="23" t="str">
        <f>IF('ASS START SYNC'!C741="SHOW",LEFT('ASS START SYNC'!E741,B737),"")</f>
        <v/>
      </c>
      <c r="H737" s="24" t="str">
        <f>IF(AND('ASS START SYNC'!C741="SHOW",COUNTA('ASS START SYNC'!$E$8:'ASS START SYNC'!E740)=0),MID('ASS START SYNC'!E741,B737+1,C737-B737-1),IF(AND('ASS START SYNC'!C741="SHOW",COUNTA('ASS START SYNC'!$E$8:'ASS START SYNC'!E740)&lt;&gt;0),I736,""))</f>
        <v/>
      </c>
      <c r="I737" s="24" t="str">
        <f>IF('ASS START SYNC'!C741="SHOW",MID('ASS START SYNC'!E741,C737+1,D737-C737-1),I736)</f>
        <v/>
      </c>
      <c r="J737" s="23" t="str">
        <f>IF('ASS START SYNC'!C741="SHOW",MID('ASS START SYNC'!E741,D737+1,F737-D737+1),"")</f>
        <v/>
      </c>
      <c r="K737" s="23" t="str">
        <f>IF('ASS START SYNC'!C741="SHOW",MID('ASS START SYNC'!E741,F737+2,1000),"")</f>
        <v/>
      </c>
      <c r="M737" s="24"/>
      <c r="N737" s="26">
        <v>734</v>
      </c>
      <c r="O737" s="24" t="str">
        <f>IF('ASS END SYNC'!C741="SHOW",FIND(",",'ASS END SYNC'!E741,1),"")</f>
        <v/>
      </c>
      <c r="P737" s="24" t="str">
        <f>IF('ASS END SYNC'!C741="SHOW",FIND(",",'ASS END SYNC'!E741,O737+1),"")</f>
        <v/>
      </c>
      <c r="Q737" s="24" t="str">
        <f>IF('ASS END SYNC'!C741="SHOW",FIND(",",'ASS END SYNC'!E741,P737+1),"")</f>
        <v/>
      </c>
      <c r="R737" s="25" t="str">
        <f>IF('ASS END SYNC'!C741="SHOW",FIND(",,",'ASS END SYNC'!E741,1),"")</f>
        <v/>
      </c>
      <c r="S737" s="25" t="str">
        <f>IF('ASS END SYNC'!C741="SHOW",FIND(",,",'ASS END SYNC'!E741,R737+1),"")</f>
        <v/>
      </c>
      <c r="T737" s="23" t="str">
        <f>IF('ASS END SYNC'!C741="SHOW",LEFT('ASS END SYNC'!E741,O737),"")</f>
        <v/>
      </c>
      <c r="U737" s="24" t="str">
        <f>IF('ASS END SYNC'!C741="SHOW",MID('ASS END SYNC'!E741,O737+1,P737-O737-1),"")</f>
        <v/>
      </c>
      <c r="V737" s="24" t="str">
        <f>IF(AND('ASS END SYNC'!C741="SHOW",'ASS END SYNC'!C742="SHOW"),U738,IF(AND('ASS END SYNC'!C741="SHOW",'ASS END SYNC'!C742&lt;&gt;"SHOW"),MID('ASS END SYNC'!E741,O737+1,P737-O737-1),""))</f>
        <v/>
      </c>
      <c r="W737" s="23" t="str">
        <f>IF('ASS END SYNC'!C741="SHOW",MID('ASS END SYNC'!E741,Q737+1,S737-Q737+1),"")</f>
        <v/>
      </c>
      <c r="X737" s="23" t="str">
        <f>IF('ASS END SYNC'!C741="SHOW",MID('ASS END SYNC'!E741,S737+2,1000),"")</f>
        <v/>
      </c>
      <c r="Z737" s="24"/>
    </row>
    <row r="738" spans="1:26" x14ac:dyDescent="0.25">
      <c r="A738" s="26">
        <v>735</v>
      </c>
      <c r="B738" s="24" t="str">
        <f>IF('ASS START SYNC'!C742="SHOW",FIND(",",'ASS START SYNC'!E742,1),"")</f>
        <v/>
      </c>
      <c r="C738" s="24" t="str">
        <f>IF('ASS START SYNC'!C742="SHOW",FIND(",",'ASS START SYNC'!E742,B738+1),"")</f>
        <v/>
      </c>
      <c r="D738" s="24" t="str">
        <f>IF('ASS START SYNC'!C742="SHOW",FIND(",",'ASS START SYNC'!E742,C738+1),"")</f>
        <v/>
      </c>
      <c r="E738" s="25" t="str">
        <f>IF('ASS START SYNC'!C742="SHOW",FIND(",,",'ASS START SYNC'!E742,1),"")</f>
        <v/>
      </c>
      <c r="F738" s="25" t="str">
        <f>IF('ASS START SYNC'!C742="SHOW",FIND(",,",'ASS START SYNC'!E742,E738+1),"")</f>
        <v/>
      </c>
      <c r="G738" s="23" t="str">
        <f>IF('ASS START SYNC'!C742="SHOW",LEFT('ASS START SYNC'!E742,B738),"")</f>
        <v/>
      </c>
      <c r="H738" s="24" t="str">
        <f>IF(AND('ASS START SYNC'!C742="SHOW",COUNTA('ASS START SYNC'!$E$8:'ASS START SYNC'!E741)=0),MID('ASS START SYNC'!E742,B738+1,C738-B738-1),IF(AND('ASS START SYNC'!C742="SHOW",COUNTA('ASS START SYNC'!$E$8:'ASS START SYNC'!E741)&lt;&gt;0),I737,""))</f>
        <v/>
      </c>
      <c r="I738" s="24" t="str">
        <f>IF('ASS START SYNC'!C742="SHOW",MID('ASS START SYNC'!E742,C738+1,D738-C738-1),I737)</f>
        <v/>
      </c>
      <c r="J738" s="23" t="str">
        <f>IF('ASS START SYNC'!C742="SHOW",MID('ASS START SYNC'!E742,D738+1,F738-D738+1),"")</f>
        <v/>
      </c>
      <c r="K738" s="23" t="str">
        <f>IF('ASS START SYNC'!C742="SHOW",MID('ASS START SYNC'!E742,F738+2,1000),"")</f>
        <v/>
      </c>
      <c r="M738" s="24"/>
      <c r="N738" s="26">
        <v>735</v>
      </c>
      <c r="O738" s="24" t="str">
        <f>IF('ASS END SYNC'!C742="SHOW",FIND(",",'ASS END SYNC'!E742,1),"")</f>
        <v/>
      </c>
      <c r="P738" s="24" t="str">
        <f>IF('ASS END SYNC'!C742="SHOW",FIND(",",'ASS END SYNC'!E742,O738+1),"")</f>
        <v/>
      </c>
      <c r="Q738" s="24" t="str">
        <f>IF('ASS END SYNC'!C742="SHOW",FIND(",",'ASS END SYNC'!E742,P738+1),"")</f>
        <v/>
      </c>
      <c r="R738" s="25" t="str">
        <f>IF('ASS END SYNC'!C742="SHOW",FIND(",,",'ASS END SYNC'!E742,1),"")</f>
        <v/>
      </c>
      <c r="S738" s="25" t="str">
        <f>IF('ASS END SYNC'!C742="SHOW",FIND(",,",'ASS END SYNC'!E742,R738+1),"")</f>
        <v/>
      </c>
      <c r="T738" s="23" t="str">
        <f>IF('ASS END SYNC'!C742="SHOW",LEFT('ASS END SYNC'!E742,O738),"")</f>
        <v/>
      </c>
      <c r="U738" s="24" t="str">
        <f>IF('ASS END SYNC'!C742="SHOW",MID('ASS END SYNC'!E742,O738+1,P738-O738-1),"")</f>
        <v/>
      </c>
      <c r="V738" s="24" t="str">
        <f>IF(AND('ASS END SYNC'!C742="SHOW",'ASS END SYNC'!C743="SHOW"),U739,IF(AND('ASS END SYNC'!C742="SHOW",'ASS END SYNC'!C743&lt;&gt;"SHOW"),MID('ASS END SYNC'!E742,O738+1,P738-O738-1),""))</f>
        <v/>
      </c>
      <c r="W738" s="23" t="str">
        <f>IF('ASS END SYNC'!C742="SHOW",MID('ASS END SYNC'!E742,Q738+1,S738-Q738+1),"")</f>
        <v/>
      </c>
      <c r="X738" s="23" t="str">
        <f>IF('ASS END SYNC'!C742="SHOW",MID('ASS END SYNC'!E742,S738+2,1000),"")</f>
        <v/>
      </c>
      <c r="Z738" s="24"/>
    </row>
    <row r="739" spans="1:26" x14ac:dyDescent="0.25">
      <c r="A739" s="26">
        <v>736</v>
      </c>
      <c r="B739" s="24" t="str">
        <f>IF('ASS START SYNC'!C743="SHOW",FIND(",",'ASS START SYNC'!E743,1),"")</f>
        <v/>
      </c>
      <c r="C739" s="24" t="str">
        <f>IF('ASS START SYNC'!C743="SHOW",FIND(",",'ASS START SYNC'!E743,B739+1),"")</f>
        <v/>
      </c>
      <c r="D739" s="24" t="str">
        <f>IF('ASS START SYNC'!C743="SHOW",FIND(",",'ASS START SYNC'!E743,C739+1),"")</f>
        <v/>
      </c>
      <c r="E739" s="25" t="str">
        <f>IF('ASS START SYNC'!C743="SHOW",FIND(",,",'ASS START SYNC'!E743,1),"")</f>
        <v/>
      </c>
      <c r="F739" s="25" t="str">
        <f>IF('ASS START SYNC'!C743="SHOW",FIND(",,",'ASS START SYNC'!E743,E739+1),"")</f>
        <v/>
      </c>
      <c r="G739" s="23" t="str">
        <f>IF('ASS START SYNC'!C743="SHOW",LEFT('ASS START SYNC'!E743,B739),"")</f>
        <v/>
      </c>
      <c r="H739" s="24" t="str">
        <f>IF(AND('ASS START SYNC'!C743="SHOW",COUNTA('ASS START SYNC'!$E$8:'ASS START SYNC'!E742)=0),MID('ASS START SYNC'!E743,B739+1,C739-B739-1),IF(AND('ASS START SYNC'!C743="SHOW",COUNTA('ASS START SYNC'!$E$8:'ASS START SYNC'!E742)&lt;&gt;0),I738,""))</f>
        <v/>
      </c>
      <c r="I739" s="24" t="str">
        <f>IF('ASS START SYNC'!C743="SHOW",MID('ASS START SYNC'!E743,C739+1,D739-C739-1),I738)</f>
        <v/>
      </c>
      <c r="J739" s="23" t="str">
        <f>IF('ASS START SYNC'!C743="SHOW",MID('ASS START SYNC'!E743,D739+1,F739-D739+1),"")</f>
        <v/>
      </c>
      <c r="K739" s="23" t="str">
        <f>IF('ASS START SYNC'!C743="SHOW",MID('ASS START SYNC'!E743,F739+2,1000),"")</f>
        <v/>
      </c>
      <c r="M739" s="24"/>
      <c r="N739" s="26">
        <v>736</v>
      </c>
      <c r="O739" s="24" t="str">
        <f>IF('ASS END SYNC'!C743="SHOW",FIND(",",'ASS END SYNC'!E743,1),"")</f>
        <v/>
      </c>
      <c r="P739" s="24" t="str">
        <f>IF('ASS END SYNC'!C743="SHOW",FIND(",",'ASS END SYNC'!E743,O739+1),"")</f>
        <v/>
      </c>
      <c r="Q739" s="24" t="str">
        <f>IF('ASS END SYNC'!C743="SHOW",FIND(",",'ASS END SYNC'!E743,P739+1),"")</f>
        <v/>
      </c>
      <c r="R739" s="25" t="str">
        <f>IF('ASS END SYNC'!C743="SHOW",FIND(",,",'ASS END SYNC'!E743,1),"")</f>
        <v/>
      </c>
      <c r="S739" s="25" t="str">
        <f>IF('ASS END SYNC'!C743="SHOW",FIND(",,",'ASS END SYNC'!E743,R739+1),"")</f>
        <v/>
      </c>
      <c r="T739" s="23" t="str">
        <f>IF('ASS END SYNC'!C743="SHOW",LEFT('ASS END SYNC'!E743,O739),"")</f>
        <v/>
      </c>
      <c r="U739" s="24" t="str">
        <f>IF('ASS END SYNC'!C743="SHOW",MID('ASS END SYNC'!E743,O739+1,P739-O739-1),"")</f>
        <v/>
      </c>
      <c r="V739" s="24" t="str">
        <f>IF(AND('ASS END SYNC'!C743="SHOW",'ASS END SYNC'!C744="SHOW"),U740,IF(AND('ASS END SYNC'!C743="SHOW",'ASS END SYNC'!C744&lt;&gt;"SHOW"),MID('ASS END SYNC'!E743,O739+1,P739-O739-1),""))</f>
        <v/>
      </c>
      <c r="W739" s="23" t="str">
        <f>IF('ASS END SYNC'!C743="SHOW",MID('ASS END SYNC'!E743,Q739+1,S739-Q739+1),"")</f>
        <v/>
      </c>
      <c r="X739" s="23" t="str">
        <f>IF('ASS END SYNC'!C743="SHOW",MID('ASS END SYNC'!E743,S739+2,1000),"")</f>
        <v/>
      </c>
      <c r="Z739" s="24"/>
    </row>
    <row r="740" spans="1:26" x14ac:dyDescent="0.25">
      <c r="A740" s="26">
        <v>737</v>
      </c>
      <c r="B740" s="24" t="str">
        <f>IF('ASS START SYNC'!C744="SHOW",FIND(",",'ASS START SYNC'!E744,1),"")</f>
        <v/>
      </c>
      <c r="C740" s="24" t="str">
        <f>IF('ASS START SYNC'!C744="SHOW",FIND(",",'ASS START SYNC'!E744,B740+1),"")</f>
        <v/>
      </c>
      <c r="D740" s="24" t="str">
        <f>IF('ASS START SYNC'!C744="SHOW",FIND(",",'ASS START SYNC'!E744,C740+1),"")</f>
        <v/>
      </c>
      <c r="E740" s="25" t="str">
        <f>IF('ASS START SYNC'!C744="SHOW",FIND(",,",'ASS START SYNC'!E744,1),"")</f>
        <v/>
      </c>
      <c r="F740" s="25" t="str">
        <f>IF('ASS START SYNC'!C744="SHOW",FIND(",,",'ASS START SYNC'!E744,E740+1),"")</f>
        <v/>
      </c>
      <c r="G740" s="23" t="str">
        <f>IF('ASS START SYNC'!C744="SHOW",LEFT('ASS START SYNC'!E744,B740),"")</f>
        <v/>
      </c>
      <c r="H740" s="24" t="str">
        <f>IF(AND('ASS START SYNC'!C744="SHOW",COUNTA('ASS START SYNC'!$E$8:'ASS START SYNC'!E743)=0),MID('ASS START SYNC'!E744,B740+1,C740-B740-1),IF(AND('ASS START SYNC'!C744="SHOW",COUNTA('ASS START SYNC'!$E$8:'ASS START SYNC'!E743)&lt;&gt;0),I739,""))</f>
        <v/>
      </c>
      <c r="I740" s="24" t="str">
        <f>IF('ASS START SYNC'!C744="SHOW",MID('ASS START SYNC'!E744,C740+1,D740-C740-1),I739)</f>
        <v/>
      </c>
      <c r="J740" s="23" t="str">
        <f>IF('ASS START SYNC'!C744="SHOW",MID('ASS START SYNC'!E744,D740+1,F740-D740+1),"")</f>
        <v/>
      </c>
      <c r="K740" s="23" t="str">
        <f>IF('ASS START SYNC'!C744="SHOW",MID('ASS START SYNC'!E744,F740+2,1000),"")</f>
        <v/>
      </c>
      <c r="M740" s="24"/>
      <c r="N740" s="26">
        <v>737</v>
      </c>
      <c r="O740" s="24" t="str">
        <f>IF('ASS END SYNC'!C744="SHOW",FIND(",",'ASS END SYNC'!E744,1),"")</f>
        <v/>
      </c>
      <c r="P740" s="24" t="str">
        <f>IF('ASS END SYNC'!C744="SHOW",FIND(",",'ASS END SYNC'!E744,O740+1),"")</f>
        <v/>
      </c>
      <c r="Q740" s="24" t="str">
        <f>IF('ASS END SYNC'!C744="SHOW",FIND(",",'ASS END SYNC'!E744,P740+1),"")</f>
        <v/>
      </c>
      <c r="R740" s="25" t="str">
        <f>IF('ASS END SYNC'!C744="SHOW",FIND(",,",'ASS END SYNC'!E744,1),"")</f>
        <v/>
      </c>
      <c r="S740" s="25" t="str">
        <f>IF('ASS END SYNC'!C744="SHOW",FIND(",,",'ASS END SYNC'!E744,R740+1),"")</f>
        <v/>
      </c>
      <c r="T740" s="23" t="str">
        <f>IF('ASS END SYNC'!C744="SHOW",LEFT('ASS END SYNC'!E744,O740),"")</f>
        <v/>
      </c>
      <c r="U740" s="24" t="str">
        <f>IF('ASS END SYNC'!C744="SHOW",MID('ASS END SYNC'!E744,O740+1,P740-O740-1),"")</f>
        <v/>
      </c>
      <c r="V740" s="24" t="str">
        <f>IF(AND('ASS END SYNC'!C744="SHOW",'ASS END SYNC'!C745="SHOW"),U741,IF(AND('ASS END SYNC'!C744="SHOW",'ASS END SYNC'!C745&lt;&gt;"SHOW"),MID('ASS END SYNC'!E744,O740+1,P740-O740-1),""))</f>
        <v/>
      </c>
      <c r="W740" s="23" t="str">
        <f>IF('ASS END SYNC'!C744="SHOW",MID('ASS END SYNC'!E744,Q740+1,S740-Q740+1),"")</f>
        <v/>
      </c>
      <c r="X740" s="23" t="str">
        <f>IF('ASS END SYNC'!C744="SHOW",MID('ASS END SYNC'!E744,S740+2,1000),"")</f>
        <v/>
      </c>
      <c r="Z740" s="24"/>
    </row>
    <row r="741" spans="1:26" x14ac:dyDescent="0.25">
      <c r="A741" s="26">
        <v>738</v>
      </c>
      <c r="B741" s="24" t="str">
        <f>IF('ASS START SYNC'!C745="SHOW",FIND(",",'ASS START SYNC'!E745,1),"")</f>
        <v/>
      </c>
      <c r="C741" s="24" t="str">
        <f>IF('ASS START SYNC'!C745="SHOW",FIND(",",'ASS START SYNC'!E745,B741+1),"")</f>
        <v/>
      </c>
      <c r="D741" s="24" t="str">
        <f>IF('ASS START SYNC'!C745="SHOW",FIND(",",'ASS START SYNC'!E745,C741+1),"")</f>
        <v/>
      </c>
      <c r="E741" s="25" t="str">
        <f>IF('ASS START SYNC'!C745="SHOW",FIND(",,",'ASS START SYNC'!E745,1),"")</f>
        <v/>
      </c>
      <c r="F741" s="25" t="str">
        <f>IF('ASS START SYNC'!C745="SHOW",FIND(",,",'ASS START SYNC'!E745,E741+1),"")</f>
        <v/>
      </c>
      <c r="G741" s="23" t="str">
        <f>IF('ASS START SYNC'!C745="SHOW",LEFT('ASS START SYNC'!E745,B741),"")</f>
        <v/>
      </c>
      <c r="H741" s="24" t="str">
        <f>IF(AND('ASS START SYNC'!C745="SHOW",COUNTA('ASS START SYNC'!$E$8:'ASS START SYNC'!E744)=0),MID('ASS START SYNC'!E745,B741+1,C741-B741-1),IF(AND('ASS START SYNC'!C745="SHOW",COUNTA('ASS START SYNC'!$E$8:'ASS START SYNC'!E744)&lt;&gt;0),I740,""))</f>
        <v/>
      </c>
      <c r="I741" s="24" t="str">
        <f>IF('ASS START SYNC'!C745="SHOW",MID('ASS START SYNC'!E745,C741+1,D741-C741-1),I740)</f>
        <v/>
      </c>
      <c r="J741" s="23" t="str">
        <f>IF('ASS START SYNC'!C745="SHOW",MID('ASS START SYNC'!E745,D741+1,F741-D741+1),"")</f>
        <v/>
      </c>
      <c r="K741" s="23" t="str">
        <f>IF('ASS START SYNC'!C745="SHOW",MID('ASS START SYNC'!E745,F741+2,1000),"")</f>
        <v/>
      </c>
      <c r="M741" s="24"/>
      <c r="N741" s="26">
        <v>738</v>
      </c>
      <c r="O741" s="24" t="str">
        <f>IF('ASS END SYNC'!C745="SHOW",FIND(",",'ASS END SYNC'!E745,1),"")</f>
        <v/>
      </c>
      <c r="P741" s="24" t="str">
        <f>IF('ASS END SYNC'!C745="SHOW",FIND(",",'ASS END SYNC'!E745,O741+1),"")</f>
        <v/>
      </c>
      <c r="Q741" s="24" t="str">
        <f>IF('ASS END SYNC'!C745="SHOW",FIND(",",'ASS END SYNC'!E745,P741+1),"")</f>
        <v/>
      </c>
      <c r="R741" s="25" t="str">
        <f>IF('ASS END SYNC'!C745="SHOW",FIND(",,",'ASS END SYNC'!E745,1),"")</f>
        <v/>
      </c>
      <c r="S741" s="25" t="str">
        <f>IF('ASS END SYNC'!C745="SHOW",FIND(",,",'ASS END SYNC'!E745,R741+1),"")</f>
        <v/>
      </c>
      <c r="T741" s="23" t="str">
        <f>IF('ASS END SYNC'!C745="SHOW",LEFT('ASS END SYNC'!E745,O741),"")</f>
        <v/>
      </c>
      <c r="U741" s="24" t="str">
        <f>IF('ASS END SYNC'!C745="SHOW",MID('ASS END SYNC'!E745,O741+1,P741-O741-1),"")</f>
        <v/>
      </c>
      <c r="V741" s="24" t="str">
        <f>IF(AND('ASS END SYNC'!C745="SHOW",'ASS END SYNC'!C746="SHOW"),U742,IF(AND('ASS END SYNC'!C745="SHOW",'ASS END SYNC'!C746&lt;&gt;"SHOW"),MID('ASS END SYNC'!E745,O741+1,P741-O741-1),""))</f>
        <v/>
      </c>
      <c r="W741" s="23" t="str">
        <f>IF('ASS END SYNC'!C745="SHOW",MID('ASS END SYNC'!E745,Q741+1,S741-Q741+1),"")</f>
        <v/>
      </c>
      <c r="X741" s="23" t="str">
        <f>IF('ASS END SYNC'!C745="SHOW",MID('ASS END SYNC'!E745,S741+2,1000),"")</f>
        <v/>
      </c>
      <c r="Z741" s="24"/>
    </row>
    <row r="742" spans="1:26" x14ac:dyDescent="0.25">
      <c r="A742" s="26">
        <v>739</v>
      </c>
      <c r="B742" s="24" t="str">
        <f>IF('ASS START SYNC'!C746="SHOW",FIND(",",'ASS START SYNC'!E746,1),"")</f>
        <v/>
      </c>
      <c r="C742" s="24" t="str">
        <f>IF('ASS START SYNC'!C746="SHOW",FIND(",",'ASS START SYNC'!E746,B742+1),"")</f>
        <v/>
      </c>
      <c r="D742" s="24" t="str">
        <f>IF('ASS START SYNC'!C746="SHOW",FIND(",",'ASS START SYNC'!E746,C742+1),"")</f>
        <v/>
      </c>
      <c r="E742" s="25" t="str">
        <f>IF('ASS START SYNC'!C746="SHOW",FIND(",,",'ASS START SYNC'!E746,1),"")</f>
        <v/>
      </c>
      <c r="F742" s="25" t="str">
        <f>IF('ASS START SYNC'!C746="SHOW",FIND(",,",'ASS START SYNC'!E746,E742+1),"")</f>
        <v/>
      </c>
      <c r="G742" s="23" t="str">
        <f>IF('ASS START SYNC'!C746="SHOW",LEFT('ASS START SYNC'!E746,B742),"")</f>
        <v/>
      </c>
      <c r="H742" s="24" t="str">
        <f>IF(AND('ASS START SYNC'!C746="SHOW",COUNTA('ASS START SYNC'!$E$8:'ASS START SYNC'!E745)=0),MID('ASS START SYNC'!E746,B742+1,C742-B742-1),IF(AND('ASS START SYNC'!C746="SHOW",COUNTA('ASS START SYNC'!$E$8:'ASS START SYNC'!E745)&lt;&gt;0),I741,""))</f>
        <v/>
      </c>
      <c r="I742" s="24" t="str">
        <f>IF('ASS START SYNC'!C746="SHOW",MID('ASS START SYNC'!E746,C742+1,D742-C742-1),I741)</f>
        <v/>
      </c>
      <c r="J742" s="23" t="str">
        <f>IF('ASS START SYNC'!C746="SHOW",MID('ASS START SYNC'!E746,D742+1,F742-D742+1),"")</f>
        <v/>
      </c>
      <c r="K742" s="23" t="str">
        <f>IF('ASS START SYNC'!C746="SHOW",MID('ASS START SYNC'!E746,F742+2,1000),"")</f>
        <v/>
      </c>
      <c r="M742" s="24"/>
      <c r="N742" s="26">
        <v>739</v>
      </c>
      <c r="O742" s="24" t="str">
        <f>IF('ASS END SYNC'!C746="SHOW",FIND(",",'ASS END SYNC'!E746,1),"")</f>
        <v/>
      </c>
      <c r="P742" s="24" t="str">
        <f>IF('ASS END SYNC'!C746="SHOW",FIND(",",'ASS END SYNC'!E746,O742+1),"")</f>
        <v/>
      </c>
      <c r="Q742" s="24" t="str">
        <f>IF('ASS END SYNC'!C746="SHOW",FIND(",",'ASS END SYNC'!E746,P742+1),"")</f>
        <v/>
      </c>
      <c r="R742" s="25" t="str">
        <f>IF('ASS END SYNC'!C746="SHOW",FIND(",,",'ASS END SYNC'!E746,1),"")</f>
        <v/>
      </c>
      <c r="S742" s="25" t="str">
        <f>IF('ASS END SYNC'!C746="SHOW",FIND(",,",'ASS END SYNC'!E746,R742+1),"")</f>
        <v/>
      </c>
      <c r="T742" s="23" t="str">
        <f>IF('ASS END SYNC'!C746="SHOW",LEFT('ASS END SYNC'!E746,O742),"")</f>
        <v/>
      </c>
      <c r="U742" s="24" t="str">
        <f>IF('ASS END SYNC'!C746="SHOW",MID('ASS END SYNC'!E746,O742+1,P742-O742-1),"")</f>
        <v/>
      </c>
      <c r="V742" s="24" t="str">
        <f>IF(AND('ASS END SYNC'!C746="SHOW",'ASS END SYNC'!C747="SHOW"),U743,IF(AND('ASS END SYNC'!C746="SHOW",'ASS END SYNC'!C747&lt;&gt;"SHOW"),MID('ASS END SYNC'!E746,O742+1,P742-O742-1),""))</f>
        <v/>
      </c>
      <c r="W742" s="23" t="str">
        <f>IF('ASS END SYNC'!C746="SHOW",MID('ASS END SYNC'!E746,Q742+1,S742-Q742+1),"")</f>
        <v/>
      </c>
      <c r="X742" s="23" t="str">
        <f>IF('ASS END SYNC'!C746="SHOW",MID('ASS END SYNC'!E746,S742+2,1000),"")</f>
        <v/>
      </c>
      <c r="Z742" s="24"/>
    </row>
    <row r="743" spans="1:26" x14ac:dyDescent="0.25">
      <c r="A743" s="26">
        <v>740</v>
      </c>
      <c r="B743" s="24" t="str">
        <f>IF('ASS START SYNC'!C747="SHOW",FIND(",",'ASS START SYNC'!E747,1),"")</f>
        <v/>
      </c>
      <c r="C743" s="24" t="str">
        <f>IF('ASS START SYNC'!C747="SHOW",FIND(",",'ASS START SYNC'!E747,B743+1),"")</f>
        <v/>
      </c>
      <c r="D743" s="24" t="str">
        <f>IF('ASS START SYNC'!C747="SHOW",FIND(",",'ASS START SYNC'!E747,C743+1),"")</f>
        <v/>
      </c>
      <c r="E743" s="25" t="str">
        <f>IF('ASS START SYNC'!C747="SHOW",FIND(",,",'ASS START SYNC'!E747,1),"")</f>
        <v/>
      </c>
      <c r="F743" s="25" t="str">
        <f>IF('ASS START SYNC'!C747="SHOW",FIND(",,",'ASS START SYNC'!E747,E743+1),"")</f>
        <v/>
      </c>
      <c r="G743" s="23" t="str">
        <f>IF('ASS START SYNC'!C747="SHOW",LEFT('ASS START SYNC'!E747,B743),"")</f>
        <v/>
      </c>
      <c r="H743" s="24" t="str">
        <f>IF(AND('ASS START SYNC'!C747="SHOW",COUNTA('ASS START SYNC'!$E$8:'ASS START SYNC'!E746)=0),MID('ASS START SYNC'!E747,B743+1,C743-B743-1),IF(AND('ASS START SYNC'!C747="SHOW",COUNTA('ASS START SYNC'!$E$8:'ASS START SYNC'!E746)&lt;&gt;0),I742,""))</f>
        <v/>
      </c>
      <c r="I743" s="24" t="str">
        <f>IF('ASS START SYNC'!C747="SHOW",MID('ASS START SYNC'!E747,C743+1,D743-C743-1),I742)</f>
        <v/>
      </c>
      <c r="J743" s="23" t="str">
        <f>IF('ASS START SYNC'!C747="SHOW",MID('ASS START SYNC'!E747,D743+1,F743-D743+1),"")</f>
        <v/>
      </c>
      <c r="K743" s="23" t="str">
        <f>IF('ASS START SYNC'!C747="SHOW",MID('ASS START SYNC'!E747,F743+2,1000),"")</f>
        <v/>
      </c>
      <c r="M743" s="24"/>
      <c r="N743" s="26">
        <v>740</v>
      </c>
      <c r="O743" s="24" t="str">
        <f>IF('ASS END SYNC'!C747="SHOW",FIND(",",'ASS END SYNC'!E747,1),"")</f>
        <v/>
      </c>
      <c r="P743" s="24" t="str">
        <f>IF('ASS END SYNC'!C747="SHOW",FIND(",",'ASS END SYNC'!E747,O743+1),"")</f>
        <v/>
      </c>
      <c r="Q743" s="24" t="str">
        <f>IF('ASS END SYNC'!C747="SHOW",FIND(",",'ASS END SYNC'!E747,P743+1),"")</f>
        <v/>
      </c>
      <c r="R743" s="25" t="str">
        <f>IF('ASS END SYNC'!C747="SHOW",FIND(",,",'ASS END SYNC'!E747,1),"")</f>
        <v/>
      </c>
      <c r="S743" s="25" t="str">
        <f>IF('ASS END SYNC'!C747="SHOW",FIND(",,",'ASS END SYNC'!E747,R743+1),"")</f>
        <v/>
      </c>
      <c r="T743" s="23" t="str">
        <f>IF('ASS END SYNC'!C747="SHOW",LEFT('ASS END SYNC'!E747,O743),"")</f>
        <v/>
      </c>
      <c r="U743" s="24" t="str">
        <f>IF('ASS END SYNC'!C747="SHOW",MID('ASS END SYNC'!E747,O743+1,P743-O743-1),"")</f>
        <v/>
      </c>
      <c r="V743" s="24" t="str">
        <f>IF(AND('ASS END SYNC'!C747="SHOW",'ASS END SYNC'!C748="SHOW"),U744,IF(AND('ASS END SYNC'!C747="SHOW",'ASS END SYNC'!C748&lt;&gt;"SHOW"),MID('ASS END SYNC'!E747,O743+1,P743-O743-1),""))</f>
        <v/>
      </c>
      <c r="W743" s="23" t="str">
        <f>IF('ASS END SYNC'!C747="SHOW",MID('ASS END SYNC'!E747,Q743+1,S743-Q743+1),"")</f>
        <v/>
      </c>
      <c r="X743" s="23" t="str">
        <f>IF('ASS END SYNC'!C747="SHOW",MID('ASS END SYNC'!E747,S743+2,1000),"")</f>
        <v/>
      </c>
      <c r="Z743" s="24"/>
    </row>
    <row r="744" spans="1:26" x14ac:dyDescent="0.25">
      <c r="A744" s="26">
        <v>741</v>
      </c>
      <c r="B744" s="24" t="str">
        <f>IF('ASS START SYNC'!C748="SHOW",FIND(",",'ASS START SYNC'!E748,1),"")</f>
        <v/>
      </c>
      <c r="C744" s="24" t="str">
        <f>IF('ASS START SYNC'!C748="SHOW",FIND(",",'ASS START SYNC'!E748,B744+1),"")</f>
        <v/>
      </c>
      <c r="D744" s="24" t="str">
        <f>IF('ASS START SYNC'!C748="SHOW",FIND(",",'ASS START SYNC'!E748,C744+1),"")</f>
        <v/>
      </c>
      <c r="E744" s="25" t="str">
        <f>IF('ASS START SYNC'!C748="SHOW",FIND(",,",'ASS START SYNC'!E748,1),"")</f>
        <v/>
      </c>
      <c r="F744" s="25" t="str">
        <f>IF('ASS START SYNC'!C748="SHOW",FIND(",,",'ASS START SYNC'!E748,E744+1),"")</f>
        <v/>
      </c>
      <c r="G744" s="23" t="str">
        <f>IF('ASS START SYNC'!C748="SHOW",LEFT('ASS START SYNC'!E748,B744),"")</f>
        <v/>
      </c>
      <c r="H744" s="24" t="str">
        <f>IF(AND('ASS START SYNC'!C748="SHOW",COUNTA('ASS START SYNC'!$E$8:'ASS START SYNC'!E747)=0),MID('ASS START SYNC'!E748,B744+1,C744-B744-1),IF(AND('ASS START SYNC'!C748="SHOW",COUNTA('ASS START SYNC'!$E$8:'ASS START SYNC'!E747)&lt;&gt;0),I743,""))</f>
        <v/>
      </c>
      <c r="I744" s="24" t="str">
        <f>IF('ASS START SYNC'!C748="SHOW",MID('ASS START SYNC'!E748,C744+1,D744-C744-1),I743)</f>
        <v/>
      </c>
      <c r="J744" s="23" t="str">
        <f>IF('ASS START SYNC'!C748="SHOW",MID('ASS START SYNC'!E748,D744+1,F744-D744+1),"")</f>
        <v/>
      </c>
      <c r="K744" s="23" t="str">
        <f>IF('ASS START SYNC'!C748="SHOW",MID('ASS START SYNC'!E748,F744+2,1000),"")</f>
        <v/>
      </c>
      <c r="M744" s="24"/>
      <c r="N744" s="26">
        <v>741</v>
      </c>
      <c r="O744" s="24" t="str">
        <f>IF('ASS END SYNC'!C748="SHOW",FIND(",",'ASS END SYNC'!E748,1),"")</f>
        <v/>
      </c>
      <c r="P744" s="24" t="str">
        <f>IF('ASS END SYNC'!C748="SHOW",FIND(",",'ASS END SYNC'!E748,O744+1),"")</f>
        <v/>
      </c>
      <c r="Q744" s="24" t="str">
        <f>IF('ASS END SYNC'!C748="SHOW",FIND(",",'ASS END SYNC'!E748,P744+1),"")</f>
        <v/>
      </c>
      <c r="R744" s="25" t="str">
        <f>IF('ASS END SYNC'!C748="SHOW",FIND(",,",'ASS END SYNC'!E748,1),"")</f>
        <v/>
      </c>
      <c r="S744" s="25" t="str">
        <f>IF('ASS END SYNC'!C748="SHOW",FIND(",,",'ASS END SYNC'!E748,R744+1),"")</f>
        <v/>
      </c>
      <c r="T744" s="23" t="str">
        <f>IF('ASS END SYNC'!C748="SHOW",LEFT('ASS END SYNC'!E748,O744),"")</f>
        <v/>
      </c>
      <c r="U744" s="24" t="str">
        <f>IF('ASS END SYNC'!C748="SHOW",MID('ASS END SYNC'!E748,O744+1,P744-O744-1),"")</f>
        <v/>
      </c>
      <c r="V744" s="24" t="str">
        <f>IF(AND('ASS END SYNC'!C748="SHOW",'ASS END SYNC'!C749="SHOW"),U745,IF(AND('ASS END SYNC'!C748="SHOW",'ASS END SYNC'!C749&lt;&gt;"SHOW"),MID('ASS END SYNC'!E748,O744+1,P744-O744-1),""))</f>
        <v/>
      </c>
      <c r="W744" s="23" t="str">
        <f>IF('ASS END SYNC'!C748="SHOW",MID('ASS END SYNC'!E748,Q744+1,S744-Q744+1),"")</f>
        <v/>
      </c>
      <c r="X744" s="23" t="str">
        <f>IF('ASS END SYNC'!C748="SHOW",MID('ASS END SYNC'!E748,S744+2,1000),"")</f>
        <v/>
      </c>
      <c r="Z744" s="24"/>
    </row>
    <row r="745" spans="1:26" x14ac:dyDescent="0.25">
      <c r="A745" s="26">
        <v>742</v>
      </c>
      <c r="B745" s="24" t="str">
        <f>IF('ASS START SYNC'!C749="SHOW",FIND(",",'ASS START SYNC'!E749,1),"")</f>
        <v/>
      </c>
      <c r="C745" s="24" t="str">
        <f>IF('ASS START SYNC'!C749="SHOW",FIND(",",'ASS START SYNC'!E749,B745+1),"")</f>
        <v/>
      </c>
      <c r="D745" s="24" t="str">
        <f>IF('ASS START SYNC'!C749="SHOW",FIND(",",'ASS START SYNC'!E749,C745+1),"")</f>
        <v/>
      </c>
      <c r="E745" s="25" t="str">
        <f>IF('ASS START SYNC'!C749="SHOW",FIND(",,",'ASS START SYNC'!E749,1),"")</f>
        <v/>
      </c>
      <c r="F745" s="25" t="str">
        <f>IF('ASS START SYNC'!C749="SHOW",FIND(",,",'ASS START SYNC'!E749,E745+1),"")</f>
        <v/>
      </c>
      <c r="G745" s="23" t="str">
        <f>IF('ASS START SYNC'!C749="SHOW",LEFT('ASS START SYNC'!E749,B745),"")</f>
        <v/>
      </c>
      <c r="H745" s="24" t="str">
        <f>IF(AND('ASS START SYNC'!C749="SHOW",COUNTA('ASS START SYNC'!$E$8:'ASS START SYNC'!E748)=0),MID('ASS START SYNC'!E749,B745+1,C745-B745-1),IF(AND('ASS START SYNC'!C749="SHOW",COUNTA('ASS START SYNC'!$E$8:'ASS START SYNC'!E748)&lt;&gt;0),I744,""))</f>
        <v/>
      </c>
      <c r="I745" s="24" t="str">
        <f>IF('ASS START SYNC'!C749="SHOW",MID('ASS START SYNC'!E749,C745+1,D745-C745-1),I744)</f>
        <v/>
      </c>
      <c r="J745" s="23" t="str">
        <f>IF('ASS START SYNC'!C749="SHOW",MID('ASS START SYNC'!E749,D745+1,F745-D745+1),"")</f>
        <v/>
      </c>
      <c r="K745" s="23" t="str">
        <f>IF('ASS START SYNC'!C749="SHOW",MID('ASS START SYNC'!E749,F745+2,1000),"")</f>
        <v/>
      </c>
      <c r="M745" s="24"/>
      <c r="N745" s="26">
        <v>742</v>
      </c>
      <c r="O745" s="24" t="str">
        <f>IF('ASS END SYNC'!C749="SHOW",FIND(",",'ASS END SYNC'!E749,1),"")</f>
        <v/>
      </c>
      <c r="P745" s="24" t="str">
        <f>IF('ASS END SYNC'!C749="SHOW",FIND(",",'ASS END SYNC'!E749,O745+1),"")</f>
        <v/>
      </c>
      <c r="Q745" s="24" t="str">
        <f>IF('ASS END SYNC'!C749="SHOW",FIND(",",'ASS END SYNC'!E749,P745+1),"")</f>
        <v/>
      </c>
      <c r="R745" s="25" t="str">
        <f>IF('ASS END SYNC'!C749="SHOW",FIND(",,",'ASS END SYNC'!E749,1),"")</f>
        <v/>
      </c>
      <c r="S745" s="25" t="str">
        <f>IF('ASS END SYNC'!C749="SHOW",FIND(",,",'ASS END SYNC'!E749,R745+1),"")</f>
        <v/>
      </c>
      <c r="T745" s="23" t="str">
        <f>IF('ASS END SYNC'!C749="SHOW",LEFT('ASS END SYNC'!E749,O745),"")</f>
        <v/>
      </c>
      <c r="U745" s="24" t="str">
        <f>IF('ASS END SYNC'!C749="SHOW",MID('ASS END SYNC'!E749,O745+1,P745-O745-1),"")</f>
        <v/>
      </c>
      <c r="V745" s="24" t="str">
        <f>IF(AND('ASS END SYNC'!C749="SHOW",'ASS END SYNC'!C750="SHOW"),U746,IF(AND('ASS END SYNC'!C749="SHOW",'ASS END SYNC'!C750&lt;&gt;"SHOW"),MID('ASS END SYNC'!E749,O745+1,P745-O745-1),""))</f>
        <v/>
      </c>
      <c r="W745" s="23" t="str">
        <f>IF('ASS END SYNC'!C749="SHOW",MID('ASS END SYNC'!E749,Q745+1,S745-Q745+1),"")</f>
        <v/>
      </c>
      <c r="X745" s="23" t="str">
        <f>IF('ASS END SYNC'!C749="SHOW",MID('ASS END SYNC'!E749,S745+2,1000),"")</f>
        <v/>
      </c>
      <c r="Z745" s="24"/>
    </row>
    <row r="746" spans="1:26" x14ac:dyDescent="0.25">
      <c r="A746" s="26">
        <v>743</v>
      </c>
      <c r="B746" s="24" t="str">
        <f>IF('ASS START SYNC'!C750="SHOW",FIND(",",'ASS START SYNC'!E750,1),"")</f>
        <v/>
      </c>
      <c r="C746" s="24" t="str">
        <f>IF('ASS START SYNC'!C750="SHOW",FIND(",",'ASS START SYNC'!E750,B746+1),"")</f>
        <v/>
      </c>
      <c r="D746" s="24" t="str">
        <f>IF('ASS START SYNC'!C750="SHOW",FIND(",",'ASS START SYNC'!E750,C746+1),"")</f>
        <v/>
      </c>
      <c r="E746" s="25" t="str">
        <f>IF('ASS START SYNC'!C750="SHOW",FIND(",,",'ASS START SYNC'!E750,1),"")</f>
        <v/>
      </c>
      <c r="F746" s="25" t="str">
        <f>IF('ASS START SYNC'!C750="SHOW",FIND(",,",'ASS START SYNC'!E750,E746+1),"")</f>
        <v/>
      </c>
      <c r="G746" s="23" t="str">
        <f>IF('ASS START SYNC'!C750="SHOW",LEFT('ASS START SYNC'!E750,B746),"")</f>
        <v/>
      </c>
      <c r="H746" s="24" t="str">
        <f>IF(AND('ASS START SYNC'!C750="SHOW",COUNTA('ASS START SYNC'!$E$8:'ASS START SYNC'!E749)=0),MID('ASS START SYNC'!E750,B746+1,C746-B746-1),IF(AND('ASS START SYNC'!C750="SHOW",COUNTA('ASS START SYNC'!$E$8:'ASS START SYNC'!E749)&lt;&gt;0),I745,""))</f>
        <v/>
      </c>
      <c r="I746" s="24" t="str">
        <f>IF('ASS START SYNC'!C750="SHOW",MID('ASS START SYNC'!E750,C746+1,D746-C746-1),I745)</f>
        <v/>
      </c>
      <c r="J746" s="23" t="str">
        <f>IF('ASS START SYNC'!C750="SHOW",MID('ASS START SYNC'!E750,D746+1,F746-D746+1),"")</f>
        <v/>
      </c>
      <c r="K746" s="23" t="str">
        <f>IF('ASS START SYNC'!C750="SHOW",MID('ASS START SYNC'!E750,F746+2,1000),"")</f>
        <v/>
      </c>
      <c r="M746" s="24"/>
      <c r="N746" s="26">
        <v>743</v>
      </c>
      <c r="O746" s="24" t="str">
        <f>IF('ASS END SYNC'!C750="SHOW",FIND(",",'ASS END SYNC'!E750,1),"")</f>
        <v/>
      </c>
      <c r="P746" s="24" t="str">
        <f>IF('ASS END SYNC'!C750="SHOW",FIND(",",'ASS END SYNC'!E750,O746+1),"")</f>
        <v/>
      </c>
      <c r="Q746" s="24" t="str">
        <f>IF('ASS END SYNC'!C750="SHOW",FIND(",",'ASS END SYNC'!E750,P746+1),"")</f>
        <v/>
      </c>
      <c r="R746" s="25" t="str">
        <f>IF('ASS END SYNC'!C750="SHOW",FIND(",,",'ASS END SYNC'!E750,1),"")</f>
        <v/>
      </c>
      <c r="S746" s="25" t="str">
        <f>IF('ASS END SYNC'!C750="SHOW",FIND(",,",'ASS END SYNC'!E750,R746+1),"")</f>
        <v/>
      </c>
      <c r="T746" s="23" t="str">
        <f>IF('ASS END SYNC'!C750="SHOW",LEFT('ASS END SYNC'!E750,O746),"")</f>
        <v/>
      </c>
      <c r="U746" s="24" t="str">
        <f>IF('ASS END SYNC'!C750="SHOW",MID('ASS END SYNC'!E750,O746+1,P746-O746-1),"")</f>
        <v/>
      </c>
      <c r="V746" s="24" t="str">
        <f>IF(AND('ASS END SYNC'!C750="SHOW",'ASS END SYNC'!C751="SHOW"),U747,IF(AND('ASS END SYNC'!C750="SHOW",'ASS END SYNC'!C751&lt;&gt;"SHOW"),MID('ASS END SYNC'!E750,O746+1,P746-O746-1),""))</f>
        <v/>
      </c>
      <c r="W746" s="23" t="str">
        <f>IF('ASS END SYNC'!C750="SHOW",MID('ASS END SYNC'!E750,Q746+1,S746-Q746+1),"")</f>
        <v/>
      </c>
      <c r="X746" s="23" t="str">
        <f>IF('ASS END SYNC'!C750="SHOW",MID('ASS END SYNC'!E750,S746+2,1000),"")</f>
        <v/>
      </c>
      <c r="Z746" s="24"/>
    </row>
    <row r="747" spans="1:26" x14ac:dyDescent="0.25">
      <c r="A747" s="26">
        <v>744</v>
      </c>
      <c r="B747" s="24" t="str">
        <f>IF('ASS START SYNC'!C751="SHOW",FIND(",",'ASS START SYNC'!E751,1),"")</f>
        <v/>
      </c>
      <c r="C747" s="24" t="str">
        <f>IF('ASS START SYNC'!C751="SHOW",FIND(",",'ASS START SYNC'!E751,B747+1),"")</f>
        <v/>
      </c>
      <c r="D747" s="24" t="str">
        <f>IF('ASS START SYNC'!C751="SHOW",FIND(",",'ASS START SYNC'!E751,C747+1),"")</f>
        <v/>
      </c>
      <c r="E747" s="25" t="str">
        <f>IF('ASS START SYNC'!C751="SHOW",FIND(",,",'ASS START SYNC'!E751,1),"")</f>
        <v/>
      </c>
      <c r="F747" s="25" t="str">
        <f>IF('ASS START SYNC'!C751="SHOW",FIND(",,",'ASS START SYNC'!E751,E747+1),"")</f>
        <v/>
      </c>
      <c r="G747" s="23" t="str">
        <f>IF('ASS START SYNC'!C751="SHOW",LEFT('ASS START SYNC'!E751,B747),"")</f>
        <v/>
      </c>
      <c r="H747" s="24" t="str">
        <f>IF(AND('ASS START SYNC'!C751="SHOW",COUNTA('ASS START SYNC'!$E$8:'ASS START SYNC'!E750)=0),MID('ASS START SYNC'!E751,B747+1,C747-B747-1),IF(AND('ASS START SYNC'!C751="SHOW",COUNTA('ASS START SYNC'!$E$8:'ASS START SYNC'!E750)&lt;&gt;0),I746,""))</f>
        <v/>
      </c>
      <c r="I747" s="24" t="str">
        <f>IF('ASS START SYNC'!C751="SHOW",MID('ASS START SYNC'!E751,C747+1,D747-C747-1),I746)</f>
        <v/>
      </c>
      <c r="J747" s="23" t="str">
        <f>IF('ASS START SYNC'!C751="SHOW",MID('ASS START SYNC'!E751,D747+1,F747-D747+1),"")</f>
        <v/>
      </c>
      <c r="K747" s="23" t="str">
        <f>IF('ASS START SYNC'!C751="SHOW",MID('ASS START SYNC'!E751,F747+2,1000),"")</f>
        <v/>
      </c>
      <c r="M747" s="24"/>
      <c r="N747" s="26">
        <v>744</v>
      </c>
      <c r="O747" s="24" t="str">
        <f>IF('ASS END SYNC'!C751="SHOW",FIND(",",'ASS END SYNC'!E751,1),"")</f>
        <v/>
      </c>
      <c r="P747" s="24" t="str">
        <f>IF('ASS END SYNC'!C751="SHOW",FIND(",",'ASS END SYNC'!E751,O747+1),"")</f>
        <v/>
      </c>
      <c r="Q747" s="24" t="str">
        <f>IF('ASS END SYNC'!C751="SHOW",FIND(",",'ASS END SYNC'!E751,P747+1),"")</f>
        <v/>
      </c>
      <c r="R747" s="25" t="str">
        <f>IF('ASS END SYNC'!C751="SHOW",FIND(",,",'ASS END SYNC'!E751,1),"")</f>
        <v/>
      </c>
      <c r="S747" s="25" t="str">
        <f>IF('ASS END SYNC'!C751="SHOW",FIND(",,",'ASS END SYNC'!E751,R747+1),"")</f>
        <v/>
      </c>
      <c r="T747" s="23" t="str">
        <f>IF('ASS END SYNC'!C751="SHOW",LEFT('ASS END SYNC'!E751,O747),"")</f>
        <v/>
      </c>
      <c r="U747" s="24" t="str">
        <f>IF('ASS END SYNC'!C751="SHOW",MID('ASS END SYNC'!E751,O747+1,P747-O747-1),"")</f>
        <v/>
      </c>
      <c r="V747" s="24" t="str">
        <f>IF(AND('ASS END SYNC'!C751="SHOW",'ASS END SYNC'!C752="SHOW"),U748,IF(AND('ASS END SYNC'!C751="SHOW",'ASS END SYNC'!C752&lt;&gt;"SHOW"),MID('ASS END SYNC'!E751,O747+1,P747-O747-1),""))</f>
        <v/>
      </c>
      <c r="W747" s="23" t="str">
        <f>IF('ASS END SYNC'!C751="SHOW",MID('ASS END SYNC'!E751,Q747+1,S747-Q747+1),"")</f>
        <v/>
      </c>
      <c r="X747" s="23" t="str">
        <f>IF('ASS END SYNC'!C751="SHOW",MID('ASS END SYNC'!E751,S747+2,1000),"")</f>
        <v/>
      </c>
      <c r="Z747" s="24"/>
    </row>
    <row r="748" spans="1:26" x14ac:dyDescent="0.25">
      <c r="A748" s="26">
        <v>745</v>
      </c>
      <c r="B748" s="24" t="str">
        <f>IF('ASS START SYNC'!C752="SHOW",FIND(",",'ASS START SYNC'!E752,1),"")</f>
        <v/>
      </c>
      <c r="C748" s="24" t="str">
        <f>IF('ASS START SYNC'!C752="SHOW",FIND(",",'ASS START SYNC'!E752,B748+1),"")</f>
        <v/>
      </c>
      <c r="D748" s="24" t="str">
        <f>IF('ASS START SYNC'!C752="SHOW",FIND(",",'ASS START SYNC'!E752,C748+1),"")</f>
        <v/>
      </c>
      <c r="E748" s="25" t="str">
        <f>IF('ASS START SYNC'!C752="SHOW",FIND(",,",'ASS START SYNC'!E752,1),"")</f>
        <v/>
      </c>
      <c r="F748" s="25" t="str">
        <f>IF('ASS START SYNC'!C752="SHOW",FIND(",,",'ASS START SYNC'!E752,E748+1),"")</f>
        <v/>
      </c>
      <c r="G748" s="23" t="str">
        <f>IF('ASS START SYNC'!C752="SHOW",LEFT('ASS START SYNC'!E752,B748),"")</f>
        <v/>
      </c>
      <c r="H748" s="24" t="str">
        <f>IF(AND('ASS START SYNC'!C752="SHOW",COUNTA('ASS START SYNC'!$E$8:'ASS START SYNC'!E751)=0),MID('ASS START SYNC'!E752,B748+1,C748-B748-1),IF(AND('ASS START SYNC'!C752="SHOW",COUNTA('ASS START SYNC'!$E$8:'ASS START SYNC'!E751)&lt;&gt;0),I747,""))</f>
        <v/>
      </c>
      <c r="I748" s="24" t="str">
        <f>IF('ASS START SYNC'!C752="SHOW",MID('ASS START SYNC'!E752,C748+1,D748-C748-1),I747)</f>
        <v/>
      </c>
      <c r="J748" s="23" t="str">
        <f>IF('ASS START SYNC'!C752="SHOW",MID('ASS START SYNC'!E752,D748+1,F748-D748+1),"")</f>
        <v/>
      </c>
      <c r="K748" s="23" t="str">
        <f>IF('ASS START SYNC'!C752="SHOW",MID('ASS START SYNC'!E752,F748+2,1000),"")</f>
        <v/>
      </c>
      <c r="M748" s="24"/>
      <c r="N748" s="26">
        <v>745</v>
      </c>
      <c r="O748" s="24" t="str">
        <f>IF('ASS END SYNC'!C752="SHOW",FIND(",",'ASS END SYNC'!E752,1),"")</f>
        <v/>
      </c>
      <c r="P748" s="24" t="str">
        <f>IF('ASS END SYNC'!C752="SHOW",FIND(",",'ASS END SYNC'!E752,O748+1),"")</f>
        <v/>
      </c>
      <c r="Q748" s="24" t="str">
        <f>IF('ASS END SYNC'!C752="SHOW",FIND(",",'ASS END SYNC'!E752,P748+1),"")</f>
        <v/>
      </c>
      <c r="R748" s="25" t="str">
        <f>IF('ASS END SYNC'!C752="SHOW",FIND(",,",'ASS END SYNC'!E752,1),"")</f>
        <v/>
      </c>
      <c r="S748" s="25" t="str">
        <f>IF('ASS END SYNC'!C752="SHOW",FIND(",,",'ASS END SYNC'!E752,R748+1),"")</f>
        <v/>
      </c>
      <c r="T748" s="23" t="str">
        <f>IF('ASS END SYNC'!C752="SHOW",LEFT('ASS END SYNC'!E752,O748),"")</f>
        <v/>
      </c>
      <c r="U748" s="24" t="str">
        <f>IF('ASS END SYNC'!C752="SHOW",MID('ASS END SYNC'!E752,O748+1,P748-O748-1),"")</f>
        <v/>
      </c>
      <c r="V748" s="24" t="str">
        <f>IF(AND('ASS END SYNC'!C752="SHOW",'ASS END SYNC'!C753="SHOW"),U749,IF(AND('ASS END SYNC'!C752="SHOW",'ASS END SYNC'!C753&lt;&gt;"SHOW"),MID('ASS END SYNC'!E752,O748+1,P748-O748-1),""))</f>
        <v/>
      </c>
      <c r="W748" s="23" t="str">
        <f>IF('ASS END SYNC'!C752="SHOW",MID('ASS END SYNC'!E752,Q748+1,S748-Q748+1),"")</f>
        <v/>
      </c>
      <c r="X748" s="23" t="str">
        <f>IF('ASS END SYNC'!C752="SHOW",MID('ASS END SYNC'!E752,S748+2,1000),"")</f>
        <v/>
      </c>
      <c r="Z748" s="24"/>
    </row>
    <row r="749" spans="1:26" x14ac:dyDescent="0.25">
      <c r="A749" s="26">
        <v>746</v>
      </c>
      <c r="B749" s="24" t="str">
        <f>IF('ASS START SYNC'!C753="SHOW",FIND(",",'ASS START SYNC'!E753,1),"")</f>
        <v/>
      </c>
      <c r="C749" s="24" t="str">
        <f>IF('ASS START SYNC'!C753="SHOW",FIND(",",'ASS START SYNC'!E753,B749+1),"")</f>
        <v/>
      </c>
      <c r="D749" s="24" t="str">
        <f>IF('ASS START SYNC'!C753="SHOW",FIND(",",'ASS START SYNC'!E753,C749+1),"")</f>
        <v/>
      </c>
      <c r="E749" s="25" t="str">
        <f>IF('ASS START SYNC'!C753="SHOW",FIND(",,",'ASS START SYNC'!E753,1),"")</f>
        <v/>
      </c>
      <c r="F749" s="25" t="str">
        <f>IF('ASS START SYNC'!C753="SHOW",FIND(",,",'ASS START SYNC'!E753,E749+1),"")</f>
        <v/>
      </c>
      <c r="G749" s="23" t="str">
        <f>IF('ASS START SYNC'!C753="SHOW",LEFT('ASS START SYNC'!E753,B749),"")</f>
        <v/>
      </c>
      <c r="H749" s="24" t="str">
        <f>IF(AND('ASS START SYNC'!C753="SHOW",COUNTA('ASS START SYNC'!$E$8:'ASS START SYNC'!E752)=0),MID('ASS START SYNC'!E753,B749+1,C749-B749-1),IF(AND('ASS START SYNC'!C753="SHOW",COUNTA('ASS START SYNC'!$E$8:'ASS START SYNC'!E752)&lt;&gt;0),I748,""))</f>
        <v/>
      </c>
      <c r="I749" s="24" t="str">
        <f>IF('ASS START SYNC'!C753="SHOW",MID('ASS START SYNC'!E753,C749+1,D749-C749-1),I748)</f>
        <v/>
      </c>
      <c r="J749" s="23" t="str">
        <f>IF('ASS START SYNC'!C753="SHOW",MID('ASS START SYNC'!E753,D749+1,F749-D749+1),"")</f>
        <v/>
      </c>
      <c r="K749" s="23" t="str">
        <f>IF('ASS START SYNC'!C753="SHOW",MID('ASS START SYNC'!E753,F749+2,1000),"")</f>
        <v/>
      </c>
      <c r="M749" s="24"/>
      <c r="N749" s="26">
        <v>746</v>
      </c>
      <c r="O749" s="24" t="str">
        <f>IF('ASS END SYNC'!C753="SHOW",FIND(",",'ASS END SYNC'!E753,1),"")</f>
        <v/>
      </c>
      <c r="P749" s="24" t="str">
        <f>IF('ASS END SYNC'!C753="SHOW",FIND(",",'ASS END SYNC'!E753,O749+1),"")</f>
        <v/>
      </c>
      <c r="Q749" s="24" t="str">
        <f>IF('ASS END SYNC'!C753="SHOW",FIND(",",'ASS END SYNC'!E753,P749+1),"")</f>
        <v/>
      </c>
      <c r="R749" s="25" t="str">
        <f>IF('ASS END SYNC'!C753="SHOW",FIND(",,",'ASS END SYNC'!E753,1),"")</f>
        <v/>
      </c>
      <c r="S749" s="25" t="str">
        <f>IF('ASS END SYNC'!C753="SHOW",FIND(",,",'ASS END SYNC'!E753,R749+1),"")</f>
        <v/>
      </c>
      <c r="T749" s="23" t="str">
        <f>IF('ASS END SYNC'!C753="SHOW",LEFT('ASS END SYNC'!E753,O749),"")</f>
        <v/>
      </c>
      <c r="U749" s="24" t="str">
        <f>IF('ASS END SYNC'!C753="SHOW",MID('ASS END SYNC'!E753,O749+1,P749-O749-1),"")</f>
        <v/>
      </c>
      <c r="V749" s="24" t="str">
        <f>IF(AND('ASS END SYNC'!C753="SHOW",'ASS END SYNC'!C754="SHOW"),U750,IF(AND('ASS END SYNC'!C753="SHOW",'ASS END SYNC'!C754&lt;&gt;"SHOW"),MID('ASS END SYNC'!E753,O749+1,P749-O749-1),""))</f>
        <v/>
      </c>
      <c r="W749" s="23" t="str">
        <f>IF('ASS END SYNC'!C753="SHOW",MID('ASS END SYNC'!E753,Q749+1,S749-Q749+1),"")</f>
        <v/>
      </c>
      <c r="X749" s="23" t="str">
        <f>IF('ASS END SYNC'!C753="SHOW",MID('ASS END SYNC'!E753,S749+2,1000),"")</f>
        <v/>
      </c>
      <c r="Z749" s="24"/>
    </row>
    <row r="750" spans="1:26" x14ac:dyDescent="0.25">
      <c r="A750" s="26">
        <v>747</v>
      </c>
      <c r="B750" s="24" t="str">
        <f>IF('ASS START SYNC'!C754="SHOW",FIND(",",'ASS START SYNC'!E754,1),"")</f>
        <v/>
      </c>
      <c r="C750" s="24" t="str">
        <f>IF('ASS START SYNC'!C754="SHOW",FIND(",",'ASS START SYNC'!E754,B750+1),"")</f>
        <v/>
      </c>
      <c r="D750" s="24" t="str">
        <f>IF('ASS START SYNC'!C754="SHOW",FIND(",",'ASS START SYNC'!E754,C750+1),"")</f>
        <v/>
      </c>
      <c r="E750" s="25" t="str">
        <f>IF('ASS START SYNC'!C754="SHOW",FIND(",,",'ASS START SYNC'!E754,1),"")</f>
        <v/>
      </c>
      <c r="F750" s="25" t="str">
        <f>IF('ASS START SYNC'!C754="SHOW",FIND(",,",'ASS START SYNC'!E754,E750+1),"")</f>
        <v/>
      </c>
      <c r="G750" s="23" t="str">
        <f>IF('ASS START SYNC'!C754="SHOW",LEFT('ASS START SYNC'!E754,B750),"")</f>
        <v/>
      </c>
      <c r="H750" s="24" t="str">
        <f>IF(AND('ASS START SYNC'!C754="SHOW",COUNTA('ASS START SYNC'!$E$8:'ASS START SYNC'!E753)=0),MID('ASS START SYNC'!E754,B750+1,C750-B750-1),IF(AND('ASS START SYNC'!C754="SHOW",COUNTA('ASS START SYNC'!$E$8:'ASS START SYNC'!E753)&lt;&gt;0),I749,""))</f>
        <v/>
      </c>
      <c r="I750" s="24" t="str">
        <f>IF('ASS START SYNC'!C754="SHOW",MID('ASS START SYNC'!E754,C750+1,D750-C750-1),I749)</f>
        <v/>
      </c>
      <c r="J750" s="23" t="str">
        <f>IF('ASS START SYNC'!C754="SHOW",MID('ASS START SYNC'!E754,D750+1,F750-D750+1),"")</f>
        <v/>
      </c>
      <c r="K750" s="23" t="str">
        <f>IF('ASS START SYNC'!C754="SHOW",MID('ASS START SYNC'!E754,F750+2,1000),"")</f>
        <v/>
      </c>
      <c r="M750" s="24"/>
      <c r="N750" s="26">
        <v>747</v>
      </c>
      <c r="O750" s="24" t="str">
        <f>IF('ASS END SYNC'!C754="SHOW",FIND(",",'ASS END SYNC'!E754,1),"")</f>
        <v/>
      </c>
      <c r="P750" s="24" t="str">
        <f>IF('ASS END SYNC'!C754="SHOW",FIND(",",'ASS END SYNC'!E754,O750+1),"")</f>
        <v/>
      </c>
      <c r="Q750" s="24" t="str">
        <f>IF('ASS END SYNC'!C754="SHOW",FIND(",",'ASS END SYNC'!E754,P750+1),"")</f>
        <v/>
      </c>
      <c r="R750" s="25" t="str">
        <f>IF('ASS END SYNC'!C754="SHOW",FIND(",,",'ASS END SYNC'!E754,1),"")</f>
        <v/>
      </c>
      <c r="S750" s="25" t="str">
        <f>IF('ASS END SYNC'!C754="SHOW",FIND(",,",'ASS END SYNC'!E754,R750+1),"")</f>
        <v/>
      </c>
      <c r="T750" s="23" t="str">
        <f>IF('ASS END SYNC'!C754="SHOW",LEFT('ASS END SYNC'!E754,O750),"")</f>
        <v/>
      </c>
      <c r="U750" s="24" t="str">
        <f>IF('ASS END SYNC'!C754="SHOW",MID('ASS END SYNC'!E754,O750+1,P750-O750-1),"")</f>
        <v/>
      </c>
      <c r="V750" s="24" t="str">
        <f>IF(AND('ASS END SYNC'!C754="SHOW",'ASS END SYNC'!C755="SHOW"),U751,IF(AND('ASS END SYNC'!C754="SHOW",'ASS END SYNC'!C755&lt;&gt;"SHOW"),MID('ASS END SYNC'!E754,O750+1,P750-O750-1),""))</f>
        <v/>
      </c>
      <c r="W750" s="23" t="str">
        <f>IF('ASS END SYNC'!C754="SHOW",MID('ASS END SYNC'!E754,Q750+1,S750-Q750+1),"")</f>
        <v/>
      </c>
      <c r="X750" s="23" t="str">
        <f>IF('ASS END SYNC'!C754="SHOW",MID('ASS END SYNC'!E754,S750+2,1000),"")</f>
        <v/>
      </c>
      <c r="Z750" s="24"/>
    </row>
    <row r="751" spans="1:26" x14ac:dyDescent="0.25">
      <c r="A751" s="26">
        <v>748</v>
      </c>
      <c r="B751" s="24" t="str">
        <f>IF('ASS START SYNC'!C755="SHOW",FIND(",",'ASS START SYNC'!E755,1),"")</f>
        <v/>
      </c>
      <c r="C751" s="24" t="str">
        <f>IF('ASS START SYNC'!C755="SHOW",FIND(",",'ASS START SYNC'!E755,B751+1),"")</f>
        <v/>
      </c>
      <c r="D751" s="24" t="str">
        <f>IF('ASS START SYNC'!C755="SHOW",FIND(",",'ASS START SYNC'!E755,C751+1),"")</f>
        <v/>
      </c>
      <c r="E751" s="25" t="str">
        <f>IF('ASS START SYNC'!C755="SHOW",FIND(",,",'ASS START SYNC'!E755,1),"")</f>
        <v/>
      </c>
      <c r="F751" s="25" t="str">
        <f>IF('ASS START SYNC'!C755="SHOW",FIND(",,",'ASS START SYNC'!E755,E751+1),"")</f>
        <v/>
      </c>
      <c r="G751" s="23" t="str">
        <f>IF('ASS START SYNC'!C755="SHOW",LEFT('ASS START SYNC'!E755,B751),"")</f>
        <v/>
      </c>
      <c r="H751" s="24" t="str">
        <f>IF(AND('ASS START SYNC'!C755="SHOW",COUNTA('ASS START SYNC'!$E$8:'ASS START SYNC'!E754)=0),MID('ASS START SYNC'!E755,B751+1,C751-B751-1),IF(AND('ASS START SYNC'!C755="SHOW",COUNTA('ASS START SYNC'!$E$8:'ASS START SYNC'!E754)&lt;&gt;0),I750,""))</f>
        <v/>
      </c>
      <c r="I751" s="24" t="str">
        <f>IF('ASS START SYNC'!C755="SHOW",MID('ASS START SYNC'!E755,C751+1,D751-C751-1),I750)</f>
        <v/>
      </c>
      <c r="J751" s="23" t="str">
        <f>IF('ASS START SYNC'!C755="SHOW",MID('ASS START SYNC'!E755,D751+1,F751-D751+1),"")</f>
        <v/>
      </c>
      <c r="K751" s="23" t="str">
        <f>IF('ASS START SYNC'!C755="SHOW",MID('ASS START SYNC'!E755,F751+2,1000),"")</f>
        <v/>
      </c>
      <c r="M751" s="24"/>
      <c r="N751" s="26">
        <v>748</v>
      </c>
      <c r="O751" s="24" t="str">
        <f>IF('ASS END SYNC'!C755="SHOW",FIND(",",'ASS END SYNC'!E755,1),"")</f>
        <v/>
      </c>
      <c r="P751" s="24" t="str">
        <f>IF('ASS END SYNC'!C755="SHOW",FIND(",",'ASS END SYNC'!E755,O751+1),"")</f>
        <v/>
      </c>
      <c r="Q751" s="24" t="str">
        <f>IF('ASS END SYNC'!C755="SHOW",FIND(",",'ASS END SYNC'!E755,P751+1),"")</f>
        <v/>
      </c>
      <c r="R751" s="25" t="str">
        <f>IF('ASS END SYNC'!C755="SHOW",FIND(",,",'ASS END SYNC'!E755,1),"")</f>
        <v/>
      </c>
      <c r="S751" s="25" t="str">
        <f>IF('ASS END SYNC'!C755="SHOW",FIND(",,",'ASS END SYNC'!E755,R751+1),"")</f>
        <v/>
      </c>
      <c r="T751" s="23" t="str">
        <f>IF('ASS END SYNC'!C755="SHOW",LEFT('ASS END SYNC'!E755,O751),"")</f>
        <v/>
      </c>
      <c r="U751" s="24" t="str">
        <f>IF('ASS END SYNC'!C755="SHOW",MID('ASS END SYNC'!E755,O751+1,P751-O751-1),"")</f>
        <v/>
      </c>
      <c r="V751" s="24" t="str">
        <f>IF(AND('ASS END SYNC'!C755="SHOW",'ASS END SYNC'!C756="SHOW"),U752,IF(AND('ASS END SYNC'!C755="SHOW",'ASS END SYNC'!C756&lt;&gt;"SHOW"),MID('ASS END SYNC'!E755,O751+1,P751-O751-1),""))</f>
        <v/>
      </c>
      <c r="W751" s="23" t="str">
        <f>IF('ASS END SYNC'!C755="SHOW",MID('ASS END SYNC'!E755,Q751+1,S751-Q751+1),"")</f>
        <v/>
      </c>
      <c r="X751" s="23" t="str">
        <f>IF('ASS END SYNC'!C755="SHOW",MID('ASS END SYNC'!E755,S751+2,1000),"")</f>
        <v/>
      </c>
      <c r="Z751" s="24"/>
    </row>
    <row r="752" spans="1:26" x14ac:dyDescent="0.25">
      <c r="A752" s="26">
        <v>749</v>
      </c>
      <c r="B752" s="24" t="str">
        <f>IF('ASS START SYNC'!C756="SHOW",FIND(",",'ASS START SYNC'!E756,1),"")</f>
        <v/>
      </c>
      <c r="C752" s="24" t="str">
        <f>IF('ASS START SYNC'!C756="SHOW",FIND(",",'ASS START SYNC'!E756,B752+1),"")</f>
        <v/>
      </c>
      <c r="D752" s="24" t="str">
        <f>IF('ASS START SYNC'!C756="SHOW",FIND(",",'ASS START SYNC'!E756,C752+1),"")</f>
        <v/>
      </c>
      <c r="E752" s="25" t="str">
        <f>IF('ASS START SYNC'!C756="SHOW",FIND(",,",'ASS START SYNC'!E756,1),"")</f>
        <v/>
      </c>
      <c r="F752" s="25" t="str">
        <f>IF('ASS START SYNC'!C756="SHOW",FIND(",,",'ASS START SYNC'!E756,E752+1),"")</f>
        <v/>
      </c>
      <c r="G752" s="23" t="str">
        <f>IF('ASS START SYNC'!C756="SHOW",LEFT('ASS START SYNC'!E756,B752),"")</f>
        <v/>
      </c>
      <c r="H752" s="24" t="str">
        <f>IF(AND('ASS START SYNC'!C756="SHOW",COUNTA('ASS START SYNC'!$E$8:'ASS START SYNC'!E755)=0),MID('ASS START SYNC'!E756,B752+1,C752-B752-1),IF(AND('ASS START SYNC'!C756="SHOW",COUNTA('ASS START SYNC'!$E$8:'ASS START SYNC'!E755)&lt;&gt;0),I751,""))</f>
        <v/>
      </c>
      <c r="I752" s="24" t="str">
        <f>IF('ASS START SYNC'!C756="SHOW",MID('ASS START SYNC'!E756,C752+1,D752-C752-1),I751)</f>
        <v/>
      </c>
      <c r="J752" s="23" t="str">
        <f>IF('ASS START SYNC'!C756="SHOW",MID('ASS START SYNC'!E756,D752+1,F752-D752+1),"")</f>
        <v/>
      </c>
      <c r="K752" s="23" t="str">
        <f>IF('ASS START SYNC'!C756="SHOW",MID('ASS START SYNC'!E756,F752+2,1000),"")</f>
        <v/>
      </c>
      <c r="M752" s="24"/>
      <c r="N752" s="26">
        <v>749</v>
      </c>
      <c r="O752" s="24" t="str">
        <f>IF('ASS END SYNC'!C756="SHOW",FIND(",",'ASS END SYNC'!E756,1),"")</f>
        <v/>
      </c>
      <c r="P752" s="24" t="str">
        <f>IF('ASS END SYNC'!C756="SHOW",FIND(",",'ASS END SYNC'!E756,O752+1),"")</f>
        <v/>
      </c>
      <c r="Q752" s="24" t="str">
        <f>IF('ASS END SYNC'!C756="SHOW",FIND(",",'ASS END SYNC'!E756,P752+1),"")</f>
        <v/>
      </c>
      <c r="R752" s="25" t="str">
        <f>IF('ASS END SYNC'!C756="SHOW",FIND(",,",'ASS END SYNC'!E756,1),"")</f>
        <v/>
      </c>
      <c r="S752" s="25" t="str">
        <f>IF('ASS END SYNC'!C756="SHOW",FIND(",,",'ASS END SYNC'!E756,R752+1),"")</f>
        <v/>
      </c>
      <c r="T752" s="23" t="str">
        <f>IF('ASS END SYNC'!C756="SHOW",LEFT('ASS END SYNC'!E756,O752),"")</f>
        <v/>
      </c>
      <c r="U752" s="24" t="str">
        <f>IF('ASS END SYNC'!C756="SHOW",MID('ASS END SYNC'!E756,O752+1,P752-O752-1),"")</f>
        <v/>
      </c>
      <c r="V752" s="24" t="str">
        <f>IF(AND('ASS END SYNC'!C756="SHOW",'ASS END SYNC'!C757="SHOW"),U753,IF(AND('ASS END SYNC'!C756="SHOW",'ASS END SYNC'!C757&lt;&gt;"SHOW"),MID('ASS END SYNC'!E756,O752+1,P752-O752-1),""))</f>
        <v/>
      </c>
      <c r="W752" s="23" t="str">
        <f>IF('ASS END SYNC'!C756="SHOW",MID('ASS END SYNC'!E756,Q752+1,S752-Q752+1),"")</f>
        <v/>
      </c>
      <c r="X752" s="23" t="str">
        <f>IF('ASS END SYNC'!C756="SHOW",MID('ASS END SYNC'!E756,S752+2,1000),"")</f>
        <v/>
      </c>
      <c r="Z752" s="24"/>
    </row>
    <row r="753" spans="1:26" x14ac:dyDescent="0.25">
      <c r="A753" s="26">
        <v>750</v>
      </c>
      <c r="B753" s="24" t="str">
        <f>IF('ASS START SYNC'!C757="SHOW",FIND(",",'ASS START SYNC'!E757,1),"")</f>
        <v/>
      </c>
      <c r="C753" s="24" t="str">
        <f>IF('ASS START SYNC'!C757="SHOW",FIND(",",'ASS START SYNC'!E757,B753+1),"")</f>
        <v/>
      </c>
      <c r="D753" s="24" t="str">
        <f>IF('ASS START SYNC'!C757="SHOW",FIND(",",'ASS START SYNC'!E757,C753+1),"")</f>
        <v/>
      </c>
      <c r="E753" s="25" t="str">
        <f>IF('ASS START SYNC'!C757="SHOW",FIND(",,",'ASS START SYNC'!E757,1),"")</f>
        <v/>
      </c>
      <c r="F753" s="25" t="str">
        <f>IF('ASS START SYNC'!C757="SHOW",FIND(",,",'ASS START SYNC'!E757,E753+1),"")</f>
        <v/>
      </c>
      <c r="G753" s="23" t="str">
        <f>IF('ASS START SYNC'!C757="SHOW",LEFT('ASS START SYNC'!E757,B753),"")</f>
        <v/>
      </c>
      <c r="H753" s="24" t="str">
        <f>IF(AND('ASS START SYNC'!C757="SHOW",COUNTA('ASS START SYNC'!$E$8:'ASS START SYNC'!E756)=0),MID('ASS START SYNC'!E757,B753+1,C753-B753-1),IF(AND('ASS START SYNC'!C757="SHOW",COUNTA('ASS START SYNC'!$E$8:'ASS START SYNC'!E756)&lt;&gt;0),I752,""))</f>
        <v/>
      </c>
      <c r="I753" s="24" t="str">
        <f>IF('ASS START SYNC'!C757="SHOW",MID('ASS START SYNC'!E757,C753+1,D753-C753-1),I752)</f>
        <v/>
      </c>
      <c r="J753" s="23" t="str">
        <f>IF('ASS START SYNC'!C757="SHOW",MID('ASS START SYNC'!E757,D753+1,F753-D753+1),"")</f>
        <v/>
      </c>
      <c r="K753" s="23" t="str">
        <f>IF('ASS START SYNC'!C757="SHOW",MID('ASS START SYNC'!E757,F753+2,1000),"")</f>
        <v/>
      </c>
      <c r="M753" s="24"/>
      <c r="N753" s="26">
        <v>750</v>
      </c>
      <c r="O753" s="24" t="str">
        <f>IF('ASS END SYNC'!C757="SHOW",FIND(",",'ASS END SYNC'!E757,1),"")</f>
        <v/>
      </c>
      <c r="P753" s="24" t="str">
        <f>IF('ASS END SYNC'!C757="SHOW",FIND(",",'ASS END SYNC'!E757,O753+1),"")</f>
        <v/>
      </c>
      <c r="Q753" s="24" t="str">
        <f>IF('ASS END SYNC'!C757="SHOW",FIND(",",'ASS END SYNC'!E757,P753+1),"")</f>
        <v/>
      </c>
      <c r="R753" s="25" t="str">
        <f>IF('ASS END SYNC'!C757="SHOW",FIND(",,",'ASS END SYNC'!E757,1),"")</f>
        <v/>
      </c>
      <c r="S753" s="25" t="str">
        <f>IF('ASS END SYNC'!C757="SHOW",FIND(",,",'ASS END SYNC'!E757,R753+1),"")</f>
        <v/>
      </c>
      <c r="T753" s="23" t="str">
        <f>IF('ASS END SYNC'!C757="SHOW",LEFT('ASS END SYNC'!E757,O753),"")</f>
        <v/>
      </c>
      <c r="U753" s="24" t="str">
        <f>IF('ASS END SYNC'!C757="SHOW",MID('ASS END SYNC'!E757,O753+1,P753-O753-1),"")</f>
        <v/>
      </c>
      <c r="V753" s="24" t="str">
        <f>IF(AND('ASS END SYNC'!C757="SHOW",'ASS END SYNC'!C758="SHOW"),U754,IF(AND('ASS END SYNC'!C757="SHOW",'ASS END SYNC'!C758&lt;&gt;"SHOW"),MID('ASS END SYNC'!E757,O753+1,P753-O753-1),""))</f>
        <v/>
      </c>
      <c r="W753" s="23" t="str">
        <f>IF('ASS END SYNC'!C757="SHOW",MID('ASS END SYNC'!E757,Q753+1,S753-Q753+1),"")</f>
        <v/>
      </c>
      <c r="X753" s="23" t="str">
        <f>IF('ASS END SYNC'!C757="SHOW",MID('ASS END SYNC'!E757,S753+2,1000),"")</f>
        <v/>
      </c>
      <c r="Z753" s="24"/>
    </row>
    <row r="754" spans="1:26" x14ac:dyDescent="0.25">
      <c r="A754" s="26">
        <v>751</v>
      </c>
      <c r="B754" s="24" t="str">
        <f>IF('ASS START SYNC'!C758="SHOW",FIND(",",'ASS START SYNC'!E758,1),"")</f>
        <v/>
      </c>
      <c r="C754" s="24" t="str">
        <f>IF('ASS START SYNC'!C758="SHOW",FIND(",",'ASS START SYNC'!E758,B754+1),"")</f>
        <v/>
      </c>
      <c r="D754" s="24" t="str">
        <f>IF('ASS START SYNC'!C758="SHOW",FIND(",",'ASS START SYNC'!E758,C754+1),"")</f>
        <v/>
      </c>
      <c r="E754" s="25" t="str">
        <f>IF('ASS START SYNC'!C758="SHOW",FIND(",,",'ASS START SYNC'!E758,1),"")</f>
        <v/>
      </c>
      <c r="F754" s="25" t="str">
        <f>IF('ASS START SYNC'!C758="SHOW",FIND(",,",'ASS START SYNC'!E758,E754+1),"")</f>
        <v/>
      </c>
      <c r="G754" s="23" t="str">
        <f>IF('ASS START SYNC'!C758="SHOW",LEFT('ASS START SYNC'!E758,B754),"")</f>
        <v/>
      </c>
      <c r="H754" s="24" t="str">
        <f>IF(AND('ASS START SYNC'!C758="SHOW",COUNTA('ASS START SYNC'!$E$8:'ASS START SYNC'!E757)=0),MID('ASS START SYNC'!E758,B754+1,C754-B754-1),IF(AND('ASS START SYNC'!C758="SHOW",COUNTA('ASS START SYNC'!$E$8:'ASS START SYNC'!E757)&lt;&gt;0),I753,""))</f>
        <v/>
      </c>
      <c r="I754" s="24" t="str">
        <f>IF('ASS START SYNC'!C758="SHOW",MID('ASS START SYNC'!E758,C754+1,D754-C754-1),I753)</f>
        <v/>
      </c>
      <c r="J754" s="23" t="str">
        <f>IF('ASS START SYNC'!C758="SHOW",MID('ASS START SYNC'!E758,D754+1,F754-D754+1),"")</f>
        <v/>
      </c>
      <c r="K754" s="23" t="str">
        <f>IF('ASS START SYNC'!C758="SHOW",MID('ASS START SYNC'!E758,F754+2,1000),"")</f>
        <v/>
      </c>
      <c r="M754" s="24"/>
      <c r="N754" s="26">
        <v>751</v>
      </c>
      <c r="O754" s="24" t="str">
        <f>IF('ASS END SYNC'!C758="SHOW",FIND(",",'ASS END SYNC'!E758,1),"")</f>
        <v/>
      </c>
      <c r="P754" s="24" t="str">
        <f>IF('ASS END SYNC'!C758="SHOW",FIND(",",'ASS END SYNC'!E758,O754+1),"")</f>
        <v/>
      </c>
      <c r="Q754" s="24" t="str">
        <f>IF('ASS END SYNC'!C758="SHOW",FIND(",",'ASS END SYNC'!E758,P754+1),"")</f>
        <v/>
      </c>
      <c r="R754" s="25" t="str">
        <f>IF('ASS END SYNC'!C758="SHOW",FIND(",,",'ASS END SYNC'!E758,1),"")</f>
        <v/>
      </c>
      <c r="S754" s="25" t="str">
        <f>IF('ASS END SYNC'!C758="SHOW",FIND(",,",'ASS END SYNC'!E758,R754+1),"")</f>
        <v/>
      </c>
      <c r="T754" s="23" t="str">
        <f>IF('ASS END SYNC'!C758="SHOW",LEFT('ASS END SYNC'!E758,O754),"")</f>
        <v/>
      </c>
      <c r="U754" s="24" t="str">
        <f>IF('ASS END SYNC'!C758="SHOW",MID('ASS END SYNC'!E758,O754+1,P754-O754-1),"")</f>
        <v/>
      </c>
      <c r="V754" s="24" t="str">
        <f>IF(AND('ASS END SYNC'!C758="SHOW",'ASS END SYNC'!C759="SHOW"),U755,IF(AND('ASS END SYNC'!C758="SHOW",'ASS END SYNC'!C759&lt;&gt;"SHOW"),MID('ASS END SYNC'!E758,O754+1,P754-O754-1),""))</f>
        <v/>
      </c>
      <c r="W754" s="23" t="str">
        <f>IF('ASS END SYNC'!C758="SHOW",MID('ASS END SYNC'!E758,Q754+1,S754-Q754+1),"")</f>
        <v/>
      </c>
      <c r="X754" s="23" t="str">
        <f>IF('ASS END SYNC'!C758="SHOW",MID('ASS END SYNC'!E758,S754+2,1000),"")</f>
        <v/>
      </c>
      <c r="Z754" s="24"/>
    </row>
    <row r="755" spans="1:26" x14ac:dyDescent="0.25">
      <c r="A755" s="26">
        <v>752</v>
      </c>
      <c r="B755" s="24" t="str">
        <f>IF('ASS START SYNC'!C759="SHOW",FIND(",",'ASS START SYNC'!E759,1),"")</f>
        <v/>
      </c>
      <c r="C755" s="24" t="str">
        <f>IF('ASS START SYNC'!C759="SHOW",FIND(",",'ASS START SYNC'!E759,B755+1),"")</f>
        <v/>
      </c>
      <c r="D755" s="24" t="str">
        <f>IF('ASS START SYNC'!C759="SHOW",FIND(",",'ASS START SYNC'!E759,C755+1),"")</f>
        <v/>
      </c>
      <c r="E755" s="25" t="str">
        <f>IF('ASS START SYNC'!C759="SHOW",FIND(",,",'ASS START SYNC'!E759,1),"")</f>
        <v/>
      </c>
      <c r="F755" s="25" t="str">
        <f>IF('ASS START SYNC'!C759="SHOW",FIND(",,",'ASS START SYNC'!E759,E755+1),"")</f>
        <v/>
      </c>
      <c r="G755" s="23" t="str">
        <f>IF('ASS START SYNC'!C759="SHOW",LEFT('ASS START SYNC'!E759,B755),"")</f>
        <v/>
      </c>
      <c r="H755" s="24" t="str">
        <f>IF(AND('ASS START SYNC'!C759="SHOW",COUNTA('ASS START SYNC'!$E$8:'ASS START SYNC'!E758)=0),MID('ASS START SYNC'!E759,B755+1,C755-B755-1),IF(AND('ASS START SYNC'!C759="SHOW",COUNTA('ASS START SYNC'!$E$8:'ASS START SYNC'!E758)&lt;&gt;0),I754,""))</f>
        <v/>
      </c>
      <c r="I755" s="24" t="str">
        <f>IF('ASS START SYNC'!C759="SHOW",MID('ASS START SYNC'!E759,C755+1,D755-C755-1),I754)</f>
        <v/>
      </c>
      <c r="J755" s="23" t="str">
        <f>IF('ASS START SYNC'!C759="SHOW",MID('ASS START SYNC'!E759,D755+1,F755-D755+1),"")</f>
        <v/>
      </c>
      <c r="K755" s="23" t="str">
        <f>IF('ASS START SYNC'!C759="SHOW",MID('ASS START SYNC'!E759,F755+2,1000),"")</f>
        <v/>
      </c>
      <c r="M755" s="24"/>
      <c r="N755" s="26">
        <v>752</v>
      </c>
      <c r="O755" s="24" t="str">
        <f>IF('ASS END SYNC'!C759="SHOW",FIND(",",'ASS END SYNC'!E759,1),"")</f>
        <v/>
      </c>
      <c r="P755" s="24" t="str">
        <f>IF('ASS END SYNC'!C759="SHOW",FIND(",",'ASS END SYNC'!E759,O755+1),"")</f>
        <v/>
      </c>
      <c r="Q755" s="24" t="str">
        <f>IF('ASS END SYNC'!C759="SHOW",FIND(",",'ASS END SYNC'!E759,P755+1),"")</f>
        <v/>
      </c>
      <c r="R755" s="25" t="str">
        <f>IF('ASS END SYNC'!C759="SHOW",FIND(",,",'ASS END SYNC'!E759,1),"")</f>
        <v/>
      </c>
      <c r="S755" s="25" t="str">
        <f>IF('ASS END SYNC'!C759="SHOW",FIND(",,",'ASS END SYNC'!E759,R755+1),"")</f>
        <v/>
      </c>
      <c r="T755" s="23" t="str">
        <f>IF('ASS END SYNC'!C759="SHOW",LEFT('ASS END SYNC'!E759,O755),"")</f>
        <v/>
      </c>
      <c r="U755" s="24" t="str">
        <f>IF('ASS END SYNC'!C759="SHOW",MID('ASS END SYNC'!E759,O755+1,P755-O755-1),"")</f>
        <v/>
      </c>
      <c r="V755" s="24" t="str">
        <f>IF(AND('ASS END SYNC'!C759="SHOW",'ASS END SYNC'!C760="SHOW"),U756,IF(AND('ASS END SYNC'!C759="SHOW",'ASS END SYNC'!C760&lt;&gt;"SHOW"),MID('ASS END SYNC'!E759,O755+1,P755-O755-1),""))</f>
        <v/>
      </c>
      <c r="W755" s="23" t="str">
        <f>IF('ASS END SYNC'!C759="SHOW",MID('ASS END SYNC'!E759,Q755+1,S755-Q755+1),"")</f>
        <v/>
      </c>
      <c r="X755" s="23" t="str">
        <f>IF('ASS END SYNC'!C759="SHOW",MID('ASS END SYNC'!E759,S755+2,1000),"")</f>
        <v/>
      </c>
      <c r="Z755" s="24"/>
    </row>
    <row r="756" spans="1:26" x14ac:dyDescent="0.25">
      <c r="A756" s="26">
        <v>753</v>
      </c>
      <c r="B756" s="24" t="str">
        <f>IF('ASS START SYNC'!C760="SHOW",FIND(",",'ASS START SYNC'!E760,1),"")</f>
        <v/>
      </c>
      <c r="C756" s="24" t="str">
        <f>IF('ASS START SYNC'!C760="SHOW",FIND(",",'ASS START SYNC'!E760,B756+1),"")</f>
        <v/>
      </c>
      <c r="D756" s="24" t="str">
        <f>IF('ASS START SYNC'!C760="SHOW",FIND(",",'ASS START SYNC'!E760,C756+1),"")</f>
        <v/>
      </c>
      <c r="E756" s="25" t="str">
        <f>IF('ASS START SYNC'!C760="SHOW",FIND(",,",'ASS START SYNC'!E760,1),"")</f>
        <v/>
      </c>
      <c r="F756" s="25" t="str">
        <f>IF('ASS START SYNC'!C760="SHOW",FIND(",,",'ASS START SYNC'!E760,E756+1),"")</f>
        <v/>
      </c>
      <c r="G756" s="23" t="str">
        <f>IF('ASS START SYNC'!C760="SHOW",LEFT('ASS START SYNC'!E760,B756),"")</f>
        <v/>
      </c>
      <c r="H756" s="24" t="str">
        <f>IF(AND('ASS START SYNC'!C760="SHOW",COUNTA('ASS START SYNC'!$E$8:'ASS START SYNC'!E759)=0),MID('ASS START SYNC'!E760,B756+1,C756-B756-1),IF(AND('ASS START SYNC'!C760="SHOW",COUNTA('ASS START SYNC'!$E$8:'ASS START SYNC'!E759)&lt;&gt;0),I755,""))</f>
        <v/>
      </c>
      <c r="I756" s="24" t="str">
        <f>IF('ASS START SYNC'!C760="SHOW",MID('ASS START SYNC'!E760,C756+1,D756-C756-1),I755)</f>
        <v/>
      </c>
      <c r="J756" s="23" t="str">
        <f>IF('ASS START SYNC'!C760="SHOW",MID('ASS START SYNC'!E760,D756+1,F756-D756+1),"")</f>
        <v/>
      </c>
      <c r="K756" s="23" t="str">
        <f>IF('ASS START SYNC'!C760="SHOW",MID('ASS START SYNC'!E760,F756+2,1000),"")</f>
        <v/>
      </c>
      <c r="M756" s="24"/>
      <c r="N756" s="26">
        <v>753</v>
      </c>
      <c r="O756" s="24" t="str">
        <f>IF('ASS END SYNC'!C760="SHOW",FIND(",",'ASS END SYNC'!E760,1),"")</f>
        <v/>
      </c>
      <c r="P756" s="24" t="str">
        <f>IF('ASS END SYNC'!C760="SHOW",FIND(",",'ASS END SYNC'!E760,O756+1),"")</f>
        <v/>
      </c>
      <c r="Q756" s="24" t="str">
        <f>IF('ASS END SYNC'!C760="SHOW",FIND(",",'ASS END SYNC'!E760,P756+1),"")</f>
        <v/>
      </c>
      <c r="R756" s="25" t="str">
        <f>IF('ASS END SYNC'!C760="SHOW",FIND(",,",'ASS END SYNC'!E760,1),"")</f>
        <v/>
      </c>
      <c r="S756" s="25" t="str">
        <f>IF('ASS END SYNC'!C760="SHOW",FIND(",,",'ASS END SYNC'!E760,R756+1),"")</f>
        <v/>
      </c>
      <c r="T756" s="23" t="str">
        <f>IF('ASS END SYNC'!C760="SHOW",LEFT('ASS END SYNC'!E760,O756),"")</f>
        <v/>
      </c>
      <c r="U756" s="24" t="str">
        <f>IF('ASS END SYNC'!C760="SHOW",MID('ASS END SYNC'!E760,O756+1,P756-O756-1),"")</f>
        <v/>
      </c>
      <c r="V756" s="24" t="str">
        <f>IF(AND('ASS END SYNC'!C760="SHOW",'ASS END SYNC'!C761="SHOW"),U757,IF(AND('ASS END SYNC'!C760="SHOW",'ASS END SYNC'!C761&lt;&gt;"SHOW"),MID('ASS END SYNC'!E760,O756+1,P756-O756-1),""))</f>
        <v/>
      </c>
      <c r="W756" s="23" t="str">
        <f>IF('ASS END SYNC'!C760="SHOW",MID('ASS END SYNC'!E760,Q756+1,S756-Q756+1),"")</f>
        <v/>
      </c>
      <c r="X756" s="23" t="str">
        <f>IF('ASS END SYNC'!C760="SHOW",MID('ASS END SYNC'!E760,S756+2,1000),"")</f>
        <v/>
      </c>
      <c r="Z756" s="24"/>
    </row>
    <row r="757" spans="1:26" x14ac:dyDescent="0.25">
      <c r="A757" s="26">
        <v>754</v>
      </c>
      <c r="B757" s="24" t="str">
        <f>IF('ASS START SYNC'!C761="SHOW",FIND(",",'ASS START SYNC'!E761,1),"")</f>
        <v/>
      </c>
      <c r="C757" s="24" t="str">
        <f>IF('ASS START SYNC'!C761="SHOW",FIND(",",'ASS START SYNC'!E761,B757+1),"")</f>
        <v/>
      </c>
      <c r="D757" s="24" t="str">
        <f>IF('ASS START SYNC'!C761="SHOW",FIND(",",'ASS START SYNC'!E761,C757+1),"")</f>
        <v/>
      </c>
      <c r="E757" s="25" t="str">
        <f>IF('ASS START SYNC'!C761="SHOW",FIND(",,",'ASS START SYNC'!E761,1),"")</f>
        <v/>
      </c>
      <c r="F757" s="25" t="str">
        <f>IF('ASS START SYNC'!C761="SHOW",FIND(",,",'ASS START SYNC'!E761,E757+1),"")</f>
        <v/>
      </c>
      <c r="G757" s="23" t="str">
        <f>IF('ASS START SYNC'!C761="SHOW",LEFT('ASS START SYNC'!E761,B757),"")</f>
        <v/>
      </c>
      <c r="H757" s="24" t="str">
        <f>IF(AND('ASS START SYNC'!C761="SHOW",COUNTA('ASS START SYNC'!$E$8:'ASS START SYNC'!E760)=0),MID('ASS START SYNC'!E761,B757+1,C757-B757-1),IF(AND('ASS START SYNC'!C761="SHOW",COUNTA('ASS START SYNC'!$E$8:'ASS START SYNC'!E760)&lt;&gt;0),I756,""))</f>
        <v/>
      </c>
      <c r="I757" s="24" t="str">
        <f>IF('ASS START SYNC'!C761="SHOW",MID('ASS START SYNC'!E761,C757+1,D757-C757-1),I756)</f>
        <v/>
      </c>
      <c r="J757" s="23" t="str">
        <f>IF('ASS START SYNC'!C761="SHOW",MID('ASS START SYNC'!E761,D757+1,F757-D757+1),"")</f>
        <v/>
      </c>
      <c r="K757" s="23" t="str">
        <f>IF('ASS START SYNC'!C761="SHOW",MID('ASS START SYNC'!E761,F757+2,1000),"")</f>
        <v/>
      </c>
      <c r="M757" s="24"/>
      <c r="N757" s="26">
        <v>754</v>
      </c>
      <c r="O757" s="24" t="str">
        <f>IF('ASS END SYNC'!C761="SHOW",FIND(",",'ASS END SYNC'!E761,1),"")</f>
        <v/>
      </c>
      <c r="P757" s="24" t="str">
        <f>IF('ASS END SYNC'!C761="SHOW",FIND(",",'ASS END SYNC'!E761,O757+1),"")</f>
        <v/>
      </c>
      <c r="Q757" s="24" t="str">
        <f>IF('ASS END SYNC'!C761="SHOW",FIND(",",'ASS END SYNC'!E761,P757+1),"")</f>
        <v/>
      </c>
      <c r="R757" s="25" t="str">
        <f>IF('ASS END SYNC'!C761="SHOW",FIND(",,",'ASS END SYNC'!E761,1),"")</f>
        <v/>
      </c>
      <c r="S757" s="25" t="str">
        <f>IF('ASS END SYNC'!C761="SHOW",FIND(",,",'ASS END SYNC'!E761,R757+1),"")</f>
        <v/>
      </c>
      <c r="T757" s="23" t="str">
        <f>IF('ASS END SYNC'!C761="SHOW",LEFT('ASS END SYNC'!E761,O757),"")</f>
        <v/>
      </c>
      <c r="U757" s="24" t="str">
        <f>IF('ASS END SYNC'!C761="SHOW",MID('ASS END SYNC'!E761,O757+1,P757-O757-1),"")</f>
        <v/>
      </c>
      <c r="V757" s="24" t="str">
        <f>IF(AND('ASS END SYNC'!C761="SHOW",'ASS END SYNC'!C762="SHOW"),U758,IF(AND('ASS END SYNC'!C761="SHOW",'ASS END SYNC'!C762&lt;&gt;"SHOW"),MID('ASS END SYNC'!E761,O757+1,P757-O757-1),""))</f>
        <v/>
      </c>
      <c r="W757" s="23" t="str">
        <f>IF('ASS END SYNC'!C761="SHOW",MID('ASS END SYNC'!E761,Q757+1,S757-Q757+1),"")</f>
        <v/>
      </c>
      <c r="X757" s="23" t="str">
        <f>IF('ASS END SYNC'!C761="SHOW",MID('ASS END SYNC'!E761,S757+2,1000),"")</f>
        <v/>
      </c>
      <c r="Z757" s="24"/>
    </row>
    <row r="758" spans="1:26" x14ac:dyDescent="0.25">
      <c r="A758" s="26">
        <v>755</v>
      </c>
      <c r="B758" s="24" t="str">
        <f>IF('ASS START SYNC'!C762="SHOW",FIND(",",'ASS START SYNC'!E762,1),"")</f>
        <v/>
      </c>
      <c r="C758" s="24" t="str">
        <f>IF('ASS START SYNC'!C762="SHOW",FIND(",",'ASS START SYNC'!E762,B758+1),"")</f>
        <v/>
      </c>
      <c r="D758" s="24" t="str">
        <f>IF('ASS START SYNC'!C762="SHOW",FIND(",",'ASS START SYNC'!E762,C758+1),"")</f>
        <v/>
      </c>
      <c r="E758" s="25" t="str">
        <f>IF('ASS START SYNC'!C762="SHOW",FIND(",,",'ASS START SYNC'!E762,1),"")</f>
        <v/>
      </c>
      <c r="F758" s="25" t="str">
        <f>IF('ASS START SYNC'!C762="SHOW",FIND(",,",'ASS START SYNC'!E762,E758+1),"")</f>
        <v/>
      </c>
      <c r="G758" s="23" t="str">
        <f>IF('ASS START SYNC'!C762="SHOW",LEFT('ASS START SYNC'!E762,B758),"")</f>
        <v/>
      </c>
      <c r="H758" s="24" t="str">
        <f>IF(AND('ASS START SYNC'!C762="SHOW",COUNTA('ASS START SYNC'!$E$8:'ASS START SYNC'!E761)=0),MID('ASS START SYNC'!E762,B758+1,C758-B758-1),IF(AND('ASS START SYNC'!C762="SHOW",COUNTA('ASS START SYNC'!$E$8:'ASS START SYNC'!E761)&lt;&gt;0),I757,""))</f>
        <v/>
      </c>
      <c r="I758" s="24" t="str">
        <f>IF('ASS START SYNC'!C762="SHOW",MID('ASS START SYNC'!E762,C758+1,D758-C758-1),I757)</f>
        <v/>
      </c>
      <c r="J758" s="23" t="str">
        <f>IF('ASS START SYNC'!C762="SHOW",MID('ASS START SYNC'!E762,D758+1,F758-D758+1),"")</f>
        <v/>
      </c>
      <c r="K758" s="23" t="str">
        <f>IF('ASS START SYNC'!C762="SHOW",MID('ASS START SYNC'!E762,F758+2,1000),"")</f>
        <v/>
      </c>
      <c r="M758" s="24"/>
      <c r="N758" s="26">
        <v>755</v>
      </c>
      <c r="O758" s="24" t="str">
        <f>IF('ASS END SYNC'!C762="SHOW",FIND(",",'ASS END SYNC'!E762,1),"")</f>
        <v/>
      </c>
      <c r="P758" s="24" t="str">
        <f>IF('ASS END SYNC'!C762="SHOW",FIND(",",'ASS END SYNC'!E762,O758+1),"")</f>
        <v/>
      </c>
      <c r="Q758" s="24" t="str">
        <f>IF('ASS END SYNC'!C762="SHOW",FIND(",",'ASS END SYNC'!E762,P758+1),"")</f>
        <v/>
      </c>
      <c r="R758" s="25" t="str">
        <f>IF('ASS END SYNC'!C762="SHOW",FIND(",,",'ASS END SYNC'!E762,1),"")</f>
        <v/>
      </c>
      <c r="S758" s="25" t="str">
        <f>IF('ASS END SYNC'!C762="SHOW",FIND(",,",'ASS END SYNC'!E762,R758+1),"")</f>
        <v/>
      </c>
      <c r="T758" s="23" t="str">
        <f>IF('ASS END SYNC'!C762="SHOW",LEFT('ASS END SYNC'!E762,O758),"")</f>
        <v/>
      </c>
      <c r="U758" s="24" t="str">
        <f>IF('ASS END SYNC'!C762="SHOW",MID('ASS END SYNC'!E762,O758+1,P758-O758-1),"")</f>
        <v/>
      </c>
      <c r="V758" s="24" t="str">
        <f>IF(AND('ASS END SYNC'!C762="SHOW",'ASS END SYNC'!C763="SHOW"),U759,IF(AND('ASS END SYNC'!C762="SHOW",'ASS END SYNC'!C763&lt;&gt;"SHOW"),MID('ASS END SYNC'!E762,O758+1,P758-O758-1),""))</f>
        <v/>
      </c>
      <c r="W758" s="23" t="str">
        <f>IF('ASS END SYNC'!C762="SHOW",MID('ASS END SYNC'!E762,Q758+1,S758-Q758+1),"")</f>
        <v/>
      </c>
      <c r="X758" s="23" t="str">
        <f>IF('ASS END SYNC'!C762="SHOW",MID('ASS END SYNC'!E762,S758+2,1000),"")</f>
        <v/>
      </c>
      <c r="Z758" s="24"/>
    </row>
    <row r="759" spans="1:26" x14ac:dyDescent="0.25">
      <c r="A759" s="26">
        <v>756</v>
      </c>
      <c r="B759" s="24" t="str">
        <f>IF('ASS START SYNC'!C763="SHOW",FIND(",",'ASS START SYNC'!E763,1),"")</f>
        <v/>
      </c>
      <c r="C759" s="24" t="str">
        <f>IF('ASS START SYNC'!C763="SHOW",FIND(",",'ASS START SYNC'!E763,B759+1),"")</f>
        <v/>
      </c>
      <c r="D759" s="24" t="str">
        <f>IF('ASS START SYNC'!C763="SHOW",FIND(",",'ASS START SYNC'!E763,C759+1),"")</f>
        <v/>
      </c>
      <c r="E759" s="25" t="str">
        <f>IF('ASS START SYNC'!C763="SHOW",FIND(",,",'ASS START SYNC'!E763,1),"")</f>
        <v/>
      </c>
      <c r="F759" s="25" t="str">
        <f>IF('ASS START SYNC'!C763="SHOW",FIND(",,",'ASS START SYNC'!E763,E759+1),"")</f>
        <v/>
      </c>
      <c r="G759" s="23" t="str">
        <f>IF('ASS START SYNC'!C763="SHOW",LEFT('ASS START SYNC'!E763,B759),"")</f>
        <v/>
      </c>
      <c r="H759" s="24" t="str">
        <f>IF(AND('ASS START SYNC'!C763="SHOW",COUNTA('ASS START SYNC'!$E$8:'ASS START SYNC'!E762)=0),MID('ASS START SYNC'!E763,B759+1,C759-B759-1),IF(AND('ASS START SYNC'!C763="SHOW",COUNTA('ASS START SYNC'!$E$8:'ASS START SYNC'!E762)&lt;&gt;0),I758,""))</f>
        <v/>
      </c>
      <c r="I759" s="24" t="str">
        <f>IF('ASS START SYNC'!C763="SHOW",MID('ASS START SYNC'!E763,C759+1,D759-C759-1),I758)</f>
        <v/>
      </c>
      <c r="J759" s="23" t="str">
        <f>IF('ASS START SYNC'!C763="SHOW",MID('ASS START SYNC'!E763,D759+1,F759-D759+1),"")</f>
        <v/>
      </c>
      <c r="K759" s="23" t="str">
        <f>IF('ASS START SYNC'!C763="SHOW",MID('ASS START SYNC'!E763,F759+2,1000),"")</f>
        <v/>
      </c>
      <c r="M759" s="24"/>
      <c r="N759" s="26">
        <v>756</v>
      </c>
      <c r="O759" s="24" t="str">
        <f>IF('ASS END SYNC'!C763="SHOW",FIND(",",'ASS END SYNC'!E763,1),"")</f>
        <v/>
      </c>
      <c r="P759" s="24" t="str">
        <f>IF('ASS END SYNC'!C763="SHOW",FIND(",",'ASS END SYNC'!E763,O759+1),"")</f>
        <v/>
      </c>
      <c r="Q759" s="24" t="str">
        <f>IF('ASS END SYNC'!C763="SHOW",FIND(",",'ASS END SYNC'!E763,P759+1),"")</f>
        <v/>
      </c>
      <c r="R759" s="25" t="str">
        <f>IF('ASS END SYNC'!C763="SHOW",FIND(",,",'ASS END SYNC'!E763,1),"")</f>
        <v/>
      </c>
      <c r="S759" s="25" t="str">
        <f>IF('ASS END SYNC'!C763="SHOW",FIND(",,",'ASS END SYNC'!E763,R759+1),"")</f>
        <v/>
      </c>
      <c r="T759" s="23" t="str">
        <f>IF('ASS END SYNC'!C763="SHOW",LEFT('ASS END SYNC'!E763,O759),"")</f>
        <v/>
      </c>
      <c r="U759" s="24" t="str">
        <f>IF('ASS END SYNC'!C763="SHOW",MID('ASS END SYNC'!E763,O759+1,P759-O759-1),"")</f>
        <v/>
      </c>
      <c r="V759" s="24" t="str">
        <f>IF(AND('ASS END SYNC'!C763="SHOW",'ASS END SYNC'!C764="SHOW"),U760,IF(AND('ASS END SYNC'!C763="SHOW",'ASS END SYNC'!C764&lt;&gt;"SHOW"),MID('ASS END SYNC'!E763,O759+1,P759-O759-1),""))</f>
        <v/>
      </c>
      <c r="W759" s="23" t="str">
        <f>IF('ASS END SYNC'!C763="SHOW",MID('ASS END SYNC'!E763,Q759+1,S759-Q759+1),"")</f>
        <v/>
      </c>
      <c r="X759" s="23" t="str">
        <f>IF('ASS END SYNC'!C763="SHOW",MID('ASS END SYNC'!E763,S759+2,1000),"")</f>
        <v/>
      </c>
      <c r="Z759" s="24"/>
    </row>
    <row r="760" spans="1:26" x14ac:dyDescent="0.25">
      <c r="A760" s="26">
        <v>757</v>
      </c>
      <c r="B760" s="24" t="str">
        <f>IF('ASS START SYNC'!C764="SHOW",FIND(",",'ASS START SYNC'!E764,1),"")</f>
        <v/>
      </c>
      <c r="C760" s="24" t="str">
        <f>IF('ASS START SYNC'!C764="SHOW",FIND(",",'ASS START SYNC'!E764,B760+1),"")</f>
        <v/>
      </c>
      <c r="D760" s="24" t="str">
        <f>IF('ASS START SYNC'!C764="SHOW",FIND(",",'ASS START SYNC'!E764,C760+1),"")</f>
        <v/>
      </c>
      <c r="E760" s="25" t="str">
        <f>IF('ASS START SYNC'!C764="SHOW",FIND(",,",'ASS START SYNC'!E764,1),"")</f>
        <v/>
      </c>
      <c r="F760" s="25" t="str">
        <f>IF('ASS START SYNC'!C764="SHOW",FIND(",,",'ASS START SYNC'!E764,E760+1),"")</f>
        <v/>
      </c>
      <c r="G760" s="23" t="str">
        <f>IF('ASS START SYNC'!C764="SHOW",LEFT('ASS START SYNC'!E764,B760),"")</f>
        <v/>
      </c>
      <c r="H760" s="24" t="str">
        <f>IF(AND('ASS START SYNC'!C764="SHOW",COUNTA('ASS START SYNC'!$E$8:'ASS START SYNC'!E763)=0),MID('ASS START SYNC'!E764,B760+1,C760-B760-1),IF(AND('ASS START SYNC'!C764="SHOW",COUNTA('ASS START SYNC'!$E$8:'ASS START SYNC'!E763)&lt;&gt;0),I759,""))</f>
        <v/>
      </c>
      <c r="I760" s="24" t="str">
        <f>IF('ASS START SYNC'!C764="SHOW",MID('ASS START SYNC'!E764,C760+1,D760-C760-1),I759)</f>
        <v/>
      </c>
      <c r="J760" s="23" t="str">
        <f>IF('ASS START SYNC'!C764="SHOW",MID('ASS START SYNC'!E764,D760+1,F760-D760+1),"")</f>
        <v/>
      </c>
      <c r="K760" s="23" t="str">
        <f>IF('ASS START SYNC'!C764="SHOW",MID('ASS START SYNC'!E764,F760+2,1000),"")</f>
        <v/>
      </c>
      <c r="M760" s="24"/>
      <c r="N760" s="26">
        <v>757</v>
      </c>
      <c r="O760" s="24" t="str">
        <f>IF('ASS END SYNC'!C764="SHOW",FIND(",",'ASS END SYNC'!E764,1),"")</f>
        <v/>
      </c>
      <c r="P760" s="24" t="str">
        <f>IF('ASS END SYNC'!C764="SHOW",FIND(",",'ASS END SYNC'!E764,O760+1),"")</f>
        <v/>
      </c>
      <c r="Q760" s="24" t="str">
        <f>IF('ASS END SYNC'!C764="SHOW",FIND(",",'ASS END SYNC'!E764,P760+1),"")</f>
        <v/>
      </c>
      <c r="R760" s="25" t="str">
        <f>IF('ASS END SYNC'!C764="SHOW",FIND(",,",'ASS END SYNC'!E764,1),"")</f>
        <v/>
      </c>
      <c r="S760" s="25" t="str">
        <f>IF('ASS END SYNC'!C764="SHOW",FIND(",,",'ASS END SYNC'!E764,R760+1),"")</f>
        <v/>
      </c>
      <c r="T760" s="23" t="str">
        <f>IF('ASS END SYNC'!C764="SHOW",LEFT('ASS END SYNC'!E764,O760),"")</f>
        <v/>
      </c>
      <c r="U760" s="24" t="str">
        <f>IF('ASS END SYNC'!C764="SHOW",MID('ASS END SYNC'!E764,O760+1,P760-O760-1),"")</f>
        <v/>
      </c>
      <c r="V760" s="24" t="str">
        <f>IF(AND('ASS END SYNC'!C764="SHOW",'ASS END SYNC'!C765="SHOW"),U761,IF(AND('ASS END SYNC'!C764="SHOW",'ASS END SYNC'!C765&lt;&gt;"SHOW"),MID('ASS END SYNC'!E764,O760+1,P760-O760-1),""))</f>
        <v/>
      </c>
      <c r="W760" s="23" t="str">
        <f>IF('ASS END SYNC'!C764="SHOW",MID('ASS END SYNC'!E764,Q760+1,S760-Q760+1),"")</f>
        <v/>
      </c>
      <c r="X760" s="23" t="str">
        <f>IF('ASS END SYNC'!C764="SHOW",MID('ASS END SYNC'!E764,S760+2,1000),"")</f>
        <v/>
      </c>
      <c r="Z760" s="24"/>
    </row>
    <row r="761" spans="1:26" x14ac:dyDescent="0.25">
      <c r="A761" s="26">
        <v>758</v>
      </c>
      <c r="B761" s="24" t="str">
        <f>IF('ASS START SYNC'!C765="SHOW",FIND(",",'ASS START SYNC'!E765,1),"")</f>
        <v/>
      </c>
      <c r="C761" s="24" t="str">
        <f>IF('ASS START SYNC'!C765="SHOW",FIND(",",'ASS START SYNC'!E765,B761+1),"")</f>
        <v/>
      </c>
      <c r="D761" s="24" t="str">
        <f>IF('ASS START SYNC'!C765="SHOW",FIND(",",'ASS START SYNC'!E765,C761+1),"")</f>
        <v/>
      </c>
      <c r="E761" s="25" t="str">
        <f>IF('ASS START SYNC'!C765="SHOW",FIND(",,",'ASS START SYNC'!E765,1),"")</f>
        <v/>
      </c>
      <c r="F761" s="25" t="str">
        <f>IF('ASS START SYNC'!C765="SHOW",FIND(",,",'ASS START SYNC'!E765,E761+1),"")</f>
        <v/>
      </c>
      <c r="G761" s="23" t="str">
        <f>IF('ASS START SYNC'!C765="SHOW",LEFT('ASS START SYNC'!E765,B761),"")</f>
        <v/>
      </c>
      <c r="H761" s="24" t="str">
        <f>IF(AND('ASS START SYNC'!C765="SHOW",COUNTA('ASS START SYNC'!$E$8:'ASS START SYNC'!E764)=0),MID('ASS START SYNC'!E765,B761+1,C761-B761-1),IF(AND('ASS START SYNC'!C765="SHOW",COUNTA('ASS START SYNC'!$E$8:'ASS START SYNC'!E764)&lt;&gt;0),I760,""))</f>
        <v/>
      </c>
      <c r="I761" s="24" t="str">
        <f>IF('ASS START SYNC'!C765="SHOW",MID('ASS START SYNC'!E765,C761+1,D761-C761-1),I760)</f>
        <v/>
      </c>
      <c r="J761" s="23" t="str">
        <f>IF('ASS START SYNC'!C765="SHOW",MID('ASS START SYNC'!E765,D761+1,F761-D761+1),"")</f>
        <v/>
      </c>
      <c r="K761" s="23" t="str">
        <f>IF('ASS START SYNC'!C765="SHOW",MID('ASS START SYNC'!E765,F761+2,1000),"")</f>
        <v/>
      </c>
      <c r="M761" s="24"/>
      <c r="N761" s="26">
        <v>758</v>
      </c>
      <c r="O761" s="24" t="str">
        <f>IF('ASS END SYNC'!C765="SHOW",FIND(",",'ASS END SYNC'!E765,1),"")</f>
        <v/>
      </c>
      <c r="P761" s="24" t="str">
        <f>IF('ASS END SYNC'!C765="SHOW",FIND(",",'ASS END SYNC'!E765,O761+1),"")</f>
        <v/>
      </c>
      <c r="Q761" s="24" t="str">
        <f>IF('ASS END SYNC'!C765="SHOW",FIND(",",'ASS END SYNC'!E765,P761+1),"")</f>
        <v/>
      </c>
      <c r="R761" s="25" t="str">
        <f>IF('ASS END SYNC'!C765="SHOW",FIND(",,",'ASS END SYNC'!E765,1),"")</f>
        <v/>
      </c>
      <c r="S761" s="25" t="str">
        <f>IF('ASS END SYNC'!C765="SHOW",FIND(",,",'ASS END SYNC'!E765,R761+1),"")</f>
        <v/>
      </c>
      <c r="T761" s="23" t="str">
        <f>IF('ASS END SYNC'!C765="SHOW",LEFT('ASS END SYNC'!E765,O761),"")</f>
        <v/>
      </c>
      <c r="U761" s="24" t="str">
        <f>IF('ASS END SYNC'!C765="SHOW",MID('ASS END SYNC'!E765,O761+1,P761-O761-1),"")</f>
        <v/>
      </c>
      <c r="V761" s="24" t="str">
        <f>IF(AND('ASS END SYNC'!C765="SHOW",'ASS END SYNC'!C766="SHOW"),U762,IF(AND('ASS END SYNC'!C765="SHOW",'ASS END SYNC'!C766&lt;&gt;"SHOW"),MID('ASS END SYNC'!E765,O761+1,P761-O761-1),""))</f>
        <v/>
      </c>
      <c r="W761" s="23" t="str">
        <f>IF('ASS END SYNC'!C765="SHOW",MID('ASS END SYNC'!E765,Q761+1,S761-Q761+1),"")</f>
        <v/>
      </c>
      <c r="X761" s="23" t="str">
        <f>IF('ASS END SYNC'!C765="SHOW",MID('ASS END SYNC'!E765,S761+2,1000),"")</f>
        <v/>
      </c>
      <c r="Z761" s="24"/>
    </row>
    <row r="762" spans="1:26" x14ac:dyDescent="0.25">
      <c r="A762" s="26">
        <v>759</v>
      </c>
      <c r="B762" s="24" t="str">
        <f>IF('ASS START SYNC'!C766="SHOW",FIND(",",'ASS START SYNC'!E766,1),"")</f>
        <v/>
      </c>
      <c r="C762" s="24" t="str">
        <f>IF('ASS START SYNC'!C766="SHOW",FIND(",",'ASS START SYNC'!E766,B762+1),"")</f>
        <v/>
      </c>
      <c r="D762" s="24" t="str">
        <f>IF('ASS START SYNC'!C766="SHOW",FIND(",",'ASS START SYNC'!E766,C762+1),"")</f>
        <v/>
      </c>
      <c r="E762" s="25" t="str">
        <f>IF('ASS START SYNC'!C766="SHOW",FIND(",,",'ASS START SYNC'!E766,1),"")</f>
        <v/>
      </c>
      <c r="F762" s="25" t="str">
        <f>IF('ASS START SYNC'!C766="SHOW",FIND(",,",'ASS START SYNC'!E766,E762+1),"")</f>
        <v/>
      </c>
      <c r="G762" s="23" t="str">
        <f>IF('ASS START SYNC'!C766="SHOW",LEFT('ASS START SYNC'!E766,B762),"")</f>
        <v/>
      </c>
      <c r="H762" s="24" t="str">
        <f>IF(AND('ASS START SYNC'!C766="SHOW",COUNTA('ASS START SYNC'!$E$8:'ASS START SYNC'!E765)=0),MID('ASS START SYNC'!E766,B762+1,C762-B762-1),IF(AND('ASS START SYNC'!C766="SHOW",COUNTA('ASS START SYNC'!$E$8:'ASS START SYNC'!E765)&lt;&gt;0),I761,""))</f>
        <v/>
      </c>
      <c r="I762" s="24" t="str">
        <f>IF('ASS START SYNC'!C766="SHOW",MID('ASS START SYNC'!E766,C762+1,D762-C762-1),I761)</f>
        <v/>
      </c>
      <c r="J762" s="23" t="str">
        <f>IF('ASS START SYNC'!C766="SHOW",MID('ASS START SYNC'!E766,D762+1,F762-D762+1),"")</f>
        <v/>
      </c>
      <c r="K762" s="23" t="str">
        <f>IF('ASS START SYNC'!C766="SHOW",MID('ASS START SYNC'!E766,F762+2,1000),"")</f>
        <v/>
      </c>
      <c r="M762" s="24"/>
      <c r="N762" s="26">
        <v>759</v>
      </c>
      <c r="O762" s="24" t="str">
        <f>IF('ASS END SYNC'!C766="SHOW",FIND(",",'ASS END SYNC'!E766,1),"")</f>
        <v/>
      </c>
      <c r="P762" s="24" t="str">
        <f>IF('ASS END SYNC'!C766="SHOW",FIND(",",'ASS END SYNC'!E766,O762+1),"")</f>
        <v/>
      </c>
      <c r="Q762" s="24" t="str">
        <f>IF('ASS END SYNC'!C766="SHOW",FIND(",",'ASS END SYNC'!E766,P762+1),"")</f>
        <v/>
      </c>
      <c r="R762" s="25" t="str">
        <f>IF('ASS END SYNC'!C766="SHOW",FIND(",,",'ASS END SYNC'!E766,1),"")</f>
        <v/>
      </c>
      <c r="S762" s="25" t="str">
        <f>IF('ASS END SYNC'!C766="SHOW",FIND(",,",'ASS END SYNC'!E766,R762+1),"")</f>
        <v/>
      </c>
      <c r="T762" s="23" t="str">
        <f>IF('ASS END SYNC'!C766="SHOW",LEFT('ASS END SYNC'!E766,O762),"")</f>
        <v/>
      </c>
      <c r="U762" s="24" t="str">
        <f>IF('ASS END SYNC'!C766="SHOW",MID('ASS END SYNC'!E766,O762+1,P762-O762-1),"")</f>
        <v/>
      </c>
      <c r="V762" s="24" t="str">
        <f>IF(AND('ASS END SYNC'!C766="SHOW",'ASS END SYNC'!C767="SHOW"),U763,IF(AND('ASS END SYNC'!C766="SHOW",'ASS END SYNC'!C767&lt;&gt;"SHOW"),MID('ASS END SYNC'!E766,O762+1,P762-O762-1),""))</f>
        <v/>
      </c>
      <c r="W762" s="23" t="str">
        <f>IF('ASS END SYNC'!C766="SHOW",MID('ASS END SYNC'!E766,Q762+1,S762-Q762+1),"")</f>
        <v/>
      </c>
      <c r="X762" s="23" t="str">
        <f>IF('ASS END SYNC'!C766="SHOW",MID('ASS END SYNC'!E766,S762+2,1000),"")</f>
        <v/>
      </c>
      <c r="Z762" s="24"/>
    </row>
    <row r="763" spans="1:26" x14ac:dyDescent="0.25">
      <c r="A763" s="26">
        <v>760</v>
      </c>
      <c r="B763" s="24" t="str">
        <f>IF('ASS START SYNC'!C767="SHOW",FIND(",",'ASS START SYNC'!E767,1),"")</f>
        <v/>
      </c>
      <c r="C763" s="24" t="str">
        <f>IF('ASS START SYNC'!C767="SHOW",FIND(",",'ASS START SYNC'!E767,B763+1),"")</f>
        <v/>
      </c>
      <c r="D763" s="24" t="str">
        <f>IF('ASS START SYNC'!C767="SHOW",FIND(",",'ASS START SYNC'!E767,C763+1),"")</f>
        <v/>
      </c>
      <c r="E763" s="25" t="str">
        <f>IF('ASS START SYNC'!C767="SHOW",FIND(",,",'ASS START SYNC'!E767,1),"")</f>
        <v/>
      </c>
      <c r="F763" s="25" t="str">
        <f>IF('ASS START SYNC'!C767="SHOW",FIND(",,",'ASS START SYNC'!E767,E763+1),"")</f>
        <v/>
      </c>
      <c r="G763" s="23" t="str">
        <f>IF('ASS START SYNC'!C767="SHOW",LEFT('ASS START SYNC'!E767,B763),"")</f>
        <v/>
      </c>
      <c r="H763" s="24" t="str">
        <f>IF(AND('ASS START SYNC'!C767="SHOW",COUNTA('ASS START SYNC'!$E$8:'ASS START SYNC'!E766)=0),MID('ASS START SYNC'!E767,B763+1,C763-B763-1),IF(AND('ASS START SYNC'!C767="SHOW",COUNTA('ASS START SYNC'!$E$8:'ASS START SYNC'!E766)&lt;&gt;0),I762,""))</f>
        <v/>
      </c>
      <c r="I763" s="24" t="str">
        <f>IF('ASS START SYNC'!C767="SHOW",MID('ASS START SYNC'!E767,C763+1,D763-C763-1),I762)</f>
        <v/>
      </c>
      <c r="J763" s="23" t="str">
        <f>IF('ASS START SYNC'!C767="SHOW",MID('ASS START SYNC'!E767,D763+1,F763-D763+1),"")</f>
        <v/>
      </c>
      <c r="K763" s="23" t="str">
        <f>IF('ASS START SYNC'!C767="SHOW",MID('ASS START SYNC'!E767,F763+2,1000),"")</f>
        <v/>
      </c>
      <c r="M763" s="24"/>
      <c r="N763" s="26">
        <v>760</v>
      </c>
      <c r="O763" s="24" t="str">
        <f>IF('ASS END SYNC'!C767="SHOW",FIND(",",'ASS END SYNC'!E767,1),"")</f>
        <v/>
      </c>
      <c r="P763" s="24" t="str">
        <f>IF('ASS END SYNC'!C767="SHOW",FIND(",",'ASS END SYNC'!E767,O763+1),"")</f>
        <v/>
      </c>
      <c r="Q763" s="24" t="str">
        <f>IF('ASS END SYNC'!C767="SHOW",FIND(",",'ASS END SYNC'!E767,P763+1),"")</f>
        <v/>
      </c>
      <c r="R763" s="25" t="str">
        <f>IF('ASS END SYNC'!C767="SHOW",FIND(",,",'ASS END SYNC'!E767,1),"")</f>
        <v/>
      </c>
      <c r="S763" s="25" t="str">
        <f>IF('ASS END SYNC'!C767="SHOW",FIND(",,",'ASS END SYNC'!E767,R763+1),"")</f>
        <v/>
      </c>
      <c r="T763" s="23" t="str">
        <f>IF('ASS END SYNC'!C767="SHOW",LEFT('ASS END SYNC'!E767,O763),"")</f>
        <v/>
      </c>
      <c r="U763" s="24" t="str">
        <f>IF('ASS END SYNC'!C767="SHOW",MID('ASS END SYNC'!E767,O763+1,P763-O763-1),"")</f>
        <v/>
      </c>
      <c r="V763" s="24" t="str">
        <f>IF(AND('ASS END SYNC'!C767="SHOW",'ASS END SYNC'!C768="SHOW"),U764,IF(AND('ASS END SYNC'!C767="SHOW",'ASS END SYNC'!C768&lt;&gt;"SHOW"),MID('ASS END SYNC'!E767,O763+1,P763-O763-1),""))</f>
        <v/>
      </c>
      <c r="W763" s="23" t="str">
        <f>IF('ASS END SYNC'!C767="SHOW",MID('ASS END SYNC'!E767,Q763+1,S763-Q763+1),"")</f>
        <v/>
      </c>
      <c r="X763" s="23" t="str">
        <f>IF('ASS END SYNC'!C767="SHOW",MID('ASS END SYNC'!E767,S763+2,1000),"")</f>
        <v/>
      </c>
      <c r="Z763" s="24"/>
    </row>
    <row r="764" spans="1:26" x14ac:dyDescent="0.25">
      <c r="A764" s="26">
        <v>761</v>
      </c>
      <c r="B764" s="24" t="str">
        <f>IF('ASS START SYNC'!C768="SHOW",FIND(",",'ASS START SYNC'!E768,1),"")</f>
        <v/>
      </c>
      <c r="C764" s="24" t="str">
        <f>IF('ASS START SYNC'!C768="SHOW",FIND(",",'ASS START SYNC'!E768,B764+1),"")</f>
        <v/>
      </c>
      <c r="D764" s="24" t="str">
        <f>IF('ASS START SYNC'!C768="SHOW",FIND(",",'ASS START SYNC'!E768,C764+1),"")</f>
        <v/>
      </c>
      <c r="E764" s="25" t="str">
        <f>IF('ASS START SYNC'!C768="SHOW",FIND(",,",'ASS START SYNC'!E768,1),"")</f>
        <v/>
      </c>
      <c r="F764" s="25" t="str">
        <f>IF('ASS START SYNC'!C768="SHOW",FIND(",,",'ASS START SYNC'!E768,E764+1),"")</f>
        <v/>
      </c>
      <c r="G764" s="23" t="str">
        <f>IF('ASS START SYNC'!C768="SHOW",LEFT('ASS START SYNC'!E768,B764),"")</f>
        <v/>
      </c>
      <c r="H764" s="24" t="str">
        <f>IF(AND('ASS START SYNC'!C768="SHOW",COUNTA('ASS START SYNC'!$E$8:'ASS START SYNC'!E767)=0),MID('ASS START SYNC'!E768,B764+1,C764-B764-1),IF(AND('ASS START SYNC'!C768="SHOW",COUNTA('ASS START SYNC'!$E$8:'ASS START SYNC'!E767)&lt;&gt;0),I763,""))</f>
        <v/>
      </c>
      <c r="I764" s="24" t="str">
        <f>IF('ASS START SYNC'!C768="SHOW",MID('ASS START SYNC'!E768,C764+1,D764-C764-1),I763)</f>
        <v/>
      </c>
      <c r="J764" s="23" t="str">
        <f>IF('ASS START SYNC'!C768="SHOW",MID('ASS START SYNC'!E768,D764+1,F764-D764+1),"")</f>
        <v/>
      </c>
      <c r="K764" s="23" t="str">
        <f>IF('ASS START SYNC'!C768="SHOW",MID('ASS START SYNC'!E768,F764+2,1000),"")</f>
        <v/>
      </c>
      <c r="M764" s="24"/>
      <c r="N764" s="26">
        <v>761</v>
      </c>
      <c r="O764" s="24" t="str">
        <f>IF('ASS END SYNC'!C768="SHOW",FIND(",",'ASS END SYNC'!E768,1),"")</f>
        <v/>
      </c>
      <c r="P764" s="24" t="str">
        <f>IF('ASS END SYNC'!C768="SHOW",FIND(",",'ASS END SYNC'!E768,O764+1),"")</f>
        <v/>
      </c>
      <c r="Q764" s="24" t="str">
        <f>IF('ASS END SYNC'!C768="SHOW",FIND(",",'ASS END SYNC'!E768,P764+1),"")</f>
        <v/>
      </c>
      <c r="R764" s="25" t="str">
        <f>IF('ASS END SYNC'!C768="SHOW",FIND(",,",'ASS END SYNC'!E768,1),"")</f>
        <v/>
      </c>
      <c r="S764" s="25" t="str">
        <f>IF('ASS END SYNC'!C768="SHOW",FIND(",,",'ASS END SYNC'!E768,R764+1),"")</f>
        <v/>
      </c>
      <c r="T764" s="23" t="str">
        <f>IF('ASS END SYNC'!C768="SHOW",LEFT('ASS END SYNC'!E768,O764),"")</f>
        <v/>
      </c>
      <c r="U764" s="24" t="str">
        <f>IF('ASS END SYNC'!C768="SHOW",MID('ASS END SYNC'!E768,O764+1,P764-O764-1),"")</f>
        <v/>
      </c>
      <c r="V764" s="24" t="str">
        <f>IF(AND('ASS END SYNC'!C768="SHOW",'ASS END SYNC'!C769="SHOW"),U765,IF(AND('ASS END SYNC'!C768="SHOW",'ASS END SYNC'!C769&lt;&gt;"SHOW"),MID('ASS END SYNC'!E768,O764+1,P764-O764-1),""))</f>
        <v/>
      </c>
      <c r="W764" s="23" t="str">
        <f>IF('ASS END SYNC'!C768="SHOW",MID('ASS END SYNC'!E768,Q764+1,S764-Q764+1),"")</f>
        <v/>
      </c>
      <c r="X764" s="23" t="str">
        <f>IF('ASS END SYNC'!C768="SHOW",MID('ASS END SYNC'!E768,S764+2,1000),"")</f>
        <v/>
      </c>
      <c r="Z764" s="24"/>
    </row>
    <row r="765" spans="1:26" x14ac:dyDescent="0.25">
      <c r="A765" s="26">
        <v>762</v>
      </c>
      <c r="B765" s="24" t="str">
        <f>IF('ASS START SYNC'!C769="SHOW",FIND(",",'ASS START SYNC'!E769,1),"")</f>
        <v/>
      </c>
      <c r="C765" s="24" t="str">
        <f>IF('ASS START SYNC'!C769="SHOW",FIND(",",'ASS START SYNC'!E769,B765+1),"")</f>
        <v/>
      </c>
      <c r="D765" s="24" t="str">
        <f>IF('ASS START SYNC'!C769="SHOW",FIND(",",'ASS START SYNC'!E769,C765+1),"")</f>
        <v/>
      </c>
      <c r="E765" s="25" t="str">
        <f>IF('ASS START SYNC'!C769="SHOW",FIND(",,",'ASS START SYNC'!E769,1),"")</f>
        <v/>
      </c>
      <c r="F765" s="25" t="str">
        <f>IF('ASS START SYNC'!C769="SHOW",FIND(",,",'ASS START SYNC'!E769,E765+1),"")</f>
        <v/>
      </c>
      <c r="G765" s="23" t="str">
        <f>IF('ASS START SYNC'!C769="SHOW",LEFT('ASS START SYNC'!E769,B765),"")</f>
        <v/>
      </c>
      <c r="H765" s="24" t="str">
        <f>IF(AND('ASS START SYNC'!C769="SHOW",COUNTA('ASS START SYNC'!$E$8:'ASS START SYNC'!E768)=0),MID('ASS START SYNC'!E769,B765+1,C765-B765-1),IF(AND('ASS START SYNC'!C769="SHOW",COUNTA('ASS START SYNC'!$E$8:'ASS START SYNC'!E768)&lt;&gt;0),I764,""))</f>
        <v/>
      </c>
      <c r="I765" s="24" t="str">
        <f>IF('ASS START SYNC'!C769="SHOW",MID('ASS START SYNC'!E769,C765+1,D765-C765-1),I764)</f>
        <v/>
      </c>
      <c r="J765" s="23" t="str">
        <f>IF('ASS START SYNC'!C769="SHOW",MID('ASS START SYNC'!E769,D765+1,F765-D765+1),"")</f>
        <v/>
      </c>
      <c r="K765" s="23" t="str">
        <f>IF('ASS START SYNC'!C769="SHOW",MID('ASS START SYNC'!E769,F765+2,1000),"")</f>
        <v/>
      </c>
      <c r="M765" s="24"/>
      <c r="N765" s="26">
        <v>762</v>
      </c>
      <c r="O765" s="24" t="str">
        <f>IF('ASS END SYNC'!C769="SHOW",FIND(",",'ASS END SYNC'!E769,1),"")</f>
        <v/>
      </c>
      <c r="P765" s="24" t="str">
        <f>IF('ASS END SYNC'!C769="SHOW",FIND(",",'ASS END SYNC'!E769,O765+1),"")</f>
        <v/>
      </c>
      <c r="Q765" s="24" t="str">
        <f>IF('ASS END SYNC'!C769="SHOW",FIND(",",'ASS END SYNC'!E769,P765+1),"")</f>
        <v/>
      </c>
      <c r="R765" s="25" t="str">
        <f>IF('ASS END SYNC'!C769="SHOW",FIND(",,",'ASS END SYNC'!E769,1),"")</f>
        <v/>
      </c>
      <c r="S765" s="25" t="str">
        <f>IF('ASS END SYNC'!C769="SHOW",FIND(",,",'ASS END SYNC'!E769,R765+1),"")</f>
        <v/>
      </c>
      <c r="T765" s="23" t="str">
        <f>IF('ASS END SYNC'!C769="SHOW",LEFT('ASS END SYNC'!E769,O765),"")</f>
        <v/>
      </c>
      <c r="U765" s="24" t="str">
        <f>IF('ASS END SYNC'!C769="SHOW",MID('ASS END SYNC'!E769,O765+1,P765-O765-1),"")</f>
        <v/>
      </c>
      <c r="V765" s="24" t="str">
        <f>IF(AND('ASS END SYNC'!C769="SHOW",'ASS END SYNC'!C770="SHOW"),U766,IF(AND('ASS END SYNC'!C769="SHOW",'ASS END SYNC'!C770&lt;&gt;"SHOW"),MID('ASS END SYNC'!E769,O765+1,P765-O765-1),""))</f>
        <v/>
      </c>
      <c r="W765" s="23" t="str">
        <f>IF('ASS END SYNC'!C769="SHOW",MID('ASS END SYNC'!E769,Q765+1,S765-Q765+1),"")</f>
        <v/>
      </c>
      <c r="X765" s="23" t="str">
        <f>IF('ASS END SYNC'!C769="SHOW",MID('ASS END SYNC'!E769,S765+2,1000),"")</f>
        <v/>
      </c>
      <c r="Z765" s="24"/>
    </row>
    <row r="766" spans="1:26" x14ac:dyDescent="0.25">
      <c r="A766" s="26">
        <v>763</v>
      </c>
      <c r="B766" s="24" t="str">
        <f>IF('ASS START SYNC'!C770="SHOW",FIND(",",'ASS START SYNC'!E770,1),"")</f>
        <v/>
      </c>
      <c r="C766" s="24" t="str">
        <f>IF('ASS START SYNC'!C770="SHOW",FIND(",",'ASS START SYNC'!E770,B766+1),"")</f>
        <v/>
      </c>
      <c r="D766" s="24" t="str">
        <f>IF('ASS START SYNC'!C770="SHOW",FIND(",",'ASS START SYNC'!E770,C766+1),"")</f>
        <v/>
      </c>
      <c r="E766" s="25" t="str">
        <f>IF('ASS START SYNC'!C770="SHOW",FIND(",,",'ASS START SYNC'!E770,1),"")</f>
        <v/>
      </c>
      <c r="F766" s="25" t="str">
        <f>IF('ASS START SYNC'!C770="SHOW",FIND(",,",'ASS START SYNC'!E770,E766+1),"")</f>
        <v/>
      </c>
      <c r="G766" s="23" t="str">
        <f>IF('ASS START SYNC'!C770="SHOW",LEFT('ASS START SYNC'!E770,B766),"")</f>
        <v/>
      </c>
      <c r="H766" s="24" t="str">
        <f>IF(AND('ASS START SYNC'!C770="SHOW",COUNTA('ASS START SYNC'!$E$8:'ASS START SYNC'!E769)=0),MID('ASS START SYNC'!E770,B766+1,C766-B766-1),IF(AND('ASS START SYNC'!C770="SHOW",COUNTA('ASS START SYNC'!$E$8:'ASS START SYNC'!E769)&lt;&gt;0),I765,""))</f>
        <v/>
      </c>
      <c r="I766" s="24" t="str">
        <f>IF('ASS START SYNC'!C770="SHOW",MID('ASS START SYNC'!E770,C766+1,D766-C766-1),I765)</f>
        <v/>
      </c>
      <c r="J766" s="23" t="str">
        <f>IF('ASS START SYNC'!C770="SHOW",MID('ASS START SYNC'!E770,D766+1,F766-D766+1),"")</f>
        <v/>
      </c>
      <c r="K766" s="23" t="str">
        <f>IF('ASS START SYNC'!C770="SHOW",MID('ASS START SYNC'!E770,F766+2,1000),"")</f>
        <v/>
      </c>
      <c r="M766" s="24"/>
      <c r="N766" s="26">
        <v>763</v>
      </c>
      <c r="O766" s="24" t="str">
        <f>IF('ASS END SYNC'!C770="SHOW",FIND(",",'ASS END SYNC'!E770,1),"")</f>
        <v/>
      </c>
      <c r="P766" s="24" t="str">
        <f>IF('ASS END SYNC'!C770="SHOW",FIND(",",'ASS END SYNC'!E770,O766+1),"")</f>
        <v/>
      </c>
      <c r="Q766" s="24" t="str">
        <f>IF('ASS END SYNC'!C770="SHOW",FIND(",",'ASS END SYNC'!E770,P766+1),"")</f>
        <v/>
      </c>
      <c r="R766" s="25" t="str">
        <f>IF('ASS END SYNC'!C770="SHOW",FIND(",,",'ASS END SYNC'!E770,1),"")</f>
        <v/>
      </c>
      <c r="S766" s="25" t="str">
        <f>IF('ASS END SYNC'!C770="SHOW",FIND(",,",'ASS END SYNC'!E770,R766+1),"")</f>
        <v/>
      </c>
      <c r="T766" s="23" t="str">
        <f>IF('ASS END SYNC'!C770="SHOW",LEFT('ASS END SYNC'!E770,O766),"")</f>
        <v/>
      </c>
      <c r="U766" s="24" t="str">
        <f>IF('ASS END SYNC'!C770="SHOW",MID('ASS END SYNC'!E770,O766+1,P766-O766-1),"")</f>
        <v/>
      </c>
      <c r="V766" s="24" t="str">
        <f>IF(AND('ASS END SYNC'!C770="SHOW",'ASS END SYNC'!C771="SHOW"),U767,IF(AND('ASS END SYNC'!C770="SHOW",'ASS END SYNC'!C771&lt;&gt;"SHOW"),MID('ASS END SYNC'!E770,O766+1,P766-O766-1),""))</f>
        <v/>
      </c>
      <c r="W766" s="23" t="str">
        <f>IF('ASS END SYNC'!C770="SHOW",MID('ASS END SYNC'!E770,Q766+1,S766-Q766+1),"")</f>
        <v/>
      </c>
      <c r="X766" s="23" t="str">
        <f>IF('ASS END SYNC'!C770="SHOW",MID('ASS END SYNC'!E770,S766+2,1000),"")</f>
        <v/>
      </c>
      <c r="Z766" s="24"/>
    </row>
    <row r="767" spans="1:26" x14ac:dyDescent="0.25">
      <c r="A767" s="26">
        <v>764</v>
      </c>
      <c r="B767" s="24" t="str">
        <f>IF('ASS START SYNC'!C771="SHOW",FIND(",",'ASS START SYNC'!E771,1),"")</f>
        <v/>
      </c>
      <c r="C767" s="24" t="str">
        <f>IF('ASS START SYNC'!C771="SHOW",FIND(",",'ASS START SYNC'!E771,B767+1),"")</f>
        <v/>
      </c>
      <c r="D767" s="24" t="str">
        <f>IF('ASS START SYNC'!C771="SHOW",FIND(",",'ASS START SYNC'!E771,C767+1),"")</f>
        <v/>
      </c>
      <c r="E767" s="25" t="str">
        <f>IF('ASS START SYNC'!C771="SHOW",FIND(",,",'ASS START SYNC'!E771,1),"")</f>
        <v/>
      </c>
      <c r="F767" s="25" t="str">
        <f>IF('ASS START SYNC'!C771="SHOW",FIND(",,",'ASS START SYNC'!E771,E767+1),"")</f>
        <v/>
      </c>
      <c r="G767" s="23" t="str">
        <f>IF('ASS START SYNC'!C771="SHOW",LEFT('ASS START SYNC'!E771,B767),"")</f>
        <v/>
      </c>
      <c r="H767" s="24" t="str">
        <f>IF(AND('ASS START SYNC'!C771="SHOW",COUNTA('ASS START SYNC'!$E$8:'ASS START SYNC'!E770)=0),MID('ASS START SYNC'!E771,B767+1,C767-B767-1),IF(AND('ASS START SYNC'!C771="SHOW",COUNTA('ASS START SYNC'!$E$8:'ASS START SYNC'!E770)&lt;&gt;0),I766,""))</f>
        <v/>
      </c>
      <c r="I767" s="24" t="str">
        <f>IF('ASS START SYNC'!C771="SHOW",MID('ASS START SYNC'!E771,C767+1,D767-C767-1),I766)</f>
        <v/>
      </c>
      <c r="J767" s="23" t="str">
        <f>IF('ASS START SYNC'!C771="SHOW",MID('ASS START SYNC'!E771,D767+1,F767-D767+1),"")</f>
        <v/>
      </c>
      <c r="K767" s="23" t="str">
        <f>IF('ASS START SYNC'!C771="SHOW",MID('ASS START SYNC'!E771,F767+2,1000),"")</f>
        <v/>
      </c>
      <c r="M767" s="24"/>
      <c r="N767" s="26">
        <v>764</v>
      </c>
      <c r="O767" s="24" t="str">
        <f>IF('ASS END SYNC'!C771="SHOW",FIND(",",'ASS END SYNC'!E771,1),"")</f>
        <v/>
      </c>
      <c r="P767" s="24" t="str">
        <f>IF('ASS END SYNC'!C771="SHOW",FIND(",",'ASS END SYNC'!E771,O767+1),"")</f>
        <v/>
      </c>
      <c r="Q767" s="24" t="str">
        <f>IF('ASS END SYNC'!C771="SHOW",FIND(",",'ASS END SYNC'!E771,P767+1),"")</f>
        <v/>
      </c>
      <c r="R767" s="25" t="str">
        <f>IF('ASS END SYNC'!C771="SHOW",FIND(",,",'ASS END SYNC'!E771,1),"")</f>
        <v/>
      </c>
      <c r="S767" s="25" t="str">
        <f>IF('ASS END SYNC'!C771="SHOW",FIND(",,",'ASS END SYNC'!E771,R767+1),"")</f>
        <v/>
      </c>
      <c r="T767" s="23" t="str">
        <f>IF('ASS END SYNC'!C771="SHOW",LEFT('ASS END SYNC'!E771,O767),"")</f>
        <v/>
      </c>
      <c r="U767" s="24" t="str">
        <f>IF('ASS END SYNC'!C771="SHOW",MID('ASS END SYNC'!E771,O767+1,P767-O767-1),"")</f>
        <v/>
      </c>
      <c r="V767" s="24" t="str">
        <f>IF(AND('ASS END SYNC'!C771="SHOW",'ASS END SYNC'!C772="SHOW"),U768,IF(AND('ASS END SYNC'!C771="SHOW",'ASS END SYNC'!C772&lt;&gt;"SHOW"),MID('ASS END SYNC'!E771,O767+1,P767-O767-1),""))</f>
        <v/>
      </c>
      <c r="W767" s="23" t="str">
        <f>IF('ASS END SYNC'!C771="SHOW",MID('ASS END SYNC'!E771,Q767+1,S767-Q767+1),"")</f>
        <v/>
      </c>
      <c r="X767" s="23" t="str">
        <f>IF('ASS END SYNC'!C771="SHOW",MID('ASS END SYNC'!E771,S767+2,1000),"")</f>
        <v/>
      </c>
      <c r="Z767" s="24"/>
    </row>
    <row r="768" spans="1:26" x14ac:dyDescent="0.25">
      <c r="A768" s="26">
        <v>765</v>
      </c>
      <c r="B768" s="24" t="str">
        <f>IF('ASS START SYNC'!C772="SHOW",FIND(",",'ASS START SYNC'!E772,1),"")</f>
        <v/>
      </c>
      <c r="C768" s="24" t="str">
        <f>IF('ASS START SYNC'!C772="SHOW",FIND(",",'ASS START SYNC'!E772,B768+1),"")</f>
        <v/>
      </c>
      <c r="D768" s="24" t="str">
        <f>IF('ASS START SYNC'!C772="SHOW",FIND(",",'ASS START SYNC'!E772,C768+1),"")</f>
        <v/>
      </c>
      <c r="E768" s="25" t="str">
        <f>IF('ASS START SYNC'!C772="SHOW",FIND(",,",'ASS START SYNC'!E772,1),"")</f>
        <v/>
      </c>
      <c r="F768" s="25" t="str">
        <f>IF('ASS START SYNC'!C772="SHOW",FIND(",,",'ASS START SYNC'!E772,E768+1),"")</f>
        <v/>
      </c>
      <c r="G768" s="23" t="str">
        <f>IF('ASS START SYNC'!C772="SHOW",LEFT('ASS START SYNC'!E772,B768),"")</f>
        <v/>
      </c>
      <c r="H768" s="24" t="str">
        <f>IF(AND('ASS START SYNC'!C772="SHOW",COUNTA('ASS START SYNC'!$E$8:'ASS START SYNC'!E771)=0),MID('ASS START SYNC'!E772,B768+1,C768-B768-1),IF(AND('ASS START SYNC'!C772="SHOW",COUNTA('ASS START SYNC'!$E$8:'ASS START SYNC'!E771)&lt;&gt;0),I767,""))</f>
        <v/>
      </c>
      <c r="I768" s="24" t="str">
        <f>IF('ASS START SYNC'!C772="SHOW",MID('ASS START SYNC'!E772,C768+1,D768-C768-1),I767)</f>
        <v/>
      </c>
      <c r="J768" s="23" t="str">
        <f>IF('ASS START SYNC'!C772="SHOW",MID('ASS START SYNC'!E772,D768+1,F768-D768+1),"")</f>
        <v/>
      </c>
      <c r="K768" s="23" t="str">
        <f>IF('ASS START SYNC'!C772="SHOW",MID('ASS START SYNC'!E772,F768+2,1000),"")</f>
        <v/>
      </c>
      <c r="M768" s="24"/>
      <c r="N768" s="26">
        <v>765</v>
      </c>
      <c r="O768" s="24" t="str">
        <f>IF('ASS END SYNC'!C772="SHOW",FIND(",",'ASS END SYNC'!E772,1),"")</f>
        <v/>
      </c>
      <c r="P768" s="24" t="str">
        <f>IF('ASS END SYNC'!C772="SHOW",FIND(",",'ASS END SYNC'!E772,O768+1),"")</f>
        <v/>
      </c>
      <c r="Q768" s="24" t="str">
        <f>IF('ASS END SYNC'!C772="SHOW",FIND(",",'ASS END SYNC'!E772,P768+1),"")</f>
        <v/>
      </c>
      <c r="R768" s="25" t="str">
        <f>IF('ASS END SYNC'!C772="SHOW",FIND(",,",'ASS END SYNC'!E772,1),"")</f>
        <v/>
      </c>
      <c r="S768" s="25" t="str">
        <f>IF('ASS END SYNC'!C772="SHOW",FIND(",,",'ASS END SYNC'!E772,R768+1),"")</f>
        <v/>
      </c>
      <c r="T768" s="23" t="str">
        <f>IF('ASS END SYNC'!C772="SHOW",LEFT('ASS END SYNC'!E772,O768),"")</f>
        <v/>
      </c>
      <c r="U768" s="24" t="str">
        <f>IF('ASS END SYNC'!C772="SHOW",MID('ASS END SYNC'!E772,O768+1,P768-O768-1),"")</f>
        <v/>
      </c>
      <c r="V768" s="24" t="str">
        <f>IF(AND('ASS END SYNC'!C772="SHOW",'ASS END SYNC'!C773="SHOW"),U769,IF(AND('ASS END SYNC'!C772="SHOW",'ASS END SYNC'!C773&lt;&gt;"SHOW"),MID('ASS END SYNC'!E772,O768+1,P768-O768-1),""))</f>
        <v/>
      </c>
      <c r="W768" s="23" t="str">
        <f>IF('ASS END SYNC'!C772="SHOW",MID('ASS END SYNC'!E772,Q768+1,S768-Q768+1),"")</f>
        <v/>
      </c>
      <c r="X768" s="23" t="str">
        <f>IF('ASS END SYNC'!C772="SHOW",MID('ASS END SYNC'!E772,S768+2,1000),"")</f>
        <v/>
      </c>
      <c r="Z768" s="24"/>
    </row>
    <row r="769" spans="1:26" x14ac:dyDescent="0.25">
      <c r="A769" s="26">
        <v>766</v>
      </c>
      <c r="B769" s="24" t="str">
        <f>IF('ASS START SYNC'!C773="SHOW",FIND(",",'ASS START SYNC'!E773,1),"")</f>
        <v/>
      </c>
      <c r="C769" s="24" t="str">
        <f>IF('ASS START SYNC'!C773="SHOW",FIND(",",'ASS START SYNC'!E773,B769+1),"")</f>
        <v/>
      </c>
      <c r="D769" s="24" t="str">
        <f>IF('ASS START SYNC'!C773="SHOW",FIND(",",'ASS START SYNC'!E773,C769+1),"")</f>
        <v/>
      </c>
      <c r="E769" s="25" t="str">
        <f>IF('ASS START SYNC'!C773="SHOW",FIND(",,",'ASS START SYNC'!E773,1),"")</f>
        <v/>
      </c>
      <c r="F769" s="25" t="str">
        <f>IF('ASS START SYNC'!C773="SHOW",FIND(",,",'ASS START SYNC'!E773,E769+1),"")</f>
        <v/>
      </c>
      <c r="G769" s="23" t="str">
        <f>IF('ASS START SYNC'!C773="SHOW",LEFT('ASS START SYNC'!E773,B769),"")</f>
        <v/>
      </c>
      <c r="H769" s="24" t="str">
        <f>IF(AND('ASS START SYNC'!C773="SHOW",COUNTA('ASS START SYNC'!$E$8:'ASS START SYNC'!E772)=0),MID('ASS START SYNC'!E773,B769+1,C769-B769-1),IF(AND('ASS START SYNC'!C773="SHOW",COUNTA('ASS START SYNC'!$E$8:'ASS START SYNC'!E772)&lt;&gt;0),I768,""))</f>
        <v/>
      </c>
      <c r="I769" s="24" t="str">
        <f>IF('ASS START SYNC'!C773="SHOW",MID('ASS START SYNC'!E773,C769+1,D769-C769-1),I768)</f>
        <v/>
      </c>
      <c r="J769" s="23" t="str">
        <f>IF('ASS START SYNC'!C773="SHOW",MID('ASS START SYNC'!E773,D769+1,F769-D769+1),"")</f>
        <v/>
      </c>
      <c r="K769" s="23" t="str">
        <f>IF('ASS START SYNC'!C773="SHOW",MID('ASS START SYNC'!E773,F769+2,1000),"")</f>
        <v/>
      </c>
      <c r="M769" s="24"/>
      <c r="N769" s="26">
        <v>766</v>
      </c>
      <c r="O769" s="24" t="str">
        <f>IF('ASS END SYNC'!C773="SHOW",FIND(",",'ASS END SYNC'!E773,1),"")</f>
        <v/>
      </c>
      <c r="P769" s="24" t="str">
        <f>IF('ASS END SYNC'!C773="SHOW",FIND(",",'ASS END SYNC'!E773,O769+1),"")</f>
        <v/>
      </c>
      <c r="Q769" s="24" t="str">
        <f>IF('ASS END SYNC'!C773="SHOW",FIND(",",'ASS END SYNC'!E773,P769+1),"")</f>
        <v/>
      </c>
      <c r="R769" s="25" t="str">
        <f>IF('ASS END SYNC'!C773="SHOW",FIND(",,",'ASS END SYNC'!E773,1),"")</f>
        <v/>
      </c>
      <c r="S769" s="25" t="str">
        <f>IF('ASS END SYNC'!C773="SHOW",FIND(",,",'ASS END SYNC'!E773,R769+1),"")</f>
        <v/>
      </c>
      <c r="T769" s="23" t="str">
        <f>IF('ASS END SYNC'!C773="SHOW",LEFT('ASS END SYNC'!E773,O769),"")</f>
        <v/>
      </c>
      <c r="U769" s="24" t="str">
        <f>IF('ASS END SYNC'!C773="SHOW",MID('ASS END SYNC'!E773,O769+1,P769-O769-1),"")</f>
        <v/>
      </c>
      <c r="V769" s="24" t="str">
        <f>IF(AND('ASS END SYNC'!C773="SHOW",'ASS END SYNC'!C774="SHOW"),U770,IF(AND('ASS END SYNC'!C773="SHOW",'ASS END SYNC'!C774&lt;&gt;"SHOW"),MID('ASS END SYNC'!E773,O769+1,P769-O769-1),""))</f>
        <v/>
      </c>
      <c r="W769" s="23" t="str">
        <f>IF('ASS END SYNC'!C773="SHOW",MID('ASS END SYNC'!E773,Q769+1,S769-Q769+1),"")</f>
        <v/>
      </c>
      <c r="X769" s="23" t="str">
        <f>IF('ASS END SYNC'!C773="SHOW",MID('ASS END SYNC'!E773,S769+2,1000),"")</f>
        <v/>
      </c>
      <c r="Z769" s="24"/>
    </row>
    <row r="770" spans="1:26" x14ac:dyDescent="0.25">
      <c r="A770" s="26">
        <v>767</v>
      </c>
      <c r="B770" s="24" t="str">
        <f>IF('ASS START SYNC'!C774="SHOW",FIND(",",'ASS START SYNC'!E774,1),"")</f>
        <v/>
      </c>
      <c r="C770" s="24" t="str">
        <f>IF('ASS START SYNC'!C774="SHOW",FIND(",",'ASS START SYNC'!E774,B770+1),"")</f>
        <v/>
      </c>
      <c r="D770" s="24" t="str">
        <f>IF('ASS START SYNC'!C774="SHOW",FIND(",",'ASS START SYNC'!E774,C770+1),"")</f>
        <v/>
      </c>
      <c r="E770" s="25" t="str">
        <f>IF('ASS START SYNC'!C774="SHOW",FIND(",,",'ASS START SYNC'!E774,1),"")</f>
        <v/>
      </c>
      <c r="F770" s="25" t="str">
        <f>IF('ASS START SYNC'!C774="SHOW",FIND(",,",'ASS START SYNC'!E774,E770+1),"")</f>
        <v/>
      </c>
      <c r="G770" s="23" t="str">
        <f>IF('ASS START SYNC'!C774="SHOW",LEFT('ASS START SYNC'!E774,B770),"")</f>
        <v/>
      </c>
      <c r="H770" s="24" t="str">
        <f>IF(AND('ASS START SYNC'!C774="SHOW",COUNTA('ASS START SYNC'!$E$8:'ASS START SYNC'!E773)=0),MID('ASS START SYNC'!E774,B770+1,C770-B770-1),IF(AND('ASS START SYNC'!C774="SHOW",COUNTA('ASS START SYNC'!$E$8:'ASS START SYNC'!E773)&lt;&gt;0),I769,""))</f>
        <v/>
      </c>
      <c r="I770" s="24" t="str">
        <f>IF('ASS START SYNC'!C774="SHOW",MID('ASS START SYNC'!E774,C770+1,D770-C770-1),I769)</f>
        <v/>
      </c>
      <c r="J770" s="23" t="str">
        <f>IF('ASS START SYNC'!C774="SHOW",MID('ASS START SYNC'!E774,D770+1,F770-D770+1),"")</f>
        <v/>
      </c>
      <c r="K770" s="23" t="str">
        <f>IF('ASS START SYNC'!C774="SHOW",MID('ASS START SYNC'!E774,F770+2,1000),"")</f>
        <v/>
      </c>
      <c r="M770" s="24"/>
      <c r="N770" s="26">
        <v>767</v>
      </c>
      <c r="O770" s="24" t="str">
        <f>IF('ASS END SYNC'!C774="SHOW",FIND(",",'ASS END SYNC'!E774,1),"")</f>
        <v/>
      </c>
      <c r="P770" s="24" t="str">
        <f>IF('ASS END SYNC'!C774="SHOW",FIND(",",'ASS END SYNC'!E774,O770+1),"")</f>
        <v/>
      </c>
      <c r="Q770" s="24" t="str">
        <f>IF('ASS END SYNC'!C774="SHOW",FIND(",",'ASS END SYNC'!E774,P770+1),"")</f>
        <v/>
      </c>
      <c r="R770" s="25" t="str">
        <f>IF('ASS END SYNC'!C774="SHOW",FIND(",,",'ASS END SYNC'!E774,1),"")</f>
        <v/>
      </c>
      <c r="S770" s="25" t="str">
        <f>IF('ASS END SYNC'!C774="SHOW",FIND(",,",'ASS END SYNC'!E774,R770+1),"")</f>
        <v/>
      </c>
      <c r="T770" s="23" t="str">
        <f>IF('ASS END SYNC'!C774="SHOW",LEFT('ASS END SYNC'!E774,O770),"")</f>
        <v/>
      </c>
      <c r="U770" s="24" t="str">
        <f>IF('ASS END SYNC'!C774="SHOW",MID('ASS END SYNC'!E774,O770+1,P770-O770-1),"")</f>
        <v/>
      </c>
      <c r="V770" s="24" t="str">
        <f>IF(AND('ASS END SYNC'!C774="SHOW",'ASS END SYNC'!C775="SHOW"),U771,IF(AND('ASS END SYNC'!C774="SHOW",'ASS END SYNC'!C775&lt;&gt;"SHOW"),MID('ASS END SYNC'!E774,O770+1,P770-O770-1),""))</f>
        <v/>
      </c>
      <c r="W770" s="23" t="str">
        <f>IF('ASS END SYNC'!C774="SHOW",MID('ASS END SYNC'!E774,Q770+1,S770-Q770+1),"")</f>
        <v/>
      </c>
      <c r="X770" s="23" t="str">
        <f>IF('ASS END SYNC'!C774="SHOW",MID('ASS END SYNC'!E774,S770+2,1000),"")</f>
        <v/>
      </c>
      <c r="Z770" s="24"/>
    </row>
    <row r="771" spans="1:26" x14ac:dyDescent="0.25">
      <c r="A771" s="26">
        <v>768</v>
      </c>
      <c r="B771" s="24" t="str">
        <f>IF('ASS START SYNC'!C775="SHOW",FIND(",",'ASS START SYNC'!E775,1),"")</f>
        <v/>
      </c>
      <c r="C771" s="24" t="str">
        <f>IF('ASS START SYNC'!C775="SHOW",FIND(",",'ASS START SYNC'!E775,B771+1),"")</f>
        <v/>
      </c>
      <c r="D771" s="24" t="str">
        <f>IF('ASS START SYNC'!C775="SHOW",FIND(",",'ASS START SYNC'!E775,C771+1),"")</f>
        <v/>
      </c>
      <c r="E771" s="25" t="str">
        <f>IF('ASS START SYNC'!C775="SHOW",FIND(",,",'ASS START SYNC'!E775,1),"")</f>
        <v/>
      </c>
      <c r="F771" s="25" t="str">
        <f>IF('ASS START SYNC'!C775="SHOW",FIND(",,",'ASS START SYNC'!E775,E771+1),"")</f>
        <v/>
      </c>
      <c r="G771" s="23" t="str">
        <f>IF('ASS START SYNC'!C775="SHOW",LEFT('ASS START SYNC'!E775,B771),"")</f>
        <v/>
      </c>
      <c r="H771" s="24" t="str">
        <f>IF(AND('ASS START SYNC'!C775="SHOW",COUNTA('ASS START SYNC'!$E$8:'ASS START SYNC'!E774)=0),MID('ASS START SYNC'!E775,B771+1,C771-B771-1),IF(AND('ASS START SYNC'!C775="SHOW",COUNTA('ASS START SYNC'!$E$8:'ASS START SYNC'!E774)&lt;&gt;0),I770,""))</f>
        <v/>
      </c>
      <c r="I771" s="24" t="str">
        <f>IF('ASS START SYNC'!C775="SHOW",MID('ASS START SYNC'!E775,C771+1,D771-C771-1),I770)</f>
        <v/>
      </c>
      <c r="J771" s="23" t="str">
        <f>IF('ASS START SYNC'!C775="SHOW",MID('ASS START SYNC'!E775,D771+1,F771-D771+1),"")</f>
        <v/>
      </c>
      <c r="K771" s="23" t="str">
        <f>IF('ASS START SYNC'!C775="SHOW",MID('ASS START SYNC'!E775,F771+2,1000),"")</f>
        <v/>
      </c>
      <c r="M771" s="24"/>
      <c r="N771" s="26">
        <v>768</v>
      </c>
      <c r="O771" s="24" t="str">
        <f>IF('ASS END SYNC'!C775="SHOW",FIND(",",'ASS END SYNC'!E775,1),"")</f>
        <v/>
      </c>
      <c r="P771" s="24" t="str">
        <f>IF('ASS END SYNC'!C775="SHOW",FIND(",",'ASS END SYNC'!E775,O771+1),"")</f>
        <v/>
      </c>
      <c r="Q771" s="24" t="str">
        <f>IF('ASS END SYNC'!C775="SHOW",FIND(",",'ASS END SYNC'!E775,P771+1),"")</f>
        <v/>
      </c>
      <c r="R771" s="25" t="str">
        <f>IF('ASS END SYNC'!C775="SHOW",FIND(",,",'ASS END SYNC'!E775,1),"")</f>
        <v/>
      </c>
      <c r="S771" s="25" t="str">
        <f>IF('ASS END SYNC'!C775="SHOW",FIND(",,",'ASS END SYNC'!E775,R771+1),"")</f>
        <v/>
      </c>
      <c r="T771" s="23" t="str">
        <f>IF('ASS END SYNC'!C775="SHOW",LEFT('ASS END SYNC'!E775,O771),"")</f>
        <v/>
      </c>
      <c r="U771" s="24" t="str">
        <f>IF('ASS END SYNC'!C775="SHOW",MID('ASS END SYNC'!E775,O771+1,P771-O771-1),"")</f>
        <v/>
      </c>
      <c r="V771" s="24" t="str">
        <f>IF(AND('ASS END SYNC'!C775="SHOW",'ASS END SYNC'!C776="SHOW"),U772,IF(AND('ASS END SYNC'!C775="SHOW",'ASS END SYNC'!C776&lt;&gt;"SHOW"),MID('ASS END SYNC'!E775,O771+1,P771-O771-1),""))</f>
        <v/>
      </c>
      <c r="W771" s="23" t="str">
        <f>IF('ASS END SYNC'!C775="SHOW",MID('ASS END SYNC'!E775,Q771+1,S771-Q771+1),"")</f>
        <v/>
      </c>
      <c r="X771" s="23" t="str">
        <f>IF('ASS END SYNC'!C775="SHOW",MID('ASS END SYNC'!E775,S771+2,1000),"")</f>
        <v/>
      </c>
      <c r="Z771" s="24"/>
    </row>
    <row r="772" spans="1:26" x14ac:dyDescent="0.25">
      <c r="A772" s="26">
        <v>769</v>
      </c>
      <c r="B772" s="24" t="str">
        <f>IF('ASS START SYNC'!C776="SHOW",FIND(",",'ASS START SYNC'!E776,1),"")</f>
        <v/>
      </c>
      <c r="C772" s="24" t="str">
        <f>IF('ASS START SYNC'!C776="SHOW",FIND(",",'ASS START SYNC'!E776,B772+1),"")</f>
        <v/>
      </c>
      <c r="D772" s="24" t="str">
        <f>IF('ASS START SYNC'!C776="SHOW",FIND(",",'ASS START SYNC'!E776,C772+1),"")</f>
        <v/>
      </c>
      <c r="E772" s="25" t="str">
        <f>IF('ASS START SYNC'!C776="SHOW",FIND(",,",'ASS START SYNC'!E776,1),"")</f>
        <v/>
      </c>
      <c r="F772" s="25" t="str">
        <f>IF('ASS START SYNC'!C776="SHOW",FIND(",,",'ASS START SYNC'!E776,E772+1),"")</f>
        <v/>
      </c>
      <c r="G772" s="23" t="str">
        <f>IF('ASS START SYNC'!C776="SHOW",LEFT('ASS START SYNC'!E776,B772),"")</f>
        <v/>
      </c>
      <c r="H772" s="24" t="str">
        <f>IF(AND('ASS START SYNC'!C776="SHOW",COUNTA('ASS START SYNC'!$E$8:'ASS START SYNC'!E775)=0),MID('ASS START SYNC'!E776,B772+1,C772-B772-1),IF(AND('ASS START SYNC'!C776="SHOW",COUNTA('ASS START SYNC'!$E$8:'ASS START SYNC'!E775)&lt;&gt;0),I771,""))</f>
        <v/>
      </c>
      <c r="I772" s="24" t="str">
        <f>IF('ASS START SYNC'!C776="SHOW",MID('ASS START SYNC'!E776,C772+1,D772-C772-1),I771)</f>
        <v/>
      </c>
      <c r="J772" s="23" t="str">
        <f>IF('ASS START SYNC'!C776="SHOW",MID('ASS START SYNC'!E776,D772+1,F772-D772+1),"")</f>
        <v/>
      </c>
      <c r="K772" s="23" t="str">
        <f>IF('ASS START SYNC'!C776="SHOW",MID('ASS START SYNC'!E776,F772+2,1000),"")</f>
        <v/>
      </c>
      <c r="M772" s="24"/>
      <c r="N772" s="26">
        <v>769</v>
      </c>
      <c r="O772" s="24" t="str">
        <f>IF('ASS END SYNC'!C776="SHOW",FIND(",",'ASS END SYNC'!E776,1),"")</f>
        <v/>
      </c>
      <c r="P772" s="24" t="str">
        <f>IF('ASS END SYNC'!C776="SHOW",FIND(",",'ASS END SYNC'!E776,O772+1),"")</f>
        <v/>
      </c>
      <c r="Q772" s="24" t="str">
        <f>IF('ASS END SYNC'!C776="SHOW",FIND(",",'ASS END SYNC'!E776,P772+1),"")</f>
        <v/>
      </c>
      <c r="R772" s="25" t="str">
        <f>IF('ASS END SYNC'!C776="SHOW",FIND(",,",'ASS END SYNC'!E776,1),"")</f>
        <v/>
      </c>
      <c r="S772" s="25" t="str">
        <f>IF('ASS END SYNC'!C776="SHOW",FIND(",,",'ASS END SYNC'!E776,R772+1),"")</f>
        <v/>
      </c>
      <c r="T772" s="23" t="str">
        <f>IF('ASS END SYNC'!C776="SHOW",LEFT('ASS END SYNC'!E776,O772),"")</f>
        <v/>
      </c>
      <c r="U772" s="24" t="str">
        <f>IF('ASS END SYNC'!C776="SHOW",MID('ASS END SYNC'!E776,O772+1,P772-O772-1),"")</f>
        <v/>
      </c>
      <c r="V772" s="24" t="str">
        <f>IF(AND('ASS END SYNC'!C776="SHOW",'ASS END SYNC'!C777="SHOW"),U773,IF(AND('ASS END SYNC'!C776="SHOW",'ASS END SYNC'!C777&lt;&gt;"SHOW"),MID('ASS END SYNC'!E776,O772+1,P772-O772-1),""))</f>
        <v/>
      </c>
      <c r="W772" s="23" t="str">
        <f>IF('ASS END SYNC'!C776="SHOW",MID('ASS END SYNC'!E776,Q772+1,S772-Q772+1),"")</f>
        <v/>
      </c>
      <c r="X772" s="23" t="str">
        <f>IF('ASS END SYNC'!C776="SHOW",MID('ASS END SYNC'!E776,S772+2,1000),"")</f>
        <v/>
      </c>
      <c r="Z772" s="24"/>
    </row>
    <row r="773" spans="1:26" x14ac:dyDescent="0.25">
      <c r="A773" s="26">
        <v>770</v>
      </c>
      <c r="B773" s="24" t="str">
        <f>IF('ASS START SYNC'!C777="SHOW",FIND(",",'ASS START SYNC'!E777,1),"")</f>
        <v/>
      </c>
      <c r="C773" s="24" t="str">
        <f>IF('ASS START SYNC'!C777="SHOW",FIND(",",'ASS START SYNC'!E777,B773+1),"")</f>
        <v/>
      </c>
      <c r="D773" s="24" t="str">
        <f>IF('ASS START SYNC'!C777="SHOW",FIND(",",'ASS START SYNC'!E777,C773+1),"")</f>
        <v/>
      </c>
      <c r="E773" s="25" t="str">
        <f>IF('ASS START SYNC'!C777="SHOW",FIND(",,",'ASS START SYNC'!E777,1),"")</f>
        <v/>
      </c>
      <c r="F773" s="25" t="str">
        <f>IF('ASS START SYNC'!C777="SHOW",FIND(",,",'ASS START SYNC'!E777,E773+1),"")</f>
        <v/>
      </c>
      <c r="G773" s="23" t="str">
        <f>IF('ASS START SYNC'!C777="SHOW",LEFT('ASS START SYNC'!E777,B773),"")</f>
        <v/>
      </c>
      <c r="H773" s="24" t="str">
        <f>IF(AND('ASS START SYNC'!C777="SHOW",COUNTA('ASS START SYNC'!$E$8:'ASS START SYNC'!E776)=0),MID('ASS START SYNC'!E777,B773+1,C773-B773-1),IF(AND('ASS START SYNC'!C777="SHOW",COUNTA('ASS START SYNC'!$E$8:'ASS START SYNC'!E776)&lt;&gt;0),I772,""))</f>
        <v/>
      </c>
      <c r="I773" s="24" t="str">
        <f>IF('ASS START SYNC'!C777="SHOW",MID('ASS START SYNC'!E777,C773+1,D773-C773-1),I772)</f>
        <v/>
      </c>
      <c r="J773" s="23" t="str">
        <f>IF('ASS START SYNC'!C777="SHOW",MID('ASS START SYNC'!E777,D773+1,F773-D773+1),"")</f>
        <v/>
      </c>
      <c r="K773" s="23" t="str">
        <f>IF('ASS START SYNC'!C777="SHOW",MID('ASS START SYNC'!E777,F773+2,1000),"")</f>
        <v/>
      </c>
      <c r="M773" s="24"/>
      <c r="N773" s="26">
        <v>770</v>
      </c>
      <c r="O773" s="24" t="str">
        <f>IF('ASS END SYNC'!C777="SHOW",FIND(",",'ASS END SYNC'!E777,1),"")</f>
        <v/>
      </c>
      <c r="P773" s="24" t="str">
        <f>IF('ASS END SYNC'!C777="SHOW",FIND(",",'ASS END SYNC'!E777,O773+1),"")</f>
        <v/>
      </c>
      <c r="Q773" s="24" t="str">
        <f>IF('ASS END SYNC'!C777="SHOW",FIND(",",'ASS END SYNC'!E777,P773+1),"")</f>
        <v/>
      </c>
      <c r="R773" s="25" t="str">
        <f>IF('ASS END SYNC'!C777="SHOW",FIND(",,",'ASS END SYNC'!E777,1),"")</f>
        <v/>
      </c>
      <c r="S773" s="25" t="str">
        <f>IF('ASS END SYNC'!C777="SHOW",FIND(",,",'ASS END SYNC'!E777,R773+1),"")</f>
        <v/>
      </c>
      <c r="T773" s="23" t="str">
        <f>IF('ASS END SYNC'!C777="SHOW",LEFT('ASS END SYNC'!E777,O773),"")</f>
        <v/>
      </c>
      <c r="U773" s="24" t="str">
        <f>IF('ASS END SYNC'!C777="SHOW",MID('ASS END SYNC'!E777,O773+1,P773-O773-1),"")</f>
        <v/>
      </c>
      <c r="V773" s="24" t="str">
        <f>IF(AND('ASS END SYNC'!C777="SHOW",'ASS END SYNC'!C778="SHOW"),U774,IF(AND('ASS END SYNC'!C777="SHOW",'ASS END SYNC'!C778&lt;&gt;"SHOW"),MID('ASS END SYNC'!E777,O773+1,P773-O773-1),""))</f>
        <v/>
      </c>
      <c r="W773" s="23" t="str">
        <f>IF('ASS END SYNC'!C777="SHOW",MID('ASS END SYNC'!E777,Q773+1,S773-Q773+1),"")</f>
        <v/>
      </c>
      <c r="X773" s="23" t="str">
        <f>IF('ASS END SYNC'!C777="SHOW",MID('ASS END SYNC'!E777,S773+2,1000),"")</f>
        <v/>
      </c>
      <c r="Z773" s="24"/>
    </row>
    <row r="774" spans="1:26" x14ac:dyDescent="0.25">
      <c r="A774" s="26">
        <v>771</v>
      </c>
      <c r="B774" s="24" t="str">
        <f>IF('ASS START SYNC'!C778="SHOW",FIND(",",'ASS START SYNC'!E778,1),"")</f>
        <v/>
      </c>
      <c r="C774" s="24" t="str">
        <f>IF('ASS START SYNC'!C778="SHOW",FIND(",",'ASS START SYNC'!E778,B774+1),"")</f>
        <v/>
      </c>
      <c r="D774" s="24" t="str">
        <f>IF('ASS START SYNC'!C778="SHOW",FIND(",",'ASS START SYNC'!E778,C774+1),"")</f>
        <v/>
      </c>
      <c r="E774" s="25" t="str">
        <f>IF('ASS START SYNC'!C778="SHOW",FIND(",,",'ASS START SYNC'!E778,1),"")</f>
        <v/>
      </c>
      <c r="F774" s="25" t="str">
        <f>IF('ASS START SYNC'!C778="SHOW",FIND(",,",'ASS START SYNC'!E778,E774+1),"")</f>
        <v/>
      </c>
      <c r="G774" s="23" t="str">
        <f>IF('ASS START SYNC'!C778="SHOW",LEFT('ASS START SYNC'!E778,B774),"")</f>
        <v/>
      </c>
      <c r="H774" s="24" t="str">
        <f>IF(AND('ASS START SYNC'!C778="SHOW",COUNTA('ASS START SYNC'!$E$8:'ASS START SYNC'!E777)=0),MID('ASS START SYNC'!E778,B774+1,C774-B774-1),IF(AND('ASS START SYNC'!C778="SHOW",COUNTA('ASS START SYNC'!$E$8:'ASS START SYNC'!E777)&lt;&gt;0),I773,""))</f>
        <v/>
      </c>
      <c r="I774" s="24" t="str">
        <f>IF('ASS START SYNC'!C778="SHOW",MID('ASS START SYNC'!E778,C774+1,D774-C774-1),I773)</f>
        <v/>
      </c>
      <c r="J774" s="23" t="str">
        <f>IF('ASS START SYNC'!C778="SHOW",MID('ASS START SYNC'!E778,D774+1,F774-D774+1),"")</f>
        <v/>
      </c>
      <c r="K774" s="23" t="str">
        <f>IF('ASS START SYNC'!C778="SHOW",MID('ASS START SYNC'!E778,F774+2,1000),"")</f>
        <v/>
      </c>
      <c r="M774" s="24"/>
      <c r="N774" s="26">
        <v>771</v>
      </c>
      <c r="O774" s="24" t="str">
        <f>IF('ASS END SYNC'!C778="SHOW",FIND(",",'ASS END SYNC'!E778,1),"")</f>
        <v/>
      </c>
      <c r="P774" s="24" t="str">
        <f>IF('ASS END SYNC'!C778="SHOW",FIND(",",'ASS END SYNC'!E778,O774+1),"")</f>
        <v/>
      </c>
      <c r="Q774" s="24" t="str">
        <f>IF('ASS END SYNC'!C778="SHOW",FIND(",",'ASS END SYNC'!E778,P774+1),"")</f>
        <v/>
      </c>
      <c r="R774" s="25" t="str">
        <f>IF('ASS END SYNC'!C778="SHOW",FIND(",,",'ASS END SYNC'!E778,1),"")</f>
        <v/>
      </c>
      <c r="S774" s="25" t="str">
        <f>IF('ASS END SYNC'!C778="SHOW",FIND(",,",'ASS END SYNC'!E778,R774+1),"")</f>
        <v/>
      </c>
      <c r="T774" s="23" t="str">
        <f>IF('ASS END SYNC'!C778="SHOW",LEFT('ASS END SYNC'!E778,O774),"")</f>
        <v/>
      </c>
      <c r="U774" s="24" t="str">
        <f>IF('ASS END SYNC'!C778="SHOW",MID('ASS END SYNC'!E778,O774+1,P774-O774-1),"")</f>
        <v/>
      </c>
      <c r="V774" s="24" t="str">
        <f>IF(AND('ASS END SYNC'!C778="SHOW",'ASS END SYNC'!C779="SHOW"),U775,IF(AND('ASS END SYNC'!C778="SHOW",'ASS END SYNC'!C779&lt;&gt;"SHOW"),MID('ASS END SYNC'!E778,O774+1,P774-O774-1),""))</f>
        <v/>
      </c>
      <c r="W774" s="23" t="str">
        <f>IF('ASS END SYNC'!C778="SHOW",MID('ASS END SYNC'!E778,Q774+1,S774-Q774+1),"")</f>
        <v/>
      </c>
      <c r="X774" s="23" t="str">
        <f>IF('ASS END SYNC'!C778="SHOW",MID('ASS END SYNC'!E778,S774+2,1000),"")</f>
        <v/>
      </c>
      <c r="Z774" s="24"/>
    </row>
    <row r="775" spans="1:26" x14ac:dyDescent="0.25">
      <c r="A775" s="26">
        <v>772</v>
      </c>
      <c r="B775" s="24" t="str">
        <f>IF('ASS START SYNC'!C779="SHOW",FIND(",",'ASS START SYNC'!E779,1),"")</f>
        <v/>
      </c>
      <c r="C775" s="24" t="str">
        <f>IF('ASS START SYNC'!C779="SHOW",FIND(",",'ASS START SYNC'!E779,B775+1),"")</f>
        <v/>
      </c>
      <c r="D775" s="24" t="str">
        <f>IF('ASS START SYNC'!C779="SHOW",FIND(",",'ASS START SYNC'!E779,C775+1),"")</f>
        <v/>
      </c>
      <c r="E775" s="25" t="str">
        <f>IF('ASS START SYNC'!C779="SHOW",FIND(",,",'ASS START SYNC'!E779,1),"")</f>
        <v/>
      </c>
      <c r="F775" s="25" t="str">
        <f>IF('ASS START SYNC'!C779="SHOW",FIND(",,",'ASS START SYNC'!E779,E775+1),"")</f>
        <v/>
      </c>
      <c r="G775" s="23" t="str">
        <f>IF('ASS START SYNC'!C779="SHOW",LEFT('ASS START SYNC'!E779,B775),"")</f>
        <v/>
      </c>
      <c r="H775" s="24" t="str">
        <f>IF(AND('ASS START SYNC'!C779="SHOW",COUNTA('ASS START SYNC'!$E$8:'ASS START SYNC'!E778)=0),MID('ASS START SYNC'!E779,B775+1,C775-B775-1),IF(AND('ASS START SYNC'!C779="SHOW",COUNTA('ASS START SYNC'!$E$8:'ASS START SYNC'!E778)&lt;&gt;0),I774,""))</f>
        <v/>
      </c>
      <c r="I775" s="24" t="str">
        <f>IF('ASS START SYNC'!C779="SHOW",MID('ASS START SYNC'!E779,C775+1,D775-C775-1),I774)</f>
        <v/>
      </c>
      <c r="J775" s="23" t="str">
        <f>IF('ASS START SYNC'!C779="SHOW",MID('ASS START SYNC'!E779,D775+1,F775-D775+1),"")</f>
        <v/>
      </c>
      <c r="K775" s="23" t="str">
        <f>IF('ASS START SYNC'!C779="SHOW",MID('ASS START SYNC'!E779,F775+2,1000),"")</f>
        <v/>
      </c>
      <c r="M775" s="24"/>
      <c r="N775" s="26">
        <v>772</v>
      </c>
      <c r="O775" s="24" t="str">
        <f>IF('ASS END SYNC'!C779="SHOW",FIND(",",'ASS END SYNC'!E779,1),"")</f>
        <v/>
      </c>
      <c r="P775" s="24" t="str">
        <f>IF('ASS END SYNC'!C779="SHOW",FIND(",",'ASS END SYNC'!E779,O775+1),"")</f>
        <v/>
      </c>
      <c r="Q775" s="24" t="str">
        <f>IF('ASS END SYNC'!C779="SHOW",FIND(",",'ASS END SYNC'!E779,P775+1),"")</f>
        <v/>
      </c>
      <c r="R775" s="25" t="str">
        <f>IF('ASS END SYNC'!C779="SHOW",FIND(",,",'ASS END SYNC'!E779,1),"")</f>
        <v/>
      </c>
      <c r="S775" s="25" t="str">
        <f>IF('ASS END SYNC'!C779="SHOW",FIND(",,",'ASS END SYNC'!E779,R775+1),"")</f>
        <v/>
      </c>
      <c r="T775" s="23" t="str">
        <f>IF('ASS END SYNC'!C779="SHOW",LEFT('ASS END SYNC'!E779,O775),"")</f>
        <v/>
      </c>
      <c r="U775" s="24" t="str">
        <f>IF('ASS END SYNC'!C779="SHOW",MID('ASS END SYNC'!E779,O775+1,P775-O775-1),"")</f>
        <v/>
      </c>
      <c r="V775" s="24" t="str">
        <f>IF(AND('ASS END SYNC'!C779="SHOW",'ASS END SYNC'!C780="SHOW"),U776,IF(AND('ASS END SYNC'!C779="SHOW",'ASS END SYNC'!C780&lt;&gt;"SHOW"),MID('ASS END SYNC'!E779,O775+1,P775-O775-1),""))</f>
        <v/>
      </c>
      <c r="W775" s="23" t="str">
        <f>IF('ASS END SYNC'!C779="SHOW",MID('ASS END SYNC'!E779,Q775+1,S775-Q775+1),"")</f>
        <v/>
      </c>
      <c r="X775" s="23" t="str">
        <f>IF('ASS END SYNC'!C779="SHOW",MID('ASS END SYNC'!E779,S775+2,1000),"")</f>
        <v/>
      </c>
      <c r="Z775" s="24"/>
    </row>
    <row r="776" spans="1:26" x14ac:dyDescent="0.25">
      <c r="A776" s="26">
        <v>773</v>
      </c>
      <c r="B776" s="24" t="str">
        <f>IF('ASS START SYNC'!C780="SHOW",FIND(",",'ASS START SYNC'!E780,1),"")</f>
        <v/>
      </c>
      <c r="C776" s="24" t="str">
        <f>IF('ASS START SYNC'!C780="SHOW",FIND(",",'ASS START SYNC'!E780,B776+1),"")</f>
        <v/>
      </c>
      <c r="D776" s="24" t="str">
        <f>IF('ASS START SYNC'!C780="SHOW",FIND(",",'ASS START SYNC'!E780,C776+1),"")</f>
        <v/>
      </c>
      <c r="E776" s="25" t="str">
        <f>IF('ASS START SYNC'!C780="SHOW",FIND(",,",'ASS START SYNC'!E780,1),"")</f>
        <v/>
      </c>
      <c r="F776" s="25" t="str">
        <f>IF('ASS START SYNC'!C780="SHOW",FIND(",,",'ASS START SYNC'!E780,E776+1),"")</f>
        <v/>
      </c>
      <c r="G776" s="23" t="str">
        <f>IF('ASS START SYNC'!C780="SHOW",LEFT('ASS START SYNC'!E780,B776),"")</f>
        <v/>
      </c>
      <c r="H776" s="24" t="str">
        <f>IF(AND('ASS START SYNC'!C780="SHOW",COUNTA('ASS START SYNC'!$E$8:'ASS START SYNC'!E779)=0),MID('ASS START SYNC'!E780,B776+1,C776-B776-1),IF(AND('ASS START SYNC'!C780="SHOW",COUNTA('ASS START SYNC'!$E$8:'ASS START SYNC'!E779)&lt;&gt;0),I775,""))</f>
        <v/>
      </c>
      <c r="I776" s="24" t="str">
        <f>IF('ASS START SYNC'!C780="SHOW",MID('ASS START SYNC'!E780,C776+1,D776-C776-1),I775)</f>
        <v/>
      </c>
      <c r="J776" s="23" t="str">
        <f>IF('ASS START SYNC'!C780="SHOW",MID('ASS START SYNC'!E780,D776+1,F776-D776+1),"")</f>
        <v/>
      </c>
      <c r="K776" s="23" t="str">
        <f>IF('ASS START SYNC'!C780="SHOW",MID('ASS START SYNC'!E780,F776+2,1000),"")</f>
        <v/>
      </c>
      <c r="M776" s="24"/>
      <c r="N776" s="26">
        <v>773</v>
      </c>
      <c r="O776" s="24" t="str">
        <f>IF('ASS END SYNC'!C780="SHOW",FIND(",",'ASS END SYNC'!E780,1),"")</f>
        <v/>
      </c>
      <c r="P776" s="24" t="str">
        <f>IF('ASS END SYNC'!C780="SHOW",FIND(",",'ASS END SYNC'!E780,O776+1),"")</f>
        <v/>
      </c>
      <c r="Q776" s="24" t="str">
        <f>IF('ASS END SYNC'!C780="SHOW",FIND(",",'ASS END SYNC'!E780,P776+1),"")</f>
        <v/>
      </c>
      <c r="R776" s="25" t="str">
        <f>IF('ASS END SYNC'!C780="SHOW",FIND(",,",'ASS END SYNC'!E780,1),"")</f>
        <v/>
      </c>
      <c r="S776" s="25" t="str">
        <f>IF('ASS END SYNC'!C780="SHOW",FIND(",,",'ASS END SYNC'!E780,R776+1),"")</f>
        <v/>
      </c>
      <c r="T776" s="23" t="str">
        <f>IF('ASS END SYNC'!C780="SHOW",LEFT('ASS END SYNC'!E780,O776),"")</f>
        <v/>
      </c>
      <c r="U776" s="24" t="str">
        <f>IF('ASS END SYNC'!C780="SHOW",MID('ASS END SYNC'!E780,O776+1,P776-O776-1),"")</f>
        <v/>
      </c>
      <c r="V776" s="24" t="str">
        <f>IF(AND('ASS END SYNC'!C780="SHOW",'ASS END SYNC'!C781="SHOW"),U777,IF(AND('ASS END SYNC'!C780="SHOW",'ASS END SYNC'!C781&lt;&gt;"SHOW"),MID('ASS END SYNC'!E780,O776+1,P776-O776-1),""))</f>
        <v/>
      </c>
      <c r="W776" s="23" t="str">
        <f>IF('ASS END SYNC'!C780="SHOW",MID('ASS END SYNC'!E780,Q776+1,S776-Q776+1),"")</f>
        <v/>
      </c>
      <c r="X776" s="23" t="str">
        <f>IF('ASS END SYNC'!C780="SHOW",MID('ASS END SYNC'!E780,S776+2,1000),"")</f>
        <v/>
      </c>
      <c r="Z776" s="24"/>
    </row>
    <row r="777" spans="1:26" x14ac:dyDescent="0.25">
      <c r="A777" s="26">
        <v>774</v>
      </c>
      <c r="B777" s="24" t="str">
        <f>IF('ASS START SYNC'!C781="SHOW",FIND(",",'ASS START SYNC'!E781,1),"")</f>
        <v/>
      </c>
      <c r="C777" s="24" t="str">
        <f>IF('ASS START SYNC'!C781="SHOW",FIND(",",'ASS START SYNC'!E781,B777+1),"")</f>
        <v/>
      </c>
      <c r="D777" s="24" t="str">
        <f>IF('ASS START SYNC'!C781="SHOW",FIND(",",'ASS START SYNC'!E781,C777+1),"")</f>
        <v/>
      </c>
      <c r="E777" s="25" t="str">
        <f>IF('ASS START SYNC'!C781="SHOW",FIND(",,",'ASS START SYNC'!E781,1),"")</f>
        <v/>
      </c>
      <c r="F777" s="25" t="str">
        <f>IF('ASS START SYNC'!C781="SHOW",FIND(",,",'ASS START SYNC'!E781,E777+1),"")</f>
        <v/>
      </c>
      <c r="G777" s="23" t="str">
        <f>IF('ASS START SYNC'!C781="SHOW",LEFT('ASS START SYNC'!E781,B777),"")</f>
        <v/>
      </c>
      <c r="H777" s="24" t="str">
        <f>IF(AND('ASS START SYNC'!C781="SHOW",COUNTA('ASS START SYNC'!$E$8:'ASS START SYNC'!E780)=0),MID('ASS START SYNC'!E781,B777+1,C777-B777-1),IF(AND('ASS START SYNC'!C781="SHOW",COUNTA('ASS START SYNC'!$E$8:'ASS START SYNC'!E780)&lt;&gt;0),I776,""))</f>
        <v/>
      </c>
      <c r="I777" s="24" t="str">
        <f>IF('ASS START SYNC'!C781="SHOW",MID('ASS START SYNC'!E781,C777+1,D777-C777-1),I776)</f>
        <v/>
      </c>
      <c r="J777" s="23" t="str">
        <f>IF('ASS START SYNC'!C781="SHOW",MID('ASS START SYNC'!E781,D777+1,F777-D777+1),"")</f>
        <v/>
      </c>
      <c r="K777" s="23" t="str">
        <f>IF('ASS START SYNC'!C781="SHOW",MID('ASS START SYNC'!E781,F777+2,1000),"")</f>
        <v/>
      </c>
      <c r="M777" s="24"/>
      <c r="N777" s="26">
        <v>774</v>
      </c>
      <c r="O777" s="24" t="str">
        <f>IF('ASS END SYNC'!C781="SHOW",FIND(",",'ASS END SYNC'!E781,1),"")</f>
        <v/>
      </c>
      <c r="P777" s="24" t="str">
        <f>IF('ASS END SYNC'!C781="SHOW",FIND(",",'ASS END SYNC'!E781,O777+1),"")</f>
        <v/>
      </c>
      <c r="Q777" s="24" t="str">
        <f>IF('ASS END SYNC'!C781="SHOW",FIND(",",'ASS END SYNC'!E781,P777+1),"")</f>
        <v/>
      </c>
      <c r="R777" s="25" t="str">
        <f>IF('ASS END SYNC'!C781="SHOW",FIND(",,",'ASS END SYNC'!E781,1),"")</f>
        <v/>
      </c>
      <c r="S777" s="25" t="str">
        <f>IF('ASS END SYNC'!C781="SHOW",FIND(",,",'ASS END SYNC'!E781,R777+1),"")</f>
        <v/>
      </c>
      <c r="T777" s="23" t="str">
        <f>IF('ASS END SYNC'!C781="SHOW",LEFT('ASS END SYNC'!E781,O777),"")</f>
        <v/>
      </c>
      <c r="U777" s="24" t="str">
        <f>IF('ASS END SYNC'!C781="SHOW",MID('ASS END SYNC'!E781,O777+1,P777-O777-1),"")</f>
        <v/>
      </c>
      <c r="V777" s="24" t="str">
        <f>IF(AND('ASS END SYNC'!C781="SHOW",'ASS END SYNC'!C782="SHOW"),U778,IF(AND('ASS END SYNC'!C781="SHOW",'ASS END SYNC'!C782&lt;&gt;"SHOW"),MID('ASS END SYNC'!E781,O777+1,P777-O777-1),""))</f>
        <v/>
      </c>
      <c r="W777" s="23" t="str">
        <f>IF('ASS END SYNC'!C781="SHOW",MID('ASS END SYNC'!E781,Q777+1,S777-Q777+1),"")</f>
        <v/>
      </c>
      <c r="X777" s="23" t="str">
        <f>IF('ASS END SYNC'!C781="SHOW",MID('ASS END SYNC'!E781,S777+2,1000),"")</f>
        <v/>
      </c>
      <c r="Z777" s="24"/>
    </row>
    <row r="778" spans="1:26" x14ac:dyDescent="0.25">
      <c r="A778" s="26">
        <v>775</v>
      </c>
      <c r="B778" s="24" t="str">
        <f>IF('ASS START SYNC'!C782="SHOW",FIND(",",'ASS START SYNC'!E782,1),"")</f>
        <v/>
      </c>
      <c r="C778" s="24" t="str">
        <f>IF('ASS START SYNC'!C782="SHOW",FIND(",",'ASS START SYNC'!E782,B778+1),"")</f>
        <v/>
      </c>
      <c r="D778" s="24" t="str">
        <f>IF('ASS START SYNC'!C782="SHOW",FIND(",",'ASS START SYNC'!E782,C778+1),"")</f>
        <v/>
      </c>
      <c r="E778" s="25" t="str">
        <f>IF('ASS START SYNC'!C782="SHOW",FIND(",,",'ASS START SYNC'!E782,1),"")</f>
        <v/>
      </c>
      <c r="F778" s="25" t="str">
        <f>IF('ASS START SYNC'!C782="SHOW",FIND(",,",'ASS START SYNC'!E782,E778+1),"")</f>
        <v/>
      </c>
      <c r="G778" s="23" t="str">
        <f>IF('ASS START SYNC'!C782="SHOW",LEFT('ASS START SYNC'!E782,B778),"")</f>
        <v/>
      </c>
      <c r="H778" s="24" t="str">
        <f>IF(AND('ASS START SYNC'!C782="SHOW",COUNTA('ASS START SYNC'!$E$8:'ASS START SYNC'!E781)=0),MID('ASS START SYNC'!E782,B778+1,C778-B778-1),IF(AND('ASS START SYNC'!C782="SHOW",COUNTA('ASS START SYNC'!$E$8:'ASS START SYNC'!E781)&lt;&gt;0),I777,""))</f>
        <v/>
      </c>
      <c r="I778" s="24" t="str">
        <f>IF('ASS START SYNC'!C782="SHOW",MID('ASS START SYNC'!E782,C778+1,D778-C778-1),I777)</f>
        <v/>
      </c>
      <c r="J778" s="23" t="str">
        <f>IF('ASS START SYNC'!C782="SHOW",MID('ASS START SYNC'!E782,D778+1,F778-D778+1),"")</f>
        <v/>
      </c>
      <c r="K778" s="23" t="str">
        <f>IF('ASS START SYNC'!C782="SHOW",MID('ASS START SYNC'!E782,F778+2,1000),"")</f>
        <v/>
      </c>
      <c r="M778" s="24"/>
      <c r="N778" s="26">
        <v>775</v>
      </c>
      <c r="O778" s="24" t="str">
        <f>IF('ASS END SYNC'!C782="SHOW",FIND(",",'ASS END SYNC'!E782,1),"")</f>
        <v/>
      </c>
      <c r="P778" s="24" t="str">
        <f>IF('ASS END SYNC'!C782="SHOW",FIND(",",'ASS END SYNC'!E782,O778+1),"")</f>
        <v/>
      </c>
      <c r="Q778" s="24" t="str">
        <f>IF('ASS END SYNC'!C782="SHOW",FIND(",",'ASS END SYNC'!E782,P778+1),"")</f>
        <v/>
      </c>
      <c r="R778" s="25" t="str">
        <f>IF('ASS END SYNC'!C782="SHOW",FIND(",,",'ASS END SYNC'!E782,1),"")</f>
        <v/>
      </c>
      <c r="S778" s="25" t="str">
        <f>IF('ASS END SYNC'!C782="SHOW",FIND(",,",'ASS END SYNC'!E782,R778+1),"")</f>
        <v/>
      </c>
      <c r="T778" s="23" t="str">
        <f>IF('ASS END SYNC'!C782="SHOW",LEFT('ASS END SYNC'!E782,O778),"")</f>
        <v/>
      </c>
      <c r="U778" s="24" t="str">
        <f>IF('ASS END SYNC'!C782="SHOW",MID('ASS END SYNC'!E782,O778+1,P778-O778-1),"")</f>
        <v/>
      </c>
      <c r="V778" s="24" t="str">
        <f>IF(AND('ASS END SYNC'!C782="SHOW",'ASS END SYNC'!C783="SHOW"),U779,IF(AND('ASS END SYNC'!C782="SHOW",'ASS END SYNC'!C783&lt;&gt;"SHOW"),MID('ASS END SYNC'!E782,O778+1,P778-O778-1),""))</f>
        <v/>
      </c>
      <c r="W778" s="23" t="str">
        <f>IF('ASS END SYNC'!C782="SHOW",MID('ASS END SYNC'!E782,Q778+1,S778-Q778+1),"")</f>
        <v/>
      </c>
      <c r="X778" s="23" t="str">
        <f>IF('ASS END SYNC'!C782="SHOW",MID('ASS END SYNC'!E782,S778+2,1000),"")</f>
        <v/>
      </c>
      <c r="Z778" s="24"/>
    </row>
    <row r="779" spans="1:26" x14ac:dyDescent="0.25">
      <c r="A779" s="26">
        <v>776</v>
      </c>
      <c r="B779" s="24" t="str">
        <f>IF('ASS START SYNC'!C783="SHOW",FIND(",",'ASS START SYNC'!E783,1),"")</f>
        <v/>
      </c>
      <c r="C779" s="24" t="str">
        <f>IF('ASS START SYNC'!C783="SHOW",FIND(",",'ASS START SYNC'!E783,B779+1),"")</f>
        <v/>
      </c>
      <c r="D779" s="24" t="str">
        <f>IF('ASS START SYNC'!C783="SHOW",FIND(",",'ASS START SYNC'!E783,C779+1),"")</f>
        <v/>
      </c>
      <c r="E779" s="25" t="str">
        <f>IF('ASS START SYNC'!C783="SHOW",FIND(",,",'ASS START SYNC'!E783,1),"")</f>
        <v/>
      </c>
      <c r="F779" s="25" t="str">
        <f>IF('ASS START SYNC'!C783="SHOW",FIND(",,",'ASS START SYNC'!E783,E779+1),"")</f>
        <v/>
      </c>
      <c r="G779" s="23" t="str">
        <f>IF('ASS START SYNC'!C783="SHOW",LEFT('ASS START SYNC'!E783,B779),"")</f>
        <v/>
      </c>
      <c r="H779" s="24" t="str">
        <f>IF(AND('ASS START SYNC'!C783="SHOW",COUNTA('ASS START SYNC'!$E$8:'ASS START SYNC'!E782)=0),MID('ASS START SYNC'!E783,B779+1,C779-B779-1),IF(AND('ASS START SYNC'!C783="SHOW",COUNTA('ASS START SYNC'!$E$8:'ASS START SYNC'!E782)&lt;&gt;0),I778,""))</f>
        <v/>
      </c>
      <c r="I779" s="24" t="str">
        <f>IF('ASS START SYNC'!C783="SHOW",MID('ASS START SYNC'!E783,C779+1,D779-C779-1),I778)</f>
        <v/>
      </c>
      <c r="J779" s="23" t="str">
        <f>IF('ASS START SYNC'!C783="SHOW",MID('ASS START SYNC'!E783,D779+1,F779-D779+1),"")</f>
        <v/>
      </c>
      <c r="K779" s="23" t="str">
        <f>IF('ASS START SYNC'!C783="SHOW",MID('ASS START SYNC'!E783,F779+2,1000),"")</f>
        <v/>
      </c>
      <c r="M779" s="24"/>
      <c r="N779" s="26">
        <v>776</v>
      </c>
      <c r="O779" s="24" t="str">
        <f>IF('ASS END SYNC'!C783="SHOW",FIND(",",'ASS END SYNC'!E783,1),"")</f>
        <v/>
      </c>
      <c r="P779" s="24" t="str">
        <f>IF('ASS END SYNC'!C783="SHOW",FIND(",",'ASS END SYNC'!E783,O779+1),"")</f>
        <v/>
      </c>
      <c r="Q779" s="24" t="str">
        <f>IF('ASS END SYNC'!C783="SHOW",FIND(",",'ASS END SYNC'!E783,P779+1),"")</f>
        <v/>
      </c>
      <c r="R779" s="25" t="str">
        <f>IF('ASS END SYNC'!C783="SHOW",FIND(",,",'ASS END SYNC'!E783,1),"")</f>
        <v/>
      </c>
      <c r="S779" s="25" t="str">
        <f>IF('ASS END SYNC'!C783="SHOW",FIND(",,",'ASS END SYNC'!E783,R779+1),"")</f>
        <v/>
      </c>
      <c r="T779" s="23" t="str">
        <f>IF('ASS END SYNC'!C783="SHOW",LEFT('ASS END SYNC'!E783,O779),"")</f>
        <v/>
      </c>
      <c r="U779" s="24" t="str">
        <f>IF('ASS END SYNC'!C783="SHOW",MID('ASS END SYNC'!E783,O779+1,P779-O779-1),"")</f>
        <v/>
      </c>
      <c r="V779" s="24" t="str">
        <f>IF(AND('ASS END SYNC'!C783="SHOW",'ASS END SYNC'!C784="SHOW"),U780,IF(AND('ASS END SYNC'!C783="SHOW",'ASS END SYNC'!C784&lt;&gt;"SHOW"),MID('ASS END SYNC'!E783,O779+1,P779-O779-1),""))</f>
        <v/>
      </c>
      <c r="W779" s="23" t="str">
        <f>IF('ASS END SYNC'!C783="SHOW",MID('ASS END SYNC'!E783,Q779+1,S779-Q779+1),"")</f>
        <v/>
      </c>
      <c r="X779" s="23" t="str">
        <f>IF('ASS END SYNC'!C783="SHOW",MID('ASS END SYNC'!E783,S779+2,1000),"")</f>
        <v/>
      </c>
      <c r="Z779" s="24"/>
    </row>
    <row r="780" spans="1:26" x14ac:dyDescent="0.25">
      <c r="A780" s="26">
        <v>777</v>
      </c>
      <c r="B780" s="24" t="str">
        <f>IF('ASS START SYNC'!C784="SHOW",FIND(",",'ASS START SYNC'!E784,1),"")</f>
        <v/>
      </c>
      <c r="C780" s="24" t="str">
        <f>IF('ASS START SYNC'!C784="SHOW",FIND(",",'ASS START SYNC'!E784,B780+1),"")</f>
        <v/>
      </c>
      <c r="D780" s="24" t="str">
        <f>IF('ASS START SYNC'!C784="SHOW",FIND(",",'ASS START SYNC'!E784,C780+1),"")</f>
        <v/>
      </c>
      <c r="E780" s="25" t="str">
        <f>IF('ASS START SYNC'!C784="SHOW",FIND(",,",'ASS START SYNC'!E784,1),"")</f>
        <v/>
      </c>
      <c r="F780" s="25" t="str">
        <f>IF('ASS START SYNC'!C784="SHOW",FIND(",,",'ASS START SYNC'!E784,E780+1),"")</f>
        <v/>
      </c>
      <c r="G780" s="23" t="str">
        <f>IF('ASS START SYNC'!C784="SHOW",LEFT('ASS START SYNC'!E784,B780),"")</f>
        <v/>
      </c>
      <c r="H780" s="24" t="str">
        <f>IF(AND('ASS START SYNC'!C784="SHOW",COUNTA('ASS START SYNC'!$E$8:'ASS START SYNC'!E783)=0),MID('ASS START SYNC'!E784,B780+1,C780-B780-1),IF(AND('ASS START SYNC'!C784="SHOW",COUNTA('ASS START SYNC'!$E$8:'ASS START SYNC'!E783)&lt;&gt;0),I779,""))</f>
        <v/>
      </c>
      <c r="I780" s="24" t="str">
        <f>IF('ASS START SYNC'!C784="SHOW",MID('ASS START SYNC'!E784,C780+1,D780-C780-1),I779)</f>
        <v/>
      </c>
      <c r="J780" s="23" t="str">
        <f>IF('ASS START SYNC'!C784="SHOW",MID('ASS START SYNC'!E784,D780+1,F780-D780+1),"")</f>
        <v/>
      </c>
      <c r="K780" s="23" t="str">
        <f>IF('ASS START SYNC'!C784="SHOW",MID('ASS START SYNC'!E784,F780+2,1000),"")</f>
        <v/>
      </c>
      <c r="M780" s="24"/>
      <c r="N780" s="26">
        <v>777</v>
      </c>
      <c r="O780" s="24" t="str">
        <f>IF('ASS END SYNC'!C784="SHOW",FIND(",",'ASS END SYNC'!E784,1),"")</f>
        <v/>
      </c>
      <c r="P780" s="24" t="str">
        <f>IF('ASS END SYNC'!C784="SHOW",FIND(",",'ASS END SYNC'!E784,O780+1),"")</f>
        <v/>
      </c>
      <c r="Q780" s="24" t="str">
        <f>IF('ASS END SYNC'!C784="SHOW",FIND(",",'ASS END SYNC'!E784,P780+1),"")</f>
        <v/>
      </c>
      <c r="R780" s="25" t="str">
        <f>IF('ASS END SYNC'!C784="SHOW",FIND(",,",'ASS END SYNC'!E784,1),"")</f>
        <v/>
      </c>
      <c r="S780" s="25" t="str">
        <f>IF('ASS END SYNC'!C784="SHOW",FIND(",,",'ASS END SYNC'!E784,R780+1),"")</f>
        <v/>
      </c>
      <c r="T780" s="23" t="str">
        <f>IF('ASS END SYNC'!C784="SHOW",LEFT('ASS END SYNC'!E784,O780),"")</f>
        <v/>
      </c>
      <c r="U780" s="24" t="str">
        <f>IF('ASS END SYNC'!C784="SHOW",MID('ASS END SYNC'!E784,O780+1,P780-O780-1),"")</f>
        <v/>
      </c>
      <c r="V780" s="24" t="str">
        <f>IF(AND('ASS END SYNC'!C784="SHOW",'ASS END SYNC'!C785="SHOW"),U781,IF(AND('ASS END SYNC'!C784="SHOW",'ASS END SYNC'!C785&lt;&gt;"SHOW"),MID('ASS END SYNC'!E784,O780+1,P780-O780-1),""))</f>
        <v/>
      </c>
      <c r="W780" s="23" t="str">
        <f>IF('ASS END SYNC'!C784="SHOW",MID('ASS END SYNC'!E784,Q780+1,S780-Q780+1),"")</f>
        <v/>
      </c>
      <c r="X780" s="23" t="str">
        <f>IF('ASS END SYNC'!C784="SHOW",MID('ASS END SYNC'!E784,S780+2,1000),"")</f>
        <v/>
      </c>
      <c r="Z780" s="24"/>
    </row>
    <row r="781" spans="1:26" x14ac:dyDescent="0.25">
      <c r="A781" s="26">
        <v>778</v>
      </c>
      <c r="B781" s="24" t="str">
        <f>IF('ASS START SYNC'!C785="SHOW",FIND(",",'ASS START SYNC'!E785,1),"")</f>
        <v/>
      </c>
      <c r="C781" s="24" t="str">
        <f>IF('ASS START SYNC'!C785="SHOW",FIND(",",'ASS START SYNC'!E785,B781+1),"")</f>
        <v/>
      </c>
      <c r="D781" s="24" t="str">
        <f>IF('ASS START SYNC'!C785="SHOW",FIND(",",'ASS START SYNC'!E785,C781+1),"")</f>
        <v/>
      </c>
      <c r="E781" s="25" t="str">
        <f>IF('ASS START SYNC'!C785="SHOW",FIND(",,",'ASS START SYNC'!E785,1),"")</f>
        <v/>
      </c>
      <c r="F781" s="25" t="str">
        <f>IF('ASS START SYNC'!C785="SHOW",FIND(",,",'ASS START SYNC'!E785,E781+1),"")</f>
        <v/>
      </c>
      <c r="G781" s="23" t="str">
        <f>IF('ASS START SYNC'!C785="SHOW",LEFT('ASS START SYNC'!E785,B781),"")</f>
        <v/>
      </c>
      <c r="H781" s="24" t="str">
        <f>IF(AND('ASS START SYNC'!C785="SHOW",COUNTA('ASS START SYNC'!$E$8:'ASS START SYNC'!E784)=0),MID('ASS START SYNC'!E785,B781+1,C781-B781-1),IF(AND('ASS START SYNC'!C785="SHOW",COUNTA('ASS START SYNC'!$E$8:'ASS START SYNC'!E784)&lt;&gt;0),I780,""))</f>
        <v/>
      </c>
      <c r="I781" s="24" t="str">
        <f>IF('ASS START SYNC'!C785="SHOW",MID('ASS START SYNC'!E785,C781+1,D781-C781-1),I780)</f>
        <v/>
      </c>
      <c r="J781" s="23" t="str">
        <f>IF('ASS START SYNC'!C785="SHOW",MID('ASS START SYNC'!E785,D781+1,F781-D781+1),"")</f>
        <v/>
      </c>
      <c r="K781" s="23" t="str">
        <f>IF('ASS START SYNC'!C785="SHOW",MID('ASS START SYNC'!E785,F781+2,1000),"")</f>
        <v/>
      </c>
      <c r="M781" s="24"/>
      <c r="N781" s="26">
        <v>778</v>
      </c>
      <c r="O781" s="24" t="str">
        <f>IF('ASS END SYNC'!C785="SHOW",FIND(",",'ASS END SYNC'!E785,1),"")</f>
        <v/>
      </c>
      <c r="P781" s="24" t="str">
        <f>IF('ASS END SYNC'!C785="SHOW",FIND(",",'ASS END SYNC'!E785,O781+1),"")</f>
        <v/>
      </c>
      <c r="Q781" s="24" t="str">
        <f>IF('ASS END SYNC'!C785="SHOW",FIND(",",'ASS END SYNC'!E785,P781+1),"")</f>
        <v/>
      </c>
      <c r="R781" s="25" t="str">
        <f>IF('ASS END SYNC'!C785="SHOW",FIND(",,",'ASS END SYNC'!E785,1),"")</f>
        <v/>
      </c>
      <c r="S781" s="25" t="str">
        <f>IF('ASS END SYNC'!C785="SHOW",FIND(",,",'ASS END SYNC'!E785,R781+1),"")</f>
        <v/>
      </c>
      <c r="T781" s="23" t="str">
        <f>IF('ASS END SYNC'!C785="SHOW",LEFT('ASS END SYNC'!E785,O781),"")</f>
        <v/>
      </c>
      <c r="U781" s="24" t="str">
        <f>IF('ASS END SYNC'!C785="SHOW",MID('ASS END SYNC'!E785,O781+1,P781-O781-1),"")</f>
        <v/>
      </c>
      <c r="V781" s="24" t="str">
        <f>IF(AND('ASS END SYNC'!C785="SHOW",'ASS END SYNC'!C786="SHOW"),U782,IF(AND('ASS END SYNC'!C785="SHOW",'ASS END SYNC'!C786&lt;&gt;"SHOW"),MID('ASS END SYNC'!E785,O781+1,P781-O781-1),""))</f>
        <v/>
      </c>
      <c r="W781" s="23" t="str">
        <f>IF('ASS END SYNC'!C785="SHOW",MID('ASS END SYNC'!E785,Q781+1,S781-Q781+1),"")</f>
        <v/>
      </c>
      <c r="X781" s="23" t="str">
        <f>IF('ASS END SYNC'!C785="SHOW",MID('ASS END SYNC'!E785,S781+2,1000),"")</f>
        <v/>
      </c>
      <c r="Z781" s="24"/>
    </row>
    <row r="782" spans="1:26" x14ac:dyDescent="0.25">
      <c r="A782" s="26">
        <v>779</v>
      </c>
      <c r="B782" s="24" t="str">
        <f>IF('ASS START SYNC'!C786="SHOW",FIND(",",'ASS START SYNC'!E786,1),"")</f>
        <v/>
      </c>
      <c r="C782" s="24" t="str">
        <f>IF('ASS START SYNC'!C786="SHOW",FIND(",",'ASS START SYNC'!E786,B782+1),"")</f>
        <v/>
      </c>
      <c r="D782" s="24" t="str">
        <f>IF('ASS START SYNC'!C786="SHOW",FIND(",",'ASS START SYNC'!E786,C782+1),"")</f>
        <v/>
      </c>
      <c r="E782" s="25" t="str">
        <f>IF('ASS START SYNC'!C786="SHOW",FIND(",,",'ASS START SYNC'!E786,1),"")</f>
        <v/>
      </c>
      <c r="F782" s="25" t="str">
        <f>IF('ASS START SYNC'!C786="SHOW",FIND(",,",'ASS START SYNC'!E786,E782+1),"")</f>
        <v/>
      </c>
      <c r="G782" s="23" t="str">
        <f>IF('ASS START SYNC'!C786="SHOW",LEFT('ASS START SYNC'!E786,B782),"")</f>
        <v/>
      </c>
      <c r="H782" s="24" t="str">
        <f>IF(AND('ASS START SYNC'!C786="SHOW",COUNTA('ASS START SYNC'!$E$8:'ASS START SYNC'!E785)=0),MID('ASS START SYNC'!E786,B782+1,C782-B782-1),IF(AND('ASS START SYNC'!C786="SHOW",COUNTA('ASS START SYNC'!$E$8:'ASS START SYNC'!E785)&lt;&gt;0),I781,""))</f>
        <v/>
      </c>
      <c r="I782" s="24" t="str">
        <f>IF('ASS START SYNC'!C786="SHOW",MID('ASS START SYNC'!E786,C782+1,D782-C782-1),I781)</f>
        <v/>
      </c>
      <c r="J782" s="23" t="str">
        <f>IF('ASS START SYNC'!C786="SHOW",MID('ASS START SYNC'!E786,D782+1,F782-D782+1),"")</f>
        <v/>
      </c>
      <c r="K782" s="23" t="str">
        <f>IF('ASS START SYNC'!C786="SHOW",MID('ASS START SYNC'!E786,F782+2,1000),"")</f>
        <v/>
      </c>
      <c r="M782" s="24"/>
      <c r="N782" s="26">
        <v>779</v>
      </c>
      <c r="O782" s="24" t="str">
        <f>IF('ASS END SYNC'!C786="SHOW",FIND(",",'ASS END SYNC'!E786,1),"")</f>
        <v/>
      </c>
      <c r="P782" s="24" t="str">
        <f>IF('ASS END SYNC'!C786="SHOW",FIND(",",'ASS END SYNC'!E786,O782+1),"")</f>
        <v/>
      </c>
      <c r="Q782" s="24" t="str">
        <f>IF('ASS END SYNC'!C786="SHOW",FIND(",",'ASS END SYNC'!E786,P782+1),"")</f>
        <v/>
      </c>
      <c r="R782" s="25" t="str">
        <f>IF('ASS END SYNC'!C786="SHOW",FIND(",,",'ASS END SYNC'!E786,1),"")</f>
        <v/>
      </c>
      <c r="S782" s="25" t="str">
        <f>IF('ASS END SYNC'!C786="SHOW",FIND(",,",'ASS END SYNC'!E786,R782+1),"")</f>
        <v/>
      </c>
      <c r="T782" s="23" t="str">
        <f>IF('ASS END SYNC'!C786="SHOW",LEFT('ASS END SYNC'!E786,O782),"")</f>
        <v/>
      </c>
      <c r="U782" s="24" t="str">
        <f>IF('ASS END SYNC'!C786="SHOW",MID('ASS END SYNC'!E786,O782+1,P782-O782-1),"")</f>
        <v/>
      </c>
      <c r="V782" s="24" t="str">
        <f>IF(AND('ASS END SYNC'!C786="SHOW",'ASS END SYNC'!C787="SHOW"),U783,IF(AND('ASS END SYNC'!C786="SHOW",'ASS END SYNC'!C787&lt;&gt;"SHOW"),MID('ASS END SYNC'!E786,O782+1,P782-O782-1),""))</f>
        <v/>
      </c>
      <c r="W782" s="23" t="str">
        <f>IF('ASS END SYNC'!C786="SHOW",MID('ASS END SYNC'!E786,Q782+1,S782-Q782+1),"")</f>
        <v/>
      </c>
      <c r="X782" s="23" t="str">
        <f>IF('ASS END SYNC'!C786="SHOW",MID('ASS END SYNC'!E786,S782+2,1000),"")</f>
        <v/>
      </c>
      <c r="Z782" s="24"/>
    </row>
    <row r="783" spans="1:26" x14ac:dyDescent="0.25">
      <c r="A783" s="26">
        <v>780</v>
      </c>
      <c r="B783" s="24" t="str">
        <f>IF('ASS START SYNC'!C787="SHOW",FIND(",",'ASS START SYNC'!E787,1),"")</f>
        <v/>
      </c>
      <c r="C783" s="24" t="str">
        <f>IF('ASS START SYNC'!C787="SHOW",FIND(",",'ASS START SYNC'!E787,B783+1),"")</f>
        <v/>
      </c>
      <c r="D783" s="24" t="str">
        <f>IF('ASS START SYNC'!C787="SHOW",FIND(",",'ASS START SYNC'!E787,C783+1),"")</f>
        <v/>
      </c>
      <c r="E783" s="25" t="str">
        <f>IF('ASS START SYNC'!C787="SHOW",FIND(",,",'ASS START SYNC'!E787,1),"")</f>
        <v/>
      </c>
      <c r="F783" s="25" t="str">
        <f>IF('ASS START SYNC'!C787="SHOW",FIND(",,",'ASS START SYNC'!E787,E783+1),"")</f>
        <v/>
      </c>
      <c r="G783" s="23" t="str">
        <f>IF('ASS START SYNC'!C787="SHOW",LEFT('ASS START SYNC'!E787,B783),"")</f>
        <v/>
      </c>
      <c r="H783" s="24" t="str">
        <f>IF(AND('ASS START SYNC'!C787="SHOW",COUNTA('ASS START SYNC'!$E$8:'ASS START SYNC'!E786)=0),MID('ASS START SYNC'!E787,B783+1,C783-B783-1),IF(AND('ASS START SYNC'!C787="SHOW",COUNTA('ASS START SYNC'!$E$8:'ASS START SYNC'!E786)&lt;&gt;0),I782,""))</f>
        <v/>
      </c>
      <c r="I783" s="24" t="str">
        <f>IF('ASS START SYNC'!C787="SHOW",MID('ASS START SYNC'!E787,C783+1,D783-C783-1),I782)</f>
        <v/>
      </c>
      <c r="J783" s="23" t="str">
        <f>IF('ASS START SYNC'!C787="SHOW",MID('ASS START SYNC'!E787,D783+1,F783-D783+1),"")</f>
        <v/>
      </c>
      <c r="K783" s="23" t="str">
        <f>IF('ASS START SYNC'!C787="SHOW",MID('ASS START SYNC'!E787,F783+2,1000),"")</f>
        <v/>
      </c>
      <c r="M783" s="24"/>
      <c r="N783" s="26">
        <v>780</v>
      </c>
      <c r="O783" s="24" t="str">
        <f>IF('ASS END SYNC'!C787="SHOW",FIND(",",'ASS END SYNC'!E787,1),"")</f>
        <v/>
      </c>
      <c r="P783" s="24" t="str">
        <f>IF('ASS END SYNC'!C787="SHOW",FIND(",",'ASS END SYNC'!E787,O783+1),"")</f>
        <v/>
      </c>
      <c r="Q783" s="24" t="str">
        <f>IF('ASS END SYNC'!C787="SHOW",FIND(",",'ASS END SYNC'!E787,P783+1),"")</f>
        <v/>
      </c>
      <c r="R783" s="25" t="str">
        <f>IF('ASS END SYNC'!C787="SHOW",FIND(",,",'ASS END SYNC'!E787,1),"")</f>
        <v/>
      </c>
      <c r="S783" s="25" t="str">
        <f>IF('ASS END SYNC'!C787="SHOW",FIND(",,",'ASS END SYNC'!E787,R783+1),"")</f>
        <v/>
      </c>
      <c r="T783" s="23" t="str">
        <f>IF('ASS END SYNC'!C787="SHOW",LEFT('ASS END SYNC'!E787,O783),"")</f>
        <v/>
      </c>
      <c r="U783" s="24" t="str">
        <f>IF('ASS END SYNC'!C787="SHOW",MID('ASS END SYNC'!E787,O783+1,P783-O783-1),"")</f>
        <v/>
      </c>
      <c r="V783" s="24" t="str">
        <f>IF(AND('ASS END SYNC'!C787="SHOW",'ASS END SYNC'!C788="SHOW"),U784,IF(AND('ASS END SYNC'!C787="SHOW",'ASS END SYNC'!C788&lt;&gt;"SHOW"),MID('ASS END SYNC'!E787,O783+1,P783-O783-1),""))</f>
        <v/>
      </c>
      <c r="W783" s="23" t="str">
        <f>IF('ASS END SYNC'!C787="SHOW",MID('ASS END SYNC'!E787,Q783+1,S783-Q783+1),"")</f>
        <v/>
      </c>
      <c r="X783" s="23" t="str">
        <f>IF('ASS END SYNC'!C787="SHOW",MID('ASS END SYNC'!E787,S783+2,1000),"")</f>
        <v/>
      </c>
      <c r="Z783" s="24"/>
    </row>
    <row r="784" spans="1:26" x14ac:dyDescent="0.25">
      <c r="A784" s="26">
        <v>781</v>
      </c>
      <c r="B784" s="24" t="str">
        <f>IF('ASS START SYNC'!C788="SHOW",FIND(",",'ASS START SYNC'!E788,1),"")</f>
        <v/>
      </c>
      <c r="C784" s="24" t="str">
        <f>IF('ASS START SYNC'!C788="SHOW",FIND(",",'ASS START SYNC'!E788,B784+1),"")</f>
        <v/>
      </c>
      <c r="D784" s="24" t="str">
        <f>IF('ASS START SYNC'!C788="SHOW",FIND(",",'ASS START SYNC'!E788,C784+1),"")</f>
        <v/>
      </c>
      <c r="E784" s="25" t="str">
        <f>IF('ASS START SYNC'!C788="SHOW",FIND(",,",'ASS START SYNC'!E788,1),"")</f>
        <v/>
      </c>
      <c r="F784" s="25" t="str">
        <f>IF('ASS START SYNC'!C788="SHOW",FIND(",,",'ASS START SYNC'!E788,E784+1),"")</f>
        <v/>
      </c>
      <c r="G784" s="23" t="str">
        <f>IF('ASS START SYNC'!C788="SHOW",LEFT('ASS START SYNC'!E788,B784),"")</f>
        <v/>
      </c>
      <c r="H784" s="24" t="str">
        <f>IF(AND('ASS START SYNC'!C788="SHOW",COUNTA('ASS START SYNC'!$E$8:'ASS START SYNC'!E787)=0),MID('ASS START SYNC'!E788,B784+1,C784-B784-1),IF(AND('ASS START SYNC'!C788="SHOW",COUNTA('ASS START SYNC'!$E$8:'ASS START SYNC'!E787)&lt;&gt;0),I783,""))</f>
        <v/>
      </c>
      <c r="I784" s="24" t="str">
        <f>IF('ASS START SYNC'!C788="SHOW",MID('ASS START SYNC'!E788,C784+1,D784-C784-1),I783)</f>
        <v/>
      </c>
      <c r="J784" s="23" t="str">
        <f>IF('ASS START SYNC'!C788="SHOW",MID('ASS START SYNC'!E788,D784+1,F784-D784+1),"")</f>
        <v/>
      </c>
      <c r="K784" s="23" t="str">
        <f>IF('ASS START SYNC'!C788="SHOW",MID('ASS START SYNC'!E788,F784+2,1000),"")</f>
        <v/>
      </c>
      <c r="M784" s="24"/>
      <c r="N784" s="26">
        <v>781</v>
      </c>
      <c r="O784" s="24" t="str">
        <f>IF('ASS END SYNC'!C788="SHOW",FIND(",",'ASS END SYNC'!E788,1),"")</f>
        <v/>
      </c>
      <c r="P784" s="24" t="str">
        <f>IF('ASS END SYNC'!C788="SHOW",FIND(",",'ASS END SYNC'!E788,O784+1),"")</f>
        <v/>
      </c>
      <c r="Q784" s="24" t="str">
        <f>IF('ASS END SYNC'!C788="SHOW",FIND(",",'ASS END SYNC'!E788,P784+1),"")</f>
        <v/>
      </c>
      <c r="R784" s="25" t="str">
        <f>IF('ASS END SYNC'!C788="SHOW",FIND(",,",'ASS END SYNC'!E788,1),"")</f>
        <v/>
      </c>
      <c r="S784" s="25" t="str">
        <f>IF('ASS END SYNC'!C788="SHOW",FIND(",,",'ASS END SYNC'!E788,R784+1),"")</f>
        <v/>
      </c>
      <c r="T784" s="23" t="str">
        <f>IF('ASS END SYNC'!C788="SHOW",LEFT('ASS END SYNC'!E788,O784),"")</f>
        <v/>
      </c>
      <c r="U784" s="24" t="str">
        <f>IF('ASS END SYNC'!C788="SHOW",MID('ASS END SYNC'!E788,O784+1,P784-O784-1),"")</f>
        <v/>
      </c>
      <c r="V784" s="24" t="str">
        <f>IF(AND('ASS END SYNC'!C788="SHOW",'ASS END SYNC'!C789="SHOW"),U785,IF(AND('ASS END SYNC'!C788="SHOW",'ASS END SYNC'!C789&lt;&gt;"SHOW"),MID('ASS END SYNC'!E788,O784+1,P784-O784-1),""))</f>
        <v/>
      </c>
      <c r="W784" s="23" t="str">
        <f>IF('ASS END SYNC'!C788="SHOW",MID('ASS END SYNC'!E788,Q784+1,S784-Q784+1),"")</f>
        <v/>
      </c>
      <c r="X784" s="23" t="str">
        <f>IF('ASS END SYNC'!C788="SHOW",MID('ASS END SYNC'!E788,S784+2,1000),"")</f>
        <v/>
      </c>
      <c r="Z784" s="24"/>
    </row>
    <row r="785" spans="1:26" x14ac:dyDescent="0.25">
      <c r="A785" s="26">
        <v>782</v>
      </c>
      <c r="B785" s="24" t="str">
        <f>IF('ASS START SYNC'!C789="SHOW",FIND(",",'ASS START SYNC'!E789,1),"")</f>
        <v/>
      </c>
      <c r="C785" s="24" t="str">
        <f>IF('ASS START SYNC'!C789="SHOW",FIND(",",'ASS START SYNC'!E789,B785+1),"")</f>
        <v/>
      </c>
      <c r="D785" s="24" t="str">
        <f>IF('ASS START SYNC'!C789="SHOW",FIND(",",'ASS START SYNC'!E789,C785+1),"")</f>
        <v/>
      </c>
      <c r="E785" s="25" t="str">
        <f>IF('ASS START SYNC'!C789="SHOW",FIND(",,",'ASS START SYNC'!E789,1),"")</f>
        <v/>
      </c>
      <c r="F785" s="25" t="str">
        <f>IF('ASS START SYNC'!C789="SHOW",FIND(",,",'ASS START SYNC'!E789,E785+1),"")</f>
        <v/>
      </c>
      <c r="G785" s="23" t="str">
        <f>IF('ASS START SYNC'!C789="SHOW",LEFT('ASS START SYNC'!E789,B785),"")</f>
        <v/>
      </c>
      <c r="H785" s="24" t="str">
        <f>IF(AND('ASS START SYNC'!C789="SHOW",COUNTA('ASS START SYNC'!$E$8:'ASS START SYNC'!E788)=0),MID('ASS START SYNC'!E789,B785+1,C785-B785-1),IF(AND('ASS START SYNC'!C789="SHOW",COUNTA('ASS START SYNC'!$E$8:'ASS START SYNC'!E788)&lt;&gt;0),I784,""))</f>
        <v/>
      </c>
      <c r="I785" s="24" t="str">
        <f>IF('ASS START SYNC'!C789="SHOW",MID('ASS START SYNC'!E789,C785+1,D785-C785-1),I784)</f>
        <v/>
      </c>
      <c r="J785" s="23" t="str">
        <f>IF('ASS START SYNC'!C789="SHOW",MID('ASS START SYNC'!E789,D785+1,F785-D785+1),"")</f>
        <v/>
      </c>
      <c r="K785" s="23" t="str">
        <f>IF('ASS START SYNC'!C789="SHOW",MID('ASS START SYNC'!E789,F785+2,1000),"")</f>
        <v/>
      </c>
      <c r="M785" s="24"/>
      <c r="N785" s="26">
        <v>782</v>
      </c>
      <c r="O785" s="24" t="str">
        <f>IF('ASS END SYNC'!C789="SHOW",FIND(",",'ASS END SYNC'!E789,1),"")</f>
        <v/>
      </c>
      <c r="P785" s="24" t="str">
        <f>IF('ASS END SYNC'!C789="SHOW",FIND(",",'ASS END SYNC'!E789,O785+1),"")</f>
        <v/>
      </c>
      <c r="Q785" s="24" t="str">
        <f>IF('ASS END SYNC'!C789="SHOW",FIND(",",'ASS END SYNC'!E789,P785+1),"")</f>
        <v/>
      </c>
      <c r="R785" s="25" t="str">
        <f>IF('ASS END SYNC'!C789="SHOW",FIND(",,",'ASS END SYNC'!E789,1),"")</f>
        <v/>
      </c>
      <c r="S785" s="25" t="str">
        <f>IF('ASS END SYNC'!C789="SHOW",FIND(",,",'ASS END SYNC'!E789,R785+1),"")</f>
        <v/>
      </c>
      <c r="T785" s="23" t="str">
        <f>IF('ASS END SYNC'!C789="SHOW",LEFT('ASS END SYNC'!E789,O785),"")</f>
        <v/>
      </c>
      <c r="U785" s="24" t="str">
        <f>IF('ASS END SYNC'!C789="SHOW",MID('ASS END SYNC'!E789,O785+1,P785-O785-1),"")</f>
        <v/>
      </c>
      <c r="V785" s="24" t="str">
        <f>IF(AND('ASS END SYNC'!C789="SHOW",'ASS END SYNC'!C790="SHOW"),U786,IF(AND('ASS END SYNC'!C789="SHOW",'ASS END SYNC'!C790&lt;&gt;"SHOW"),MID('ASS END SYNC'!E789,O785+1,P785-O785-1),""))</f>
        <v/>
      </c>
      <c r="W785" s="23" t="str">
        <f>IF('ASS END SYNC'!C789="SHOW",MID('ASS END SYNC'!E789,Q785+1,S785-Q785+1),"")</f>
        <v/>
      </c>
      <c r="X785" s="23" t="str">
        <f>IF('ASS END SYNC'!C789="SHOW",MID('ASS END SYNC'!E789,S785+2,1000),"")</f>
        <v/>
      </c>
      <c r="Z785" s="24"/>
    </row>
    <row r="786" spans="1:26" x14ac:dyDescent="0.25">
      <c r="A786" s="26">
        <v>783</v>
      </c>
      <c r="B786" s="24" t="str">
        <f>IF('ASS START SYNC'!C790="SHOW",FIND(",",'ASS START SYNC'!E790,1),"")</f>
        <v/>
      </c>
      <c r="C786" s="24" t="str">
        <f>IF('ASS START SYNC'!C790="SHOW",FIND(",",'ASS START SYNC'!E790,B786+1),"")</f>
        <v/>
      </c>
      <c r="D786" s="24" t="str">
        <f>IF('ASS START SYNC'!C790="SHOW",FIND(",",'ASS START SYNC'!E790,C786+1),"")</f>
        <v/>
      </c>
      <c r="E786" s="25" t="str">
        <f>IF('ASS START SYNC'!C790="SHOW",FIND(",,",'ASS START SYNC'!E790,1),"")</f>
        <v/>
      </c>
      <c r="F786" s="25" t="str">
        <f>IF('ASS START SYNC'!C790="SHOW",FIND(",,",'ASS START SYNC'!E790,E786+1),"")</f>
        <v/>
      </c>
      <c r="G786" s="23" t="str">
        <f>IF('ASS START SYNC'!C790="SHOW",LEFT('ASS START SYNC'!E790,B786),"")</f>
        <v/>
      </c>
      <c r="H786" s="24" t="str">
        <f>IF(AND('ASS START SYNC'!C790="SHOW",COUNTA('ASS START SYNC'!$E$8:'ASS START SYNC'!E789)=0),MID('ASS START SYNC'!E790,B786+1,C786-B786-1),IF(AND('ASS START SYNC'!C790="SHOW",COUNTA('ASS START SYNC'!$E$8:'ASS START SYNC'!E789)&lt;&gt;0),I785,""))</f>
        <v/>
      </c>
      <c r="I786" s="24" t="str">
        <f>IF('ASS START SYNC'!C790="SHOW",MID('ASS START SYNC'!E790,C786+1,D786-C786-1),I785)</f>
        <v/>
      </c>
      <c r="J786" s="23" t="str">
        <f>IF('ASS START SYNC'!C790="SHOW",MID('ASS START SYNC'!E790,D786+1,F786-D786+1),"")</f>
        <v/>
      </c>
      <c r="K786" s="23" t="str">
        <f>IF('ASS START SYNC'!C790="SHOW",MID('ASS START SYNC'!E790,F786+2,1000),"")</f>
        <v/>
      </c>
      <c r="M786" s="24"/>
      <c r="N786" s="26">
        <v>783</v>
      </c>
      <c r="O786" s="24" t="str">
        <f>IF('ASS END SYNC'!C790="SHOW",FIND(",",'ASS END SYNC'!E790,1),"")</f>
        <v/>
      </c>
      <c r="P786" s="24" t="str">
        <f>IF('ASS END SYNC'!C790="SHOW",FIND(",",'ASS END SYNC'!E790,O786+1),"")</f>
        <v/>
      </c>
      <c r="Q786" s="24" t="str">
        <f>IF('ASS END SYNC'!C790="SHOW",FIND(",",'ASS END SYNC'!E790,P786+1),"")</f>
        <v/>
      </c>
      <c r="R786" s="25" t="str">
        <f>IF('ASS END SYNC'!C790="SHOW",FIND(",,",'ASS END SYNC'!E790,1),"")</f>
        <v/>
      </c>
      <c r="S786" s="25" t="str">
        <f>IF('ASS END SYNC'!C790="SHOW",FIND(",,",'ASS END SYNC'!E790,R786+1),"")</f>
        <v/>
      </c>
      <c r="T786" s="23" t="str">
        <f>IF('ASS END SYNC'!C790="SHOW",LEFT('ASS END SYNC'!E790,O786),"")</f>
        <v/>
      </c>
      <c r="U786" s="24" t="str">
        <f>IF('ASS END SYNC'!C790="SHOW",MID('ASS END SYNC'!E790,O786+1,P786-O786-1),"")</f>
        <v/>
      </c>
      <c r="V786" s="24" t="str">
        <f>IF(AND('ASS END SYNC'!C790="SHOW",'ASS END SYNC'!C791="SHOW"),U787,IF(AND('ASS END SYNC'!C790="SHOW",'ASS END SYNC'!C791&lt;&gt;"SHOW"),MID('ASS END SYNC'!E790,O786+1,P786-O786-1),""))</f>
        <v/>
      </c>
      <c r="W786" s="23" t="str">
        <f>IF('ASS END SYNC'!C790="SHOW",MID('ASS END SYNC'!E790,Q786+1,S786-Q786+1),"")</f>
        <v/>
      </c>
      <c r="X786" s="23" t="str">
        <f>IF('ASS END SYNC'!C790="SHOW",MID('ASS END SYNC'!E790,S786+2,1000),"")</f>
        <v/>
      </c>
      <c r="Z786" s="24"/>
    </row>
    <row r="787" spans="1:26" x14ac:dyDescent="0.25">
      <c r="A787" s="26">
        <v>784</v>
      </c>
      <c r="B787" s="24" t="str">
        <f>IF('ASS START SYNC'!C791="SHOW",FIND(",",'ASS START SYNC'!E791,1),"")</f>
        <v/>
      </c>
      <c r="C787" s="24" t="str">
        <f>IF('ASS START SYNC'!C791="SHOW",FIND(",",'ASS START SYNC'!E791,B787+1),"")</f>
        <v/>
      </c>
      <c r="D787" s="24" t="str">
        <f>IF('ASS START SYNC'!C791="SHOW",FIND(",",'ASS START SYNC'!E791,C787+1),"")</f>
        <v/>
      </c>
      <c r="E787" s="25" t="str">
        <f>IF('ASS START SYNC'!C791="SHOW",FIND(",,",'ASS START SYNC'!E791,1),"")</f>
        <v/>
      </c>
      <c r="F787" s="25" t="str">
        <f>IF('ASS START SYNC'!C791="SHOW",FIND(",,",'ASS START SYNC'!E791,E787+1),"")</f>
        <v/>
      </c>
      <c r="G787" s="23" t="str">
        <f>IF('ASS START SYNC'!C791="SHOW",LEFT('ASS START SYNC'!E791,B787),"")</f>
        <v/>
      </c>
      <c r="H787" s="24" t="str">
        <f>IF(AND('ASS START SYNC'!C791="SHOW",COUNTA('ASS START SYNC'!$E$8:'ASS START SYNC'!E790)=0),MID('ASS START SYNC'!E791,B787+1,C787-B787-1),IF(AND('ASS START SYNC'!C791="SHOW",COUNTA('ASS START SYNC'!$E$8:'ASS START SYNC'!E790)&lt;&gt;0),I786,""))</f>
        <v/>
      </c>
      <c r="I787" s="24" t="str">
        <f>IF('ASS START SYNC'!C791="SHOW",MID('ASS START SYNC'!E791,C787+1,D787-C787-1),I786)</f>
        <v/>
      </c>
      <c r="J787" s="23" t="str">
        <f>IF('ASS START SYNC'!C791="SHOW",MID('ASS START SYNC'!E791,D787+1,F787-D787+1),"")</f>
        <v/>
      </c>
      <c r="K787" s="23" t="str">
        <f>IF('ASS START SYNC'!C791="SHOW",MID('ASS START SYNC'!E791,F787+2,1000),"")</f>
        <v/>
      </c>
      <c r="M787" s="24"/>
      <c r="N787" s="26">
        <v>784</v>
      </c>
      <c r="O787" s="24" t="str">
        <f>IF('ASS END SYNC'!C791="SHOW",FIND(",",'ASS END SYNC'!E791,1),"")</f>
        <v/>
      </c>
      <c r="P787" s="24" t="str">
        <f>IF('ASS END SYNC'!C791="SHOW",FIND(",",'ASS END SYNC'!E791,O787+1),"")</f>
        <v/>
      </c>
      <c r="Q787" s="24" t="str">
        <f>IF('ASS END SYNC'!C791="SHOW",FIND(",",'ASS END SYNC'!E791,P787+1),"")</f>
        <v/>
      </c>
      <c r="R787" s="25" t="str">
        <f>IF('ASS END SYNC'!C791="SHOW",FIND(",,",'ASS END SYNC'!E791,1),"")</f>
        <v/>
      </c>
      <c r="S787" s="25" t="str">
        <f>IF('ASS END SYNC'!C791="SHOW",FIND(",,",'ASS END SYNC'!E791,R787+1),"")</f>
        <v/>
      </c>
      <c r="T787" s="23" t="str">
        <f>IF('ASS END SYNC'!C791="SHOW",LEFT('ASS END SYNC'!E791,O787),"")</f>
        <v/>
      </c>
      <c r="U787" s="24" t="str">
        <f>IF('ASS END SYNC'!C791="SHOW",MID('ASS END SYNC'!E791,O787+1,P787-O787-1),"")</f>
        <v/>
      </c>
      <c r="V787" s="24" t="str">
        <f>IF(AND('ASS END SYNC'!C791="SHOW",'ASS END SYNC'!C792="SHOW"),U788,IF(AND('ASS END SYNC'!C791="SHOW",'ASS END SYNC'!C792&lt;&gt;"SHOW"),MID('ASS END SYNC'!E791,O787+1,P787-O787-1),""))</f>
        <v/>
      </c>
      <c r="W787" s="23" t="str">
        <f>IF('ASS END SYNC'!C791="SHOW",MID('ASS END SYNC'!E791,Q787+1,S787-Q787+1),"")</f>
        <v/>
      </c>
      <c r="X787" s="23" t="str">
        <f>IF('ASS END SYNC'!C791="SHOW",MID('ASS END SYNC'!E791,S787+2,1000),"")</f>
        <v/>
      </c>
      <c r="Z787" s="24"/>
    </row>
    <row r="788" spans="1:26" x14ac:dyDescent="0.25">
      <c r="A788" s="26">
        <v>785</v>
      </c>
      <c r="B788" s="24" t="str">
        <f>IF('ASS START SYNC'!C792="SHOW",FIND(",",'ASS START SYNC'!E792,1),"")</f>
        <v/>
      </c>
      <c r="C788" s="24" t="str">
        <f>IF('ASS START SYNC'!C792="SHOW",FIND(",",'ASS START SYNC'!E792,B788+1),"")</f>
        <v/>
      </c>
      <c r="D788" s="24" t="str">
        <f>IF('ASS START SYNC'!C792="SHOW",FIND(",",'ASS START SYNC'!E792,C788+1),"")</f>
        <v/>
      </c>
      <c r="E788" s="25" t="str">
        <f>IF('ASS START SYNC'!C792="SHOW",FIND(",,",'ASS START SYNC'!E792,1),"")</f>
        <v/>
      </c>
      <c r="F788" s="25" t="str">
        <f>IF('ASS START SYNC'!C792="SHOW",FIND(",,",'ASS START SYNC'!E792,E788+1),"")</f>
        <v/>
      </c>
      <c r="G788" s="23" t="str">
        <f>IF('ASS START SYNC'!C792="SHOW",LEFT('ASS START SYNC'!E792,B788),"")</f>
        <v/>
      </c>
      <c r="H788" s="24" t="str">
        <f>IF(AND('ASS START SYNC'!C792="SHOW",COUNTA('ASS START SYNC'!$E$8:'ASS START SYNC'!E791)=0),MID('ASS START SYNC'!E792,B788+1,C788-B788-1),IF(AND('ASS START SYNC'!C792="SHOW",COUNTA('ASS START SYNC'!$E$8:'ASS START SYNC'!E791)&lt;&gt;0),I787,""))</f>
        <v/>
      </c>
      <c r="I788" s="24" t="str">
        <f>IF('ASS START SYNC'!C792="SHOW",MID('ASS START SYNC'!E792,C788+1,D788-C788-1),I787)</f>
        <v/>
      </c>
      <c r="J788" s="23" t="str">
        <f>IF('ASS START SYNC'!C792="SHOW",MID('ASS START SYNC'!E792,D788+1,F788-D788+1),"")</f>
        <v/>
      </c>
      <c r="K788" s="23" t="str">
        <f>IF('ASS START SYNC'!C792="SHOW",MID('ASS START SYNC'!E792,F788+2,1000),"")</f>
        <v/>
      </c>
      <c r="M788" s="24"/>
      <c r="N788" s="26">
        <v>785</v>
      </c>
      <c r="O788" s="24" t="str">
        <f>IF('ASS END SYNC'!C792="SHOW",FIND(",",'ASS END SYNC'!E792,1),"")</f>
        <v/>
      </c>
      <c r="P788" s="24" t="str">
        <f>IF('ASS END SYNC'!C792="SHOW",FIND(",",'ASS END SYNC'!E792,O788+1),"")</f>
        <v/>
      </c>
      <c r="Q788" s="24" t="str">
        <f>IF('ASS END SYNC'!C792="SHOW",FIND(",",'ASS END SYNC'!E792,P788+1),"")</f>
        <v/>
      </c>
      <c r="R788" s="25" t="str">
        <f>IF('ASS END SYNC'!C792="SHOW",FIND(",,",'ASS END SYNC'!E792,1),"")</f>
        <v/>
      </c>
      <c r="S788" s="25" t="str">
        <f>IF('ASS END SYNC'!C792="SHOW",FIND(",,",'ASS END SYNC'!E792,R788+1),"")</f>
        <v/>
      </c>
      <c r="T788" s="23" t="str">
        <f>IF('ASS END SYNC'!C792="SHOW",LEFT('ASS END SYNC'!E792,O788),"")</f>
        <v/>
      </c>
      <c r="U788" s="24" t="str">
        <f>IF('ASS END SYNC'!C792="SHOW",MID('ASS END SYNC'!E792,O788+1,P788-O788-1),"")</f>
        <v/>
      </c>
      <c r="V788" s="24" t="str">
        <f>IF(AND('ASS END SYNC'!C792="SHOW",'ASS END SYNC'!C793="SHOW"),U789,IF(AND('ASS END SYNC'!C792="SHOW",'ASS END SYNC'!C793&lt;&gt;"SHOW"),MID('ASS END SYNC'!E792,O788+1,P788-O788-1),""))</f>
        <v/>
      </c>
      <c r="W788" s="23" t="str">
        <f>IF('ASS END SYNC'!C792="SHOW",MID('ASS END SYNC'!E792,Q788+1,S788-Q788+1),"")</f>
        <v/>
      </c>
      <c r="X788" s="23" t="str">
        <f>IF('ASS END SYNC'!C792="SHOW",MID('ASS END SYNC'!E792,S788+2,1000),"")</f>
        <v/>
      </c>
      <c r="Z788" s="24"/>
    </row>
    <row r="789" spans="1:26" x14ac:dyDescent="0.25">
      <c r="A789" s="26">
        <v>786</v>
      </c>
      <c r="B789" s="24" t="str">
        <f>IF('ASS START SYNC'!C793="SHOW",FIND(",",'ASS START SYNC'!E793,1),"")</f>
        <v/>
      </c>
      <c r="C789" s="24" t="str">
        <f>IF('ASS START SYNC'!C793="SHOW",FIND(",",'ASS START SYNC'!E793,B789+1),"")</f>
        <v/>
      </c>
      <c r="D789" s="24" t="str">
        <f>IF('ASS START SYNC'!C793="SHOW",FIND(",",'ASS START SYNC'!E793,C789+1),"")</f>
        <v/>
      </c>
      <c r="E789" s="25" t="str">
        <f>IF('ASS START SYNC'!C793="SHOW",FIND(",,",'ASS START SYNC'!E793,1),"")</f>
        <v/>
      </c>
      <c r="F789" s="25" t="str">
        <f>IF('ASS START SYNC'!C793="SHOW",FIND(",,",'ASS START SYNC'!E793,E789+1),"")</f>
        <v/>
      </c>
      <c r="G789" s="23" t="str">
        <f>IF('ASS START SYNC'!C793="SHOW",LEFT('ASS START SYNC'!E793,B789),"")</f>
        <v/>
      </c>
      <c r="H789" s="24" t="str">
        <f>IF(AND('ASS START SYNC'!C793="SHOW",COUNTA('ASS START SYNC'!$E$8:'ASS START SYNC'!E792)=0),MID('ASS START SYNC'!E793,B789+1,C789-B789-1),IF(AND('ASS START SYNC'!C793="SHOW",COUNTA('ASS START SYNC'!$E$8:'ASS START SYNC'!E792)&lt;&gt;0),I788,""))</f>
        <v/>
      </c>
      <c r="I789" s="24" t="str">
        <f>IF('ASS START SYNC'!C793="SHOW",MID('ASS START SYNC'!E793,C789+1,D789-C789-1),I788)</f>
        <v/>
      </c>
      <c r="J789" s="23" t="str">
        <f>IF('ASS START SYNC'!C793="SHOW",MID('ASS START SYNC'!E793,D789+1,F789-D789+1),"")</f>
        <v/>
      </c>
      <c r="K789" s="23" t="str">
        <f>IF('ASS START SYNC'!C793="SHOW",MID('ASS START SYNC'!E793,F789+2,1000),"")</f>
        <v/>
      </c>
      <c r="M789" s="24"/>
      <c r="N789" s="26">
        <v>786</v>
      </c>
      <c r="O789" s="24" t="str">
        <f>IF('ASS END SYNC'!C793="SHOW",FIND(",",'ASS END SYNC'!E793,1),"")</f>
        <v/>
      </c>
      <c r="P789" s="24" t="str">
        <f>IF('ASS END SYNC'!C793="SHOW",FIND(",",'ASS END SYNC'!E793,O789+1),"")</f>
        <v/>
      </c>
      <c r="Q789" s="24" t="str">
        <f>IF('ASS END SYNC'!C793="SHOW",FIND(",",'ASS END SYNC'!E793,P789+1),"")</f>
        <v/>
      </c>
      <c r="R789" s="25" t="str">
        <f>IF('ASS END SYNC'!C793="SHOW",FIND(",,",'ASS END SYNC'!E793,1),"")</f>
        <v/>
      </c>
      <c r="S789" s="25" t="str">
        <f>IF('ASS END SYNC'!C793="SHOW",FIND(",,",'ASS END SYNC'!E793,R789+1),"")</f>
        <v/>
      </c>
      <c r="T789" s="23" t="str">
        <f>IF('ASS END SYNC'!C793="SHOW",LEFT('ASS END SYNC'!E793,O789),"")</f>
        <v/>
      </c>
      <c r="U789" s="24" t="str">
        <f>IF('ASS END SYNC'!C793="SHOW",MID('ASS END SYNC'!E793,O789+1,P789-O789-1),"")</f>
        <v/>
      </c>
      <c r="V789" s="24" t="str">
        <f>IF(AND('ASS END SYNC'!C793="SHOW",'ASS END SYNC'!C794="SHOW"),U790,IF(AND('ASS END SYNC'!C793="SHOW",'ASS END SYNC'!C794&lt;&gt;"SHOW"),MID('ASS END SYNC'!E793,O789+1,P789-O789-1),""))</f>
        <v/>
      </c>
      <c r="W789" s="23" t="str">
        <f>IF('ASS END SYNC'!C793="SHOW",MID('ASS END SYNC'!E793,Q789+1,S789-Q789+1),"")</f>
        <v/>
      </c>
      <c r="X789" s="23" t="str">
        <f>IF('ASS END SYNC'!C793="SHOW",MID('ASS END SYNC'!E793,S789+2,1000),"")</f>
        <v/>
      </c>
      <c r="Z789" s="24"/>
    </row>
    <row r="790" spans="1:26" x14ac:dyDescent="0.25">
      <c r="A790" s="26">
        <v>787</v>
      </c>
      <c r="B790" s="24" t="str">
        <f>IF('ASS START SYNC'!C794="SHOW",FIND(",",'ASS START SYNC'!E794,1),"")</f>
        <v/>
      </c>
      <c r="C790" s="24" t="str">
        <f>IF('ASS START SYNC'!C794="SHOW",FIND(",",'ASS START SYNC'!E794,B790+1),"")</f>
        <v/>
      </c>
      <c r="D790" s="24" t="str">
        <f>IF('ASS START SYNC'!C794="SHOW",FIND(",",'ASS START SYNC'!E794,C790+1),"")</f>
        <v/>
      </c>
      <c r="E790" s="25" t="str">
        <f>IF('ASS START SYNC'!C794="SHOW",FIND(",,",'ASS START SYNC'!E794,1),"")</f>
        <v/>
      </c>
      <c r="F790" s="25" t="str">
        <f>IF('ASS START SYNC'!C794="SHOW",FIND(",,",'ASS START SYNC'!E794,E790+1),"")</f>
        <v/>
      </c>
      <c r="G790" s="23" t="str">
        <f>IF('ASS START SYNC'!C794="SHOW",LEFT('ASS START SYNC'!E794,B790),"")</f>
        <v/>
      </c>
      <c r="H790" s="24" t="str">
        <f>IF(AND('ASS START SYNC'!C794="SHOW",COUNTA('ASS START SYNC'!$E$8:'ASS START SYNC'!E793)=0),MID('ASS START SYNC'!E794,B790+1,C790-B790-1),IF(AND('ASS START SYNC'!C794="SHOW",COUNTA('ASS START SYNC'!$E$8:'ASS START SYNC'!E793)&lt;&gt;0),I789,""))</f>
        <v/>
      </c>
      <c r="I790" s="24" t="str">
        <f>IF('ASS START SYNC'!C794="SHOW",MID('ASS START SYNC'!E794,C790+1,D790-C790-1),I789)</f>
        <v/>
      </c>
      <c r="J790" s="23" t="str">
        <f>IF('ASS START SYNC'!C794="SHOW",MID('ASS START SYNC'!E794,D790+1,F790-D790+1),"")</f>
        <v/>
      </c>
      <c r="K790" s="23" t="str">
        <f>IF('ASS START SYNC'!C794="SHOW",MID('ASS START SYNC'!E794,F790+2,1000),"")</f>
        <v/>
      </c>
      <c r="M790" s="24"/>
      <c r="N790" s="26">
        <v>787</v>
      </c>
      <c r="O790" s="24" t="str">
        <f>IF('ASS END SYNC'!C794="SHOW",FIND(",",'ASS END SYNC'!E794,1),"")</f>
        <v/>
      </c>
      <c r="P790" s="24" t="str">
        <f>IF('ASS END SYNC'!C794="SHOW",FIND(",",'ASS END SYNC'!E794,O790+1),"")</f>
        <v/>
      </c>
      <c r="Q790" s="24" t="str">
        <f>IF('ASS END SYNC'!C794="SHOW",FIND(",",'ASS END SYNC'!E794,P790+1),"")</f>
        <v/>
      </c>
      <c r="R790" s="25" t="str">
        <f>IF('ASS END SYNC'!C794="SHOW",FIND(",,",'ASS END SYNC'!E794,1),"")</f>
        <v/>
      </c>
      <c r="S790" s="25" t="str">
        <f>IF('ASS END SYNC'!C794="SHOW",FIND(",,",'ASS END SYNC'!E794,R790+1),"")</f>
        <v/>
      </c>
      <c r="T790" s="23" t="str">
        <f>IF('ASS END SYNC'!C794="SHOW",LEFT('ASS END SYNC'!E794,O790),"")</f>
        <v/>
      </c>
      <c r="U790" s="24" t="str">
        <f>IF('ASS END SYNC'!C794="SHOW",MID('ASS END SYNC'!E794,O790+1,P790-O790-1),"")</f>
        <v/>
      </c>
      <c r="V790" s="24" t="str">
        <f>IF(AND('ASS END SYNC'!C794="SHOW",'ASS END SYNC'!C795="SHOW"),U791,IF(AND('ASS END SYNC'!C794="SHOW",'ASS END SYNC'!C795&lt;&gt;"SHOW"),MID('ASS END SYNC'!E794,O790+1,P790-O790-1),""))</f>
        <v/>
      </c>
      <c r="W790" s="23" t="str">
        <f>IF('ASS END SYNC'!C794="SHOW",MID('ASS END SYNC'!E794,Q790+1,S790-Q790+1),"")</f>
        <v/>
      </c>
      <c r="X790" s="23" t="str">
        <f>IF('ASS END SYNC'!C794="SHOW",MID('ASS END SYNC'!E794,S790+2,1000),"")</f>
        <v/>
      </c>
      <c r="Z790" s="24"/>
    </row>
    <row r="791" spans="1:26" x14ac:dyDescent="0.25">
      <c r="A791" s="26">
        <v>788</v>
      </c>
      <c r="B791" s="24" t="str">
        <f>IF('ASS START SYNC'!C795="SHOW",FIND(",",'ASS START SYNC'!E795,1),"")</f>
        <v/>
      </c>
      <c r="C791" s="24" t="str">
        <f>IF('ASS START SYNC'!C795="SHOW",FIND(",",'ASS START SYNC'!E795,B791+1),"")</f>
        <v/>
      </c>
      <c r="D791" s="24" t="str">
        <f>IF('ASS START SYNC'!C795="SHOW",FIND(",",'ASS START SYNC'!E795,C791+1),"")</f>
        <v/>
      </c>
      <c r="E791" s="25" t="str">
        <f>IF('ASS START SYNC'!C795="SHOW",FIND(",,",'ASS START SYNC'!E795,1),"")</f>
        <v/>
      </c>
      <c r="F791" s="25" t="str">
        <f>IF('ASS START SYNC'!C795="SHOW",FIND(",,",'ASS START SYNC'!E795,E791+1),"")</f>
        <v/>
      </c>
      <c r="G791" s="23" t="str">
        <f>IF('ASS START SYNC'!C795="SHOW",LEFT('ASS START SYNC'!E795,B791),"")</f>
        <v/>
      </c>
      <c r="H791" s="24" t="str">
        <f>IF(AND('ASS START SYNC'!C795="SHOW",COUNTA('ASS START SYNC'!$E$8:'ASS START SYNC'!E794)=0),MID('ASS START SYNC'!E795,B791+1,C791-B791-1),IF(AND('ASS START SYNC'!C795="SHOW",COUNTA('ASS START SYNC'!$E$8:'ASS START SYNC'!E794)&lt;&gt;0),I790,""))</f>
        <v/>
      </c>
      <c r="I791" s="24" t="str">
        <f>IF('ASS START SYNC'!C795="SHOW",MID('ASS START SYNC'!E795,C791+1,D791-C791-1),I790)</f>
        <v/>
      </c>
      <c r="J791" s="23" t="str">
        <f>IF('ASS START SYNC'!C795="SHOW",MID('ASS START SYNC'!E795,D791+1,F791-D791+1),"")</f>
        <v/>
      </c>
      <c r="K791" s="23" t="str">
        <f>IF('ASS START SYNC'!C795="SHOW",MID('ASS START SYNC'!E795,F791+2,1000),"")</f>
        <v/>
      </c>
      <c r="M791" s="24"/>
      <c r="N791" s="26">
        <v>788</v>
      </c>
      <c r="O791" s="24" t="str">
        <f>IF('ASS END SYNC'!C795="SHOW",FIND(",",'ASS END SYNC'!E795,1),"")</f>
        <v/>
      </c>
      <c r="P791" s="24" t="str">
        <f>IF('ASS END SYNC'!C795="SHOW",FIND(",",'ASS END SYNC'!E795,O791+1),"")</f>
        <v/>
      </c>
      <c r="Q791" s="24" t="str">
        <f>IF('ASS END SYNC'!C795="SHOW",FIND(",",'ASS END SYNC'!E795,P791+1),"")</f>
        <v/>
      </c>
      <c r="R791" s="25" t="str">
        <f>IF('ASS END SYNC'!C795="SHOW",FIND(",,",'ASS END SYNC'!E795,1),"")</f>
        <v/>
      </c>
      <c r="S791" s="25" t="str">
        <f>IF('ASS END SYNC'!C795="SHOW",FIND(",,",'ASS END SYNC'!E795,R791+1),"")</f>
        <v/>
      </c>
      <c r="T791" s="23" t="str">
        <f>IF('ASS END SYNC'!C795="SHOW",LEFT('ASS END SYNC'!E795,O791),"")</f>
        <v/>
      </c>
      <c r="U791" s="24" t="str">
        <f>IF('ASS END SYNC'!C795="SHOW",MID('ASS END SYNC'!E795,O791+1,P791-O791-1),"")</f>
        <v/>
      </c>
      <c r="V791" s="24" t="str">
        <f>IF(AND('ASS END SYNC'!C795="SHOW",'ASS END SYNC'!C796="SHOW"),U792,IF(AND('ASS END SYNC'!C795="SHOW",'ASS END SYNC'!C796&lt;&gt;"SHOW"),MID('ASS END SYNC'!E795,O791+1,P791-O791-1),""))</f>
        <v/>
      </c>
      <c r="W791" s="23" t="str">
        <f>IF('ASS END SYNC'!C795="SHOW",MID('ASS END SYNC'!E795,Q791+1,S791-Q791+1),"")</f>
        <v/>
      </c>
      <c r="X791" s="23" t="str">
        <f>IF('ASS END SYNC'!C795="SHOW",MID('ASS END SYNC'!E795,S791+2,1000),"")</f>
        <v/>
      </c>
      <c r="Z791" s="24"/>
    </row>
    <row r="792" spans="1:26" x14ac:dyDescent="0.25">
      <c r="A792" s="26">
        <v>789</v>
      </c>
      <c r="B792" s="24" t="str">
        <f>IF('ASS START SYNC'!C796="SHOW",FIND(",",'ASS START SYNC'!E796,1),"")</f>
        <v/>
      </c>
      <c r="C792" s="24" t="str">
        <f>IF('ASS START SYNC'!C796="SHOW",FIND(",",'ASS START SYNC'!E796,B792+1),"")</f>
        <v/>
      </c>
      <c r="D792" s="24" t="str">
        <f>IF('ASS START SYNC'!C796="SHOW",FIND(",",'ASS START SYNC'!E796,C792+1),"")</f>
        <v/>
      </c>
      <c r="E792" s="25" t="str">
        <f>IF('ASS START SYNC'!C796="SHOW",FIND(",,",'ASS START SYNC'!E796,1),"")</f>
        <v/>
      </c>
      <c r="F792" s="25" t="str">
        <f>IF('ASS START SYNC'!C796="SHOW",FIND(",,",'ASS START SYNC'!E796,E792+1),"")</f>
        <v/>
      </c>
      <c r="G792" s="23" t="str">
        <f>IF('ASS START SYNC'!C796="SHOW",LEFT('ASS START SYNC'!E796,B792),"")</f>
        <v/>
      </c>
      <c r="H792" s="24" t="str">
        <f>IF(AND('ASS START SYNC'!C796="SHOW",COUNTA('ASS START SYNC'!$E$8:'ASS START SYNC'!E795)=0),MID('ASS START SYNC'!E796,B792+1,C792-B792-1),IF(AND('ASS START SYNC'!C796="SHOW",COUNTA('ASS START SYNC'!$E$8:'ASS START SYNC'!E795)&lt;&gt;0),I791,""))</f>
        <v/>
      </c>
      <c r="I792" s="24" t="str">
        <f>IF('ASS START SYNC'!C796="SHOW",MID('ASS START SYNC'!E796,C792+1,D792-C792-1),I791)</f>
        <v/>
      </c>
      <c r="J792" s="23" t="str">
        <f>IF('ASS START SYNC'!C796="SHOW",MID('ASS START SYNC'!E796,D792+1,F792-D792+1),"")</f>
        <v/>
      </c>
      <c r="K792" s="23" t="str">
        <f>IF('ASS START SYNC'!C796="SHOW",MID('ASS START SYNC'!E796,F792+2,1000),"")</f>
        <v/>
      </c>
      <c r="M792" s="24"/>
      <c r="N792" s="26">
        <v>789</v>
      </c>
      <c r="O792" s="24" t="str">
        <f>IF('ASS END SYNC'!C796="SHOW",FIND(",",'ASS END SYNC'!E796,1),"")</f>
        <v/>
      </c>
      <c r="P792" s="24" t="str">
        <f>IF('ASS END SYNC'!C796="SHOW",FIND(",",'ASS END SYNC'!E796,O792+1),"")</f>
        <v/>
      </c>
      <c r="Q792" s="24" t="str">
        <f>IF('ASS END SYNC'!C796="SHOW",FIND(",",'ASS END SYNC'!E796,P792+1),"")</f>
        <v/>
      </c>
      <c r="R792" s="25" t="str">
        <f>IF('ASS END SYNC'!C796="SHOW",FIND(",,",'ASS END SYNC'!E796,1),"")</f>
        <v/>
      </c>
      <c r="S792" s="25" t="str">
        <f>IF('ASS END SYNC'!C796="SHOW",FIND(",,",'ASS END SYNC'!E796,R792+1),"")</f>
        <v/>
      </c>
      <c r="T792" s="23" t="str">
        <f>IF('ASS END SYNC'!C796="SHOW",LEFT('ASS END SYNC'!E796,O792),"")</f>
        <v/>
      </c>
      <c r="U792" s="24" t="str">
        <f>IF('ASS END SYNC'!C796="SHOW",MID('ASS END SYNC'!E796,O792+1,P792-O792-1),"")</f>
        <v/>
      </c>
      <c r="V792" s="24" t="str">
        <f>IF(AND('ASS END SYNC'!C796="SHOW",'ASS END SYNC'!C797="SHOW"),U793,IF(AND('ASS END SYNC'!C796="SHOW",'ASS END SYNC'!C797&lt;&gt;"SHOW"),MID('ASS END SYNC'!E796,O792+1,P792-O792-1),""))</f>
        <v/>
      </c>
      <c r="W792" s="23" t="str">
        <f>IF('ASS END SYNC'!C796="SHOW",MID('ASS END SYNC'!E796,Q792+1,S792-Q792+1),"")</f>
        <v/>
      </c>
      <c r="X792" s="23" t="str">
        <f>IF('ASS END SYNC'!C796="SHOW",MID('ASS END SYNC'!E796,S792+2,1000),"")</f>
        <v/>
      </c>
      <c r="Z792" s="24"/>
    </row>
    <row r="793" spans="1:26" x14ac:dyDescent="0.25">
      <c r="A793" s="26">
        <v>790</v>
      </c>
      <c r="B793" s="24" t="str">
        <f>IF('ASS START SYNC'!C797="SHOW",FIND(",",'ASS START SYNC'!E797,1),"")</f>
        <v/>
      </c>
      <c r="C793" s="24" t="str">
        <f>IF('ASS START SYNC'!C797="SHOW",FIND(",",'ASS START SYNC'!E797,B793+1),"")</f>
        <v/>
      </c>
      <c r="D793" s="24" t="str">
        <f>IF('ASS START SYNC'!C797="SHOW",FIND(",",'ASS START SYNC'!E797,C793+1),"")</f>
        <v/>
      </c>
      <c r="E793" s="25" t="str">
        <f>IF('ASS START SYNC'!C797="SHOW",FIND(",,",'ASS START SYNC'!E797,1),"")</f>
        <v/>
      </c>
      <c r="F793" s="25" t="str">
        <f>IF('ASS START SYNC'!C797="SHOW",FIND(",,",'ASS START SYNC'!E797,E793+1),"")</f>
        <v/>
      </c>
      <c r="G793" s="23" t="str">
        <f>IF('ASS START SYNC'!C797="SHOW",LEFT('ASS START SYNC'!E797,B793),"")</f>
        <v/>
      </c>
      <c r="H793" s="24" t="str">
        <f>IF(AND('ASS START SYNC'!C797="SHOW",COUNTA('ASS START SYNC'!$E$8:'ASS START SYNC'!E796)=0),MID('ASS START SYNC'!E797,B793+1,C793-B793-1),IF(AND('ASS START SYNC'!C797="SHOW",COUNTA('ASS START SYNC'!$E$8:'ASS START SYNC'!E796)&lt;&gt;0),I792,""))</f>
        <v/>
      </c>
      <c r="I793" s="24" t="str">
        <f>IF('ASS START SYNC'!C797="SHOW",MID('ASS START SYNC'!E797,C793+1,D793-C793-1),I792)</f>
        <v/>
      </c>
      <c r="J793" s="23" t="str">
        <f>IF('ASS START SYNC'!C797="SHOW",MID('ASS START SYNC'!E797,D793+1,F793-D793+1),"")</f>
        <v/>
      </c>
      <c r="K793" s="23" t="str">
        <f>IF('ASS START SYNC'!C797="SHOW",MID('ASS START SYNC'!E797,F793+2,1000),"")</f>
        <v/>
      </c>
      <c r="M793" s="24"/>
      <c r="N793" s="26">
        <v>790</v>
      </c>
      <c r="O793" s="24" t="str">
        <f>IF('ASS END SYNC'!C797="SHOW",FIND(",",'ASS END SYNC'!E797,1),"")</f>
        <v/>
      </c>
      <c r="P793" s="24" t="str">
        <f>IF('ASS END SYNC'!C797="SHOW",FIND(",",'ASS END SYNC'!E797,O793+1),"")</f>
        <v/>
      </c>
      <c r="Q793" s="24" t="str">
        <f>IF('ASS END SYNC'!C797="SHOW",FIND(",",'ASS END SYNC'!E797,P793+1),"")</f>
        <v/>
      </c>
      <c r="R793" s="25" t="str">
        <f>IF('ASS END SYNC'!C797="SHOW",FIND(",,",'ASS END SYNC'!E797,1),"")</f>
        <v/>
      </c>
      <c r="S793" s="25" t="str">
        <f>IF('ASS END SYNC'!C797="SHOW",FIND(",,",'ASS END SYNC'!E797,R793+1),"")</f>
        <v/>
      </c>
      <c r="T793" s="23" t="str">
        <f>IF('ASS END SYNC'!C797="SHOW",LEFT('ASS END SYNC'!E797,O793),"")</f>
        <v/>
      </c>
      <c r="U793" s="24" t="str">
        <f>IF('ASS END SYNC'!C797="SHOW",MID('ASS END SYNC'!E797,O793+1,P793-O793-1),"")</f>
        <v/>
      </c>
      <c r="V793" s="24" t="str">
        <f>IF(AND('ASS END SYNC'!C797="SHOW",'ASS END SYNC'!C798="SHOW"),U794,IF(AND('ASS END SYNC'!C797="SHOW",'ASS END SYNC'!C798&lt;&gt;"SHOW"),MID('ASS END SYNC'!E797,O793+1,P793-O793-1),""))</f>
        <v/>
      </c>
      <c r="W793" s="23" t="str">
        <f>IF('ASS END SYNC'!C797="SHOW",MID('ASS END SYNC'!E797,Q793+1,S793-Q793+1),"")</f>
        <v/>
      </c>
      <c r="X793" s="23" t="str">
        <f>IF('ASS END SYNC'!C797="SHOW",MID('ASS END SYNC'!E797,S793+2,1000),"")</f>
        <v/>
      </c>
      <c r="Z793" s="24"/>
    </row>
    <row r="794" spans="1:26" x14ac:dyDescent="0.25">
      <c r="A794" s="26">
        <v>791</v>
      </c>
      <c r="B794" s="24" t="str">
        <f>IF('ASS START SYNC'!C798="SHOW",FIND(",",'ASS START SYNC'!E798,1),"")</f>
        <v/>
      </c>
      <c r="C794" s="24" t="str">
        <f>IF('ASS START SYNC'!C798="SHOW",FIND(",",'ASS START SYNC'!E798,B794+1),"")</f>
        <v/>
      </c>
      <c r="D794" s="24" t="str">
        <f>IF('ASS START SYNC'!C798="SHOW",FIND(",",'ASS START SYNC'!E798,C794+1),"")</f>
        <v/>
      </c>
      <c r="E794" s="25" t="str">
        <f>IF('ASS START SYNC'!C798="SHOW",FIND(",,",'ASS START SYNC'!E798,1),"")</f>
        <v/>
      </c>
      <c r="F794" s="25" t="str">
        <f>IF('ASS START SYNC'!C798="SHOW",FIND(",,",'ASS START SYNC'!E798,E794+1),"")</f>
        <v/>
      </c>
      <c r="G794" s="23" t="str">
        <f>IF('ASS START SYNC'!C798="SHOW",LEFT('ASS START SYNC'!E798,B794),"")</f>
        <v/>
      </c>
      <c r="H794" s="24" t="str">
        <f>IF(AND('ASS START SYNC'!C798="SHOW",COUNTA('ASS START SYNC'!$E$8:'ASS START SYNC'!E797)=0),MID('ASS START SYNC'!E798,B794+1,C794-B794-1),IF(AND('ASS START SYNC'!C798="SHOW",COUNTA('ASS START SYNC'!$E$8:'ASS START SYNC'!E797)&lt;&gt;0),I793,""))</f>
        <v/>
      </c>
      <c r="I794" s="24" t="str">
        <f>IF('ASS START SYNC'!C798="SHOW",MID('ASS START SYNC'!E798,C794+1,D794-C794-1),I793)</f>
        <v/>
      </c>
      <c r="J794" s="23" t="str">
        <f>IF('ASS START SYNC'!C798="SHOW",MID('ASS START SYNC'!E798,D794+1,F794-D794+1),"")</f>
        <v/>
      </c>
      <c r="K794" s="23" t="str">
        <f>IF('ASS START SYNC'!C798="SHOW",MID('ASS START SYNC'!E798,F794+2,1000),"")</f>
        <v/>
      </c>
      <c r="M794" s="24"/>
      <c r="N794" s="26">
        <v>791</v>
      </c>
      <c r="O794" s="24" t="str">
        <f>IF('ASS END SYNC'!C798="SHOW",FIND(",",'ASS END SYNC'!E798,1),"")</f>
        <v/>
      </c>
      <c r="P794" s="24" t="str">
        <f>IF('ASS END SYNC'!C798="SHOW",FIND(",",'ASS END SYNC'!E798,O794+1),"")</f>
        <v/>
      </c>
      <c r="Q794" s="24" t="str">
        <f>IF('ASS END SYNC'!C798="SHOW",FIND(",",'ASS END SYNC'!E798,P794+1),"")</f>
        <v/>
      </c>
      <c r="R794" s="25" t="str">
        <f>IF('ASS END SYNC'!C798="SHOW",FIND(",,",'ASS END SYNC'!E798,1),"")</f>
        <v/>
      </c>
      <c r="S794" s="25" t="str">
        <f>IF('ASS END SYNC'!C798="SHOW",FIND(",,",'ASS END SYNC'!E798,R794+1),"")</f>
        <v/>
      </c>
      <c r="T794" s="23" t="str">
        <f>IF('ASS END SYNC'!C798="SHOW",LEFT('ASS END SYNC'!E798,O794),"")</f>
        <v/>
      </c>
      <c r="U794" s="24" t="str">
        <f>IF('ASS END SYNC'!C798="SHOW",MID('ASS END SYNC'!E798,O794+1,P794-O794-1),"")</f>
        <v/>
      </c>
      <c r="V794" s="24" t="str">
        <f>IF(AND('ASS END SYNC'!C798="SHOW",'ASS END SYNC'!C799="SHOW"),U795,IF(AND('ASS END SYNC'!C798="SHOW",'ASS END SYNC'!C799&lt;&gt;"SHOW"),MID('ASS END SYNC'!E798,O794+1,P794-O794-1),""))</f>
        <v/>
      </c>
      <c r="W794" s="23" t="str">
        <f>IF('ASS END SYNC'!C798="SHOW",MID('ASS END SYNC'!E798,Q794+1,S794-Q794+1),"")</f>
        <v/>
      </c>
      <c r="X794" s="23" t="str">
        <f>IF('ASS END SYNC'!C798="SHOW",MID('ASS END SYNC'!E798,S794+2,1000),"")</f>
        <v/>
      </c>
      <c r="Z794" s="24"/>
    </row>
    <row r="795" spans="1:26" x14ac:dyDescent="0.25">
      <c r="A795" s="26">
        <v>792</v>
      </c>
      <c r="B795" s="24" t="str">
        <f>IF('ASS START SYNC'!C799="SHOW",FIND(",",'ASS START SYNC'!E799,1),"")</f>
        <v/>
      </c>
      <c r="C795" s="24" t="str">
        <f>IF('ASS START SYNC'!C799="SHOW",FIND(",",'ASS START SYNC'!E799,B795+1),"")</f>
        <v/>
      </c>
      <c r="D795" s="24" t="str">
        <f>IF('ASS START SYNC'!C799="SHOW",FIND(",",'ASS START SYNC'!E799,C795+1),"")</f>
        <v/>
      </c>
      <c r="E795" s="25" t="str">
        <f>IF('ASS START SYNC'!C799="SHOW",FIND(",,",'ASS START SYNC'!E799,1),"")</f>
        <v/>
      </c>
      <c r="F795" s="25" t="str">
        <f>IF('ASS START SYNC'!C799="SHOW",FIND(",,",'ASS START SYNC'!E799,E795+1),"")</f>
        <v/>
      </c>
      <c r="G795" s="23" t="str">
        <f>IF('ASS START SYNC'!C799="SHOW",LEFT('ASS START SYNC'!E799,B795),"")</f>
        <v/>
      </c>
      <c r="H795" s="24" t="str">
        <f>IF(AND('ASS START SYNC'!C799="SHOW",COUNTA('ASS START SYNC'!$E$8:'ASS START SYNC'!E798)=0),MID('ASS START SYNC'!E799,B795+1,C795-B795-1),IF(AND('ASS START SYNC'!C799="SHOW",COUNTA('ASS START SYNC'!$E$8:'ASS START SYNC'!E798)&lt;&gt;0),I794,""))</f>
        <v/>
      </c>
      <c r="I795" s="24" t="str">
        <f>IF('ASS START SYNC'!C799="SHOW",MID('ASS START SYNC'!E799,C795+1,D795-C795-1),I794)</f>
        <v/>
      </c>
      <c r="J795" s="23" t="str">
        <f>IF('ASS START SYNC'!C799="SHOW",MID('ASS START SYNC'!E799,D795+1,F795-D795+1),"")</f>
        <v/>
      </c>
      <c r="K795" s="23" t="str">
        <f>IF('ASS START SYNC'!C799="SHOW",MID('ASS START SYNC'!E799,F795+2,1000),"")</f>
        <v/>
      </c>
      <c r="M795" s="24"/>
      <c r="N795" s="26">
        <v>792</v>
      </c>
      <c r="O795" s="24" t="str">
        <f>IF('ASS END SYNC'!C799="SHOW",FIND(",",'ASS END SYNC'!E799,1),"")</f>
        <v/>
      </c>
      <c r="P795" s="24" t="str">
        <f>IF('ASS END SYNC'!C799="SHOW",FIND(",",'ASS END SYNC'!E799,O795+1),"")</f>
        <v/>
      </c>
      <c r="Q795" s="24" t="str">
        <f>IF('ASS END SYNC'!C799="SHOW",FIND(",",'ASS END SYNC'!E799,P795+1),"")</f>
        <v/>
      </c>
      <c r="R795" s="25" t="str">
        <f>IF('ASS END SYNC'!C799="SHOW",FIND(",,",'ASS END SYNC'!E799,1),"")</f>
        <v/>
      </c>
      <c r="S795" s="25" t="str">
        <f>IF('ASS END SYNC'!C799="SHOW",FIND(",,",'ASS END SYNC'!E799,R795+1),"")</f>
        <v/>
      </c>
      <c r="T795" s="23" t="str">
        <f>IF('ASS END SYNC'!C799="SHOW",LEFT('ASS END SYNC'!E799,O795),"")</f>
        <v/>
      </c>
      <c r="U795" s="24" t="str">
        <f>IF('ASS END SYNC'!C799="SHOW",MID('ASS END SYNC'!E799,O795+1,P795-O795-1),"")</f>
        <v/>
      </c>
      <c r="V795" s="24" t="str">
        <f>IF(AND('ASS END SYNC'!C799="SHOW",'ASS END SYNC'!C800="SHOW"),U796,IF(AND('ASS END SYNC'!C799="SHOW",'ASS END SYNC'!C800&lt;&gt;"SHOW"),MID('ASS END SYNC'!E799,O795+1,P795-O795-1),""))</f>
        <v/>
      </c>
      <c r="W795" s="23" t="str">
        <f>IF('ASS END SYNC'!C799="SHOW",MID('ASS END SYNC'!E799,Q795+1,S795-Q795+1),"")</f>
        <v/>
      </c>
      <c r="X795" s="23" t="str">
        <f>IF('ASS END SYNC'!C799="SHOW",MID('ASS END SYNC'!E799,S795+2,1000),"")</f>
        <v/>
      </c>
      <c r="Z795" s="24"/>
    </row>
    <row r="796" spans="1:26" x14ac:dyDescent="0.25">
      <c r="A796" s="26">
        <v>793</v>
      </c>
      <c r="B796" s="24" t="str">
        <f>IF('ASS START SYNC'!C800="SHOW",FIND(",",'ASS START SYNC'!E800,1),"")</f>
        <v/>
      </c>
      <c r="C796" s="24" t="str">
        <f>IF('ASS START SYNC'!C800="SHOW",FIND(",",'ASS START SYNC'!E800,B796+1),"")</f>
        <v/>
      </c>
      <c r="D796" s="24" t="str">
        <f>IF('ASS START SYNC'!C800="SHOW",FIND(",",'ASS START SYNC'!E800,C796+1),"")</f>
        <v/>
      </c>
      <c r="E796" s="25" t="str">
        <f>IF('ASS START SYNC'!C800="SHOW",FIND(",,",'ASS START SYNC'!E800,1),"")</f>
        <v/>
      </c>
      <c r="F796" s="25" t="str">
        <f>IF('ASS START SYNC'!C800="SHOW",FIND(",,",'ASS START SYNC'!E800,E796+1),"")</f>
        <v/>
      </c>
      <c r="G796" s="23" t="str">
        <f>IF('ASS START SYNC'!C800="SHOW",LEFT('ASS START SYNC'!E800,B796),"")</f>
        <v/>
      </c>
      <c r="H796" s="24" t="str">
        <f>IF(AND('ASS START SYNC'!C800="SHOW",COUNTA('ASS START SYNC'!$E$8:'ASS START SYNC'!E799)=0),MID('ASS START SYNC'!E800,B796+1,C796-B796-1),IF(AND('ASS START SYNC'!C800="SHOW",COUNTA('ASS START SYNC'!$E$8:'ASS START SYNC'!E799)&lt;&gt;0),I795,""))</f>
        <v/>
      </c>
      <c r="I796" s="24" t="str">
        <f>IF('ASS START SYNC'!C800="SHOW",MID('ASS START SYNC'!E800,C796+1,D796-C796-1),I795)</f>
        <v/>
      </c>
      <c r="J796" s="23" t="str">
        <f>IF('ASS START SYNC'!C800="SHOW",MID('ASS START SYNC'!E800,D796+1,F796-D796+1),"")</f>
        <v/>
      </c>
      <c r="K796" s="23" t="str">
        <f>IF('ASS START SYNC'!C800="SHOW",MID('ASS START SYNC'!E800,F796+2,1000),"")</f>
        <v/>
      </c>
      <c r="M796" s="24"/>
      <c r="N796" s="26">
        <v>793</v>
      </c>
      <c r="O796" s="24" t="str">
        <f>IF('ASS END SYNC'!C800="SHOW",FIND(",",'ASS END SYNC'!E800,1),"")</f>
        <v/>
      </c>
      <c r="P796" s="24" t="str">
        <f>IF('ASS END SYNC'!C800="SHOW",FIND(",",'ASS END SYNC'!E800,O796+1),"")</f>
        <v/>
      </c>
      <c r="Q796" s="24" t="str">
        <f>IF('ASS END SYNC'!C800="SHOW",FIND(",",'ASS END SYNC'!E800,P796+1),"")</f>
        <v/>
      </c>
      <c r="R796" s="25" t="str">
        <f>IF('ASS END SYNC'!C800="SHOW",FIND(",,",'ASS END SYNC'!E800,1),"")</f>
        <v/>
      </c>
      <c r="S796" s="25" t="str">
        <f>IF('ASS END SYNC'!C800="SHOW",FIND(",,",'ASS END SYNC'!E800,R796+1),"")</f>
        <v/>
      </c>
      <c r="T796" s="23" t="str">
        <f>IF('ASS END SYNC'!C800="SHOW",LEFT('ASS END SYNC'!E800,O796),"")</f>
        <v/>
      </c>
      <c r="U796" s="24" t="str">
        <f>IF('ASS END SYNC'!C800="SHOW",MID('ASS END SYNC'!E800,O796+1,P796-O796-1),"")</f>
        <v/>
      </c>
      <c r="V796" s="24" t="str">
        <f>IF(AND('ASS END SYNC'!C800="SHOW",'ASS END SYNC'!C801="SHOW"),U797,IF(AND('ASS END SYNC'!C800="SHOW",'ASS END SYNC'!C801&lt;&gt;"SHOW"),MID('ASS END SYNC'!E800,O796+1,P796-O796-1),""))</f>
        <v/>
      </c>
      <c r="W796" s="23" t="str">
        <f>IF('ASS END SYNC'!C800="SHOW",MID('ASS END SYNC'!E800,Q796+1,S796-Q796+1),"")</f>
        <v/>
      </c>
      <c r="X796" s="23" t="str">
        <f>IF('ASS END SYNC'!C800="SHOW",MID('ASS END SYNC'!E800,S796+2,1000),"")</f>
        <v/>
      </c>
      <c r="Z796" s="24"/>
    </row>
    <row r="797" spans="1:26" x14ac:dyDescent="0.25">
      <c r="A797" s="26">
        <v>794</v>
      </c>
      <c r="B797" s="24" t="str">
        <f>IF('ASS START SYNC'!C801="SHOW",FIND(",",'ASS START SYNC'!E801,1),"")</f>
        <v/>
      </c>
      <c r="C797" s="24" t="str">
        <f>IF('ASS START SYNC'!C801="SHOW",FIND(",",'ASS START SYNC'!E801,B797+1),"")</f>
        <v/>
      </c>
      <c r="D797" s="24" t="str">
        <f>IF('ASS START SYNC'!C801="SHOW",FIND(",",'ASS START SYNC'!E801,C797+1),"")</f>
        <v/>
      </c>
      <c r="E797" s="25" t="str">
        <f>IF('ASS START SYNC'!C801="SHOW",FIND(",,",'ASS START SYNC'!E801,1),"")</f>
        <v/>
      </c>
      <c r="F797" s="25" t="str">
        <f>IF('ASS START SYNC'!C801="SHOW",FIND(",,",'ASS START SYNC'!E801,E797+1),"")</f>
        <v/>
      </c>
      <c r="G797" s="23" t="str">
        <f>IF('ASS START SYNC'!C801="SHOW",LEFT('ASS START SYNC'!E801,B797),"")</f>
        <v/>
      </c>
      <c r="H797" s="24" t="str">
        <f>IF(AND('ASS START SYNC'!C801="SHOW",COUNTA('ASS START SYNC'!$E$8:'ASS START SYNC'!E800)=0),MID('ASS START SYNC'!E801,B797+1,C797-B797-1),IF(AND('ASS START SYNC'!C801="SHOW",COUNTA('ASS START SYNC'!$E$8:'ASS START SYNC'!E800)&lt;&gt;0),I796,""))</f>
        <v/>
      </c>
      <c r="I797" s="24" t="str">
        <f>IF('ASS START SYNC'!C801="SHOW",MID('ASS START SYNC'!E801,C797+1,D797-C797-1),I796)</f>
        <v/>
      </c>
      <c r="J797" s="23" t="str">
        <f>IF('ASS START SYNC'!C801="SHOW",MID('ASS START SYNC'!E801,D797+1,F797-D797+1),"")</f>
        <v/>
      </c>
      <c r="K797" s="23" t="str">
        <f>IF('ASS START SYNC'!C801="SHOW",MID('ASS START SYNC'!E801,F797+2,1000),"")</f>
        <v/>
      </c>
      <c r="M797" s="24"/>
      <c r="N797" s="26">
        <v>794</v>
      </c>
      <c r="O797" s="24" t="str">
        <f>IF('ASS END SYNC'!C801="SHOW",FIND(",",'ASS END SYNC'!E801,1),"")</f>
        <v/>
      </c>
      <c r="P797" s="24" t="str">
        <f>IF('ASS END SYNC'!C801="SHOW",FIND(",",'ASS END SYNC'!E801,O797+1),"")</f>
        <v/>
      </c>
      <c r="Q797" s="24" t="str">
        <f>IF('ASS END SYNC'!C801="SHOW",FIND(",",'ASS END SYNC'!E801,P797+1),"")</f>
        <v/>
      </c>
      <c r="R797" s="25" t="str">
        <f>IF('ASS END SYNC'!C801="SHOW",FIND(",,",'ASS END SYNC'!E801,1),"")</f>
        <v/>
      </c>
      <c r="S797" s="25" t="str">
        <f>IF('ASS END SYNC'!C801="SHOW",FIND(",,",'ASS END SYNC'!E801,R797+1),"")</f>
        <v/>
      </c>
      <c r="T797" s="23" t="str">
        <f>IF('ASS END SYNC'!C801="SHOW",LEFT('ASS END SYNC'!E801,O797),"")</f>
        <v/>
      </c>
      <c r="U797" s="24" t="str">
        <f>IF('ASS END SYNC'!C801="SHOW",MID('ASS END SYNC'!E801,O797+1,P797-O797-1),"")</f>
        <v/>
      </c>
      <c r="V797" s="24" t="str">
        <f>IF(AND('ASS END SYNC'!C801="SHOW",'ASS END SYNC'!C802="SHOW"),U798,IF(AND('ASS END SYNC'!C801="SHOW",'ASS END SYNC'!C802&lt;&gt;"SHOW"),MID('ASS END SYNC'!E801,O797+1,P797-O797-1),""))</f>
        <v/>
      </c>
      <c r="W797" s="23" t="str">
        <f>IF('ASS END SYNC'!C801="SHOW",MID('ASS END SYNC'!E801,Q797+1,S797-Q797+1),"")</f>
        <v/>
      </c>
      <c r="X797" s="23" t="str">
        <f>IF('ASS END SYNC'!C801="SHOW",MID('ASS END SYNC'!E801,S797+2,1000),"")</f>
        <v/>
      </c>
      <c r="Z797" s="24"/>
    </row>
    <row r="798" spans="1:26" x14ac:dyDescent="0.25">
      <c r="A798" s="26">
        <v>795</v>
      </c>
      <c r="B798" s="24" t="str">
        <f>IF('ASS START SYNC'!C802="SHOW",FIND(",",'ASS START SYNC'!E802,1),"")</f>
        <v/>
      </c>
      <c r="C798" s="24" t="str">
        <f>IF('ASS START SYNC'!C802="SHOW",FIND(",",'ASS START SYNC'!E802,B798+1),"")</f>
        <v/>
      </c>
      <c r="D798" s="24" t="str">
        <f>IF('ASS START SYNC'!C802="SHOW",FIND(",",'ASS START SYNC'!E802,C798+1),"")</f>
        <v/>
      </c>
      <c r="E798" s="25" t="str">
        <f>IF('ASS START SYNC'!C802="SHOW",FIND(",,",'ASS START SYNC'!E802,1),"")</f>
        <v/>
      </c>
      <c r="F798" s="25" t="str">
        <f>IF('ASS START SYNC'!C802="SHOW",FIND(",,",'ASS START SYNC'!E802,E798+1),"")</f>
        <v/>
      </c>
      <c r="G798" s="23" t="str">
        <f>IF('ASS START SYNC'!C802="SHOW",LEFT('ASS START SYNC'!E802,B798),"")</f>
        <v/>
      </c>
      <c r="H798" s="24" t="str">
        <f>IF(AND('ASS START SYNC'!C802="SHOW",COUNTA('ASS START SYNC'!$E$8:'ASS START SYNC'!E801)=0),MID('ASS START SYNC'!E802,B798+1,C798-B798-1),IF(AND('ASS START SYNC'!C802="SHOW",COUNTA('ASS START SYNC'!$E$8:'ASS START SYNC'!E801)&lt;&gt;0),I797,""))</f>
        <v/>
      </c>
      <c r="I798" s="24" t="str">
        <f>IF('ASS START SYNC'!C802="SHOW",MID('ASS START SYNC'!E802,C798+1,D798-C798-1),I797)</f>
        <v/>
      </c>
      <c r="J798" s="23" t="str">
        <f>IF('ASS START SYNC'!C802="SHOW",MID('ASS START SYNC'!E802,D798+1,F798-D798+1),"")</f>
        <v/>
      </c>
      <c r="K798" s="23" t="str">
        <f>IF('ASS START SYNC'!C802="SHOW",MID('ASS START SYNC'!E802,F798+2,1000),"")</f>
        <v/>
      </c>
      <c r="M798" s="24"/>
      <c r="N798" s="26">
        <v>795</v>
      </c>
      <c r="O798" s="24" t="str">
        <f>IF('ASS END SYNC'!C802="SHOW",FIND(",",'ASS END SYNC'!E802,1),"")</f>
        <v/>
      </c>
      <c r="P798" s="24" t="str">
        <f>IF('ASS END SYNC'!C802="SHOW",FIND(",",'ASS END SYNC'!E802,O798+1),"")</f>
        <v/>
      </c>
      <c r="Q798" s="24" t="str">
        <f>IF('ASS END SYNC'!C802="SHOW",FIND(",",'ASS END SYNC'!E802,P798+1),"")</f>
        <v/>
      </c>
      <c r="R798" s="25" t="str">
        <f>IF('ASS END SYNC'!C802="SHOW",FIND(",,",'ASS END SYNC'!E802,1),"")</f>
        <v/>
      </c>
      <c r="S798" s="25" t="str">
        <f>IF('ASS END SYNC'!C802="SHOW",FIND(",,",'ASS END SYNC'!E802,R798+1),"")</f>
        <v/>
      </c>
      <c r="T798" s="23" t="str">
        <f>IF('ASS END SYNC'!C802="SHOW",LEFT('ASS END SYNC'!E802,O798),"")</f>
        <v/>
      </c>
      <c r="U798" s="24" t="str">
        <f>IF('ASS END SYNC'!C802="SHOW",MID('ASS END SYNC'!E802,O798+1,P798-O798-1),"")</f>
        <v/>
      </c>
      <c r="V798" s="24" t="str">
        <f>IF(AND('ASS END SYNC'!C802="SHOW",'ASS END SYNC'!C803="SHOW"),U799,IF(AND('ASS END SYNC'!C802="SHOW",'ASS END SYNC'!C803&lt;&gt;"SHOW"),MID('ASS END SYNC'!E802,O798+1,P798-O798-1),""))</f>
        <v/>
      </c>
      <c r="W798" s="23" t="str">
        <f>IF('ASS END SYNC'!C802="SHOW",MID('ASS END SYNC'!E802,Q798+1,S798-Q798+1),"")</f>
        <v/>
      </c>
      <c r="X798" s="23" t="str">
        <f>IF('ASS END SYNC'!C802="SHOW",MID('ASS END SYNC'!E802,S798+2,1000),"")</f>
        <v/>
      </c>
      <c r="Z798" s="24"/>
    </row>
    <row r="799" spans="1:26" x14ac:dyDescent="0.25">
      <c r="A799" s="26">
        <v>796</v>
      </c>
      <c r="B799" s="24" t="str">
        <f>IF('ASS START SYNC'!C803="SHOW",FIND(",",'ASS START SYNC'!E803,1),"")</f>
        <v/>
      </c>
      <c r="C799" s="24" t="str">
        <f>IF('ASS START SYNC'!C803="SHOW",FIND(",",'ASS START SYNC'!E803,B799+1),"")</f>
        <v/>
      </c>
      <c r="D799" s="24" t="str">
        <f>IF('ASS START SYNC'!C803="SHOW",FIND(",",'ASS START SYNC'!E803,C799+1),"")</f>
        <v/>
      </c>
      <c r="E799" s="25" t="str">
        <f>IF('ASS START SYNC'!C803="SHOW",FIND(",,",'ASS START SYNC'!E803,1),"")</f>
        <v/>
      </c>
      <c r="F799" s="25" t="str">
        <f>IF('ASS START SYNC'!C803="SHOW",FIND(",,",'ASS START SYNC'!E803,E799+1),"")</f>
        <v/>
      </c>
      <c r="G799" s="23" t="str">
        <f>IF('ASS START SYNC'!C803="SHOW",LEFT('ASS START SYNC'!E803,B799),"")</f>
        <v/>
      </c>
      <c r="H799" s="24" t="str">
        <f>IF(AND('ASS START SYNC'!C803="SHOW",COUNTA('ASS START SYNC'!$E$8:'ASS START SYNC'!E802)=0),MID('ASS START SYNC'!E803,B799+1,C799-B799-1),IF(AND('ASS START SYNC'!C803="SHOW",COUNTA('ASS START SYNC'!$E$8:'ASS START SYNC'!E802)&lt;&gt;0),I798,""))</f>
        <v/>
      </c>
      <c r="I799" s="24" t="str">
        <f>IF('ASS START SYNC'!C803="SHOW",MID('ASS START SYNC'!E803,C799+1,D799-C799-1),I798)</f>
        <v/>
      </c>
      <c r="J799" s="23" t="str">
        <f>IF('ASS START SYNC'!C803="SHOW",MID('ASS START SYNC'!E803,D799+1,F799-D799+1),"")</f>
        <v/>
      </c>
      <c r="K799" s="23" t="str">
        <f>IF('ASS START SYNC'!C803="SHOW",MID('ASS START SYNC'!E803,F799+2,1000),"")</f>
        <v/>
      </c>
      <c r="M799" s="24"/>
      <c r="N799" s="26">
        <v>796</v>
      </c>
      <c r="O799" s="24" t="str">
        <f>IF('ASS END SYNC'!C803="SHOW",FIND(",",'ASS END SYNC'!E803,1),"")</f>
        <v/>
      </c>
      <c r="P799" s="24" t="str">
        <f>IF('ASS END SYNC'!C803="SHOW",FIND(",",'ASS END SYNC'!E803,O799+1),"")</f>
        <v/>
      </c>
      <c r="Q799" s="24" t="str">
        <f>IF('ASS END SYNC'!C803="SHOW",FIND(",",'ASS END SYNC'!E803,P799+1),"")</f>
        <v/>
      </c>
      <c r="R799" s="25" t="str">
        <f>IF('ASS END SYNC'!C803="SHOW",FIND(",,",'ASS END SYNC'!E803,1),"")</f>
        <v/>
      </c>
      <c r="S799" s="25" t="str">
        <f>IF('ASS END SYNC'!C803="SHOW",FIND(",,",'ASS END SYNC'!E803,R799+1),"")</f>
        <v/>
      </c>
      <c r="T799" s="23" t="str">
        <f>IF('ASS END SYNC'!C803="SHOW",LEFT('ASS END SYNC'!E803,O799),"")</f>
        <v/>
      </c>
      <c r="U799" s="24" t="str">
        <f>IF('ASS END SYNC'!C803="SHOW",MID('ASS END SYNC'!E803,O799+1,P799-O799-1),"")</f>
        <v/>
      </c>
      <c r="V799" s="24" t="str">
        <f>IF(AND('ASS END SYNC'!C803="SHOW",'ASS END SYNC'!C804="SHOW"),U800,IF(AND('ASS END SYNC'!C803="SHOW",'ASS END SYNC'!C804&lt;&gt;"SHOW"),MID('ASS END SYNC'!E803,O799+1,P799-O799-1),""))</f>
        <v/>
      </c>
      <c r="W799" s="23" t="str">
        <f>IF('ASS END SYNC'!C803="SHOW",MID('ASS END SYNC'!E803,Q799+1,S799-Q799+1),"")</f>
        <v/>
      </c>
      <c r="X799" s="23" t="str">
        <f>IF('ASS END SYNC'!C803="SHOW",MID('ASS END SYNC'!E803,S799+2,1000),"")</f>
        <v/>
      </c>
      <c r="Z799" s="24"/>
    </row>
    <row r="800" spans="1:26" x14ac:dyDescent="0.25">
      <c r="A800" s="26">
        <v>797</v>
      </c>
      <c r="B800" s="24" t="str">
        <f>IF('ASS START SYNC'!C804="SHOW",FIND(",",'ASS START SYNC'!E804,1),"")</f>
        <v/>
      </c>
      <c r="C800" s="24" t="str">
        <f>IF('ASS START SYNC'!C804="SHOW",FIND(",",'ASS START SYNC'!E804,B800+1),"")</f>
        <v/>
      </c>
      <c r="D800" s="24" t="str">
        <f>IF('ASS START SYNC'!C804="SHOW",FIND(",",'ASS START SYNC'!E804,C800+1),"")</f>
        <v/>
      </c>
      <c r="E800" s="25" t="str">
        <f>IF('ASS START SYNC'!C804="SHOW",FIND(",,",'ASS START SYNC'!E804,1),"")</f>
        <v/>
      </c>
      <c r="F800" s="25" t="str">
        <f>IF('ASS START SYNC'!C804="SHOW",FIND(",,",'ASS START SYNC'!E804,E800+1),"")</f>
        <v/>
      </c>
      <c r="G800" s="23" t="str">
        <f>IF('ASS START SYNC'!C804="SHOW",LEFT('ASS START SYNC'!E804,B800),"")</f>
        <v/>
      </c>
      <c r="H800" s="24" t="str">
        <f>IF(AND('ASS START SYNC'!C804="SHOW",COUNTA('ASS START SYNC'!$E$8:'ASS START SYNC'!E803)=0),MID('ASS START SYNC'!E804,B800+1,C800-B800-1),IF(AND('ASS START SYNC'!C804="SHOW",COUNTA('ASS START SYNC'!$E$8:'ASS START SYNC'!E803)&lt;&gt;0),I799,""))</f>
        <v/>
      </c>
      <c r="I800" s="24" t="str">
        <f>IF('ASS START SYNC'!C804="SHOW",MID('ASS START SYNC'!E804,C800+1,D800-C800-1),I799)</f>
        <v/>
      </c>
      <c r="J800" s="23" t="str">
        <f>IF('ASS START SYNC'!C804="SHOW",MID('ASS START SYNC'!E804,D800+1,F800-D800+1),"")</f>
        <v/>
      </c>
      <c r="K800" s="23" t="str">
        <f>IF('ASS START SYNC'!C804="SHOW",MID('ASS START SYNC'!E804,F800+2,1000),"")</f>
        <v/>
      </c>
      <c r="M800" s="24"/>
      <c r="N800" s="26">
        <v>797</v>
      </c>
      <c r="O800" s="24" t="str">
        <f>IF('ASS END SYNC'!C804="SHOW",FIND(",",'ASS END SYNC'!E804,1),"")</f>
        <v/>
      </c>
      <c r="P800" s="24" t="str">
        <f>IF('ASS END SYNC'!C804="SHOW",FIND(",",'ASS END SYNC'!E804,O800+1),"")</f>
        <v/>
      </c>
      <c r="Q800" s="24" t="str">
        <f>IF('ASS END SYNC'!C804="SHOW",FIND(",",'ASS END SYNC'!E804,P800+1),"")</f>
        <v/>
      </c>
      <c r="R800" s="25" t="str">
        <f>IF('ASS END SYNC'!C804="SHOW",FIND(",,",'ASS END SYNC'!E804,1),"")</f>
        <v/>
      </c>
      <c r="S800" s="25" t="str">
        <f>IF('ASS END SYNC'!C804="SHOW",FIND(",,",'ASS END SYNC'!E804,R800+1),"")</f>
        <v/>
      </c>
      <c r="T800" s="23" t="str">
        <f>IF('ASS END SYNC'!C804="SHOW",LEFT('ASS END SYNC'!E804,O800),"")</f>
        <v/>
      </c>
      <c r="U800" s="24" t="str">
        <f>IF('ASS END SYNC'!C804="SHOW",MID('ASS END SYNC'!E804,O800+1,P800-O800-1),"")</f>
        <v/>
      </c>
      <c r="V800" s="24" t="str">
        <f>IF(AND('ASS END SYNC'!C804="SHOW",'ASS END SYNC'!C805="SHOW"),U801,IF(AND('ASS END SYNC'!C804="SHOW",'ASS END SYNC'!C805&lt;&gt;"SHOW"),MID('ASS END SYNC'!E804,O800+1,P800-O800-1),""))</f>
        <v/>
      </c>
      <c r="W800" s="23" t="str">
        <f>IF('ASS END SYNC'!C804="SHOW",MID('ASS END SYNC'!E804,Q800+1,S800-Q800+1),"")</f>
        <v/>
      </c>
      <c r="X800" s="23" t="str">
        <f>IF('ASS END SYNC'!C804="SHOW",MID('ASS END SYNC'!E804,S800+2,1000),"")</f>
        <v/>
      </c>
      <c r="Z800" s="24"/>
    </row>
    <row r="801" spans="1:26" x14ac:dyDescent="0.25">
      <c r="A801" s="26">
        <v>798</v>
      </c>
      <c r="B801" s="24" t="str">
        <f>IF('ASS START SYNC'!C805="SHOW",FIND(",",'ASS START SYNC'!E805,1),"")</f>
        <v/>
      </c>
      <c r="C801" s="24" t="str">
        <f>IF('ASS START SYNC'!C805="SHOW",FIND(",",'ASS START SYNC'!E805,B801+1),"")</f>
        <v/>
      </c>
      <c r="D801" s="24" t="str">
        <f>IF('ASS START SYNC'!C805="SHOW",FIND(",",'ASS START SYNC'!E805,C801+1),"")</f>
        <v/>
      </c>
      <c r="E801" s="25" t="str">
        <f>IF('ASS START SYNC'!C805="SHOW",FIND(",,",'ASS START SYNC'!E805,1),"")</f>
        <v/>
      </c>
      <c r="F801" s="25" t="str">
        <f>IF('ASS START SYNC'!C805="SHOW",FIND(",,",'ASS START SYNC'!E805,E801+1),"")</f>
        <v/>
      </c>
      <c r="G801" s="23" t="str">
        <f>IF('ASS START SYNC'!C805="SHOW",LEFT('ASS START SYNC'!E805,B801),"")</f>
        <v/>
      </c>
      <c r="H801" s="24" t="str">
        <f>IF(AND('ASS START SYNC'!C805="SHOW",COUNTA('ASS START SYNC'!$E$8:'ASS START SYNC'!E804)=0),MID('ASS START SYNC'!E805,B801+1,C801-B801-1),IF(AND('ASS START SYNC'!C805="SHOW",COUNTA('ASS START SYNC'!$E$8:'ASS START SYNC'!E804)&lt;&gt;0),I800,""))</f>
        <v/>
      </c>
      <c r="I801" s="24" t="str">
        <f>IF('ASS START SYNC'!C805="SHOW",MID('ASS START SYNC'!E805,C801+1,D801-C801-1),I800)</f>
        <v/>
      </c>
      <c r="J801" s="23" t="str">
        <f>IF('ASS START SYNC'!C805="SHOW",MID('ASS START SYNC'!E805,D801+1,F801-D801+1),"")</f>
        <v/>
      </c>
      <c r="K801" s="23" t="str">
        <f>IF('ASS START SYNC'!C805="SHOW",MID('ASS START SYNC'!E805,F801+2,1000),"")</f>
        <v/>
      </c>
      <c r="M801" s="24"/>
      <c r="N801" s="26">
        <v>798</v>
      </c>
      <c r="O801" s="24" t="str">
        <f>IF('ASS END SYNC'!C805="SHOW",FIND(",",'ASS END SYNC'!E805,1),"")</f>
        <v/>
      </c>
      <c r="P801" s="24" t="str">
        <f>IF('ASS END SYNC'!C805="SHOW",FIND(",",'ASS END SYNC'!E805,O801+1),"")</f>
        <v/>
      </c>
      <c r="Q801" s="24" t="str">
        <f>IF('ASS END SYNC'!C805="SHOW",FIND(",",'ASS END SYNC'!E805,P801+1),"")</f>
        <v/>
      </c>
      <c r="R801" s="25" t="str">
        <f>IF('ASS END SYNC'!C805="SHOW",FIND(",,",'ASS END SYNC'!E805,1),"")</f>
        <v/>
      </c>
      <c r="S801" s="25" t="str">
        <f>IF('ASS END SYNC'!C805="SHOW",FIND(",,",'ASS END SYNC'!E805,R801+1),"")</f>
        <v/>
      </c>
      <c r="T801" s="23" t="str">
        <f>IF('ASS END SYNC'!C805="SHOW",LEFT('ASS END SYNC'!E805,O801),"")</f>
        <v/>
      </c>
      <c r="U801" s="24" t="str">
        <f>IF('ASS END SYNC'!C805="SHOW",MID('ASS END SYNC'!E805,O801+1,P801-O801-1),"")</f>
        <v/>
      </c>
      <c r="V801" s="24" t="str">
        <f>IF(AND('ASS END SYNC'!C805="SHOW",'ASS END SYNC'!C806="SHOW"),U802,IF(AND('ASS END SYNC'!C805="SHOW",'ASS END SYNC'!C806&lt;&gt;"SHOW"),MID('ASS END SYNC'!E805,O801+1,P801-O801-1),""))</f>
        <v/>
      </c>
      <c r="W801" s="23" t="str">
        <f>IF('ASS END SYNC'!C805="SHOW",MID('ASS END SYNC'!E805,Q801+1,S801-Q801+1),"")</f>
        <v/>
      </c>
      <c r="X801" s="23" t="str">
        <f>IF('ASS END SYNC'!C805="SHOW",MID('ASS END SYNC'!E805,S801+2,1000),"")</f>
        <v/>
      </c>
      <c r="Z801" s="24"/>
    </row>
    <row r="802" spans="1:26" x14ac:dyDescent="0.25">
      <c r="A802" s="26">
        <v>799</v>
      </c>
      <c r="B802" s="24" t="str">
        <f>IF('ASS START SYNC'!C806="SHOW",FIND(",",'ASS START SYNC'!E806,1),"")</f>
        <v/>
      </c>
      <c r="C802" s="24" t="str">
        <f>IF('ASS START SYNC'!C806="SHOW",FIND(",",'ASS START SYNC'!E806,B802+1),"")</f>
        <v/>
      </c>
      <c r="D802" s="24" t="str">
        <f>IF('ASS START SYNC'!C806="SHOW",FIND(",",'ASS START SYNC'!E806,C802+1),"")</f>
        <v/>
      </c>
      <c r="E802" s="25" t="str">
        <f>IF('ASS START SYNC'!C806="SHOW",FIND(",,",'ASS START SYNC'!E806,1),"")</f>
        <v/>
      </c>
      <c r="F802" s="25" t="str">
        <f>IF('ASS START SYNC'!C806="SHOW",FIND(",,",'ASS START SYNC'!E806,E802+1),"")</f>
        <v/>
      </c>
      <c r="G802" s="23" t="str">
        <f>IF('ASS START SYNC'!C806="SHOW",LEFT('ASS START SYNC'!E806,B802),"")</f>
        <v/>
      </c>
      <c r="H802" s="24" t="str">
        <f>IF(AND('ASS START SYNC'!C806="SHOW",COUNTA('ASS START SYNC'!$E$8:'ASS START SYNC'!E805)=0),MID('ASS START SYNC'!E806,B802+1,C802-B802-1),IF(AND('ASS START SYNC'!C806="SHOW",COUNTA('ASS START SYNC'!$E$8:'ASS START SYNC'!E805)&lt;&gt;0),I801,""))</f>
        <v/>
      </c>
      <c r="I802" s="24" t="str">
        <f>IF('ASS START SYNC'!C806="SHOW",MID('ASS START SYNC'!E806,C802+1,D802-C802-1),I801)</f>
        <v/>
      </c>
      <c r="J802" s="23" t="str">
        <f>IF('ASS START SYNC'!C806="SHOW",MID('ASS START SYNC'!E806,D802+1,F802-D802+1),"")</f>
        <v/>
      </c>
      <c r="K802" s="23" t="str">
        <f>IF('ASS START SYNC'!C806="SHOW",MID('ASS START SYNC'!E806,F802+2,1000),"")</f>
        <v/>
      </c>
      <c r="M802" s="24"/>
      <c r="N802" s="26">
        <v>799</v>
      </c>
      <c r="O802" s="24" t="str">
        <f>IF('ASS END SYNC'!C806="SHOW",FIND(",",'ASS END SYNC'!E806,1),"")</f>
        <v/>
      </c>
      <c r="P802" s="24" t="str">
        <f>IF('ASS END SYNC'!C806="SHOW",FIND(",",'ASS END SYNC'!E806,O802+1),"")</f>
        <v/>
      </c>
      <c r="Q802" s="24" t="str">
        <f>IF('ASS END SYNC'!C806="SHOW",FIND(",",'ASS END SYNC'!E806,P802+1),"")</f>
        <v/>
      </c>
      <c r="R802" s="25" t="str">
        <f>IF('ASS END SYNC'!C806="SHOW",FIND(",,",'ASS END SYNC'!E806,1),"")</f>
        <v/>
      </c>
      <c r="S802" s="25" t="str">
        <f>IF('ASS END SYNC'!C806="SHOW",FIND(",,",'ASS END SYNC'!E806,R802+1),"")</f>
        <v/>
      </c>
      <c r="T802" s="23" t="str">
        <f>IF('ASS END SYNC'!C806="SHOW",LEFT('ASS END SYNC'!E806,O802),"")</f>
        <v/>
      </c>
      <c r="U802" s="24" t="str">
        <f>IF('ASS END SYNC'!C806="SHOW",MID('ASS END SYNC'!E806,O802+1,P802-O802-1),"")</f>
        <v/>
      </c>
      <c r="V802" s="24" t="str">
        <f>IF(AND('ASS END SYNC'!C806="SHOW",'ASS END SYNC'!C807="SHOW"),U803,IF(AND('ASS END SYNC'!C806="SHOW",'ASS END SYNC'!C807&lt;&gt;"SHOW"),MID('ASS END SYNC'!E806,O802+1,P802-O802-1),""))</f>
        <v/>
      </c>
      <c r="W802" s="23" t="str">
        <f>IF('ASS END SYNC'!C806="SHOW",MID('ASS END SYNC'!E806,Q802+1,S802-Q802+1),"")</f>
        <v/>
      </c>
      <c r="X802" s="23" t="str">
        <f>IF('ASS END SYNC'!C806="SHOW",MID('ASS END SYNC'!E806,S802+2,1000),"")</f>
        <v/>
      </c>
      <c r="Z802" s="24"/>
    </row>
    <row r="803" spans="1:26" x14ac:dyDescent="0.25">
      <c r="A803" s="26">
        <v>800</v>
      </c>
      <c r="B803" s="24" t="str">
        <f>IF('ASS START SYNC'!C807="SHOW",FIND(",",'ASS START SYNC'!E807,1),"")</f>
        <v/>
      </c>
      <c r="C803" s="24" t="str">
        <f>IF('ASS START SYNC'!C807="SHOW",FIND(",",'ASS START SYNC'!E807,B803+1),"")</f>
        <v/>
      </c>
      <c r="D803" s="24" t="str">
        <f>IF('ASS START SYNC'!C807="SHOW",FIND(",",'ASS START SYNC'!E807,C803+1),"")</f>
        <v/>
      </c>
      <c r="E803" s="25" t="str">
        <f>IF('ASS START SYNC'!C807="SHOW",FIND(",,",'ASS START SYNC'!E807,1),"")</f>
        <v/>
      </c>
      <c r="F803" s="25" t="str">
        <f>IF('ASS START SYNC'!C807="SHOW",FIND(",,",'ASS START SYNC'!E807,E803+1),"")</f>
        <v/>
      </c>
      <c r="G803" s="23" t="str">
        <f>IF('ASS START SYNC'!C807="SHOW",LEFT('ASS START SYNC'!E807,B803),"")</f>
        <v/>
      </c>
      <c r="H803" s="24" t="str">
        <f>IF(AND('ASS START SYNC'!C807="SHOW",COUNTA('ASS START SYNC'!$E$8:'ASS START SYNC'!E806)=0),MID('ASS START SYNC'!E807,B803+1,C803-B803-1),IF(AND('ASS START SYNC'!C807="SHOW",COUNTA('ASS START SYNC'!$E$8:'ASS START SYNC'!E806)&lt;&gt;0),I802,""))</f>
        <v/>
      </c>
      <c r="I803" s="24" t="str">
        <f>IF('ASS START SYNC'!C807="SHOW",MID('ASS START SYNC'!E807,C803+1,D803-C803-1),I802)</f>
        <v/>
      </c>
      <c r="J803" s="23" t="str">
        <f>IF('ASS START SYNC'!C807="SHOW",MID('ASS START SYNC'!E807,D803+1,F803-D803+1),"")</f>
        <v/>
      </c>
      <c r="K803" s="23" t="str">
        <f>IF('ASS START SYNC'!C807="SHOW",MID('ASS START SYNC'!E807,F803+2,1000),"")</f>
        <v/>
      </c>
      <c r="M803" s="24"/>
      <c r="N803" s="26">
        <v>800</v>
      </c>
      <c r="O803" s="24" t="str">
        <f>IF('ASS END SYNC'!C807="SHOW",FIND(",",'ASS END SYNC'!E807,1),"")</f>
        <v/>
      </c>
      <c r="P803" s="24" t="str">
        <f>IF('ASS END SYNC'!C807="SHOW",FIND(",",'ASS END SYNC'!E807,O803+1),"")</f>
        <v/>
      </c>
      <c r="Q803" s="24" t="str">
        <f>IF('ASS END SYNC'!C807="SHOW",FIND(",",'ASS END SYNC'!E807,P803+1),"")</f>
        <v/>
      </c>
      <c r="R803" s="25" t="str">
        <f>IF('ASS END SYNC'!C807="SHOW",FIND(",,",'ASS END SYNC'!E807,1),"")</f>
        <v/>
      </c>
      <c r="S803" s="25" t="str">
        <f>IF('ASS END SYNC'!C807="SHOW",FIND(",,",'ASS END SYNC'!E807,R803+1),"")</f>
        <v/>
      </c>
      <c r="T803" s="23" t="str">
        <f>IF('ASS END SYNC'!C807="SHOW",LEFT('ASS END SYNC'!E807,O803),"")</f>
        <v/>
      </c>
      <c r="U803" s="24" t="str">
        <f>IF('ASS END SYNC'!C807="SHOW",MID('ASS END SYNC'!E807,O803+1,P803-O803-1),"")</f>
        <v/>
      </c>
      <c r="V803" s="24" t="str">
        <f>IF(AND('ASS END SYNC'!C807="SHOW",'ASS END SYNC'!C808="SHOW"),U804,IF(AND('ASS END SYNC'!C807="SHOW",'ASS END SYNC'!C808&lt;&gt;"SHOW"),MID('ASS END SYNC'!E807,O803+1,P803-O803-1),""))</f>
        <v/>
      </c>
      <c r="W803" s="23" t="str">
        <f>IF('ASS END SYNC'!C807="SHOW",MID('ASS END SYNC'!E807,Q803+1,S803-Q803+1),"")</f>
        <v/>
      </c>
      <c r="X803" s="23" t="str">
        <f>IF('ASS END SYNC'!C807="SHOW",MID('ASS END SYNC'!E807,S803+2,1000),"")</f>
        <v/>
      </c>
      <c r="Z803" s="24"/>
    </row>
    <row r="804" spans="1:26" x14ac:dyDescent="0.25">
      <c r="A804" s="26">
        <v>801</v>
      </c>
      <c r="B804" s="24" t="str">
        <f>IF('ASS START SYNC'!C808="SHOW",FIND(",",'ASS START SYNC'!E808,1),"")</f>
        <v/>
      </c>
      <c r="C804" s="24" t="str">
        <f>IF('ASS START SYNC'!C808="SHOW",FIND(",",'ASS START SYNC'!E808,B804+1),"")</f>
        <v/>
      </c>
      <c r="D804" s="24" t="str">
        <f>IF('ASS START SYNC'!C808="SHOW",FIND(",",'ASS START SYNC'!E808,C804+1),"")</f>
        <v/>
      </c>
      <c r="E804" s="25" t="str">
        <f>IF('ASS START SYNC'!C808="SHOW",FIND(",,",'ASS START SYNC'!E808,1),"")</f>
        <v/>
      </c>
      <c r="F804" s="25" t="str">
        <f>IF('ASS START SYNC'!C808="SHOW",FIND(",,",'ASS START SYNC'!E808,E804+1),"")</f>
        <v/>
      </c>
      <c r="G804" s="23" t="str">
        <f>IF('ASS START SYNC'!C808="SHOW",LEFT('ASS START SYNC'!E808,B804),"")</f>
        <v/>
      </c>
      <c r="H804" s="24" t="str">
        <f>IF(AND('ASS START SYNC'!C808="SHOW",COUNTA('ASS START SYNC'!$E$8:'ASS START SYNC'!E807)=0),MID('ASS START SYNC'!E808,B804+1,C804-B804-1),IF(AND('ASS START SYNC'!C808="SHOW",COUNTA('ASS START SYNC'!$E$8:'ASS START SYNC'!E807)&lt;&gt;0),I803,""))</f>
        <v/>
      </c>
      <c r="I804" s="24" t="str">
        <f>IF('ASS START SYNC'!C808="SHOW",MID('ASS START SYNC'!E808,C804+1,D804-C804-1),I803)</f>
        <v/>
      </c>
      <c r="J804" s="23" t="str">
        <f>IF('ASS START SYNC'!C808="SHOW",MID('ASS START SYNC'!E808,D804+1,F804-D804+1),"")</f>
        <v/>
      </c>
      <c r="K804" s="23" t="str">
        <f>IF('ASS START SYNC'!C808="SHOW",MID('ASS START SYNC'!E808,F804+2,1000),"")</f>
        <v/>
      </c>
      <c r="M804" s="24"/>
      <c r="N804" s="26">
        <v>801</v>
      </c>
      <c r="O804" s="24" t="str">
        <f>IF('ASS END SYNC'!C808="SHOW",FIND(",",'ASS END SYNC'!E808,1),"")</f>
        <v/>
      </c>
      <c r="P804" s="24" t="str">
        <f>IF('ASS END SYNC'!C808="SHOW",FIND(",",'ASS END SYNC'!E808,O804+1),"")</f>
        <v/>
      </c>
      <c r="Q804" s="24" t="str">
        <f>IF('ASS END SYNC'!C808="SHOW",FIND(",",'ASS END SYNC'!E808,P804+1),"")</f>
        <v/>
      </c>
      <c r="R804" s="25" t="str">
        <f>IF('ASS END SYNC'!C808="SHOW",FIND(",,",'ASS END SYNC'!E808,1),"")</f>
        <v/>
      </c>
      <c r="S804" s="25" t="str">
        <f>IF('ASS END SYNC'!C808="SHOW",FIND(",,",'ASS END SYNC'!E808,R804+1),"")</f>
        <v/>
      </c>
      <c r="T804" s="23" t="str">
        <f>IF('ASS END SYNC'!C808="SHOW",LEFT('ASS END SYNC'!E808,O804),"")</f>
        <v/>
      </c>
      <c r="U804" s="24" t="str">
        <f>IF('ASS END SYNC'!C808="SHOW",MID('ASS END SYNC'!E808,O804+1,P804-O804-1),"")</f>
        <v/>
      </c>
      <c r="V804" s="24" t="str">
        <f>IF(AND('ASS END SYNC'!C808="SHOW",'ASS END SYNC'!C809="SHOW"),U805,IF(AND('ASS END SYNC'!C808="SHOW",'ASS END SYNC'!C809&lt;&gt;"SHOW"),MID('ASS END SYNC'!E808,O804+1,P804-O804-1),""))</f>
        <v/>
      </c>
      <c r="W804" s="23" t="str">
        <f>IF('ASS END SYNC'!C808="SHOW",MID('ASS END SYNC'!E808,Q804+1,S804-Q804+1),"")</f>
        <v/>
      </c>
      <c r="X804" s="23" t="str">
        <f>IF('ASS END SYNC'!C808="SHOW",MID('ASS END SYNC'!E808,S804+2,1000),"")</f>
        <v/>
      </c>
      <c r="Z804" s="24"/>
    </row>
    <row r="805" spans="1:26" x14ac:dyDescent="0.25">
      <c r="A805" s="26">
        <v>802</v>
      </c>
      <c r="B805" s="24" t="str">
        <f>IF('ASS START SYNC'!C809="SHOW",FIND(",",'ASS START SYNC'!E809,1),"")</f>
        <v/>
      </c>
      <c r="C805" s="24" t="str">
        <f>IF('ASS START SYNC'!C809="SHOW",FIND(",",'ASS START SYNC'!E809,B805+1),"")</f>
        <v/>
      </c>
      <c r="D805" s="24" t="str">
        <f>IF('ASS START SYNC'!C809="SHOW",FIND(",",'ASS START SYNC'!E809,C805+1),"")</f>
        <v/>
      </c>
      <c r="E805" s="25" t="str">
        <f>IF('ASS START SYNC'!C809="SHOW",FIND(",,",'ASS START SYNC'!E809,1),"")</f>
        <v/>
      </c>
      <c r="F805" s="25" t="str">
        <f>IF('ASS START SYNC'!C809="SHOW",FIND(",,",'ASS START SYNC'!E809,E805+1),"")</f>
        <v/>
      </c>
      <c r="G805" s="23" t="str">
        <f>IF('ASS START SYNC'!C809="SHOW",LEFT('ASS START SYNC'!E809,B805),"")</f>
        <v/>
      </c>
      <c r="H805" s="24" t="str">
        <f>IF(AND('ASS START SYNC'!C809="SHOW",COUNTA('ASS START SYNC'!$E$8:'ASS START SYNC'!E808)=0),MID('ASS START SYNC'!E809,B805+1,C805-B805-1),IF(AND('ASS START SYNC'!C809="SHOW",COUNTA('ASS START SYNC'!$E$8:'ASS START SYNC'!E808)&lt;&gt;0),I804,""))</f>
        <v/>
      </c>
      <c r="I805" s="24" t="str">
        <f>IF('ASS START SYNC'!C809="SHOW",MID('ASS START SYNC'!E809,C805+1,D805-C805-1),I804)</f>
        <v/>
      </c>
      <c r="J805" s="23" t="str">
        <f>IF('ASS START SYNC'!C809="SHOW",MID('ASS START SYNC'!E809,D805+1,F805-D805+1),"")</f>
        <v/>
      </c>
      <c r="K805" s="23" t="str">
        <f>IF('ASS START SYNC'!C809="SHOW",MID('ASS START SYNC'!E809,F805+2,1000),"")</f>
        <v/>
      </c>
      <c r="M805" s="24"/>
      <c r="N805" s="26">
        <v>802</v>
      </c>
      <c r="O805" s="24" t="str">
        <f>IF('ASS END SYNC'!C809="SHOW",FIND(",",'ASS END SYNC'!E809,1),"")</f>
        <v/>
      </c>
      <c r="P805" s="24" t="str">
        <f>IF('ASS END SYNC'!C809="SHOW",FIND(",",'ASS END SYNC'!E809,O805+1),"")</f>
        <v/>
      </c>
      <c r="Q805" s="24" t="str">
        <f>IF('ASS END SYNC'!C809="SHOW",FIND(",",'ASS END SYNC'!E809,P805+1),"")</f>
        <v/>
      </c>
      <c r="R805" s="25" t="str">
        <f>IF('ASS END SYNC'!C809="SHOW",FIND(",,",'ASS END SYNC'!E809,1),"")</f>
        <v/>
      </c>
      <c r="S805" s="25" t="str">
        <f>IF('ASS END SYNC'!C809="SHOW",FIND(",,",'ASS END SYNC'!E809,R805+1),"")</f>
        <v/>
      </c>
      <c r="T805" s="23" t="str">
        <f>IF('ASS END SYNC'!C809="SHOW",LEFT('ASS END SYNC'!E809,O805),"")</f>
        <v/>
      </c>
      <c r="U805" s="24" t="str">
        <f>IF('ASS END SYNC'!C809="SHOW",MID('ASS END SYNC'!E809,O805+1,P805-O805-1),"")</f>
        <v/>
      </c>
      <c r="V805" s="24" t="str">
        <f>IF(AND('ASS END SYNC'!C809="SHOW",'ASS END SYNC'!C810="SHOW"),U806,IF(AND('ASS END SYNC'!C809="SHOW",'ASS END SYNC'!C810&lt;&gt;"SHOW"),MID('ASS END SYNC'!E809,O805+1,P805-O805-1),""))</f>
        <v/>
      </c>
      <c r="W805" s="23" t="str">
        <f>IF('ASS END SYNC'!C809="SHOW",MID('ASS END SYNC'!E809,Q805+1,S805-Q805+1),"")</f>
        <v/>
      </c>
      <c r="X805" s="23" t="str">
        <f>IF('ASS END SYNC'!C809="SHOW",MID('ASS END SYNC'!E809,S805+2,1000),"")</f>
        <v/>
      </c>
      <c r="Z805" s="24"/>
    </row>
    <row r="806" spans="1:26" x14ac:dyDescent="0.25">
      <c r="A806" s="26">
        <v>803</v>
      </c>
      <c r="B806" s="24" t="str">
        <f>IF('ASS START SYNC'!C810="SHOW",FIND(",",'ASS START SYNC'!E810,1),"")</f>
        <v/>
      </c>
      <c r="C806" s="24" t="str">
        <f>IF('ASS START SYNC'!C810="SHOW",FIND(",",'ASS START SYNC'!E810,B806+1),"")</f>
        <v/>
      </c>
      <c r="D806" s="24" t="str">
        <f>IF('ASS START SYNC'!C810="SHOW",FIND(",",'ASS START SYNC'!E810,C806+1),"")</f>
        <v/>
      </c>
      <c r="E806" s="25" t="str">
        <f>IF('ASS START SYNC'!C810="SHOW",FIND(",,",'ASS START SYNC'!E810,1),"")</f>
        <v/>
      </c>
      <c r="F806" s="25" t="str">
        <f>IF('ASS START SYNC'!C810="SHOW",FIND(",,",'ASS START SYNC'!E810,E806+1),"")</f>
        <v/>
      </c>
      <c r="G806" s="23" t="str">
        <f>IF('ASS START SYNC'!C810="SHOW",LEFT('ASS START SYNC'!E810,B806),"")</f>
        <v/>
      </c>
      <c r="H806" s="24" t="str">
        <f>IF(AND('ASS START SYNC'!C810="SHOW",COUNTA('ASS START SYNC'!$E$8:'ASS START SYNC'!E809)=0),MID('ASS START SYNC'!E810,B806+1,C806-B806-1),IF(AND('ASS START SYNC'!C810="SHOW",COUNTA('ASS START SYNC'!$E$8:'ASS START SYNC'!E809)&lt;&gt;0),I805,""))</f>
        <v/>
      </c>
      <c r="I806" s="24" t="str">
        <f>IF('ASS START SYNC'!C810="SHOW",MID('ASS START SYNC'!E810,C806+1,D806-C806-1),I805)</f>
        <v/>
      </c>
      <c r="J806" s="23" t="str">
        <f>IF('ASS START SYNC'!C810="SHOW",MID('ASS START SYNC'!E810,D806+1,F806-D806+1),"")</f>
        <v/>
      </c>
      <c r="K806" s="23" t="str">
        <f>IF('ASS START SYNC'!C810="SHOW",MID('ASS START SYNC'!E810,F806+2,1000),"")</f>
        <v/>
      </c>
      <c r="M806" s="24"/>
      <c r="N806" s="26">
        <v>803</v>
      </c>
      <c r="O806" s="24" t="str">
        <f>IF('ASS END SYNC'!C810="SHOW",FIND(",",'ASS END SYNC'!E810,1),"")</f>
        <v/>
      </c>
      <c r="P806" s="24" t="str">
        <f>IF('ASS END SYNC'!C810="SHOW",FIND(",",'ASS END SYNC'!E810,O806+1),"")</f>
        <v/>
      </c>
      <c r="Q806" s="24" t="str">
        <f>IF('ASS END SYNC'!C810="SHOW",FIND(",",'ASS END SYNC'!E810,P806+1),"")</f>
        <v/>
      </c>
      <c r="R806" s="25" t="str">
        <f>IF('ASS END SYNC'!C810="SHOW",FIND(",,",'ASS END SYNC'!E810,1),"")</f>
        <v/>
      </c>
      <c r="S806" s="25" t="str">
        <f>IF('ASS END SYNC'!C810="SHOW",FIND(",,",'ASS END SYNC'!E810,R806+1),"")</f>
        <v/>
      </c>
      <c r="T806" s="23" t="str">
        <f>IF('ASS END SYNC'!C810="SHOW",LEFT('ASS END SYNC'!E810,O806),"")</f>
        <v/>
      </c>
      <c r="U806" s="24" t="str">
        <f>IF('ASS END SYNC'!C810="SHOW",MID('ASS END SYNC'!E810,O806+1,P806-O806-1),"")</f>
        <v/>
      </c>
      <c r="V806" s="24" t="str">
        <f>IF(AND('ASS END SYNC'!C810="SHOW",'ASS END SYNC'!C811="SHOW"),U807,IF(AND('ASS END SYNC'!C810="SHOW",'ASS END SYNC'!C811&lt;&gt;"SHOW"),MID('ASS END SYNC'!E810,O806+1,P806-O806-1),""))</f>
        <v/>
      </c>
      <c r="W806" s="23" t="str">
        <f>IF('ASS END SYNC'!C810="SHOW",MID('ASS END SYNC'!E810,Q806+1,S806-Q806+1),"")</f>
        <v/>
      </c>
      <c r="X806" s="23" t="str">
        <f>IF('ASS END SYNC'!C810="SHOW",MID('ASS END SYNC'!E810,S806+2,1000),"")</f>
        <v/>
      </c>
      <c r="Z806" s="24"/>
    </row>
    <row r="807" spans="1:26" x14ac:dyDescent="0.25">
      <c r="A807" s="26">
        <v>804</v>
      </c>
      <c r="B807" s="24" t="str">
        <f>IF('ASS START SYNC'!C811="SHOW",FIND(",",'ASS START SYNC'!E811,1),"")</f>
        <v/>
      </c>
      <c r="C807" s="24" t="str">
        <f>IF('ASS START SYNC'!C811="SHOW",FIND(",",'ASS START SYNC'!E811,B807+1),"")</f>
        <v/>
      </c>
      <c r="D807" s="24" t="str">
        <f>IF('ASS START SYNC'!C811="SHOW",FIND(",",'ASS START SYNC'!E811,C807+1),"")</f>
        <v/>
      </c>
      <c r="E807" s="25" t="str">
        <f>IF('ASS START SYNC'!C811="SHOW",FIND(",,",'ASS START SYNC'!E811,1),"")</f>
        <v/>
      </c>
      <c r="F807" s="25" t="str">
        <f>IF('ASS START SYNC'!C811="SHOW",FIND(",,",'ASS START SYNC'!E811,E807+1),"")</f>
        <v/>
      </c>
      <c r="G807" s="23" t="str">
        <f>IF('ASS START SYNC'!C811="SHOW",LEFT('ASS START SYNC'!E811,B807),"")</f>
        <v/>
      </c>
      <c r="H807" s="24" t="str">
        <f>IF(AND('ASS START SYNC'!C811="SHOW",COUNTA('ASS START SYNC'!$E$8:'ASS START SYNC'!E810)=0),MID('ASS START SYNC'!E811,B807+1,C807-B807-1),IF(AND('ASS START SYNC'!C811="SHOW",COUNTA('ASS START SYNC'!$E$8:'ASS START SYNC'!E810)&lt;&gt;0),I806,""))</f>
        <v/>
      </c>
      <c r="I807" s="24" t="str">
        <f>IF('ASS START SYNC'!C811="SHOW",MID('ASS START SYNC'!E811,C807+1,D807-C807-1),I806)</f>
        <v/>
      </c>
      <c r="J807" s="23" t="str">
        <f>IF('ASS START SYNC'!C811="SHOW",MID('ASS START SYNC'!E811,D807+1,F807-D807+1),"")</f>
        <v/>
      </c>
      <c r="K807" s="23" t="str">
        <f>IF('ASS START SYNC'!C811="SHOW",MID('ASS START SYNC'!E811,F807+2,1000),"")</f>
        <v/>
      </c>
      <c r="M807" s="24"/>
      <c r="N807" s="26">
        <v>804</v>
      </c>
      <c r="O807" s="24" t="str">
        <f>IF('ASS END SYNC'!C811="SHOW",FIND(",",'ASS END SYNC'!E811,1),"")</f>
        <v/>
      </c>
      <c r="P807" s="24" t="str">
        <f>IF('ASS END SYNC'!C811="SHOW",FIND(",",'ASS END SYNC'!E811,O807+1),"")</f>
        <v/>
      </c>
      <c r="Q807" s="24" t="str">
        <f>IF('ASS END SYNC'!C811="SHOW",FIND(",",'ASS END SYNC'!E811,P807+1),"")</f>
        <v/>
      </c>
      <c r="R807" s="25" t="str">
        <f>IF('ASS END SYNC'!C811="SHOW",FIND(",,",'ASS END SYNC'!E811,1),"")</f>
        <v/>
      </c>
      <c r="S807" s="25" t="str">
        <f>IF('ASS END SYNC'!C811="SHOW",FIND(",,",'ASS END SYNC'!E811,R807+1),"")</f>
        <v/>
      </c>
      <c r="T807" s="23" t="str">
        <f>IF('ASS END SYNC'!C811="SHOW",LEFT('ASS END SYNC'!E811,O807),"")</f>
        <v/>
      </c>
      <c r="U807" s="24" t="str">
        <f>IF('ASS END SYNC'!C811="SHOW",MID('ASS END SYNC'!E811,O807+1,P807-O807-1),"")</f>
        <v/>
      </c>
      <c r="V807" s="24" t="str">
        <f>IF(AND('ASS END SYNC'!C811="SHOW",'ASS END SYNC'!C812="SHOW"),U808,IF(AND('ASS END SYNC'!C811="SHOW",'ASS END SYNC'!C812&lt;&gt;"SHOW"),MID('ASS END SYNC'!E811,O807+1,P807-O807-1),""))</f>
        <v/>
      </c>
      <c r="W807" s="23" t="str">
        <f>IF('ASS END SYNC'!C811="SHOW",MID('ASS END SYNC'!E811,Q807+1,S807-Q807+1),"")</f>
        <v/>
      </c>
      <c r="X807" s="23" t="str">
        <f>IF('ASS END SYNC'!C811="SHOW",MID('ASS END SYNC'!E811,S807+2,1000),"")</f>
        <v/>
      </c>
      <c r="Z807" s="24"/>
    </row>
    <row r="808" spans="1:26" x14ac:dyDescent="0.25">
      <c r="A808" s="26">
        <v>805</v>
      </c>
      <c r="B808" s="24" t="str">
        <f>IF('ASS START SYNC'!C812="SHOW",FIND(",",'ASS START SYNC'!E812,1),"")</f>
        <v/>
      </c>
      <c r="C808" s="24" t="str">
        <f>IF('ASS START SYNC'!C812="SHOW",FIND(",",'ASS START SYNC'!E812,B808+1),"")</f>
        <v/>
      </c>
      <c r="D808" s="24" t="str">
        <f>IF('ASS START SYNC'!C812="SHOW",FIND(",",'ASS START SYNC'!E812,C808+1),"")</f>
        <v/>
      </c>
      <c r="E808" s="25" t="str">
        <f>IF('ASS START SYNC'!C812="SHOW",FIND(",,",'ASS START SYNC'!E812,1),"")</f>
        <v/>
      </c>
      <c r="F808" s="25" t="str">
        <f>IF('ASS START SYNC'!C812="SHOW",FIND(",,",'ASS START SYNC'!E812,E808+1),"")</f>
        <v/>
      </c>
      <c r="G808" s="23" t="str">
        <f>IF('ASS START SYNC'!C812="SHOW",LEFT('ASS START SYNC'!E812,B808),"")</f>
        <v/>
      </c>
      <c r="H808" s="24" t="str">
        <f>IF(AND('ASS START SYNC'!C812="SHOW",COUNTA('ASS START SYNC'!$E$8:'ASS START SYNC'!E811)=0),MID('ASS START SYNC'!E812,B808+1,C808-B808-1),IF(AND('ASS START SYNC'!C812="SHOW",COUNTA('ASS START SYNC'!$E$8:'ASS START SYNC'!E811)&lt;&gt;0),I807,""))</f>
        <v/>
      </c>
      <c r="I808" s="24" t="str">
        <f>IF('ASS START SYNC'!C812="SHOW",MID('ASS START SYNC'!E812,C808+1,D808-C808-1),I807)</f>
        <v/>
      </c>
      <c r="J808" s="23" t="str">
        <f>IF('ASS START SYNC'!C812="SHOW",MID('ASS START SYNC'!E812,D808+1,F808-D808+1),"")</f>
        <v/>
      </c>
      <c r="K808" s="23" t="str">
        <f>IF('ASS START SYNC'!C812="SHOW",MID('ASS START SYNC'!E812,F808+2,1000),"")</f>
        <v/>
      </c>
      <c r="M808" s="24"/>
      <c r="N808" s="26">
        <v>805</v>
      </c>
      <c r="O808" s="24" t="str">
        <f>IF('ASS END SYNC'!C812="SHOW",FIND(",",'ASS END SYNC'!E812,1),"")</f>
        <v/>
      </c>
      <c r="P808" s="24" t="str">
        <f>IF('ASS END SYNC'!C812="SHOW",FIND(",",'ASS END SYNC'!E812,O808+1),"")</f>
        <v/>
      </c>
      <c r="Q808" s="24" t="str">
        <f>IF('ASS END SYNC'!C812="SHOW",FIND(",",'ASS END SYNC'!E812,P808+1),"")</f>
        <v/>
      </c>
      <c r="R808" s="25" t="str">
        <f>IF('ASS END SYNC'!C812="SHOW",FIND(",,",'ASS END SYNC'!E812,1),"")</f>
        <v/>
      </c>
      <c r="S808" s="25" t="str">
        <f>IF('ASS END SYNC'!C812="SHOW",FIND(",,",'ASS END SYNC'!E812,R808+1),"")</f>
        <v/>
      </c>
      <c r="T808" s="23" t="str">
        <f>IF('ASS END SYNC'!C812="SHOW",LEFT('ASS END SYNC'!E812,O808),"")</f>
        <v/>
      </c>
      <c r="U808" s="24" t="str">
        <f>IF('ASS END SYNC'!C812="SHOW",MID('ASS END SYNC'!E812,O808+1,P808-O808-1),"")</f>
        <v/>
      </c>
      <c r="V808" s="24" t="str">
        <f>IF(AND('ASS END SYNC'!C812="SHOW",'ASS END SYNC'!C813="SHOW"),U809,IF(AND('ASS END SYNC'!C812="SHOW",'ASS END SYNC'!C813&lt;&gt;"SHOW"),MID('ASS END SYNC'!E812,O808+1,P808-O808-1),""))</f>
        <v/>
      </c>
      <c r="W808" s="23" t="str">
        <f>IF('ASS END SYNC'!C812="SHOW",MID('ASS END SYNC'!E812,Q808+1,S808-Q808+1),"")</f>
        <v/>
      </c>
      <c r="X808" s="23" t="str">
        <f>IF('ASS END SYNC'!C812="SHOW",MID('ASS END SYNC'!E812,S808+2,1000),"")</f>
        <v/>
      </c>
      <c r="Z808" s="24"/>
    </row>
    <row r="809" spans="1:26" x14ac:dyDescent="0.25">
      <c r="A809" s="26">
        <v>806</v>
      </c>
      <c r="B809" s="24" t="str">
        <f>IF('ASS START SYNC'!C813="SHOW",FIND(",",'ASS START SYNC'!E813,1),"")</f>
        <v/>
      </c>
      <c r="C809" s="24" t="str">
        <f>IF('ASS START SYNC'!C813="SHOW",FIND(",",'ASS START SYNC'!E813,B809+1),"")</f>
        <v/>
      </c>
      <c r="D809" s="24" t="str">
        <f>IF('ASS START SYNC'!C813="SHOW",FIND(",",'ASS START SYNC'!E813,C809+1),"")</f>
        <v/>
      </c>
      <c r="E809" s="25" t="str">
        <f>IF('ASS START SYNC'!C813="SHOW",FIND(",,",'ASS START SYNC'!E813,1),"")</f>
        <v/>
      </c>
      <c r="F809" s="25" t="str">
        <f>IF('ASS START SYNC'!C813="SHOW",FIND(",,",'ASS START SYNC'!E813,E809+1),"")</f>
        <v/>
      </c>
      <c r="G809" s="23" t="str">
        <f>IF('ASS START SYNC'!C813="SHOW",LEFT('ASS START SYNC'!E813,B809),"")</f>
        <v/>
      </c>
      <c r="H809" s="24" t="str">
        <f>IF(AND('ASS START SYNC'!C813="SHOW",COUNTA('ASS START SYNC'!$E$8:'ASS START SYNC'!E812)=0),MID('ASS START SYNC'!E813,B809+1,C809-B809-1),IF(AND('ASS START SYNC'!C813="SHOW",COUNTA('ASS START SYNC'!$E$8:'ASS START SYNC'!E812)&lt;&gt;0),I808,""))</f>
        <v/>
      </c>
      <c r="I809" s="24" t="str">
        <f>IF('ASS START SYNC'!C813="SHOW",MID('ASS START SYNC'!E813,C809+1,D809-C809-1),I808)</f>
        <v/>
      </c>
      <c r="J809" s="23" t="str">
        <f>IF('ASS START SYNC'!C813="SHOW",MID('ASS START SYNC'!E813,D809+1,F809-D809+1),"")</f>
        <v/>
      </c>
      <c r="K809" s="23" t="str">
        <f>IF('ASS START SYNC'!C813="SHOW",MID('ASS START SYNC'!E813,F809+2,1000),"")</f>
        <v/>
      </c>
      <c r="M809" s="24"/>
      <c r="N809" s="26">
        <v>806</v>
      </c>
      <c r="O809" s="24" t="str">
        <f>IF('ASS END SYNC'!C813="SHOW",FIND(",",'ASS END SYNC'!E813,1),"")</f>
        <v/>
      </c>
      <c r="P809" s="24" t="str">
        <f>IF('ASS END SYNC'!C813="SHOW",FIND(",",'ASS END SYNC'!E813,O809+1),"")</f>
        <v/>
      </c>
      <c r="Q809" s="24" t="str">
        <f>IF('ASS END SYNC'!C813="SHOW",FIND(",",'ASS END SYNC'!E813,P809+1),"")</f>
        <v/>
      </c>
      <c r="R809" s="25" t="str">
        <f>IF('ASS END SYNC'!C813="SHOW",FIND(",,",'ASS END SYNC'!E813,1),"")</f>
        <v/>
      </c>
      <c r="S809" s="25" t="str">
        <f>IF('ASS END SYNC'!C813="SHOW",FIND(",,",'ASS END SYNC'!E813,R809+1),"")</f>
        <v/>
      </c>
      <c r="T809" s="23" t="str">
        <f>IF('ASS END SYNC'!C813="SHOW",LEFT('ASS END SYNC'!E813,O809),"")</f>
        <v/>
      </c>
      <c r="U809" s="24" t="str">
        <f>IF('ASS END SYNC'!C813="SHOW",MID('ASS END SYNC'!E813,O809+1,P809-O809-1),"")</f>
        <v/>
      </c>
      <c r="V809" s="24" t="str">
        <f>IF(AND('ASS END SYNC'!C813="SHOW",'ASS END SYNC'!C814="SHOW"),U810,IF(AND('ASS END SYNC'!C813="SHOW",'ASS END SYNC'!C814&lt;&gt;"SHOW"),MID('ASS END SYNC'!E813,O809+1,P809-O809-1),""))</f>
        <v/>
      </c>
      <c r="W809" s="23" t="str">
        <f>IF('ASS END SYNC'!C813="SHOW",MID('ASS END SYNC'!E813,Q809+1,S809-Q809+1),"")</f>
        <v/>
      </c>
      <c r="X809" s="23" t="str">
        <f>IF('ASS END SYNC'!C813="SHOW",MID('ASS END SYNC'!E813,S809+2,1000),"")</f>
        <v/>
      </c>
      <c r="Z809" s="24"/>
    </row>
    <row r="810" spans="1:26" x14ac:dyDescent="0.25">
      <c r="A810" s="26">
        <v>807</v>
      </c>
      <c r="B810" s="24" t="str">
        <f>IF('ASS START SYNC'!C814="SHOW",FIND(",",'ASS START SYNC'!E814,1),"")</f>
        <v/>
      </c>
      <c r="C810" s="24" t="str">
        <f>IF('ASS START SYNC'!C814="SHOW",FIND(",",'ASS START SYNC'!E814,B810+1),"")</f>
        <v/>
      </c>
      <c r="D810" s="24" t="str">
        <f>IF('ASS START SYNC'!C814="SHOW",FIND(",",'ASS START SYNC'!E814,C810+1),"")</f>
        <v/>
      </c>
      <c r="E810" s="25" t="str">
        <f>IF('ASS START SYNC'!C814="SHOW",FIND(",,",'ASS START SYNC'!E814,1),"")</f>
        <v/>
      </c>
      <c r="F810" s="25" t="str">
        <f>IF('ASS START SYNC'!C814="SHOW",FIND(",,",'ASS START SYNC'!E814,E810+1),"")</f>
        <v/>
      </c>
      <c r="G810" s="23" t="str">
        <f>IF('ASS START SYNC'!C814="SHOW",LEFT('ASS START SYNC'!E814,B810),"")</f>
        <v/>
      </c>
      <c r="H810" s="24" t="str">
        <f>IF(AND('ASS START SYNC'!C814="SHOW",COUNTA('ASS START SYNC'!$E$8:'ASS START SYNC'!E813)=0),MID('ASS START SYNC'!E814,B810+1,C810-B810-1),IF(AND('ASS START SYNC'!C814="SHOW",COUNTA('ASS START SYNC'!$E$8:'ASS START SYNC'!E813)&lt;&gt;0),I809,""))</f>
        <v/>
      </c>
      <c r="I810" s="24" t="str">
        <f>IF('ASS START SYNC'!C814="SHOW",MID('ASS START SYNC'!E814,C810+1,D810-C810-1),I809)</f>
        <v/>
      </c>
      <c r="J810" s="23" t="str">
        <f>IF('ASS START SYNC'!C814="SHOW",MID('ASS START SYNC'!E814,D810+1,F810-D810+1),"")</f>
        <v/>
      </c>
      <c r="K810" s="23" t="str">
        <f>IF('ASS START SYNC'!C814="SHOW",MID('ASS START SYNC'!E814,F810+2,1000),"")</f>
        <v/>
      </c>
      <c r="M810" s="24"/>
      <c r="N810" s="26">
        <v>807</v>
      </c>
      <c r="O810" s="24" t="str">
        <f>IF('ASS END SYNC'!C814="SHOW",FIND(",",'ASS END SYNC'!E814,1),"")</f>
        <v/>
      </c>
      <c r="P810" s="24" t="str">
        <f>IF('ASS END SYNC'!C814="SHOW",FIND(",",'ASS END SYNC'!E814,O810+1),"")</f>
        <v/>
      </c>
      <c r="Q810" s="24" t="str">
        <f>IF('ASS END SYNC'!C814="SHOW",FIND(",",'ASS END SYNC'!E814,P810+1),"")</f>
        <v/>
      </c>
      <c r="R810" s="25" t="str">
        <f>IF('ASS END SYNC'!C814="SHOW",FIND(",,",'ASS END SYNC'!E814,1),"")</f>
        <v/>
      </c>
      <c r="S810" s="25" t="str">
        <f>IF('ASS END SYNC'!C814="SHOW",FIND(",,",'ASS END SYNC'!E814,R810+1),"")</f>
        <v/>
      </c>
      <c r="T810" s="23" t="str">
        <f>IF('ASS END SYNC'!C814="SHOW",LEFT('ASS END SYNC'!E814,O810),"")</f>
        <v/>
      </c>
      <c r="U810" s="24" t="str">
        <f>IF('ASS END SYNC'!C814="SHOW",MID('ASS END SYNC'!E814,O810+1,P810-O810-1),"")</f>
        <v/>
      </c>
      <c r="V810" s="24" t="str">
        <f>IF(AND('ASS END SYNC'!C814="SHOW",'ASS END SYNC'!C815="SHOW"),U811,IF(AND('ASS END SYNC'!C814="SHOW",'ASS END SYNC'!C815&lt;&gt;"SHOW"),MID('ASS END SYNC'!E814,O810+1,P810-O810-1),""))</f>
        <v/>
      </c>
      <c r="W810" s="23" t="str">
        <f>IF('ASS END SYNC'!C814="SHOW",MID('ASS END SYNC'!E814,Q810+1,S810-Q810+1),"")</f>
        <v/>
      </c>
      <c r="X810" s="23" t="str">
        <f>IF('ASS END SYNC'!C814="SHOW",MID('ASS END SYNC'!E814,S810+2,1000),"")</f>
        <v/>
      </c>
      <c r="Z810" s="24"/>
    </row>
    <row r="811" spans="1:26" x14ac:dyDescent="0.25">
      <c r="A811" s="26">
        <v>808</v>
      </c>
      <c r="B811" s="24" t="str">
        <f>IF('ASS START SYNC'!C815="SHOW",FIND(",",'ASS START SYNC'!E815,1),"")</f>
        <v/>
      </c>
      <c r="C811" s="24" t="str">
        <f>IF('ASS START SYNC'!C815="SHOW",FIND(",",'ASS START SYNC'!E815,B811+1),"")</f>
        <v/>
      </c>
      <c r="D811" s="24" t="str">
        <f>IF('ASS START SYNC'!C815="SHOW",FIND(",",'ASS START SYNC'!E815,C811+1),"")</f>
        <v/>
      </c>
      <c r="E811" s="25" t="str">
        <f>IF('ASS START SYNC'!C815="SHOW",FIND(",,",'ASS START SYNC'!E815,1),"")</f>
        <v/>
      </c>
      <c r="F811" s="25" t="str">
        <f>IF('ASS START SYNC'!C815="SHOW",FIND(",,",'ASS START SYNC'!E815,E811+1),"")</f>
        <v/>
      </c>
      <c r="G811" s="23" t="str">
        <f>IF('ASS START SYNC'!C815="SHOW",LEFT('ASS START SYNC'!E815,B811),"")</f>
        <v/>
      </c>
      <c r="H811" s="24" t="str">
        <f>IF(AND('ASS START SYNC'!C815="SHOW",COUNTA('ASS START SYNC'!$E$8:'ASS START SYNC'!E814)=0),MID('ASS START SYNC'!E815,B811+1,C811-B811-1),IF(AND('ASS START SYNC'!C815="SHOW",COUNTA('ASS START SYNC'!$E$8:'ASS START SYNC'!E814)&lt;&gt;0),I810,""))</f>
        <v/>
      </c>
      <c r="I811" s="24" t="str">
        <f>IF('ASS START SYNC'!C815="SHOW",MID('ASS START SYNC'!E815,C811+1,D811-C811-1),I810)</f>
        <v/>
      </c>
      <c r="J811" s="23" t="str">
        <f>IF('ASS START SYNC'!C815="SHOW",MID('ASS START SYNC'!E815,D811+1,F811-D811+1),"")</f>
        <v/>
      </c>
      <c r="K811" s="23" t="str">
        <f>IF('ASS START SYNC'!C815="SHOW",MID('ASS START SYNC'!E815,F811+2,1000),"")</f>
        <v/>
      </c>
      <c r="M811" s="24"/>
      <c r="N811" s="26">
        <v>808</v>
      </c>
      <c r="O811" s="24" t="str">
        <f>IF('ASS END SYNC'!C815="SHOW",FIND(",",'ASS END SYNC'!E815,1),"")</f>
        <v/>
      </c>
      <c r="P811" s="24" t="str">
        <f>IF('ASS END SYNC'!C815="SHOW",FIND(",",'ASS END SYNC'!E815,O811+1),"")</f>
        <v/>
      </c>
      <c r="Q811" s="24" t="str">
        <f>IF('ASS END SYNC'!C815="SHOW",FIND(",",'ASS END SYNC'!E815,P811+1),"")</f>
        <v/>
      </c>
      <c r="R811" s="25" t="str">
        <f>IF('ASS END SYNC'!C815="SHOW",FIND(",,",'ASS END SYNC'!E815,1),"")</f>
        <v/>
      </c>
      <c r="S811" s="25" t="str">
        <f>IF('ASS END SYNC'!C815="SHOW",FIND(",,",'ASS END SYNC'!E815,R811+1),"")</f>
        <v/>
      </c>
      <c r="T811" s="23" t="str">
        <f>IF('ASS END SYNC'!C815="SHOW",LEFT('ASS END SYNC'!E815,O811),"")</f>
        <v/>
      </c>
      <c r="U811" s="24" t="str">
        <f>IF('ASS END SYNC'!C815="SHOW",MID('ASS END SYNC'!E815,O811+1,P811-O811-1),"")</f>
        <v/>
      </c>
      <c r="V811" s="24" t="str">
        <f>IF(AND('ASS END SYNC'!C815="SHOW",'ASS END SYNC'!C816="SHOW"),U812,IF(AND('ASS END SYNC'!C815="SHOW",'ASS END SYNC'!C816&lt;&gt;"SHOW"),MID('ASS END SYNC'!E815,O811+1,P811-O811-1),""))</f>
        <v/>
      </c>
      <c r="W811" s="23" t="str">
        <f>IF('ASS END SYNC'!C815="SHOW",MID('ASS END SYNC'!E815,Q811+1,S811-Q811+1),"")</f>
        <v/>
      </c>
      <c r="X811" s="23" t="str">
        <f>IF('ASS END SYNC'!C815="SHOW",MID('ASS END SYNC'!E815,S811+2,1000),"")</f>
        <v/>
      </c>
      <c r="Z811" s="24"/>
    </row>
    <row r="812" spans="1:26" x14ac:dyDescent="0.25">
      <c r="A812" s="26">
        <v>809</v>
      </c>
      <c r="B812" s="24" t="str">
        <f>IF('ASS START SYNC'!C816="SHOW",FIND(",",'ASS START SYNC'!E816,1),"")</f>
        <v/>
      </c>
      <c r="C812" s="24" t="str">
        <f>IF('ASS START SYNC'!C816="SHOW",FIND(",",'ASS START SYNC'!E816,B812+1),"")</f>
        <v/>
      </c>
      <c r="D812" s="24" t="str">
        <f>IF('ASS START SYNC'!C816="SHOW",FIND(",",'ASS START SYNC'!E816,C812+1),"")</f>
        <v/>
      </c>
      <c r="E812" s="25" t="str">
        <f>IF('ASS START SYNC'!C816="SHOW",FIND(",,",'ASS START SYNC'!E816,1),"")</f>
        <v/>
      </c>
      <c r="F812" s="25" t="str">
        <f>IF('ASS START SYNC'!C816="SHOW",FIND(",,",'ASS START SYNC'!E816,E812+1),"")</f>
        <v/>
      </c>
      <c r="G812" s="23" t="str">
        <f>IF('ASS START SYNC'!C816="SHOW",LEFT('ASS START SYNC'!E816,B812),"")</f>
        <v/>
      </c>
      <c r="H812" s="24" t="str">
        <f>IF(AND('ASS START SYNC'!C816="SHOW",COUNTA('ASS START SYNC'!$E$8:'ASS START SYNC'!E815)=0),MID('ASS START SYNC'!E816,B812+1,C812-B812-1),IF(AND('ASS START SYNC'!C816="SHOW",COUNTA('ASS START SYNC'!$E$8:'ASS START SYNC'!E815)&lt;&gt;0),I811,""))</f>
        <v/>
      </c>
      <c r="I812" s="24" t="str">
        <f>IF('ASS START SYNC'!C816="SHOW",MID('ASS START SYNC'!E816,C812+1,D812-C812-1),I811)</f>
        <v/>
      </c>
      <c r="J812" s="23" t="str">
        <f>IF('ASS START SYNC'!C816="SHOW",MID('ASS START SYNC'!E816,D812+1,F812-D812+1),"")</f>
        <v/>
      </c>
      <c r="K812" s="23" t="str">
        <f>IF('ASS START SYNC'!C816="SHOW",MID('ASS START SYNC'!E816,F812+2,1000),"")</f>
        <v/>
      </c>
      <c r="M812" s="24"/>
      <c r="N812" s="26">
        <v>809</v>
      </c>
      <c r="O812" s="24" t="str">
        <f>IF('ASS END SYNC'!C816="SHOW",FIND(",",'ASS END SYNC'!E816,1),"")</f>
        <v/>
      </c>
      <c r="P812" s="24" t="str">
        <f>IF('ASS END SYNC'!C816="SHOW",FIND(",",'ASS END SYNC'!E816,O812+1),"")</f>
        <v/>
      </c>
      <c r="Q812" s="24" t="str">
        <f>IF('ASS END SYNC'!C816="SHOW",FIND(",",'ASS END SYNC'!E816,P812+1),"")</f>
        <v/>
      </c>
      <c r="R812" s="25" t="str">
        <f>IF('ASS END SYNC'!C816="SHOW",FIND(",,",'ASS END SYNC'!E816,1),"")</f>
        <v/>
      </c>
      <c r="S812" s="25" t="str">
        <f>IF('ASS END SYNC'!C816="SHOW",FIND(",,",'ASS END SYNC'!E816,R812+1),"")</f>
        <v/>
      </c>
      <c r="T812" s="23" t="str">
        <f>IF('ASS END SYNC'!C816="SHOW",LEFT('ASS END SYNC'!E816,O812),"")</f>
        <v/>
      </c>
      <c r="U812" s="24" t="str">
        <f>IF('ASS END SYNC'!C816="SHOW",MID('ASS END SYNC'!E816,O812+1,P812-O812-1),"")</f>
        <v/>
      </c>
      <c r="V812" s="24" t="str">
        <f>IF(AND('ASS END SYNC'!C816="SHOW",'ASS END SYNC'!C817="SHOW"),U813,IF(AND('ASS END SYNC'!C816="SHOW",'ASS END SYNC'!C817&lt;&gt;"SHOW"),MID('ASS END SYNC'!E816,O812+1,P812-O812-1),""))</f>
        <v/>
      </c>
      <c r="W812" s="23" t="str">
        <f>IF('ASS END SYNC'!C816="SHOW",MID('ASS END SYNC'!E816,Q812+1,S812-Q812+1),"")</f>
        <v/>
      </c>
      <c r="X812" s="23" t="str">
        <f>IF('ASS END SYNC'!C816="SHOW",MID('ASS END SYNC'!E816,S812+2,1000),"")</f>
        <v/>
      </c>
      <c r="Z812" s="24"/>
    </row>
    <row r="813" spans="1:26" x14ac:dyDescent="0.25">
      <c r="A813" s="26">
        <v>810</v>
      </c>
      <c r="B813" s="24" t="str">
        <f>IF('ASS START SYNC'!C817="SHOW",FIND(",",'ASS START SYNC'!E817,1),"")</f>
        <v/>
      </c>
      <c r="C813" s="24" t="str">
        <f>IF('ASS START SYNC'!C817="SHOW",FIND(",",'ASS START SYNC'!E817,B813+1),"")</f>
        <v/>
      </c>
      <c r="D813" s="24" t="str">
        <f>IF('ASS START SYNC'!C817="SHOW",FIND(",",'ASS START SYNC'!E817,C813+1),"")</f>
        <v/>
      </c>
      <c r="E813" s="25" t="str">
        <f>IF('ASS START SYNC'!C817="SHOW",FIND(",,",'ASS START SYNC'!E817,1),"")</f>
        <v/>
      </c>
      <c r="F813" s="25" t="str">
        <f>IF('ASS START SYNC'!C817="SHOW",FIND(",,",'ASS START SYNC'!E817,E813+1),"")</f>
        <v/>
      </c>
      <c r="G813" s="23" t="str">
        <f>IF('ASS START SYNC'!C817="SHOW",LEFT('ASS START SYNC'!E817,B813),"")</f>
        <v/>
      </c>
      <c r="H813" s="24" t="str">
        <f>IF(AND('ASS START SYNC'!C817="SHOW",COUNTA('ASS START SYNC'!$E$8:'ASS START SYNC'!E816)=0),MID('ASS START SYNC'!E817,B813+1,C813-B813-1),IF(AND('ASS START SYNC'!C817="SHOW",COUNTA('ASS START SYNC'!$E$8:'ASS START SYNC'!E816)&lt;&gt;0),I812,""))</f>
        <v/>
      </c>
      <c r="I813" s="24" t="str">
        <f>IF('ASS START SYNC'!C817="SHOW",MID('ASS START SYNC'!E817,C813+1,D813-C813-1),I812)</f>
        <v/>
      </c>
      <c r="J813" s="23" t="str">
        <f>IF('ASS START SYNC'!C817="SHOW",MID('ASS START SYNC'!E817,D813+1,F813-D813+1),"")</f>
        <v/>
      </c>
      <c r="K813" s="23" t="str">
        <f>IF('ASS START SYNC'!C817="SHOW",MID('ASS START SYNC'!E817,F813+2,1000),"")</f>
        <v/>
      </c>
      <c r="M813" s="24"/>
      <c r="N813" s="26">
        <v>810</v>
      </c>
      <c r="O813" s="24" t="str">
        <f>IF('ASS END SYNC'!C817="SHOW",FIND(",",'ASS END SYNC'!E817,1),"")</f>
        <v/>
      </c>
      <c r="P813" s="24" t="str">
        <f>IF('ASS END SYNC'!C817="SHOW",FIND(",",'ASS END SYNC'!E817,O813+1),"")</f>
        <v/>
      </c>
      <c r="Q813" s="24" t="str">
        <f>IF('ASS END SYNC'!C817="SHOW",FIND(",",'ASS END SYNC'!E817,P813+1),"")</f>
        <v/>
      </c>
      <c r="R813" s="25" t="str">
        <f>IF('ASS END SYNC'!C817="SHOW",FIND(",,",'ASS END SYNC'!E817,1),"")</f>
        <v/>
      </c>
      <c r="S813" s="25" t="str">
        <f>IF('ASS END SYNC'!C817="SHOW",FIND(",,",'ASS END SYNC'!E817,R813+1),"")</f>
        <v/>
      </c>
      <c r="T813" s="23" t="str">
        <f>IF('ASS END SYNC'!C817="SHOW",LEFT('ASS END SYNC'!E817,O813),"")</f>
        <v/>
      </c>
      <c r="U813" s="24" t="str">
        <f>IF('ASS END SYNC'!C817="SHOW",MID('ASS END SYNC'!E817,O813+1,P813-O813-1),"")</f>
        <v/>
      </c>
      <c r="V813" s="24" t="str">
        <f>IF(AND('ASS END SYNC'!C817="SHOW",'ASS END SYNC'!C818="SHOW"),U814,IF(AND('ASS END SYNC'!C817="SHOW",'ASS END SYNC'!C818&lt;&gt;"SHOW"),MID('ASS END SYNC'!E817,O813+1,P813-O813-1),""))</f>
        <v/>
      </c>
      <c r="W813" s="23" t="str">
        <f>IF('ASS END SYNC'!C817="SHOW",MID('ASS END SYNC'!E817,Q813+1,S813-Q813+1),"")</f>
        <v/>
      </c>
      <c r="X813" s="23" t="str">
        <f>IF('ASS END SYNC'!C817="SHOW",MID('ASS END SYNC'!E817,S813+2,1000),"")</f>
        <v/>
      </c>
      <c r="Z813" s="24"/>
    </row>
    <row r="814" spans="1:26" x14ac:dyDescent="0.25">
      <c r="A814" s="26">
        <v>811</v>
      </c>
      <c r="B814" s="24" t="str">
        <f>IF('ASS START SYNC'!C818="SHOW",FIND(",",'ASS START SYNC'!E818,1),"")</f>
        <v/>
      </c>
      <c r="C814" s="24" t="str">
        <f>IF('ASS START SYNC'!C818="SHOW",FIND(",",'ASS START SYNC'!E818,B814+1),"")</f>
        <v/>
      </c>
      <c r="D814" s="24" t="str">
        <f>IF('ASS START SYNC'!C818="SHOW",FIND(",",'ASS START SYNC'!E818,C814+1),"")</f>
        <v/>
      </c>
      <c r="E814" s="25" t="str">
        <f>IF('ASS START SYNC'!C818="SHOW",FIND(",,",'ASS START SYNC'!E818,1),"")</f>
        <v/>
      </c>
      <c r="F814" s="25" t="str">
        <f>IF('ASS START SYNC'!C818="SHOW",FIND(",,",'ASS START SYNC'!E818,E814+1),"")</f>
        <v/>
      </c>
      <c r="G814" s="23" t="str">
        <f>IF('ASS START SYNC'!C818="SHOW",LEFT('ASS START SYNC'!E818,B814),"")</f>
        <v/>
      </c>
      <c r="H814" s="24" t="str">
        <f>IF(AND('ASS START SYNC'!C818="SHOW",COUNTA('ASS START SYNC'!$E$8:'ASS START SYNC'!E817)=0),MID('ASS START SYNC'!E818,B814+1,C814-B814-1),IF(AND('ASS START SYNC'!C818="SHOW",COUNTA('ASS START SYNC'!$E$8:'ASS START SYNC'!E817)&lt;&gt;0),I813,""))</f>
        <v/>
      </c>
      <c r="I814" s="24" t="str">
        <f>IF('ASS START SYNC'!C818="SHOW",MID('ASS START SYNC'!E818,C814+1,D814-C814-1),I813)</f>
        <v/>
      </c>
      <c r="J814" s="23" t="str">
        <f>IF('ASS START SYNC'!C818="SHOW",MID('ASS START SYNC'!E818,D814+1,F814-D814+1),"")</f>
        <v/>
      </c>
      <c r="K814" s="23" t="str">
        <f>IF('ASS START SYNC'!C818="SHOW",MID('ASS START SYNC'!E818,F814+2,1000),"")</f>
        <v/>
      </c>
      <c r="M814" s="24"/>
      <c r="N814" s="26">
        <v>811</v>
      </c>
      <c r="O814" s="24" t="str">
        <f>IF('ASS END SYNC'!C818="SHOW",FIND(",",'ASS END SYNC'!E818,1),"")</f>
        <v/>
      </c>
      <c r="P814" s="24" t="str">
        <f>IF('ASS END SYNC'!C818="SHOW",FIND(",",'ASS END SYNC'!E818,O814+1),"")</f>
        <v/>
      </c>
      <c r="Q814" s="24" t="str">
        <f>IF('ASS END SYNC'!C818="SHOW",FIND(",",'ASS END SYNC'!E818,P814+1),"")</f>
        <v/>
      </c>
      <c r="R814" s="25" t="str">
        <f>IF('ASS END SYNC'!C818="SHOW",FIND(",,",'ASS END SYNC'!E818,1),"")</f>
        <v/>
      </c>
      <c r="S814" s="25" t="str">
        <f>IF('ASS END SYNC'!C818="SHOW",FIND(",,",'ASS END SYNC'!E818,R814+1),"")</f>
        <v/>
      </c>
      <c r="T814" s="23" t="str">
        <f>IF('ASS END SYNC'!C818="SHOW",LEFT('ASS END SYNC'!E818,O814),"")</f>
        <v/>
      </c>
      <c r="U814" s="24" t="str">
        <f>IF('ASS END SYNC'!C818="SHOW",MID('ASS END SYNC'!E818,O814+1,P814-O814-1),"")</f>
        <v/>
      </c>
      <c r="V814" s="24" t="str">
        <f>IF(AND('ASS END SYNC'!C818="SHOW",'ASS END SYNC'!C819="SHOW"),U815,IF(AND('ASS END SYNC'!C818="SHOW",'ASS END SYNC'!C819&lt;&gt;"SHOW"),MID('ASS END SYNC'!E818,O814+1,P814-O814-1),""))</f>
        <v/>
      </c>
      <c r="W814" s="23" t="str">
        <f>IF('ASS END SYNC'!C818="SHOW",MID('ASS END SYNC'!E818,Q814+1,S814-Q814+1),"")</f>
        <v/>
      </c>
      <c r="X814" s="23" t="str">
        <f>IF('ASS END SYNC'!C818="SHOW",MID('ASS END SYNC'!E818,S814+2,1000),"")</f>
        <v/>
      </c>
      <c r="Z814" s="24"/>
    </row>
    <row r="815" spans="1:26" x14ac:dyDescent="0.25">
      <c r="A815" s="26">
        <v>812</v>
      </c>
      <c r="B815" s="24" t="str">
        <f>IF('ASS START SYNC'!C819="SHOW",FIND(",",'ASS START SYNC'!E819,1),"")</f>
        <v/>
      </c>
      <c r="C815" s="24" t="str">
        <f>IF('ASS START SYNC'!C819="SHOW",FIND(",",'ASS START SYNC'!E819,B815+1),"")</f>
        <v/>
      </c>
      <c r="D815" s="24" t="str">
        <f>IF('ASS START SYNC'!C819="SHOW",FIND(",",'ASS START SYNC'!E819,C815+1),"")</f>
        <v/>
      </c>
      <c r="E815" s="25" t="str">
        <f>IF('ASS START SYNC'!C819="SHOW",FIND(",,",'ASS START SYNC'!E819,1),"")</f>
        <v/>
      </c>
      <c r="F815" s="25" t="str">
        <f>IF('ASS START SYNC'!C819="SHOW",FIND(",,",'ASS START SYNC'!E819,E815+1),"")</f>
        <v/>
      </c>
      <c r="G815" s="23" t="str">
        <f>IF('ASS START SYNC'!C819="SHOW",LEFT('ASS START SYNC'!E819,B815),"")</f>
        <v/>
      </c>
      <c r="H815" s="24" t="str">
        <f>IF(AND('ASS START SYNC'!C819="SHOW",COUNTA('ASS START SYNC'!$E$8:'ASS START SYNC'!E818)=0),MID('ASS START SYNC'!E819,B815+1,C815-B815-1),IF(AND('ASS START SYNC'!C819="SHOW",COUNTA('ASS START SYNC'!$E$8:'ASS START SYNC'!E818)&lt;&gt;0),I814,""))</f>
        <v/>
      </c>
      <c r="I815" s="24" t="str">
        <f>IF('ASS START SYNC'!C819="SHOW",MID('ASS START SYNC'!E819,C815+1,D815-C815-1),I814)</f>
        <v/>
      </c>
      <c r="J815" s="23" t="str">
        <f>IF('ASS START SYNC'!C819="SHOW",MID('ASS START SYNC'!E819,D815+1,F815-D815+1),"")</f>
        <v/>
      </c>
      <c r="K815" s="23" t="str">
        <f>IF('ASS START SYNC'!C819="SHOW",MID('ASS START SYNC'!E819,F815+2,1000),"")</f>
        <v/>
      </c>
      <c r="M815" s="24"/>
      <c r="N815" s="26">
        <v>812</v>
      </c>
      <c r="O815" s="24" t="str">
        <f>IF('ASS END SYNC'!C819="SHOW",FIND(",",'ASS END SYNC'!E819,1),"")</f>
        <v/>
      </c>
      <c r="P815" s="24" t="str">
        <f>IF('ASS END SYNC'!C819="SHOW",FIND(",",'ASS END SYNC'!E819,O815+1),"")</f>
        <v/>
      </c>
      <c r="Q815" s="24" t="str">
        <f>IF('ASS END SYNC'!C819="SHOW",FIND(",",'ASS END SYNC'!E819,P815+1),"")</f>
        <v/>
      </c>
      <c r="R815" s="25" t="str">
        <f>IF('ASS END SYNC'!C819="SHOW",FIND(",,",'ASS END SYNC'!E819,1),"")</f>
        <v/>
      </c>
      <c r="S815" s="25" t="str">
        <f>IF('ASS END SYNC'!C819="SHOW",FIND(",,",'ASS END SYNC'!E819,R815+1),"")</f>
        <v/>
      </c>
      <c r="T815" s="23" t="str">
        <f>IF('ASS END SYNC'!C819="SHOW",LEFT('ASS END SYNC'!E819,O815),"")</f>
        <v/>
      </c>
      <c r="U815" s="24" t="str">
        <f>IF('ASS END SYNC'!C819="SHOW",MID('ASS END SYNC'!E819,O815+1,P815-O815-1),"")</f>
        <v/>
      </c>
      <c r="V815" s="24" t="str">
        <f>IF(AND('ASS END SYNC'!C819="SHOW",'ASS END SYNC'!C820="SHOW"),U816,IF(AND('ASS END SYNC'!C819="SHOW",'ASS END SYNC'!C820&lt;&gt;"SHOW"),MID('ASS END SYNC'!E819,O815+1,P815-O815-1),""))</f>
        <v/>
      </c>
      <c r="W815" s="23" t="str">
        <f>IF('ASS END SYNC'!C819="SHOW",MID('ASS END SYNC'!E819,Q815+1,S815-Q815+1),"")</f>
        <v/>
      </c>
      <c r="X815" s="23" t="str">
        <f>IF('ASS END SYNC'!C819="SHOW",MID('ASS END SYNC'!E819,S815+2,1000),"")</f>
        <v/>
      </c>
      <c r="Z815" s="24"/>
    </row>
    <row r="816" spans="1:26" x14ac:dyDescent="0.25">
      <c r="A816" s="26">
        <v>813</v>
      </c>
      <c r="B816" s="24" t="str">
        <f>IF('ASS START SYNC'!C820="SHOW",FIND(",",'ASS START SYNC'!E820,1),"")</f>
        <v/>
      </c>
      <c r="C816" s="24" t="str">
        <f>IF('ASS START SYNC'!C820="SHOW",FIND(",",'ASS START SYNC'!E820,B816+1),"")</f>
        <v/>
      </c>
      <c r="D816" s="24" t="str">
        <f>IF('ASS START SYNC'!C820="SHOW",FIND(",",'ASS START SYNC'!E820,C816+1),"")</f>
        <v/>
      </c>
      <c r="E816" s="25" t="str">
        <f>IF('ASS START SYNC'!C820="SHOW",FIND(",,",'ASS START SYNC'!E820,1),"")</f>
        <v/>
      </c>
      <c r="F816" s="25" t="str">
        <f>IF('ASS START SYNC'!C820="SHOW",FIND(",,",'ASS START SYNC'!E820,E816+1),"")</f>
        <v/>
      </c>
      <c r="G816" s="23" t="str">
        <f>IF('ASS START SYNC'!C820="SHOW",LEFT('ASS START SYNC'!E820,B816),"")</f>
        <v/>
      </c>
      <c r="H816" s="24" t="str">
        <f>IF(AND('ASS START SYNC'!C820="SHOW",COUNTA('ASS START SYNC'!$E$8:'ASS START SYNC'!E819)=0),MID('ASS START SYNC'!E820,B816+1,C816-B816-1),IF(AND('ASS START SYNC'!C820="SHOW",COUNTA('ASS START SYNC'!$E$8:'ASS START SYNC'!E819)&lt;&gt;0),I815,""))</f>
        <v/>
      </c>
      <c r="I816" s="24" t="str">
        <f>IF('ASS START SYNC'!C820="SHOW",MID('ASS START SYNC'!E820,C816+1,D816-C816-1),I815)</f>
        <v/>
      </c>
      <c r="J816" s="23" t="str">
        <f>IF('ASS START SYNC'!C820="SHOW",MID('ASS START SYNC'!E820,D816+1,F816-D816+1),"")</f>
        <v/>
      </c>
      <c r="K816" s="23" t="str">
        <f>IF('ASS START SYNC'!C820="SHOW",MID('ASS START SYNC'!E820,F816+2,1000),"")</f>
        <v/>
      </c>
      <c r="M816" s="24"/>
      <c r="N816" s="26">
        <v>813</v>
      </c>
      <c r="O816" s="24" t="str">
        <f>IF('ASS END SYNC'!C820="SHOW",FIND(",",'ASS END SYNC'!E820,1),"")</f>
        <v/>
      </c>
      <c r="P816" s="24" t="str">
        <f>IF('ASS END SYNC'!C820="SHOW",FIND(",",'ASS END SYNC'!E820,O816+1),"")</f>
        <v/>
      </c>
      <c r="Q816" s="24" t="str">
        <f>IF('ASS END SYNC'!C820="SHOW",FIND(",",'ASS END SYNC'!E820,P816+1),"")</f>
        <v/>
      </c>
      <c r="R816" s="25" t="str">
        <f>IF('ASS END SYNC'!C820="SHOW",FIND(",,",'ASS END SYNC'!E820,1),"")</f>
        <v/>
      </c>
      <c r="S816" s="25" t="str">
        <f>IF('ASS END SYNC'!C820="SHOW",FIND(",,",'ASS END SYNC'!E820,R816+1),"")</f>
        <v/>
      </c>
      <c r="T816" s="23" t="str">
        <f>IF('ASS END SYNC'!C820="SHOW",LEFT('ASS END SYNC'!E820,O816),"")</f>
        <v/>
      </c>
      <c r="U816" s="24" t="str">
        <f>IF('ASS END SYNC'!C820="SHOW",MID('ASS END SYNC'!E820,O816+1,P816-O816-1),"")</f>
        <v/>
      </c>
      <c r="V816" s="24" t="str">
        <f>IF(AND('ASS END SYNC'!C820="SHOW",'ASS END SYNC'!C821="SHOW"),U817,IF(AND('ASS END SYNC'!C820="SHOW",'ASS END SYNC'!C821&lt;&gt;"SHOW"),MID('ASS END SYNC'!E820,O816+1,P816-O816-1),""))</f>
        <v/>
      </c>
      <c r="W816" s="23" t="str">
        <f>IF('ASS END SYNC'!C820="SHOW",MID('ASS END SYNC'!E820,Q816+1,S816-Q816+1),"")</f>
        <v/>
      </c>
      <c r="X816" s="23" t="str">
        <f>IF('ASS END SYNC'!C820="SHOW",MID('ASS END SYNC'!E820,S816+2,1000),"")</f>
        <v/>
      </c>
      <c r="Z816" s="24"/>
    </row>
    <row r="817" spans="1:26" x14ac:dyDescent="0.25">
      <c r="A817" s="26">
        <v>814</v>
      </c>
      <c r="B817" s="24" t="str">
        <f>IF('ASS START SYNC'!C821="SHOW",FIND(",",'ASS START SYNC'!E821,1),"")</f>
        <v/>
      </c>
      <c r="C817" s="24" t="str">
        <f>IF('ASS START SYNC'!C821="SHOW",FIND(",",'ASS START SYNC'!E821,B817+1),"")</f>
        <v/>
      </c>
      <c r="D817" s="24" t="str">
        <f>IF('ASS START SYNC'!C821="SHOW",FIND(",",'ASS START SYNC'!E821,C817+1),"")</f>
        <v/>
      </c>
      <c r="E817" s="25" t="str">
        <f>IF('ASS START SYNC'!C821="SHOW",FIND(",,",'ASS START SYNC'!E821,1),"")</f>
        <v/>
      </c>
      <c r="F817" s="25" t="str">
        <f>IF('ASS START SYNC'!C821="SHOW",FIND(",,",'ASS START SYNC'!E821,E817+1),"")</f>
        <v/>
      </c>
      <c r="G817" s="23" t="str">
        <f>IF('ASS START SYNC'!C821="SHOW",LEFT('ASS START SYNC'!E821,B817),"")</f>
        <v/>
      </c>
      <c r="H817" s="24" t="str">
        <f>IF(AND('ASS START SYNC'!C821="SHOW",COUNTA('ASS START SYNC'!$E$8:'ASS START SYNC'!E820)=0),MID('ASS START SYNC'!E821,B817+1,C817-B817-1),IF(AND('ASS START SYNC'!C821="SHOW",COUNTA('ASS START SYNC'!$E$8:'ASS START SYNC'!E820)&lt;&gt;0),I816,""))</f>
        <v/>
      </c>
      <c r="I817" s="24" t="str">
        <f>IF('ASS START SYNC'!C821="SHOW",MID('ASS START SYNC'!E821,C817+1,D817-C817-1),I816)</f>
        <v/>
      </c>
      <c r="J817" s="23" t="str">
        <f>IF('ASS START SYNC'!C821="SHOW",MID('ASS START SYNC'!E821,D817+1,F817-D817+1),"")</f>
        <v/>
      </c>
      <c r="K817" s="23" t="str">
        <f>IF('ASS START SYNC'!C821="SHOW",MID('ASS START SYNC'!E821,F817+2,1000),"")</f>
        <v/>
      </c>
      <c r="M817" s="24"/>
      <c r="N817" s="26">
        <v>814</v>
      </c>
      <c r="O817" s="24" t="str">
        <f>IF('ASS END SYNC'!C821="SHOW",FIND(",",'ASS END SYNC'!E821,1),"")</f>
        <v/>
      </c>
      <c r="P817" s="24" t="str">
        <f>IF('ASS END SYNC'!C821="SHOW",FIND(",",'ASS END SYNC'!E821,O817+1),"")</f>
        <v/>
      </c>
      <c r="Q817" s="24" t="str">
        <f>IF('ASS END SYNC'!C821="SHOW",FIND(",",'ASS END SYNC'!E821,P817+1),"")</f>
        <v/>
      </c>
      <c r="R817" s="25" t="str">
        <f>IF('ASS END SYNC'!C821="SHOW",FIND(",,",'ASS END SYNC'!E821,1),"")</f>
        <v/>
      </c>
      <c r="S817" s="25" t="str">
        <f>IF('ASS END SYNC'!C821="SHOW",FIND(",,",'ASS END SYNC'!E821,R817+1),"")</f>
        <v/>
      </c>
      <c r="T817" s="23" t="str">
        <f>IF('ASS END SYNC'!C821="SHOW",LEFT('ASS END SYNC'!E821,O817),"")</f>
        <v/>
      </c>
      <c r="U817" s="24" t="str">
        <f>IF('ASS END SYNC'!C821="SHOW",MID('ASS END SYNC'!E821,O817+1,P817-O817-1),"")</f>
        <v/>
      </c>
      <c r="V817" s="24" t="str">
        <f>IF(AND('ASS END SYNC'!C821="SHOW",'ASS END SYNC'!C822="SHOW"),U818,IF(AND('ASS END SYNC'!C821="SHOW",'ASS END SYNC'!C822&lt;&gt;"SHOW"),MID('ASS END SYNC'!E821,O817+1,P817-O817-1),""))</f>
        <v/>
      </c>
      <c r="W817" s="23" t="str">
        <f>IF('ASS END SYNC'!C821="SHOW",MID('ASS END SYNC'!E821,Q817+1,S817-Q817+1),"")</f>
        <v/>
      </c>
      <c r="X817" s="23" t="str">
        <f>IF('ASS END SYNC'!C821="SHOW",MID('ASS END SYNC'!E821,S817+2,1000),"")</f>
        <v/>
      </c>
      <c r="Z817" s="24"/>
    </row>
    <row r="818" spans="1:26" x14ac:dyDescent="0.25">
      <c r="A818" s="26">
        <v>815</v>
      </c>
      <c r="B818" s="24" t="str">
        <f>IF('ASS START SYNC'!C822="SHOW",FIND(",",'ASS START SYNC'!E822,1),"")</f>
        <v/>
      </c>
      <c r="C818" s="24" t="str">
        <f>IF('ASS START SYNC'!C822="SHOW",FIND(",",'ASS START SYNC'!E822,B818+1),"")</f>
        <v/>
      </c>
      <c r="D818" s="24" t="str">
        <f>IF('ASS START SYNC'!C822="SHOW",FIND(",",'ASS START SYNC'!E822,C818+1),"")</f>
        <v/>
      </c>
      <c r="E818" s="25" t="str">
        <f>IF('ASS START SYNC'!C822="SHOW",FIND(",,",'ASS START SYNC'!E822,1),"")</f>
        <v/>
      </c>
      <c r="F818" s="25" t="str">
        <f>IF('ASS START SYNC'!C822="SHOW",FIND(",,",'ASS START SYNC'!E822,E818+1),"")</f>
        <v/>
      </c>
      <c r="G818" s="23" t="str">
        <f>IF('ASS START SYNC'!C822="SHOW",LEFT('ASS START SYNC'!E822,B818),"")</f>
        <v/>
      </c>
      <c r="H818" s="24" t="str">
        <f>IF(AND('ASS START SYNC'!C822="SHOW",COUNTA('ASS START SYNC'!$E$8:'ASS START SYNC'!E821)=0),MID('ASS START SYNC'!E822,B818+1,C818-B818-1),IF(AND('ASS START SYNC'!C822="SHOW",COUNTA('ASS START SYNC'!$E$8:'ASS START SYNC'!E821)&lt;&gt;0),I817,""))</f>
        <v/>
      </c>
      <c r="I818" s="24" t="str">
        <f>IF('ASS START SYNC'!C822="SHOW",MID('ASS START SYNC'!E822,C818+1,D818-C818-1),I817)</f>
        <v/>
      </c>
      <c r="J818" s="23" t="str">
        <f>IF('ASS START SYNC'!C822="SHOW",MID('ASS START SYNC'!E822,D818+1,F818-D818+1),"")</f>
        <v/>
      </c>
      <c r="K818" s="23" t="str">
        <f>IF('ASS START SYNC'!C822="SHOW",MID('ASS START SYNC'!E822,F818+2,1000),"")</f>
        <v/>
      </c>
      <c r="M818" s="24"/>
      <c r="N818" s="26">
        <v>815</v>
      </c>
      <c r="O818" s="24" t="str">
        <f>IF('ASS END SYNC'!C822="SHOW",FIND(",",'ASS END SYNC'!E822,1),"")</f>
        <v/>
      </c>
      <c r="P818" s="24" t="str">
        <f>IF('ASS END SYNC'!C822="SHOW",FIND(",",'ASS END SYNC'!E822,O818+1),"")</f>
        <v/>
      </c>
      <c r="Q818" s="24" t="str">
        <f>IF('ASS END SYNC'!C822="SHOW",FIND(",",'ASS END SYNC'!E822,P818+1),"")</f>
        <v/>
      </c>
      <c r="R818" s="25" t="str">
        <f>IF('ASS END SYNC'!C822="SHOW",FIND(",,",'ASS END SYNC'!E822,1),"")</f>
        <v/>
      </c>
      <c r="S818" s="25" t="str">
        <f>IF('ASS END SYNC'!C822="SHOW",FIND(",,",'ASS END SYNC'!E822,R818+1),"")</f>
        <v/>
      </c>
      <c r="T818" s="23" t="str">
        <f>IF('ASS END SYNC'!C822="SHOW",LEFT('ASS END SYNC'!E822,O818),"")</f>
        <v/>
      </c>
      <c r="U818" s="24" t="str">
        <f>IF('ASS END SYNC'!C822="SHOW",MID('ASS END SYNC'!E822,O818+1,P818-O818-1),"")</f>
        <v/>
      </c>
      <c r="V818" s="24" t="str">
        <f>IF(AND('ASS END SYNC'!C822="SHOW",'ASS END SYNC'!C823="SHOW"),U819,IF(AND('ASS END SYNC'!C822="SHOW",'ASS END SYNC'!C823&lt;&gt;"SHOW"),MID('ASS END SYNC'!E822,O818+1,P818-O818-1),""))</f>
        <v/>
      </c>
      <c r="W818" s="23" t="str">
        <f>IF('ASS END SYNC'!C822="SHOW",MID('ASS END SYNC'!E822,Q818+1,S818-Q818+1),"")</f>
        <v/>
      </c>
      <c r="X818" s="23" t="str">
        <f>IF('ASS END SYNC'!C822="SHOW",MID('ASS END SYNC'!E822,S818+2,1000),"")</f>
        <v/>
      </c>
      <c r="Z818" s="24"/>
    </row>
    <row r="819" spans="1:26" x14ac:dyDescent="0.25">
      <c r="A819" s="26">
        <v>816</v>
      </c>
      <c r="B819" s="24" t="str">
        <f>IF('ASS START SYNC'!C823="SHOW",FIND(",",'ASS START SYNC'!E823,1),"")</f>
        <v/>
      </c>
      <c r="C819" s="24" t="str">
        <f>IF('ASS START SYNC'!C823="SHOW",FIND(",",'ASS START SYNC'!E823,B819+1),"")</f>
        <v/>
      </c>
      <c r="D819" s="24" t="str">
        <f>IF('ASS START SYNC'!C823="SHOW",FIND(",",'ASS START SYNC'!E823,C819+1),"")</f>
        <v/>
      </c>
      <c r="E819" s="25" t="str">
        <f>IF('ASS START SYNC'!C823="SHOW",FIND(",,",'ASS START SYNC'!E823,1),"")</f>
        <v/>
      </c>
      <c r="F819" s="25" t="str">
        <f>IF('ASS START SYNC'!C823="SHOW",FIND(",,",'ASS START SYNC'!E823,E819+1),"")</f>
        <v/>
      </c>
      <c r="G819" s="23" t="str">
        <f>IF('ASS START SYNC'!C823="SHOW",LEFT('ASS START SYNC'!E823,B819),"")</f>
        <v/>
      </c>
      <c r="H819" s="24" t="str">
        <f>IF(AND('ASS START SYNC'!C823="SHOW",COUNTA('ASS START SYNC'!$E$8:'ASS START SYNC'!E822)=0),MID('ASS START SYNC'!E823,B819+1,C819-B819-1),IF(AND('ASS START SYNC'!C823="SHOW",COUNTA('ASS START SYNC'!$E$8:'ASS START SYNC'!E822)&lt;&gt;0),I818,""))</f>
        <v/>
      </c>
      <c r="I819" s="24" t="str">
        <f>IF('ASS START SYNC'!C823="SHOW",MID('ASS START SYNC'!E823,C819+1,D819-C819-1),I818)</f>
        <v/>
      </c>
      <c r="J819" s="23" t="str">
        <f>IF('ASS START SYNC'!C823="SHOW",MID('ASS START SYNC'!E823,D819+1,F819-D819+1),"")</f>
        <v/>
      </c>
      <c r="K819" s="23" t="str">
        <f>IF('ASS START SYNC'!C823="SHOW",MID('ASS START SYNC'!E823,F819+2,1000),"")</f>
        <v/>
      </c>
      <c r="M819" s="24"/>
      <c r="N819" s="26">
        <v>816</v>
      </c>
      <c r="O819" s="24" t="str">
        <f>IF('ASS END SYNC'!C823="SHOW",FIND(",",'ASS END SYNC'!E823,1),"")</f>
        <v/>
      </c>
      <c r="P819" s="24" t="str">
        <f>IF('ASS END SYNC'!C823="SHOW",FIND(",",'ASS END SYNC'!E823,O819+1),"")</f>
        <v/>
      </c>
      <c r="Q819" s="24" t="str">
        <f>IF('ASS END SYNC'!C823="SHOW",FIND(",",'ASS END SYNC'!E823,P819+1),"")</f>
        <v/>
      </c>
      <c r="R819" s="25" t="str">
        <f>IF('ASS END SYNC'!C823="SHOW",FIND(",,",'ASS END SYNC'!E823,1),"")</f>
        <v/>
      </c>
      <c r="S819" s="25" t="str">
        <f>IF('ASS END SYNC'!C823="SHOW",FIND(",,",'ASS END SYNC'!E823,R819+1),"")</f>
        <v/>
      </c>
      <c r="T819" s="23" t="str">
        <f>IF('ASS END SYNC'!C823="SHOW",LEFT('ASS END SYNC'!E823,O819),"")</f>
        <v/>
      </c>
      <c r="U819" s="24" t="str">
        <f>IF('ASS END SYNC'!C823="SHOW",MID('ASS END SYNC'!E823,O819+1,P819-O819-1),"")</f>
        <v/>
      </c>
      <c r="V819" s="24" t="str">
        <f>IF(AND('ASS END SYNC'!C823="SHOW",'ASS END SYNC'!C824="SHOW"),U820,IF(AND('ASS END SYNC'!C823="SHOW",'ASS END SYNC'!C824&lt;&gt;"SHOW"),MID('ASS END SYNC'!E823,O819+1,P819-O819-1),""))</f>
        <v/>
      </c>
      <c r="W819" s="23" t="str">
        <f>IF('ASS END SYNC'!C823="SHOW",MID('ASS END SYNC'!E823,Q819+1,S819-Q819+1),"")</f>
        <v/>
      </c>
      <c r="X819" s="23" t="str">
        <f>IF('ASS END SYNC'!C823="SHOW",MID('ASS END SYNC'!E823,S819+2,1000),"")</f>
        <v/>
      </c>
      <c r="Z819" s="24"/>
    </row>
    <row r="820" spans="1:26" x14ac:dyDescent="0.25">
      <c r="A820" s="26">
        <v>817</v>
      </c>
      <c r="B820" s="24" t="str">
        <f>IF('ASS START SYNC'!C824="SHOW",FIND(",",'ASS START SYNC'!E824,1),"")</f>
        <v/>
      </c>
      <c r="C820" s="24" t="str">
        <f>IF('ASS START SYNC'!C824="SHOW",FIND(",",'ASS START SYNC'!E824,B820+1),"")</f>
        <v/>
      </c>
      <c r="D820" s="24" t="str">
        <f>IF('ASS START SYNC'!C824="SHOW",FIND(",",'ASS START SYNC'!E824,C820+1),"")</f>
        <v/>
      </c>
      <c r="E820" s="25" t="str">
        <f>IF('ASS START SYNC'!C824="SHOW",FIND(",,",'ASS START SYNC'!E824,1),"")</f>
        <v/>
      </c>
      <c r="F820" s="25" t="str">
        <f>IF('ASS START SYNC'!C824="SHOW",FIND(",,",'ASS START SYNC'!E824,E820+1),"")</f>
        <v/>
      </c>
      <c r="G820" s="23" t="str">
        <f>IF('ASS START SYNC'!C824="SHOW",LEFT('ASS START SYNC'!E824,B820),"")</f>
        <v/>
      </c>
      <c r="H820" s="24" t="str">
        <f>IF(AND('ASS START SYNC'!C824="SHOW",COUNTA('ASS START SYNC'!$E$8:'ASS START SYNC'!E823)=0),MID('ASS START SYNC'!E824,B820+1,C820-B820-1),IF(AND('ASS START SYNC'!C824="SHOW",COUNTA('ASS START SYNC'!$E$8:'ASS START SYNC'!E823)&lt;&gt;0),I819,""))</f>
        <v/>
      </c>
      <c r="I820" s="24" t="str">
        <f>IF('ASS START SYNC'!C824="SHOW",MID('ASS START SYNC'!E824,C820+1,D820-C820-1),I819)</f>
        <v/>
      </c>
      <c r="J820" s="23" t="str">
        <f>IF('ASS START SYNC'!C824="SHOW",MID('ASS START SYNC'!E824,D820+1,F820-D820+1),"")</f>
        <v/>
      </c>
      <c r="K820" s="23" t="str">
        <f>IF('ASS START SYNC'!C824="SHOW",MID('ASS START SYNC'!E824,F820+2,1000),"")</f>
        <v/>
      </c>
      <c r="M820" s="24"/>
      <c r="N820" s="26">
        <v>817</v>
      </c>
      <c r="O820" s="24" t="str">
        <f>IF('ASS END SYNC'!C824="SHOW",FIND(",",'ASS END SYNC'!E824,1),"")</f>
        <v/>
      </c>
      <c r="P820" s="24" t="str">
        <f>IF('ASS END SYNC'!C824="SHOW",FIND(",",'ASS END SYNC'!E824,O820+1),"")</f>
        <v/>
      </c>
      <c r="Q820" s="24" t="str">
        <f>IF('ASS END SYNC'!C824="SHOW",FIND(",",'ASS END SYNC'!E824,P820+1),"")</f>
        <v/>
      </c>
      <c r="R820" s="25" t="str">
        <f>IF('ASS END SYNC'!C824="SHOW",FIND(",,",'ASS END SYNC'!E824,1),"")</f>
        <v/>
      </c>
      <c r="S820" s="25" t="str">
        <f>IF('ASS END SYNC'!C824="SHOW",FIND(",,",'ASS END SYNC'!E824,R820+1),"")</f>
        <v/>
      </c>
      <c r="T820" s="23" t="str">
        <f>IF('ASS END SYNC'!C824="SHOW",LEFT('ASS END SYNC'!E824,O820),"")</f>
        <v/>
      </c>
      <c r="U820" s="24" t="str">
        <f>IF('ASS END SYNC'!C824="SHOW",MID('ASS END SYNC'!E824,O820+1,P820-O820-1),"")</f>
        <v/>
      </c>
      <c r="V820" s="24" t="str">
        <f>IF(AND('ASS END SYNC'!C824="SHOW",'ASS END SYNC'!C825="SHOW"),U821,IF(AND('ASS END SYNC'!C824="SHOW",'ASS END SYNC'!C825&lt;&gt;"SHOW"),MID('ASS END SYNC'!E824,O820+1,P820-O820-1),""))</f>
        <v/>
      </c>
      <c r="W820" s="23" t="str">
        <f>IF('ASS END SYNC'!C824="SHOW",MID('ASS END SYNC'!E824,Q820+1,S820-Q820+1),"")</f>
        <v/>
      </c>
      <c r="X820" s="23" t="str">
        <f>IF('ASS END SYNC'!C824="SHOW",MID('ASS END SYNC'!E824,S820+2,1000),"")</f>
        <v/>
      </c>
      <c r="Z820" s="24"/>
    </row>
    <row r="821" spans="1:26" x14ac:dyDescent="0.25">
      <c r="A821" s="26">
        <v>818</v>
      </c>
      <c r="B821" s="24" t="str">
        <f>IF('ASS START SYNC'!C825="SHOW",FIND(",",'ASS START SYNC'!E825,1),"")</f>
        <v/>
      </c>
      <c r="C821" s="24" t="str">
        <f>IF('ASS START SYNC'!C825="SHOW",FIND(",",'ASS START SYNC'!E825,B821+1),"")</f>
        <v/>
      </c>
      <c r="D821" s="24" t="str">
        <f>IF('ASS START SYNC'!C825="SHOW",FIND(",",'ASS START SYNC'!E825,C821+1),"")</f>
        <v/>
      </c>
      <c r="E821" s="25" t="str">
        <f>IF('ASS START SYNC'!C825="SHOW",FIND(",,",'ASS START SYNC'!E825,1),"")</f>
        <v/>
      </c>
      <c r="F821" s="25" t="str">
        <f>IF('ASS START SYNC'!C825="SHOW",FIND(",,",'ASS START SYNC'!E825,E821+1),"")</f>
        <v/>
      </c>
      <c r="G821" s="23" t="str">
        <f>IF('ASS START SYNC'!C825="SHOW",LEFT('ASS START SYNC'!E825,B821),"")</f>
        <v/>
      </c>
      <c r="H821" s="24" t="str">
        <f>IF(AND('ASS START SYNC'!C825="SHOW",COUNTA('ASS START SYNC'!$E$8:'ASS START SYNC'!E824)=0),MID('ASS START SYNC'!E825,B821+1,C821-B821-1),IF(AND('ASS START SYNC'!C825="SHOW",COUNTA('ASS START SYNC'!$E$8:'ASS START SYNC'!E824)&lt;&gt;0),I820,""))</f>
        <v/>
      </c>
      <c r="I821" s="24" t="str">
        <f>IF('ASS START SYNC'!C825="SHOW",MID('ASS START SYNC'!E825,C821+1,D821-C821-1),I820)</f>
        <v/>
      </c>
      <c r="J821" s="23" t="str">
        <f>IF('ASS START SYNC'!C825="SHOW",MID('ASS START SYNC'!E825,D821+1,F821-D821+1),"")</f>
        <v/>
      </c>
      <c r="K821" s="23" t="str">
        <f>IF('ASS START SYNC'!C825="SHOW",MID('ASS START SYNC'!E825,F821+2,1000),"")</f>
        <v/>
      </c>
      <c r="M821" s="24"/>
      <c r="N821" s="26">
        <v>818</v>
      </c>
      <c r="O821" s="24" t="str">
        <f>IF('ASS END SYNC'!C825="SHOW",FIND(",",'ASS END SYNC'!E825,1),"")</f>
        <v/>
      </c>
      <c r="P821" s="24" t="str">
        <f>IF('ASS END SYNC'!C825="SHOW",FIND(",",'ASS END SYNC'!E825,O821+1),"")</f>
        <v/>
      </c>
      <c r="Q821" s="24" t="str">
        <f>IF('ASS END SYNC'!C825="SHOW",FIND(",",'ASS END SYNC'!E825,P821+1),"")</f>
        <v/>
      </c>
      <c r="R821" s="25" t="str">
        <f>IF('ASS END SYNC'!C825="SHOW",FIND(",,",'ASS END SYNC'!E825,1),"")</f>
        <v/>
      </c>
      <c r="S821" s="25" t="str">
        <f>IF('ASS END SYNC'!C825="SHOW",FIND(",,",'ASS END SYNC'!E825,R821+1),"")</f>
        <v/>
      </c>
      <c r="T821" s="23" t="str">
        <f>IF('ASS END SYNC'!C825="SHOW",LEFT('ASS END SYNC'!E825,O821),"")</f>
        <v/>
      </c>
      <c r="U821" s="24" t="str">
        <f>IF('ASS END SYNC'!C825="SHOW",MID('ASS END SYNC'!E825,O821+1,P821-O821-1),"")</f>
        <v/>
      </c>
      <c r="V821" s="24" t="str">
        <f>IF(AND('ASS END SYNC'!C825="SHOW",'ASS END SYNC'!C826="SHOW"),U822,IF(AND('ASS END SYNC'!C825="SHOW",'ASS END SYNC'!C826&lt;&gt;"SHOW"),MID('ASS END SYNC'!E825,O821+1,P821-O821-1),""))</f>
        <v/>
      </c>
      <c r="W821" s="23" t="str">
        <f>IF('ASS END SYNC'!C825="SHOW",MID('ASS END SYNC'!E825,Q821+1,S821-Q821+1),"")</f>
        <v/>
      </c>
      <c r="X821" s="23" t="str">
        <f>IF('ASS END SYNC'!C825="SHOW",MID('ASS END SYNC'!E825,S821+2,1000),"")</f>
        <v/>
      </c>
      <c r="Z821" s="24"/>
    </row>
    <row r="822" spans="1:26" x14ac:dyDescent="0.25">
      <c r="A822" s="26">
        <v>819</v>
      </c>
      <c r="B822" s="24" t="str">
        <f>IF('ASS START SYNC'!C826="SHOW",FIND(",",'ASS START SYNC'!E826,1),"")</f>
        <v/>
      </c>
      <c r="C822" s="24" t="str">
        <f>IF('ASS START SYNC'!C826="SHOW",FIND(",",'ASS START SYNC'!E826,B822+1),"")</f>
        <v/>
      </c>
      <c r="D822" s="24" t="str">
        <f>IF('ASS START SYNC'!C826="SHOW",FIND(",",'ASS START SYNC'!E826,C822+1),"")</f>
        <v/>
      </c>
      <c r="E822" s="25" t="str">
        <f>IF('ASS START SYNC'!C826="SHOW",FIND(",,",'ASS START SYNC'!E826,1),"")</f>
        <v/>
      </c>
      <c r="F822" s="25" t="str">
        <f>IF('ASS START SYNC'!C826="SHOW",FIND(",,",'ASS START SYNC'!E826,E822+1),"")</f>
        <v/>
      </c>
      <c r="G822" s="23" t="str">
        <f>IF('ASS START SYNC'!C826="SHOW",LEFT('ASS START SYNC'!E826,B822),"")</f>
        <v/>
      </c>
      <c r="H822" s="24" t="str">
        <f>IF(AND('ASS START SYNC'!C826="SHOW",COUNTA('ASS START SYNC'!$E$8:'ASS START SYNC'!E825)=0),MID('ASS START SYNC'!E826,B822+1,C822-B822-1),IF(AND('ASS START SYNC'!C826="SHOW",COUNTA('ASS START SYNC'!$E$8:'ASS START SYNC'!E825)&lt;&gt;0),I821,""))</f>
        <v/>
      </c>
      <c r="I822" s="24" t="str">
        <f>IF('ASS START SYNC'!C826="SHOW",MID('ASS START SYNC'!E826,C822+1,D822-C822-1),I821)</f>
        <v/>
      </c>
      <c r="J822" s="23" t="str">
        <f>IF('ASS START SYNC'!C826="SHOW",MID('ASS START SYNC'!E826,D822+1,F822-D822+1),"")</f>
        <v/>
      </c>
      <c r="K822" s="23" t="str">
        <f>IF('ASS START SYNC'!C826="SHOW",MID('ASS START SYNC'!E826,F822+2,1000),"")</f>
        <v/>
      </c>
      <c r="M822" s="24"/>
      <c r="N822" s="26">
        <v>819</v>
      </c>
      <c r="O822" s="24" t="str">
        <f>IF('ASS END SYNC'!C826="SHOW",FIND(",",'ASS END SYNC'!E826,1),"")</f>
        <v/>
      </c>
      <c r="P822" s="24" t="str">
        <f>IF('ASS END SYNC'!C826="SHOW",FIND(",",'ASS END SYNC'!E826,O822+1),"")</f>
        <v/>
      </c>
      <c r="Q822" s="24" t="str">
        <f>IF('ASS END SYNC'!C826="SHOW",FIND(",",'ASS END SYNC'!E826,P822+1),"")</f>
        <v/>
      </c>
      <c r="R822" s="25" t="str">
        <f>IF('ASS END SYNC'!C826="SHOW",FIND(",,",'ASS END SYNC'!E826,1),"")</f>
        <v/>
      </c>
      <c r="S822" s="25" t="str">
        <f>IF('ASS END SYNC'!C826="SHOW",FIND(",,",'ASS END SYNC'!E826,R822+1),"")</f>
        <v/>
      </c>
      <c r="T822" s="23" t="str">
        <f>IF('ASS END SYNC'!C826="SHOW",LEFT('ASS END SYNC'!E826,O822),"")</f>
        <v/>
      </c>
      <c r="U822" s="24" t="str">
        <f>IF('ASS END SYNC'!C826="SHOW",MID('ASS END SYNC'!E826,O822+1,P822-O822-1),"")</f>
        <v/>
      </c>
      <c r="V822" s="24" t="str">
        <f>IF(AND('ASS END SYNC'!C826="SHOW",'ASS END SYNC'!C827="SHOW"),U823,IF(AND('ASS END SYNC'!C826="SHOW",'ASS END SYNC'!C827&lt;&gt;"SHOW"),MID('ASS END SYNC'!E826,O822+1,P822-O822-1),""))</f>
        <v/>
      </c>
      <c r="W822" s="23" t="str">
        <f>IF('ASS END SYNC'!C826="SHOW",MID('ASS END SYNC'!E826,Q822+1,S822-Q822+1),"")</f>
        <v/>
      </c>
      <c r="X822" s="23" t="str">
        <f>IF('ASS END SYNC'!C826="SHOW",MID('ASS END SYNC'!E826,S822+2,1000),"")</f>
        <v/>
      </c>
      <c r="Z822" s="24"/>
    </row>
    <row r="823" spans="1:26" x14ac:dyDescent="0.25">
      <c r="A823" s="26">
        <v>820</v>
      </c>
      <c r="B823" s="24" t="str">
        <f>IF('ASS START SYNC'!C827="SHOW",FIND(",",'ASS START SYNC'!E827,1),"")</f>
        <v/>
      </c>
      <c r="C823" s="24" t="str">
        <f>IF('ASS START SYNC'!C827="SHOW",FIND(",",'ASS START SYNC'!E827,B823+1),"")</f>
        <v/>
      </c>
      <c r="D823" s="24" t="str">
        <f>IF('ASS START SYNC'!C827="SHOW",FIND(",",'ASS START SYNC'!E827,C823+1),"")</f>
        <v/>
      </c>
      <c r="E823" s="25" t="str">
        <f>IF('ASS START SYNC'!C827="SHOW",FIND(",,",'ASS START SYNC'!E827,1),"")</f>
        <v/>
      </c>
      <c r="F823" s="25" t="str">
        <f>IF('ASS START SYNC'!C827="SHOW",FIND(",,",'ASS START SYNC'!E827,E823+1),"")</f>
        <v/>
      </c>
      <c r="G823" s="23" t="str">
        <f>IF('ASS START SYNC'!C827="SHOW",LEFT('ASS START SYNC'!E827,B823),"")</f>
        <v/>
      </c>
      <c r="H823" s="24" t="str">
        <f>IF(AND('ASS START SYNC'!C827="SHOW",COUNTA('ASS START SYNC'!$E$8:'ASS START SYNC'!E826)=0),MID('ASS START SYNC'!E827,B823+1,C823-B823-1),IF(AND('ASS START SYNC'!C827="SHOW",COUNTA('ASS START SYNC'!$E$8:'ASS START SYNC'!E826)&lt;&gt;0),I822,""))</f>
        <v/>
      </c>
      <c r="I823" s="24" t="str">
        <f>IF('ASS START SYNC'!C827="SHOW",MID('ASS START SYNC'!E827,C823+1,D823-C823-1),I822)</f>
        <v/>
      </c>
      <c r="J823" s="23" t="str">
        <f>IF('ASS START SYNC'!C827="SHOW",MID('ASS START SYNC'!E827,D823+1,F823-D823+1),"")</f>
        <v/>
      </c>
      <c r="K823" s="23" t="str">
        <f>IF('ASS START SYNC'!C827="SHOW",MID('ASS START SYNC'!E827,F823+2,1000),"")</f>
        <v/>
      </c>
      <c r="M823" s="24"/>
      <c r="N823" s="26">
        <v>820</v>
      </c>
      <c r="O823" s="24" t="str">
        <f>IF('ASS END SYNC'!C827="SHOW",FIND(",",'ASS END SYNC'!E827,1),"")</f>
        <v/>
      </c>
      <c r="P823" s="24" t="str">
        <f>IF('ASS END SYNC'!C827="SHOW",FIND(",",'ASS END SYNC'!E827,O823+1),"")</f>
        <v/>
      </c>
      <c r="Q823" s="24" t="str">
        <f>IF('ASS END SYNC'!C827="SHOW",FIND(",",'ASS END SYNC'!E827,P823+1),"")</f>
        <v/>
      </c>
      <c r="R823" s="25" t="str">
        <f>IF('ASS END SYNC'!C827="SHOW",FIND(",,",'ASS END SYNC'!E827,1),"")</f>
        <v/>
      </c>
      <c r="S823" s="25" t="str">
        <f>IF('ASS END SYNC'!C827="SHOW",FIND(",,",'ASS END SYNC'!E827,R823+1),"")</f>
        <v/>
      </c>
      <c r="T823" s="23" t="str">
        <f>IF('ASS END SYNC'!C827="SHOW",LEFT('ASS END SYNC'!E827,O823),"")</f>
        <v/>
      </c>
      <c r="U823" s="24" t="str">
        <f>IF('ASS END SYNC'!C827="SHOW",MID('ASS END SYNC'!E827,O823+1,P823-O823-1),"")</f>
        <v/>
      </c>
      <c r="V823" s="24" t="str">
        <f>IF(AND('ASS END SYNC'!C827="SHOW",'ASS END SYNC'!C828="SHOW"),U824,IF(AND('ASS END SYNC'!C827="SHOW",'ASS END SYNC'!C828&lt;&gt;"SHOW"),MID('ASS END SYNC'!E827,O823+1,P823-O823-1),""))</f>
        <v/>
      </c>
      <c r="W823" s="23" t="str">
        <f>IF('ASS END SYNC'!C827="SHOW",MID('ASS END SYNC'!E827,Q823+1,S823-Q823+1),"")</f>
        <v/>
      </c>
      <c r="X823" s="23" t="str">
        <f>IF('ASS END SYNC'!C827="SHOW",MID('ASS END SYNC'!E827,S823+2,1000),"")</f>
        <v/>
      </c>
      <c r="Z823" s="24"/>
    </row>
    <row r="824" spans="1:26" x14ac:dyDescent="0.25">
      <c r="A824" s="26">
        <v>821</v>
      </c>
      <c r="B824" s="24" t="str">
        <f>IF('ASS START SYNC'!C828="SHOW",FIND(",",'ASS START SYNC'!E828,1),"")</f>
        <v/>
      </c>
      <c r="C824" s="24" t="str">
        <f>IF('ASS START SYNC'!C828="SHOW",FIND(",",'ASS START SYNC'!E828,B824+1),"")</f>
        <v/>
      </c>
      <c r="D824" s="24" t="str">
        <f>IF('ASS START SYNC'!C828="SHOW",FIND(",",'ASS START SYNC'!E828,C824+1),"")</f>
        <v/>
      </c>
      <c r="E824" s="25" t="str">
        <f>IF('ASS START SYNC'!C828="SHOW",FIND(",,",'ASS START SYNC'!E828,1),"")</f>
        <v/>
      </c>
      <c r="F824" s="25" t="str">
        <f>IF('ASS START SYNC'!C828="SHOW",FIND(",,",'ASS START SYNC'!E828,E824+1),"")</f>
        <v/>
      </c>
      <c r="G824" s="23" t="str">
        <f>IF('ASS START SYNC'!C828="SHOW",LEFT('ASS START SYNC'!E828,B824),"")</f>
        <v/>
      </c>
      <c r="H824" s="24" t="str">
        <f>IF(AND('ASS START SYNC'!C828="SHOW",COUNTA('ASS START SYNC'!$E$8:'ASS START SYNC'!E827)=0),MID('ASS START SYNC'!E828,B824+1,C824-B824-1),IF(AND('ASS START SYNC'!C828="SHOW",COUNTA('ASS START SYNC'!$E$8:'ASS START SYNC'!E827)&lt;&gt;0),I823,""))</f>
        <v/>
      </c>
      <c r="I824" s="24" t="str">
        <f>IF('ASS START SYNC'!C828="SHOW",MID('ASS START SYNC'!E828,C824+1,D824-C824-1),I823)</f>
        <v/>
      </c>
      <c r="J824" s="23" t="str">
        <f>IF('ASS START SYNC'!C828="SHOW",MID('ASS START SYNC'!E828,D824+1,F824-D824+1),"")</f>
        <v/>
      </c>
      <c r="K824" s="23" t="str">
        <f>IF('ASS START SYNC'!C828="SHOW",MID('ASS START SYNC'!E828,F824+2,1000),"")</f>
        <v/>
      </c>
      <c r="M824" s="24"/>
      <c r="N824" s="26">
        <v>821</v>
      </c>
      <c r="O824" s="24" t="str">
        <f>IF('ASS END SYNC'!C828="SHOW",FIND(",",'ASS END SYNC'!E828,1),"")</f>
        <v/>
      </c>
      <c r="P824" s="24" t="str">
        <f>IF('ASS END SYNC'!C828="SHOW",FIND(",",'ASS END SYNC'!E828,O824+1),"")</f>
        <v/>
      </c>
      <c r="Q824" s="24" t="str">
        <f>IF('ASS END SYNC'!C828="SHOW",FIND(",",'ASS END SYNC'!E828,P824+1),"")</f>
        <v/>
      </c>
      <c r="R824" s="25" t="str">
        <f>IF('ASS END SYNC'!C828="SHOW",FIND(",,",'ASS END SYNC'!E828,1),"")</f>
        <v/>
      </c>
      <c r="S824" s="25" t="str">
        <f>IF('ASS END SYNC'!C828="SHOW",FIND(",,",'ASS END SYNC'!E828,R824+1),"")</f>
        <v/>
      </c>
      <c r="T824" s="23" t="str">
        <f>IF('ASS END SYNC'!C828="SHOW",LEFT('ASS END SYNC'!E828,O824),"")</f>
        <v/>
      </c>
      <c r="U824" s="24" t="str">
        <f>IF('ASS END SYNC'!C828="SHOW",MID('ASS END SYNC'!E828,O824+1,P824-O824-1),"")</f>
        <v/>
      </c>
      <c r="V824" s="24" t="str">
        <f>IF(AND('ASS END SYNC'!C828="SHOW",'ASS END SYNC'!C829="SHOW"),U825,IF(AND('ASS END SYNC'!C828="SHOW",'ASS END SYNC'!C829&lt;&gt;"SHOW"),MID('ASS END SYNC'!E828,O824+1,P824-O824-1),""))</f>
        <v/>
      </c>
      <c r="W824" s="23" t="str">
        <f>IF('ASS END SYNC'!C828="SHOW",MID('ASS END SYNC'!E828,Q824+1,S824-Q824+1),"")</f>
        <v/>
      </c>
      <c r="X824" s="23" t="str">
        <f>IF('ASS END SYNC'!C828="SHOW",MID('ASS END SYNC'!E828,S824+2,1000),"")</f>
        <v/>
      </c>
      <c r="Z824" s="24"/>
    </row>
    <row r="825" spans="1:26" x14ac:dyDescent="0.25">
      <c r="A825" s="26">
        <v>822</v>
      </c>
      <c r="B825" s="24" t="str">
        <f>IF('ASS START SYNC'!C829="SHOW",FIND(",",'ASS START SYNC'!E829,1),"")</f>
        <v/>
      </c>
      <c r="C825" s="24" t="str">
        <f>IF('ASS START SYNC'!C829="SHOW",FIND(",",'ASS START SYNC'!E829,B825+1),"")</f>
        <v/>
      </c>
      <c r="D825" s="24" t="str">
        <f>IF('ASS START SYNC'!C829="SHOW",FIND(",",'ASS START SYNC'!E829,C825+1),"")</f>
        <v/>
      </c>
      <c r="E825" s="25" t="str">
        <f>IF('ASS START SYNC'!C829="SHOW",FIND(",,",'ASS START SYNC'!E829,1),"")</f>
        <v/>
      </c>
      <c r="F825" s="25" t="str">
        <f>IF('ASS START SYNC'!C829="SHOW",FIND(",,",'ASS START SYNC'!E829,E825+1),"")</f>
        <v/>
      </c>
      <c r="G825" s="23" t="str">
        <f>IF('ASS START SYNC'!C829="SHOW",LEFT('ASS START SYNC'!E829,B825),"")</f>
        <v/>
      </c>
      <c r="H825" s="24" t="str">
        <f>IF(AND('ASS START SYNC'!C829="SHOW",COUNTA('ASS START SYNC'!$E$8:'ASS START SYNC'!E828)=0),MID('ASS START SYNC'!E829,B825+1,C825-B825-1),IF(AND('ASS START SYNC'!C829="SHOW",COUNTA('ASS START SYNC'!$E$8:'ASS START SYNC'!E828)&lt;&gt;0),I824,""))</f>
        <v/>
      </c>
      <c r="I825" s="24" t="str">
        <f>IF('ASS START SYNC'!C829="SHOW",MID('ASS START SYNC'!E829,C825+1,D825-C825-1),I824)</f>
        <v/>
      </c>
      <c r="J825" s="23" t="str">
        <f>IF('ASS START SYNC'!C829="SHOW",MID('ASS START SYNC'!E829,D825+1,F825-D825+1),"")</f>
        <v/>
      </c>
      <c r="K825" s="23" t="str">
        <f>IF('ASS START SYNC'!C829="SHOW",MID('ASS START SYNC'!E829,F825+2,1000),"")</f>
        <v/>
      </c>
      <c r="M825" s="24"/>
      <c r="N825" s="26">
        <v>822</v>
      </c>
      <c r="O825" s="24" t="str">
        <f>IF('ASS END SYNC'!C829="SHOW",FIND(",",'ASS END SYNC'!E829,1),"")</f>
        <v/>
      </c>
      <c r="P825" s="24" t="str">
        <f>IF('ASS END SYNC'!C829="SHOW",FIND(",",'ASS END SYNC'!E829,O825+1),"")</f>
        <v/>
      </c>
      <c r="Q825" s="24" t="str">
        <f>IF('ASS END SYNC'!C829="SHOW",FIND(",",'ASS END SYNC'!E829,P825+1),"")</f>
        <v/>
      </c>
      <c r="R825" s="25" t="str">
        <f>IF('ASS END SYNC'!C829="SHOW",FIND(",,",'ASS END SYNC'!E829,1),"")</f>
        <v/>
      </c>
      <c r="S825" s="25" t="str">
        <f>IF('ASS END SYNC'!C829="SHOW",FIND(",,",'ASS END SYNC'!E829,R825+1),"")</f>
        <v/>
      </c>
      <c r="T825" s="23" t="str">
        <f>IF('ASS END SYNC'!C829="SHOW",LEFT('ASS END SYNC'!E829,O825),"")</f>
        <v/>
      </c>
      <c r="U825" s="24" t="str">
        <f>IF('ASS END SYNC'!C829="SHOW",MID('ASS END SYNC'!E829,O825+1,P825-O825-1),"")</f>
        <v/>
      </c>
      <c r="V825" s="24" t="str">
        <f>IF(AND('ASS END SYNC'!C829="SHOW",'ASS END SYNC'!C830="SHOW"),U826,IF(AND('ASS END SYNC'!C829="SHOW",'ASS END SYNC'!C830&lt;&gt;"SHOW"),MID('ASS END SYNC'!E829,O825+1,P825-O825-1),""))</f>
        <v/>
      </c>
      <c r="W825" s="23" t="str">
        <f>IF('ASS END SYNC'!C829="SHOW",MID('ASS END SYNC'!E829,Q825+1,S825-Q825+1),"")</f>
        <v/>
      </c>
      <c r="X825" s="23" t="str">
        <f>IF('ASS END SYNC'!C829="SHOW",MID('ASS END SYNC'!E829,S825+2,1000),"")</f>
        <v/>
      </c>
      <c r="Z825" s="24"/>
    </row>
    <row r="826" spans="1:26" x14ac:dyDescent="0.25">
      <c r="A826" s="26">
        <v>823</v>
      </c>
      <c r="B826" s="24" t="str">
        <f>IF('ASS START SYNC'!C830="SHOW",FIND(",",'ASS START SYNC'!E830,1),"")</f>
        <v/>
      </c>
      <c r="C826" s="24" t="str">
        <f>IF('ASS START SYNC'!C830="SHOW",FIND(",",'ASS START SYNC'!E830,B826+1),"")</f>
        <v/>
      </c>
      <c r="D826" s="24" t="str">
        <f>IF('ASS START SYNC'!C830="SHOW",FIND(",",'ASS START SYNC'!E830,C826+1),"")</f>
        <v/>
      </c>
      <c r="E826" s="25" t="str">
        <f>IF('ASS START SYNC'!C830="SHOW",FIND(",,",'ASS START SYNC'!E830,1),"")</f>
        <v/>
      </c>
      <c r="F826" s="25" t="str">
        <f>IF('ASS START SYNC'!C830="SHOW",FIND(",,",'ASS START SYNC'!E830,E826+1),"")</f>
        <v/>
      </c>
      <c r="G826" s="23" t="str">
        <f>IF('ASS START SYNC'!C830="SHOW",LEFT('ASS START SYNC'!E830,B826),"")</f>
        <v/>
      </c>
      <c r="H826" s="24" t="str">
        <f>IF(AND('ASS START SYNC'!C830="SHOW",COUNTA('ASS START SYNC'!$E$8:'ASS START SYNC'!E829)=0),MID('ASS START SYNC'!E830,B826+1,C826-B826-1),IF(AND('ASS START SYNC'!C830="SHOW",COUNTA('ASS START SYNC'!$E$8:'ASS START SYNC'!E829)&lt;&gt;0),I825,""))</f>
        <v/>
      </c>
      <c r="I826" s="24" t="str">
        <f>IF('ASS START SYNC'!C830="SHOW",MID('ASS START SYNC'!E830,C826+1,D826-C826-1),I825)</f>
        <v/>
      </c>
      <c r="J826" s="23" t="str">
        <f>IF('ASS START SYNC'!C830="SHOW",MID('ASS START SYNC'!E830,D826+1,F826-D826+1),"")</f>
        <v/>
      </c>
      <c r="K826" s="23" t="str">
        <f>IF('ASS START SYNC'!C830="SHOW",MID('ASS START SYNC'!E830,F826+2,1000),"")</f>
        <v/>
      </c>
      <c r="M826" s="24"/>
      <c r="N826" s="26">
        <v>823</v>
      </c>
      <c r="O826" s="24" t="str">
        <f>IF('ASS END SYNC'!C830="SHOW",FIND(",",'ASS END SYNC'!E830,1),"")</f>
        <v/>
      </c>
      <c r="P826" s="24" t="str">
        <f>IF('ASS END SYNC'!C830="SHOW",FIND(",",'ASS END SYNC'!E830,O826+1),"")</f>
        <v/>
      </c>
      <c r="Q826" s="24" t="str">
        <f>IF('ASS END SYNC'!C830="SHOW",FIND(",",'ASS END SYNC'!E830,P826+1),"")</f>
        <v/>
      </c>
      <c r="R826" s="25" t="str">
        <f>IF('ASS END SYNC'!C830="SHOW",FIND(",,",'ASS END SYNC'!E830,1),"")</f>
        <v/>
      </c>
      <c r="S826" s="25" t="str">
        <f>IF('ASS END SYNC'!C830="SHOW",FIND(",,",'ASS END SYNC'!E830,R826+1),"")</f>
        <v/>
      </c>
      <c r="T826" s="23" t="str">
        <f>IF('ASS END SYNC'!C830="SHOW",LEFT('ASS END SYNC'!E830,O826),"")</f>
        <v/>
      </c>
      <c r="U826" s="24" t="str">
        <f>IF('ASS END SYNC'!C830="SHOW",MID('ASS END SYNC'!E830,O826+1,P826-O826-1),"")</f>
        <v/>
      </c>
      <c r="V826" s="24" t="str">
        <f>IF(AND('ASS END SYNC'!C830="SHOW",'ASS END SYNC'!C831="SHOW"),U827,IF(AND('ASS END SYNC'!C830="SHOW",'ASS END SYNC'!C831&lt;&gt;"SHOW"),MID('ASS END SYNC'!E830,O826+1,P826-O826-1),""))</f>
        <v/>
      </c>
      <c r="W826" s="23" t="str">
        <f>IF('ASS END SYNC'!C830="SHOW",MID('ASS END SYNC'!E830,Q826+1,S826-Q826+1),"")</f>
        <v/>
      </c>
      <c r="X826" s="23" t="str">
        <f>IF('ASS END SYNC'!C830="SHOW",MID('ASS END SYNC'!E830,S826+2,1000),"")</f>
        <v/>
      </c>
      <c r="Z826" s="24"/>
    </row>
    <row r="827" spans="1:26" x14ac:dyDescent="0.25">
      <c r="A827" s="26">
        <v>824</v>
      </c>
      <c r="B827" s="24" t="str">
        <f>IF('ASS START SYNC'!C831="SHOW",FIND(",",'ASS START SYNC'!E831,1),"")</f>
        <v/>
      </c>
      <c r="C827" s="24" t="str">
        <f>IF('ASS START SYNC'!C831="SHOW",FIND(",",'ASS START SYNC'!E831,B827+1),"")</f>
        <v/>
      </c>
      <c r="D827" s="24" t="str">
        <f>IF('ASS START SYNC'!C831="SHOW",FIND(",",'ASS START SYNC'!E831,C827+1),"")</f>
        <v/>
      </c>
      <c r="E827" s="25" t="str">
        <f>IF('ASS START SYNC'!C831="SHOW",FIND(",,",'ASS START SYNC'!E831,1),"")</f>
        <v/>
      </c>
      <c r="F827" s="25" t="str">
        <f>IF('ASS START SYNC'!C831="SHOW",FIND(",,",'ASS START SYNC'!E831,E827+1),"")</f>
        <v/>
      </c>
      <c r="G827" s="23" t="str">
        <f>IF('ASS START SYNC'!C831="SHOW",LEFT('ASS START SYNC'!E831,B827),"")</f>
        <v/>
      </c>
      <c r="H827" s="24" t="str">
        <f>IF(AND('ASS START SYNC'!C831="SHOW",COUNTA('ASS START SYNC'!$E$8:'ASS START SYNC'!E830)=0),MID('ASS START SYNC'!E831,B827+1,C827-B827-1),IF(AND('ASS START SYNC'!C831="SHOW",COUNTA('ASS START SYNC'!$E$8:'ASS START SYNC'!E830)&lt;&gt;0),I826,""))</f>
        <v/>
      </c>
      <c r="I827" s="24" t="str">
        <f>IF('ASS START SYNC'!C831="SHOW",MID('ASS START SYNC'!E831,C827+1,D827-C827-1),I826)</f>
        <v/>
      </c>
      <c r="J827" s="23" t="str">
        <f>IF('ASS START SYNC'!C831="SHOW",MID('ASS START SYNC'!E831,D827+1,F827-D827+1),"")</f>
        <v/>
      </c>
      <c r="K827" s="23" t="str">
        <f>IF('ASS START SYNC'!C831="SHOW",MID('ASS START SYNC'!E831,F827+2,1000),"")</f>
        <v/>
      </c>
      <c r="M827" s="24"/>
      <c r="N827" s="26">
        <v>824</v>
      </c>
      <c r="O827" s="24" t="str">
        <f>IF('ASS END SYNC'!C831="SHOW",FIND(",",'ASS END SYNC'!E831,1),"")</f>
        <v/>
      </c>
      <c r="P827" s="24" t="str">
        <f>IF('ASS END SYNC'!C831="SHOW",FIND(",",'ASS END SYNC'!E831,O827+1),"")</f>
        <v/>
      </c>
      <c r="Q827" s="24" t="str">
        <f>IF('ASS END SYNC'!C831="SHOW",FIND(",",'ASS END SYNC'!E831,P827+1),"")</f>
        <v/>
      </c>
      <c r="R827" s="25" t="str">
        <f>IF('ASS END SYNC'!C831="SHOW",FIND(",,",'ASS END SYNC'!E831,1),"")</f>
        <v/>
      </c>
      <c r="S827" s="25" t="str">
        <f>IF('ASS END SYNC'!C831="SHOW",FIND(",,",'ASS END SYNC'!E831,R827+1),"")</f>
        <v/>
      </c>
      <c r="T827" s="23" t="str">
        <f>IF('ASS END SYNC'!C831="SHOW",LEFT('ASS END SYNC'!E831,O827),"")</f>
        <v/>
      </c>
      <c r="U827" s="24" t="str">
        <f>IF('ASS END SYNC'!C831="SHOW",MID('ASS END SYNC'!E831,O827+1,P827-O827-1),"")</f>
        <v/>
      </c>
      <c r="V827" s="24" t="str">
        <f>IF(AND('ASS END SYNC'!C831="SHOW",'ASS END SYNC'!C832="SHOW"),U828,IF(AND('ASS END SYNC'!C831="SHOW",'ASS END SYNC'!C832&lt;&gt;"SHOW"),MID('ASS END SYNC'!E831,O827+1,P827-O827-1),""))</f>
        <v/>
      </c>
      <c r="W827" s="23" t="str">
        <f>IF('ASS END SYNC'!C831="SHOW",MID('ASS END SYNC'!E831,Q827+1,S827-Q827+1),"")</f>
        <v/>
      </c>
      <c r="X827" s="23" t="str">
        <f>IF('ASS END SYNC'!C831="SHOW",MID('ASS END SYNC'!E831,S827+2,1000),"")</f>
        <v/>
      </c>
      <c r="Z827" s="24"/>
    </row>
    <row r="828" spans="1:26" x14ac:dyDescent="0.25">
      <c r="A828" s="26">
        <v>825</v>
      </c>
      <c r="B828" s="24" t="str">
        <f>IF('ASS START SYNC'!C832="SHOW",FIND(",",'ASS START SYNC'!E832,1),"")</f>
        <v/>
      </c>
      <c r="C828" s="24" t="str">
        <f>IF('ASS START SYNC'!C832="SHOW",FIND(",",'ASS START SYNC'!E832,B828+1),"")</f>
        <v/>
      </c>
      <c r="D828" s="24" t="str">
        <f>IF('ASS START SYNC'!C832="SHOW",FIND(",",'ASS START SYNC'!E832,C828+1),"")</f>
        <v/>
      </c>
      <c r="E828" s="25" t="str">
        <f>IF('ASS START SYNC'!C832="SHOW",FIND(",,",'ASS START SYNC'!E832,1),"")</f>
        <v/>
      </c>
      <c r="F828" s="25" t="str">
        <f>IF('ASS START SYNC'!C832="SHOW",FIND(",,",'ASS START SYNC'!E832,E828+1),"")</f>
        <v/>
      </c>
      <c r="G828" s="23" t="str">
        <f>IF('ASS START SYNC'!C832="SHOW",LEFT('ASS START SYNC'!E832,B828),"")</f>
        <v/>
      </c>
      <c r="H828" s="24" t="str">
        <f>IF(AND('ASS START SYNC'!C832="SHOW",COUNTA('ASS START SYNC'!$E$8:'ASS START SYNC'!E831)=0),MID('ASS START SYNC'!E832,B828+1,C828-B828-1),IF(AND('ASS START SYNC'!C832="SHOW",COUNTA('ASS START SYNC'!$E$8:'ASS START SYNC'!E831)&lt;&gt;0),I827,""))</f>
        <v/>
      </c>
      <c r="I828" s="24" t="str">
        <f>IF('ASS START SYNC'!C832="SHOW",MID('ASS START SYNC'!E832,C828+1,D828-C828-1),I827)</f>
        <v/>
      </c>
      <c r="J828" s="23" t="str">
        <f>IF('ASS START SYNC'!C832="SHOW",MID('ASS START SYNC'!E832,D828+1,F828-D828+1),"")</f>
        <v/>
      </c>
      <c r="K828" s="23" t="str">
        <f>IF('ASS START SYNC'!C832="SHOW",MID('ASS START SYNC'!E832,F828+2,1000),"")</f>
        <v/>
      </c>
      <c r="M828" s="24"/>
      <c r="N828" s="26">
        <v>825</v>
      </c>
      <c r="O828" s="24" t="str">
        <f>IF('ASS END SYNC'!C832="SHOW",FIND(",",'ASS END SYNC'!E832,1),"")</f>
        <v/>
      </c>
      <c r="P828" s="24" t="str">
        <f>IF('ASS END SYNC'!C832="SHOW",FIND(",",'ASS END SYNC'!E832,O828+1),"")</f>
        <v/>
      </c>
      <c r="Q828" s="24" t="str">
        <f>IF('ASS END SYNC'!C832="SHOW",FIND(",",'ASS END SYNC'!E832,P828+1),"")</f>
        <v/>
      </c>
      <c r="R828" s="25" t="str">
        <f>IF('ASS END SYNC'!C832="SHOW",FIND(",,",'ASS END SYNC'!E832,1),"")</f>
        <v/>
      </c>
      <c r="S828" s="25" t="str">
        <f>IF('ASS END SYNC'!C832="SHOW",FIND(",,",'ASS END SYNC'!E832,R828+1),"")</f>
        <v/>
      </c>
      <c r="T828" s="23" t="str">
        <f>IF('ASS END SYNC'!C832="SHOW",LEFT('ASS END SYNC'!E832,O828),"")</f>
        <v/>
      </c>
      <c r="U828" s="24" t="str">
        <f>IF('ASS END SYNC'!C832="SHOW",MID('ASS END SYNC'!E832,O828+1,P828-O828-1),"")</f>
        <v/>
      </c>
      <c r="V828" s="24" t="str">
        <f>IF(AND('ASS END SYNC'!C832="SHOW",'ASS END SYNC'!C833="SHOW"),U829,IF(AND('ASS END SYNC'!C832="SHOW",'ASS END SYNC'!C833&lt;&gt;"SHOW"),MID('ASS END SYNC'!E832,O828+1,P828-O828-1),""))</f>
        <v/>
      </c>
      <c r="W828" s="23" t="str">
        <f>IF('ASS END SYNC'!C832="SHOW",MID('ASS END SYNC'!E832,Q828+1,S828-Q828+1),"")</f>
        <v/>
      </c>
      <c r="X828" s="23" t="str">
        <f>IF('ASS END SYNC'!C832="SHOW",MID('ASS END SYNC'!E832,S828+2,1000),"")</f>
        <v/>
      </c>
      <c r="Z828" s="24"/>
    </row>
    <row r="829" spans="1:26" x14ac:dyDescent="0.25">
      <c r="A829" s="26">
        <v>826</v>
      </c>
      <c r="B829" s="24" t="str">
        <f>IF('ASS START SYNC'!C833="SHOW",FIND(",",'ASS START SYNC'!E833,1),"")</f>
        <v/>
      </c>
      <c r="C829" s="24" t="str">
        <f>IF('ASS START SYNC'!C833="SHOW",FIND(",",'ASS START SYNC'!E833,B829+1),"")</f>
        <v/>
      </c>
      <c r="D829" s="24" t="str">
        <f>IF('ASS START SYNC'!C833="SHOW",FIND(",",'ASS START SYNC'!E833,C829+1),"")</f>
        <v/>
      </c>
      <c r="E829" s="25" t="str">
        <f>IF('ASS START SYNC'!C833="SHOW",FIND(",,",'ASS START SYNC'!E833,1),"")</f>
        <v/>
      </c>
      <c r="F829" s="25" t="str">
        <f>IF('ASS START SYNC'!C833="SHOW",FIND(",,",'ASS START SYNC'!E833,E829+1),"")</f>
        <v/>
      </c>
      <c r="G829" s="23" t="str">
        <f>IF('ASS START SYNC'!C833="SHOW",LEFT('ASS START SYNC'!E833,B829),"")</f>
        <v/>
      </c>
      <c r="H829" s="24" t="str">
        <f>IF(AND('ASS START SYNC'!C833="SHOW",COUNTA('ASS START SYNC'!$E$8:'ASS START SYNC'!E832)=0),MID('ASS START SYNC'!E833,B829+1,C829-B829-1),IF(AND('ASS START SYNC'!C833="SHOW",COUNTA('ASS START SYNC'!$E$8:'ASS START SYNC'!E832)&lt;&gt;0),I828,""))</f>
        <v/>
      </c>
      <c r="I829" s="24" t="str">
        <f>IF('ASS START SYNC'!C833="SHOW",MID('ASS START SYNC'!E833,C829+1,D829-C829-1),I828)</f>
        <v/>
      </c>
      <c r="J829" s="23" t="str">
        <f>IF('ASS START SYNC'!C833="SHOW",MID('ASS START SYNC'!E833,D829+1,F829-D829+1),"")</f>
        <v/>
      </c>
      <c r="K829" s="23" t="str">
        <f>IF('ASS START SYNC'!C833="SHOW",MID('ASS START SYNC'!E833,F829+2,1000),"")</f>
        <v/>
      </c>
      <c r="M829" s="24"/>
      <c r="N829" s="26">
        <v>826</v>
      </c>
      <c r="O829" s="24" t="str">
        <f>IF('ASS END SYNC'!C833="SHOW",FIND(",",'ASS END SYNC'!E833,1),"")</f>
        <v/>
      </c>
      <c r="P829" s="24" t="str">
        <f>IF('ASS END SYNC'!C833="SHOW",FIND(",",'ASS END SYNC'!E833,O829+1),"")</f>
        <v/>
      </c>
      <c r="Q829" s="24" t="str">
        <f>IF('ASS END SYNC'!C833="SHOW",FIND(",",'ASS END SYNC'!E833,P829+1),"")</f>
        <v/>
      </c>
      <c r="R829" s="25" t="str">
        <f>IF('ASS END SYNC'!C833="SHOW",FIND(",,",'ASS END SYNC'!E833,1),"")</f>
        <v/>
      </c>
      <c r="S829" s="25" t="str">
        <f>IF('ASS END SYNC'!C833="SHOW",FIND(",,",'ASS END SYNC'!E833,R829+1),"")</f>
        <v/>
      </c>
      <c r="T829" s="23" t="str">
        <f>IF('ASS END SYNC'!C833="SHOW",LEFT('ASS END SYNC'!E833,O829),"")</f>
        <v/>
      </c>
      <c r="U829" s="24" t="str">
        <f>IF('ASS END SYNC'!C833="SHOW",MID('ASS END SYNC'!E833,O829+1,P829-O829-1),"")</f>
        <v/>
      </c>
      <c r="V829" s="24" t="str">
        <f>IF(AND('ASS END SYNC'!C833="SHOW",'ASS END SYNC'!C834="SHOW"),U830,IF(AND('ASS END SYNC'!C833="SHOW",'ASS END SYNC'!C834&lt;&gt;"SHOW"),MID('ASS END SYNC'!E833,O829+1,P829-O829-1),""))</f>
        <v/>
      </c>
      <c r="W829" s="23" t="str">
        <f>IF('ASS END SYNC'!C833="SHOW",MID('ASS END SYNC'!E833,Q829+1,S829-Q829+1),"")</f>
        <v/>
      </c>
      <c r="X829" s="23" t="str">
        <f>IF('ASS END SYNC'!C833="SHOW",MID('ASS END SYNC'!E833,S829+2,1000),"")</f>
        <v/>
      </c>
      <c r="Z829" s="24"/>
    </row>
    <row r="830" spans="1:26" x14ac:dyDescent="0.25">
      <c r="A830" s="26">
        <v>827</v>
      </c>
      <c r="B830" s="24" t="str">
        <f>IF('ASS START SYNC'!C834="SHOW",FIND(",",'ASS START SYNC'!E834,1),"")</f>
        <v/>
      </c>
      <c r="C830" s="24" t="str">
        <f>IF('ASS START SYNC'!C834="SHOW",FIND(",",'ASS START SYNC'!E834,B830+1),"")</f>
        <v/>
      </c>
      <c r="D830" s="24" t="str">
        <f>IF('ASS START SYNC'!C834="SHOW",FIND(",",'ASS START SYNC'!E834,C830+1),"")</f>
        <v/>
      </c>
      <c r="E830" s="25" t="str">
        <f>IF('ASS START SYNC'!C834="SHOW",FIND(",,",'ASS START SYNC'!E834,1),"")</f>
        <v/>
      </c>
      <c r="F830" s="25" t="str">
        <f>IF('ASS START SYNC'!C834="SHOW",FIND(",,",'ASS START SYNC'!E834,E830+1),"")</f>
        <v/>
      </c>
      <c r="G830" s="23" t="str">
        <f>IF('ASS START SYNC'!C834="SHOW",LEFT('ASS START SYNC'!E834,B830),"")</f>
        <v/>
      </c>
      <c r="H830" s="24" t="str">
        <f>IF(AND('ASS START SYNC'!C834="SHOW",COUNTA('ASS START SYNC'!$E$8:'ASS START SYNC'!E833)=0),MID('ASS START SYNC'!E834,B830+1,C830-B830-1),IF(AND('ASS START SYNC'!C834="SHOW",COUNTA('ASS START SYNC'!$E$8:'ASS START SYNC'!E833)&lt;&gt;0),I829,""))</f>
        <v/>
      </c>
      <c r="I830" s="24" t="str">
        <f>IF('ASS START SYNC'!C834="SHOW",MID('ASS START SYNC'!E834,C830+1,D830-C830-1),I829)</f>
        <v/>
      </c>
      <c r="J830" s="23" t="str">
        <f>IF('ASS START SYNC'!C834="SHOW",MID('ASS START SYNC'!E834,D830+1,F830-D830+1),"")</f>
        <v/>
      </c>
      <c r="K830" s="23" t="str">
        <f>IF('ASS START SYNC'!C834="SHOW",MID('ASS START SYNC'!E834,F830+2,1000),"")</f>
        <v/>
      </c>
      <c r="M830" s="24"/>
      <c r="N830" s="26">
        <v>827</v>
      </c>
      <c r="O830" s="24" t="str">
        <f>IF('ASS END SYNC'!C834="SHOW",FIND(",",'ASS END SYNC'!E834,1),"")</f>
        <v/>
      </c>
      <c r="P830" s="24" t="str">
        <f>IF('ASS END SYNC'!C834="SHOW",FIND(",",'ASS END SYNC'!E834,O830+1),"")</f>
        <v/>
      </c>
      <c r="Q830" s="24" t="str">
        <f>IF('ASS END SYNC'!C834="SHOW",FIND(",",'ASS END SYNC'!E834,P830+1),"")</f>
        <v/>
      </c>
      <c r="R830" s="25" t="str">
        <f>IF('ASS END SYNC'!C834="SHOW",FIND(",,",'ASS END SYNC'!E834,1),"")</f>
        <v/>
      </c>
      <c r="S830" s="25" t="str">
        <f>IF('ASS END SYNC'!C834="SHOW",FIND(",,",'ASS END SYNC'!E834,R830+1),"")</f>
        <v/>
      </c>
      <c r="T830" s="23" t="str">
        <f>IF('ASS END SYNC'!C834="SHOW",LEFT('ASS END SYNC'!E834,O830),"")</f>
        <v/>
      </c>
      <c r="U830" s="24" t="str">
        <f>IF('ASS END SYNC'!C834="SHOW",MID('ASS END SYNC'!E834,O830+1,P830-O830-1),"")</f>
        <v/>
      </c>
      <c r="V830" s="24" t="str">
        <f>IF(AND('ASS END SYNC'!C834="SHOW",'ASS END SYNC'!C835="SHOW"),U831,IF(AND('ASS END SYNC'!C834="SHOW",'ASS END SYNC'!C835&lt;&gt;"SHOW"),MID('ASS END SYNC'!E834,O830+1,P830-O830-1),""))</f>
        <v/>
      </c>
      <c r="W830" s="23" t="str">
        <f>IF('ASS END SYNC'!C834="SHOW",MID('ASS END SYNC'!E834,Q830+1,S830-Q830+1),"")</f>
        <v/>
      </c>
      <c r="X830" s="23" t="str">
        <f>IF('ASS END SYNC'!C834="SHOW",MID('ASS END SYNC'!E834,S830+2,1000),"")</f>
        <v/>
      </c>
      <c r="Z830" s="24"/>
    </row>
    <row r="831" spans="1:26" x14ac:dyDescent="0.25">
      <c r="A831" s="26">
        <v>828</v>
      </c>
      <c r="B831" s="24" t="str">
        <f>IF('ASS START SYNC'!C835="SHOW",FIND(",",'ASS START SYNC'!E835,1),"")</f>
        <v/>
      </c>
      <c r="C831" s="24" t="str">
        <f>IF('ASS START SYNC'!C835="SHOW",FIND(",",'ASS START SYNC'!E835,B831+1),"")</f>
        <v/>
      </c>
      <c r="D831" s="24" t="str">
        <f>IF('ASS START SYNC'!C835="SHOW",FIND(",",'ASS START SYNC'!E835,C831+1),"")</f>
        <v/>
      </c>
      <c r="E831" s="25" t="str">
        <f>IF('ASS START SYNC'!C835="SHOW",FIND(",,",'ASS START SYNC'!E835,1),"")</f>
        <v/>
      </c>
      <c r="F831" s="25" t="str">
        <f>IF('ASS START SYNC'!C835="SHOW",FIND(",,",'ASS START SYNC'!E835,E831+1),"")</f>
        <v/>
      </c>
      <c r="G831" s="23" t="str">
        <f>IF('ASS START SYNC'!C835="SHOW",LEFT('ASS START SYNC'!E835,B831),"")</f>
        <v/>
      </c>
      <c r="H831" s="24" t="str">
        <f>IF(AND('ASS START SYNC'!C835="SHOW",COUNTA('ASS START SYNC'!$E$8:'ASS START SYNC'!E834)=0),MID('ASS START SYNC'!E835,B831+1,C831-B831-1),IF(AND('ASS START SYNC'!C835="SHOW",COUNTA('ASS START SYNC'!$E$8:'ASS START SYNC'!E834)&lt;&gt;0),I830,""))</f>
        <v/>
      </c>
      <c r="I831" s="24" t="str">
        <f>IF('ASS START SYNC'!C835="SHOW",MID('ASS START SYNC'!E835,C831+1,D831-C831-1),I830)</f>
        <v/>
      </c>
      <c r="J831" s="23" t="str">
        <f>IF('ASS START SYNC'!C835="SHOW",MID('ASS START SYNC'!E835,D831+1,F831-D831+1),"")</f>
        <v/>
      </c>
      <c r="K831" s="23" t="str">
        <f>IF('ASS START SYNC'!C835="SHOW",MID('ASS START SYNC'!E835,F831+2,1000),"")</f>
        <v/>
      </c>
      <c r="M831" s="24"/>
      <c r="N831" s="26">
        <v>828</v>
      </c>
      <c r="O831" s="24" t="str">
        <f>IF('ASS END SYNC'!C835="SHOW",FIND(",",'ASS END SYNC'!E835,1),"")</f>
        <v/>
      </c>
      <c r="P831" s="24" t="str">
        <f>IF('ASS END SYNC'!C835="SHOW",FIND(",",'ASS END SYNC'!E835,O831+1),"")</f>
        <v/>
      </c>
      <c r="Q831" s="24" t="str">
        <f>IF('ASS END SYNC'!C835="SHOW",FIND(",",'ASS END SYNC'!E835,P831+1),"")</f>
        <v/>
      </c>
      <c r="R831" s="25" t="str">
        <f>IF('ASS END SYNC'!C835="SHOW",FIND(",,",'ASS END SYNC'!E835,1),"")</f>
        <v/>
      </c>
      <c r="S831" s="25" t="str">
        <f>IF('ASS END SYNC'!C835="SHOW",FIND(",,",'ASS END SYNC'!E835,R831+1),"")</f>
        <v/>
      </c>
      <c r="T831" s="23" t="str">
        <f>IF('ASS END SYNC'!C835="SHOW",LEFT('ASS END SYNC'!E835,O831),"")</f>
        <v/>
      </c>
      <c r="U831" s="24" t="str">
        <f>IF('ASS END SYNC'!C835="SHOW",MID('ASS END SYNC'!E835,O831+1,P831-O831-1),"")</f>
        <v/>
      </c>
      <c r="V831" s="24" t="str">
        <f>IF(AND('ASS END SYNC'!C835="SHOW",'ASS END SYNC'!C836="SHOW"),U832,IF(AND('ASS END SYNC'!C835="SHOW",'ASS END SYNC'!C836&lt;&gt;"SHOW"),MID('ASS END SYNC'!E835,O831+1,P831-O831-1),""))</f>
        <v/>
      </c>
      <c r="W831" s="23" t="str">
        <f>IF('ASS END SYNC'!C835="SHOW",MID('ASS END SYNC'!E835,Q831+1,S831-Q831+1),"")</f>
        <v/>
      </c>
      <c r="X831" s="23" t="str">
        <f>IF('ASS END SYNC'!C835="SHOW",MID('ASS END SYNC'!E835,S831+2,1000),"")</f>
        <v/>
      </c>
      <c r="Z831" s="24"/>
    </row>
    <row r="832" spans="1:26" x14ac:dyDescent="0.25">
      <c r="A832" s="26">
        <v>829</v>
      </c>
      <c r="B832" s="24" t="str">
        <f>IF('ASS START SYNC'!C836="SHOW",FIND(",",'ASS START SYNC'!E836,1),"")</f>
        <v/>
      </c>
      <c r="C832" s="24" t="str">
        <f>IF('ASS START SYNC'!C836="SHOW",FIND(",",'ASS START SYNC'!E836,B832+1),"")</f>
        <v/>
      </c>
      <c r="D832" s="24" t="str">
        <f>IF('ASS START SYNC'!C836="SHOW",FIND(",",'ASS START SYNC'!E836,C832+1),"")</f>
        <v/>
      </c>
      <c r="E832" s="25" t="str">
        <f>IF('ASS START SYNC'!C836="SHOW",FIND(",,",'ASS START SYNC'!E836,1),"")</f>
        <v/>
      </c>
      <c r="F832" s="25" t="str">
        <f>IF('ASS START SYNC'!C836="SHOW",FIND(",,",'ASS START SYNC'!E836,E832+1),"")</f>
        <v/>
      </c>
      <c r="G832" s="23" t="str">
        <f>IF('ASS START SYNC'!C836="SHOW",LEFT('ASS START SYNC'!E836,B832),"")</f>
        <v/>
      </c>
      <c r="H832" s="24" t="str">
        <f>IF(AND('ASS START SYNC'!C836="SHOW",COUNTA('ASS START SYNC'!$E$8:'ASS START SYNC'!E835)=0),MID('ASS START SYNC'!E836,B832+1,C832-B832-1),IF(AND('ASS START SYNC'!C836="SHOW",COUNTA('ASS START SYNC'!$E$8:'ASS START SYNC'!E835)&lt;&gt;0),I831,""))</f>
        <v/>
      </c>
      <c r="I832" s="24" t="str">
        <f>IF('ASS START SYNC'!C836="SHOW",MID('ASS START SYNC'!E836,C832+1,D832-C832-1),I831)</f>
        <v/>
      </c>
      <c r="J832" s="23" t="str">
        <f>IF('ASS START SYNC'!C836="SHOW",MID('ASS START SYNC'!E836,D832+1,F832-D832+1),"")</f>
        <v/>
      </c>
      <c r="K832" s="23" t="str">
        <f>IF('ASS START SYNC'!C836="SHOW",MID('ASS START SYNC'!E836,F832+2,1000),"")</f>
        <v/>
      </c>
      <c r="M832" s="24"/>
      <c r="N832" s="26">
        <v>829</v>
      </c>
      <c r="O832" s="24" t="str">
        <f>IF('ASS END SYNC'!C836="SHOW",FIND(",",'ASS END SYNC'!E836,1),"")</f>
        <v/>
      </c>
      <c r="P832" s="24" t="str">
        <f>IF('ASS END SYNC'!C836="SHOW",FIND(",",'ASS END SYNC'!E836,O832+1),"")</f>
        <v/>
      </c>
      <c r="Q832" s="24" t="str">
        <f>IF('ASS END SYNC'!C836="SHOW",FIND(",",'ASS END SYNC'!E836,P832+1),"")</f>
        <v/>
      </c>
      <c r="R832" s="25" t="str">
        <f>IF('ASS END SYNC'!C836="SHOW",FIND(",,",'ASS END SYNC'!E836,1),"")</f>
        <v/>
      </c>
      <c r="S832" s="25" t="str">
        <f>IF('ASS END SYNC'!C836="SHOW",FIND(",,",'ASS END SYNC'!E836,R832+1),"")</f>
        <v/>
      </c>
      <c r="T832" s="23" t="str">
        <f>IF('ASS END SYNC'!C836="SHOW",LEFT('ASS END SYNC'!E836,O832),"")</f>
        <v/>
      </c>
      <c r="U832" s="24" t="str">
        <f>IF('ASS END SYNC'!C836="SHOW",MID('ASS END SYNC'!E836,O832+1,P832-O832-1),"")</f>
        <v/>
      </c>
      <c r="V832" s="24" t="str">
        <f>IF(AND('ASS END SYNC'!C836="SHOW",'ASS END SYNC'!C837="SHOW"),U833,IF(AND('ASS END SYNC'!C836="SHOW",'ASS END SYNC'!C837&lt;&gt;"SHOW"),MID('ASS END SYNC'!E836,O832+1,P832-O832-1),""))</f>
        <v/>
      </c>
      <c r="W832" s="23" t="str">
        <f>IF('ASS END SYNC'!C836="SHOW",MID('ASS END SYNC'!E836,Q832+1,S832-Q832+1),"")</f>
        <v/>
      </c>
      <c r="X832" s="23" t="str">
        <f>IF('ASS END SYNC'!C836="SHOW",MID('ASS END SYNC'!E836,S832+2,1000),"")</f>
        <v/>
      </c>
      <c r="Z832" s="24"/>
    </row>
    <row r="833" spans="1:26" x14ac:dyDescent="0.25">
      <c r="A833" s="26">
        <v>830</v>
      </c>
      <c r="B833" s="24" t="str">
        <f>IF('ASS START SYNC'!C837="SHOW",FIND(",",'ASS START SYNC'!E837,1),"")</f>
        <v/>
      </c>
      <c r="C833" s="24" t="str">
        <f>IF('ASS START SYNC'!C837="SHOW",FIND(",",'ASS START SYNC'!E837,B833+1),"")</f>
        <v/>
      </c>
      <c r="D833" s="24" t="str">
        <f>IF('ASS START SYNC'!C837="SHOW",FIND(",",'ASS START SYNC'!E837,C833+1),"")</f>
        <v/>
      </c>
      <c r="E833" s="25" t="str">
        <f>IF('ASS START SYNC'!C837="SHOW",FIND(",,",'ASS START SYNC'!E837,1),"")</f>
        <v/>
      </c>
      <c r="F833" s="25" t="str">
        <f>IF('ASS START SYNC'!C837="SHOW",FIND(",,",'ASS START SYNC'!E837,E833+1),"")</f>
        <v/>
      </c>
      <c r="G833" s="23" t="str">
        <f>IF('ASS START SYNC'!C837="SHOW",LEFT('ASS START SYNC'!E837,B833),"")</f>
        <v/>
      </c>
      <c r="H833" s="24" t="str">
        <f>IF(AND('ASS START SYNC'!C837="SHOW",COUNTA('ASS START SYNC'!$E$8:'ASS START SYNC'!E836)=0),MID('ASS START SYNC'!E837,B833+1,C833-B833-1),IF(AND('ASS START SYNC'!C837="SHOW",COUNTA('ASS START SYNC'!$E$8:'ASS START SYNC'!E836)&lt;&gt;0),I832,""))</f>
        <v/>
      </c>
      <c r="I833" s="24" t="str">
        <f>IF('ASS START SYNC'!C837="SHOW",MID('ASS START SYNC'!E837,C833+1,D833-C833-1),I832)</f>
        <v/>
      </c>
      <c r="J833" s="23" t="str">
        <f>IF('ASS START SYNC'!C837="SHOW",MID('ASS START SYNC'!E837,D833+1,F833-D833+1),"")</f>
        <v/>
      </c>
      <c r="K833" s="23" t="str">
        <f>IF('ASS START SYNC'!C837="SHOW",MID('ASS START SYNC'!E837,F833+2,1000),"")</f>
        <v/>
      </c>
      <c r="M833" s="24"/>
      <c r="N833" s="26">
        <v>830</v>
      </c>
      <c r="O833" s="24" t="str">
        <f>IF('ASS END SYNC'!C837="SHOW",FIND(",",'ASS END SYNC'!E837,1),"")</f>
        <v/>
      </c>
      <c r="P833" s="24" t="str">
        <f>IF('ASS END SYNC'!C837="SHOW",FIND(",",'ASS END SYNC'!E837,O833+1),"")</f>
        <v/>
      </c>
      <c r="Q833" s="24" t="str">
        <f>IF('ASS END SYNC'!C837="SHOW",FIND(",",'ASS END SYNC'!E837,P833+1),"")</f>
        <v/>
      </c>
      <c r="R833" s="25" t="str">
        <f>IF('ASS END SYNC'!C837="SHOW",FIND(",,",'ASS END SYNC'!E837,1),"")</f>
        <v/>
      </c>
      <c r="S833" s="25" t="str">
        <f>IF('ASS END SYNC'!C837="SHOW",FIND(",,",'ASS END SYNC'!E837,R833+1),"")</f>
        <v/>
      </c>
      <c r="T833" s="23" t="str">
        <f>IF('ASS END SYNC'!C837="SHOW",LEFT('ASS END SYNC'!E837,O833),"")</f>
        <v/>
      </c>
      <c r="U833" s="24" t="str">
        <f>IF('ASS END SYNC'!C837="SHOW",MID('ASS END SYNC'!E837,O833+1,P833-O833-1),"")</f>
        <v/>
      </c>
      <c r="V833" s="24" t="str">
        <f>IF(AND('ASS END SYNC'!C837="SHOW",'ASS END SYNC'!C838="SHOW"),U834,IF(AND('ASS END SYNC'!C837="SHOW",'ASS END SYNC'!C838&lt;&gt;"SHOW"),MID('ASS END SYNC'!E837,O833+1,P833-O833-1),""))</f>
        <v/>
      </c>
      <c r="W833" s="23" t="str">
        <f>IF('ASS END SYNC'!C837="SHOW",MID('ASS END SYNC'!E837,Q833+1,S833-Q833+1),"")</f>
        <v/>
      </c>
      <c r="X833" s="23" t="str">
        <f>IF('ASS END SYNC'!C837="SHOW",MID('ASS END SYNC'!E837,S833+2,1000),"")</f>
        <v/>
      </c>
      <c r="Z833" s="24"/>
    </row>
    <row r="834" spans="1:26" x14ac:dyDescent="0.25">
      <c r="A834" s="26">
        <v>831</v>
      </c>
      <c r="B834" s="24" t="str">
        <f>IF('ASS START SYNC'!C838="SHOW",FIND(",",'ASS START SYNC'!E838,1),"")</f>
        <v/>
      </c>
      <c r="C834" s="24" t="str">
        <f>IF('ASS START SYNC'!C838="SHOW",FIND(",",'ASS START SYNC'!E838,B834+1),"")</f>
        <v/>
      </c>
      <c r="D834" s="24" t="str">
        <f>IF('ASS START SYNC'!C838="SHOW",FIND(",",'ASS START SYNC'!E838,C834+1),"")</f>
        <v/>
      </c>
      <c r="E834" s="25" t="str">
        <f>IF('ASS START SYNC'!C838="SHOW",FIND(",,",'ASS START SYNC'!E838,1),"")</f>
        <v/>
      </c>
      <c r="F834" s="25" t="str">
        <f>IF('ASS START SYNC'!C838="SHOW",FIND(",,",'ASS START SYNC'!E838,E834+1),"")</f>
        <v/>
      </c>
      <c r="G834" s="23" t="str">
        <f>IF('ASS START SYNC'!C838="SHOW",LEFT('ASS START SYNC'!E838,B834),"")</f>
        <v/>
      </c>
      <c r="H834" s="24" t="str">
        <f>IF(AND('ASS START SYNC'!C838="SHOW",COUNTA('ASS START SYNC'!$E$8:'ASS START SYNC'!E837)=0),MID('ASS START SYNC'!E838,B834+1,C834-B834-1),IF(AND('ASS START SYNC'!C838="SHOW",COUNTA('ASS START SYNC'!$E$8:'ASS START SYNC'!E837)&lt;&gt;0),I833,""))</f>
        <v/>
      </c>
      <c r="I834" s="24" t="str">
        <f>IF('ASS START SYNC'!C838="SHOW",MID('ASS START SYNC'!E838,C834+1,D834-C834-1),I833)</f>
        <v/>
      </c>
      <c r="J834" s="23" t="str">
        <f>IF('ASS START SYNC'!C838="SHOW",MID('ASS START SYNC'!E838,D834+1,F834-D834+1),"")</f>
        <v/>
      </c>
      <c r="K834" s="23" t="str">
        <f>IF('ASS START SYNC'!C838="SHOW",MID('ASS START SYNC'!E838,F834+2,1000),"")</f>
        <v/>
      </c>
      <c r="M834" s="24"/>
      <c r="N834" s="26">
        <v>831</v>
      </c>
      <c r="O834" s="24" t="str">
        <f>IF('ASS END SYNC'!C838="SHOW",FIND(",",'ASS END SYNC'!E838,1),"")</f>
        <v/>
      </c>
      <c r="P834" s="24" t="str">
        <f>IF('ASS END SYNC'!C838="SHOW",FIND(",",'ASS END SYNC'!E838,O834+1),"")</f>
        <v/>
      </c>
      <c r="Q834" s="24" t="str">
        <f>IF('ASS END SYNC'!C838="SHOW",FIND(",",'ASS END SYNC'!E838,P834+1),"")</f>
        <v/>
      </c>
      <c r="R834" s="25" t="str">
        <f>IF('ASS END SYNC'!C838="SHOW",FIND(",,",'ASS END SYNC'!E838,1),"")</f>
        <v/>
      </c>
      <c r="S834" s="25" t="str">
        <f>IF('ASS END SYNC'!C838="SHOW",FIND(",,",'ASS END SYNC'!E838,R834+1),"")</f>
        <v/>
      </c>
      <c r="T834" s="23" t="str">
        <f>IF('ASS END SYNC'!C838="SHOW",LEFT('ASS END SYNC'!E838,O834),"")</f>
        <v/>
      </c>
      <c r="U834" s="24" t="str">
        <f>IF('ASS END SYNC'!C838="SHOW",MID('ASS END SYNC'!E838,O834+1,P834-O834-1),"")</f>
        <v/>
      </c>
      <c r="V834" s="24" t="str">
        <f>IF(AND('ASS END SYNC'!C838="SHOW",'ASS END SYNC'!C839="SHOW"),U835,IF(AND('ASS END SYNC'!C838="SHOW",'ASS END SYNC'!C839&lt;&gt;"SHOW"),MID('ASS END SYNC'!E838,O834+1,P834-O834-1),""))</f>
        <v/>
      </c>
      <c r="W834" s="23" t="str">
        <f>IF('ASS END SYNC'!C838="SHOW",MID('ASS END SYNC'!E838,Q834+1,S834-Q834+1),"")</f>
        <v/>
      </c>
      <c r="X834" s="23" t="str">
        <f>IF('ASS END SYNC'!C838="SHOW",MID('ASS END SYNC'!E838,S834+2,1000),"")</f>
        <v/>
      </c>
      <c r="Z834" s="24"/>
    </row>
    <row r="835" spans="1:26" x14ac:dyDescent="0.25">
      <c r="A835" s="26">
        <v>832</v>
      </c>
      <c r="B835" s="24" t="str">
        <f>IF('ASS START SYNC'!C839="SHOW",FIND(",",'ASS START SYNC'!E839,1),"")</f>
        <v/>
      </c>
      <c r="C835" s="24" t="str">
        <f>IF('ASS START SYNC'!C839="SHOW",FIND(",",'ASS START SYNC'!E839,B835+1),"")</f>
        <v/>
      </c>
      <c r="D835" s="24" t="str">
        <f>IF('ASS START SYNC'!C839="SHOW",FIND(",",'ASS START SYNC'!E839,C835+1),"")</f>
        <v/>
      </c>
      <c r="E835" s="25" t="str">
        <f>IF('ASS START SYNC'!C839="SHOW",FIND(",,",'ASS START SYNC'!E839,1),"")</f>
        <v/>
      </c>
      <c r="F835" s="25" t="str">
        <f>IF('ASS START SYNC'!C839="SHOW",FIND(",,",'ASS START SYNC'!E839,E835+1),"")</f>
        <v/>
      </c>
      <c r="G835" s="23" t="str">
        <f>IF('ASS START SYNC'!C839="SHOW",LEFT('ASS START SYNC'!E839,B835),"")</f>
        <v/>
      </c>
      <c r="H835" s="24" t="str">
        <f>IF(AND('ASS START SYNC'!C839="SHOW",COUNTA('ASS START SYNC'!$E$8:'ASS START SYNC'!E838)=0),MID('ASS START SYNC'!E839,B835+1,C835-B835-1),IF(AND('ASS START SYNC'!C839="SHOW",COUNTA('ASS START SYNC'!$E$8:'ASS START SYNC'!E838)&lt;&gt;0),I834,""))</f>
        <v/>
      </c>
      <c r="I835" s="24" t="str">
        <f>IF('ASS START SYNC'!C839="SHOW",MID('ASS START SYNC'!E839,C835+1,D835-C835-1),I834)</f>
        <v/>
      </c>
      <c r="J835" s="23" t="str">
        <f>IF('ASS START SYNC'!C839="SHOW",MID('ASS START SYNC'!E839,D835+1,F835-D835+1),"")</f>
        <v/>
      </c>
      <c r="K835" s="23" t="str">
        <f>IF('ASS START SYNC'!C839="SHOW",MID('ASS START SYNC'!E839,F835+2,1000),"")</f>
        <v/>
      </c>
      <c r="M835" s="24"/>
      <c r="N835" s="26">
        <v>832</v>
      </c>
      <c r="O835" s="24" t="str">
        <f>IF('ASS END SYNC'!C839="SHOW",FIND(",",'ASS END SYNC'!E839,1),"")</f>
        <v/>
      </c>
      <c r="P835" s="24" t="str">
        <f>IF('ASS END SYNC'!C839="SHOW",FIND(",",'ASS END SYNC'!E839,O835+1),"")</f>
        <v/>
      </c>
      <c r="Q835" s="24" t="str">
        <f>IF('ASS END SYNC'!C839="SHOW",FIND(",",'ASS END SYNC'!E839,P835+1),"")</f>
        <v/>
      </c>
      <c r="R835" s="25" t="str">
        <f>IF('ASS END SYNC'!C839="SHOW",FIND(",,",'ASS END SYNC'!E839,1),"")</f>
        <v/>
      </c>
      <c r="S835" s="25" t="str">
        <f>IF('ASS END SYNC'!C839="SHOW",FIND(",,",'ASS END SYNC'!E839,R835+1),"")</f>
        <v/>
      </c>
      <c r="T835" s="23" t="str">
        <f>IF('ASS END SYNC'!C839="SHOW",LEFT('ASS END SYNC'!E839,O835),"")</f>
        <v/>
      </c>
      <c r="U835" s="24" t="str">
        <f>IF('ASS END SYNC'!C839="SHOW",MID('ASS END SYNC'!E839,O835+1,P835-O835-1),"")</f>
        <v/>
      </c>
      <c r="V835" s="24" t="str">
        <f>IF(AND('ASS END SYNC'!C839="SHOW",'ASS END SYNC'!C840="SHOW"),U836,IF(AND('ASS END SYNC'!C839="SHOW",'ASS END SYNC'!C840&lt;&gt;"SHOW"),MID('ASS END SYNC'!E839,O835+1,P835-O835-1),""))</f>
        <v/>
      </c>
      <c r="W835" s="23" t="str">
        <f>IF('ASS END SYNC'!C839="SHOW",MID('ASS END SYNC'!E839,Q835+1,S835-Q835+1),"")</f>
        <v/>
      </c>
      <c r="X835" s="23" t="str">
        <f>IF('ASS END SYNC'!C839="SHOW",MID('ASS END SYNC'!E839,S835+2,1000),"")</f>
        <v/>
      </c>
      <c r="Z835" s="24"/>
    </row>
    <row r="836" spans="1:26" x14ac:dyDescent="0.25">
      <c r="A836" s="26">
        <v>833</v>
      </c>
      <c r="B836" s="24" t="str">
        <f>IF('ASS START SYNC'!C840="SHOW",FIND(",",'ASS START SYNC'!E840,1),"")</f>
        <v/>
      </c>
      <c r="C836" s="24" t="str">
        <f>IF('ASS START SYNC'!C840="SHOW",FIND(",",'ASS START SYNC'!E840,B836+1),"")</f>
        <v/>
      </c>
      <c r="D836" s="24" t="str">
        <f>IF('ASS START SYNC'!C840="SHOW",FIND(",",'ASS START SYNC'!E840,C836+1),"")</f>
        <v/>
      </c>
      <c r="E836" s="25" t="str">
        <f>IF('ASS START SYNC'!C840="SHOW",FIND(",,",'ASS START SYNC'!E840,1),"")</f>
        <v/>
      </c>
      <c r="F836" s="25" t="str">
        <f>IF('ASS START SYNC'!C840="SHOW",FIND(",,",'ASS START SYNC'!E840,E836+1),"")</f>
        <v/>
      </c>
      <c r="G836" s="23" t="str">
        <f>IF('ASS START SYNC'!C840="SHOW",LEFT('ASS START SYNC'!E840,B836),"")</f>
        <v/>
      </c>
      <c r="H836" s="24" t="str">
        <f>IF(AND('ASS START SYNC'!C840="SHOW",COUNTA('ASS START SYNC'!$E$8:'ASS START SYNC'!E839)=0),MID('ASS START SYNC'!E840,B836+1,C836-B836-1),IF(AND('ASS START SYNC'!C840="SHOW",COUNTA('ASS START SYNC'!$E$8:'ASS START SYNC'!E839)&lt;&gt;0),I835,""))</f>
        <v/>
      </c>
      <c r="I836" s="24" t="str">
        <f>IF('ASS START SYNC'!C840="SHOW",MID('ASS START SYNC'!E840,C836+1,D836-C836-1),I835)</f>
        <v/>
      </c>
      <c r="J836" s="23" t="str">
        <f>IF('ASS START SYNC'!C840="SHOW",MID('ASS START SYNC'!E840,D836+1,F836-D836+1),"")</f>
        <v/>
      </c>
      <c r="K836" s="23" t="str">
        <f>IF('ASS START SYNC'!C840="SHOW",MID('ASS START SYNC'!E840,F836+2,1000),"")</f>
        <v/>
      </c>
      <c r="M836" s="24"/>
      <c r="N836" s="26">
        <v>833</v>
      </c>
      <c r="O836" s="24" t="str">
        <f>IF('ASS END SYNC'!C840="SHOW",FIND(",",'ASS END SYNC'!E840,1),"")</f>
        <v/>
      </c>
      <c r="P836" s="24" t="str">
        <f>IF('ASS END SYNC'!C840="SHOW",FIND(",",'ASS END SYNC'!E840,O836+1),"")</f>
        <v/>
      </c>
      <c r="Q836" s="24" t="str">
        <f>IF('ASS END SYNC'!C840="SHOW",FIND(",",'ASS END SYNC'!E840,P836+1),"")</f>
        <v/>
      </c>
      <c r="R836" s="25" t="str">
        <f>IF('ASS END SYNC'!C840="SHOW",FIND(",,",'ASS END SYNC'!E840,1),"")</f>
        <v/>
      </c>
      <c r="S836" s="25" t="str">
        <f>IF('ASS END SYNC'!C840="SHOW",FIND(",,",'ASS END SYNC'!E840,R836+1),"")</f>
        <v/>
      </c>
      <c r="T836" s="23" t="str">
        <f>IF('ASS END SYNC'!C840="SHOW",LEFT('ASS END SYNC'!E840,O836),"")</f>
        <v/>
      </c>
      <c r="U836" s="24" t="str">
        <f>IF('ASS END SYNC'!C840="SHOW",MID('ASS END SYNC'!E840,O836+1,P836-O836-1),"")</f>
        <v/>
      </c>
      <c r="V836" s="24" t="str">
        <f>IF(AND('ASS END SYNC'!C840="SHOW",'ASS END SYNC'!C841="SHOW"),U837,IF(AND('ASS END SYNC'!C840="SHOW",'ASS END SYNC'!C841&lt;&gt;"SHOW"),MID('ASS END SYNC'!E840,O836+1,P836-O836-1),""))</f>
        <v/>
      </c>
      <c r="W836" s="23" t="str">
        <f>IF('ASS END SYNC'!C840="SHOW",MID('ASS END SYNC'!E840,Q836+1,S836-Q836+1),"")</f>
        <v/>
      </c>
      <c r="X836" s="23" t="str">
        <f>IF('ASS END SYNC'!C840="SHOW",MID('ASS END SYNC'!E840,S836+2,1000),"")</f>
        <v/>
      </c>
      <c r="Z836" s="24"/>
    </row>
    <row r="837" spans="1:26" x14ac:dyDescent="0.25">
      <c r="A837" s="26">
        <v>834</v>
      </c>
      <c r="B837" s="24" t="str">
        <f>IF('ASS START SYNC'!C841="SHOW",FIND(",",'ASS START SYNC'!E841,1),"")</f>
        <v/>
      </c>
      <c r="C837" s="24" t="str">
        <f>IF('ASS START SYNC'!C841="SHOW",FIND(",",'ASS START SYNC'!E841,B837+1),"")</f>
        <v/>
      </c>
      <c r="D837" s="24" t="str">
        <f>IF('ASS START SYNC'!C841="SHOW",FIND(",",'ASS START SYNC'!E841,C837+1),"")</f>
        <v/>
      </c>
      <c r="E837" s="25" t="str">
        <f>IF('ASS START SYNC'!C841="SHOW",FIND(",,",'ASS START SYNC'!E841,1),"")</f>
        <v/>
      </c>
      <c r="F837" s="25" t="str">
        <f>IF('ASS START SYNC'!C841="SHOW",FIND(",,",'ASS START SYNC'!E841,E837+1),"")</f>
        <v/>
      </c>
      <c r="G837" s="23" t="str">
        <f>IF('ASS START SYNC'!C841="SHOW",LEFT('ASS START SYNC'!E841,B837),"")</f>
        <v/>
      </c>
      <c r="H837" s="24" t="str">
        <f>IF(AND('ASS START SYNC'!C841="SHOW",COUNTA('ASS START SYNC'!$E$8:'ASS START SYNC'!E840)=0),MID('ASS START SYNC'!E841,B837+1,C837-B837-1),IF(AND('ASS START SYNC'!C841="SHOW",COUNTA('ASS START SYNC'!$E$8:'ASS START SYNC'!E840)&lt;&gt;0),I836,""))</f>
        <v/>
      </c>
      <c r="I837" s="24" t="str">
        <f>IF('ASS START SYNC'!C841="SHOW",MID('ASS START SYNC'!E841,C837+1,D837-C837-1),I836)</f>
        <v/>
      </c>
      <c r="J837" s="23" t="str">
        <f>IF('ASS START SYNC'!C841="SHOW",MID('ASS START SYNC'!E841,D837+1,F837-D837+1),"")</f>
        <v/>
      </c>
      <c r="K837" s="23" t="str">
        <f>IF('ASS START SYNC'!C841="SHOW",MID('ASS START SYNC'!E841,F837+2,1000),"")</f>
        <v/>
      </c>
      <c r="M837" s="24"/>
      <c r="N837" s="26">
        <v>834</v>
      </c>
      <c r="O837" s="24" t="str">
        <f>IF('ASS END SYNC'!C841="SHOW",FIND(",",'ASS END SYNC'!E841,1),"")</f>
        <v/>
      </c>
      <c r="P837" s="24" t="str">
        <f>IF('ASS END SYNC'!C841="SHOW",FIND(",",'ASS END SYNC'!E841,O837+1),"")</f>
        <v/>
      </c>
      <c r="Q837" s="24" t="str">
        <f>IF('ASS END SYNC'!C841="SHOW",FIND(",",'ASS END SYNC'!E841,P837+1),"")</f>
        <v/>
      </c>
      <c r="R837" s="25" t="str">
        <f>IF('ASS END SYNC'!C841="SHOW",FIND(",,",'ASS END SYNC'!E841,1),"")</f>
        <v/>
      </c>
      <c r="S837" s="25" t="str">
        <f>IF('ASS END SYNC'!C841="SHOW",FIND(",,",'ASS END SYNC'!E841,R837+1),"")</f>
        <v/>
      </c>
      <c r="T837" s="23" t="str">
        <f>IF('ASS END SYNC'!C841="SHOW",LEFT('ASS END SYNC'!E841,O837),"")</f>
        <v/>
      </c>
      <c r="U837" s="24" t="str">
        <f>IF('ASS END SYNC'!C841="SHOW",MID('ASS END SYNC'!E841,O837+1,P837-O837-1),"")</f>
        <v/>
      </c>
      <c r="V837" s="24" t="str">
        <f>IF(AND('ASS END SYNC'!C841="SHOW",'ASS END SYNC'!C842="SHOW"),U838,IF(AND('ASS END SYNC'!C841="SHOW",'ASS END SYNC'!C842&lt;&gt;"SHOW"),MID('ASS END SYNC'!E841,O837+1,P837-O837-1),""))</f>
        <v/>
      </c>
      <c r="W837" s="23" t="str">
        <f>IF('ASS END SYNC'!C841="SHOW",MID('ASS END SYNC'!E841,Q837+1,S837-Q837+1),"")</f>
        <v/>
      </c>
      <c r="X837" s="23" t="str">
        <f>IF('ASS END SYNC'!C841="SHOW",MID('ASS END SYNC'!E841,S837+2,1000),"")</f>
        <v/>
      </c>
      <c r="Z837" s="24"/>
    </row>
    <row r="838" spans="1:26" x14ac:dyDescent="0.25">
      <c r="A838" s="26">
        <v>835</v>
      </c>
      <c r="B838" s="24" t="str">
        <f>IF('ASS START SYNC'!C842="SHOW",FIND(",",'ASS START SYNC'!E842,1),"")</f>
        <v/>
      </c>
      <c r="C838" s="24" t="str">
        <f>IF('ASS START SYNC'!C842="SHOW",FIND(",",'ASS START SYNC'!E842,B838+1),"")</f>
        <v/>
      </c>
      <c r="D838" s="24" t="str">
        <f>IF('ASS START SYNC'!C842="SHOW",FIND(",",'ASS START SYNC'!E842,C838+1),"")</f>
        <v/>
      </c>
      <c r="E838" s="25" t="str">
        <f>IF('ASS START SYNC'!C842="SHOW",FIND(",,",'ASS START SYNC'!E842,1),"")</f>
        <v/>
      </c>
      <c r="F838" s="25" t="str">
        <f>IF('ASS START SYNC'!C842="SHOW",FIND(",,",'ASS START SYNC'!E842,E838+1),"")</f>
        <v/>
      </c>
      <c r="G838" s="23" t="str">
        <f>IF('ASS START SYNC'!C842="SHOW",LEFT('ASS START SYNC'!E842,B838),"")</f>
        <v/>
      </c>
      <c r="H838" s="24" t="str">
        <f>IF(AND('ASS START SYNC'!C842="SHOW",COUNTA('ASS START SYNC'!$E$8:'ASS START SYNC'!E841)=0),MID('ASS START SYNC'!E842,B838+1,C838-B838-1),IF(AND('ASS START SYNC'!C842="SHOW",COUNTA('ASS START SYNC'!$E$8:'ASS START SYNC'!E841)&lt;&gt;0),I837,""))</f>
        <v/>
      </c>
      <c r="I838" s="24" t="str">
        <f>IF('ASS START SYNC'!C842="SHOW",MID('ASS START SYNC'!E842,C838+1,D838-C838-1),I837)</f>
        <v/>
      </c>
      <c r="J838" s="23" t="str">
        <f>IF('ASS START SYNC'!C842="SHOW",MID('ASS START SYNC'!E842,D838+1,F838-D838+1),"")</f>
        <v/>
      </c>
      <c r="K838" s="23" t="str">
        <f>IF('ASS START SYNC'!C842="SHOW",MID('ASS START SYNC'!E842,F838+2,1000),"")</f>
        <v/>
      </c>
      <c r="M838" s="24"/>
      <c r="N838" s="26">
        <v>835</v>
      </c>
      <c r="O838" s="24" t="str">
        <f>IF('ASS END SYNC'!C842="SHOW",FIND(",",'ASS END SYNC'!E842,1),"")</f>
        <v/>
      </c>
      <c r="P838" s="24" t="str">
        <f>IF('ASS END SYNC'!C842="SHOW",FIND(",",'ASS END SYNC'!E842,O838+1),"")</f>
        <v/>
      </c>
      <c r="Q838" s="24" t="str">
        <f>IF('ASS END SYNC'!C842="SHOW",FIND(",",'ASS END SYNC'!E842,P838+1),"")</f>
        <v/>
      </c>
      <c r="R838" s="25" t="str">
        <f>IF('ASS END SYNC'!C842="SHOW",FIND(",,",'ASS END SYNC'!E842,1),"")</f>
        <v/>
      </c>
      <c r="S838" s="25" t="str">
        <f>IF('ASS END SYNC'!C842="SHOW",FIND(",,",'ASS END SYNC'!E842,R838+1),"")</f>
        <v/>
      </c>
      <c r="T838" s="23" t="str">
        <f>IF('ASS END SYNC'!C842="SHOW",LEFT('ASS END SYNC'!E842,O838),"")</f>
        <v/>
      </c>
      <c r="U838" s="24" t="str">
        <f>IF('ASS END SYNC'!C842="SHOW",MID('ASS END SYNC'!E842,O838+1,P838-O838-1),"")</f>
        <v/>
      </c>
      <c r="V838" s="24" t="str">
        <f>IF(AND('ASS END SYNC'!C842="SHOW",'ASS END SYNC'!C843="SHOW"),U839,IF(AND('ASS END SYNC'!C842="SHOW",'ASS END SYNC'!C843&lt;&gt;"SHOW"),MID('ASS END SYNC'!E842,O838+1,P838-O838-1),""))</f>
        <v/>
      </c>
      <c r="W838" s="23" t="str">
        <f>IF('ASS END SYNC'!C842="SHOW",MID('ASS END SYNC'!E842,Q838+1,S838-Q838+1),"")</f>
        <v/>
      </c>
      <c r="X838" s="23" t="str">
        <f>IF('ASS END SYNC'!C842="SHOW",MID('ASS END SYNC'!E842,S838+2,1000),"")</f>
        <v/>
      </c>
      <c r="Z838" s="24"/>
    </row>
    <row r="839" spans="1:26" x14ac:dyDescent="0.25">
      <c r="A839" s="26">
        <v>836</v>
      </c>
      <c r="B839" s="24" t="str">
        <f>IF('ASS START SYNC'!C843="SHOW",FIND(",",'ASS START SYNC'!E843,1),"")</f>
        <v/>
      </c>
      <c r="C839" s="24" t="str">
        <f>IF('ASS START SYNC'!C843="SHOW",FIND(",",'ASS START SYNC'!E843,B839+1),"")</f>
        <v/>
      </c>
      <c r="D839" s="24" t="str">
        <f>IF('ASS START SYNC'!C843="SHOW",FIND(",",'ASS START SYNC'!E843,C839+1),"")</f>
        <v/>
      </c>
      <c r="E839" s="25" t="str">
        <f>IF('ASS START SYNC'!C843="SHOW",FIND(",,",'ASS START SYNC'!E843,1),"")</f>
        <v/>
      </c>
      <c r="F839" s="25" t="str">
        <f>IF('ASS START SYNC'!C843="SHOW",FIND(",,",'ASS START SYNC'!E843,E839+1),"")</f>
        <v/>
      </c>
      <c r="G839" s="23" t="str">
        <f>IF('ASS START SYNC'!C843="SHOW",LEFT('ASS START SYNC'!E843,B839),"")</f>
        <v/>
      </c>
      <c r="H839" s="24" t="str">
        <f>IF(AND('ASS START SYNC'!C843="SHOW",COUNTA('ASS START SYNC'!$E$8:'ASS START SYNC'!E842)=0),MID('ASS START SYNC'!E843,B839+1,C839-B839-1),IF(AND('ASS START SYNC'!C843="SHOW",COUNTA('ASS START SYNC'!$E$8:'ASS START SYNC'!E842)&lt;&gt;0),I838,""))</f>
        <v/>
      </c>
      <c r="I839" s="24" t="str">
        <f>IF('ASS START SYNC'!C843="SHOW",MID('ASS START SYNC'!E843,C839+1,D839-C839-1),I838)</f>
        <v/>
      </c>
      <c r="J839" s="23" t="str">
        <f>IF('ASS START SYNC'!C843="SHOW",MID('ASS START SYNC'!E843,D839+1,F839-D839+1),"")</f>
        <v/>
      </c>
      <c r="K839" s="23" t="str">
        <f>IF('ASS START SYNC'!C843="SHOW",MID('ASS START SYNC'!E843,F839+2,1000),"")</f>
        <v/>
      </c>
      <c r="M839" s="24"/>
      <c r="N839" s="26">
        <v>836</v>
      </c>
      <c r="O839" s="24" t="str">
        <f>IF('ASS END SYNC'!C843="SHOW",FIND(",",'ASS END SYNC'!E843,1),"")</f>
        <v/>
      </c>
      <c r="P839" s="24" t="str">
        <f>IF('ASS END SYNC'!C843="SHOW",FIND(",",'ASS END SYNC'!E843,O839+1),"")</f>
        <v/>
      </c>
      <c r="Q839" s="24" t="str">
        <f>IF('ASS END SYNC'!C843="SHOW",FIND(",",'ASS END SYNC'!E843,P839+1),"")</f>
        <v/>
      </c>
      <c r="R839" s="25" t="str">
        <f>IF('ASS END SYNC'!C843="SHOW",FIND(",,",'ASS END SYNC'!E843,1),"")</f>
        <v/>
      </c>
      <c r="S839" s="25" t="str">
        <f>IF('ASS END SYNC'!C843="SHOW",FIND(",,",'ASS END SYNC'!E843,R839+1),"")</f>
        <v/>
      </c>
      <c r="T839" s="23" t="str">
        <f>IF('ASS END SYNC'!C843="SHOW",LEFT('ASS END SYNC'!E843,O839),"")</f>
        <v/>
      </c>
      <c r="U839" s="24" t="str">
        <f>IF('ASS END SYNC'!C843="SHOW",MID('ASS END SYNC'!E843,O839+1,P839-O839-1),"")</f>
        <v/>
      </c>
      <c r="V839" s="24" t="str">
        <f>IF(AND('ASS END SYNC'!C843="SHOW",'ASS END SYNC'!C844="SHOW"),U840,IF(AND('ASS END SYNC'!C843="SHOW",'ASS END SYNC'!C844&lt;&gt;"SHOW"),MID('ASS END SYNC'!E843,O839+1,P839-O839-1),""))</f>
        <v/>
      </c>
      <c r="W839" s="23" t="str">
        <f>IF('ASS END SYNC'!C843="SHOW",MID('ASS END SYNC'!E843,Q839+1,S839-Q839+1),"")</f>
        <v/>
      </c>
      <c r="X839" s="23" t="str">
        <f>IF('ASS END SYNC'!C843="SHOW",MID('ASS END SYNC'!E843,S839+2,1000),"")</f>
        <v/>
      </c>
      <c r="Z839" s="24"/>
    </row>
    <row r="840" spans="1:26" x14ac:dyDescent="0.25">
      <c r="A840" s="26">
        <v>837</v>
      </c>
      <c r="B840" s="24" t="str">
        <f>IF('ASS START SYNC'!C844="SHOW",FIND(",",'ASS START SYNC'!E844,1),"")</f>
        <v/>
      </c>
      <c r="C840" s="24" t="str">
        <f>IF('ASS START SYNC'!C844="SHOW",FIND(",",'ASS START SYNC'!E844,B840+1),"")</f>
        <v/>
      </c>
      <c r="D840" s="24" t="str">
        <f>IF('ASS START SYNC'!C844="SHOW",FIND(",",'ASS START SYNC'!E844,C840+1),"")</f>
        <v/>
      </c>
      <c r="E840" s="25" t="str">
        <f>IF('ASS START SYNC'!C844="SHOW",FIND(",,",'ASS START SYNC'!E844,1),"")</f>
        <v/>
      </c>
      <c r="F840" s="25" t="str">
        <f>IF('ASS START SYNC'!C844="SHOW",FIND(",,",'ASS START SYNC'!E844,E840+1),"")</f>
        <v/>
      </c>
      <c r="G840" s="23" t="str">
        <f>IF('ASS START SYNC'!C844="SHOW",LEFT('ASS START SYNC'!E844,B840),"")</f>
        <v/>
      </c>
      <c r="H840" s="24" t="str">
        <f>IF(AND('ASS START SYNC'!C844="SHOW",COUNTA('ASS START SYNC'!$E$8:'ASS START SYNC'!E843)=0),MID('ASS START SYNC'!E844,B840+1,C840-B840-1),IF(AND('ASS START SYNC'!C844="SHOW",COUNTA('ASS START SYNC'!$E$8:'ASS START SYNC'!E843)&lt;&gt;0),I839,""))</f>
        <v/>
      </c>
      <c r="I840" s="24" t="str">
        <f>IF('ASS START SYNC'!C844="SHOW",MID('ASS START SYNC'!E844,C840+1,D840-C840-1),I839)</f>
        <v/>
      </c>
      <c r="J840" s="23" t="str">
        <f>IF('ASS START SYNC'!C844="SHOW",MID('ASS START SYNC'!E844,D840+1,F840-D840+1),"")</f>
        <v/>
      </c>
      <c r="K840" s="23" t="str">
        <f>IF('ASS START SYNC'!C844="SHOW",MID('ASS START SYNC'!E844,F840+2,1000),"")</f>
        <v/>
      </c>
      <c r="M840" s="24"/>
      <c r="N840" s="26">
        <v>837</v>
      </c>
      <c r="O840" s="24" t="str">
        <f>IF('ASS END SYNC'!C844="SHOW",FIND(",",'ASS END SYNC'!E844,1),"")</f>
        <v/>
      </c>
      <c r="P840" s="24" t="str">
        <f>IF('ASS END SYNC'!C844="SHOW",FIND(",",'ASS END SYNC'!E844,O840+1),"")</f>
        <v/>
      </c>
      <c r="Q840" s="24" t="str">
        <f>IF('ASS END SYNC'!C844="SHOW",FIND(",",'ASS END SYNC'!E844,P840+1),"")</f>
        <v/>
      </c>
      <c r="R840" s="25" t="str">
        <f>IF('ASS END SYNC'!C844="SHOW",FIND(",,",'ASS END SYNC'!E844,1),"")</f>
        <v/>
      </c>
      <c r="S840" s="25" t="str">
        <f>IF('ASS END SYNC'!C844="SHOW",FIND(",,",'ASS END SYNC'!E844,R840+1),"")</f>
        <v/>
      </c>
      <c r="T840" s="23" t="str">
        <f>IF('ASS END SYNC'!C844="SHOW",LEFT('ASS END SYNC'!E844,O840),"")</f>
        <v/>
      </c>
      <c r="U840" s="24" t="str">
        <f>IF('ASS END SYNC'!C844="SHOW",MID('ASS END SYNC'!E844,O840+1,P840-O840-1),"")</f>
        <v/>
      </c>
      <c r="V840" s="24" t="str">
        <f>IF(AND('ASS END SYNC'!C844="SHOW",'ASS END SYNC'!C845="SHOW"),U841,IF(AND('ASS END SYNC'!C844="SHOW",'ASS END SYNC'!C845&lt;&gt;"SHOW"),MID('ASS END SYNC'!E844,O840+1,P840-O840-1),""))</f>
        <v/>
      </c>
      <c r="W840" s="23" t="str">
        <f>IF('ASS END SYNC'!C844="SHOW",MID('ASS END SYNC'!E844,Q840+1,S840-Q840+1),"")</f>
        <v/>
      </c>
      <c r="X840" s="23" t="str">
        <f>IF('ASS END SYNC'!C844="SHOW",MID('ASS END SYNC'!E844,S840+2,1000),"")</f>
        <v/>
      </c>
      <c r="Z840" s="24"/>
    </row>
    <row r="841" spans="1:26" x14ac:dyDescent="0.25">
      <c r="A841" s="26">
        <v>838</v>
      </c>
      <c r="B841" s="24" t="str">
        <f>IF('ASS START SYNC'!C845="SHOW",FIND(",",'ASS START SYNC'!E845,1),"")</f>
        <v/>
      </c>
      <c r="C841" s="24" t="str">
        <f>IF('ASS START SYNC'!C845="SHOW",FIND(",",'ASS START SYNC'!E845,B841+1),"")</f>
        <v/>
      </c>
      <c r="D841" s="24" t="str">
        <f>IF('ASS START SYNC'!C845="SHOW",FIND(",",'ASS START SYNC'!E845,C841+1),"")</f>
        <v/>
      </c>
      <c r="E841" s="25" t="str">
        <f>IF('ASS START SYNC'!C845="SHOW",FIND(",,",'ASS START SYNC'!E845,1),"")</f>
        <v/>
      </c>
      <c r="F841" s="25" t="str">
        <f>IF('ASS START SYNC'!C845="SHOW",FIND(",,",'ASS START SYNC'!E845,E841+1),"")</f>
        <v/>
      </c>
      <c r="G841" s="23" t="str">
        <f>IF('ASS START SYNC'!C845="SHOW",LEFT('ASS START SYNC'!E845,B841),"")</f>
        <v/>
      </c>
      <c r="H841" s="24" t="str">
        <f>IF(AND('ASS START SYNC'!C845="SHOW",COUNTA('ASS START SYNC'!$E$8:'ASS START SYNC'!E844)=0),MID('ASS START SYNC'!E845,B841+1,C841-B841-1),IF(AND('ASS START SYNC'!C845="SHOW",COUNTA('ASS START SYNC'!$E$8:'ASS START SYNC'!E844)&lt;&gt;0),I840,""))</f>
        <v/>
      </c>
      <c r="I841" s="24" t="str">
        <f>IF('ASS START SYNC'!C845="SHOW",MID('ASS START SYNC'!E845,C841+1,D841-C841-1),I840)</f>
        <v/>
      </c>
      <c r="J841" s="23" t="str">
        <f>IF('ASS START SYNC'!C845="SHOW",MID('ASS START SYNC'!E845,D841+1,F841-D841+1),"")</f>
        <v/>
      </c>
      <c r="K841" s="23" t="str">
        <f>IF('ASS START SYNC'!C845="SHOW",MID('ASS START SYNC'!E845,F841+2,1000),"")</f>
        <v/>
      </c>
      <c r="M841" s="24"/>
      <c r="N841" s="26">
        <v>838</v>
      </c>
      <c r="O841" s="24" t="str">
        <f>IF('ASS END SYNC'!C845="SHOW",FIND(",",'ASS END SYNC'!E845,1),"")</f>
        <v/>
      </c>
      <c r="P841" s="24" t="str">
        <f>IF('ASS END SYNC'!C845="SHOW",FIND(",",'ASS END SYNC'!E845,O841+1),"")</f>
        <v/>
      </c>
      <c r="Q841" s="24" t="str">
        <f>IF('ASS END SYNC'!C845="SHOW",FIND(",",'ASS END SYNC'!E845,P841+1),"")</f>
        <v/>
      </c>
      <c r="R841" s="25" t="str">
        <f>IF('ASS END SYNC'!C845="SHOW",FIND(",,",'ASS END SYNC'!E845,1),"")</f>
        <v/>
      </c>
      <c r="S841" s="25" t="str">
        <f>IF('ASS END SYNC'!C845="SHOW",FIND(",,",'ASS END SYNC'!E845,R841+1),"")</f>
        <v/>
      </c>
      <c r="T841" s="23" t="str">
        <f>IF('ASS END SYNC'!C845="SHOW",LEFT('ASS END SYNC'!E845,O841),"")</f>
        <v/>
      </c>
      <c r="U841" s="24" t="str">
        <f>IF('ASS END SYNC'!C845="SHOW",MID('ASS END SYNC'!E845,O841+1,P841-O841-1),"")</f>
        <v/>
      </c>
      <c r="V841" s="24" t="str">
        <f>IF(AND('ASS END SYNC'!C845="SHOW",'ASS END SYNC'!C846="SHOW"),U842,IF(AND('ASS END SYNC'!C845="SHOW",'ASS END SYNC'!C846&lt;&gt;"SHOW"),MID('ASS END SYNC'!E845,O841+1,P841-O841-1),""))</f>
        <v/>
      </c>
      <c r="W841" s="23" t="str">
        <f>IF('ASS END SYNC'!C845="SHOW",MID('ASS END SYNC'!E845,Q841+1,S841-Q841+1),"")</f>
        <v/>
      </c>
      <c r="X841" s="23" t="str">
        <f>IF('ASS END SYNC'!C845="SHOW",MID('ASS END SYNC'!E845,S841+2,1000),"")</f>
        <v/>
      </c>
      <c r="Z841" s="24"/>
    </row>
    <row r="842" spans="1:26" x14ac:dyDescent="0.25">
      <c r="A842" s="26">
        <v>839</v>
      </c>
      <c r="B842" s="24" t="str">
        <f>IF('ASS START SYNC'!C846="SHOW",FIND(",",'ASS START SYNC'!E846,1),"")</f>
        <v/>
      </c>
      <c r="C842" s="24" t="str">
        <f>IF('ASS START SYNC'!C846="SHOW",FIND(",",'ASS START SYNC'!E846,B842+1),"")</f>
        <v/>
      </c>
      <c r="D842" s="24" t="str">
        <f>IF('ASS START SYNC'!C846="SHOW",FIND(",",'ASS START SYNC'!E846,C842+1),"")</f>
        <v/>
      </c>
      <c r="E842" s="25" t="str">
        <f>IF('ASS START SYNC'!C846="SHOW",FIND(",,",'ASS START SYNC'!E846,1),"")</f>
        <v/>
      </c>
      <c r="F842" s="25" t="str">
        <f>IF('ASS START SYNC'!C846="SHOW",FIND(",,",'ASS START SYNC'!E846,E842+1),"")</f>
        <v/>
      </c>
      <c r="G842" s="23" t="str">
        <f>IF('ASS START SYNC'!C846="SHOW",LEFT('ASS START SYNC'!E846,B842),"")</f>
        <v/>
      </c>
      <c r="H842" s="24" t="str">
        <f>IF(AND('ASS START SYNC'!C846="SHOW",COUNTA('ASS START SYNC'!$E$8:'ASS START SYNC'!E845)=0),MID('ASS START SYNC'!E846,B842+1,C842-B842-1),IF(AND('ASS START SYNC'!C846="SHOW",COUNTA('ASS START SYNC'!$E$8:'ASS START SYNC'!E845)&lt;&gt;0),I841,""))</f>
        <v/>
      </c>
      <c r="I842" s="24" t="str">
        <f>IF('ASS START SYNC'!C846="SHOW",MID('ASS START SYNC'!E846,C842+1,D842-C842-1),I841)</f>
        <v/>
      </c>
      <c r="J842" s="23" t="str">
        <f>IF('ASS START SYNC'!C846="SHOW",MID('ASS START SYNC'!E846,D842+1,F842-D842+1),"")</f>
        <v/>
      </c>
      <c r="K842" s="23" t="str">
        <f>IF('ASS START SYNC'!C846="SHOW",MID('ASS START SYNC'!E846,F842+2,1000),"")</f>
        <v/>
      </c>
      <c r="M842" s="24"/>
      <c r="N842" s="26">
        <v>839</v>
      </c>
      <c r="O842" s="24" t="str">
        <f>IF('ASS END SYNC'!C846="SHOW",FIND(",",'ASS END SYNC'!E846,1),"")</f>
        <v/>
      </c>
      <c r="P842" s="24" t="str">
        <f>IF('ASS END SYNC'!C846="SHOW",FIND(",",'ASS END SYNC'!E846,O842+1),"")</f>
        <v/>
      </c>
      <c r="Q842" s="24" t="str">
        <f>IF('ASS END SYNC'!C846="SHOW",FIND(",",'ASS END SYNC'!E846,P842+1),"")</f>
        <v/>
      </c>
      <c r="R842" s="25" t="str">
        <f>IF('ASS END SYNC'!C846="SHOW",FIND(",,",'ASS END SYNC'!E846,1),"")</f>
        <v/>
      </c>
      <c r="S842" s="25" t="str">
        <f>IF('ASS END SYNC'!C846="SHOW",FIND(",,",'ASS END SYNC'!E846,R842+1),"")</f>
        <v/>
      </c>
      <c r="T842" s="23" t="str">
        <f>IF('ASS END SYNC'!C846="SHOW",LEFT('ASS END SYNC'!E846,O842),"")</f>
        <v/>
      </c>
      <c r="U842" s="24" t="str">
        <f>IF('ASS END SYNC'!C846="SHOW",MID('ASS END SYNC'!E846,O842+1,P842-O842-1),"")</f>
        <v/>
      </c>
      <c r="V842" s="24" t="str">
        <f>IF(AND('ASS END SYNC'!C846="SHOW",'ASS END SYNC'!C847="SHOW"),U843,IF(AND('ASS END SYNC'!C846="SHOW",'ASS END SYNC'!C847&lt;&gt;"SHOW"),MID('ASS END SYNC'!E846,O842+1,P842-O842-1),""))</f>
        <v/>
      </c>
      <c r="W842" s="23" t="str">
        <f>IF('ASS END SYNC'!C846="SHOW",MID('ASS END SYNC'!E846,Q842+1,S842-Q842+1),"")</f>
        <v/>
      </c>
      <c r="X842" s="23" t="str">
        <f>IF('ASS END SYNC'!C846="SHOW",MID('ASS END SYNC'!E846,S842+2,1000),"")</f>
        <v/>
      </c>
      <c r="Z842" s="24"/>
    </row>
    <row r="843" spans="1:26" x14ac:dyDescent="0.25">
      <c r="A843" s="26">
        <v>840</v>
      </c>
      <c r="B843" s="24" t="str">
        <f>IF('ASS START SYNC'!C847="SHOW",FIND(",",'ASS START SYNC'!E847,1),"")</f>
        <v/>
      </c>
      <c r="C843" s="24" t="str">
        <f>IF('ASS START SYNC'!C847="SHOW",FIND(",",'ASS START SYNC'!E847,B843+1),"")</f>
        <v/>
      </c>
      <c r="D843" s="24" t="str">
        <f>IF('ASS START SYNC'!C847="SHOW",FIND(",",'ASS START SYNC'!E847,C843+1),"")</f>
        <v/>
      </c>
      <c r="E843" s="25" t="str">
        <f>IF('ASS START SYNC'!C847="SHOW",FIND(",,",'ASS START SYNC'!E847,1),"")</f>
        <v/>
      </c>
      <c r="F843" s="25" t="str">
        <f>IF('ASS START SYNC'!C847="SHOW",FIND(",,",'ASS START SYNC'!E847,E843+1),"")</f>
        <v/>
      </c>
      <c r="G843" s="23" t="str">
        <f>IF('ASS START SYNC'!C847="SHOW",LEFT('ASS START SYNC'!E847,B843),"")</f>
        <v/>
      </c>
      <c r="H843" s="24" t="str">
        <f>IF(AND('ASS START SYNC'!C847="SHOW",COUNTA('ASS START SYNC'!$E$8:'ASS START SYNC'!E846)=0),MID('ASS START SYNC'!E847,B843+1,C843-B843-1),IF(AND('ASS START SYNC'!C847="SHOW",COUNTA('ASS START SYNC'!$E$8:'ASS START SYNC'!E846)&lt;&gt;0),I842,""))</f>
        <v/>
      </c>
      <c r="I843" s="24" t="str">
        <f>IF('ASS START SYNC'!C847="SHOW",MID('ASS START SYNC'!E847,C843+1,D843-C843-1),I842)</f>
        <v/>
      </c>
      <c r="J843" s="23" t="str">
        <f>IF('ASS START SYNC'!C847="SHOW",MID('ASS START SYNC'!E847,D843+1,F843-D843+1),"")</f>
        <v/>
      </c>
      <c r="K843" s="23" t="str">
        <f>IF('ASS START SYNC'!C847="SHOW",MID('ASS START SYNC'!E847,F843+2,1000),"")</f>
        <v/>
      </c>
      <c r="M843" s="24"/>
      <c r="N843" s="26">
        <v>840</v>
      </c>
      <c r="O843" s="24" t="str">
        <f>IF('ASS END SYNC'!C847="SHOW",FIND(",",'ASS END SYNC'!E847,1),"")</f>
        <v/>
      </c>
      <c r="P843" s="24" t="str">
        <f>IF('ASS END SYNC'!C847="SHOW",FIND(",",'ASS END SYNC'!E847,O843+1),"")</f>
        <v/>
      </c>
      <c r="Q843" s="24" t="str">
        <f>IF('ASS END SYNC'!C847="SHOW",FIND(",",'ASS END SYNC'!E847,P843+1),"")</f>
        <v/>
      </c>
      <c r="R843" s="25" t="str">
        <f>IF('ASS END SYNC'!C847="SHOW",FIND(",,",'ASS END SYNC'!E847,1),"")</f>
        <v/>
      </c>
      <c r="S843" s="25" t="str">
        <f>IF('ASS END SYNC'!C847="SHOW",FIND(",,",'ASS END SYNC'!E847,R843+1),"")</f>
        <v/>
      </c>
      <c r="T843" s="23" t="str">
        <f>IF('ASS END SYNC'!C847="SHOW",LEFT('ASS END SYNC'!E847,O843),"")</f>
        <v/>
      </c>
      <c r="U843" s="24" t="str">
        <f>IF('ASS END SYNC'!C847="SHOW",MID('ASS END SYNC'!E847,O843+1,P843-O843-1),"")</f>
        <v/>
      </c>
      <c r="V843" s="24" t="str">
        <f>IF(AND('ASS END SYNC'!C847="SHOW",'ASS END SYNC'!C848="SHOW"),U844,IF(AND('ASS END SYNC'!C847="SHOW",'ASS END SYNC'!C848&lt;&gt;"SHOW"),MID('ASS END SYNC'!E847,O843+1,P843-O843-1),""))</f>
        <v/>
      </c>
      <c r="W843" s="23" t="str">
        <f>IF('ASS END SYNC'!C847="SHOW",MID('ASS END SYNC'!E847,Q843+1,S843-Q843+1),"")</f>
        <v/>
      </c>
      <c r="X843" s="23" t="str">
        <f>IF('ASS END SYNC'!C847="SHOW",MID('ASS END SYNC'!E847,S843+2,1000),"")</f>
        <v/>
      </c>
      <c r="Z843" s="24"/>
    </row>
    <row r="844" spans="1:26" x14ac:dyDescent="0.25">
      <c r="A844" s="26">
        <v>841</v>
      </c>
      <c r="B844" s="24" t="str">
        <f>IF('ASS START SYNC'!C848="SHOW",FIND(",",'ASS START SYNC'!E848,1),"")</f>
        <v/>
      </c>
      <c r="C844" s="24" t="str">
        <f>IF('ASS START SYNC'!C848="SHOW",FIND(",",'ASS START SYNC'!E848,B844+1),"")</f>
        <v/>
      </c>
      <c r="D844" s="24" t="str">
        <f>IF('ASS START SYNC'!C848="SHOW",FIND(",",'ASS START SYNC'!E848,C844+1),"")</f>
        <v/>
      </c>
      <c r="E844" s="25" t="str">
        <f>IF('ASS START SYNC'!C848="SHOW",FIND(",,",'ASS START SYNC'!E848,1),"")</f>
        <v/>
      </c>
      <c r="F844" s="25" t="str">
        <f>IF('ASS START SYNC'!C848="SHOW",FIND(",,",'ASS START SYNC'!E848,E844+1),"")</f>
        <v/>
      </c>
      <c r="G844" s="23" t="str">
        <f>IF('ASS START SYNC'!C848="SHOW",LEFT('ASS START SYNC'!E848,B844),"")</f>
        <v/>
      </c>
      <c r="H844" s="24" t="str">
        <f>IF(AND('ASS START SYNC'!C848="SHOW",COUNTA('ASS START SYNC'!$E$8:'ASS START SYNC'!E847)=0),MID('ASS START SYNC'!E848,B844+1,C844-B844-1),IF(AND('ASS START SYNC'!C848="SHOW",COUNTA('ASS START SYNC'!$E$8:'ASS START SYNC'!E847)&lt;&gt;0),I843,""))</f>
        <v/>
      </c>
      <c r="I844" s="24" t="str">
        <f>IF('ASS START SYNC'!C848="SHOW",MID('ASS START SYNC'!E848,C844+1,D844-C844-1),I843)</f>
        <v/>
      </c>
      <c r="J844" s="23" t="str">
        <f>IF('ASS START SYNC'!C848="SHOW",MID('ASS START SYNC'!E848,D844+1,F844-D844+1),"")</f>
        <v/>
      </c>
      <c r="K844" s="23" t="str">
        <f>IF('ASS START SYNC'!C848="SHOW",MID('ASS START SYNC'!E848,F844+2,1000),"")</f>
        <v/>
      </c>
      <c r="M844" s="24"/>
      <c r="N844" s="26">
        <v>841</v>
      </c>
      <c r="O844" s="24" t="str">
        <f>IF('ASS END SYNC'!C848="SHOW",FIND(",",'ASS END SYNC'!E848,1),"")</f>
        <v/>
      </c>
      <c r="P844" s="24" t="str">
        <f>IF('ASS END SYNC'!C848="SHOW",FIND(",",'ASS END SYNC'!E848,O844+1),"")</f>
        <v/>
      </c>
      <c r="Q844" s="24" t="str">
        <f>IF('ASS END SYNC'!C848="SHOW",FIND(",",'ASS END SYNC'!E848,P844+1),"")</f>
        <v/>
      </c>
      <c r="R844" s="25" t="str">
        <f>IF('ASS END SYNC'!C848="SHOW",FIND(",,",'ASS END SYNC'!E848,1),"")</f>
        <v/>
      </c>
      <c r="S844" s="25" t="str">
        <f>IF('ASS END SYNC'!C848="SHOW",FIND(",,",'ASS END SYNC'!E848,R844+1),"")</f>
        <v/>
      </c>
      <c r="T844" s="23" t="str">
        <f>IF('ASS END SYNC'!C848="SHOW",LEFT('ASS END SYNC'!E848,O844),"")</f>
        <v/>
      </c>
      <c r="U844" s="24" t="str">
        <f>IF('ASS END SYNC'!C848="SHOW",MID('ASS END SYNC'!E848,O844+1,P844-O844-1),"")</f>
        <v/>
      </c>
      <c r="V844" s="24" t="str">
        <f>IF(AND('ASS END SYNC'!C848="SHOW",'ASS END SYNC'!C849="SHOW"),U845,IF(AND('ASS END SYNC'!C848="SHOW",'ASS END SYNC'!C849&lt;&gt;"SHOW"),MID('ASS END SYNC'!E848,O844+1,P844-O844-1),""))</f>
        <v/>
      </c>
      <c r="W844" s="23" t="str">
        <f>IF('ASS END SYNC'!C848="SHOW",MID('ASS END SYNC'!E848,Q844+1,S844-Q844+1),"")</f>
        <v/>
      </c>
      <c r="X844" s="23" t="str">
        <f>IF('ASS END SYNC'!C848="SHOW",MID('ASS END SYNC'!E848,S844+2,1000),"")</f>
        <v/>
      </c>
      <c r="Z844" s="24"/>
    </row>
    <row r="845" spans="1:26" x14ac:dyDescent="0.25">
      <c r="A845" s="26">
        <v>842</v>
      </c>
      <c r="B845" s="24" t="str">
        <f>IF('ASS START SYNC'!C849="SHOW",FIND(",",'ASS START SYNC'!E849,1),"")</f>
        <v/>
      </c>
      <c r="C845" s="24" t="str">
        <f>IF('ASS START SYNC'!C849="SHOW",FIND(",",'ASS START SYNC'!E849,B845+1),"")</f>
        <v/>
      </c>
      <c r="D845" s="24" t="str">
        <f>IF('ASS START SYNC'!C849="SHOW",FIND(",",'ASS START SYNC'!E849,C845+1),"")</f>
        <v/>
      </c>
      <c r="E845" s="25" t="str">
        <f>IF('ASS START SYNC'!C849="SHOW",FIND(",,",'ASS START SYNC'!E849,1),"")</f>
        <v/>
      </c>
      <c r="F845" s="25" t="str">
        <f>IF('ASS START SYNC'!C849="SHOW",FIND(",,",'ASS START SYNC'!E849,E845+1),"")</f>
        <v/>
      </c>
      <c r="G845" s="23" t="str">
        <f>IF('ASS START SYNC'!C849="SHOW",LEFT('ASS START SYNC'!E849,B845),"")</f>
        <v/>
      </c>
      <c r="H845" s="24" t="str">
        <f>IF(AND('ASS START SYNC'!C849="SHOW",COUNTA('ASS START SYNC'!$E$8:'ASS START SYNC'!E848)=0),MID('ASS START SYNC'!E849,B845+1,C845-B845-1),IF(AND('ASS START SYNC'!C849="SHOW",COUNTA('ASS START SYNC'!$E$8:'ASS START SYNC'!E848)&lt;&gt;0),I844,""))</f>
        <v/>
      </c>
      <c r="I845" s="24" t="str">
        <f>IF('ASS START SYNC'!C849="SHOW",MID('ASS START SYNC'!E849,C845+1,D845-C845-1),I844)</f>
        <v/>
      </c>
      <c r="J845" s="23" t="str">
        <f>IF('ASS START SYNC'!C849="SHOW",MID('ASS START SYNC'!E849,D845+1,F845-D845+1),"")</f>
        <v/>
      </c>
      <c r="K845" s="23" t="str">
        <f>IF('ASS START SYNC'!C849="SHOW",MID('ASS START SYNC'!E849,F845+2,1000),"")</f>
        <v/>
      </c>
      <c r="M845" s="24"/>
      <c r="N845" s="26">
        <v>842</v>
      </c>
      <c r="O845" s="24" t="str">
        <f>IF('ASS END SYNC'!C849="SHOW",FIND(",",'ASS END SYNC'!E849,1),"")</f>
        <v/>
      </c>
      <c r="P845" s="24" t="str">
        <f>IF('ASS END SYNC'!C849="SHOW",FIND(",",'ASS END SYNC'!E849,O845+1),"")</f>
        <v/>
      </c>
      <c r="Q845" s="24" t="str">
        <f>IF('ASS END SYNC'!C849="SHOW",FIND(",",'ASS END SYNC'!E849,P845+1),"")</f>
        <v/>
      </c>
      <c r="R845" s="25" t="str">
        <f>IF('ASS END SYNC'!C849="SHOW",FIND(",,",'ASS END SYNC'!E849,1),"")</f>
        <v/>
      </c>
      <c r="S845" s="25" t="str">
        <f>IF('ASS END SYNC'!C849="SHOW",FIND(",,",'ASS END SYNC'!E849,R845+1),"")</f>
        <v/>
      </c>
      <c r="T845" s="23" t="str">
        <f>IF('ASS END SYNC'!C849="SHOW",LEFT('ASS END SYNC'!E849,O845),"")</f>
        <v/>
      </c>
      <c r="U845" s="24" t="str">
        <f>IF('ASS END SYNC'!C849="SHOW",MID('ASS END SYNC'!E849,O845+1,P845-O845-1),"")</f>
        <v/>
      </c>
      <c r="V845" s="24" t="str">
        <f>IF(AND('ASS END SYNC'!C849="SHOW",'ASS END SYNC'!C850="SHOW"),U846,IF(AND('ASS END SYNC'!C849="SHOW",'ASS END SYNC'!C850&lt;&gt;"SHOW"),MID('ASS END SYNC'!E849,O845+1,P845-O845-1),""))</f>
        <v/>
      </c>
      <c r="W845" s="23" t="str">
        <f>IF('ASS END SYNC'!C849="SHOW",MID('ASS END SYNC'!E849,Q845+1,S845-Q845+1),"")</f>
        <v/>
      </c>
      <c r="X845" s="23" t="str">
        <f>IF('ASS END SYNC'!C849="SHOW",MID('ASS END SYNC'!E849,S845+2,1000),"")</f>
        <v/>
      </c>
      <c r="Z845" s="24"/>
    </row>
    <row r="846" spans="1:26" x14ac:dyDescent="0.25">
      <c r="A846" s="26">
        <v>843</v>
      </c>
      <c r="B846" s="24" t="str">
        <f>IF('ASS START SYNC'!C850="SHOW",FIND(",",'ASS START SYNC'!E850,1),"")</f>
        <v/>
      </c>
      <c r="C846" s="24" t="str">
        <f>IF('ASS START SYNC'!C850="SHOW",FIND(",",'ASS START SYNC'!E850,B846+1),"")</f>
        <v/>
      </c>
      <c r="D846" s="24" t="str">
        <f>IF('ASS START SYNC'!C850="SHOW",FIND(",",'ASS START SYNC'!E850,C846+1),"")</f>
        <v/>
      </c>
      <c r="E846" s="25" t="str">
        <f>IF('ASS START SYNC'!C850="SHOW",FIND(",,",'ASS START SYNC'!E850,1),"")</f>
        <v/>
      </c>
      <c r="F846" s="25" t="str">
        <f>IF('ASS START SYNC'!C850="SHOW",FIND(",,",'ASS START SYNC'!E850,E846+1),"")</f>
        <v/>
      </c>
      <c r="G846" s="23" t="str">
        <f>IF('ASS START SYNC'!C850="SHOW",LEFT('ASS START SYNC'!E850,B846),"")</f>
        <v/>
      </c>
      <c r="H846" s="24" t="str">
        <f>IF(AND('ASS START SYNC'!C850="SHOW",COUNTA('ASS START SYNC'!$E$8:'ASS START SYNC'!E849)=0),MID('ASS START SYNC'!E850,B846+1,C846-B846-1),IF(AND('ASS START SYNC'!C850="SHOW",COUNTA('ASS START SYNC'!$E$8:'ASS START SYNC'!E849)&lt;&gt;0),I845,""))</f>
        <v/>
      </c>
      <c r="I846" s="24" t="str">
        <f>IF('ASS START SYNC'!C850="SHOW",MID('ASS START SYNC'!E850,C846+1,D846-C846-1),I845)</f>
        <v/>
      </c>
      <c r="J846" s="23" t="str">
        <f>IF('ASS START SYNC'!C850="SHOW",MID('ASS START SYNC'!E850,D846+1,F846-D846+1),"")</f>
        <v/>
      </c>
      <c r="K846" s="23" t="str">
        <f>IF('ASS START SYNC'!C850="SHOW",MID('ASS START SYNC'!E850,F846+2,1000),"")</f>
        <v/>
      </c>
      <c r="M846" s="24"/>
      <c r="N846" s="26">
        <v>843</v>
      </c>
      <c r="O846" s="24" t="str">
        <f>IF('ASS END SYNC'!C850="SHOW",FIND(",",'ASS END SYNC'!E850,1),"")</f>
        <v/>
      </c>
      <c r="P846" s="24" t="str">
        <f>IF('ASS END SYNC'!C850="SHOW",FIND(",",'ASS END SYNC'!E850,O846+1),"")</f>
        <v/>
      </c>
      <c r="Q846" s="24" t="str">
        <f>IF('ASS END SYNC'!C850="SHOW",FIND(",",'ASS END SYNC'!E850,P846+1),"")</f>
        <v/>
      </c>
      <c r="R846" s="25" t="str">
        <f>IF('ASS END SYNC'!C850="SHOW",FIND(",,",'ASS END SYNC'!E850,1),"")</f>
        <v/>
      </c>
      <c r="S846" s="25" t="str">
        <f>IF('ASS END SYNC'!C850="SHOW",FIND(",,",'ASS END SYNC'!E850,R846+1),"")</f>
        <v/>
      </c>
      <c r="T846" s="23" t="str">
        <f>IF('ASS END SYNC'!C850="SHOW",LEFT('ASS END SYNC'!E850,O846),"")</f>
        <v/>
      </c>
      <c r="U846" s="24" t="str">
        <f>IF('ASS END SYNC'!C850="SHOW",MID('ASS END SYNC'!E850,O846+1,P846-O846-1),"")</f>
        <v/>
      </c>
      <c r="V846" s="24" t="str">
        <f>IF(AND('ASS END SYNC'!C850="SHOW",'ASS END SYNC'!C851="SHOW"),U847,IF(AND('ASS END SYNC'!C850="SHOW",'ASS END SYNC'!C851&lt;&gt;"SHOW"),MID('ASS END SYNC'!E850,O846+1,P846-O846-1),""))</f>
        <v/>
      </c>
      <c r="W846" s="23" t="str">
        <f>IF('ASS END SYNC'!C850="SHOW",MID('ASS END SYNC'!E850,Q846+1,S846-Q846+1),"")</f>
        <v/>
      </c>
      <c r="X846" s="23" t="str">
        <f>IF('ASS END SYNC'!C850="SHOW",MID('ASS END SYNC'!E850,S846+2,1000),"")</f>
        <v/>
      </c>
      <c r="Z846" s="24"/>
    </row>
    <row r="847" spans="1:26" x14ac:dyDescent="0.25">
      <c r="A847" s="26">
        <v>844</v>
      </c>
      <c r="B847" s="24" t="str">
        <f>IF('ASS START SYNC'!C851="SHOW",FIND(",",'ASS START SYNC'!E851,1),"")</f>
        <v/>
      </c>
      <c r="C847" s="24" t="str">
        <f>IF('ASS START SYNC'!C851="SHOW",FIND(",",'ASS START SYNC'!E851,B847+1),"")</f>
        <v/>
      </c>
      <c r="D847" s="24" t="str">
        <f>IF('ASS START SYNC'!C851="SHOW",FIND(",",'ASS START SYNC'!E851,C847+1),"")</f>
        <v/>
      </c>
      <c r="E847" s="25" t="str">
        <f>IF('ASS START SYNC'!C851="SHOW",FIND(",,",'ASS START SYNC'!E851,1),"")</f>
        <v/>
      </c>
      <c r="F847" s="25" t="str">
        <f>IF('ASS START SYNC'!C851="SHOW",FIND(",,",'ASS START SYNC'!E851,E847+1),"")</f>
        <v/>
      </c>
      <c r="G847" s="23" t="str">
        <f>IF('ASS START SYNC'!C851="SHOW",LEFT('ASS START SYNC'!E851,B847),"")</f>
        <v/>
      </c>
      <c r="H847" s="24" t="str">
        <f>IF(AND('ASS START SYNC'!C851="SHOW",COUNTA('ASS START SYNC'!$E$8:'ASS START SYNC'!E850)=0),MID('ASS START SYNC'!E851,B847+1,C847-B847-1),IF(AND('ASS START SYNC'!C851="SHOW",COUNTA('ASS START SYNC'!$E$8:'ASS START SYNC'!E850)&lt;&gt;0),I846,""))</f>
        <v/>
      </c>
      <c r="I847" s="24" t="str">
        <f>IF('ASS START SYNC'!C851="SHOW",MID('ASS START SYNC'!E851,C847+1,D847-C847-1),I846)</f>
        <v/>
      </c>
      <c r="J847" s="23" t="str">
        <f>IF('ASS START SYNC'!C851="SHOW",MID('ASS START SYNC'!E851,D847+1,F847-D847+1),"")</f>
        <v/>
      </c>
      <c r="K847" s="23" t="str">
        <f>IF('ASS START SYNC'!C851="SHOW",MID('ASS START SYNC'!E851,F847+2,1000),"")</f>
        <v/>
      </c>
      <c r="M847" s="24"/>
      <c r="N847" s="26">
        <v>844</v>
      </c>
      <c r="O847" s="24" t="str">
        <f>IF('ASS END SYNC'!C851="SHOW",FIND(",",'ASS END SYNC'!E851,1),"")</f>
        <v/>
      </c>
      <c r="P847" s="24" t="str">
        <f>IF('ASS END SYNC'!C851="SHOW",FIND(",",'ASS END SYNC'!E851,O847+1),"")</f>
        <v/>
      </c>
      <c r="Q847" s="24" t="str">
        <f>IF('ASS END SYNC'!C851="SHOW",FIND(",",'ASS END SYNC'!E851,P847+1),"")</f>
        <v/>
      </c>
      <c r="R847" s="25" t="str">
        <f>IF('ASS END SYNC'!C851="SHOW",FIND(",,",'ASS END SYNC'!E851,1),"")</f>
        <v/>
      </c>
      <c r="S847" s="25" t="str">
        <f>IF('ASS END SYNC'!C851="SHOW",FIND(",,",'ASS END SYNC'!E851,R847+1),"")</f>
        <v/>
      </c>
      <c r="T847" s="23" t="str">
        <f>IF('ASS END SYNC'!C851="SHOW",LEFT('ASS END SYNC'!E851,O847),"")</f>
        <v/>
      </c>
      <c r="U847" s="24" t="str">
        <f>IF('ASS END SYNC'!C851="SHOW",MID('ASS END SYNC'!E851,O847+1,P847-O847-1),"")</f>
        <v/>
      </c>
      <c r="V847" s="24" t="str">
        <f>IF(AND('ASS END SYNC'!C851="SHOW",'ASS END SYNC'!C852="SHOW"),U848,IF(AND('ASS END SYNC'!C851="SHOW",'ASS END SYNC'!C852&lt;&gt;"SHOW"),MID('ASS END SYNC'!E851,O847+1,P847-O847-1),""))</f>
        <v/>
      </c>
      <c r="W847" s="23" t="str">
        <f>IF('ASS END SYNC'!C851="SHOW",MID('ASS END SYNC'!E851,Q847+1,S847-Q847+1),"")</f>
        <v/>
      </c>
      <c r="X847" s="23" t="str">
        <f>IF('ASS END SYNC'!C851="SHOW",MID('ASS END SYNC'!E851,S847+2,1000),"")</f>
        <v/>
      </c>
      <c r="Z847" s="24"/>
    </row>
    <row r="848" spans="1:26" x14ac:dyDescent="0.25">
      <c r="A848" s="26">
        <v>845</v>
      </c>
      <c r="B848" s="24" t="str">
        <f>IF('ASS START SYNC'!C852="SHOW",FIND(",",'ASS START SYNC'!E852,1),"")</f>
        <v/>
      </c>
      <c r="C848" s="24" t="str">
        <f>IF('ASS START SYNC'!C852="SHOW",FIND(",",'ASS START SYNC'!E852,B848+1),"")</f>
        <v/>
      </c>
      <c r="D848" s="24" t="str">
        <f>IF('ASS START SYNC'!C852="SHOW",FIND(",",'ASS START SYNC'!E852,C848+1),"")</f>
        <v/>
      </c>
      <c r="E848" s="25" t="str">
        <f>IF('ASS START SYNC'!C852="SHOW",FIND(",,",'ASS START SYNC'!E852,1),"")</f>
        <v/>
      </c>
      <c r="F848" s="25" t="str">
        <f>IF('ASS START SYNC'!C852="SHOW",FIND(",,",'ASS START SYNC'!E852,E848+1),"")</f>
        <v/>
      </c>
      <c r="G848" s="23" t="str">
        <f>IF('ASS START SYNC'!C852="SHOW",LEFT('ASS START SYNC'!E852,B848),"")</f>
        <v/>
      </c>
      <c r="H848" s="24" t="str">
        <f>IF(AND('ASS START SYNC'!C852="SHOW",COUNTA('ASS START SYNC'!$E$8:'ASS START SYNC'!E851)=0),MID('ASS START SYNC'!E852,B848+1,C848-B848-1),IF(AND('ASS START SYNC'!C852="SHOW",COUNTA('ASS START SYNC'!$E$8:'ASS START SYNC'!E851)&lt;&gt;0),I847,""))</f>
        <v/>
      </c>
      <c r="I848" s="24" t="str">
        <f>IF('ASS START SYNC'!C852="SHOW",MID('ASS START SYNC'!E852,C848+1,D848-C848-1),I847)</f>
        <v/>
      </c>
      <c r="J848" s="23" t="str">
        <f>IF('ASS START SYNC'!C852="SHOW",MID('ASS START SYNC'!E852,D848+1,F848-D848+1),"")</f>
        <v/>
      </c>
      <c r="K848" s="23" t="str">
        <f>IF('ASS START SYNC'!C852="SHOW",MID('ASS START SYNC'!E852,F848+2,1000),"")</f>
        <v/>
      </c>
      <c r="M848" s="24"/>
      <c r="N848" s="26">
        <v>845</v>
      </c>
      <c r="O848" s="24" t="str">
        <f>IF('ASS END SYNC'!C852="SHOW",FIND(",",'ASS END SYNC'!E852,1),"")</f>
        <v/>
      </c>
      <c r="P848" s="24" t="str">
        <f>IF('ASS END SYNC'!C852="SHOW",FIND(",",'ASS END SYNC'!E852,O848+1),"")</f>
        <v/>
      </c>
      <c r="Q848" s="24" t="str">
        <f>IF('ASS END SYNC'!C852="SHOW",FIND(",",'ASS END SYNC'!E852,P848+1),"")</f>
        <v/>
      </c>
      <c r="R848" s="25" t="str">
        <f>IF('ASS END SYNC'!C852="SHOW",FIND(",,",'ASS END SYNC'!E852,1),"")</f>
        <v/>
      </c>
      <c r="S848" s="25" t="str">
        <f>IF('ASS END SYNC'!C852="SHOW",FIND(",,",'ASS END SYNC'!E852,R848+1),"")</f>
        <v/>
      </c>
      <c r="T848" s="23" t="str">
        <f>IF('ASS END SYNC'!C852="SHOW",LEFT('ASS END SYNC'!E852,O848),"")</f>
        <v/>
      </c>
      <c r="U848" s="24" t="str">
        <f>IF('ASS END SYNC'!C852="SHOW",MID('ASS END SYNC'!E852,O848+1,P848-O848-1),"")</f>
        <v/>
      </c>
      <c r="V848" s="24" t="str">
        <f>IF(AND('ASS END SYNC'!C852="SHOW",'ASS END SYNC'!C853="SHOW"),U849,IF(AND('ASS END SYNC'!C852="SHOW",'ASS END SYNC'!C853&lt;&gt;"SHOW"),MID('ASS END SYNC'!E852,O848+1,P848-O848-1),""))</f>
        <v/>
      </c>
      <c r="W848" s="23" t="str">
        <f>IF('ASS END SYNC'!C852="SHOW",MID('ASS END SYNC'!E852,Q848+1,S848-Q848+1),"")</f>
        <v/>
      </c>
      <c r="X848" s="23" t="str">
        <f>IF('ASS END SYNC'!C852="SHOW",MID('ASS END SYNC'!E852,S848+2,1000),"")</f>
        <v/>
      </c>
      <c r="Z848" s="24"/>
    </row>
    <row r="849" spans="1:26" x14ac:dyDescent="0.25">
      <c r="A849" s="26">
        <v>846</v>
      </c>
      <c r="B849" s="24" t="str">
        <f>IF('ASS START SYNC'!C853="SHOW",FIND(",",'ASS START SYNC'!E853,1),"")</f>
        <v/>
      </c>
      <c r="C849" s="24" t="str">
        <f>IF('ASS START SYNC'!C853="SHOW",FIND(",",'ASS START SYNC'!E853,B849+1),"")</f>
        <v/>
      </c>
      <c r="D849" s="24" t="str">
        <f>IF('ASS START SYNC'!C853="SHOW",FIND(",",'ASS START SYNC'!E853,C849+1),"")</f>
        <v/>
      </c>
      <c r="E849" s="25" t="str">
        <f>IF('ASS START SYNC'!C853="SHOW",FIND(",,",'ASS START SYNC'!E853,1),"")</f>
        <v/>
      </c>
      <c r="F849" s="25" t="str">
        <f>IF('ASS START SYNC'!C853="SHOW",FIND(",,",'ASS START SYNC'!E853,E849+1),"")</f>
        <v/>
      </c>
      <c r="G849" s="23" t="str">
        <f>IF('ASS START SYNC'!C853="SHOW",LEFT('ASS START SYNC'!E853,B849),"")</f>
        <v/>
      </c>
      <c r="H849" s="24" t="str">
        <f>IF(AND('ASS START SYNC'!C853="SHOW",COUNTA('ASS START SYNC'!$E$8:'ASS START SYNC'!E852)=0),MID('ASS START SYNC'!E853,B849+1,C849-B849-1),IF(AND('ASS START SYNC'!C853="SHOW",COUNTA('ASS START SYNC'!$E$8:'ASS START SYNC'!E852)&lt;&gt;0),I848,""))</f>
        <v/>
      </c>
      <c r="I849" s="24" t="str">
        <f>IF('ASS START SYNC'!C853="SHOW",MID('ASS START SYNC'!E853,C849+1,D849-C849-1),I848)</f>
        <v/>
      </c>
      <c r="J849" s="23" t="str">
        <f>IF('ASS START SYNC'!C853="SHOW",MID('ASS START SYNC'!E853,D849+1,F849-D849+1),"")</f>
        <v/>
      </c>
      <c r="K849" s="23" t="str">
        <f>IF('ASS START SYNC'!C853="SHOW",MID('ASS START SYNC'!E853,F849+2,1000),"")</f>
        <v/>
      </c>
      <c r="M849" s="24"/>
      <c r="N849" s="26">
        <v>846</v>
      </c>
      <c r="O849" s="24" t="str">
        <f>IF('ASS END SYNC'!C853="SHOW",FIND(",",'ASS END SYNC'!E853,1),"")</f>
        <v/>
      </c>
      <c r="P849" s="24" t="str">
        <f>IF('ASS END SYNC'!C853="SHOW",FIND(",",'ASS END SYNC'!E853,O849+1),"")</f>
        <v/>
      </c>
      <c r="Q849" s="24" t="str">
        <f>IF('ASS END SYNC'!C853="SHOW",FIND(",",'ASS END SYNC'!E853,P849+1),"")</f>
        <v/>
      </c>
      <c r="R849" s="25" t="str">
        <f>IF('ASS END SYNC'!C853="SHOW",FIND(",,",'ASS END SYNC'!E853,1),"")</f>
        <v/>
      </c>
      <c r="S849" s="25" t="str">
        <f>IF('ASS END SYNC'!C853="SHOW",FIND(",,",'ASS END SYNC'!E853,R849+1),"")</f>
        <v/>
      </c>
      <c r="T849" s="23" t="str">
        <f>IF('ASS END SYNC'!C853="SHOW",LEFT('ASS END SYNC'!E853,O849),"")</f>
        <v/>
      </c>
      <c r="U849" s="24" t="str">
        <f>IF('ASS END SYNC'!C853="SHOW",MID('ASS END SYNC'!E853,O849+1,P849-O849-1),"")</f>
        <v/>
      </c>
      <c r="V849" s="24" t="str">
        <f>IF(AND('ASS END SYNC'!C853="SHOW",'ASS END SYNC'!C854="SHOW"),U850,IF(AND('ASS END SYNC'!C853="SHOW",'ASS END SYNC'!C854&lt;&gt;"SHOW"),MID('ASS END SYNC'!E853,O849+1,P849-O849-1),""))</f>
        <v/>
      </c>
      <c r="W849" s="23" t="str">
        <f>IF('ASS END SYNC'!C853="SHOW",MID('ASS END SYNC'!E853,Q849+1,S849-Q849+1),"")</f>
        <v/>
      </c>
      <c r="X849" s="23" t="str">
        <f>IF('ASS END SYNC'!C853="SHOW",MID('ASS END SYNC'!E853,S849+2,1000),"")</f>
        <v/>
      </c>
      <c r="Z849" s="24"/>
    </row>
    <row r="850" spans="1:26" x14ac:dyDescent="0.25">
      <c r="A850" s="26">
        <v>847</v>
      </c>
      <c r="B850" s="24" t="str">
        <f>IF('ASS START SYNC'!C854="SHOW",FIND(",",'ASS START SYNC'!E854,1),"")</f>
        <v/>
      </c>
      <c r="C850" s="24" t="str">
        <f>IF('ASS START SYNC'!C854="SHOW",FIND(",",'ASS START SYNC'!E854,B850+1),"")</f>
        <v/>
      </c>
      <c r="D850" s="24" t="str">
        <f>IF('ASS START SYNC'!C854="SHOW",FIND(",",'ASS START SYNC'!E854,C850+1),"")</f>
        <v/>
      </c>
      <c r="E850" s="25" t="str">
        <f>IF('ASS START SYNC'!C854="SHOW",FIND(",,",'ASS START SYNC'!E854,1),"")</f>
        <v/>
      </c>
      <c r="F850" s="25" t="str">
        <f>IF('ASS START SYNC'!C854="SHOW",FIND(",,",'ASS START SYNC'!E854,E850+1),"")</f>
        <v/>
      </c>
      <c r="G850" s="23" t="str">
        <f>IF('ASS START SYNC'!C854="SHOW",LEFT('ASS START SYNC'!E854,B850),"")</f>
        <v/>
      </c>
      <c r="H850" s="24" t="str">
        <f>IF(AND('ASS START SYNC'!C854="SHOW",COUNTA('ASS START SYNC'!$E$8:'ASS START SYNC'!E853)=0),MID('ASS START SYNC'!E854,B850+1,C850-B850-1),IF(AND('ASS START SYNC'!C854="SHOW",COUNTA('ASS START SYNC'!$E$8:'ASS START SYNC'!E853)&lt;&gt;0),I849,""))</f>
        <v/>
      </c>
      <c r="I850" s="24" t="str">
        <f>IF('ASS START SYNC'!C854="SHOW",MID('ASS START SYNC'!E854,C850+1,D850-C850-1),I849)</f>
        <v/>
      </c>
      <c r="J850" s="23" t="str">
        <f>IF('ASS START SYNC'!C854="SHOW",MID('ASS START SYNC'!E854,D850+1,F850-D850+1),"")</f>
        <v/>
      </c>
      <c r="K850" s="23" t="str">
        <f>IF('ASS START SYNC'!C854="SHOW",MID('ASS START SYNC'!E854,F850+2,1000),"")</f>
        <v/>
      </c>
      <c r="M850" s="24"/>
      <c r="N850" s="26">
        <v>847</v>
      </c>
      <c r="O850" s="24" t="str">
        <f>IF('ASS END SYNC'!C854="SHOW",FIND(",",'ASS END SYNC'!E854,1),"")</f>
        <v/>
      </c>
      <c r="P850" s="24" t="str">
        <f>IF('ASS END SYNC'!C854="SHOW",FIND(",",'ASS END SYNC'!E854,O850+1),"")</f>
        <v/>
      </c>
      <c r="Q850" s="24" t="str">
        <f>IF('ASS END SYNC'!C854="SHOW",FIND(",",'ASS END SYNC'!E854,P850+1),"")</f>
        <v/>
      </c>
      <c r="R850" s="25" t="str">
        <f>IF('ASS END SYNC'!C854="SHOW",FIND(",,",'ASS END SYNC'!E854,1),"")</f>
        <v/>
      </c>
      <c r="S850" s="25" t="str">
        <f>IF('ASS END SYNC'!C854="SHOW",FIND(",,",'ASS END SYNC'!E854,R850+1),"")</f>
        <v/>
      </c>
      <c r="T850" s="23" t="str">
        <f>IF('ASS END SYNC'!C854="SHOW",LEFT('ASS END SYNC'!E854,O850),"")</f>
        <v/>
      </c>
      <c r="U850" s="24" t="str">
        <f>IF('ASS END SYNC'!C854="SHOW",MID('ASS END SYNC'!E854,O850+1,P850-O850-1),"")</f>
        <v/>
      </c>
      <c r="V850" s="24" t="str">
        <f>IF(AND('ASS END SYNC'!C854="SHOW",'ASS END SYNC'!C855="SHOW"),U851,IF(AND('ASS END SYNC'!C854="SHOW",'ASS END SYNC'!C855&lt;&gt;"SHOW"),MID('ASS END SYNC'!E854,O850+1,P850-O850-1),""))</f>
        <v/>
      </c>
      <c r="W850" s="23" t="str">
        <f>IF('ASS END SYNC'!C854="SHOW",MID('ASS END SYNC'!E854,Q850+1,S850-Q850+1),"")</f>
        <v/>
      </c>
      <c r="X850" s="23" t="str">
        <f>IF('ASS END SYNC'!C854="SHOW",MID('ASS END SYNC'!E854,S850+2,1000),"")</f>
        <v/>
      </c>
      <c r="Z850" s="24"/>
    </row>
    <row r="851" spans="1:26" x14ac:dyDescent="0.25">
      <c r="A851" s="26">
        <v>848</v>
      </c>
      <c r="B851" s="24" t="str">
        <f>IF('ASS START SYNC'!C855="SHOW",FIND(",",'ASS START SYNC'!E855,1),"")</f>
        <v/>
      </c>
      <c r="C851" s="24" t="str">
        <f>IF('ASS START SYNC'!C855="SHOW",FIND(",",'ASS START SYNC'!E855,B851+1),"")</f>
        <v/>
      </c>
      <c r="D851" s="24" t="str">
        <f>IF('ASS START SYNC'!C855="SHOW",FIND(",",'ASS START SYNC'!E855,C851+1),"")</f>
        <v/>
      </c>
      <c r="E851" s="25" t="str">
        <f>IF('ASS START SYNC'!C855="SHOW",FIND(",,",'ASS START SYNC'!E855,1),"")</f>
        <v/>
      </c>
      <c r="F851" s="25" t="str">
        <f>IF('ASS START SYNC'!C855="SHOW",FIND(",,",'ASS START SYNC'!E855,E851+1),"")</f>
        <v/>
      </c>
      <c r="G851" s="23" t="str">
        <f>IF('ASS START SYNC'!C855="SHOW",LEFT('ASS START SYNC'!E855,B851),"")</f>
        <v/>
      </c>
      <c r="H851" s="24" t="str">
        <f>IF(AND('ASS START SYNC'!C855="SHOW",COUNTA('ASS START SYNC'!$E$8:'ASS START SYNC'!E854)=0),MID('ASS START SYNC'!E855,B851+1,C851-B851-1),IF(AND('ASS START SYNC'!C855="SHOW",COUNTA('ASS START SYNC'!$E$8:'ASS START SYNC'!E854)&lt;&gt;0),I850,""))</f>
        <v/>
      </c>
      <c r="I851" s="24" t="str">
        <f>IF('ASS START SYNC'!C855="SHOW",MID('ASS START SYNC'!E855,C851+1,D851-C851-1),I850)</f>
        <v/>
      </c>
      <c r="J851" s="23" t="str">
        <f>IF('ASS START SYNC'!C855="SHOW",MID('ASS START SYNC'!E855,D851+1,F851-D851+1),"")</f>
        <v/>
      </c>
      <c r="K851" s="23" t="str">
        <f>IF('ASS START SYNC'!C855="SHOW",MID('ASS START SYNC'!E855,F851+2,1000),"")</f>
        <v/>
      </c>
      <c r="M851" s="24"/>
      <c r="N851" s="26">
        <v>848</v>
      </c>
      <c r="O851" s="24" t="str">
        <f>IF('ASS END SYNC'!C855="SHOW",FIND(",",'ASS END SYNC'!E855,1),"")</f>
        <v/>
      </c>
      <c r="P851" s="24" t="str">
        <f>IF('ASS END SYNC'!C855="SHOW",FIND(",",'ASS END SYNC'!E855,O851+1),"")</f>
        <v/>
      </c>
      <c r="Q851" s="24" t="str">
        <f>IF('ASS END SYNC'!C855="SHOW",FIND(",",'ASS END SYNC'!E855,P851+1),"")</f>
        <v/>
      </c>
      <c r="R851" s="25" t="str">
        <f>IF('ASS END SYNC'!C855="SHOW",FIND(",,",'ASS END SYNC'!E855,1),"")</f>
        <v/>
      </c>
      <c r="S851" s="25" t="str">
        <f>IF('ASS END SYNC'!C855="SHOW",FIND(",,",'ASS END SYNC'!E855,R851+1),"")</f>
        <v/>
      </c>
      <c r="T851" s="23" t="str">
        <f>IF('ASS END SYNC'!C855="SHOW",LEFT('ASS END SYNC'!E855,O851),"")</f>
        <v/>
      </c>
      <c r="U851" s="24" t="str">
        <f>IF('ASS END SYNC'!C855="SHOW",MID('ASS END SYNC'!E855,O851+1,P851-O851-1),"")</f>
        <v/>
      </c>
      <c r="V851" s="24" t="str">
        <f>IF(AND('ASS END SYNC'!C855="SHOW",'ASS END SYNC'!C856="SHOW"),U852,IF(AND('ASS END SYNC'!C855="SHOW",'ASS END SYNC'!C856&lt;&gt;"SHOW"),MID('ASS END SYNC'!E855,O851+1,P851-O851-1),""))</f>
        <v/>
      </c>
      <c r="W851" s="23" t="str">
        <f>IF('ASS END SYNC'!C855="SHOW",MID('ASS END SYNC'!E855,Q851+1,S851-Q851+1),"")</f>
        <v/>
      </c>
      <c r="X851" s="23" t="str">
        <f>IF('ASS END SYNC'!C855="SHOW",MID('ASS END SYNC'!E855,S851+2,1000),"")</f>
        <v/>
      </c>
      <c r="Z851" s="24"/>
    </row>
    <row r="852" spans="1:26" x14ac:dyDescent="0.25">
      <c r="A852" s="26">
        <v>849</v>
      </c>
      <c r="B852" s="24" t="str">
        <f>IF('ASS START SYNC'!C856="SHOW",FIND(",",'ASS START SYNC'!E856,1),"")</f>
        <v/>
      </c>
      <c r="C852" s="24" t="str">
        <f>IF('ASS START SYNC'!C856="SHOW",FIND(",",'ASS START SYNC'!E856,B852+1),"")</f>
        <v/>
      </c>
      <c r="D852" s="24" t="str">
        <f>IF('ASS START SYNC'!C856="SHOW",FIND(",",'ASS START SYNC'!E856,C852+1),"")</f>
        <v/>
      </c>
      <c r="E852" s="25" t="str">
        <f>IF('ASS START SYNC'!C856="SHOW",FIND(",,",'ASS START SYNC'!E856,1),"")</f>
        <v/>
      </c>
      <c r="F852" s="25" t="str">
        <f>IF('ASS START SYNC'!C856="SHOW",FIND(",,",'ASS START SYNC'!E856,E852+1),"")</f>
        <v/>
      </c>
      <c r="G852" s="23" t="str">
        <f>IF('ASS START SYNC'!C856="SHOW",LEFT('ASS START SYNC'!E856,B852),"")</f>
        <v/>
      </c>
      <c r="H852" s="24" t="str">
        <f>IF(AND('ASS START SYNC'!C856="SHOW",COUNTA('ASS START SYNC'!$E$8:'ASS START SYNC'!E855)=0),MID('ASS START SYNC'!E856,B852+1,C852-B852-1),IF(AND('ASS START SYNC'!C856="SHOW",COUNTA('ASS START SYNC'!$E$8:'ASS START SYNC'!E855)&lt;&gt;0),I851,""))</f>
        <v/>
      </c>
      <c r="I852" s="24" t="str">
        <f>IF('ASS START SYNC'!C856="SHOW",MID('ASS START SYNC'!E856,C852+1,D852-C852-1),I851)</f>
        <v/>
      </c>
      <c r="J852" s="23" t="str">
        <f>IF('ASS START SYNC'!C856="SHOW",MID('ASS START SYNC'!E856,D852+1,F852-D852+1),"")</f>
        <v/>
      </c>
      <c r="K852" s="23" t="str">
        <f>IF('ASS START SYNC'!C856="SHOW",MID('ASS START SYNC'!E856,F852+2,1000),"")</f>
        <v/>
      </c>
      <c r="M852" s="24"/>
      <c r="N852" s="26">
        <v>849</v>
      </c>
      <c r="O852" s="24" t="str">
        <f>IF('ASS END SYNC'!C856="SHOW",FIND(",",'ASS END SYNC'!E856,1),"")</f>
        <v/>
      </c>
      <c r="P852" s="24" t="str">
        <f>IF('ASS END SYNC'!C856="SHOW",FIND(",",'ASS END SYNC'!E856,O852+1),"")</f>
        <v/>
      </c>
      <c r="Q852" s="24" t="str">
        <f>IF('ASS END SYNC'!C856="SHOW",FIND(",",'ASS END SYNC'!E856,P852+1),"")</f>
        <v/>
      </c>
      <c r="R852" s="25" t="str">
        <f>IF('ASS END SYNC'!C856="SHOW",FIND(",,",'ASS END SYNC'!E856,1),"")</f>
        <v/>
      </c>
      <c r="S852" s="25" t="str">
        <f>IF('ASS END SYNC'!C856="SHOW",FIND(",,",'ASS END SYNC'!E856,R852+1),"")</f>
        <v/>
      </c>
      <c r="T852" s="23" t="str">
        <f>IF('ASS END SYNC'!C856="SHOW",LEFT('ASS END SYNC'!E856,O852),"")</f>
        <v/>
      </c>
      <c r="U852" s="24" t="str">
        <f>IF('ASS END SYNC'!C856="SHOW",MID('ASS END SYNC'!E856,O852+1,P852-O852-1),"")</f>
        <v/>
      </c>
      <c r="V852" s="24" t="str">
        <f>IF(AND('ASS END SYNC'!C856="SHOW",'ASS END SYNC'!C857="SHOW"),U853,IF(AND('ASS END SYNC'!C856="SHOW",'ASS END SYNC'!C857&lt;&gt;"SHOW"),MID('ASS END SYNC'!E856,O852+1,P852-O852-1),""))</f>
        <v/>
      </c>
      <c r="W852" s="23" t="str">
        <f>IF('ASS END SYNC'!C856="SHOW",MID('ASS END SYNC'!E856,Q852+1,S852-Q852+1),"")</f>
        <v/>
      </c>
      <c r="X852" s="23" t="str">
        <f>IF('ASS END SYNC'!C856="SHOW",MID('ASS END SYNC'!E856,S852+2,1000),"")</f>
        <v/>
      </c>
      <c r="Z852" s="24"/>
    </row>
    <row r="853" spans="1:26" x14ac:dyDescent="0.25">
      <c r="A853" s="26">
        <v>850</v>
      </c>
      <c r="B853" s="24" t="str">
        <f>IF('ASS START SYNC'!C857="SHOW",FIND(",",'ASS START SYNC'!E857,1),"")</f>
        <v/>
      </c>
      <c r="C853" s="24" t="str">
        <f>IF('ASS START SYNC'!C857="SHOW",FIND(",",'ASS START SYNC'!E857,B853+1),"")</f>
        <v/>
      </c>
      <c r="D853" s="24" t="str">
        <f>IF('ASS START SYNC'!C857="SHOW",FIND(",",'ASS START SYNC'!E857,C853+1),"")</f>
        <v/>
      </c>
      <c r="E853" s="25" t="str">
        <f>IF('ASS START SYNC'!C857="SHOW",FIND(",,",'ASS START SYNC'!E857,1),"")</f>
        <v/>
      </c>
      <c r="F853" s="25" t="str">
        <f>IF('ASS START SYNC'!C857="SHOW",FIND(",,",'ASS START SYNC'!E857,E853+1),"")</f>
        <v/>
      </c>
      <c r="G853" s="23" t="str">
        <f>IF('ASS START SYNC'!C857="SHOW",LEFT('ASS START SYNC'!E857,B853),"")</f>
        <v/>
      </c>
      <c r="H853" s="24" t="str">
        <f>IF(AND('ASS START SYNC'!C857="SHOW",COUNTA('ASS START SYNC'!$E$8:'ASS START SYNC'!E856)=0),MID('ASS START SYNC'!E857,B853+1,C853-B853-1),IF(AND('ASS START SYNC'!C857="SHOW",COUNTA('ASS START SYNC'!$E$8:'ASS START SYNC'!E856)&lt;&gt;0),I852,""))</f>
        <v/>
      </c>
      <c r="I853" s="24" t="str">
        <f>IF('ASS START SYNC'!C857="SHOW",MID('ASS START SYNC'!E857,C853+1,D853-C853-1),I852)</f>
        <v/>
      </c>
      <c r="J853" s="23" t="str">
        <f>IF('ASS START SYNC'!C857="SHOW",MID('ASS START SYNC'!E857,D853+1,F853-D853+1),"")</f>
        <v/>
      </c>
      <c r="K853" s="23" t="str">
        <f>IF('ASS START SYNC'!C857="SHOW",MID('ASS START SYNC'!E857,F853+2,1000),"")</f>
        <v/>
      </c>
      <c r="M853" s="24"/>
      <c r="N853" s="26">
        <v>850</v>
      </c>
      <c r="O853" s="24" t="str">
        <f>IF('ASS END SYNC'!C857="SHOW",FIND(",",'ASS END SYNC'!E857,1),"")</f>
        <v/>
      </c>
      <c r="P853" s="24" t="str">
        <f>IF('ASS END SYNC'!C857="SHOW",FIND(",",'ASS END SYNC'!E857,O853+1),"")</f>
        <v/>
      </c>
      <c r="Q853" s="24" t="str">
        <f>IF('ASS END SYNC'!C857="SHOW",FIND(",",'ASS END SYNC'!E857,P853+1),"")</f>
        <v/>
      </c>
      <c r="R853" s="25" t="str">
        <f>IF('ASS END SYNC'!C857="SHOW",FIND(",,",'ASS END SYNC'!E857,1),"")</f>
        <v/>
      </c>
      <c r="S853" s="25" t="str">
        <f>IF('ASS END SYNC'!C857="SHOW",FIND(",,",'ASS END SYNC'!E857,R853+1),"")</f>
        <v/>
      </c>
      <c r="T853" s="23" t="str">
        <f>IF('ASS END SYNC'!C857="SHOW",LEFT('ASS END SYNC'!E857,O853),"")</f>
        <v/>
      </c>
      <c r="U853" s="24" t="str">
        <f>IF('ASS END SYNC'!C857="SHOW",MID('ASS END SYNC'!E857,O853+1,P853-O853-1),"")</f>
        <v/>
      </c>
      <c r="V853" s="24" t="str">
        <f>IF(AND('ASS END SYNC'!C857="SHOW",'ASS END SYNC'!C858="SHOW"),U854,IF(AND('ASS END SYNC'!C857="SHOW",'ASS END SYNC'!C858&lt;&gt;"SHOW"),MID('ASS END SYNC'!E857,O853+1,P853-O853-1),""))</f>
        <v/>
      </c>
      <c r="W853" s="23" t="str">
        <f>IF('ASS END SYNC'!C857="SHOW",MID('ASS END SYNC'!E857,Q853+1,S853-Q853+1),"")</f>
        <v/>
      </c>
      <c r="X853" s="23" t="str">
        <f>IF('ASS END SYNC'!C857="SHOW",MID('ASS END SYNC'!E857,S853+2,1000),"")</f>
        <v/>
      </c>
      <c r="Z853" s="24"/>
    </row>
    <row r="854" spans="1:26" x14ac:dyDescent="0.25">
      <c r="A854" s="26">
        <v>851</v>
      </c>
      <c r="B854" s="24" t="str">
        <f>IF('ASS START SYNC'!C858="SHOW",FIND(",",'ASS START SYNC'!E858,1),"")</f>
        <v/>
      </c>
      <c r="C854" s="24" t="str">
        <f>IF('ASS START SYNC'!C858="SHOW",FIND(",",'ASS START SYNC'!E858,B854+1),"")</f>
        <v/>
      </c>
      <c r="D854" s="24" t="str">
        <f>IF('ASS START SYNC'!C858="SHOW",FIND(",",'ASS START SYNC'!E858,C854+1),"")</f>
        <v/>
      </c>
      <c r="E854" s="25" t="str">
        <f>IF('ASS START SYNC'!C858="SHOW",FIND(",,",'ASS START SYNC'!E858,1),"")</f>
        <v/>
      </c>
      <c r="F854" s="25" t="str">
        <f>IF('ASS START SYNC'!C858="SHOW",FIND(",,",'ASS START SYNC'!E858,E854+1),"")</f>
        <v/>
      </c>
      <c r="G854" s="23" t="str">
        <f>IF('ASS START SYNC'!C858="SHOW",LEFT('ASS START SYNC'!E858,B854),"")</f>
        <v/>
      </c>
      <c r="H854" s="24" t="str">
        <f>IF(AND('ASS START SYNC'!C858="SHOW",COUNTA('ASS START SYNC'!$E$8:'ASS START SYNC'!E857)=0),MID('ASS START SYNC'!E858,B854+1,C854-B854-1),IF(AND('ASS START SYNC'!C858="SHOW",COUNTA('ASS START SYNC'!$E$8:'ASS START SYNC'!E857)&lt;&gt;0),I853,""))</f>
        <v/>
      </c>
      <c r="I854" s="24" t="str">
        <f>IF('ASS START SYNC'!C858="SHOW",MID('ASS START SYNC'!E858,C854+1,D854-C854-1),I853)</f>
        <v/>
      </c>
      <c r="J854" s="23" t="str">
        <f>IF('ASS START SYNC'!C858="SHOW",MID('ASS START SYNC'!E858,D854+1,F854-D854+1),"")</f>
        <v/>
      </c>
      <c r="K854" s="23" t="str">
        <f>IF('ASS START SYNC'!C858="SHOW",MID('ASS START SYNC'!E858,F854+2,1000),"")</f>
        <v/>
      </c>
      <c r="M854" s="24"/>
      <c r="N854" s="26">
        <v>851</v>
      </c>
      <c r="O854" s="24" t="str">
        <f>IF('ASS END SYNC'!C858="SHOW",FIND(",",'ASS END SYNC'!E858,1),"")</f>
        <v/>
      </c>
      <c r="P854" s="24" t="str">
        <f>IF('ASS END SYNC'!C858="SHOW",FIND(",",'ASS END SYNC'!E858,O854+1),"")</f>
        <v/>
      </c>
      <c r="Q854" s="24" t="str">
        <f>IF('ASS END SYNC'!C858="SHOW",FIND(",",'ASS END SYNC'!E858,P854+1),"")</f>
        <v/>
      </c>
      <c r="R854" s="25" t="str">
        <f>IF('ASS END SYNC'!C858="SHOW",FIND(",,",'ASS END SYNC'!E858,1),"")</f>
        <v/>
      </c>
      <c r="S854" s="25" t="str">
        <f>IF('ASS END SYNC'!C858="SHOW",FIND(",,",'ASS END SYNC'!E858,R854+1),"")</f>
        <v/>
      </c>
      <c r="T854" s="23" t="str">
        <f>IF('ASS END SYNC'!C858="SHOW",LEFT('ASS END SYNC'!E858,O854),"")</f>
        <v/>
      </c>
      <c r="U854" s="24" t="str">
        <f>IF('ASS END SYNC'!C858="SHOW",MID('ASS END SYNC'!E858,O854+1,P854-O854-1),"")</f>
        <v/>
      </c>
      <c r="V854" s="24" t="str">
        <f>IF(AND('ASS END SYNC'!C858="SHOW",'ASS END SYNC'!C859="SHOW"),U855,IF(AND('ASS END SYNC'!C858="SHOW",'ASS END SYNC'!C859&lt;&gt;"SHOW"),MID('ASS END SYNC'!E858,O854+1,P854-O854-1),""))</f>
        <v/>
      </c>
      <c r="W854" s="23" t="str">
        <f>IF('ASS END SYNC'!C858="SHOW",MID('ASS END SYNC'!E858,Q854+1,S854-Q854+1),"")</f>
        <v/>
      </c>
      <c r="X854" s="23" t="str">
        <f>IF('ASS END SYNC'!C858="SHOW",MID('ASS END SYNC'!E858,S854+2,1000),"")</f>
        <v/>
      </c>
      <c r="Z854" s="24"/>
    </row>
    <row r="855" spans="1:26" x14ac:dyDescent="0.25">
      <c r="A855" s="26">
        <v>852</v>
      </c>
      <c r="B855" s="24" t="str">
        <f>IF('ASS START SYNC'!C859="SHOW",FIND(",",'ASS START SYNC'!E859,1),"")</f>
        <v/>
      </c>
      <c r="C855" s="24" t="str">
        <f>IF('ASS START SYNC'!C859="SHOW",FIND(",",'ASS START SYNC'!E859,B855+1),"")</f>
        <v/>
      </c>
      <c r="D855" s="24" t="str">
        <f>IF('ASS START SYNC'!C859="SHOW",FIND(",",'ASS START SYNC'!E859,C855+1),"")</f>
        <v/>
      </c>
      <c r="E855" s="25" t="str">
        <f>IF('ASS START SYNC'!C859="SHOW",FIND(",,",'ASS START SYNC'!E859,1),"")</f>
        <v/>
      </c>
      <c r="F855" s="25" t="str">
        <f>IF('ASS START SYNC'!C859="SHOW",FIND(",,",'ASS START SYNC'!E859,E855+1),"")</f>
        <v/>
      </c>
      <c r="G855" s="23" t="str">
        <f>IF('ASS START SYNC'!C859="SHOW",LEFT('ASS START SYNC'!E859,B855),"")</f>
        <v/>
      </c>
      <c r="H855" s="24" t="str">
        <f>IF(AND('ASS START SYNC'!C859="SHOW",COUNTA('ASS START SYNC'!$E$8:'ASS START SYNC'!E858)=0),MID('ASS START SYNC'!E859,B855+1,C855-B855-1),IF(AND('ASS START SYNC'!C859="SHOW",COUNTA('ASS START SYNC'!$E$8:'ASS START SYNC'!E858)&lt;&gt;0),I854,""))</f>
        <v/>
      </c>
      <c r="I855" s="24" t="str">
        <f>IF('ASS START SYNC'!C859="SHOW",MID('ASS START SYNC'!E859,C855+1,D855-C855-1),I854)</f>
        <v/>
      </c>
      <c r="J855" s="23" t="str">
        <f>IF('ASS START SYNC'!C859="SHOW",MID('ASS START SYNC'!E859,D855+1,F855-D855+1),"")</f>
        <v/>
      </c>
      <c r="K855" s="23" t="str">
        <f>IF('ASS START SYNC'!C859="SHOW",MID('ASS START SYNC'!E859,F855+2,1000),"")</f>
        <v/>
      </c>
      <c r="M855" s="24"/>
      <c r="N855" s="26">
        <v>852</v>
      </c>
      <c r="O855" s="24" t="str">
        <f>IF('ASS END SYNC'!C859="SHOW",FIND(",",'ASS END SYNC'!E859,1),"")</f>
        <v/>
      </c>
      <c r="P855" s="24" t="str">
        <f>IF('ASS END SYNC'!C859="SHOW",FIND(",",'ASS END SYNC'!E859,O855+1),"")</f>
        <v/>
      </c>
      <c r="Q855" s="24" t="str">
        <f>IF('ASS END SYNC'!C859="SHOW",FIND(",",'ASS END SYNC'!E859,P855+1),"")</f>
        <v/>
      </c>
      <c r="R855" s="25" t="str">
        <f>IF('ASS END SYNC'!C859="SHOW",FIND(",,",'ASS END SYNC'!E859,1),"")</f>
        <v/>
      </c>
      <c r="S855" s="25" t="str">
        <f>IF('ASS END SYNC'!C859="SHOW",FIND(",,",'ASS END SYNC'!E859,R855+1),"")</f>
        <v/>
      </c>
      <c r="T855" s="23" t="str">
        <f>IF('ASS END SYNC'!C859="SHOW",LEFT('ASS END SYNC'!E859,O855),"")</f>
        <v/>
      </c>
      <c r="U855" s="24" t="str">
        <f>IF('ASS END SYNC'!C859="SHOW",MID('ASS END SYNC'!E859,O855+1,P855-O855-1),"")</f>
        <v/>
      </c>
      <c r="V855" s="24" t="str">
        <f>IF(AND('ASS END SYNC'!C859="SHOW",'ASS END SYNC'!C860="SHOW"),U856,IF(AND('ASS END SYNC'!C859="SHOW",'ASS END SYNC'!C860&lt;&gt;"SHOW"),MID('ASS END SYNC'!E859,O855+1,P855-O855-1),""))</f>
        <v/>
      </c>
      <c r="W855" s="23" t="str">
        <f>IF('ASS END SYNC'!C859="SHOW",MID('ASS END SYNC'!E859,Q855+1,S855-Q855+1),"")</f>
        <v/>
      </c>
      <c r="X855" s="23" t="str">
        <f>IF('ASS END SYNC'!C859="SHOW",MID('ASS END SYNC'!E859,S855+2,1000),"")</f>
        <v/>
      </c>
      <c r="Z855" s="24"/>
    </row>
    <row r="856" spans="1:26" x14ac:dyDescent="0.25">
      <c r="A856" s="26">
        <v>853</v>
      </c>
      <c r="B856" s="24" t="str">
        <f>IF('ASS START SYNC'!C860="SHOW",FIND(",",'ASS START SYNC'!E860,1),"")</f>
        <v/>
      </c>
      <c r="C856" s="24" t="str">
        <f>IF('ASS START SYNC'!C860="SHOW",FIND(",",'ASS START SYNC'!E860,B856+1),"")</f>
        <v/>
      </c>
      <c r="D856" s="24" t="str">
        <f>IF('ASS START SYNC'!C860="SHOW",FIND(",",'ASS START SYNC'!E860,C856+1),"")</f>
        <v/>
      </c>
      <c r="E856" s="25" t="str">
        <f>IF('ASS START SYNC'!C860="SHOW",FIND(",,",'ASS START SYNC'!E860,1),"")</f>
        <v/>
      </c>
      <c r="F856" s="25" t="str">
        <f>IF('ASS START SYNC'!C860="SHOW",FIND(",,",'ASS START SYNC'!E860,E856+1),"")</f>
        <v/>
      </c>
      <c r="G856" s="23" t="str">
        <f>IF('ASS START SYNC'!C860="SHOW",LEFT('ASS START SYNC'!E860,B856),"")</f>
        <v/>
      </c>
      <c r="H856" s="24" t="str">
        <f>IF(AND('ASS START SYNC'!C860="SHOW",COUNTA('ASS START SYNC'!$E$8:'ASS START SYNC'!E859)=0),MID('ASS START SYNC'!E860,B856+1,C856-B856-1),IF(AND('ASS START SYNC'!C860="SHOW",COUNTA('ASS START SYNC'!$E$8:'ASS START SYNC'!E859)&lt;&gt;0),I855,""))</f>
        <v/>
      </c>
      <c r="I856" s="24" t="str">
        <f>IF('ASS START SYNC'!C860="SHOW",MID('ASS START SYNC'!E860,C856+1,D856-C856-1),I855)</f>
        <v/>
      </c>
      <c r="J856" s="23" t="str">
        <f>IF('ASS START SYNC'!C860="SHOW",MID('ASS START SYNC'!E860,D856+1,F856-D856+1),"")</f>
        <v/>
      </c>
      <c r="K856" s="23" t="str">
        <f>IF('ASS START SYNC'!C860="SHOW",MID('ASS START SYNC'!E860,F856+2,1000),"")</f>
        <v/>
      </c>
      <c r="M856" s="24"/>
      <c r="N856" s="26">
        <v>853</v>
      </c>
      <c r="O856" s="24" t="str">
        <f>IF('ASS END SYNC'!C860="SHOW",FIND(",",'ASS END SYNC'!E860,1),"")</f>
        <v/>
      </c>
      <c r="P856" s="24" t="str">
        <f>IF('ASS END SYNC'!C860="SHOW",FIND(",",'ASS END SYNC'!E860,O856+1),"")</f>
        <v/>
      </c>
      <c r="Q856" s="24" t="str">
        <f>IF('ASS END SYNC'!C860="SHOW",FIND(",",'ASS END SYNC'!E860,P856+1),"")</f>
        <v/>
      </c>
      <c r="R856" s="25" t="str">
        <f>IF('ASS END SYNC'!C860="SHOW",FIND(",,",'ASS END SYNC'!E860,1),"")</f>
        <v/>
      </c>
      <c r="S856" s="25" t="str">
        <f>IF('ASS END SYNC'!C860="SHOW",FIND(",,",'ASS END SYNC'!E860,R856+1),"")</f>
        <v/>
      </c>
      <c r="T856" s="23" t="str">
        <f>IF('ASS END SYNC'!C860="SHOW",LEFT('ASS END SYNC'!E860,O856),"")</f>
        <v/>
      </c>
      <c r="U856" s="24" t="str">
        <f>IF('ASS END SYNC'!C860="SHOW",MID('ASS END SYNC'!E860,O856+1,P856-O856-1),"")</f>
        <v/>
      </c>
      <c r="V856" s="24" t="str">
        <f>IF(AND('ASS END SYNC'!C860="SHOW",'ASS END SYNC'!C861="SHOW"),U857,IF(AND('ASS END SYNC'!C860="SHOW",'ASS END SYNC'!C861&lt;&gt;"SHOW"),MID('ASS END SYNC'!E860,O856+1,P856-O856-1),""))</f>
        <v/>
      </c>
      <c r="W856" s="23" t="str">
        <f>IF('ASS END SYNC'!C860="SHOW",MID('ASS END SYNC'!E860,Q856+1,S856-Q856+1),"")</f>
        <v/>
      </c>
      <c r="X856" s="23" t="str">
        <f>IF('ASS END SYNC'!C860="SHOW",MID('ASS END SYNC'!E860,S856+2,1000),"")</f>
        <v/>
      </c>
      <c r="Z856" s="24"/>
    </row>
    <row r="857" spans="1:26" x14ac:dyDescent="0.25">
      <c r="A857" s="26">
        <v>854</v>
      </c>
      <c r="B857" s="24" t="str">
        <f>IF('ASS START SYNC'!C861="SHOW",FIND(",",'ASS START SYNC'!E861,1),"")</f>
        <v/>
      </c>
      <c r="C857" s="24" t="str">
        <f>IF('ASS START SYNC'!C861="SHOW",FIND(",",'ASS START SYNC'!E861,B857+1),"")</f>
        <v/>
      </c>
      <c r="D857" s="24" t="str">
        <f>IF('ASS START SYNC'!C861="SHOW",FIND(",",'ASS START SYNC'!E861,C857+1),"")</f>
        <v/>
      </c>
      <c r="E857" s="25" t="str">
        <f>IF('ASS START SYNC'!C861="SHOW",FIND(",,",'ASS START SYNC'!E861,1),"")</f>
        <v/>
      </c>
      <c r="F857" s="25" t="str">
        <f>IF('ASS START SYNC'!C861="SHOW",FIND(",,",'ASS START SYNC'!E861,E857+1),"")</f>
        <v/>
      </c>
      <c r="G857" s="23" t="str">
        <f>IF('ASS START SYNC'!C861="SHOW",LEFT('ASS START SYNC'!E861,B857),"")</f>
        <v/>
      </c>
      <c r="H857" s="24" t="str">
        <f>IF(AND('ASS START SYNC'!C861="SHOW",COUNTA('ASS START SYNC'!$E$8:'ASS START SYNC'!E860)=0),MID('ASS START SYNC'!E861,B857+1,C857-B857-1),IF(AND('ASS START SYNC'!C861="SHOW",COUNTA('ASS START SYNC'!$E$8:'ASS START SYNC'!E860)&lt;&gt;0),I856,""))</f>
        <v/>
      </c>
      <c r="I857" s="24" t="str">
        <f>IF('ASS START SYNC'!C861="SHOW",MID('ASS START SYNC'!E861,C857+1,D857-C857-1),I856)</f>
        <v/>
      </c>
      <c r="J857" s="23" t="str">
        <f>IF('ASS START SYNC'!C861="SHOW",MID('ASS START SYNC'!E861,D857+1,F857-D857+1),"")</f>
        <v/>
      </c>
      <c r="K857" s="23" t="str">
        <f>IF('ASS START SYNC'!C861="SHOW",MID('ASS START SYNC'!E861,F857+2,1000),"")</f>
        <v/>
      </c>
      <c r="M857" s="24"/>
      <c r="N857" s="26">
        <v>854</v>
      </c>
      <c r="O857" s="24" t="str">
        <f>IF('ASS END SYNC'!C861="SHOW",FIND(",",'ASS END SYNC'!E861,1),"")</f>
        <v/>
      </c>
      <c r="P857" s="24" t="str">
        <f>IF('ASS END SYNC'!C861="SHOW",FIND(",",'ASS END SYNC'!E861,O857+1),"")</f>
        <v/>
      </c>
      <c r="Q857" s="24" t="str">
        <f>IF('ASS END SYNC'!C861="SHOW",FIND(",",'ASS END SYNC'!E861,P857+1),"")</f>
        <v/>
      </c>
      <c r="R857" s="25" t="str">
        <f>IF('ASS END SYNC'!C861="SHOW",FIND(",,",'ASS END SYNC'!E861,1),"")</f>
        <v/>
      </c>
      <c r="S857" s="25" t="str">
        <f>IF('ASS END SYNC'!C861="SHOW",FIND(",,",'ASS END SYNC'!E861,R857+1),"")</f>
        <v/>
      </c>
      <c r="T857" s="23" t="str">
        <f>IF('ASS END SYNC'!C861="SHOW",LEFT('ASS END SYNC'!E861,O857),"")</f>
        <v/>
      </c>
      <c r="U857" s="24" t="str">
        <f>IF('ASS END SYNC'!C861="SHOW",MID('ASS END SYNC'!E861,O857+1,P857-O857-1),"")</f>
        <v/>
      </c>
      <c r="V857" s="24" t="str">
        <f>IF(AND('ASS END SYNC'!C861="SHOW",'ASS END SYNC'!C862="SHOW"),U858,IF(AND('ASS END SYNC'!C861="SHOW",'ASS END SYNC'!C862&lt;&gt;"SHOW"),MID('ASS END SYNC'!E861,O857+1,P857-O857-1),""))</f>
        <v/>
      </c>
      <c r="W857" s="23" t="str">
        <f>IF('ASS END SYNC'!C861="SHOW",MID('ASS END SYNC'!E861,Q857+1,S857-Q857+1),"")</f>
        <v/>
      </c>
      <c r="X857" s="23" t="str">
        <f>IF('ASS END SYNC'!C861="SHOW",MID('ASS END SYNC'!E861,S857+2,1000),"")</f>
        <v/>
      </c>
      <c r="Z857" s="24"/>
    </row>
    <row r="858" spans="1:26" x14ac:dyDescent="0.25">
      <c r="A858" s="26">
        <v>855</v>
      </c>
      <c r="B858" s="24" t="str">
        <f>IF('ASS START SYNC'!C862="SHOW",FIND(",",'ASS START SYNC'!E862,1),"")</f>
        <v/>
      </c>
      <c r="C858" s="24" t="str">
        <f>IF('ASS START SYNC'!C862="SHOW",FIND(",",'ASS START SYNC'!E862,B858+1),"")</f>
        <v/>
      </c>
      <c r="D858" s="24" t="str">
        <f>IF('ASS START SYNC'!C862="SHOW",FIND(",",'ASS START SYNC'!E862,C858+1),"")</f>
        <v/>
      </c>
      <c r="E858" s="25" t="str">
        <f>IF('ASS START SYNC'!C862="SHOW",FIND(",,",'ASS START SYNC'!E862,1),"")</f>
        <v/>
      </c>
      <c r="F858" s="25" t="str">
        <f>IF('ASS START SYNC'!C862="SHOW",FIND(",,",'ASS START SYNC'!E862,E858+1),"")</f>
        <v/>
      </c>
      <c r="G858" s="23" t="str">
        <f>IF('ASS START SYNC'!C862="SHOW",LEFT('ASS START SYNC'!E862,B858),"")</f>
        <v/>
      </c>
      <c r="H858" s="24" t="str">
        <f>IF(AND('ASS START SYNC'!C862="SHOW",COUNTA('ASS START SYNC'!$E$8:'ASS START SYNC'!E861)=0),MID('ASS START SYNC'!E862,B858+1,C858-B858-1),IF(AND('ASS START SYNC'!C862="SHOW",COUNTA('ASS START SYNC'!$E$8:'ASS START SYNC'!E861)&lt;&gt;0),I857,""))</f>
        <v/>
      </c>
      <c r="I858" s="24" t="str">
        <f>IF('ASS START SYNC'!C862="SHOW",MID('ASS START SYNC'!E862,C858+1,D858-C858-1),I857)</f>
        <v/>
      </c>
      <c r="J858" s="23" t="str">
        <f>IF('ASS START SYNC'!C862="SHOW",MID('ASS START SYNC'!E862,D858+1,F858-D858+1),"")</f>
        <v/>
      </c>
      <c r="K858" s="23" t="str">
        <f>IF('ASS START SYNC'!C862="SHOW",MID('ASS START SYNC'!E862,F858+2,1000),"")</f>
        <v/>
      </c>
      <c r="M858" s="24"/>
      <c r="N858" s="26">
        <v>855</v>
      </c>
      <c r="O858" s="24" t="str">
        <f>IF('ASS END SYNC'!C862="SHOW",FIND(",",'ASS END SYNC'!E862,1),"")</f>
        <v/>
      </c>
      <c r="P858" s="24" t="str">
        <f>IF('ASS END SYNC'!C862="SHOW",FIND(",",'ASS END SYNC'!E862,O858+1),"")</f>
        <v/>
      </c>
      <c r="Q858" s="24" t="str">
        <f>IF('ASS END SYNC'!C862="SHOW",FIND(",",'ASS END SYNC'!E862,P858+1),"")</f>
        <v/>
      </c>
      <c r="R858" s="25" t="str">
        <f>IF('ASS END SYNC'!C862="SHOW",FIND(",,",'ASS END SYNC'!E862,1),"")</f>
        <v/>
      </c>
      <c r="S858" s="25" t="str">
        <f>IF('ASS END SYNC'!C862="SHOW",FIND(",,",'ASS END SYNC'!E862,R858+1),"")</f>
        <v/>
      </c>
      <c r="T858" s="23" t="str">
        <f>IF('ASS END SYNC'!C862="SHOW",LEFT('ASS END SYNC'!E862,O858),"")</f>
        <v/>
      </c>
      <c r="U858" s="24" t="str">
        <f>IF('ASS END SYNC'!C862="SHOW",MID('ASS END SYNC'!E862,O858+1,P858-O858-1),"")</f>
        <v/>
      </c>
      <c r="V858" s="24" t="str">
        <f>IF(AND('ASS END SYNC'!C862="SHOW",'ASS END SYNC'!C863="SHOW"),U859,IF(AND('ASS END SYNC'!C862="SHOW",'ASS END SYNC'!C863&lt;&gt;"SHOW"),MID('ASS END SYNC'!E862,O858+1,P858-O858-1),""))</f>
        <v/>
      </c>
      <c r="W858" s="23" t="str">
        <f>IF('ASS END SYNC'!C862="SHOW",MID('ASS END SYNC'!E862,Q858+1,S858-Q858+1),"")</f>
        <v/>
      </c>
      <c r="X858" s="23" t="str">
        <f>IF('ASS END SYNC'!C862="SHOW",MID('ASS END SYNC'!E862,S858+2,1000),"")</f>
        <v/>
      </c>
      <c r="Z858" s="24"/>
    </row>
    <row r="859" spans="1:26" x14ac:dyDescent="0.25">
      <c r="A859" s="26">
        <v>856</v>
      </c>
      <c r="B859" s="24" t="str">
        <f>IF('ASS START SYNC'!C863="SHOW",FIND(",",'ASS START SYNC'!E863,1),"")</f>
        <v/>
      </c>
      <c r="C859" s="24" t="str">
        <f>IF('ASS START SYNC'!C863="SHOW",FIND(",",'ASS START SYNC'!E863,B859+1),"")</f>
        <v/>
      </c>
      <c r="D859" s="24" t="str">
        <f>IF('ASS START SYNC'!C863="SHOW",FIND(",",'ASS START SYNC'!E863,C859+1),"")</f>
        <v/>
      </c>
      <c r="E859" s="25" t="str">
        <f>IF('ASS START SYNC'!C863="SHOW",FIND(",,",'ASS START SYNC'!E863,1),"")</f>
        <v/>
      </c>
      <c r="F859" s="25" t="str">
        <f>IF('ASS START SYNC'!C863="SHOW",FIND(",,",'ASS START SYNC'!E863,E859+1),"")</f>
        <v/>
      </c>
      <c r="G859" s="23" t="str">
        <f>IF('ASS START SYNC'!C863="SHOW",LEFT('ASS START SYNC'!E863,B859),"")</f>
        <v/>
      </c>
      <c r="H859" s="24" t="str">
        <f>IF(AND('ASS START SYNC'!C863="SHOW",COUNTA('ASS START SYNC'!$E$8:'ASS START SYNC'!E862)=0),MID('ASS START SYNC'!E863,B859+1,C859-B859-1),IF(AND('ASS START SYNC'!C863="SHOW",COUNTA('ASS START SYNC'!$E$8:'ASS START SYNC'!E862)&lt;&gt;0),I858,""))</f>
        <v/>
      </c>
      <c r="I859" s="24" t="str">
        <f>IF('ASS START SYNC'!C863="SHOW",MID('ASS START SYNC'!E863,C859+1,D859-C859-1),I858)</f>
        <v/>
      </c>
      <c r="J859" s="23" t="str">
        <f>IF('ASS START SYNC'!C863="SHOW",MID('ASS START SYNC'!E863,D859+1,F859-D859+1),"")</f>
        <v/>
      </c>
      <c r="K859" s="23" t="str">
        <f>IF('ASS START SYNC'!C863="SHOW",MID('ASS START SYNC'!E863,F859+2,1000),"")</f>
        <v/>
      </c>
      <c r="M859" s="24"/>
      <c r="N859" s="26">
        <v>856</v>
      </c>
      <c r="O859" s="24" t="str">
        <f>IF('ASS END SYNC'!C863="SHOW",FIND(",",'ASS END SYNC'!E863,1),"")</f>
        <v/>
      </c>
      <c r="P859" s="24" t="str">
        <f>IF('ASS END SYNC'!C863="SHOW",FIND(",",'ASS END SYNC'!E863,O859+1),"")</f>
        <v/>
      </c>
      <c r="Q859" s="24" t="str">
        <f>IF('ASS END SYNC'!C863="SHOW",FIND(",",'ASS END SYNC'!E863,P859+1),"")</f>
        <v/>
      </c>
      <c r="R859" s="25" t="str">
        <f>IF('ASS END SYNC'!C863="SHOW",FIND(",,",'ASS END SYNC'!E863,1),"")</f>
        <v/>
      </c>
      <c r="S859" s="25" t="str">
        <f>IF('ASS END SYNC'!C863="SHOW",FIND(",,",'ASS END SYNC'!E863,R859+1),"")</f>
        <v/>
      </c>
      <c r="T859" s="23" t="str">
        <f>IF('ASS END SYNC'!C863="SHOW",LEFT('ASS END SYNC'!E863,O859),"")</f>
        <v/>
      </c>
      <c r="U859" s="24" t="str">
        <f>IF('ASS END SYNC'!C863="SHOW",MID('ASS END SYNC'!E863,O859+1,P859-O859-1),"")</f>
        <v/>
      </c>
      <c r="V859" s="24" t="str">
        <f>IF(AND('ASS END SYNC'!C863="SHOW",'ASS END SYNC'!C864="SHOW"),U860,IF(AND('ASS END SYNC'!C863="SHOW",'ASS END SYNC'!C864&lt;&gt;"SHOW"),MID('ASS END SYNC'!E863,O859+1,P859-O859-1),""))</f>
        <v/>
      </c>
      <c r="W859" s="23" t="str">
        <f>IF('ASS END SYNC'!C863="SHOW",MID('ASS END SYNC'!E863,Q859+1,S859-Q859+1),"")</f>
        <v/>
      </c>
      <c r="X859" s="23" t="str">
        <f>IF('ASS END SYNC'!C863="SHOW",MID('ASS END SYNC'!E863,S859+2,1000),"")</f>
        <v/>
      </c>
      <c r="Z859" s="24"/>
    </row>
    <row r="860" spans="1:26" x14ac:dyDescent="0.25">
      <c r="A860" s="26">
        <v>857</v>
      </c>
      <c r="B860" s="24" t="str">
        <f>IF('ASS START SYNC'!C864="SHOW",FIND(",",'ASS START SYNC'!E864,1),"")</f>
        <v/>
      </c>
      <c r="C860" s="24" t="str">
        <f>IF('ASS START SYNC'!C864="SHOW",FIND(",",'ASS START SYNC'!E864,B860+1),"")</f>
        <v/>
      </c>
      <c r="D860" s="24" t="str">
        <f>IF('ASS START SYNC'!C864="SHOW",FIND(",",'ASS START SYNC'!E864,C860+1),"")</f>
        <v/>
      </c>
      <c r="E860" s="25" t="str">
        <f>IF('ASS START SYNC'!C864="SHOW",FIND(",,",'ASS START SYNC'!E864,1),"")</f>
        <v/>
      </c>
      <c r="F860" s="25" t="str">
        <f>IF('ASS START SYNC'!C864="SHOW",FIND(",,",'ASS START SYNC'!E864,E860+1),"")</f>
        <v/>
      </c>
      <c r="G860" s="23" t="str">
        <f>IF('ASS START SYNC'!C864="SHOW",LEFT('ASS START SYNC'!E864,B860),"")</f>
        <v/>
      </c>
      <c r="H860" s="24" t="str">
        <f>IF(AND('ASS START SYNC'!C864="SHOW",COUNTA('ASS START SYNC'!$E$8:'ASS START SYNC'!E863)=0),MID('ASS START SYNC'!E864,B860+1,C860-B860-1),IF(AND('ASS START SYNC'!C864="SHOW",COUNTA('ASS START SYNC'!$E$8:'ASS START SYNC'!E863)&lt;&gt;0),I859,""))</f>
        <v/>
      </c>
      <c r="I860" s="24" t="str">
        <f>IF('ASS START SYNC'!C864="SHOW",MID('ASS START SYNC'!E864,C860+1,D860-C860-1),I859)</f>
        <v/>
      </c>
      <c r="J860" s="23" t="str">
        <f>IF('ASS START SYNC'!C864="SHOW",MID('ASS START SYNC'!E864,D860+1,F860-D860+1),"")</f>
        <v/>
      </c>
      <c r="K860" s="23" t="str">
        <f>IF('ASS START SYNC'!C864="SHOW",MID('ASS START SYNC'!E864,F860+2,1000),"")</f>
        <v/>
      </c>
      <c r="M860" s="24"/>
      <c r="N860" s="26">
        <v>857</v>
      </c>
      <c r="O860" s="24" t="str">
        <f>IF('ASS END SYNC'!C864="SHOW",FIND(",",'ASS END SYNC'!E864,1),"")</f>
        <v/>
      </c>
      <c r="P860" s="24" t="str">
        <f>IF('ASS END SYNC'!C864="SHOW",FIND(",",'ASS END SYNC'!E864,O860+1),"")</f>
        <v/>
      </c>
      <c r="Q860" s="24" t="str">
        <f>IF('ASS END SYNC'!C864="SHOW",FIND(",",'ASS END SYNC'!E864,P860+1),"")</f>
        <v/>
      </c>
      <c r="R860" s="25" t="str">
        <f>IF('ASS END SYNC'!C864="SHOW",FIND(",,",'ASS END SYNC'!E864,1),"")</f>
        <v/>
      </c>
      <c r="S860" s="25" t="str">
        <f>IF('ASS END SYNC'!C864="SHOW",FIND(",,",'ASS END SYNC'!E864,R860+1),"")</f>
        <v/>
      </c>
      <c r="T860" s="23" t="str">
        <f>IF('ASS END SYNC'!C864="SHOW",LEFT('ASS END SYNC'!E864,O860),"")</f>
        <v/>
      </c>
      <c r="U860" s="24" t="str">
        <f>IF('ASS END SYNC'!C864="SHOW",MID('ASS END SYNC'!E864,O860+1,P860-O860-1),"")</f>
        <v/>
      </c>
      <c r="V860" s="24" t="str">
        <f>IF(AND('ASS END SYNC'!C864="SHOW",'ASS END SYNC'!C865="SHOW"),U861,IF(AND('ASS END SYNC'!C864="SHOW",'ASS END SYNC'!C865&lt;&gt;"SHOW"),MID('ASS END SYNC'!E864,O860+1,P860-O860-1),""))</f>
        <v/>
      </c>
      <c r="W860" s="23" t="str">
        <f>IF('ASS END SYNC'!C864="SHOW",MID('ASS END SYNC'!E864,Q860+1,S860-Q860+1),"")</f>
        <v/>
      </c>
      <c r="X860" s="23" t="str">
        <f>IF('ASS END SYNC'!C864="SHOW",MID('ASS END SYNC'!E864,S860+2,1000),"")</f>
        <v/>
      </c>
      <c r="Z860" s="24"/>
    </row>
    <row r="861" spans="1:26" x14ac:dyDescent="0.25">
      <c r="A861" s="26">
        <v>858</v>
      </c>
      <c r="B861" s="24" t="str">
        <f>IF('ASS START SYNC'!C865="SHOW",FIND(",",'ASS START SYNC'!E865,1),"")</f>
        <v/>
      </c>
      <c r="C861" s="24" t="str">
        <f>IF('ASS START SYNC'!C865="SHOW",FIND(",",'ASS START SYNC'!E865,B861+1),"")</f>
        <v/>
      </c>
      <c r="D861" s="24" t="str">
        <f>IF('ASS START SYNC'!C865="SHOW",FIND(",",'ASS START SYNC'!E865,C861+1),"")</f>
        <v/>
      </c>
      <c r="E861" s="25" t="str">
        <f>IF('ASS START SYNC'!C865="SHOW",FIND(",,",'ASS START SYNC'!E865,1),"")</f>
        <v/>
      </c>
      <c r="F861" s="25" t="str">
        <f>IF('ASS START SYNC'!C865="SHOW",FIND(",,",'ASS START SYNC'!E865,E861+1),"")</f>
        <v/>
      </c>
      <c r="G861" s="23" t="str">
        <f>IF('ASS START SYNC'!C865="SHOW",LEFT('ASS START SYNC'!E865,B861),"")</f>
        <v/>
      </c>
      <c r="H861" s="24" t="str">
        <f>IF(AND('ASS START SYNC'!C865="SHOW",COUNTA('ASS START SYNC'!$E$8:'ASS START SYNC'!E864)=0),MID('ASS START SYNC'!E865,B861+1,C861-B861-1),IF(AND('ASS START SYNC'!C865="SHOW",COUNTA('ASS START SYNC'!$E$8:'ASS START SYNC'!E864)&lt;&gt;0),I860,""))</f>
        <v/>
      </c>
      <c r="I861" s="24" t="str">
        <f>IF('ASS START SYNC'!C865="SHOW",MID('ASS START SYNC'!E865,C861+1,D861-C861-1),I860)</f>
        <v/>
      </c>
      <c r="J861" s="23" t="str">
        <f>IF('ASS START SYNC'!C865="SHOW",MID('ASS START SYNC'!E865,D861+1,F861-D861+1),"")</f>
        <v/>
      </c>
      <c r="K861" s="23" t="str">
        <f>IF('ASS START SYNC'!C865="SHOW",MID('ASS START SYNC'!E865,F861+2,1000),"")</f>
        <v/>
      </c>
      <c r="M861" s="24"/>
      <c r="N861" s="26">
        <v>858</v>
      </c>
      <c r="O861" s="24" t="str">
        <f>IF('ASS END SYNC'!C865="SHOW",FIND(",",'ASS END SYNC'!E865,1),"")</f>
        <v/>
      </c>
      <c r="P861" s="24" t="str">
        <f>IF('ASS END SYNC'!C865="SHOW",FIND(",",'ASS END SYNC'!E865,O861+1),"")</f>
        <v/>
      </c>
      <c r="Q861" s="24" t="str">
        <f>IF('ASS END SYNC'!C865="SHOW",FIND(",",'ASS END SYNC'!E865,P861+1),"")</f>
        <v/>
      </c>
      <c r="R861" s="25" t="str">
        <f>IF('ASS END SYNC'!C865="SHOW",FIND(",,",'ASS END SYNC'!E865,1),"")</f>
        <v/>
      </c>
      <c r="S861" s="25" t="str">
        <f>IF('ASS END SYNC'!C865="SHOW",FIND(",,",'ASS END SYNC'!E865,R861+1),"")</f>
        <v/>
      </c>
      <c r="T861" s="23" t="str">
        <f>IF('ASS END SYNC'!C865="SHOW",LEFT('ASS END SYNC'!E865,O861),"")</f>
        <v/>
      </c>
      <c r="U861" s="24" t="str">
        <f>IF('ASS END SYNC'!C865="SHOW",MID('ASS END SYNC'!E865,O861+1,P861-O861-1),"")</f>
        <v/>
      </c>
      <c r="V861" s="24" t="str">
        <f>IF(AND('ASS END SYNC'!C865="SHOW",'ASS END SYNC'!C866="SHOW"),U862,IF(AND('ASS END SYNC'!C865="SHOW",'ASS END SYNC'!C866&lt;&gt;"SHOW"),MID('ASS END SYNC'!E865,O861+1,P861-O861-1),""))</f>
        <v/>
      </c>
      <c r="W861" s="23" t="str">
        <f>IF('ASS END SYNC'!C865="SHOW",MID('ASS END SYNC'!E865,Q861+1,S861-Q861+1),"")</f>
        <v/>
      </c>
      <c r="X861" s="23" t="str">
        <f>IF('ASS END SYNC'!C865="SHOW",MID('ASS END SYNC'!E865,S861+2,1000),"")</f>
        <v/>
      </c>
      <c r="Z861" s="24"/>
    </row>
    <row r="862" spans="1:26" x14ac:dyDescent="0.25">
      <c r="A862" s="26">
        <v>859</v>
      </c>
      <c r="B862" s="24" t="str">
        <f>IF('ASS START SYNC'!C866="SHOW",FIND(",",'ASS START SYNC'!E866,1),"")</f>
        <v/>
      </c>
      <c r="C862" s="24" t="str">
        <f>IF('ASS START SYNC'!C866="SHOW",FIND(",",'ASS START SYNC'!E866,B862+1),"")</f>
        <v/>
      </c>
      <c r="D862" s="24" t="str">
        <f>IF('ASS START SYNC'!C866="SHOW",FIND(",",'ASS START SYNC'!E866,C862+1),"")</f>
        <v/>
      </c>
      <c r="E862" s="25" t="str">
        <f>IF('ASS START SYNC'!C866="SHOW",FIND(",,",'ASS START SYNC'!E866,1),"")</f>
        <v/>
      </c>
      <c r="F862" s="25" t="str">
        <f>IF('ASS START SYNC'!C866="SHOW",FIND(",,",'ASS START SYNC'!E866,E862+1),"")</f>
        <v/>
      </c>
      <c r="G862" s="23" t="str">
        <f>IF('ASS START SYNC'!C866="SHOW",LEFT('ASS START SYNC'!E866,B862),"")</f>
        <v/>
      </c>
      <c r="H862" s="24" t="str">
        <f>IF(AND('ASS START SYNC'!C866="SHOW",COUNTA('ASS START SYNC'!$E$8:'ASS START SYNC'!E865)=0),MID('ASS START SYNC'!E866,B862+1,C862-B862-1),IF(AND('ASS START SYNC'!C866="SHOW",COUNTA('ASS START SYNC'!$E$8:'ASS START SYNC'!E865)&lt;&gt;0),I861,""))</f>
        <v/>
      </c>
      <c r="I862" s="24" t="str">
        <f>IF('ASS START SYNC'!C866="SHOW",MID('ASS START SYNC'!E866,C862+1,D862-C862-1),I861)</f>
        <v/>
      </c>
      <c r="J862" s="23" t="str">
        <f>IF('ASS START SYNC'!C866="SHOW",MID('ASS START SYNC'!E866,D862+1,F862-D862+1),"")</f>
        <v/>
      </c>
      <c r="K862" s="23" t="str">
        <f>IF('ASS START SYNC'!C866="SHOW",MID('ASS START SYNC'!E866,F862+2,1000),"")</f>
        <v/>
      </c>
      <c r="M862" s="24"/>
      <c r="N862" s="26">
        <v>859</v>
      </c>
      <c r="O862" s="24" t="str">
        <f>IF('ASS END SYNC'!C866="SHOW",FIND(",",'ASS END SYNC'!E866,1),"")</f>
        <v/>
      </c>
      <c r="P862" s="24" t="str">
        <f>IF('ASS END SYNC'!C866="SHOW",FIND(",",'ASS END SYNC'!E866,O862+1),"")</f>
        <v/>
      </c>
      <c r="Q862" s="24" t="str">
        <f>IF('ASS END SYNC'!C866="SHOW",FIND(",",'ASS END SYNC'!E866,P862+1),"")</f>
        <v/>
      </c>
      <c r="R862" s="25" t="str">
        <f>IF('ASS END SYNC'!C866="SHOW",FIND(",,",'ASS END SYNC'!E866,1),"")</f>
        <v/>
      </c>
      <c r="S862" s="25" t="str">
        <f>IF('ASS END SYNC'!C866="SHOW",FIND(",,",'ASS END SYNC'!E866,R862+1),"")</f>
        <v/>
      </c>
      <c r="T862" s="23" t="str">
        <f>IF('ASS END SYNC'!C866="SHOW",LEFT('ASS END SYNC'!E866,O862),"")</f>
        <v/>
      </c>
      <c r="U862" s="24" t="str">
        <f>IF('ASS END SYNC'!C866="SHOW",MID('ASS END SYNC'!E866,O862+1,P862-O862-1),"")</f>
        <v/>
      </c>
      <c r="V862" s="24" t="str">
        <f>IF(AND('ASS END SYNC'!C866="SHOW",'ASS END SYNC'!C867="SHOW"),U863,IF(AND('ASS END SYNC'!C866="SHOW",'ASS END SYNC'!C867&lt;&gt;"SHOW"),MID('ASS END SYNC'!E866,O862+1,P862-O862-1),""))</f>
        <v/>
      </c>
      <c r="W862" s="23" t="str">
        <f>IF('ASS END SYNC'!C866="SHOW",MID('ASS END SYNC'!E866,Q862+1,S862-Q862+1),"")</f>
        <v/>
      </c>
      <c r="X862" s="23" t="str">
        <f>IF('ASS END SYNC'!C866="SHOW",MID('ASS END SYNC'!E866,S862+2,1000),"")</f>
        <v/>
      </c>
      <c r="Z862" s="24"/>
    </row>
    <row r="863" spans="1:26" x14ac:dyDescent="0.25">
      <c r="A863" s="26">
        <v>860</v>
      </c>
      <c r="B863" s="24" t="str">
        <f>IF('ASS START SYNC'!C867="SHOW",FIND(",",'ASS START SYNC'!E867,1),"")</f>
        <v/>
      </c>
      <c r="C863" s="24" t="str">
        <f>IF('ASS START SYNC'!C867="SHOW",FIND(",",'ASS START SYNC'!E867,B863+1),"")</f>
        <v/>
      </c>
      <c r="D863" s="24" t="str">
        <f>IF('ASS START SYNC'!C867="SHOW",FIND(",",'ASS START SYNC'!E867,C863+1),"")</f>
        <v/>
      </c>
      <c r="E863" s="25" t="str">
        <f>IF('ASS START SYNC'!C867="SHOW",FIND(",,",'ASS START SYNC'!E867,1),"")</f>
        <v/>
      </c>
      <c r="F863" s="25" t="str">
        <f>IF('ASS START SYNC'!C867="SHOW",FIND(",,",'ASS START SYNC'!E867,E863+1),"")</f>
        <v/>
      </c>
      <c r="G863" s="23" t="str">
        <f>IF('ASS START SYNC'!C867="SHOW",LEFT('ASS START SYNC'!E867,B863),"")</f>
        <v/>
      </c>
      <c r="H863" s="24" t="str">
        <f>IF(AND('ASS START SYNC'!C867="SHOW",COUNTA('ASS START SYNC'!$E$8:'ASS START SYNC'!E866)=0),MID('ASS START SYNC'!E867,B863+1,C863-B863-1),IF(AND('ASS START SYNC'!C867="SHOW",COUNTA('ASS START SYNC'!$E$8:'ASS START SYNC'!E866)&lt;&gt;0),I862,""))</f>
        <v/>
      </c>
      <c r="I863" s="24" t="str">
        <f>IF('ASS START SYNC'!C867="SHOW",MID('ASS START SYNC'!E867,C863+1,D863-C863-1),I862)</f>
        <v/>
      </c>
      <c r="J863" s="23" t="str">
        <f>IF('ASS START SYNC'!C867="SHOW",MID('ASS START SYNC'!E867,D863+1,F863-D863+1),"")</f>
        <v/>
      </c>
      <c r="K863" s="23" t="str">
        <f>IF('ASS START SYNC'!C867="SHOW",MID('ASS START SYNC'!E867,F863+2,1000),"")</f>
        <v/>
      </c>
      <c r="M863" s="24"/>
      <c r="N863" s="26">
        <v>860</v>
      </c>
      <c r="O863" s="24" t="str">
        <f>IF('ASS END SYNC'!C867="SHOW",FIND(",",'ASS END SYNC'!E867,1),"")</f>
        <v/>
      </c>
      <c r="P863" s="24" t="str">
        <f>IF('ASS END SYNC'!C867="SHOW",FIND(",",'ASS END SYNC'!E867,O863+1),"")</f>
        <v/>
      </c>
      <c r="Q863" s="24" t="str">
        <f>IF('ASS END SYNC'!C867="SHOW",FIND(",",'ASS END SYNC'!E867,P863+1),"")</f>
        <v/>
      </c>
      <c r="R863" s="25" t="str">
        <f>IF('ASS END SYNC'!C867="SHOW",FIND(",,",'ASS END SYNC'!E867,1),"")</f>
        <v/>
      </c>
      <c r="S863" s="25" t="str">
        <f>IF('ASS END SYNC'!C867="SHOW",FIND(",,",'ASS END SYNC'!E867,R863+1),"")</f>
        <v/>
      </c>
      <c r="T863" s="23" t="str">
        <f>IF('ASS END SYNC'!C867="SHOW",LEFT('ASS END SYNC'!E867,O863),"")</f>
        <v/>
      </c>
      <c r="U863" s="24" t="str">
        <f>IF('ASS END SYNC'!C867="SHOW",MID('ASS END SYNC'!E867,O863+1,P863-O863-1),"")</f>
        <v/>
      </c>
      <c r="V863" s="24" t="str">
        <f>IF(AND('ASS END SYNC'!C867="SHOW",'ASS END SYNC'!C868="SHOW"),U864,IF(AND('ASS END SYNC'!C867="SHOW",'ASS END SYNC'!C868&lt;&gt;"SHOW"),MID('ASS END SYNC'!E867,O863+1,P863-O863-1),""))</f>
        <v/>
      </c>
      <c r="W863" s="23" t="str">
        <f>IF('ASS END SYNC'!C867="SHOW",MID('ASS END SYNC'!E867,Q863+1,S863-Q863+1),"")</f>
        <v/>
      </c>
      <c r="X863" s="23" t="str">
        <f>IF('ASS END SYNC'!C867="SHOW",MID('ASS END SYNC'!E867,S863+2,1000),"")</f>
        <v/>
      </c>
      <c r="Z863" s="24"/>
    </row>
    <row r="864" spans="1:26" x14ac:dyDescent="0.25">
      <c r="A864" s="26">
        <v>861</v>
      </c>
      <c r="B864" s="24" t="str">
        <f>IF('ASS START SYNC'!C868="SHOW",FIND(",",'ASS START SYNC'!E868,1),"")</f>
        <v/>
      </c>
      <c r="C864" s="24" t="str">
        <f>IF('ASS START SYNC'!C868="SHOW",FIND(",",'ASS START SYNC'!E868,B864+1),"")</f>
        <v/>
      </c>
      <c r="D864" s="24" t="str">
        <f>IF('ASS START SYNC'!C868="SHOW",FIND(",",'ASS START SYNC'!E868,C864+1),"")</f>
        <v/>
      </c>
      <c r="E864" s="25" t="str">
        <f>IF('ASS START SYNC'!C868="SHOW",FIND(",,",'ASS START SYNC'!E868,1),"")</f>
        <v/>
      </c>
      <c r="F864" s="25" t="str">
        <f>IF('ASS START SYNC'!C868="SHOW",FIND(",,",'ASS START SYNC'!E868,E864+1),"")</f>
        <v/>
      </c>
      <c r="G864" s="23" t="str">
        <f>IF('ASS START SYNC'!C868="SHOW",LEFT('ASS START SYNC'!E868,B864),"")</f>
        <v/>
      </c>
      <c r="H864" s="24" t="str">
        <f>IF(AND('ASS START SYNC'!C868="SHOW",COUNTA('ASS START SYNC'!$E$8:'ASS START SYNC'!E867)=0),MID('ASS START SYNC'!E868,B864+1,C864-B864-1),IF(AND('ASS START SYNC'!C868="SHOW",COUNTA('ASS START SYNC'!$E$8:'ASS START SYNC'!E867)&lt;&gt;0),I863,""))</f>
        <v/>
      </c>
      <c r="I864" s="24" t="str">
        <f>IF('ASS START SYNC'!C868="SHOW",MID('ASS START SYNC'!E868,C864+1,D864-C864-1),I863)</f>
        <v/>
      </c>
      <c r="J864" s="23" t="str">
        <f>IF('ASS START SYNC'!C868="SHOW",MID('ASS START SYNC'!E868,D864+1,F864-D864+1),"")</f>
        <v/>
      </c>
      <c r="K864" s="23" t="str">
        <f>IF('ASS START SYNC'!C868="SHOW",MID('ASS START SYNC'!E868,F864+2,1000),"")</f>
        <v/>
      </c>
      <c r="M864" s="24"/>
      <c r="N864" s="26">
        <v>861</v>
      </c>
      <c r="O864" s="24" t="str">
        <f>IF('ASS END SYNC'!C868="SHOW",FIND(",",'ASS END SYNC'!E868,1),"")</f>
        <v/>
      </c>
      <c r="P864" s="24" t="str">
        <f>IF('ASS END SYNC'!C868="SHOW",FIND(",",'ASS END SYNC'!E868,O864+1),"")</f>
        <v/>
      </c>
      <c r="Q864" s="24" t="str">
        <f>IF('ASS END SYNC'!C868="SHOW",FIND(",",'ASS END SYNC'!E868,P864+1),"")</f>
        <v/>
      </c>
      <c r="R864" s="25" t="str">
        <f>IF('ASS END SYNC'!C868="SHOW",FIND(",,",'ASS END SYNC'!E868,1),"")</f>
        <v/>
      </c>
      <c r="S864" s="25" t="str">
        <f>IF('ASS END SYNC'!C868="SHOW",FIND(",,",'ASS END SYNC'!E868,R864+1),"")</f>
        <v/>
      </c>
      <c r="T864" s="23" t="str">
        <f>IF('ASS END SYNC'!C868="SHOW",LEFT('ASS END SYNC'!E868,O864),"")</f>
        <v/>
      </c>
      <c r="U864" s="24" t="str">
        <f>IF('ASS END SYNC'!C868="SHOW",MID('ASS END SYNC'!E868,O864+1,P864-O864-1),"")</f>
        <v/>
      </c>
      <c r="V864" s="24" t="str">
        <f>IF(AND('ASS END SYNC'!C868="SHOW",'ASS END SYNC'!C869="SHOW"),U865,IF(AND('ASS END SYNC'!C868="SHOW",'ASS END SYNC'!C869&lt;&gt;"SHOW"),MID('ASS END SYNC'!E868,O864+1,P864-O864-1),""))</f>
        <v/>
      </c>
      <c r="W864" s="23" t="str">
        <f>IF('ASS END SYNC'!C868="SHOW",MID('ASS END SYNC'!E868,Q864+1,S864-Q864+1),"")</f>
        <v/>
      </c>
      <c r="X864" s="23" t="str">
        <f>IF('ASS END SYNC'!C868="SHOW",MID('ASS END SYNC'!E868,S864+2,1000),"")</f>
        <v/>
      </c>
      <c r="Z864" s="24"/>
    </row>
    <row r="865" spans="1:26" x14ac:dyDescent="0.25">
      <c r="A865" s="26">
        <v>862</v>
      </c>
      <c r="B865" s="24" t="str">
        <f>IF('ASS START SYNC'!C869="SHOW",FIND(",",'ASS START SYNC'!E869,1),"")</f>
        <v/>
      </c>
      <c r="C865" s="24" t="str">
        <f>IF('ASS START SYNC'!C869="SHOW",FIND(",",'ASS START SYNC'!E869,B865+1),"")</f>
        <v/>
      </c>
      <c r="D865" s="24" t="str">
        <f>IF('ASS START SYNC'!C869="SHOW",FIND(",",'ASS START SYNC'!E869,C865+1),"")</f>
        <v/>
      </c>
      <c r="E865" s="25" t="str">
        <f>IF('ASS START SYNC'!C869="SHOW",FIND(",,",'ASS START SYNC'!E869,1),"")</f>
        <v/>
      </c>
      <c r="F865" s="25" t="str">
        <f>IF('ASS START SYNC'!C869="SHOW",FIND(",,",'ASS START SYNC'!E869,E865+1),"")</f>
        <v/>
      </c>
      <c r="G865" s="23" t="str">
        <f>IF('ASS START SYNC'!C869="SHOW",LEFT('ASS START SYNC'!E869,B865),"")</f>
        <v/>
      </c>
      <c r="H865" s="24" t="str">
        <f>IF(AND('ASS START SYNC'!C869="SHOW",COUNTA('ASS START SYNC'!$E$8:'ASS START SYNC'!E868)=0),MID('ASS START SYNC'!E869,B865+1,C865-B865-1),IF(AND('ASS START SYNC'!C869="SHOW",COUNTA('ASS START SYNC'!$E$8:'ASS START SYNC'!E868)&lt;&gt;0),I864,""))</f>
        <v/>
      </c>
      <c r="I865" s="24" t="str">
        <f>IF('ASS START SYNC'!C869="SHOW",MID('ASS START SYNC'!E869,C865+1,D865-C865-1),I864)</f>
        <v/>
      </c>
      <c r="J865" s="23" t="str">
        <f>IF('ASS START SYNC'!C869="SHOW",MID('ASS START SYNC'!E869,D865+1,F865-D865+1),"")</f>
        <v/>
      </c>
      <c r="K865" s="23" t="str">
        <f>IF('ASS START SYNC'!C869="SHOW",MID('ASS START SYNC'!E869,F865+2,1000),"")</f>
        <v/>
      </c>
      <c r="M865" s="24"/>
      <c r="N865" s="26">
        <v>862</v>
      </c>
      <c r="O865" s="24" t="str">
        <f>IF('ASS END SYNC'!C869="SHOW",FIND(",",'ASS END SYNC'!E869,1),"")</f>
        <v/>
      </c>
      <c r="P865" s="24" t="str">
        <f>IF('ASS END SYNC'!C869="SHOW",FIND(",",'ASS END SYNC'!E869,O865+1),"")</f>
        <v/>
      </c>
      <c r="Q865" s="24" t="str">
        <f>IF('ASS END SYNC'!C869="SHOW",FIND(",",'ASS END SYNC'!E869,P865+1),"")</f>
        <v/>
      </c>
      <c r="R865" s="25" t="str">
        <f>IF('ASS END SYNC'!C869="SHOW",FIND(",,",'ASS END SYNC'!E869,1),"")</f>
        <v/>
      </c>
      <c r="S865" s="25" t="str">
        <f>IF('ASS END SYNC'!C869="SHOW",FIND(",,",'ASS END SYNC'!E869,R865+1),"")</f>
        <v/>
      </c>
      <c r="T865" s="23" t="str">
        <f>IF('ASS END SYNC'!C869="SHOW",LEFT('ASS END SYNC'!E869,O865),"")</f>
        <v/>
      </c>
      <c r="U865" s="24" t="str">
        <f>IF('ASS END SYNC'!C869="SHOW",MID('ASS END SYNC'!E869,O865+1,P865-O865-1),"")</f>
        <v/>
      </c>
      <c r="V865" s="24" t="str">
        <f>IF(AND('ASS END SYNC'!C869="SHOW",'ASS END SYNC'!C870="SHOW"),U866,IF(AND('ASS END SYNC'!C869="SHOW",'ASS END SYNC'!C870&lt;&gt;"SHOW"),MID('ASS END SYNC'!E869,O865+1,P865-O865-1),""))</f>
        <v/>
      </c>
      <c r="W865" s="23" t="str">
        <f>IF('ASS END SYNC'!C869="SHOW",MID('ASS END SYNC'!E869,Q865+1,S865-Q865+1),"")</f>
        <v/>
      </c>
      <c r="X865" s="23" t="str">
        <f>IF('ASS END SYNC'!C869="SHOW",MID('ASS END SYNC'!E869,S865+2,1000),"")</f>
        <v/>
      </c>
      <c r="Z865" s="24"/>
    </row>
    <row r="866" spans="1:26" x14ac:dyDescent="0.25">
      <c r="A866" s="26">
        <v>863</v>
      </c>
      <c r="B866" s="24" t="str">
        <f>IF('ASS START SYNC'!C870="SHOW",FIND(",",'ASS START SYNC'!E870,1),"")</f>
        <v/>
      </c>
      <c r="C866" s="24" t="str">
        <f>IF('ASS START SYNC'!C870="SHOW",FIND(",",'ASS START SYNC'!E870,B866+1),"")</f>
        <v/>
      </c>
      <c r="D866" s="24" t="str">
        <f>IF('ASS START SYNC'!C870="SHOW",FIND(",",'ASS START SYNC'!E870,C866+1),"")</f>
        <v/>
      </c>
      <c r="E866" s="25" t="str">
        <f>IF('ASS START SYNC'!C870="SHOW",FIND(",,",'ASS START SYNC'!E870,1),"")</f>
        <v/>
      </c>
      <c r="F866" s="25" t="str">
        <f>IF('ASS START SYNC'!C870="SHOW",FIND(",,",'ASS START SYNC'!E870,E866+1),"")</f>
        <v/>
      </c>
      <c r="G866" s="23" t="str">
        <f>IF('ASS START SYNC'!C870="SHOW",LEFT('ASS START SYNC'!E870,B866),"")</f>
        <v/>
      </c>
      <c r="H866" s="24" t="str">
        <f>IF(AND('ASS START SYNC'!C870="SHOW",COUNTA('ASS START SYNC'!$E$8:'ASS START SYNC'!E869)=0),MID('ASS START SYNC'!E870,B866+1,C866-B866-1),IF(AND('ASS START SYNC'!C870="SHOW",COUNTA('ASS START SYNC'!$E$8:'ASS START SYNC'!E869)&lt;&gt;0),I865,""))</f>
        <v/>
      </c>
      <c r="I866" s="24" t="str">
        <f>IF('ASS START SYNC'!C870="SHOW",MID('ASS START SYNC'!E870,C866+1,D866-C866-1),I865)</f>
        <v/>
      </c>
      <c r="J866" s="23" t="str">
        <f>IF('ASS START SYNC'!C870="SHOW",MID('ASS START SYNC'!E870,D866+1,F866-D866+1),"")</f>
        <v/>
      </c>
      <c r="K866" s="23" t="str">
        <f>IF('ASS START SYNC'!C870="SHOW",MID('ASS START SYNC'!E870,F866+2,1000),"")</f>
        <v/>
      </c>
      <c r="M866" s="24"/>
      <c r="N866" s="26">
        <v>863</v>
      </c>
      <c r="O866" s="24" t="str">
        <f>IF('ASS END SYNC'!C870="SHOW",FIND(",",'ASS END SYNC'!E870,1),"")</f>
        <v/>
      </c>
      <c r="P866" s="24" t="str">
        <f>IF('ASS END SYNC'!C870="SHOW",FIND(",",'ASS END SYNC'!E870,O866+1),"")</f>
        <v/>
      </c>
      <c r="Q866" s="24" t="str">
        <f>IF('ASS END SYNC'!C870="SHOW",FIND(",",'ASS END SYNC'!E870,P866+1),"")</f>
        <v/>
      </c>
      <c r="R866" s="25" t="str">
        <f>IF('ASS END SYNC'!C870="SHOW",FIND(",,",'ASS END SYNC'!E870,1),"")</f>
        <v/>
      </c>
      <c r="S866" s="25" t="str">
        <f>IF('ASS END SYNC'!C870="SHOW",FIND(",,",'ASS END SYNC'!E870,R866+1),"")</f>
        <v/>
      </c>
      <c r="T866" s="23" t="str">
        <f>IF('ASS END SYNC'!C870="SHOW",LEFT('ASS END SYNC'!E870,O866),"")</f>
        <v/>
      </c>
      <c r="U866" s="24" t="str">
        <f>IF('ASS END SYNC'!C870="SHOW",MID('ASS END SYNC'!E870,O866+1,P866-O866-1),"")</f>
        <v/>
      </c>
      <c r="V866" s="24" t="str">
        <f>IF(AND('ASS END SYNC'!C870="SHOW",'ASS END SYNC'!C871="SHOW"),U867,IF(AND('ASS END SYNC'!C870="SHOW",'ASS END SYNC'!C871&lt;&gt;"SHOW"),MID('ASS END SYNC'!E870,O866+1,P866-O866-1),""))</f>
        <v/>
      </c>
      <c r="W866" s="23" t="str">
        <f>IF('ASS END SYNC'!C870="SHOW",MID('ASS END SYNC'!E870,Q866+1,S866-Q866+1),"")</f>
        <v/>
      </c>
      <c r="X866" s="23" t="str">
        <f>IF('ASS END SYNC'!C870="SHOW",MID('ASS END SYNC'!E870,S866+2,1000),"")</f>
        <v/>
      </c>
      <c r="Z866" s="24"/>
    </row>
    <row r="867" spans="1:26" x14ac:dyDescent="0.25">
      <c r="A867" s="26">
        <v>864</v>
      </c>
      <c r="B867" s="24" t="str">
        <f>IF('ASS START SYNC'!C871="SHOW",FIND(",",'ASS START SYNC'!E871,1),"")</f>
        <v/>
      </c>
      <c r="C867" s="24" t="str">
        <f>IF('ASS START SYNC'!C871="SHOW",FIND(",",'ASS START SYNC'!E871,B867+1),"")</f>
        <v/>
      </c>
      <c r="D867" s="24" t="str">
        <f>IF('ASS START SYNC'!C871="SHOW",FIND(",",'ASS START SYNC'!E871,C867+1),"")</f>
        <v/>
      </c>
      <c r="E867" s="25" t="str">
        <f>IF('ASS START SYNC'!C871="SHOW",FIND(",,",'ASS START SYNC'!E871,1),"")</f>
        <v/>
      </c>
      <c r="F867" s="25" t="str">
        <f>IF('ASS START SYNC'!C871="SHOW",FIND(",,",'ASS START SYNC'!E871,E867+1),"")</f>
        <v/>
      </c>
      <c r="G867" s="23" t="str">
        <f>IF('ASS START SYNC'!C871="SHOW",LEFT('ASS START SYNC'!E871,B867),"")</f>
        <v/>
      </c>
      <c r="H867" s="24" t="str">
        <f>IF(AND('ASS START SYNC'!C871="SHOW",COUNTA('ASS START SYNC'!$E$8:'ASS START SYNC'!E870)=0),MID('ASS START SYNC'!E871,B867+1,C867-B867-1),IF(AND('ASS START SYNC'!C871="SHOW",COUNTA('ASS START SYNC'!$E$8:'ASS START SYNC'!E870)&lt;&gt;0),I866,""))</f>
        <v/>
      </c>
      <c r="I867" s="24" t="str">
        <f>IF('ASS START SYNC'!C871="SHOW",MID('ASS START SYNC'!E871,C867+1,D867-C867-1),I866)</f>
        <v/>
      </c>
      <c r="J867" s="23" t="str">
        <f>IF('ASS START SYNC'!C871="SHOW",MID('ASS START SYNC'!E871,D867+1,F867-D867+1),"")</f>
        <v/>
      </c>
      <c r="K867" s="23" t="str">
        <f>IF('ASS START SYNC'!C871="SHOW",MID('ASS START SYNC'!E871,F867+2,1000),"")</f>
        <v/>
      </c>
      <c r="M867" s="24"/>
      <c r="N867" s="26">
        <v>864</v>
      </c>
      <c r="O867" s="24" t="str">
        <f>IF('ASS END SYNC'!C871="SHOW",FIND(",",'ASS END SYNC'!E871,1),"")</f>
        <v/>
      </c>
      <c r="P867" s="24" t="str">
        <f>IF('ASS END SYNC'!C871="SHOW",FIND(",",'ASS END SYNC'!E871,O867+1),"")</f>
        <v/>
      </c>
      <c r="Q867" s="24" t="str">
        <f>IF('ASS END SYNC'!C871="SHOW",FIND(",",'ASS END SYNC'!E871,P867+1),"")</f>
        <v/>
      </c>
      <c r="R867" s="25" t="str">
        <f>IF('ASS END SYNC'!C871="SHOW",FIND(",,",'ASS END SYNC'!E871,1),"")</f>
        <v/>
      </c>
      <c r="S867" s="25" t="str">
        <f>IF('ASS END SYNC'!C871="SHOW",FIND(",,",'ASS END SYNC'!E871,R867+1),"")</f>
        <v/>
      </c>
      <c r="T867" s="23" t="str">
        <f>IF('ASS END SYNC'!C871="SHOW",LEFT('ASS END SYNC'!E871,O867),"")</f>
        <v/>
      </c>
      <c r="U867" s="24" t="str">
        <f>IF('ASS END SYNC'!C871="SHOW",MID('ASS END SYNC'!E871,O867+1,P867-O867-1),"")</f>
        <v/>
      </c>
      <c r="V867" s="24" t="str">
        <f>IF(AND('ASS END SYNC'!C871="SHOW",'ASS END SYNC'!C872="SHOW"),U868,IF(AND('ASS END SYNC'!C871="SHOW",'ASS END SYNC'!C872&lt;&gt;"SHOW"),MID('ASS END SYNC'!E871,O867+1,P867-O867-1),""))</f>
        <v/>
      </c>
      <c r="W867" s="23" t="str">
        <f>IF('ASS END SYNC'!C871="SHOW",MID('ASS END SYNC'!E871,Q867+1,S867-Q867+1),"")</f>
        <v/>
      </c>
      <c r="X867" s="23" t="str">
        <f>IF('ASS END SYNC'!C871="SHOW",MID('ASS END SYNC'!E871,S867+2,1000),"")</f>
        <v/>
      </c>
      <c r="Z867" s="24"/>
    </row>
    <row r="868" spans="1:26" x14ac:dyDescent="0.25">
      <c r="A868" s="26">
        <v>865</v>
      </c>
      <c r="B868" s="24" t="str">
        <f>IF('ASS START SYNC'!C872="SHOW",FIND(",",'ASS START SYNC'!E872,1),"")</f>
        <v/>
      </c>
      <c r="C868" s="24" t="str">
        <f>IF('ASS START SYNC'!C872="SHOW",FIND(",",'ASS START SYNC'!E872,B868+1),"")</f>
        <v/>
      </c>
      <c r="D868" s="24" t="str">
        <f>IF('ASS START SYNC'!C872="SHOW",FIND(",",'ASS START SYNC'!E872,C868+1),"")</f>
        <v/>
      </c>
      <c r="E868" s="25" t="str">
        <f>IF('ASS START SYNC'!C872="SHOW",FIND(",,",'ASS START SYNC'!E872,1),"")</f>
        <v/>
      </c>
      <c r="F868" s="25" t="str">
        <f>IF('ASS START SYNC'!C872="SHOW",FIND(",,",'ASS START SYNC'!E872,E868+1),"")</f>
        <v/>
      </c>
      <c r="G868" s="23" t="str">
        <f>IF('ASS START SYNC'!C872="SHOW",LEFT('ASS START SYNC'!E872,B868),"")</f>
        <v/>
      </c>
      <c r="H868" s="24" t="str">
        <f>IF(AND('ASS START SYNC'!C872="SHOW",COUNTA('ASS START SYNC'!$E$8:'ASS START SYNC'!E871)=0),MID('ASS START SYNC'!E872,B868+1,C868-B868-1),IF(AND('ASS START SYNC'!C872="SHOW",COUNTA('ASS START SYNC'!$E$8:'ASS START SYNC'!E871)&lt;&gt;0),I867,""))</f>
        <v/>
      </c>
      <c r="I868" s="24" t="str">
        <f>IF('ASS START SYNC'!C872="SHOW",MID('ASS START SYNC'!E872,C868+1,D868-C868-1),I867)</f>
        <v/>
      </c>
      <c r="J868" s="23" t="str">
        <f>IF('ASS START SYNC'!C872="SHOW",MID('ASS START SYNC'!E872,D868+1,F868-D868+1),"")</f>
        <v/>
      </c>
      <c r="K868" s="23" t="str">
        <f>IF('ASS START SYNC'!C872="SHOW",MID('ASS START SYNC'!E872,F868+2,1000),"")</f>
        <v/>
      </c>
      <c r="M868" s="24"/>
      <c r="N868" s="26">
        <v>865</v>
      </c>
      <c r="O868" s="24" t="str">
        <f>IF('ASS END SYNC'!C872="SHOW",FIND(",",'ASS END SYNC'!E872,1),"")</f>
        <v/>
      </c>
      <c r="P868" s="24" t="str">
        <f>IF('ASS END SYNC'!C872="SHOW",FIND(",",'ASS END SYNC'!E872,O868+1),"")</f>
        <v/>
      </c>
      <c r="Q868" s="24" t="str">
        <f>IF('ASS END SYNC'!C872="SHOW",FIND(",",'ASS END SYNC'!E872,P868+1),"")</f>
        <v/>
      </c>
      <c r="R868" s="25" t="str">
        <f>IF('ASS END SYNC'!C872="SHOW",FIND(",,",'ASS END SYNC'!E872,1),"")</f>
        <v/>
      </c>
      <c r="S868" s="25" t="str">
        <f>IF('ASS END SYNC'!C872="SHOW",FIND(",,",'ASS END SYNC'!E872,R868+1),"")</f>
        <v/>
      </c>
      <c r="T868" s="23" t="str">
        <f>IF('ASS END SYNC'!C872="SHOW",LEFT('ASS END SYNC'!E872,O868),"")</f>
        <v/>
      </c>
      <c r="U868" s="24" t="str">
        <f>IF('ASS END SYNC'!C872="SHOW",MID('ASS END SYNC'!E872,O868+1,P868-O868-1),"")</f>
        <v/>
      </c>
      <c r="V868" s="24" t="str">
        <f>IF(AND('ASS END SYNC'!C872="SHOW",'ASS END SYNC'!C873="SHOW"),U869,IF(AND('ASS END SYNC'!C872="SHOW",'ASS END SYNC'!C873&lt;&gt;"SHOW"),MID('ASS END SYNC'!E872,O868+1,P868-O868-1),""))</f>
        <v/>
      </c>
      <c r="W868" s="23" t="str">
        <f>IF('ASS END SYNC'!C872="SHOW",MID('ASS END SYNC'!E872,Q868+1,S868-Q868+1),"")</f>
        <v/>
      </c>
      <c r="X868" s="23" t="str">
        <f>IF('ASS END SYNC'!C872="SHOW",MID('ASS END SYNC'!E872,S868+2,1000),"")</f>
        <v/>
      </c>
      <c r="Z868" s="24"/>
    </row>
    <row r="869" spans="1:26" x14ac:dyDescent="0.25">
      <c r="A869" s="26">
        <v>866</v>
      </c>
      <c r="B869" s="24" t="str">
        <f>IF('ASS START SYNC'!C873="SHOW",FIND(",",'ASS START SYNC'!E873,1),"")</f>
        <v/>
      </c>
      <c r="C869" s="24" t="str">
        <f>IF('ASS START SYNC'!C873="SHOW",FIND(",",'ASS START SYNC'!E873,B869+1),"")</f>
        <v/>
      </c>
      <c r="D869" s="24" t="str">
        <f>IF('ASS START SYNC'!C873="SHOW",FIND(",",'ASS START SYNC'!E873,C869+1),"")</f>
        <v/>
      </c>
      <c r="E869" s="25" t="str">
        <f>IF('ASS START SYNC'!C873="SHOW",FIND(",,",'ASS START SYNC'!E873,1),"")</f>
        <v/>
      </c>
      <c r="F869" s="25" t="str">
        <f>IF('ASS START SYNC'!C873="SHOW",FIND(",,",'ASS START SYNC'!E873,E869+1),"")</f>
        <v/>
      </c>
      <c r="G869" s="23" t="str">
        <f>IF('ASS START SYNC'!C873="SHOW",LEFT('ASS START SYNC'!E873,B869),"")</f>
        <v/>
      </c>
      <c r="H869" s="24" t="str">
        <f>IF(AND('ASS START SYNC'!C873="SHOW",COUNTA('ASS START SYNC'!$E$8:'ASS START SYNC'!E872)=0),MID('ASS START SYNC'!E873,B869+1,C869-B869-1),IF(AND('ASS START SYNC'!C873="SHOW",COUNTA('ASS START SYNC'!$E$8:'ASS START SYNC'!E872)&lt;&gt;0),I868,""))</f>
        <v/>
      </c>
      <c r="I869" s="24" t="str">
        <f>IF('ASS START SYNC'!C873="SHOW",MID('ASS START SYNC'!E873,C869+1,D869-C869-1),I868)</f>
        <v/>
      </c>
      <c r="J869" s="23" t="str">
        <f>IF('ASS START SYNC'!C873="SHOW",MID('ASS START SYNC'!E873,D869+1,F869-D869+1),"")</f>
        <v/>
      </c>
      <c r="K869" s="23" t="str">
        <f>IF('ASS START SYNC'!C873="SHOW",MID('ASS START SYNC'!E873,F869+2,1000),"")</f>
        <v/>
      </c>
      <c r="M869" s="24"/>
      <c r="N869" s="26">
        <v>866</v>
      </c>
      <c r="O869" s="24" t="str">
        <f>IF('ASS END SYNC'!C873="SHOW",FIND(",",'ASS END SYNC'!E873,1),"")</f>
        <v/>
      </c>
      <c r="P869" s="24" t="str">
        <f>IF('ASS END SYNC'!C873="SHOW",FIND(",",'ASS END SYNC'!E873,O869+1),"")</f>
        <v/>
      </c>
      <c r="Q869" s="24" t="str">
        <f>IF('ASS END SYNC'!C873="SHOW",FIND(",",'ASS END SYNC'!E873,P869+1),"")</f>
        <v/>
      </c>
      <c r="R869" s="25" t="str">
        <f>IF('ASS END SYNC'!C873="SHOW",FIND(",,",'ASS END SYNC'!E873,1),"")</f>
        <v/>
      </c>
      <c r="S869" s="25" t="str">
        <f>IF('ASS END SYNC'!C873="SHOW",FIND(",,",'ASS END SYNC'!E873,R869+1),"")</f>
        <v/>
      </c>
      <c r="T869" s="23" t="str">
        <f>IF('ASS END SYNC'!C873="SHOW",LEFT('ASS END SYNC'!E873,O869),"")</f>
        <v/>
      </c>
      <c r="U869" s="24" t="str">
        <f>IF('ASS END SYNC'!C873="SHOW",MID('ASS END SYNC'!E873,O869+1,P869-O869-1),"")</f>
        <v/>
      </c>
      <c r="V869" s="24" t="str">
        <f>IF(AND('ASS END SYNC'!C873="SHOW",'ASS END SYNC'!C874="SHOW"),U870,IF(AND('ASS END SYNC'!C873="SHOW",'ASS END SYNC'!C874&lt;&gt;"SHOW"),MID('ASS END SYNC'!E873,O869+1,P869-O869-1),""))</f>
        <v/>
      </c>
      <c r="W869" s="23" t="str">
        <f>IF('ASS END SYNC'!C873="SHOW",MID('ASS END SYNC'!E873,Q869+1,S869-Q869+1),"")</f>
        <v/>
      </c>
      <c r="X869" s="23" t="str">
        <f>IF('ASS END SYNC'!C873="SHOW",MID('ASS END SYNC'!E873,S869+2,1000),"")</f>
        <v/>
      </c>
      <c r="Z869" s="24"/>
    </row>
    <row r="870" spans="1:26" x14ac:dyDescent="0.25">
      <c r="A870" s="26">
        <v>867</v>
      </c>
      <c r="B870" s="24" t="str">
        <f>IF('ASS START SYNC'!C874="SHOW",FIND(",",'ASS START SYNC'!E874,1),"")</f>
        <v/>
      </c>
      <c r="C870" s="24" t="str">
        <f>IF('ASS START SYNC'!C874="SHOW",FIND(",",'ASS START SYNC'!E874,B870+1),"")</f>
        <v/>
      </c>
      <c r="D870" s="24" t="str">
        <f>IF('ASS START SYNC'!C874="SHOW",FIND(",",'ASS START SYNC'!E874,C870+1),"")</f>
        <v/>
      </c>
      <c r="E870" s="25" t="str">
        <f>IF('ASS START SYNC'!C874="SHOW",FIND(",,",'ASS START SYNC'!E874,1),"")</f>
        <v/>
      </c>
      <c r="F870" s="25" t="str">
        <f>IF('ASS START SYNC'!C874="SHOW",FIND(",,",'ASS START SYNC'!E874,E870+1),"")</f>
        <v/>
      </c>
      <c r="G870" s="23" t="str">
        <f>IF('ASS START SYNC'!C874="SHOW",LEFT('ASS START SYNC'!E874,B870),"")</f>
        <v/>
      </c>
      <c r="H870" s="24" t="str">
        <f>IF(AND('ASS START SYNC'!C874="SHOW",COUNTA('ASS START SYNC'!$E$8:'ASS START SYNC'!E873)=0),MID('ASS START SYNC'!E874,B870+1,C870-B870-1),IF(AND('ASS START SYNC'!C874="SHOW",COUNTA('ASS START SYNC'!$E$8:'ASS START SYNC'!E873)&lt;&gt;0),I869,""))</f>
        <v/>
      </c>
      <c r="I870" s="24" t="str">
        <f>IF('ASS START SYNC'!C874="SHOW",MID('ASS START SYNC'!E874,C870+1,D870-C870-1),I869)</f>
        <v/>
      </c>
      <c r="J870" s="23" t="str">
        <f>IF('ASS START SYNC'!C874="SHOW",MID('ASS START SYNC'!E874,D870+1,F870-D870+1),"")</f>
        <v/>
      </c>
      <c r="K870" s="23" t="str">
        <f>IF('ASS START SYNC'!C874="SHOW",MID('ASS START SYNC'!E874,F870+2,1000),"")</f>
        <v/>
      </c>
      <c r="M870" s="24"/>
      <c r="N870" s="26">
        <v>867</v>
      </c>
      <c r="O870" s="24" t="str">
        <f>IF('ASS END SYNC'!C874="SHOW",FIND(",",'ASS END SYNC'!E874,1),"")</f>
        <v/>
      </c>
      <c r="P870" s="24" t="str">
        <f>IF('ASS END SYNC'!C874="SHOW",FIND(",",'ASS END SYNC'!E874,O870+1),"")</f>
        <v/>
      </c>
      <c r="Q870" s="24" t="str">
        <f>IF('ASS END SYNC'!C874="SHOW",FIND(",",'ASS END SYNC'!E874,P870+1),"")</f>
        <v/>
      </c>
      <c r="R870" s="25" t="str">
        <f>IF('ASS END SYNC'!C874="SHOW",FIND(",,",'ASS END SYNC'!E874,1),"")</f>
        <v/>
      </c>
      <c r="S870" s="25" t="str">
        <f>IF('ASS END SYNC'!C874="SHOW",FIND(",,",'ASS END SYNC'!E874,R870+1),"")</f>
        <v/>
      </c>
      <c r="T870" s="23" t="str">
        <f>IF('ASS END SYNC'!C874="SHOW",LEFT('ASS END SYNC'!E874,O870),"")</f>
        <v/>
      </c>
      <c r="U870" s="24" t="str">
        <f>IF('ASS END SYNC'!C874="SHOW",MID('ASS END SYNC'!E874,O870+1,P870-O870-1),"")</f>
        <v/>
      </c>
      <c r="V870" s="24" t="str">
        <f>IF(AND('ASS END SYNC'!C874="SHOW",'ASS END SYNC'!C875="SHOW"),U871,IF(AND('ASS END SYNC'!C874="SHOW",'ASS END SYNC'!C875&lt;&gt;"SHOW"),MID('ASS END SYNC'!E874,O870+1,P870-O870-1),""))</f>
        <v/>
      </c>
      <c r="W870" s="23" t="str">
        <f>IF('ASS END SYNC'!C874="SHOW",MID('ASS END SYNC'!E874,Q870+1,S870-Q870+1),"")</f>
        <v/>
      </c>
      <c r="X870" s="23" t="str">
        <f>IF('ASS END SYNC'!C874="SHOW",MID('ASS END SYNC'!E874,S870+2,1000),"")</f>
        <v/>
      </c>
      <c r="Z870" s="24"/>
    </row>
    <row r="871" spans="1:26" x14ac:dyDescent="0.25">
      <c r="A871" s="26">
        <v>868</v>
      </c>
      <c r="B871" s="24" t="str">
        <f>IF('ASS START SYNC'!C875="SHOW",FIND(",",'ASS START SYNC'!E875,1),"")</f>
        <v/>
      </c>
      <c r="C871" s="24" t="str">
        <f>IF('ASS START SYNC'!C875="SHOW",FIND(",",'ASS START SYNC'!E875,B871+1),"")</f>
        <v/>
      </c>
      <c r="D871" s="24" t="str">
        <f>IF('ASS START SYNC'!C875="SHOW",FIND(",",'ASS START SYNC'!E875,C871+1),"")</f>
        <v/>
      </c>
      <c r="E871" s="25" t="str">
        <f>IF('ASS START SYNC'!C875="SHOW",FIND(",,",'ASS START SYNC'!E875,1),"")</f>
        <v/>
      </c>
      <c r="F871" s="25" t="str">
        <f>IF('ASS START SYNC'!C875="SHOW",FIND(",,",'ASS START SYNC'!E875,E871+1),"")</f>
        <v/>
      </c>
      <c r="G871" s="23" t="str">
        <f>IF('ASS START SYNC'!C875="SHOW",LEFT('ASS START SYNC'!E875,B871),"")</f>
        <v/>
      </c>
      <c r="H871" s="24" t="str">
        <f>IF(AND('ASS START SYNC'!C875="SHOW",COUNTA('ASS START SYNC'!$E$8:'ASS START SYNC'!E874)=0),MID('ASS START SYNC'!E875,B871+1,C871-B871-1),IF(AND('ASS START SYNC'!C875="SHOW",COUNTA('ASS START SYNC'!$E$8:'ASS START SYNC'!E874)&lt;&gt;0),I870,""))</f>
        <v/>
      </c>
      <c r="I871" s="24" t="str">
        <f>IF('ASS START SYNC'!C875="SHOW",MID('ASS START SYNC'!E875,C871+1,D871-C871-1),I870)</f>
        <v/>
      </c>
      <c r="J871" s="23" t="str">
        <f>IF('ASS START SYNC'!C875="SHOW",MID('ASS START SYNC'!E875,D871+1,F871-D871+1),"")</f>
        <v/>
      </c>
      <c r="K871" s="23" t="str">
        <f>IF('ASS START SYNC'!C875="SHOW",MID('ASS START SYNC'!E875,F871+2,1000),"")</f>
        <v/>
      </c>
      <c r="M871" s="24"/>
      <c r="N871" s="26">
        <v>868</v>
      </c>
      <c r="O871" s="24" t="str">
        <f>IF('ASS END SYNC'!C875="SHOW",FIND(",",'ASS END SYNC'!E875,1),"")</f>
        <v/>
      </c>
      <c r="P871" s="24" t="str">
        <f>IF('ASS END SYNC'!C875="SHOW",FIND(",",'ASS END SYNC'!E875,O871+1),"")</f>
        <v/>
      </c>
      <c r="Q871" s="24" t="str">
        <f>IF('ASS END SYNC'!C875="SHOW",FIND(",",'ASS END SYNC'!E875,P871+1),"")</f>
        <v/>
      </c>
      <c r="R871" s="25" t="str">
        <f>IF('ASS END SYNC'!C875="SHOW",FIND(",,",'ASS END SYNC'!E875,1),"")</f>
        <v/>
      </c>
      <c r="S871" s="25" t="str">
        <f>IF('ASS END SYNC'!C875="SHOW",FIND(",,",'ASS END SYNC'!E875,R871+1),"")</f>
        <v/>
      </c>
      <c r="T871" s="23" t="str">
        <f>IF('ASS END SYNC'!C875="SHOW",LEFT('ASS END SYNC'!E875,O871),"")</f>
        <v/>
      </c>
      <c r="U871" s="24" t="str">
        <f>IF('ASS END SYNC'!C875="SHOW",MID('ASS END SYNC'!E875,O871+1,P871-O871-1),"")</f>
        <v/>
      </c>
      <c r="V871" s="24" t="str">
        <f>IF(AND('ASS END SYNC'!C875="SHOW",'ASS END SYNC'!C876="SHOW"),U872,IF(AND('ASS END SYNC'!C875="SHOW",'ASS END SYNC'!C876&lt;&gt;"SHOW"),MID('ASS END SYNC'!E875,O871+1,P871-O871-1),""))</f>
        <v/>
      </c>
      <c r="W871" s="23" t="str">
        <f>IF('ASS END SYNC'!C875="SHOW",MID('ASS END SYNC'!E875,Q871+1,S871-Q871+1),"")</f>
        <v/>
      </c>
      <c r="X871" s="23" t="str">
        <f>IF('ASS END SYNC'!C875="SHOW",MID('ASS END SYNC'!E875,S871+2,1000),"")</f>
        <v/>
      </c>
      <c r="Z871" s="24"/>
    </row>
    <row r="872" spans="1:26" x14ac:dyDescent="0.25">
      <c r="A872" s="26">
        <v>869</v>
      </c>
      <c r="B872" s="24" t="str">
        <f>IF('ASS START SYNC'!C876="SHOW",FIND(",",'ASS START SYNC'!E876,1),"")</f>
        <v/>
      </c>
      <c r="C872" s="24" t="str">
        <f>IF('ASS START SYNC'!C876="SHOW",FIND(",",'ASS START SYNC'!E876,B872+1),"")</f>
        <v/>
      </c>
      <c r="D872" s="24" t="str">
        <f>IF('ASS START SYNC'!C876="SHOW",FIND(",",'ASS START SYNC'!E876,C872+1),"")</f>
        <v/>
      </c>
      <c r="E872" s="25" t="str">
        <f>IF('ASS START SYNC'!C876="SHOW",FIND(",,",'ASS START SYNC'!E876,1),"")</f>
        <v/>
      </c>
      <c r="F872" s="25" t="str">
        <f>IF('ASS START SYNC'!C876="SHOW",FIND(",,",'ASS START SYNC'!E876,E872+1),"")</f>
        <v/>
      </c>
      <c r="G872" s="23" t="str">
        <f>IF('ASS START SYNC'!C876="SHOW",LEFT('ASS START SYNC'!E876,B872),"")</f>
        <v/>
      </c>
      <c r="H872" s="24" t="str">
        <f>IF(AND('ASS START SYNC'!C876="SHOW",COUNTA('ASS START SYNC'!$E$8:'ASS START SYNC'!E875)=0),MID('ASS START SYNC'!E876,B872+1,C872-B872-1),IF(AND('ASS START SYNC'!C876="SHOW",COUNTA('ASS START SYNC'!$E$8:'ASS START SYNC'!E875)&lt;&gt;0),I871,""))</f>
        <v/>
      </c>
      <c r="I872" s="24" t="str">
        <f>IF('ASS START SYNC'!C876="SHOW",MID('ASS START SYNC'!E876,C872+1,D872-C872-1),I871)</f>
        <v/>
      </c>
      <c r="J872" s="23" t="str">
        <f>IF('ASS START SYNC'!C876="SHOW",MID('ASS START SYNC'!E876,D872+1,F872-D872+1),"")</f>
        <v/>
      </c>
      <c r="K872" s="23" t="str">
        <f>IF('ASS START SYNC'!C876="SHOW",MID('ASS START SYNC'!E876,F872+2,1000),"")</f>
        <v/>
      </c>
      <c r="M872" s="24"/>
      <c r="N872" s="26">
        <v>869</v>
      </c>
      <c r="O872" s="24" t="str">
        <f>IF('ASS END SYNC'!C876="SHOW",FIND(",",'ASS END SYNC'!E876,1),"")</f>
        <v/>
      </c>
      <c r="P872" s="24" t="str">
        <f>IF('ASS END SYNC'!C876="SHOW",FIND(",",'ASS END SYNC'!E876,O872+1),"")</f>
        <v/>
      </c>
      <c r="Q872" s="24" t="str">
        <f>IF('ASS END SYNC'!C876="SHOW",FIND(",",'ASS END SYNC'!E876,P872+1),"")</f>
        <v/>
      </c>
      <c r="R872" s="25" t="str">
        <f>IF('ASS END SYNC'!C876="SHOW",FIND(",,",'ASS END SYNC'!E876,1),"")</f>
        <v/>
      </c>
      <c r="S872" s="25" t="str">
        <f>IF('ASS END SYNC'!C876="SHOW",FIND(",,",'ASS END SYNC'!E876,R872+1),"")</f>
        <v/>
      </c>
      <c r="T872" s="23" t="str">
        <f>IF('ASS END SYNC'!C876="SHOW",LEFT('ASS END SYNC'!E876,O872),"")</f>
        <v/>
      </c>
      <c r="U872" s="24" t="str">
        <f>IF('ASS END SYNC'!C876="SHOW",MID('ASS END SYNC'!E876,O872+1,P872-O872-1),"")</f>
        <v/>
      </c>
      <c r="V872" s="24" t="str">
        <f>IF(AND('ASS END SYNC'!C876="SHOW",'ASS END SYNC'!C877="SHOW"),U873,IF(AND('ASS END SYNC'!C876="SHOW",'ASS END SYNC'!C877&lt;&gt;"SHOW"),MID('ASS END SYNC'!E876,O872+1,P872-O872-1),""))</f>
        <v/>
      </c>
      <c r="W872" s="23" t="str">
        <f>IF('ASS END SYNC'!C876="SHOW",MID('ASS END SYNC'!E876,Q872+1,S872-Q872+1),"")</f>
        <v/>
      </c>
      <c r="X872" s="23" t="str">
        <f>IF('ASS END SYNC'!C876="SHOW",MID('ASS END SYNC'!E876,S872+2,1000),"")</f>
        <v/>
      </c>
      <c r="Z872" s="24"/>
    </row>
    <row r="873" spans="1:26" x14ac:dyDescent="0.25">
      <c r="A873" s="26">
        <v>870</v>
      </c>
      <c r="B873" s="24" t="str">
        <f>IF('ASS START SYNC'!C877="SHOW",FIND(",",'ASS START SYNC'!E877,1),"")</f>
        <v/>
      </c>
      <c r="C873" s="24" t="str">
        <f>IF('ASS START SYNC'!C877="SHOW",FIND(",",'ASS START SYNC'!E877,B873+1),"")</f>
        <v/>
      </c>
      <c r="D873" s="24" t="str">
        <f>IF('ASS START SYNC'!C877="SHOW",FIND(",",'ASS START SYNC'!E877,C873+1),"")</f>
        <v/>
      </c>
      <c r="E873" s="25" t="str">
        <f>IF('ASS START SYNC'!C877="SHOW",FIND(",,",'ASS START SYNC'!E877,1),"")</f>
        <v/>
      </c>
      <c r="F873" s="25" t="str">
        <f>IF('ASS START SYNC'!C877="SHOW",FIND(",,",'ASS START SYNC'!E877,E873+1),"")</f>
        <v/>
      </c>
      <c r="G873" s="23" t="str">
        <f>IF('ASS START SYNC'!C877="SHOW",LEFT('ASS START SYNC'!E877,B873),"")</f>
        <v/>
      </c>
      <c r="H873" s="24" t="str">
        <f>IF(AND('ASS START SYNC'!C877="SHOW",COUNTA('ASS START SYNC'!$E$8:'ASS START SYNC'!E876)=0),MID('ASS START SYNC'!E877,B873+1,C873-B873-1),IF(AND('ASS START SYNC'!C877="SHOW",COUNTA('ASS START SYNC'!$E$8:'ASS START SYNC'!E876)&lt;&gt;0),I872,""))</f>
        <v/>
      </c>
      <c r="I873" s="24" t="str">
        <f>IF('ASS START SYNC'!C877="SHOW",MID('ASS START SYNC'!E877,C873+1,D873-C873-1),I872)</f>
        <v/>
      </c>
      <c r="J873" s="23" t="str">
        <f>IF('ASS START SYNC'!C877="SHOW",MID('ASS START SYNC'!E877,D873+1,F873-D873+1),"")</f>
        <v/>
      </c>
      <c r="K873" s="23" t="str">
        <f>IF('ASS START SYNC'!C877="SHOW",MID('ASS START SYNC'!E877,F873+2,1000),"")</f>
        <v/>
      </c>
      <c r="M873" s="24"/>
      <c r="N873" s="26">
        <v>870</v>
      </c>
      <c r="O873" s="24" t="str">
        <f>IF('ASS END SYNC'!C877="SHOW",FIND(",",'ASS END SYNC'!E877,1),"")</f>
        <v/>
      </c>
      <c r="P873" s="24" t="str">
        <f>IF('ASS END SYNC'!C877="SHOW",FIND(",",'ASS END SYNC'!E877,O873+1),"")</f>
        <v/>
      </c>
      <c r="Q873" s="24" t="str">
        <f>IF('ASS END SYNC'!C877="SHOW",FIND(",",'ASS END SYNC'!E877,P873+1),"")</f>
        <v/>
      </c>
      <c r="R873" s="25" t="str">
        <f>IF('ASS END SYNC'!C877="SHOW",FIND(",,",'ASS END SYNC'!E877,1),"")</f>
        <v/>
      </c>
      <c r="S873" s="25" t="str">
        <f>IF('ASS END SYNC'!C877="SHOW",FIND(",,",'ASS END SYNC'!E877,R873+1),"")</f>
        <v/>
      </c>
      <c r="T873" s="23" t="str">
        <f>IF('ASS END SYNC'!C877="SHOW",LEFT('ASS END SYNC'!E877,O873),"")</f>
        <v/>
      </c>
      <c r="U873" s="24" t="str">
        <f>IF('ASS END SYNC'!C877="SHOW",MID('ASS END SYNC'!E877,O873+1,P873-O873-1),"")</f>
        <v/>
      </c>
      <c r="V873" s="24" t="str">
        <f>IF(AND('ASS END SYNC'!C877="SHOW",'ASS END SYNC'!C878="SHOW"),U874,IF(AND('ASS END SYNC'!C877="SHOW",'ASS END SYNC'!C878&lt;&gt;"SHOW"),MID('ASS END SYNC'!E877,O873+1,P873-O873-1),""))</f>
        <v/>
      </c>
      <c r="W873" s="23" t="str">
        <f>IF('ASS END SYNC'!C877="SHOW",MID('ASS END SYNC'!E877,Q873+1,S873-Q873+1),"")</f>
        <v/>
      </c>
      <c r="X873" s="23" t="str">
        <f>IF('ASS END SYNC'!C877="SHOW",MID('ASS END SYNC'!E877,S873+2,1000),"")</f>
        <v/>
      </c>
      <c r="Z873" s="24"/>
    </row>
    <row r="874" spans="1:26" x14ac:dyDescent="0.25">
      <c r="A874" s="26">
        <v>871</v>
      </c>
      <c r="B874" s="24" t="str">
        <f>IF('ASS START SYNC'!C878="SHOW",FIND(",",'ASS START SYNC'!E878,1),"")</f>
        <v/>
      </c>
      <c r="C874" s="24" t="str">
        <f>IF('ASS START SYNC'!C878="SHOW",FIND(",",'ASS START SYNC'!E878,B874+1),"")</f>
        <v/>
      </c>
      <c r="D874" s="24" t="str">
        <f>IF('ASS START SYNC'!C878="SHOW",FIND(",",'ASS START SYNC'!E878,C874+1),"")</f>
        <v/>
      </c>
      <c r="E874" s="25" t="str">
        <f>IF('ASS START SYNC'!C878="SHOW",FIND(",,",'ASS START SYNC'!E878,1),"")</f>
        <v/>
      </c>
      <c r="F874" s="25" t="str">
        <f>IF('ASS START SYNC'!C878="SHOW",FIND(",,",'ASS START SYNC'!E878,E874+1),"")</f>
        <v/>
      </c>
      <c r="G874" s="23" t="str">
        <f>IF('ASS START SYNC'!C878="SHOW",LEFT('ASS START SYNC'!E878,B874),"")</f>
        <v/>
      </c>
      <c r="H874" s="24" t="str">
        <f>IF(AND('ASS START SYNC'!C878="SHOW",COUNTA('ASS START SYNC'!$E$8:'ASS START SYNC'!E877)=0),MID('ASS START SYNC'!E878,B874+1,C874-B874-1),IF(AND('ASS START SYNC'!C878="SHOW",COUNTA('ASS START SYNC'!$E$8:'ASS START SYNC'!E877)&lt;&gt;0),I873,""))</f>
        <v/>
      </c>
      <c r="I874" s="24" t="str">
        <f>IF('ASS START SYNC'!C878="SHOW",MID('ASS START SYNC'!E878,C874+1,D874-C874-1),I873)</f>
        <v/>
      </c>
      <c r="J874" s="23" t="str">
        <f>IF('ASS START SYNC'!C878="SHOW",MID('ASS START SYNC'!E878,D874+1,F874-D874+1),"")</f>
        <v/>
      </c>
      <c r="K874" s="23" t="str">
        <f>IF('ASS START SYNC'!C878="SHOW",MID('ASS START SYNC'!E878,F874+2,1000),"")</f>
        <v/>
      </c>
      <c r="M874" s="24"/>
      <c r="N874" s="26">
        <v>871</v>
      </c>
      <c r="O874" s="24" t="str">
        <f>IF('ASS END SYNC'!C878="SHOW",FIND(",",'ASS END SYNC'!E878,1),"")</f>
        <v/>
      </c>
      <c r="P874" s="24" t="str">
        <f>IF('ASS END SYNC'!C878="SHOW",FIND(",",'ASS END SYNC'!E878,O874+1),"")</f>
        <v/>
      </c>
      <c r="Q874" s="24" t="str">
        <f>IF('ASS END SYNC'!C878="SHOW",FIND(",",'ASS END SYNC'!E878,P874+1),"")</f>
        <v/>
      </c>
      <c r="R874" s="25" t="str">
        <f>IF('ASS END SYNC'!C878="SHOW",FIND(",,",'ASS END SYNC'!E878,1),"")</f>
        <v/>
      </c>
      <c r="S874" s="25" t="str">
        <f>IF('ASS END SYNC'!C878="SHOW",FIND(",,",'ASS END SYNC'!E878,R874+1),"")</f>
        <v/>
      </c>
      <c r="T874" s="23" t="str">
        <f>IF('ASS END SYNC'!C878="SHOW",LEFT('ASS END SYNC'!E878,O874),"")</f>
        <v/>
      </c>
      <c r="U874" s="24" t="str">
        <f>IF('ASS END SYNC'!C878="SHOW",MID('ASS END SYNC'!E878,O874+1,P874-O874-1),"")</f>
        <v/>
      </c>
      <c r="V874" s="24" t="str">
        <f>IF(AND('ASS END SYNC'!C878="SHOW",'ASS END SYNC'!C879="SHOW"),U875,IF(AND('ASS END SYNC'!C878="SHOW",'ASS END SYNC'!C879&lt;&gt;"SHOW"),MID('ASS END SYNC'!E878,O874+1,P874-O874-1),""))</f>
        <v/>
      </c>
      <c r="W874" s="23" t="str">
        <f>IF('ASS END SYNC'!C878="SHOW",MID('ASS END SYNC'!E878,Q874+1,S874-Q874+1),"")</f>
        <v/>
      </c>
      <c r="X874" s="23" t="str">
        <f>IF('ASS END SYNC'!C878="SHOW",MID('ASS END SYNC'!E878,S874+2,1000),"")</f>
        <v/>
      </c>
      <c r="Z874" s="24"/>
    </row>
    <row r="875" spans="1:26" x14ac:dyDescent="0.25">
      <c r="A875" s="26">
        <v>872</v>
      </c>
      <c r="B875" s="24" t="str">
        <f>IF('ASS START SYNC'!C879="SHOW",FIND(",",'ASS START SYNC'!E879,1),"")</f>
        <v/>
      </c>
      <c r="C875" s="24" t="str">
        <f>IF('ASS START SYNC'!C879="SHOW",FIND(",",'ASS START SYNC'!E879,B875+1),"")</f>
        <v/>
      </c>
      <c r="D875" s="24" t="str">
        <f>IF('ASS START SYNC'!C879="SHOW",FIND(",",'ASS START SYNC'!E879,C875+1),"")</f>
        <v/>
      </c>
      <c r="E875" s="25" t="str">
        <f>IF('ASS START SYNC'!C879="SHOW",FIND(",,",'ASS START SYNC'!E879,1),"")</f>
        <v/>
      </c>
      <c r="F875" s="25" t="str">
        <f>IF('ASS START SYNC'!C879="SHOW",FIND(",,",'ASS START SYNC'!E879,E875+1),"")</f>
        <v/>
      </c>
      <c r="G875" s="23" t="str">
        <f>IF('ASS START SYNC'!C879="SHOW",LEFT('ASS START SYNC'!E879,B875),"")</f>
        <v/>
      </c>
      <c r="H875" s="24" t="str">
        <f>IF(AND('ASS START SYNC'!C879="SHOW",COUNTA('ASS START SYNC'!$E$8:'ASS START SYNC'!E878)=0),MID('ASS START SYNC'!E879,B875+1,C875-B875-1),IF(AND('ASS START SYNC'!C879="SHOW",COUNTA('ASS START SYNC'!$E$8:'ASS START SYNC'!E878)&lt;&gt;0),I874,""))</f>
        <v/>
      </c>
      <c r="I875" s="24" t="str">
        <f>IF('ASS START SYNC'!C879="SHOW",MID('ASS START SYNC'!E879,C875+1,D875-C875-1),I874)</f>
        <v/>
      </c>
      <c r="J875" s="23" t="str">
        <f>IF('ASS START SYNC'!C879="SHOW",MID('ASS START SYNC'!E879,D875+1,F875-D875+1),"")</f>
        <v/>
      </c>
      <c r="K875" s="23" t="str">
        <f>IF('ASS START SYNC'!C879="SHOW",MID('ASS START SYNC'!E879,F875+2,1000),"")</f>
        <v/>
      </c>
      <c r="M875" s="24"/>
      <c r="N875" s="26">
        <v>872</v>
      </c>
      <c r="O875" s="24" t="str">
        <f>IF('ASS END SYNC'!C879="SHOW",FIND(",",'ASS END SYNC'!E879,1),"")</f>
        <v/>
      </c>
      <c r="P875" s="24" t="str">
        <f>IF('ASS END SYNC'!C879="SHOW",FIND(",",'ASS END SYNC'!E879,O875+1),"")</f>
        <v/>
      </c>
      <c r="Q875" s="24" t="str">
        <f>IF('ASS END SYNC'!C879="SHOW",FIND(",",'ASS END SYNC'!E879,P875+1),"")</f>
        <v/>
      </c>
      <c r="R875" s="25" t="str">
        <f>IF('ASS END SYNC'!C879="SHOW",FIND(",,",'ASS END SYNC'!E879,1),"")</f>
        <v/>
      </c>
      <c r="S875" s="25" t="str">
        <f>IF('ASS END SYNC'!C879="SHOW",FIND(",,",'ASS END SYNC'!E879,R875+1),"")</f>
        <v/>
      </c>
      <c r="T875" s="23" t="str">
        <f>IF('ASS END SYNC'!C879="SHOW",LEFT('ASS END SYNC'!E879,O875),"")</f>
        <v/>
      </c>
      <c r="U875" s="24" t="str">
        <f>IF('ASS END SYNC'!C879="SHOW",MID('ASS END SYNC'!E879,O875+1,P875-O875-1),"")</f>
        <v/>
      </c>
      <c r="V875" s="24" t="str">
        <f>IF(AND('ASS END SYNC'!C879="SHOW",'ASS END SYNC'!C880="SHOW"),U876,IF(AND('ASS END SYNC'!C879="SHOW",'ASS END SYNC'!C880&lt;&gt;"SHOW"),MID('ASS END SYNC'!E879,O875+1,P875-O875-1),""))</f>
        <v/>
      </c>
      <c r="W875" s="23" t="str">
        <f>IF('ASS END SYNC'!C879="SHOW",MID('ASS END SYNC'!E879,Q875+1,S875-Q875+1),"")</f>
        <v/>
      </c>
      <c r="X875" s="23" t="str">
        <f>IF('ASS END SYNC'!C879="SHOW",MID('ASS END SYNC'!E879,S875+2,1000),"")</f>
        <v/>
      </c>
      <c r="Z875" s="24"/>
    </row>
    <row r="876" spans="1:26" x14ac:dyDescent="0.25">
      <c r="A876" s="26">
        <v>873</v>
      </c>
      <c r="B876" s="24" t="str">
        <f>IF('ASS START SYNC'!C880="SHOW",FIND(",",'ASS START SYNC'!E880,1),"")</f>
        <v/>
      </c>
      <c r="C876" s="24" t="str">
        <f>IF('ASS START SYNC'!C880="SHOW",FIND(",",'ASS START SYNC'!E880,B876+1),"")</f>
        <v/>
      </c>
      <c r="D876" s="24" t="str">
        <f>IF('ASS START SYNC'!C880="SHOW",FIND(",",'ASS START SYNC'!E880,C876+1),"")</f>
        <v/>
      </c>
      <c r="E876" s="25" t="str">
        <f>IF('ASS START SYNC'!C880="SHOW",FIND(",,",'ASS START SYNC'!E880,1),"")</f>
        <v/>
      </c>
      <c r="F876" s="25" t="str">
        <f>IF('ASS START SYNC'!C880="SHOW",FIND(",,",'ASS START SYNC'!E880,E876+1),"")</f>
        <v/>
      </c>
      <c r="G876" s="23" t="str">
        <f>IF('ASS START SYNC'!C880="SHOW",LEFT('ASS START SYNC'!E880,B876),"")</f>
        <v/>
      </c>
      <c r="H876" s="24" t="str">
        <f>IF(AND('ASS START SYNC'!C880="SHOW",COUNTA('ASS START SYNC'!$E$8:'ASS START SYNC'!E879)=0),MID('ASS START SYNC'!E880,B876+1,C876-B876-1),IF(AND('ASS START SYNC'!C880="SHOW",COUNTA('ASS START SYNC'!$E$8:'ASS START SYNC'!E879)&lt;&gt;0),I875,""))</f>
        <v/>
      </c>
      <c r="I876" s="24" t="str">
        <f>IF('ASS START SYNC'!C880="SHOW",MID('ASS START SYNC'!E880,C876+1,D876-C876-1),I875)</f>
        <v/>
      </c>
      <c r="J876" s="23" t="str">
        <f>IF('ASS START SYNC'!C880="SHOW",MID('ASS START SYNC'!E880,D876+1,F876-D876+1),"")</f>
        <v/>
      </c>
      <c r="K876" s="23" t="str">
        <f>IF('ASS START SYNC'!C880="SHOW",MID('ASS START SYNC'!E880,F876+2,1000),"")</f>
        <v/>
      </c>
      <c r="M876" s="24"/>
      <c r="N876" s="26">
        <v>873</v>
      </c>
      <c r="O876" s="24" t="str">
        <f>IF('ASS END SYNC'!C880="SHOW",FIND(",",'ASS END SYNC'!E880,1),"")</f>
        <v/>
      </c>
      <c r="P876" s="24" t="str">
        <f>IF('ASS END SYNC'!C880="SHOW",FIND(",",'ASS END SYNC'!E880,O876+1),"")</f>
        <v/>
      </c>
      <c r="Q876" s="24" t="str">
        <f>IF('ASS END SYNC'!C880="SHOW",FIND(",",'ASS END SYNC'!E880,P876+1),"")</f>
        <v/>
      </c>
      <c r="R876" s="25" t="str">
        <f>IF('ASS END SYNC'!C880="SHOW",FIND(",,",'ASS END SYNC'!E880,1),"")</f>
        <v/>
      </c>
      <c r="S876" s="25" t="str">
        <f>IF('ASS END SYNC'!C880="SHOW",FIND(",,",'ASS END SYNC'!E880,R876+1),"")</f>
        <v/>
      </c>
      <c r="T876" s="23" t="str">
        <f>IF('ASS END SYNC'!C880="SHOW",LEFT('ASS END SYNC'!E880,O876),"")</f>
        <v/>
      </c>
      <c r="U876" s="24" t="str">
        <f>IF('ASS END SYNC'!C880="SHOW",MID('ASS END SYNC'!E880,O876+1,P876-O876-1),"")</f>
        <v/>
      </c>
      <c r="V876" s="24" t="str">
        <f>IF(AND('ASS END SYNC'!C880="SHOW",'ASS END SYNC'!C881="SHOW"),U877,IF(AND('ASS END SYNC'!C880="SHOW",'ASS END SYNC'!C881&lt;&gt;"SHOW"),MID('ASS END SYNC'!E880,O876+1,P876-O876-1),""))</f>
        <v/>
      </c>
      <c r="W876" s="23" t="str">
        <f>IF('ASS END SYNC'!C880="SHOW",MID('ASS END SYNC'!E880,Q876+1,S876-Q876+1),"")</f>
        <v/>
      </c>
      <c r="X876" s="23" t="str">
        <f>IF('ASS END SYNC'!C880="SHOW",MID('ASS END SYNC'!E880,S876+2,1000),"")</f>
        <v/>
      </c>
      <c r="Z876" s="24"/>
    </row>
    <row r="877" spans="1:26" x14ac:dyDescent="0.25">
      <c r="A877" s="26">
        <v>874</v>
      </c>
      <c r="B877" s="24" t="str">
        <f>IF('ASS START SYNC'!C881="SHOW",FIND(",",'ASS START SYNC'!E881,1),"")</f>
        <v/>
      </c>
      <c r="C877" s="24" t="str">
        <f>IF('ASS START SYNC'!C881="SHOW",FIND(",",'ASS START SYNC'!E881,B877+1),"")</f>
        <v/>
      </c>
      <c r="D877" s="24" t="str">
        <f>IF('ASS START SYNC'!C881="SHOW",FIND(",",'ASS START SYNC'!E881,C877+1),"")</f>
        <v/>
      </c>
      <c r="E877" s="25" t="str">
        <f>IF('ASS START SYNC'!C881="SHOW",FIND(",,",'ASS START SYNC'!E881,1),"")</f>
        <v/>
      </c>
      <c r="F877" s="25" t="str">
        <f>IF('ASS START SYNC'!C881="SHOW",FIND(",,",'ASS START SYNC'!E881,E877+1),"")</f>
        <v/>
      </c>
      <c r="G877" s="23" t="str">
        <f>IF('ASS START SYNC'!C881="SHOW",LEFT('ASS START SYNC'!E881,B877),"")</f>
        <v/>
      </c>
      <c r="H877" s="24" t="str">
        <f>IF(AND('ASS START SYNC'!C881="SHOW",COUNTA('ASS START SYNC'!$E$8:'ASS START SYNC'!E880)=0),MID('ASS START SYNC'!E881,B877+1,C877-B877-1),IF(AND('ASS START SYNC'!C881="SHOW",COUNTA('ASS START SYNC'!$E$8:'ASS START SYNC'!E880)&lt;&gt;0),I876,""))</f>
        <v/>
      </c>
      <c r="I877" s="24" t="str">
        <f>IF('ASS START SYNC'!C881="SHOW",MID('ASS START SYNC'!E881,C877+1,D877-C877-1),I876)</f>
        <v/>
      </c>
      <c r="J877" s="23" t="str">
        <f>IF('ASS START SYNC'!C881="SHOW",MID('ASS START SYNC'!E881,D877+1,F877-D877+1),"")</f>
        <v/>
      </c>
      <c r="K877" s="23" t="str">
        <f>IF('ASS START SYNC'!C881="SHOW",MID('ASS START SYNC'!E881,F877+2,1000),"")</f>
        <v/>
      </c>
      <c r="M877" s="24"/>
      <c r="N877" s="26">
        <v>874</v>
      </c>
      <c r="O877" s="24" t="str">
        <f>IF('ASS END SYNC'!C881="SHOW",FIND(",",'ASS END SYNC'!E881,1),"")</f>
        <v/>
      </c>
      <c r="P877" s="24" t="str">
        <f>IF('ASS END SYNC'!C881="SHOW",FIND(",",'ASS END SYNC'!E881,O877+1),"")</f>
        <v/>
      </c>
      <c r="Q877" s="24" t="str">
        <f>IF('ASS END SYNC'!C881="SHOW",FIND(",",'ASS END SYNC'!E881,P877+1),"")</f>
        <v/>
      </c>
      <c r="R877" s="25" t="str">
        <f>IF('ASS END SYNC'!C881="SHOW",FIND(",,",'ASS END SYNC'!E881,1),"")</f>
        <v/>
      </c>
      <c r="S877" s="25" t="str">
        <f>IF('ASS END SYNC'!C881="SHOW",FIND(",,",'ASS END SYNC'!E881,R877+1),"")</f>
        <v/>
      </c>
      <c r="T877" s="23" t="str">
        <f>IF('ASS END SYNC'!C881="SHOW",LEFT('ASS END SYNC'!E881,O877),"")</f>
        <v/>
      </c>
      <c r="U877" s="24" t="str">
        <f>IF('ASS END SYNC'!C881="SHOW",MID('ASS END SYNC'!E881,O877+1,P877-O877-1),"")</f>
        <v/>
      </c>
      <c r="V877" s="24" t="str">
        <f>IF(AND('ASS END SYNC'!C881="SHOW",'ASS END SYNC'!C882="SHOW"),U878,IF(AND('ASS END SYNC'!C881="SHOW",'ASS END SYNC'!C882&lt;&gt;"SHOW"),MID('ASS END SYNC'!E881,O877+1,P877-O877-1),""))</f>
        <v/>
      </c>
      <c r="W877" s="23" t="str">
        <f>IF('ASS END SYNC'!C881="SHOW",MID('ASS END SYNC'!E881,Q877+1,S877-Q877+1),"")</f>
        <v/>
      </c>
      <c r="X877" s="23" t="str">
        <f>IF('ASS END SYNC'!C881="SHOW",MID('ASS END SYNC'!E881,S877+2,1000),"")</f>
        <v/>
      </c>
      <c r="Z877" s="24"/>
    </row>
    <row r="878" spans="1:26" x14ac:dyDescent="0.25">
      <c r="A878" s="26">
        <v>875</v>
      </c>
      <c r="B878" s="24" t="str">
        <f>IF('ASS START SYNC'!C882="SHOW",FIND(",",'ASS START SYNC'!E882,1),"")</f>
        <v/>
      </c>
      <c r="C878" s="24" t="str">
        <f>IF('ASS START SYNC'!C882="SHOW",FIND(",",'ASS START SYNC'!E882,B878+1),"")</f>
        <v/>
      </c>
      <c r="D878" s="24" t="str">
        <f>IF('ASS START SYNC'!C882="SHOW",FIND(",",'ASS START SYNC'!E882,C878+1),"")</f>
        <v/>
      </c>
      <c r="E878" s="25" t="str">
        <f>IF('ASS START SYNC'!C882="SHOW",FIND(",,",'ASS START SYNC'!E882,1),"")</f>
        <v/>
      </c>
      <c r="F878" s="25" t="str">
        <f>IF('ASS START SYNC'!C882="SHOW",FIND(",,",'ASS START SYNC'!E882,E878+1),"")</f>
        <v/>
      </c>
      <c r="G878" s="23" t="str">
        <f>IF('ASS START SYNC'!C882="SHOW",LEFT('ASS START SYNC'!E882,B878),"")</f>
        <v/>
      </c>
      <c r="H878" s="24" t="str">
        <f>IF(AND('ASS START SYNC'!C882="SHOW",COUNTA('ASS START SYNC'!$E$8:'ASS START SYNC'!E881)=0),MID('ASS START SYNC'!E882,B878+1,C878-B878-1),IF(AND('ASS START SYNC'!C882="SHOW",COUNTA('ASS START SYNC'!$E$8:'ASS START SYNC'!E881)&lt;&gt;0),I877,""))</f>
        <v/>
      </c>
      <c r="I878" s="24" t="str">
        <f>IF('ASS START SYNC'!C882="SHOW",MID('ASS START SYNC'!E882,C878+1,D878-C878-1),I877)</f>
        <v/>
      </c>
      <c r="J878" s="23" t="str">
        <f>IF('ASS START SYNC'!C882="SHOW",MID('ASS START SYNC'!E882,D878+1,F878-D878+1),"")</f>
        <v/>
      </c>
      <c r="K878" s="23" t="str">
        <f>IF('ASS START SYNC'!C882="SHOW",MID('ASS START SYNC'!E882,F878+2,1000),"")</f>
        <v/>
      </c>
      <c r="M878" s="24"/>
      <c r="N878" s="26">
        <v>875</v>
      </c>
      <c r="O878" s="24" t="str">
        <f>IF('ASS END SYNC'!C882="SHOW",FIND(",",'ASS END SYNC'!E882,1),"")</f>
        <v/>
      </c>
      <c r="P878" s="24" t="str">
        <f>IF('ASS END SYNC'!C882="SHOW",FIND(",",'ASS END SYNC'!E882,O878+1),"")</f>
        <v/>
      </c>
      <c r="Q878" s="24" t="str">
        <f>IF('ASS END SYNC'!C882="SHOW",FIND(",",'ASS END SYNC'!E882,P878+1),"")</f>
        <v/>
      </c>
      <c r="R878" s="25" t="str">
        <f>IF('ASS END SYNC'!C882="SHOW",FIND(",,",'ASS END SYNC'!E882,1),"")</f>
        <v/>
      </c>
      <c r="S878" s="25" t="str">
        <f>IF('ASS END SYNC'!C882="SHOW",FIND(",,",'ASS END SYNC'!E882,R878+1),"")</f>
        <v/>
      </c>
      <c r="T878" s="23" t="str">
        <f>IF('ASS END SYNC'!C882="SHOW",LEFT('ASS END SYNC'!E882,O878),"")</f>
        <v/>
      </c>
      <c r="U878" s="24" t="str">
        <f>IF('ASS END SYNC'!C882="SHOW",MID('ASS END SYNC'!E882,O878+1,P878-O878-1),"")</f>
        <v/>
      </c>
      <c r="V878" s="24" t="str">
        <f>IF(AND('ASS END SYNC'!C882="SHOW",'ASS END SYNC'!C883="SHOW"),U879,IF(AND('ASS END SYNC'!C882="SHOW",'ASS END SYNC'!C883&lt;&gt;"SHOW"),MID('ASS END SYNC'!E882,O878+1,P878-O878-1),""))</f>
        <v/>
      </c>
      <c r="W878" s="23" t="str">
        <f>IF('ASS END SYNC'!C882="SHOW",MID('ASS END SYNC'!E882,Q878+1,S878-Q878+1),"")</f>
        <v/>
      </c>
      <c r="X878" s="23" t="str">
        <f>IF('ASS END SYNC'!C882="SHOW",MID('ASS END SYNC'!E882,S878+2,1000),"")</f>
        <v/>
      </c>
      <c r="Z878" s="24"/>
    </row>
    <row r="879" spans="1:26" x14ac:dyDescent="0.25">
      <c r="A879" s="26">
        <v>876</v>
      </c>
      <c r="B879" s="24" t="str">
        <f>IF('ASS START SYNC'!C883="SHOW",FIND(",",'ASS START SYNC'!E883,1),"")</f>
        <v/>
      </c>
      <c r="C879" s="24" t="str">
        <f>IF('ASS START SYNC'!C883="SHOW",FIND(",",'ASS START SYNC'!E883,B879+1),"")</f>
        <v/>
      </c>
      <c r="D879" s="24" t="str">
        <f>IF('ASS START SYNC'!C883="SHOW",FIND(",",'ASS START SYNC'!E883,C879+1),"")</f>
        <v/>
      </c>
      <c r="E879" s="25" t="str">
        <f>IF('ASS START SYNC'!C883="SHOW",FIND(",,",'ASS START SYNC'!E883,1),"")</f>
        <v/>
      </c>
      <c r="F879" s="25" t="str">
        <f>IF('ASS START SYNC'!C883="SHOW",FIND(",,",'ASS START SYNC'!E883,E879+1),"")</f>
        <v/>
      </c>
      <c r="G879" s="23" t="str">
        <f>IF('ASS START SYNC'!C883="SHOW",LEFT('ASS START SYNC'!E883,B879),"")</f>
        <v/>
      </c>
      <c r="H879" s="24" t="str">
        <f>IF(AND('ASS START SYNC'!C883="SHOW",COUNTA('ASS START SYNC'!$E$8:'ASS START SYNC'!E882)=0),MID('ASS START SYNC'!E883,B879+1,C879-B879-1),IF(AND('ASS START SYNC'!C883="SHOW",COUNTA('ASS START SYNC'!$E$8:'ASS START SYNC'!E882)&lt;&gt;0),I878,""))</f>
        <v/>
      </c>
      <c r="I879" s="24" t="str">
        <f>IF('ASS START SYNC'!C883="SHOW",MID('ASS START SYNC'!E883,C879+1,D879-C879-1),I878)</f>
        <v/>
      </c>
      <c r="J879" s="23" t="str">
        <f>IF('ASS START SYNC'!C883="SHOW",MID('ASS START SYNC'!E883,D879+1,F879-D879+1),"")</f>
        <v/>
      </c>
      <c r="K879" s="23" t="str">
        <f>IF('ASS START SYNC'!C883="SHOW",MID('ASS START SYNC'!E883,F879+2,1000),"")</f>
        <v/>
      </c>
      <c r="M879" s="24"/>
      <c r="N879" s="26">
        <v>876</v>
      </c>
      <c r="O879" s="24" t="str">
        <f>IF('ASS END SYNC'!C883="SHOW",FIND(",",'ASS END SYNC'!E883,1),"")</f>
        <v/>
      </c>
      <c r="P879" s="24" t="str">
        <f>IF('ASS END SYNC'!C883="SHOW",FIND(",",'ASS END SYNC'!E883,O879+1),"")</f>
        <v/>
      </c>
      <c r="Q879" s="24" t="str">
        <f>IF('ASS END SYNC'!C883="SHOW",FIND(",",'ASS END SYNC'!E883,P879+1),"")</f>
        <v/>
      </c>
      <c r="R879" s="25" t="str">
        <f>IF('ASS END SYNC'!C883="SHOW",FIND(",,",'ASS END SYNC'!E883,1),"")</f>
        <v/>
      </c>
      <c r="S879" s="25" t="str">
        <f>IF('ASS END SYNC'!C883="SHOW",FIND(",,",'ASS END SYNC'!E883,R879+1),"")</f>
        <v/>
      </c>
      <c r="T879" s="23" t="str">
        <f>IF('ASS END SYNC'!C883="SHOW",LEFT('ASS END SYNC'!E883,O879),"")</f>
        <v/>
      </c>
      <c r="U879" s="24" t="str">
        <f>IF('ASS END SYNC'!C883="SHOW",MID('ASS END SYNC'!E883,O879+1,P879-O879-1),"")</f>
        <v/>
      </c>
      <c r="V879" s="24" t="str">
        <f>IF(AND('ASS END SYNC'!C883="SHOW",'ASS END SYNC'!C884="SHOW"),U880,IF(AND('ASS END SYNC'!C883="SHOW",'ASS END SYNC'!C884&lt;&gt;"SHOW"),MID('ASS END SYNC'!E883,O879+1,P879-O879-1),""))</f>
        <v/>
      </c>
      <c r="W879" s="23" t="str">
        <f>IF('ASS END SYNC'!C883="SHOW",MID('ASS END SYNC'!E883,Q879+1,S879-Q879+1),"")</f>
        <v/>
      </c>
      <c r="X879" s="23" t="str">
        <f>IF('ASS END SYNC'!C883="SHOW",MID('ASS END SYNC'!E883,S879+2,1000),"")</f>
        <v/>
      </c>
      <c r="Z879" s="24"/>
    </row>
    <row r="880" spans="1:26" x14ac:dyDescent="0.25">
      <c r="A880" s="26">
        <v>877</v>
      </c>
      <c r="B880" s="24" t="str">
        <f>IF('ASS START SYNC'!C884="SHOW",FIND(",",'ASS START SYNC'!E884,1),"")</f>
        <v/>
      </c>
      <c r="C880" s="24" t="str">
        <f>IF('ASS START SYNC'!C884="SHOW",FIND(",",'ASS START SYNC'!E884,B880+1),"")</f>
        <v/>
      </c>
      <c r="D880" s="24" t="str">
        <f>IF('ASS START SYNC'!C884="SHOW",FIND(",",'ASS START SYNC'!E884,C880+1),"")</f>
        <v/>
      </c>
      <c r="E880" s="25" t="str">
        <f>IF('ASS START SYNC'!C884="SHOW",FIND(",,",'ASS START SYNC'!E884,1),"")</f>
        <v/>
      </c>
      <c r="F880" s="25" t="str">
        <f>IF('ASS START SYNC'!C884="SHOW",FIND(",,",'ASS START SYNC'!E884,E880+1),"")</f>
        <v/>
      </c>
      <c r="G880" s="23" t="str">
        <f>IF('ASS START SYNC'!C884="SHOW",LEFT('ASS START SYNC'!E884,B880),"")</f>
        <v/>
      </c>
      <c r="H880" s="24" t="str">
        <f>IF(AND('ASS START SYNC'!C884="SHOW",COUNTA('ASS START SYNC'!$E$8:'ASS START SYNC'!E883)=0),MID('ASS START SYNC'!E884,B880+1,C880-B880-1),IF(AND('ASS START SYNC'!C884="SHOW",COUNTA('ASS START SYNC'!$E$8:'ASS START SYNC'!E883)&lt;&gt;0),I879,""))</f>
        <v/>
      </c>
      <c r="I880" s="24" t="str">
        <f>IF('ASS START SYNC'!C884="SHOW",MID('ASS START SYNC'!E884,C880+1,D880-C880-1),I879)</f>
        <v/>
      </c>
      <c r="J880" s="23" t="str">
        <f>IF('ASS START SYNC'!C884="SHOW",MID('ASS START SYNC'!E884,D880+1,F880-D880+1),"")</f>
        <v/>
      </c>
      <c r="K880" s="23" t="str">
        <f>IF('ASS START SYNC'!C884="SHOW",MID('ASS START SYNC'!E884,F880+2,1000),"")</f>
        <v/>
      </c>
      <c r="M880" s="24"/>
      <c r="N880" s="26">
        <v>877</v>
      </c>
      <c r="O880" s="24" t="str">
        <f>IF('ASS END SYNC'!C884="SHOW",FIND(",",'ASS END SYNC'!E884,1),"")</f>
        <v/>
      </c>
      <c r="P880" s="24" t="str">
        <f>IF('ASS END SYNC'!C884="SHOW",FIND(",",'ASS END SYNC'!E884,O880+1),"")</f>
        <v/>
      </c>
      <c r="Q880" s="24" t="str">
        <f>IF('ASS END SYNC'!C884="SHOW",FIND(",",'ASS END SYNC'!E884,P880+1),"")</f>
        <v/>
      </c>
      <c r="R880" s="25" t="str">
        <f>IF('ASS END SYNC'!C884="SHOW",FIND(",,",'ASS END SYNC'!E884,1),"")</f>
        <v/>
      </c>
      <c r="S880" s="25" t="str">
        <f>IF('ASS END SYNC'!C884="SHOW",FIND(",,",'ASS END SYNC'!E884,R880+1),"")</f>
        <v/>
      </c>
      <c r="T880" s="23" t="str">
        <f>IF('ASS END SYNC'!C884="SHOW",LEFT('ASS END SYNC'!E884,O880),"")</f>
        <v/>
      </c>
      <c r="U880" s="24" t="str">
        <f>IF('ASS END SYNC'!C884="SHOW",MID('ASS END SYNC'!E884,O880+1,P880-O880-1),"")</f>
        <v/>
      </c>
      <c r="V880" s="24" t="str">
        <f>IF(AND('ASS END SYNC'!C884="SHOW",'ASS END SYNC'!C885="SHOW"),U881,IF(AND('ASS END SYNC'!C884="SHOW",'ASS END SYNC'!C885&lt;&gt;"SHOW"),MID('ASS END SYNC'!E884,O880+1,P880-O880-1),""))</f>
        <v/>
      </c>
      <c r="W880" s="23" t="str">
        <f>IF('ASS END SYNC'!C884="SHOW",MID('ASS END SYNC'!E884,Q880+1,S880-Q880+1),"")</f>
        <v/>
      </c>
      <c r="X880" s="23" t="str">
        <f>IF('ASS END SYNC'!C884="SHOW",MID('ASS END SYNC'!E884,S880+2,1000),"")</f>
        <v/>
      </c>
      <c r="Z880" s="24"/>
    </row>
    <row r="881" spans="1:26" x14ac:dyDescent="0.25">
      <c r="A881" s="26">
        <v>878</v>
      </c>
      <c r="B881" s="24" t="str">
        <f>IF('ASS START SYNC'!C885="SHOW",FIND(",",'ASS START SYNC'!E885,1),"")</f>
        <v/>
      </c>
      <c r="C881" s="24" t="str">
        <f>IF('ASS START SYNC'!C885="SHOW",FIND(",",'ASS START SYNC'!E885,B881+1),"")</f>
        <v/>
      </c>
      <c r="D881" s="24" t="str">
        <f>IF('ASS START SYNC'!C885="SHOW",FIND(",",'ASS START SYNC'!E885,C881+1),"")</f>
        <v/>
      </c>
      <c r="E881" s="25" t="str">
        <f>IF('ASS START SYNC'!C885="SHOW",FIND(",,",'ASS START SYNC'!E885,1),"")</f>
        <v/>
      </c>
      <c r="F881" s="25" t="str">
        <f>IF('ASS START SYNC'!C885="SHOW",FIND(",,",'ASS START SYNC'!E885,E881+1),"")</f>
        <v/>
      </c>
      <c r="G881" s="23" t="str">
        <f>IF('ASS START SYNC'!C885="SHOW",LEFT('ASS START SYNC'!E885,B881),"")</f>
        <v/>
      </c>
      <c r="H881" s="24" t="str">
        <f>IF(AND('ASS START SYNC'!C885="SHOW",COUNTA('ASS START SYNC'!$E$8:'ASS START SYNC'!E884)=0),MID('ASS START SYNC'!E885,B881+1,C881-B881-1),IF(AND('ASS START SYNC'!C885="SHOW",COUNTA('ASS START SYNC'!$E$8:'ASS START SYNC'!E884)&lt;&gt;0),I880,""))</f>
        <v/>
      </c>
      <c r="I881" s="24" t="str">
        <f>IF('ASS START SYNC'!C885="SHOW",MID('ASS START SYNC'!E885,C881+1,D881-C881-1),I880)</f>
        <v/>
      </c>
      <c r="J881" s="23" t="str">
        <f>IF('ASS START SYNC'!C885="SHOW",MID('ASS START SYNC'!E885,D881+1,F881-D881+1),"")</f>
        <v/>
      </c>
      <c r="K881" s="23" t="str">
        <f>IF('ASS START SYNC'!C885="SHOW",MID('ASS START SYNC'!E885,F881+2,1000),"")</f>
        <v/>
      </c>
      <c r="M881" s="24"/>
      <c r="N881" s="26">
        <v>878</v>
      </c>
      <c r="O881" s="24" t="str">
        <f>IF('ASS END SYNC'!C885="SHOW",FIND(",",'ASS END SYNC'!E885,1),"")</f>
        <v/>
      </c>
      <c r="P881" s="24" t="str">
        <f>IF('ASS END SYNC'!C885="SHOW",FIND(",",'ASS END SYNC'!E885,O881+1),"")</f>
        <v/>
      </c>
      <c r="Q881" s="24" t="str">
        <f>IF('ASS END SYNC'!C885="SHOW",FIND(",",'ASS END SYNC'!E885,P881+1),"")</f>
        <v/>
      </c>
      <c r="R881" s="25" t="str">
        <f>IF('ASS END SYNC'!C885="SHOW",FIND(",,",'ASS END SYNC'!E885,1),"")</f>
        <v/>
      </c>
      <c r="S881" s="25" t="str">
        <f>IF('ASS END SYNC'!C885="SHOW",FIND(",,",'ASS END SYNC'!E885,R881+1),"")</f>
        <v/>
      </c>
      <c r="T881" s="23" t="str">
        <f>IF('ASS END SYNC'!C885="SHOW",LEFT('ASS END SYNC'!E885,O881),"")</f>
        <v/>
      </c>
      <c r="U881" s="24" t="str">
        <f>IF('ASS END SYNC'!C885="SHOW",MID('ASS END SYNC'!E885,O881+1,P881-O881-1),"")</f>
        <v/>
      </c>
      <c r="V881" s="24" t="str">
        <f>IF(AND('ASS END SYNC'!C885="SHOW",'ASS END SYNC'!C886="SHOW"),U882,IF(AND('ASS END SYNC'!C885="SHOW",'ASS END SYNC'!C886&lt;&gt;"SHOW"),MID('ASS END SYNC'!E885,O881+1,P881-O881-1),""))</f>
        <v/>
      </c>
      <c r="W881" s="23" t="str">
        <f>IF('ASS END SYNC'!C885="SHOW",MID('ASS END SYNC'!E885,Q881+1,S881-Q881+1),"")</f>
        <v/>
      </c>
      <c r="X881" s="23" t="str">
        <f>IF('ASS END SYNC'!C885="SHOW",MID('ASS END SYNC'!E885,S881+2,1000),"")</f>
        <v/>
      </c>
      <c r="Z881" s="24"/>
    </row>
    <row r="882" spans="1:26" x14ac:dyDescent="0.25">
      <c r="A882" s="26">
        <v>879</v>
      </c>
      <c r="B882" s="24" t="str">
        <f>IF('ASS START SYNC'!C886="SHOW",FIND(",",'ASS START SYNC'!E886,1),"")</f>
        <v/>
      </c>
      <c r="C882" s="24" t="str">
        <f>IF('ASS START SYNC'!C886="SHOW",FIND(",",'ASS START SYNC'!E886,B882+1),"")</f>
        <v/>
      </c>
      <c r="D882" s="24" t="str">
        <f>IF('ASS START SYNC'!C886="SHOW",FIND(",",'ASS START SYNC'!E886,C882+1),"")</f>
        <v/>
      </c>
      <c r="E882" s="25" t="str">
        <f>IF('ASS START SYNC'!C886="SHOW",FIND(",,",'ASS START SYNC'!E886,1),"")</f>
        <v/>
      </c>
      <c r="F882" s="25" t="str">
        <f>IF('ASS START SYNC'!C886="SHOW",FIND(",,",'ASS START SYNC'!E886,E882+1),"")</f>
        <v/>
      </c>
      <c r="G882" s="23" t="str">
        <f>IF('ASS START SYNC'!C886="SHOW",LEFT('ASS START SYNC'!E886,B882),"")</f>
        <v/>
      </c>
      <c r="H882" s="24" t="str">
        <f>IF(AND('ASS START SYNC'!C886="SHOW",COUNTA('ASS START SYNC'!$E$8:'ASS START SYNC'!E885)=0),MID('ASS START SYNC'!E886,B882+1,C882-B882-1),IF(AND('ASS START SYNC'!C886="SHOW",COUNTA('ASS START SYNC'!$E$8:'ASS START SYNC'!E885)&lt;&gt;0),I881,""))</f>
        <v/>
      </c>
      <c r="I882" s="24" t="str">
        <f>IF('ASS START SYNC'!C886="SHOW",MID('ASS START SYNC'!E886,C882+1,D882-C882-1),I881)</f>
        <v/>
      </c>
      <c r="J882" s="23" t="str">
        <f>IF('ASS START SYNC'!C886="SHOW",MID('ASS START SYNC'!E886,D882+1,F882-D882+1),"")</f>
        <v/>
      </c>
      <c r="K882" s="23" t="str">
        <f>IF('ASS START SYNC'!C886="SHOW",MID('ASS START SYNC'!E886,F882+2,1000),"")</f>
        <v/>
      </c>
      <c r="M882" s="24"/>
      <c r="N882" s="26">
        <v>879</v>
      </c>
      <c r="O882" s="24" t="str">
        <f>IF('ASS END SYNC'!C886="SHOW",FIND(",",'ASS END SYNC'!E886,1),"")</f>
        <v/>
      </c>
      <c r="P882" s="24" t="str">
        <f>IF('ASS END SYNC'!C886="SHOW",FIND(",",'ASS END SYNC'!E886,O882+1),"")</f>
        <v/>
      </c>
      <c r="Q882" s="24" t="str">
        <f>IF('ASS END SYNC'!C886="SHOW",FIND(",",'ASS END SYNC'!E886,P882+1),"")</f>
        <v/>
      </c>
      <c r="R882" s="25" t="str">
        <f>IF('ASS END SYNC'!C886="SHOW",FIND(",,",'ASS END SYNC'!E886,1),"")</f>
        <v/>
      </c>
      <c r="S882" s="25" t="str">
        <f>IF('ASS END SYNC'!C886="SHOW",FIND(",,",'ASS END SYNC'!E886,R882+1),"")</f>
        <v/>
      </c>
      <c r="T882" s="23" t="str">
        <f>IF('ASS END SYNC'!C886="SHOW",LEFT('ASS END SYNC'!E886,O882),"")</f>
        <v/>
      </c>
      <c r="U882" s="24" t="str">
        <f>IF('ASS END SYNC'!C886="SHOW",MID('ASS END SYNC'!E886,O882+1,P882-O882-1),"")</f>
        <v/>
      </c>
      <c r="V882" s="24" t="str">
        <f>IF(AND('ASS END SYNC'!C886="SHOW",'ASS END SYNC'!C887="SHOW"),U883,IF(AND('ASS END SYNC'!C886="SHOW",'ASS END SYNC'!C887&lt;&gt;"SHOW"),MID('ASS END SYNC'!E886,O882+1,P882-O882-1),""))</f>
        <v/>
      </c>
      <c r="W882" s="23" t="str">
        <f>IF('ASS END SYNC'!C886="SHOW",MID('ASS END SYNC'!E886,Q882+1,S882-Q882+1),"")</f>
        <v/>
      </c>
      <c r="X882" s="23" t="str">
        <f>IF('ASS END SYNC'!C886="SHOW",MID('ASS END SYNC'!E886,S882+2,1000),"")</f>
        <v/>
      </c>
      <c r="Z882" s="24"/>
    </row>
    <row r="883" spans="1:26" x14ac:dyDescent="0.25">
      <c r="A883" s="26">
        <v>880</v>
      </c>
      <c r="B883" s="24" t="str">
        <f>IF('ASS START SYNC'!C887="SHOW",FIND(",",'ASS START SYNC'!E887,1),"")</f>
        <v/>
      </c>
      <c r="C883" s="24" t="str">
        <f>IF('ASS START SYNC'!C887="SHOW",FIND(",",'ASS START SYNC'!E887,B883+1),"")</f>
        <v/>
      </c>
      <c r="D883" s="24" t="str">
        <f>IF('ASS START SYNC'!C887="SHOW",FIND(",",'ASS START SYNC'!E887,C883+1),"")</f>
        <v/>
      </c>
      <c r="E883" s="25" t="str">
        <f>IF('ASS START SYNC'!C887="SHOW",FIND(",,",'ASS START SYNC'!E887,1),"")</f>
        <v/>
      </c>
      <c r="F883" s="25" t="str">
        <f>IF('ASS START SYNC'!C887="SHOW",FIND(",,",'ASS START SYNC'!E887,E883+1),"")</f>
        <v/>
      </c>
      <c r="G883" s="23" t="str">
        <f>IF('ASS START SYNC'!C887="SHOW",LEFT('ASS START SYNC'!E887,B883),"")</f>
        <v/>
      </c>
      <c r="H883" s="24" t="str">
        <f>IF(AND('ASS START SYNC'!C887="SHOW",COUNTA('ASS START SYNC'!$E$8:'ASS START SYNC'!E886)=0),MID('ASS START SYNC'!E887,B883+1,C883-B883-1),IF(AND('ASS START SYNC'!C887="SHOW",COUNTA('ASS START SYNC'!$E$8:'ASS START SYNC'!E886)&lt;&gt;0),I882,""))</f>
        <v/>
      </c>
      <c r="I883" s="24" t="str">
        <f>IF('ASS START SYNC'!C887="SHOW",MID('ASS START SYNC'!E887,C883+1,D883-C883-1),I882)</f>
        <v/>
      </c>
      <c r="J883" s="23" t="str">
        <f>IF('ASS START SYNC'!C887="SHOW",MID('ASS START SYNC'!E887,D883+1,F883-D883+1),"")</f>
        <v/>
      </c>
      <c r="K883" s="23" t="str">
        <f>IF('ASS START SYNC'!C887="SHOW",MID('ASS START SYNC'!E887,F883+2,1000),"")</f>
        <v/>
      </c>
      <c r="M883" s="24"/>
      <c r="N883" s="26">
        <v>880</v>
      </c>
      <c r="O883" s="24" t="str">
        <f>IF('ASS END SYNC'!C887="SHOW",FIND(",",'ASS END SYNC'!E887,1),"")</f>
        <v/>
      </c>
      <c r="P883" s="24" t="str">
        <f>IF('ASS END SYNC'!C887="SHOW",FIND(",",'ASS END SYNC'!E887,O883+1),"")</f>
        <v/>
      </c>
      <c r="Q883" s="24" t="str">
        <f>IF('ASS END SYNC'!C887="SHOW",FIND(",",'ASS END SYNC'!E887,P883+1),"")</f>
        <v/>
      </c>
      <c r="R883" s="25" t="str">
        <f>IF('ASS END SYNC'!C887="SHOW",FIND(",,",'ASS END SYNC'!E887,1),"")</f>
        <v/>
      </c>
      <c r="S883" s="25" t="str">
        <f>IF('ASS END SYNC'!C887="SHOW",FIND(",,",'ASS END SYNC'!E887,R883+1),"")</f>
        <v/>
      </c>
      <c r="T883" s="23" t="str">
        <f>IF('ASS END SYNC'!C887="SHOW",LEFT('ASS END SYNC'!E887,O883),"")</f>
        <v/>
      </c>
      <c r="U883" s="24" t="str">
        <f>IF('ASS END SYNC'!C887="SHOW",MID('ASS END SYNC'!E887,O883+1,P883-O883-1),"")</f>
        <v/>
      </c>
      <c r="V883" s="24" t="str">
        <f>IF(AND('ASS END SYNC'!C887="SHOW",'ASS END SYNC'!C888="SHOW"),U884,IF(AND('ASS END SYNC'!C887="SHOW",'ASS END SYNC'!C888&lt;&gt;"SHOW"),MID('ASS END SYNC'!E887,O883+1,P883-O883-1),""))</f>
        <v/>
      </c>
      <c r="W883" s="23" t="str">
        <f>IF('ASS END SYNC'!C887="SHOW",MID('ASS END SYNC'!E887,Q883+1,S883-Q883+1),"")</f>
        <v/>
      </c>
      <c r="X883" s="23" t="str">
        <f>IF('ASS END SYNC'!C887="SHOW",MID('ASS END SYNC'!E887,S883+2,1000),"")</f>
        <v/>
      </c>
      <c r="Z883" s="24"/>
    </row>
    <row r="884" spans="1:26" x14ac:dyDescent="0.25">
      <c r="A884" s="26">
        <v>881</v>
      </c>
      <c r="B884" s="24" t="str">
        <f>IF('ASS START SYNC'!C888="SHOW",FIND(",",'ASS START SYNC'!E888,1),"")</f>
        <v/>
      </c>
      <c r="C884" s="24" t="str">
        <f>IF('ASS START SYNC'!C888="SHOW",FIND(",",'ASS START SYNC'!E888,B884+1),"")</f>
        <v/>
      </c>
      <c r="D884" s="24" t="str">
        <f>IF('ASS START SYNC'!C888="SHOW",FIND(",",'ASS START SYNC'!E888,C884+1),"")</f>
        <v/>
      </c>
      <c r="E884" s="25" t="str">
        <f>IF('ASS START SYNC'!C888="SHOW",FIND(",,",'ASS START SYNC'!E888,1),"")</f>
        <v/>
      </c>
      <c r="F884" s="25" t="str">
        <f>IF('ASS START SYNC'!C888="SHOW",FIND(",,",'ASS START SYNC'!E888,E884+1),"")</f>
        <v/>
      </c>
      <c r="G884" s="23" t="str">
        <f>IF('ASS START SYNC'!C888="SHOW",LEFT('ASS START SYNC'!E888,B884),"")</f>
        <v/>
      </c>
      <c r="H884" s="24" t="str">
        <f>IF(AND('ASS START SYNC'!C888="SHOW",COUNTA('ASS START SYNC'!$E$8:'ASS START SYNC'!E887)=0),MID('ASS START SYNC'!E888,B884+1,C884-B884-1),IF(AND('ASS START SYNC'!C888="SHOW",COUNTA('ASS START SYNC'!$E$8:'ASS START SYNC'!E887)&lt;&gt;0),I883,""))</f>
        <v/>
      </c>
      <c r="I884" s="24" t="str">
        <f>IF('ASS START SYNC'!C888="SHOW",MID('ASS START SYNC'!E888,C884+1,D884-C884-1),I883)</f>
        <v/>
      </c>
      <c r="J884" s="23" t="str">
        <f>IF('ASS START SYNC'!C888="SHOW",MID('ASS START SYNC'!E888,D884+1,F884-D884+1),"")</f>
        <v/>
      </c>
      <c r="K884" s="23" t="str">
        <f>IF('ASS START SYNC'!C888="SHOW",MID('ASS START SYNC'!E888,F884+2,1000),"")</f>
        <v/>
      </c>
      <c r="M884" s="24"/>
      <c r="N884" s="26">
        <v>881</v>
      </c>
      <c r="O884" s="24" t="str">
        <f>IF('ASS END SYNC'!C888="SHOW",FIND(",",'ASS END SYNC'!E888,1),"")</f>
        <v/>
      </c>
      <c r="P884" s="24" t="str">
        <f>IF('ASS END SYNC'!C888="SHOW",FIND(",",'ASS END SYNC'!E888,O884+1),"")</f>
        <v/>
      </c>
      <c r="Q884" s="24" t="str">
        <f>IF('ASS END SYNC'!C888="SHOW",FIND(",",'ASS END SYNC'!E888,P884+1),"")</f>
        <v/>
      </c>
      <c r="R884" s="25" t="str">
        <f>IF('ASS END SYNC'!C888="SHOW",FIND(",,",'ASS END SYNC'!E888,1),"")</f>
        <v/>
      </c>
      <c r="S884" s="25" t="str">
        <f>IF('ASS END SYNC'!C888="SHOW",FIND(",,",'ASS END SYNC'!E888,R884+1),"")</f>
        <v/>
      </c>
      <c r="T884" s="23" t="str">
        <f>IF('ASS END SYNC'!C888="SHOW",LEFT('ASS END SYNC'!E888,O884),"")</f>
        <v/>
      </c>
      <c r="U884" s="24" t="str">
        <f>IF('ASS END SYNC'!C888="SHOW",MID('ASS END SYNC'!E888,O884+1,P884-O884-1),"")</f>
        <v/>
      </c>
      <c r="V884" s="24" t="str">
        <f>IF(AND('ASS END SYNC'!C888="SHOW",'ASS END SYNC'!C889="SHOW"),U885,IF(AND('ASS END SYNC'!C888="SHOW",'ASS END SYNC'!C889&lt;&gt;"SHOW"),MID('ASS END SYNC'!E888,O884+1,P884-O884-1),""))</f>
        <v/>
      </c>
      <c r="W884" s="23" t="str">
        <f>IF('ASS END SYNC'!C888="SHOW",MID('ASS END SYNC'!E888,Q884+1,S884-Q884+1),"")</f>
        <v/>
      </c>
      <c r="X884" s="23" t="str">
        <f>IF('ASS END SYNC'!C888="SHOW",MID('ASS END SYNC'!E888,S884+2,1000),"")</f>
        <v/>
      </c>
      <c r="Z884" s="24"/>
    </row>
    <row r="885" spans="1:26" x14ac:dyDescent="0.25">
      <c r="A885" s="26">
        <v>882</v>
      </c>
      <c r="B885" s="24" t="str">
        <f>IF('ASS START SYNC'!C889="SHOW",FIND(",",'ASS START SYNC'!E889,1),"")</f>
        <v/>
      </c>
      <c r="C885" s="24" t="str">
        <f>IF('ASS START SYNC'!C889="SHOW",FIND(",",'ASS START SYNC'!E889,B885+1),"")</f>
        <v/>
      </c>
      <c r="D885" s="24" t="str">
        <f>IF('ASS START SYNC'!C889="SHOW",FIND(",",'ASS START SYNC'!E889,C885+1),"")</f>
        <v/>
      </c>
      <c r="E885" s="25" t="str">
        <f>IF('ASS START SYNC'!C889="SHOW",FIND(",,",'ASS START SYNC'!E889,1),"")</f>
        <v/>
      </c>
      <c r="F885" s="25" t="str">
        <f>IF('ASS START SYNC'!C889="SHOW",FIND(",,",'ASS START SYNC'!E889,E885+1),"")</f>
        <v/>
      </c>
      <c r="G885" s="23" t="str">
        <f>IF('ASS START SYNC'!C889="SHOW",LEFT('ASS START SYNC'!E889,B885),"")</f>
        <v/>
      </c>
      <c r="H885" s="24" t="str">
        <f>IF(AND('ASS START SYNC'!C889="SHOW",COUNTA('ASS START SYNC'!$E$8:'ASS START SYNC'!E888)=0),MID('ASS START SYNC'!E889,B885+1,C885-B885-1),IF(AND('ASS START SYNC'!C889="SHOW",COUNTA('ASS START SYNC'!$E$8:'ASS START SYNC'!E888)&lt;&gt;0),I884,""))</f>
        <v/>
      </c>
      <c r="I885" s="24" t="str">
        <f>IF('ASS START SYNC'!C889="SHOW",MID('ASS START SYNC'!E889,C885+1,D885-C885-1),I884)</f>
        <v/>
      </c>
      <c r="J885" s="23" t="str">
        <f>IF('ASS START SYNC'!C889="SHOW",MID('ASS START SYNC'!E889,D885+1,F885-D885+1),"")</f>
        <v/>
      </c>
      <c r="K885" s="23" t="str">
        <f>IF('ASS START SYNC'!C889="SHOW",MID('ASS START SYNC'!E889,F885+2,1000),"")</f>
        <v/>
      </c>
      <c r="M885" s="24"/>
      <c r="N885" s="26">
        <v>882</v>
      </c>
      <c r="O885" s="24" t="str">
        <f>IF('ASS END SYNC'!C889="SHOW",FIND(",",'ASS END SYNC'!E889,1),"")</f>
        <v/>
      </c>
      <c r="P885" s="24" t="str">
        <f>IF('ASS END SYNC'!C889="SHOW",FIND(",",'ASS END SYNC'!E889,O885+1),"")</f>
        <v/>
      </c>
      <c r="Q885" s="24" t="str">
        <f>IF('ASS END SYNC'!C889="SHOW",FIND(",",'ASS END SYNC'!E889,P885+1),"")</f>
        <v/>
      </c>
      <c r="R885" s="25" t="str">
        <f>IF('ASS END SYNC'!C889="SHOW",FIND(",,",'ASS END SYNC'!E889,1),"")</f>
        <v/>
      </c>
      <c r="S885" s="25" t="str">
        <f>IF('ASS END SYNC'!C889="SHOW",FIND(",,",'ASS END SYNC'!E889,R885+1),"")</f>
        <v/>
      </c>
      <c r="T885" s="23" t="str">
        <f>IF('ASS END SYNC'!C889="SHOW",LEFT('ASS END SYNC'!E889,O885),"")</f>
        <v/>
      </c>
      <c r="U885" s="24" t="str">
        <f>IF('ASS END SYNC'!C889="SHOW",MID('ASS END SYNC'!E889,O885+1,P885-O885-1),"")</f>
        <v/>
      </c>
      <c r="V885" s="24" t="str">
        <f>IF(AND('ASS END SYNC'!C889="SHOW",'ASS END SYNC'!C890="SHOW"),U886,IF(AND('ASS END SYNC'!C889="SHOW",'ASS END SYNC'!C890&lt;&gt;"SHOW"),MID('ASS END SYNC'!E889,O885+1,P885-O885-1),""))</f>
        <v/>
      </c>
      <c r="W885" s="23" t="str">
        <f>IF('ASS END SYNC'!C889="SHOW",MID('ASS END SYNC'!E889,Q885+1,S885-Q885+1),"")</f>
        <v/>
      </c>
      <c r="X885" s="23" t="str">
        <f>IF('ASS END SYNC'!C889="SHOW",MID('ASS END SYNC'!E889,S885+2,1000),"")</f>
        <v/>
      </c>
      <c r="Z885" s="24"/>
    </row>
    <row r="886" spans="1:26" x14ac:dyDescent="0.25">
      <c r="A886" s="26">
        <v>883</v>
      </c>
      <c r="B886" s="24" t="str">
        <f>IF('ASS START SYNC'!C890="SHOW",FIND(",",'ASS START SYNC'!E890,1),"")</f>
        <v/>
      </c>
      <c r="C886" s="24" t="str">
        <f>IF('ASS START SYNC'!C890="SHOW",FIND(",",'ASS START SYNC'!E890,B886+1),"")</f>
        <v/>
      </c>
      <c r="D886" s="24" t="str">
        <f>IF('ASS START SYNC'!C890="SHOW",FIND(",",'ASS START SYNC'!E890,C886+1),"")</f>
        <v/>
      </c>
      <c r="E886" s="25" t="str">
        <f>IF('ASS START SYNC'!C890="SHOW",FIND(",,",'ASS START SYNC'!E890,1),"")</f>
        <v/>
      </c>
      <c r="F886" s="25" t="str">
        <f>IF('ASS START SYNC'!C890="SHOW",FIND(",,",'ASS START SYNC'!E890,E886+1),"")</f>
        <v/>
      </c>
      <c r="G886" s="23" t="str">
        <f>IF('ASS START SYNC'!C890="SHOW",LEFT('ASS START SYNC'!E890,B886),"")</f>
        <v/>
      </c>
      <c r="H886" s="24" t="str">
        <f>IF(AND('ASS START SYNC'!C890="SHOW",COUNTA('ASS START SYNC'!$E$8:'ASS START SYNC'!E889)=0),MID('ASS START SYNC'!E890,B886+1,C886-B886-1),IF(AND('ASS START SYNC'!C890="SHOW",COUNTA('ASS START SYNC'!$E$8:'ASS START SYNC'!E889)&lt;&gt;0),I885,""))</f>
        <v/>
      </c>
      <c r="I886" s="24" t="str">
        <f>IF('ASS START SYNC'!C890="SHOW",MID('ASS START SYNC'!E890,C886+1,D886-C886-1),I885)</f>
        <v/>
      </c>
      <c r="J886" s="23" t="str">
        <f>IF('ASS START SYNC'!C890="SHOW",MID('ASS START SYNC'!E890,D886+1,F886-D886+1),"")</f>
        <v/>
      </c>
      <c r="K886" s="23" t="str">
        <f>IF('ASS START SYNC'!C890="SHOW",MID('ASS START SYNC'!E890,F886+2,1000),"")</f>
        <v/>
      </c>
      <c r="M886" s="24"/>
      <c r="N886" s="26">
        <v>883</v>
      </c>
      <c r="O886" s="24" t="str">
        <f>IF('ASS END SYNC'!C890="SHOW",FIND(",",'ASS END SYNC'!E890,1),"")</f>
        <v/>
      </c>
      <c r="P886" s="24" t="str">
        <f>IF('ASS END SYNC'!C890="SHOW",FIND(",",'ASS END SYNC'!E890,O886+1),"")</f>
        <v/>
      </c>
      <c r="Q886" s="24" t="str">
        <f>IF('ASS END SYNC'!C890="SHOW",FIND(",",'ASS END SYNC'!E890,P886+1),"")</f>
        <v/>
      </c>
      <c r="R886" s="25" t="str">
        <f>IF('ASS END SYNC'!C890="SHOW",FIND(",,",'ASS END SYNC'!E890,1),"")</f>
        <v/>
      </c>
      <c r="S886" s="25" t="str">
        <f>IF('ASS END SYNC'!C890="SHOW",FIND(",,",'ASS END SYNC'!E890,R886+1),"")</f>
        <v/>
      </c>
      <c r="T886" s="23" t="str">
        <f>IF('ASS END SYNC'!C890="SHOW",LEFT('ASS END SYNC'!E890,O886),"")</f>
        <v/>
      </c>
      <c r="U886" s="24" t="str">
        <f>IF('ASS END SYNC'!C890="SHOW",MID('ASS END SYNC'!E890,O886+1,P886-O886-1),"")</f>
        <v/>
      </c>
      <c r="V886" s="24" t="str">
        <f>IF(AND('ASS END SYNC'!C890="SHOW",'ASS END SYNC'!C891="SHOW"),U887,IF(AND('ASS END SYNC'!C890="SHOW",'ASS END SYNC'!C891&lt;&gt;"SHOW"),MID('ASS END SYNC'!E890,O886+1,P886-O886-1),""))</f>
        <v/>
      </c>
      <c r="W886" s="23" t="str">
        <f>IF('ASS END SYNC'!C890="SHOW",MID('ASS END SYNC'!E890,Q886+1,S886-Q886+1),"")</f>
        <v/>
      </c>
      <c r="X886" s="23" t="str">
        <f>IF('ASS END SYNC'!C890="SHOW",MID('ASS END SYNC'!E890,S886+2,1000),"")</f>
        <v/>
      </c>
      <c r="Z886" s="24"/>
    </row>
    <row r="887" spans="1:26" x14ac:dyDescent="0.25">
      <c r="A887" s="26">
        <v>884</v>
      </c>
      <c r="B887" s="24" t="str">
        <f>IF('ASS START SYNC'!C891="SHOW",FIND(",",'ASS START SYNC'!E891,1),"")</f>
        <v/>
      </c>
      <c r="C887" s="24" t="str">
        <f>IF('ASS START SYNC'!C891="SHOW",FIND(",",'ASS START SYNC'!E891,B887+1),"")</f>
        <v/>
      </c>
      <c r="D887" s="24" t="str">
        <f>IF('ASS START SYNC'!C891="SHOW",FIND(",",'ASS START SYNC'!E891,C887+1),"")</f>
        <v/>
      </c>
      <c r="E887" s="25" t="str">
        <f>IF('ASS START SYNC'!C891="SHOW",FIND(",,",'ASS START SYNC'!E891,1),"")</f>
        <v/>
      </c>
      <c r="F887" s="25" t="str">
        <f>IF('ASS START SYNC'!C891="SHOW",FIND(",,",'ASS START SYNC'!E891,E887+1),"")</f>
        <v/>
      </c>
      <c r="G887" s="23" t="str">
        <f>IF('ASS START SYNC'!C891="SHOW",LEFT('ASS START SYNC'!E891,B887),"")</f>
        <v/>
      </c>
      <c r="H887" s="24" t="str">
        <f>IF(AND('ASS START SYNC'!C891="SHOW",COUNTA('ASS START SYNC'!$E$8:'ASS START SYNC'!E890)=0),MID('ASS START SYNC'!E891,B887+1,C887-B887-1),IF(AND('ASS START SYNC'!C891="SHOW",COUNTA('ASS START SYNC'!$E$8:'ASS START SYNC'!E890)&lt;&gt;0),I886,""))</f>
        <v/>
      </c>
      <c r="I887" s="24" t="str">
        <f>IF('ASS START SYNC'!C891="SHOW",MID('ASS START SYNC'!E891,C887+1,D887-C887-1),I886)</f>
        <v/>
      </c>
      <c r="J887" s="23" t="str">
        <f>IF('ASS START SYNC'!C891="SHOW",MID('ASS START SYNC'!E891,D887+1,F887-D887+1),"")</f>
        <v/>
      </c>
      <c r="K887" s="23" t="str">
        <f>IF('ASS START SYNC'!C891="SHOW",MID('ASS START SYNC'!E891,F887+2,1000),"")</f>
        <v/>
      </c>
      <c r="M887" s="24"/>
      <c r="N887" s="26">
        <v>884</v>
      </c>
      <c r="O887" s="24" t="str">
        <f>IF('ASS END SYNC'!C891="SHOW",FIND(",",'ASS END SYNC'!E891,1),"")</f>
        <v/>
      </c>
      <c r="P887" s="24" t="str">
        <f>IF('ASS END SYNC'!C891="SHOW",FIND(",",'ASS END SYNC'!E891,O887+1),"")</f>
        <v/>
      </c>
      <c r="Q887" s="24" t="str">
        <f>IF('ASS END SYNC'!C891="SHOW",FIND(",",'ASS END SYNC'!E891,P887+1),"")</f>
        <v/>
      </c>
      <c r="R887" s="25" t="str">
        <f>IF('ASS END SYNC'!C891="SHOW",FIND(",,",'ASS END SYNC'!E891,1),"")</f>
        <v/>
      </c>
      <c r="S887" s="25" t="str">
        <f>IF('ASS END SYNC'!C891="SHOW",FIND(",,",'ASS END SYNC'!E891,R887+1),"")</f>
        <v/>
      </c>
      <c r="T887" s="23" t="str">
        <f>IF('ASS END SYNC'!C891="SHOW",LEFT('ASS END SYNC'!E891,O887),"")</f>
        <v/>
      </c>
      <c r="U887" s="24" t="str">
        <f>IF('ASS END SYNC'!C891="SHOW",MID('ASS END SYNC'!E891,O887+1,P887-O887-1),"")</f>
        <v/>
      </c>
      <c r="V887" s="24" t="str">
        <f>IF(AND('ASS END SYNC'!C891="SHOW",'ASS END SYNC'!C892="SHOW"),U888,IF(AND('ASS END SYNC'!C891="SHOW",'ASS END SYNC'!C892&lt;&gt;"SHOW"),MID('ASS END SYNC'!E891,O887+1,P887-O887-1),""))</f>
        <v/>
      </c>
      <c r="W887" s="23" t="str">
        <f>IF('ASS END SYNC'!C891="SHOW",MID('ASS END SYNC'!E891,Q887+1,S887-Q887+1),"")</f>
        <v/>
      </c>
      <c r="X887" s="23" t="str">
        <f>IF('ASS END SYNC'!C891="SHOW",MID('ASS END SYNC'!E891,S887+2,1000),"")</f>
        <v/>
      </c>
      <c r="Z887" s="24"/>
    </row>
    <row r="888" spans="1:26" x14ac:dyDescent="0.25">
      <c r="A888" s="26">
        <v>885</v>
      </c>
      <c r="B888" s="24" t="str">
        <f>IF('ASS START SYNC'!C892="SHOW",FIND(",",'ASS START SYNC'!E892,1),"")</f>
        <v/>
      </c>
      <c r="C888" s="24" t="str">
        <f>IF('ASS START SYNC'!C892="SHOW",FIND(",",'ASS START SYNC'!E892,B888+1),"")</f>
        <v/>
      </c>
      <c r="D888" s="24" t="str">
        <f>IF('ASS START SYNC'!C892="SHOW",FIND(",",'ASS START SYNC'!E892,C888+1),"")</f>
        <v/>
      </c>
      <c r="E888" s="25" t="str">
        <f>IF('ASS START SYNC'!C892="SHOW",FIND(",,",'ASS START SYNC'!E892,1),"")</f>
        <v/>
      </c>
      <c r="F888" s="25" t="str">
        <f>IF('ASS START SYNC'!C892="SHOW",FIND(",,",'ASS START SYNC'!E892,E888+1),"")</f>
        <v/>
      </c>
      <c r="G888" s="23" t="str">
        <f>IF('ASS START SYNC'!C892="SHOW",LEFT('ASS START SYNC'!E892,B888),"")</f>
        <v/>
      </c>
      <c r="H888" s="24" t="str">
        <f>IF(AND('ASS START SYNC'!C892="SHOW",COUNTA('ASS START SYNC'!$E$8:'ASS START SYNC'!E891)=0),MID('ASS START SYNC'!E892,B888+1,C888-B888-1),IF(AND('ASS START SYNC'!C892="SHOW",COUNTA('ASS START SYNC'!$E$8:'ASS START SYNC'!E891)&lt;&gt;0),I887,""))</f>
        <v/>
      </c>
      <c r="I888" s="24" t="str">
        <f>IF('ASS START SYNC'!C892="SHOW",MID('ASS START SYNC'!E892,C888+1,D888-C888-1),I887)</f>
        <v/>
      </c>
      <c r="J888" s="23" t="str">
        <f>IF('ASS START SYNC'!C892="SHOW",MID('ASS START SYNC'!E892,D888+1,F888-D888+1),"")</f>
        <v/>
      </c>
      <c r="K888" s="23" t="str">
        <f>IF('ASS START SYNC'!C892="SHOW",MID('ASS START SYNC'!E892,F888+2,1000),"")</f>
        <v/>
      </c>
      <c r="M888" s="24"/>
      <c r="N888" s="26">
        <v>885</v>
      </c>
      <c r="O888" s="24" t="str">
        <f>IF('ASS END SYNC'!C892="SHOW",FIND(",",'ASS END SYNC'!E892,1),"")</f>
        <v/>
      </c>
      <c r="P888" s="24" t="str">
        <f>IF('ASS END SYNC'!C892="SHOW",FIND(",",'ASS END SYNC'!E892,O888+1),"")</f>
        <v/>
      </c>
      <c r="Q888" s="24" t="str">
        <f>IF('ASS END SYNC'!C892="SHOW",FIND(",",'ASS END SYNC'!E892,P888+1),"")</f>
        <v/>
      </c>
      <c r="R888" s="25" t="str">
        <f>IF('ASS END SYNC'!C892="SHOW",FIND(",,",'ASS END SYNC'!E892,1),"")</f>
        <v/>
      </c>
      <c r="S888" s="25" t="str">
        <f>IF('ASS END SYNC'!C892="SHOW",FIND(",,",'ASS END SYNC'!E892,R888+1),"")</f>
        <v/>
      </c>
      <c r="T888" s="23" t="str">
        <f>IF('ASS END SYNC'!C892="SHOW",LEFT('ASS END SYNC'!E892,O888),"")</f>
        <v/>
      </c>
      <c r="U888" s="24" t="str">
        <f>IF('ASS END SYNC'!C892="SHOW",MID('ASS END SYNC'!E892,O888+1,P888-O888-1),"")</f>
        <v/>
      </c>
      <c r="V888" s="24" t="str">
        <f>IF(AND('ASS END SYNC'!C892="SHOW",'ASS END SYNC'!C893="SHOW"),U889,IF(AND('ASS END SYNC'!C892="SHOW",'ASS END SYNC'!C893&lt;&gt;"SHOW"),MID('ASS END SYNC'!E892,O888+1,P888-O888-1),""))</f>
        <v/>
      </c>
      <c r="W888" s="23" t="str">
        <f>IF('ASS END SYNC'!C892="SHOW",MID('ASS END SYNC'!E892,Q888+1,S888-Q888+1),"")</f>
        <v/>
      </c>
      <c r="X888" s="23" t="str">
        <f>IF('ASS END SYNC'!C892="SHOW",MID('ASS END SYNC'!E892,S888+2,1000),"")</f>
        <v/>
      </c>
      <c r="Z888" s="24"/>
    </row>
    <row r="889" spans="1:26" x14ac:dyDescent="0.25">
      <c r="A889" s="26">
        <v>886</v>
      </c>
      <c r="B889" s="24" t="str">
        <f>IF('ASS START SYNC'!C893="SHOW",FIND(",",'ASS START SYNC'!E893,1),"")</f>
        <v/>
      </c>
      <c r="C889" s="24" t="str">
        <f>IF('ASS START SYNC'!C893="SHOW",FIND(",",'ASS START SYNC'!E893,B889+1),"")</f>
        <v/>
      </c>
      <c r="D889" s="24" t="str">
        <f>IF('ASS START SYNC'!C893="SHOW",FIND(",",'ASS START SYNC'!E893,C889+1),"")</f>
        <v/>
      </c>
      <c r="E889" s="25" t="str">
        <f>IF('ASS START SYNC'!C893="SHOW",FIND(",,",'ASS START SYNC'!E893,1),"")</f>
        <v/>
      </c>
      <c r="F889" s="25" t="str">
        <f>IF('ASS START SYNC'!C893="SHOW",FIND(",,",'ASS START SYNC'!E893,E889+1),"")</f>
        <v/>
      </c>
      <c r="G889" s="23" t="str">
        <f>IF('ASS START SYNC'!C893="SHOW",LEFT('ASS START SYNC'!E893,B889),"")</f>
        <v/>
      </c>
      <c r="H889" s="24" t="str">
        <f>IF(AND('ASS START SYNC'!C893="SHOW",COUNTA('ASS START SYNC'!$E$8:'ASS START SYNC'!E892)=0),MID('ASS START SYNC'!E893,B889+1,C889-B889-1),IF(AND('ASS START SYNC'!C893="SHOW",COUNTA('ASS START SYNC'!$E$8:'ASS START SYNC'!E892)&lt;&gt;0),I888,""))</f>
        <v/>
      </c>
      <c r="I889" s="24" t="str">
        <f>IF('ASS START SYNC'!C893="SHOW",MID('ASS START SYNC'!E893,C889+1,D889-C889-1),I888)</f>
        <v/>
      </c>
      <c r="J889" s="23" t="str">
        <f>IF('ASS START SYNC'!C893="SHOW",MID('ASS START SYNC'!E893,D889+1,F889-D889+1),"")</f>
        <v/>
      </c>
      <c r="K889" s="23" t="str">
        <f>IF('ASS START SYNC'!C893="SHOW",MID('ASS START SYNC'!E893,F889+2,1000),"")</f>
        <v/>
      </c>
      <c r="M889" s="24"/>
      <c r="N889" s="26">
        <v>886</v>
      </c>
      <c r="O889" s="24" t="str">
        <f>IF('ASS END SYNC'!C893="SHOW",FIND(",",'ASS END SYNC'!E893,1),"")</f>
        <v/>
      </c>
      <c r="P889" s="24" t="str">
        <f>IF('ASS END SYNC'!C893="SHOW",FIND(",",'ASS END SYNC'!E893,O889+1),"")</f>
        <v/>
      </c>
      <c r="Q889" s="24" t="str">
        <f>IF('ASS END SYNC'!C893="SHOW",FIND(",",'ASS END SYNC'!E893,P889+1),"")</f>
        <v/>
      </c>
      <c r="R889" s="25" t="str">
        <f>IF('ASS END SYNC'!C893="SHOW",FIND(",,",'ASS END SYNC'!E893,1),"")</f>
        <v/>
      </c>
      <c r="S889" s="25" t="str">
        <f>IF('ASS END SYNC'!C893="SHOW",FIND(",,",'ASS END SYNC'!E893,R889+1),"")</f>
        <v/>
      </c>
      <c r="T889" s="23" t="str">
        <f>IF('ASS END SYNC'!C893="SHOW",LEFT('ASS END SYNC'!E893,O889),"")</f>
        <v/>
      </c>
      <c r="U889" s="24" t="str">
        <f>IF('ASS END SYNC'!C893="SHOW",MID('ASS END SYNC'!E893,O889+1,P889-O889-1),"")</f>
        <v/>
      </c>
      <c r="V889" s="24" t="str">
        <f>IF(AND('ASS END SYNC'!C893="SHOW",'ASS END SYNC'!C894="SHOW"),U890,IF(AND('ASS END SYNC'!C893="SHOW",'ASS END SYNC'!C894&lt;&gt;"SHOW"),MID('ASS END SYNC'!E893,O889+1,P889-O889-1),""))</f>
        <v/>
      </c>
      <c r="W889" s="23" t="str">
        <f>IF('ASS END SYNC'!C893="SHOW",MID('ASS END SYNC'!E893,Q889+1,S889-Q889+1),"")</f>
        <v/>
      </c>
      <c r="X889" s="23" t="str">
        <f>IF('ASS END SYNC'!C893="SHOW",MID('ASS END SYNC'!E893,S889+2,1000),"")</f>
        <v/>
      </c>
      <c r="Z889" s="24"/>
    </row>
    <row r="890" spans="1:26" x14ac:dyDescent="0.25">
      <c r="A890" s="26">
        <v>887</v>
      </c>
      <c r="B890" s="24" t="str">
        <f>IF('ASS START SYNC'!C894="SHOW",FIND(",",'ASS START SYNC'!E894,1),"")</f>
        <v/>
      </c>
      <c r="C890" s="24" t="str">
        <f>IF('ASS START SYNC'!C894="SHOW",FIND(",",'ASS START SYNC'!E894,B890+1),"")</f>
        <v/>
      </c>
      <c r="D890" s="24" t="str">
        <f>IF('ASS START SYNC'!C894="SHOW",FIND(",",'ASS START SYNC'!E894,C890+1),"")</f>
        <v/>
      </c>
      <c r="E890" s="25" t="str">
        <f>IF('ASS START SYNC'!C894="SHOW",FIND(",,",'ASS START SYNC'!E894,1),"")</f>
        <v/>
      </c>
      <c r="F890" s="25" t="str">
        <f>IF('ASS START SYNC'!C894="SHOW",FIND(",,",'ASS START SYNC'!E894,E890+1),"")</f>
        <v/>
      </c>
      <c r="G890" s="23" t="str">
        <f>IF('ASS START SYNC'!C894="SHOW",LEFT('ASS START SYNC'!E894,B890),"")</f>
        <v/>
      </c>
      <c r="H890" s="24" t="str">
        <f>IF(AND('ASS START SYNC'!C894="SHOW",COUNTA('ASS START SYNC'!$E$8:'ASS START SYNC'!E893)=0),MID('ASS START SYNC'!E894,B890+1,C890-B890-1),IF(AND('ASS START SYNC'!C894="SHOW",COUNTA('ASS START SYNC'!$E$8:'ASS START SYNC'!E893)&lt;&gt;0),I889,""))</f>
        <v/>
      </c>
      <c r="I890" s="24" t="str">
        <f>IF('ASS START SYNC'!C894="SHOW",MID('ASS START SYNC'!E894,C890+1,D890-C890-1),I889)</f>
        <v/>
      </c>
      <c r="J890" s="23" t="str">
        <f>IF('ASS START SYNC'!C894="SHOW",MID('ASS START SYNC'!E894,D890+1,F890-D890+1),"")</f>
        <v/>
      </c>
      <c r="K890" s="23" t="str">
        <f>IF('ASS START SYNC'!C894="SHOW",MID('ASS START SYNC'!E894,F890+2,1000),"")</f>
        <v/>
      </c>
      <c r="M890" s="24"/>
      <c r="N890" s="26">
        <v>887</v>
      </c>
      <c r="O890" s="24" t="str">
        <f>IF('ASS END SYNC'!C894="SHOW",FIND(",",'ASS END SYNC'!E894,1),"")</f>
        <v/>
      </c>
      <c r="P890" s="24" t="str">
        <f>IF('ASS END SYNC'!C894="SHOW",FIND(",",'ASS END SYNC'!E894,O890+1),"")</f>
        <v/>
      </c>
      <c r="Q890" s="24" t="str">
        <f>IF('ASS END SYNC'!C894="SHOW",FIND(",",'ASS END SYNC'!E894,P890+1),"")</f>
        <v/>
      </c>
      <c r="R890" s="25" t="str">
        <f>IF('ASS END SYNC'!C894="SHOW",FIND(",,",'ASS END SYNC'!E894,1),"")</f>
        <v/>
      </c>
      <c r="S890" s="25" t="str">
        <f>IF('ASS END SYNC'!C894="SHOW",FIND(",,",'ASS END SYNC'!E894,R890+1),"")</f>
        <v/>
      </c>
      <c r="T890" s="23" t="str">
        <f>IF('ASS END SYNC'!C894="SHOW",LEFT('ASS END SYNC'!E894,O890),"")</f>
        <v/>
      </c>
      <c r="U890" s="24" t="str">
        <f>IF('ASS END SYNC'!C894="SHOW",MID('ASS END SYNC'!E894,O890+1,P890-O890-1),"")</f>
        <v/>
      </c>
      <c r="V890" s="24" t="str">
        <f>IF(AND('ASS END SYNC'!C894="SHOW",'ASS END SYNC'!C895="SHOW"),U891,IF(AND('ASS END SYNC'!C894="SHOW",'ASS END SYNC'!C895&lt;&gt;"SHOW"),MID('ASS END SYNC'!E894,O890+1,P890-O890-1),""))</f>
        <v/>
      </c>
      <c r="W890" s="23" t="str">
        <f>IF('ASS END SYNC'!C894="SHOW",MID('ASS END SYNC'!E894,Q890+1,S890-Q890+1),"")</f>
        <v/>
      </c>
      <c r="X890" s="23" t="str">
        <f>IF('ASS END SYNC'!C894="SHOW",MID('ASS END SYNC'!E894,S890+2,1000),"")</f>
        <v/>
      </c>
      <c r="Z890" s="24"/>
    </row>
    <row r="891" spans="1:26" x14ac:dyDescent="0.25">
      <c r="A891" s="26">
        <v>888</v>
      </c>
      <c r="B891" s="24" t="str">
        <f>IF('ASS START SYNC'!C895="SHOW",FIND(",",'ASS START SYNC'!E895,1),"")</f>
        <v/>
      </c>
      <c r="C891" s="24" t="str">
        <f>IF('ASS START SYNC'!C895="SHOW",FIND(",",'ASS START SYNC'!E895,B891+1),"")</f>
        <v/>
      </c>
      <c r="D891" s="24" t="str">
        <f>IF('ASS START SYNC'!C895="SHOW",FIND(",",'ASS START SYNC'!E895,C891+1),"")</f>
        <v/>
      </c>
      <c r="E891" s="25" t="str">
        <f>IF('ASS START SYNC'!C895="SHOW",FIND(",,",'ASS START SYNC'!E895,1),"")</f>
        <v/>
      </c>
      <c r="F891" s="25" t="str">
        <f>IF('ASS START SYNC'!C895="SHOW",FIND(",,",'ASS START SYNC'!E895,E891+1),"")</f>
        <v/>
      </c>
      <c r="G891" s="23" t="str">
        <f>IF('ASS START SYNC'!C895="SHOW",LEFT('ASS START SYNC'!E895,B891),"")</f>
        <v/>
      </c>
      <c r="H891" s="24" t="str">
        <f>IF(AND('ASS START SYNC'!C895="SHOW",COUNTA('ASS START SYNC'!$E$8:'ASS START SYNC'!E894)=0),MID('ASS START SYNC'!E895,B891+1,C891-B891-1),IF(AND('ASS START SYNC'!C895="SHOW",COUNTA('ASS START SYNC'!$E$8:'ASS START SYNC'!E894)&lt;&gt;0),I890,""))</f>
        <v/>
      </c>
      <c r="I891" s="24" t="str">
        <f>IF('ASS START SYNC'!C895="SHOW",MID('ASS START SYNC'!E895,C891+1,D891-C891-1),I890)</f>
        <v/>
      </c>
      <c r="J891" s="23" t="str">
        <f>IF('ASS START SYNC'!C895="SHOW",MID('ASS START SYNC'!E895,D891+1,F891-D891+1),"")</f>
        <v/>
      </c>
      <c r="K891" s="23" t="str">
        <f>IF('ASS START SYNC'!C895="SHOW",MID('ASS START SYNC'!E895,F891+2,1000),"")</f>
        <v/>
      </c>
      <c r="M891" s="24"/>
      <c r="N891" s="26">
        <v>888</v>
      </c>
      <c r="O891" s="24" t="str">
        <f>IF('ASS END SYNC'!C895="SHOW",FIND(",",'ASS END SYNC'!E895,1),"")</f>
        <v/>
      </c>
      <c r="P891" s="24" t="str">
        <f>IF('ASS END SYNC'!C895="SHOW",FIND(",",'ASS END SYNC'!E895,O891+1),"")</f>
        <v/>
      </c>
      <c r="Q891" s="24" t="str">
        <f>IF('ASS END SYNC'!C895="SHOW",FIND(",",'ASS END SYNC'!E895,P891+1),"")</f>
        <v/>
      </c>
      <c r="R891" s="25" t="str">
        <f>IF('ASS END SYNC'!C895="SHOW",FIND(",,",'ASS END SYNC'!E895,1),"")</f>
        <v/>
      </c>
      <c r="S891" s="25" t="str">
        <f>IF('ASS END SYNC'!C895="SHOW",FIND(",,",'ASS END SYNC'!E895,R891+1),"")</f>
        <v/>
      </c>
      <c r="T891" s="23" t="str">
        <f>IF('ASS END SYNC'!C895="SHOW",LEFT('ASS END SYNC'!E895,O891),"")</f>
        <v/>
      </c>
      <c r="U891" s="24" t="str">
        <f>IF('ASS END SYNC'!C895="SHOW",MID('ASS END SYNC'!E895,O891+1,P891-O891-1),"")</f>
        <v/>
      </c>
      <c r="V891" s="24" t="str">
        <f>IF(AND('ASS END SYNC'!C895="SHOW",'ASS END SYNC'!C896="SHOW"),U892,IF(AND('ASS END SYNC'!C895="SHOW",'ASS END SYNC'!C896&lt;&gt;"SHOW"),MID('ASS END SYNC'!E895,O891+1,P891-O891-1),""))</f>
        <v/>
      </c>
      <c r="W891" s="23" t="str">
        <f>IF('ASS END SYNC'!C895="SHOW",MID('ASS END SYNC'!E895,Q891+1,S891-Q891+1),"")</f>
        <v/>
      </c>
      <c r="X891" s="23" t="str">
        <f>IF('ASS END SYNC'!C895="SHOW",MID('ASS END SYNC'!E895,S891+2,1000),"")</f>
        <v/>
      </c>
      <c r="Z891" s="24"/>
    </row>
    <row r="892" spans="1:26" x14ac:dyDescent="0.25">
      <c r="A892" s="26">
        <v>889</v>
      </c>
      <c r="B892" s="24" t="str">
        <f>IF('ASS START SYNC'!C896="SHOW",FIND(",",'ASS START SYNC'!E896,1),"")</f>
        <v/>
      </c>
      <c r="C892" s="24" t="str">
        <f>IF('ASS START SYNC'!C896="SHOW",FIND(",",'ASS START SYNC'!E896,B892+1),"")</f>
        <v/>
      </c>
      <c r="D892" s="24" t="str">
        <f>IF('ASS START SYNC'!C896="SHOW",FIND(",",'ASS START SYNC'!E896,C892+1),"")</f>
        <v/>
      </c>
      <c r="E892" s="25" t="str">
        <f>IF('ASS START SYNC'!C896="SHOW",FIND(",,",'ASS START SYNC'!E896,1),"")</f>
        <v/>
      </c>
      <c r="F892" s="25" t="str">
        <f>IF('ASS START SYNC'!C896="SHOW",FIND(",,",'ASS START SYNC'!E896,E892+1),"")</f>
        <v/>
      </c>
      <c r="G892" s="23" t="str">
        <f>IF('ASS START SYNC'!C896="SHOW",LEFT('ASS START SYNC'!E896,B892),"")</f>
        <v/>
      </c>
      <c r="H892" s="24" t="str">
        <f>IF(AND('ASS START SYNC'!C896="SHOW",COUNTA('ASS START SYNC'!$E$8:'ASS START SYNC'!E895)=0),MID('ASS START SYNC'!E896,B892+1,C892-B892-1),IF(AND('ASS START SYNC'!C896="SHOW",COUNTA('ASS START SYNC'!$E$8:'ASS START SYNC'!E895)&lt;&gt;0),I891,""))</f>
        <v/>
      </c>
      <c r="I892" s="24" t="str">
        <f>IF('ASS START SYNC'!C896="SHOW",MID('ASS START SYNC'!E896,C892+1,D892-C892-1),I891)</f>
        <v/>
      </c>
      <c r="J892" s="23" t="str">
        <f>IF('ASS START SYNC'!C896="SHOW",MID('ASS START SYNC'!E896,D892+1,F892-D892+1),"")</f>
        <v/>
      </c>
      <c r="K892" s="23" t="str">
        <f>IF('ASS START SYNC'!C896="SHOW",MID('ASS START SYNC'!E896,F892+2,1000),"")</f>
        <v/>
      </c>
      <c r="M892" s="24"/>
      <c r="N892" s="26">
        <v>889</v>
      </c>
      <c r="O892" s="24" t="str">
        <f>IF('ASS END SYNC'!C896="SHOW",FIND(",",'ASS END SYNC'!E896,1),"")</f>
        <v/>
      </c>
      <c r="P892" s="24" t="str">
        <f>IF('ASS END SYNC'!C896="SHOW",FIND(",",'ASS END SYNC'!E896,O892+1),"")</f>
        <v/>
      </c>
      <c r="Q892" s="24" t="str">
        <f>IF('ASS END SYNC'!C896="SHOW",FIND(",",'ASS END SYNC'!E896,P892+1),"")</f>
        <v/>
      </c>
      <c r="R892" s="25" t="str">
        <f>IF('ASS END SYNC'!C896="SHOW",FIND(",,",'ASS END SYNC'!E896,1),"")</f>
        <v/>
      </c>
      <c r="S892" s="25" t="str">
        <f>IF('ASS END SYNC'!C896="SHOW",FIND(",,",'ASS END SYNC'!E896,R892+1),"")</f>
        <v/>
      </c>
      <c r="T892" s="23" t="str">
        <f>IF('ASS END SYNC'!C896="SHOW",LEFT('ASS END SYNC'!E896,O892),"")</f>
        <v/>
      </c>
      <c r="U892" s="24" t="str">
        <f>IF('ASS END SYNC'!C896="SHOW",MID('ASS END SYNC'!E896,O892+1,P892-O892-1),"")</f>
        <v/>
      </c>
      <c r="V892" s="24" t="str">
        <f>IF(AND('ASS END SYNC'!C896="SHOW",'ASS END SYNC'!C897="SHOW"),U893,IF(AND('ASS END SYNC'!C896="SHOW",'ASS END SYNC'!C897&lt;&gt;"SHOW"),MID('ASS END SYNC'!E896,O892+1,P892-O892-1),""))</f>
        <v/>
      </c>
      <c r="W892" s="23" t="str">
        <f>IF('ASS END SYNC'!C896="SHOW",MID('ASS END SYNC'!E896,Q892+1,S892-Q892+1),"")</f>
        <v/>
      </c>
      <c r="X892" s="23" t="str">
        <f>IF('ASS END SYNC'!C896="SHOW",MID('ASS END SYNC'!E896,S892+2,1000),"")</f>
        <v/>
      </c>
      <c r="Z892" s="24"/>
    </row>
    <row r="893" spans="1:26" x14ac:dyDescent="0.25">
      <c r="A893" s="26">
        <v>890</v>
      </c>
      <c r="B893" s="24" t="str">
        <f>IF('ASS START SYNC'!C897="SHOW",FIND(",",'ASS START SYNC'!E897,1),"")</f>
        <v/>
      </c>
      <c r="C893" s="24" t="str">
        <f>IF('ASS START SYNC'!C897="SHOW",FIND(",",'ASS START SYNC'!E897,B893+1),"")</f>
        <v/>
      </c>
      <c r="D893" s="24" t="str">
        <f>IF('ASS START SYNC'!C897="SHOW",FIND(",",'ASS START SYNC'!E897,C893+1),"")</f>
        <v/>
      </c>
      <c r="E893" s="25" t="str">
        <f>IF('ASS START SYNC'!C897="SHOW",FIND(",,",'ASS START SYNC'!E897,1),"")</f>
        <v/>
      </c>
      <c r="F893" s="25" t="str">
        <f>IF('ASS START SYNC'!C897="SHOW",FIND(",,",'ASS START SYNC'!E897,E893+1),"")</f>
        <v/>
      </c>
      <c r="G893" s="23" t="str">
        <f>IF('ASS START SYNC'!C897="SHOW",LEFT('ASS START SYNC'!E897,B893),"")</f>
        <v/>
      </c>
      <c r="H893" s="24" t="str">
        <f>IF(AND('ASS START SYNC'!C897="SHOW",COUNTA('ASS START SYNC'!$E$8:'ASS START SYNC'!E896)=0),MID('ASS START SYNC'!E897,B893+1,C893-B893-1),IF(AND('ASS START SYNC'!C897="SHOW",COUNTA('ASS START SYNC'!$E$8:'ASS START SYNC'!E896)&lt;&gt;0),I892,""))</f>
        <v/>
      </c>
      <c r="I893" s="24" t="str">
        <f>IF('ASS START SYNC'!C897="SHOW",MID('ASS START SYNC'!E897,C893+1,D893-C893-1),I892)</f>
        <v/>
      </c>
      <c r="J893" s="23" t="str">
        <f>IF('ASS START SYNC'!C897="SHOW",MID('ASS START SYNC'!E897,D893+1,F893-D893+1),"")</f>
        <v/>
      </c>
      <c r="K893" s="23" t="str">
        <f>IF('ASS START SYNC'!C897="SHOW",MID('ASS START SYNC'!E897,F893+2,1000),"")</f>
        <v/>
      </c>
      <c r="M893" s="24"/>
      <c r="N893" s="26">
        <v>890</v>
      </c>
      <c r="O893" s="24" t="str">
        <f>IF('ASS END SYNC'!C897="SHOW",FIND(",",'ASS END SYNC'!E897,1),"")</f>
        <v/>
      </c>
      <c r="P893" s="24" t="str">
        <f>IF('ASS END SYNC'!C897="SHOW",FIND(",",'ASS END SYNC'!E897,O893+1),"")</f>
        <v/>
      </c>
      <c r="Q893" s="24" t="str">
        <f>IF('ASS END SYNC'!C897="SHOW",FIND(",",'ASS END SYNC'!E897,P893+1),"")</f>
        <v/>
      </c>
      <c r="R893" s="25" t="str">
        <f>IF('ASS END SYNC'!C897="SHOW",FIND(",,",'ASS END SYNC'!E897,1),"")</f>
        <v/>
      </c>
      <c r="S893" s="25" t="str">
        <f>IF('ASS END SYNC'!C897="SHOW",FIND(",,",'ASS END SYNC'!E897,R893+1),"")</f>
        <v/>
      </c>
      <c r="T893" s="23" t="str">
        <f>IF('ASS END SYNC'!C897="SHOW",LEFT('ASS END SYNC'!E897,O893),"")</f>
        <v/>
      </c>
      <c r="U893" s="24" t="str">
        <f>IF('ASS END SYNC'!C897="SHOW",MID('ASS END SYNC'!E897,O893+1,P893-O893-1),"")</f>
        <v/>
      </c>
      <c r="V893" s="24" t="str">
        <f>IF(AND('ASS END SYNC'!C897="SHOW",'ASS END SYNC'!C898="SHOW"),U894,IF(AND('ASS END SYNC'!C897="SHOW",'ASS END SYNC'!C898&lt;&gt;"SHOW"),MID('ASS END SYNC'!E897,O893+1,P893-O893-1),""))</f>
        <v/>
      </c>
      <c r="W893" s="23" t="str">
        <f>IF('ASS END SYNC'!C897="SHOW",MID('ASS END SYNC'!E897,Q893+1,S893-Q893+1),"")</f>
        <v/>
      </c>
      <c r="X893" s="23" t="str">
        <f>IF('ASS END SYNC'!C897="SHOW",MID('ASS END SYNC'!E897,S893+2,1000),"")</f>
        <v/>
      </c>
      <c r="Z893" s="24"/>
    </row>
    <row r="894" spans="1:26" x14ac:dyDescent="0.25">
      <c r="A894" s="26">
        <v>891</v>
      </c>
      <c r="B894" s="24" t="str">
        <f>IF('ASS START SYNC'!C898="SHOW",FIND(",",'ASS START SYNC'!E898,1),"")</f>
        <v/>
      </c>
      <c r="C894" s="24" t="str">
        <f>IF('ASS START SYNC'!C898="SHOW",FIND(",",'ASS START SYNC'!E898,B894+1),"")</f>
        <v/>
      </c>
      <c r="D894" s="24" t="str">
        <f>IF('ASS START SYNC'!C898="SHOW",FIND(",",'ASS START SYNC'!E898,C894+1),"")</f>
        <v/>
      </c>
      <c r="E894" s="25" t="str">
        <f>IF('ASS START SYNC'!C898="SHOW",FIND(",,",'ASS START SYNC'!E898,1),"")</f>
        <v/>
      </c>
      <c r="F894" s="25" t="str">
        <f>IF('ASS START SYNC'!C898="SHOW",FIND(",,",'ASS START SYNC'!E898,E894+1),"")</f>
        <v/>
      </c>
      <c r="G894" s="23" t="str">
        <f>IF('ASS START SYNC'!C898="SHOW",LEFT('ASS START SYNC'!E898,B894),"")</f>
        <v/>
      </c>
      <c r="H894" s="24" t="str">
        <f>IF(AND('ASS START SYNC'!C898="SHOW",COUNTA('ASS START SYNC'!$E$8:'ASS START SYNC'!E897)=0),MID('ASS START SYNC'!E898,B894+1,C894-B894-1),IF(AND('ASS START SYNC'!C898="SHOW",COUNTA('ASS START SYNC'!$E$8:'ASS START SYNC'!E897)&lt;&gt;0),I893,""))</f>
        <v/>
      </c>
      <c r="I894" s="24" t="str">
        <f>IF('ASS START SYNC'!C898="SHOW",MID('ASS START SYNC'!E898,C894+1,D894-C894-1),I893)</f>
        <v/>
      </c>
      <c r="J894" s="23" t="str">
        <f>IF('ASS START SYNC'!C898="SHOW",MID('ASS START SYNC'!E898,D894+1,F894-D894+1),"")</f>
        <v/>
      </c>
      <c r="K894" s="23" t="str">
        <f>IF('ASS START SYNC'!C898="SHOW",MID('ASS START SYNC'!E898,F894+2,1000),"")</f>
        <v/>
      </c>
      <c r="M894" s="24"/>
      <c r="N894" s="26">
        <v>891</v>
      </c>
      <c r="O894" s="24" t="str">
        <f>IF('ASS END SYNC'!C898="SHOW",FIND(",",'ASS END SYNC'!E898,1),"")</f>
        <v/>
      </c>
      <c r="P894" s="24" t="str">
        <f>IF('ASS END SYNC'!C898="SHOW",FIND(",",'ASS END SYNC'!E898,O894+1),"")</f>
        <v/>
      </c>
      <c r="Q894" s="24" t="str">
        <f>IF('ASS END SYNC'!C898="SHOW",FIND(",",'ASS END SYNC'!E898,P894+1),"")</f>
        <v/>
      </c>
      <c r="R894" s="25" t="str">
        <f>IF('ASS END SYNC'!C898="SHOW",FIND(",,",'ASS END SYNC'!E898,1),"")</f>
        <v/>
      </c>
      <c r="S894" s="25" t="str">
        <f>IF('ASS END SYNC'!C898="SHOW",FIND(",,",'ASS END SYNC'!E898,R894+1),"")</f>
        <v/>
      </c>
      <c r="T894" s="23" t="str">
        <f>IF('ASS END SYNC'!C898="SHOW",LEFT('ASS END SYNC'!E898,O894),"")</f>
        <v/>
      </c>
      <c r="U894" s="24" t="str">
        <f>IF('ASS END SYNC'!C898="SHOW",MID('ASS END SYNC'!E898,O894+1,P894-O894-1),"")</f>
        <v/>
      </c>
      <c r="V894" s="24" t="str">
        <f>IF(AND('ASS END SYNC'!C898="SHOW",'ASS END SYNC'!C899="SHOW"),U895,IF(AND('ASS END SYNC'!C898="SHOW",'ASS END SYNC'!C899&lt;&gt;"SHOW"),MID('ASS END SYNC'!E898,O894+1,P894-O894-1),""))</f>
        <v/>
      </c>
      <c r="W894" s="23" t="str">
        <f>IF('ASS END SYNC'!C898="SHOW",MID('ASS END SYNC'!E898,Q894+1,S894-Q894+1),"")</f>
        <v/>
      </c>
      <c r="X894" s="23" t="str">
        <f>IF('ASS END SYNC'!C898="SHOW",MID('ASS END SYNC'!E898,S894+2,1000),"")</f>
        <v/>
      </c>
      <c r="Z894" s="24"/>
    </row>
    <row r="895" spans="1:26" x14ac:dyDescent="0.25">
      <c r="A895" s="26">
        <v>892</v>
      </c>
      <c r="B895" s="24" t="str">
        <f>IF('ASS START SYNC'!C899="SHOW",FIND(",",'ASS START SYNC'!E899,1),"")</f>
        <v/>
      </c>
      <c r="C895" s="24" t="str">
        <f>IF('ASS START SYNC'!C899="SHOW",FIND(",",'ASS START SYNC'!E899,B895+1),"")</f>
        <v/>
      </c>
      <c r="D895" s="24" t="str">
        <f>IF('ASS START SYNC'!C899="SHOW",FIND(",",'ASS START SYNC'!E899,C895+1),"")</f>
        <v/>
      </c>
      <c r="E895" s="25" t="str">
        <f>IF('ASS START SYNC'!C899="SHOW",FIND(",,",'ASS START SYNC'!E899,1),"")</f>
        <v/>
      </c>
      <c r="F895" s="25" t="str">
        <f>IF('ASS START SYNC'!C899="SHOW",FIND(",,",'ASS START SYNC'!E899,E895+1),"")</f>
        <v/>
      </c>
      <c r="G895" s="23" t="str">
        <f>IF('ASS START SYNC'!C899="SHOW",LEFT('ASS START SYNC'!E899,B895),"")</f>
        <v/>
      </c>
      <c r="H895" s="24" t="str">
        <f>IF(AND('ASS START SYNC'!C899="SHOW",COUNTA('ASS START SYNC'!$E$8:'ASS START SYNC'!E898)=0),MID('ASS START SYNC'!E899,B895+1,C895-B895-1),IF(AND('ASS START SYNC'!C899="SHOW",COUNTA('ASS START SYNC'!$E$8:'ASS START SYNC'!E898)&lt;&gt;0),I894,""))</f>
        <v/>
      </c>
      <c r="I895" s="24" t="str">
        <f>IF('ASS START SYNC'!C899="SHOW",MID('ASS START SYNC'!E899,C895+1,D895-C895-1),I894)</f>
        <v/>
      </c>
      <c r="J895" s="23" t="str">
        <f>IF('ASS START SYNC'!C899="SHOW",MID('ASS START SYNC'!E899,D895+1,F895-D895+1),"")</f>
        <v/>
      </c>
      <c r="K895" s="23" t="str">
        <f>IF('ASS START SYNC'!C899="SHOW",MID('ASS START SYNC'!E899,F895+2,1000),"")</f>
        <v/>
      </c>
      <c r="M895" s="24"/>
      <c r="N895" s="26">
        <v>892</v>
      </c>
      <c r="O895" s="24" t="str">
        <f>IF('ASS END SYNC'!C899="SHOW",FIND(",",'ASS END SYNC'!E899,1),"")</f>
        <v/>
      </c>
      <c r="P895" s="24" t="str">
        <f>IF('ASS END SYNC'!C899="SHOW",FIND(",",'ASS END SYNC'!E899,O895+1),"")</f>
        <v/>
      </c>
      <c r="Q895" s="24" t="str">
        <f>IF('ASS END SYNC'!C899="SHOW",FIND(",",'ASS END SYNC'!E899,P895+1),"")</f>
        <v/>
      </c>
      <c r="R895" s="25" t="str">
        <f>IF('ASS END SYNC'!C899="SHOW",FIND(",,",'ASS END SYNC'!E899,1),"")</f>
        <v/>
      </c>
      <c r="S895" s="25" t="str">
        <f>IF('ASS END SYNC'!C899="SHOW",FIND(",,",'ASS END SYNC'!E899,R895+1),"")</f>
        <v/>
      </c>
      <c r="T895" s="23" t="str">
        <f>IF('ASS END SYNC'!C899="SHOW",LEFT('ASS END SYNC'!E899,O895),"")</f>
        <v/>
      </c>
      <c r="U895" s="24" t="str">
        <f>IF('ASS END SYNC'!C899="SHOW",MID('ASS END SYNC'!E899,O895+1,P895-O895-1),"")</f>
        <v/>
      </c>
      <c r="V895" s="24" t="str">
        <f>IF(AND('ASS END SYNC'!C899="SHOW",'ASS END SYNC'!C900="SHOW"),U896,IF(AND('ASS END SYNC'!C899="SHOW",'ASS END SYNC'!C900&lt;&gt;"SHOW"),MID('ASS END SYNC'!E899,O895+1,P895-O895-1),""))</f>
        <v/>
      </c>
      <c r="W895" s="23" t="str">
        <f>IF('ASS END SYNC'!C899="SHOW",MID('ASS END SYNC'!E899,Q895+1,S895-Q895+1),"")</f>
        <v/>
      </c>
      <c r="X895" s="23" t="str">
        <f>IF('ASS END SYNC'!C899="SHOW",MID('ASS END SYNC'!E899,S895+2,1000),"")</f>
        <v/>
      </c>
      <c r="Z895" s="24"/>
    </row>
    <row r="896" spans="1:26" x14ac:dyDescent="0.25">
      <c r="A896" s="26">
        <v>893</v>
      </c>
      <c r="B896" s="24" t="str">
        <f>IF('ASS START SYNC'!C900="SHOW",FIND(",",'ASS START SYNC'!E900,1),"")</f>
        <v/>
      </c>
      <c r="C896" s="24" t="str">
        <f>IF('ASS START SYNC'!C900="SHOW",FIND(",",'ASS START SYNC'!E900,B896+1),"")</f>
        <v/>
      </c>
      <c r="D896" s="24" t="str">
        <f>IF('ASS START SYNC'!C900="SHOW",FIND(",",'ASS START SYNC'!E900,C896+1),"")</f>
        <v/>
      </c>
      <c r="E896" s="25" t="str">
        <f>IF('ASS START SYNC'!C900="SHOW",FIND(",,",'ASS START SYNC'!E900,1),"")</f>
        <v/>
      </c>
      <c r="F896" s="25" t="str">
        <f>IF('ASS START SYNC'!C900="SHOW",FIND(",,",'ASS START SYNC'!E900,E896+1),"")</f>
        <v/>
      </c>
      <c r="G896" s="23" t="str">
        <f>IF('ASS START SYNC'!C900="SHOW",LEFT('ASS START SYNC'!E900,B896),"")</f>
        <v/>
      </c>
      <c r="H896" s="24" t="str">
        <f>IF(AND('ASS START SYNC'!C900="SHOW",COUNTA('ASS START SYNC'!$E$8:'ASS START SYNC'!E899)=0),MID('ASS START SYNC'!E900,B896+1,C896-B896-1),IF(AND('ASS START SYNC'!C900="SHOW",COUNTA('ASS START SYNC'!$E$8:'ASS START SYNC'!E899)&lt;&gt;0),I895,""))</f>
        <v/>
      </c>
      <c r="I896" s="24" t="str">
        <f>IF('ASS START SYNC'!C900="SHOW",MID('ASS START SYNC'!E900,C896+1,D896-C896-1),I895)</f>
        <v/>
      </c>
      <c r="J896" s="23" t="str">
        <f>IF('ASS START SYNC'!C900="SHOW",MID('ASS START SYNC'!E900,D896+1,F896-D896+1),"")</f>
        <v/>
      </c>
      <c r="K896" s="23" t="str">
        <f>IF('ASS START SYNC'!C900="SHOW",MID('ASS START SYNC'!E900,F896+2,1000),"")</f>
        <v/>
      </c>
      <c r="M896" s="24"/>
      <c r="N896" s="26">
        <v>893</v>
      </c>
      <c r="O896" s="24" t="str">
        <f>IF('ASS END SYNC'!C900="SHOW",FIND(",",'ASS END SYNC'!E900,1),"")</f>
        <v/>
      </c>
      <c r="P896" s="24" t="str">
        <f>IF('ASS END SYNC'!C900="SHOW",FIND(",",'ASS END SYNC'!E900,O896+1),"")</f>
        <v/>
      </c>
      <c r="Q896" s="24" t="str">
        <f>IF('ASS END SYNC'!C900="SHOW",FIND(",",'ASS END SYNC'!E900,P896+1),"")</f>
        <v/>
      </c>
      <c r="R896" s="25" t="str">
        <f>IF('ASS END SYNC'!C900="SHOW",FIND(",,",'ASS END SYNC'!E900,1),"")</f>
        <v/>
      </c>
      <c r="S896" s="25" t="str">
        <f>IF('ASS END SYNC'!C900="SHOW",FIND(",,",'ASS END SYNC'!E900,R896+1),"")</f>
        <v/>
      </c>
      <c r="T896" s="23" t="str">
        <f>IF('ASS END SYNC'!C900="SHOW",LEFT('ASS END SYNC'!E900,O896),"")</f>
        <v/>
      </c>
      <c r="U896" s="24" t="str">
        <f>IF('ASS END SYNC'!C900="SHOW",MID('ASS END SYNC'!E900,O896+1,P896-O896-1),"")</f>
        <v/>
      </c>
      <c r="V896" s="24" t="str">
        <f>IF(AND('ASS END SYNC'!C900="SHOW",'ASS END SYNC'!C901="SHOW"),U897,IF(AND('ASS END SYNC'!C900="SHOW",'ASS END SYNC'!C901&lt;&gt;"SHOW"),MID('ASS END SYNC'!E900,O896+1,P896-O896-1),""))</f>
        <v/>
      </c>
      <c r="W896" s="23" t="str">
        <f>IF('ASS END SYNC'!C900="SHOW",MID('ASS END SYNC'!E900,Q896+1,S896-Q896+1),"")</f>
        <v/>
      </c>
      <c r="X896" s="23" t="str">
        <f>IF('ASS END SYNC'!C900="SHOW",MID('ASS END SYNC'!E900,S896+2,1000),"")</f>
        <v/>
      </c>
      <c r="Z896" s="24"/>
    </row>
    <row r="897" spans="1:26" x14ac:dyDescent="0.25">
      <c r="A897" s="26">
        <v>894</v>
      </c>
      <c r="B897" s="24" t="str">
        <f>IF('ASS START SYNC'!C901="SHOW",FIND(",",'ASS START SYNC'!E901,1),"")</f>
        <v/>
      </c>
      <c r="C897" s="24" t="str">
        <f>IF('ASS START SYNC'!C901="SHOW",FIND(",",'ASS START SYNC'!E901,B897+1),"")</f>
        <v/>
      </c>
      <c r="D897" s="24" t="str">
        <f>IF('ASS START SYNC'!C901="SHOW",FIND(",",'ASS START SYNC'!E901,C897+1),"")</f>
        <v/>
      </c>
      <c r="E897" s="25" t="str">
        <f>IF('ASS START SYNC'!C901="SHOW",FIND(",,",'ASS START SYNC'!E901,1),"")</f>
        <v/>
      </c>
      <c r="F897" s="25" t="str">
        <f>IF('ASS START SYNC'!C901="SHOW",FIND(",,",'ASS START SYNC'!E901,E897+1),"")</f>
        <v/>
      </c>
      <c r="G897" s="23" t="str">
        <f>IF('ASS START SYNC'!C901="SHOW",LEFT('ASS START SYNC'!E901,B897),"")</f>
        <v/>
      </c>
      <c r="H897" s="24" t="str">
        <f>IF(AND('ASS START SYNC'!C901="SHOW",COUNTA('ASS START SYNC'!$E$8:'ASS START SYNC'!E900)=0),MID('ASS START SYNC'!E901,B897+1,C897-B897-1),IF(AND('ASS START SYNC'!C901="SHOW",COUNTA('ASS START SYNC'!$E$8:'ASS START SYNC'!E900)&lt;&gt;0),I896,""))</f>
        <v/>
      </c>
      <c r="I897" s="24" t="str">
        <f>IF('ASS START SYNC'!C901="SHOW",MID('ASS START SYNC'!E901,C897+1,D897-C897-1),I896)</f>
        <v/>
      </c>
      <c r="J897" s="23" t="str">
        <f>IF('ASS START SYNC'!C901="SHOW",MID('ASS START SYNC'!E901,D897+1,F897-D897+1),"")</f>
        <v/>
      </c>
      <c r="K897" s="23" t="str">
        <f>IF('ASS START SYNC'!C901="SHOW",MID('ASS START SYNC'!E901,F897+2,1000),"")</f>
        <v/>
      </c>
      <c r="M897" s="24"/>
      <c r="N897" s="26">
        <v>894</v>
      </c>
      <c r="O897" s="24" t="str">
        <f>IF('ASS END SYNC'!C901="SHOW",FIND(",",'ASS END SYNC'!E901,1),"")</f>
        <v/>
      </c>
      <c r="P897" s="24" t="str">
        <f>IF('ASS END SYNC'!C901="SHOW",FIND(",",'ASS END SYNC'!E901,O897+1),"")</f>
        <v/>
      </c>
      <c r="Q897" s="24" t="str">
        <f>IF('ASS END SYNC'!C901="SHOW",FIND(",",'ASS END SYNC'!E901,P897+1),"")</f>
        <v/>
      </c>
      <c r="R897" s="25" t="str">
        <f>IF('ASS END SYNC'!C901="SHOW",FIND(",,",'ASS END SYNC'!E901,1),"")</f>
        <v/>
      </c>
      <c r="S897" s="25" t="str">
        <f>IF('ASS END SYNC'!C901="SHOW",FIND(",,",'ASS END SYNC'!E901,R897+1),"")</f>
        <v/>
      </c>
      <c r="T897" s="23" t="str">
        <f>IF('ASS END SYNC'!C901="SHOW",LEFT('ASS END SYNC'!E901,O897),"")</f>
        <v/>
      </c>
      <c r="U897" s="24" t="str">
        <f>IF('ASS END SYNC'!C901="SHOW",MID('ASS END SYNC'!E901,O897+1,P897-O897-1),"")</f>
        <v/>
      </c>
      <c r="V897" s="24" t="str">
        <f>IF(AND('ASS END SYNC'!C901="SHOW",'ASS END SYNC'!C902="SHOW"),U898,IF(AND('ASS END SYNC'!C901="SHOW",'ASS END SYNC'!C902&lt;&gt;"SHOW"),MID('ASS END SYNC'!E901,O897+1,P897-O897-1),""))</f>
        <v/>
      </c>
      <c r="W897" s="23" t="str">
        <f>IF('ASS END SYNC'!C901="SHOW",MID('ASS END SYNC'!E901,Q897+1,S897-Q897+1),"")</f>
        <v/>
      </c>
      <c r="X897" s="23" t="str">
        <f>IF('ASS END SYNC'!C901="SHOW",MID('ASS END SYNC'!E901,S897+2,1000),"")</f>
        <v/>
      </c>
      <c r="Z897" s="24"/>
    </row>
    <row r="898" spans="1:26" x14ac:dyDescent="0.25">
      <c r="A898" s="26">
        <v>895</v>
      </c>
      <c r="B898" s="24" t="str">
        <f>IF('ASS START SYNC'!C902="SHOW",FIND(",",'ASS START SYNC'!E902,1),"")</f>
        <v/>
      </c>
      <c r="C898" s="24" t="str">
        <f>IF('ASS START SYNC'!C902="SHOW",FIND(",",'ASS START SYNC'!E902,B898+1),"")</f>
        <v/>
      </c>
      <c r="D898" s="24" t="str">
        <f>IF('ASS START SYNC'!C902="SHOW",FIND(",",'ASS START SYNC'!E902,C898+1),"")</f>
        <v/>
      </c>
      <c r="E898" s="25" t="str">
        <f>IF('ASS START SYNC'!C902="SHOW",FIND(",,",'ASS START SYNC'!E902,1),"")</f>
        <v/>
      </c>
      <c r="F898" s="25" t="str">
        <f>IF('ASS START SYNC'!C902="SHOW",FIND(",,",'ASS START SYNC'!E902,E898+1),"")</f>
        <v/>
      </c>
      <c r="G898" s="23" t="str">
        <f>IF('ASS START SYNC'!C902="SHOW",LEFT('ASS START SYNC'!E902,B898),"")</f>
        <v/>
      </c>
      <c r="H898" s="24" t="str">
        <f>IF(AND('ASS START SYNC'!C902="SHOW",COUNTA('ASS START SYNC'!$E$8:'ASS START SYNC'!E901)=0),MID('ASS START SYNC'!E902,B898+1,C898-B898-1),IF(AND('ASS START SYNC'!C902="SHOW",COUNTA('ASS START SYNC'!$E$8:'ASS START SYNC'!E901)&lt;&gt;0),I897,""))</f>
        <v/>
      </c>
      <c r="I898" s="24" t="str">
        <f>IF('ASS START SYNC'!C902="SHOW",MID('ASS START SYNC'!E902,C898+1,D898-C898-1),I897)</f>
        <v/>
      </c>
      <c r="J898" s="23" t="str">
        <f>IF('ASS START SYNC'!C902="SHOW",MID('ASS START SYNC'!E902,D898+1,F898-D898+1),"")</f>
        <v/>
      </c>
      <c r="K898" s="23" t="str">
        <f>IF('ASS START SYNC'!C902="SHOW",MID('ASS START SYNC'!E902,F898+2,1000),"")</f>
        <v/>
      </c>
      <c r="M898" s="24"/>
      <c r="N898" s="26">
        <v>895</v>
      </c>
      <c r="O898" s="24" t="str">
        <f>IF('ASS END SYNC'!C902="SHOW",FIND(",",'ASS END SYNC'!E902,1),"")</f>
        <v/>
      </c>
      <c r="P898" s="24" t="str">
        <f>IF('ASS END SYNC'!C902="SHOW",FIND(",",'ASS END SYNC'!E902,O898+1),"")</f>
        <v/>
      </c>
      <c r="Q898" s="24" t="str">
        <f>IF('ASS END SYNC'!C902="SHOW",FIND(",",'ASS END SYNC'!E902,P898+1),"")</f>
        <v/>
      </c>
      <c r="R898" s="25" t="str">
        <f>IF('ASS END SYNC'!C902="SHOW",FIND(",,",'ASS END SYNC'!E902,1),"")</f>
        <v/>
      </c>
      <c r="S898" s="25" t="str">
        <f>IF('ASS END SYNC'!C902="SHOW",FIND(",,",'ASS END SYNC'!E902,R898+1),"")</f>
        <v/>
      </c>
      <c r="T898" s="23" t="str">
        <f>IF('ASS END SYNC'!C902="SHOW",LEFT('ASS END SYNC'!E902,O898),"")</f>
        <v/>
      </c>
      <c r="U898" s="24" t="str">
        <f>IF('ASS END SYNC'!C902="SHOW",MID('ASS END SYNC'!E902,O898+1,P898-O898-1),"")</f>
        <v/>
      </c>
      <c r="V898" s="24" t="str">
        <f>IF(AND('ASS END SYNC'!C902="SHOW",'ASS END SYNC'!C903="SHOW"),U899,IF(AND('ASS END SYNC'!C902="SHOW",'ASS END SYNC'!C903&lt;&gt;"SHOW"),MID('ASS END SYNC'!E902,O898+1,P898-O898-1),""))</f>
        <v/>
      </c>
      <c r="W898" s="23" t="str">
        <f>IF('ASS END SYNC'!C902="SHOW",MID('ASS END SYNC'!E902,Q898+1,S898-Q898+1),"")</f>
        <v/>
      </c>
      <c r="X898" s="23" t="str">
        <f>IF('ASS END SYNC'!C902="SHOW",MID('ASS END SYNC'!E902,S898+2,1000),"")</f>
        <v/>
      </c>
      <c r="Z898" s="24"/>
    </row>
    <row r="899" spans="1:26" x14ac:dyDescent="0.25">
      <c r="A899" s="26">
        <v>896</v>
      </c>
      <c r="B899" s="24" t="str">
        <f>IF('ASS START SYNC'!C903="SHOW",FIND(",",'ASS START SYNC'!E903,1),"")</f>
        <v/>
      </c>
      <c r="C899" s="24" t="str">
        <f>IF('ASS START SYNC'!C903="SHOW",FIND(",",'ASS START SYNC'!E903,B899+1),"")</f>
        <v/>
      </c>
      <c r="D899" s="24" t="str">
        <f>IF('ASS START SYNC'!C903="SHOW",FIND(",",'ASS START SYNC'!E903,C899+1),"")</f>
        <v/>
      </c>
      <c r="E899" s="25" t="str">
        <f>IF('ASS START SYNC'!C903="SHOW",FIND(",,",'ASS START SYNC'!E903,1),"")</f>
        <v/>
      </c>
      <c r="F899" s="25" t="str">
        <f>IF('ASS START SYNC'!C903="SHOW",FIND(",,",'ASS START SYNC'!E903,E899+1),"")</f>
        <v/>
      </c>
      <c r="G899" s="23" t="str">
        <f>IF('ASS START SYNC'!C903="SHOW",LEFT('ASS START SYNC'!E903,B899),"")</f>
        <v/>
      </c>
      <c r="H899" s="24" t="str">
        <f>IF(AND('ASS START SYNC'!C903="SHOW",COUNTA('ASS START SYNC'!$E$8:'ASS START SYNC'!E902)=0),MID('ASS START SYNC'!E903,B899+1,C899-B899-1),IF(AND('ASS START SYNC'!C903="SHOW",COUNTA('ASS START SYNC'!$E$8:'ASS START SYNC'!E902)&lt;&gt;0),I898,""))</f>
        <v/>
      </c>
      <c r="I899" s="24" t="str">
        <f>IF('ASS START SYNC'!C903="SHOW",MID('ASS START SYNC'!E903,C899+1,D899-C899-1),I898)</f>
        <v/>
      </c>
      <c r="J899" s="23" t="str">
        <f>IF('ASS START SYNC'!C903="SHOW",MID('ASS START SYNC'!E903,D899+1,F899-D899+1),"")</f>
        <v/>
      </c>
      <c r="K899" s="23" t="str">
        <f>IF('ASS START SYNC'!C903="SHOW",MID('ASS START SYNC'!E903,F899+2,1000),"")</f>
        <v/>
      </c>
      <c r="M899" s="24"/>
      <c r="N899" s="26">
        <v>896</v>
      </c>
      <c r="O899" s="24" t="str">
        <f>IF('ASS END SYNC'!C903="SHOW",FIND(",",'ASS END SYNC'!E903,1),"")</f>
        <v/>
      </c>
      <c r="P899" s="24" t="str">
        <f>IF('ASS END SYNC'!C903="SHOW",FIND(",",'ASS END SYNC'!E903,O899+1),"")</f>
        <v/>
      </c>
      <c r="Q899" s="24" t="str">
        <f>IF('ASS END SYNC'!C903="SHOW",FIND(",",'ASS END SYNC'!E903,P899+1),"")</f>
        <v/>
      </c>
      <c r="R899" s="25" t="str">
        <f>IF('ASS END SYNC'!C903="SHOW",FIND(",,",'ASS END SYNC'!E903,1),"")</f>
        <v/>
      </c>
      <c r="S899" s="25" t="str">
        <f>IF('ASS END SYNC'!C903="SHOW",FIND(",,",'ASS END SYNC'!E903,R899+1),"")</f>
        <v/>
      </c>
      <c r="T899" s="23" t="str">
        <f>IF('ASS END SYNC'!C903="SHOW",LEFT('ASS END SYNC'!E903,O899),"")</f>
        <v/>
      </c>
      <c r="U899" s="24" t="str">
        <f>IF('ASS END SYNC'!C903="SHOW",MID('ASS END SYNC'!E903,O899+1,P899-O899-1),"")</f>
        <v/>
      </c>
      <c r="V899" s="24" t="str">
        <f>IF(AND('ASS END SYNC'!C903="SHOW",'ASS END SYNC'!C904="SHOW"),U900,IF(AND('ASS END SYNC'!C903="SHOW",'ASS END SYNC'!C904&lt;&gt;"SHOW"),MID('ASS END SYNC'!E903,O899+1,P899-O899-1),""))</f>
        <v/>
      </c>
      <c r="W899" s="23" t="str">
        <f>IF('ASS END SYNC'!C903="SHOW",MID('ASS END SYNC'!E903,Q899+1,S899-Q899+1),"")</f>
        <v/>
      </c>
      <c r="X899" s="23" t="str">
        <f>IF('ASS END SYNC'!C903="SHOW",MID('ASS END SYNC'!E903,S899+2,1000),"")</f>
        <v/>
      </c>
      <c r="Z899" s="24"/>
    </row>
    <row r="900" spans="1:26" x14ac:dyDescent="0.25">
      <c r="A900" s="26">
        <v>897</v>
      </c>
      <c r="B900" s="24" t="str">
        <f>IF('ASS START SYNC'!C904="SHOW",FIND(",",'ASS START SYNC'!E904,1),"")</f>
        <v/>
      </c>
      <c r="C900" s="24" t="str">
        <f>IF('ASS START SYNC'!C904="SHOW",FIND(",",'ASS START SYNC'!E904,B900+1),"")</f>
        <v/>
      </c>
      <c r="D900" s="24" t="str">
        <f>IF('ASS START SYNC'!C904="SHOW",FIND(",",'ASS START SYNC'!E904,C900+1),"")</f>
        <v/>
      </c>
      <c r="E900" s="25" t="str">
        <f>IF('ASS START SYNC'!C904="SHOW",FIND(",,",'ASS START SYNC'!E904,1),"")</f>
        <v/>
      </c>
      <c r="F900" s="25" t="str">
        <f>IF('ASS START SYNC'!C904="SHOW",FIND(",,",'ASS START SYNC'!E904,E900+1),"")</f>
        <v/>
      </c>
      <c r="G900" s="23" t="str">
        <f>IF('ASS START SYNC'!C904="SHOW",LEFT('ASS START SYNC'!E904,B900),"")</f>
        <v/>
      </c>
      <c r="H900" s="24" t="str">
        <f>IF(AND('ASS START SYNC'!C904="SHOW",COUNTA('ASS START SYNC'!$E$8:'ASS START SYNC'!E903)=0),MID('ASS START SYNC'!E904,B900+1,C900-B900-1),IF(AND('ASS START SYNC'!C904="SHOW",COUNTA('ASS START SYNC'!$E$8:'ASS START SYNC'!E903)&lt;&gt;0),I899,""))</f>
        <v/>
      </c>
      <c r="I900" s="24" t="str">
        <f>IF('ASS START SYNC'!C904="SHOW",MID('ASS START SYNC'!E904,C900+1,D900-C900-1),I899)</f>
        <v/>
      </c>
      <c r="J900" s="23" t="str">
        <f>IF('ASS START SYNC'!C904="SHOW",MID('ASS START SYNC'!E904,D900+1,F900-D900+1),"")</f>
        <v/>
      </c>
      <c r="K900" s="23" t="str">
        <f>IF('ASS START SYNC'!C904="SHOW",MID('ASS START SYNC'!E904,F900+2,1000),"")</f>
        <v/>
      </c>
      <c r="M900" s="24"/>
      <c r="N900" s="26">
        <v>897</v>
      </c>
      <c r="O900" s="24" t="str">
        <f>IF('ASS END SYNC'!C904="SHOW",FIND(",",'ASS END SYNC'!E904,1),"")</f>
        <v/>
      </c>
      <c r="P900" s="24" t="str">
        <f>IF('ASS END SYNC'!C904="SHOW",FIND(",",'ASS END SYNC'!E904,O900+1),"")</f>
        <v/>
      </c>
      <c r="Q900" s="24" t="str">
        <f>IF('ASS END SYNC'!C904="SHOW",FIND(",",'ASS END SYNC'!E904,P900+1),"")</f>
        <v/>
      </c>
      <c r="R900" s="25" t="str">
        <f>IF('ASS END SYNC'!C904="SHOW",FIND(",,",'ASS END SYNC'!E904,1),"")</f>
        <v/>
      </c>
      <c r="S900" s="25" t="str">
        <f>IF('ASS END SYNC'!C904="SHOW",FIND(",,",'ASS END SYNC'!E904,R900+1),"")</f>
        <v/>
      </c>
      <c r="T900" s="23" t="str">
        <f>IF('ASS END SYNC'!C904="SHOW",LEFT('ASS END SYNC'!E904,O900),"")</f>
        <v/>
      </c>
      <c r="U900" s="24" t="str">
        <f>IF('ASS END SYNC'!C904="SHOW",MID('ASS END SYNC'!E904,O900+1,P900-O900-1),"")</f>
        <v/>
      </c>
      <c r="V900" s="24" t="str">
        <f>IF(AND('ASS END SYNC'!C904="SHOW",'ASS END SYNC'!C905="SHOW"),U901,IF(AND('ASS END SYNC'!C904="SHOW",'ASS END SYNC'!C905&lt;&gt;"SHOW"),MID('ASS END SYNC'!E904,O900+1,P900-O900-1),""))</f>
        <v/>
      </c>
      <c r="W900" s="23" t="str">
        <f>IF('ASS END SYNC'!C904="SHOW",MID('ASS END SYNC'!E904,Q900+1,S900-Q900+1),"")</f>
        <v/>
      </c>
      <c r="X900" s="23" t="str">
        <f>IF('ASS END SYNC'!C904="SHOW",MID('ASS END SYNC'!E904,S900+2,1000),"")</f>
        <v/>
      </c>
      <c r="Z900" s="24"/>
    </row>
    <row r="901" spans="1:26" x14ac:dyDescent="0.25">
      <c r="A901" s="26">
        <v>898</v>
      </c>
      <c r="B901" s="24" t="str">
        <f>IF('ASS START SYNC'!C905="SHOW",FIND(",",'ASS START SYNC'!E905,1),"")</f>
        <v/>
      </c>
      <c r="C901" s="24" t="str">
        <f>IF('ASS START SYNC'!C905="SHOW",FIND(",",'ASS START SYNC'!E905,B901+1),"")</f>
        <v/>
      </c>
      <c r="D901" s="24" t="str">
        <f>IF('ASS START SYNC'!C905="SHOW",FIND(",",'ASS START SYNC'!E905,C901+1),"")</f>
        <v/>
      </c>
      <c r="E901" s="25" t="str">
        <f>IF('ASS START SYNC'!C905="SHOW",FIND(",,",'ASS START SYNC'!E905,1),"")</f>
        <v/>
      </c>
      <c r="F901" s="25" t="str">
        <f>IF('ASS START SYNC'!C905="SHOW",FIND(",,",'ASS START SYNC'!E905,E901+1),"")</f>
        <v/>
      </c>
      <c r="G901" s="23" t="str">
        <f>IF('ASS START SYNC'!C905="SHOW",LEFT('ASS START SYNC'!E905,B901),"")</f>
        <v/>
      </c>
      <c r="H901" s="24" t="str">
        <f>IF(AND('ASS START SYNC'!C905="SHOW",COUNTA('ASS START SYNC'!$E$8:'ASS START SYNC'!E904)=0),MID('ASS START SYNC'!E905,B901+1,C901-B901-1),IF(AND('ASS START SYNC'!C905="SHOW",COUNTA('ASS START SYNC'!$E$8:'ASS START SYNC'!E904)&lt;&gt;0),I900,""))</f>
        <v/>
      </c>
      <c r="I901" s="24" t="str">
        <f>IF('ASS START SYNC'!C905="SHOW",MID('ASS START SYNC'!E905,C901+1,D901-C901-1),I900)</f>
        <v/>
      </c>
      <c r="J901" s="23" t="str">
        <f>IF('ASS START SYNC'!C905="SHOW",MID('ASS START SYNC'!E905,D901+1,F901-D901+1),"")</f>
        <v/>
      </c>
      <c r="K901" s="23" t="str">
        <f>IF('ASS START SYNC'!C905="SHOW",MID('ASS START SYNC'!E905,F901+2,1000),"")</f>
        <v/>
      </c>
      <c r="M901" s="24"/>
      <c r="N901" s="26">
        <v>898</v>
      </c>
      <c r="O901" s="24" t="str">
        <f>IF('ASS END SYNC'!C905="SHOW",FIND(",",'ASS END SYNC'!E905,1),"")</f>
        <v/>
      </c>
      <c r="P901" s="24" t="str">
        <f>IF('ASS END SYNC'!C905="SHOW",FIND(",",'ASS END SYNC'!E905,O901+1),"")</f>
        <v/>
      </c>
      <c r="Q901" s="24" t="str">
        <f>IF('ASS END SYNC'!C905="SHOW",FIND(",",'ASS END SYNC'!E905,P901+1),"")</f>
        <v/>
      </c>
      <c r="R901" s="25" t="str">
        <f>IF('ASS END SYNC'!C905="SHOW",FIND(",,",'ASS END SYNC'!E905,1),"")</f>
        <v/>
      </c>
      <c r="S901" s="25" t="str">
        <f>IF('ASS END SYNC'!C905="SHOW",FIND(",,",'ASS END SYNC'!E905,R901+1),"")</f>
        <v/>
      </c>
      <c r="T901" s="23" t="str">
        <f>IF('ASS END SYNC'!C905="SHOW",LEFT('ASS END SYNC'!E905,O901),"")</f>
        <v/>
      </c>
      <c r="U901" s="24" t="str">
        <f>IF('ASS END SYNC'!C905="SHOW",MID('ASS END SYNC'!E905,O901+1,P901-O901-1),"")</f>
        <v/>
      </c>
      <c r="V901" s="24" t="str">
        <f>IF(AND('ASS END SYNC'!C905="SHOW",'ASS END SYNC'!C906="SHOW"),U902,IF(AND('ASS END SYNC'!C905="SHOW",'ASS END SYNC'!C906&lt;&gt;"SHOW"),MID('ASS END SYNC'!E905,O901+1,P901-O901-1),""))</f>
        <v/>
      </c>
      <c r="W901" s="23" t="str">
        <f>IF('ASS END SYNC'!C905="SHOW",MID('ASS END SYNC'!E905,Q901+1,S901-Q901+1),"")</f>
        <v/>
      </c>
      <c r="X901" s="23" t="str">
        <f>IF('ASS END SYNC'!C905="SHOW",MID('ASS END SYNC'!E905,S901+2,1000),"")</f>
        <v/>
      </c>
      <c r="Z901" s="24"/>
    </row>
    <row r="902" spans="1:26" x14ac:dyDescent="0.25">
      <c r="A902" s="26">
        <v>899</v>
      </c>
      <c r="B902" s="24" t="str">
        <f>IF('ASS START SYNC'!C906="SHOW",FIND(",",'ASS START SYNC'!E906,1),"")</f>
        <v/>
      </c>
      <c r="C902" s="24" t="str">
        <f>IF('ASS START SYNC'!C906="SHOW",FIND(",",'ASS START SYNC'!E906,B902+1),"")</f>
        <v/>
      </c>
      <c r="D902" s="24" t="str">
        <f>IF('ASS START SYNC'!C906="SHOW",FIND(",",'ASS START SYNC'!E906,C902+1),"")</f>
        <v/>
      </c>
      <c r="E902" s="25" t="str">
        <f>IF('ASS START SYNC'!C906="SHOW",FIND(",,",'ASS START SYNC'!E906,1),"")</f>
        <v/>
      </c>
      <c r="F902" s="25" t="str">
        <f>IF('ASS START SYNC'!C906="SHOW",FIND(",,",'ASS START SYNC'!E906,E902+1),"")</f>
        <v/>
      </c>
      <c r="G902" s="23" t="str">
        <f>IF('ASS START SYNC'!C906="SHOW",LEFT('ASS START SYNC'!E906,B902),"")</f>
        <v/>
      </c>
      <c r="H902" s="24" t="str">
        <f>IF(AND('ASS START SYNC'!C906="SHOW",COUNTA('ASS START SYNC'!$E$8:'ASS START SYNC'!E905)=0),MID('ASS START SYNC'!E906,B902+1,C902-B902-1),IF(AND('ASS START SYNC'!C906="SHOW",COUNTA('ASS START SYNC'!$E$8:'ASS START SYNC'!E905)&lt;&gt;0),I901,""))</f>
        <v/>
      </c>
      <c r="I902" s="24" t="str">
        <f>IF('ASS START SYNC'!C906="SHOW",MID('ASS START SYNC'!E906,C902+1,D902-C902-1),I901)</f>
        <v/>
      </c>
      <c r="J902" s="23" t="str">
        <f>IF('ASS START SYNC'!C906="SHOW",MID('ASS START SYNC'!E906,D902+1,F902-D902+1),"")</f>
        <v/>
      </c>
      <c r="K902" s="23" t="str">
        <f>IF('ASS START SYNC'!C906="SHOW",MID('ASS START SYNC'!E906,F902+2,1000),"")</f>
        <v/>
      </c>
      <c r="M902" s="24"/>
      <c r="N902" s="26">
        <v>899</v>
      </c>
      <c r="O902" s="24" t="str">
        <f>IF('ASS END SYNC'!C906="SHOW",FIND(",",'ASS END SYNC'!E906,1),"")</f>
        <v/>
      </c>
      <c r="P902" s="24" t="str">
        <f>IF('ASS END SYNC'!C906="SHOW",FIND(",",'ASS END SYNC'!E906,O902+1),"")</f>
        <v/>
      </c>
      <c r="Q902" s="24" t="str">
        <f>IF('ASS END SYNC'!C906="SHOW",FIND(",",'ASS END SYNC'!E906,P902+1),"")</f>
        <v/>
      </c>
      <c r="R902" s="25" t="str">
        <f>IF('ASS END SYNC'!C906="SHOW",FIND(",,",'ASS END SYNC'!E906,1),"")</f>
        <v/>
      </c>
      <c r="S902" s="25" t="str">
        <f>IF('ASS END SYNC'!C906="SHOW",FIND(",,",'ASS END SYNC'!E906,R902+1),"")</f>
        <v/>
      </c>
      <c r="T902" s="23" t="str">
        <f>IF('ASS END SYNC'!C906="SHOW",LEFT('ASS END SYNC'!E906,O902),"")</f>
        <v/>
      </c>
      <c r="U902" s="24" t="str">
        <f>IF('ASS END SYNC'!C906="SHOW",MID('ASS END SYNC'!E906,O902+1,P902-O902-1),"")</f>
        <v/>
      </c>
      <c r="V902" s="24" t="str">
        <f>IF(AND('ASS END SYNC'!C906="SHOW",'ASS END SYNC'!C907="SHOW"),U903,IF(AND('ASS END SYNC'!C906="SHOW",'ASS END SYNC'!C907&lt;&gt;"SHOW"),MID('ASS END SYNC'!E906,O902+1,P902-O902-1),""))</f>
        <v/>
      </c>
      <c r="W902" s="23" t="str">
        <f>IF('ASS END SYNC'!C906="SHOW",MID('ASS END SYNC'!E906,Q902+1,S902-Q902+1),"")</f>
        <v/>
      </c>
      <c r="X902" s="23" t="str">
        <f>IF('ASS END SYNC'!C906="SHOW",MID('ASS END SYNC'!E906,S902+2,1000),"")</f>
        <v/>
      </c>
      <c r="Z902" s="24"/>
    </row>
    <row r="903" spans="1:26" x14ac:dyDescent="0.25">
      <c r="A903" s="26">
        <v>900</v>
      </c>
      <c r="B903" s="24" t="str">
        <f>IF('ASS START SYNC'!C907="SHOW",FIND(",",'ASS START SYNC'!E907,1),"")</f>
        <v/>
      </c>
      <c r="C903" s="24" t="str">
        <f>IF('ASS START SYNC'!C907="SHOW",FIND(",",'ASS START SYNC'!E907,B903+1),"")</f>
        <v/>
      </c>
      <c r="D903" s="24" t="str">
        <f>IF('ASS START SYNC'!C907="SHOW",FIND(",",'ASS START SYNC'!E907,C903+1),"")</f>
        <v/>
      </c>
      <c r="E903" s="25" t="str">
        <f>IF('ASS START SYNC'!C907="SHOW",FIND(",,",'ASS START SYNC'!E907,1),"")</f>
        <v/>
      </c>
      <c r="F903" s="25" t="str">
        <f>IF('ASS START SYNC'!C907="SHOW",FIND(",,",'ASS START SYNC'!E907,E903+1),"")</f>
        <v/>
      </c>
      <c r="G903" s="23" t="str">
        <f>IF('ASS START SYNC'!C907="SHOW",LEFT('ASS START SYNC'!E907,B903),"")</f>
        <v/>
      </c>
      <c r="H903" s="24" t="str">
        <f>IF(AND('ASS START SYNC'!C907="SHOW",COUNTA('ASS START SYNC'!$E$8:'ASS START SYNC'!E906)=0),MID('ASS START SYNC'!E907,B903+1,C903-B903-1),IF(AND('ASS START SYNC'!C907="SHOW",COUNTA('ASS START SYNC'!$E$8:'ASS START SYNC'!E906)&lt;&gt;0),I902,""))</f>
        <v/>
      </c>
      <c r="I903" s="24" t="str">
        <f>IF('ASS START SYNC'!C907="SHOW",MID('ASS START SYNC'!E907,C903+1,D903-C903-1),I902)</f>
        <v/>
      </c>
      <c r="J903" s="23" t="str">
        <f>IF('ASS START SYNC'!C907="SHOW",MID('ASS START SYNC'!E907,D903+1,F903-D903+1),"")</f>
        <v/>
      </c>
      <c r="K903" s="23" t="str">
        <f>IF('ASS START SYNC'!C907="SHOW",MID('ASS START SYNC'!E907,F903+2,1000),"")</f>
        <v/>
      </c>
      <c r="M903" s="24"/>
      <c r="N903" s="26">
        <v>900</v>
      </c>
      <c r="O903" s="24" t="str">
        <f>IF('ASS END SYNC'!C907="SHOW",FIND(",",'ASS END SYNC'!E907,1),"")</f>
        <v/>
      </c>
      <c r="P903" s="24" t="str">
        <f>IF('ASS END SYNC'!C907="SHOW",FIND(",",'ASS END SYNC'!E907,O903+1),"")</f>
        <v/>
      </c>
      <c r="Q903" s="24" t="str">
        <f>IF('ASS END SYNC'!C907="SHOW",FIND(",",'ASS END SYNC'!E907,P903+1),"")</f>
        <v/>
      </c>
      <c r="R903" s="25" t="str">
        <f>IF('ASS END SYNC'!C907="SHOW",FIND(",,",'ASS END SYNC'!E907,1),"")</f>
        <v/>
      </c>
      <c r="S903" s="25" t="str">
        <f>IF('ASS END SYNC'!C907="SHOW",FIND(",,",'ASS END SYNC'!E907,R903+1),"")</f>
        <v/>
      </c>
      <c r="T903" s="23" t="str">
        <f>IF('ASS END SYNC'!C907="SHOW",LEFT('ASS END SYNC'!E907,O903),"")</f>
        <v/>
      </c>
      <c r="U903" s="24" t="str">
        <f>IF('ASS END SYNC'!C907="SHOW",MID('ASS END SYNC'!E907,O903+1,P903-O903-1),"")</f>
        <v/>
      </c>
      <c r="V903" s="24" t="str">
        <f>IF(AND('ASS END SYNC'!C907="SHOW",'ASS END SYNC'!C908="SHOW"),U904,IF(AND('ASS END SYNC'!C907="SHOW",'ASS END SYNC'!C908&lt;&gt;"SHOW"),MID('ASS END SYNC'!E907,O903+1,P903-O903-1),""))</f>
        <v/>
      </c>
      <c r="W903" s="23" t="str">
        <f>IF('ASS END SYNC'!C907="SHOW",MID('ASS END SYNC'!E907,Q903+1,S903-Q903+1),"")</f>
        <v/>
      </c>
      <c r="X903" s="23" t="str">
        <f>IF('ASS END SYNC'!C907="SHOW",MID('ASS END SYNC'!E907,S903+2,1000),"")</f>
        <v/>
      </c>
      <c r="Z903" s="24"/>
    </row>
    <row r="904" spans="1:26" x14ac:dyDescent="0.25">
      <c r="A904" s="26">
        <v>901</v>
      </c>
      <c r="B904" s="24" t="str">
        <f>IF('ASS START SYNC'!C908="SHOW",FIND(",",'ASS START SYNC'!E908,1),"")</f>
        <v/>
      </c>
      <c r="C904" s="24" t="str">
        <f>IF('ASS START SYNC'!C908="SHOW",FIND(",",'ASS START SYNC'!E908,B904+1),"")</f>
        <v/>
      </c>
      <c r="D904" s="24" t="str">
        <f>IF('ASS START SYNC'!C908="SHOW",FIND(",",'ASS START SYNC'!E908,C904+1),"")</f>
        <v/>
      </c>
      <c r="E904" s="25" t="str">
        <f>IF('ASS START SYNC'!C908="SHOW",FIND(",,",'ASS START SYNC'!E908,1),"")</f>
        <v/>
      </c>
      <c r="F904" s="25" t="str">
        <f>IF('ASS START SYNC'!C908="SHOW",FIND(",,",'ASS START SYNC'!E908,E904+1),"")</f>
        <v/>
      </c>
      <c r="G904" s="23" t="str">
        <f>IF('ASS START SYNC'!C908="SHOW",LEFT('ASS START SYNC'!E908,B904),"")</f>
        <v/>
      </c>
      <c r="H904" s="24" t="str">
        <f>IF(AND('ASS START SYNC'!C908="SHOW",COUNTA('ASS START SYNC'!$E$8:'ASS START SYNC'!E907)=0),MID('ASS START SYNC'!E908,B904+1,C904-B904-1),IF(AND('ASS START SYNC'!C908="SHOW",COUNTA('ASS START SYNC'!$E$8:'ASS START SYNC'!E907)&lt;&gt;0),I903,""))</f>
        <v/>
      </c>
      <c r="I904" s="24" t="str">
        <f>IF('ASS START SYNC'!C908="SHOW",MID('ASS START SYNC'!E908,C904+1,D904-C904-1),I903)</f>
        <v/>
      </c>
      <c r="J904" s="23" t="str">
        <f>IF('ASS START SYNC'!C908="SHOW",MID('ASS START SYNC'!E908,D904+1,F904-D904+1),"")</f>
        <v/>
      </c>
      <c r="K904" s="23" t="str">
        <f>IF('ASS START SYNC'!C908="SHOW",MID('ASS START SYNC'!E908,F904+2,1000),"")</f>
        <v/>
      </c>
      <c r="M904" s="24"/>
      <c r="N904" s="26">
        <v>901</v>
      </c>
      <c r="O904" s="24" t="str">
        <f>IF('ASS END SYNC'!C908="SHOW",FIND(",",'ASS END SYNC'!E908,1),"")</f>
        <v/>
      </c>
      <c r="P904" s="24" t="str">
        <f>IF('ASS END SYNC'!C908="SHOW",FIND(",",'ASS END SYNC'!E908,O904+1),"")</f>
        <v/>
      </c>
      <c r="Q904" s="24" t="str">
        <f>IF('ASS END SYNC'!C908="SHOW",FIND(",",'ASS END SYNC'!E908,P904+1),"")</f>
        <v/>
      </c>
      <c r="R904" s="25" t="str">
        <f>IF('ASS END SYNC'!C908="SHOW",FIND(",,",'ASS END SYNC'!E908,1),"")</f>
        <v/>
      </c>
      <c r="S904" s="25" t="str">
        <f>IF('ASS END SYNC'!C908="SHOW",FIND(",,",'ASS END SYNC'!E908,R904+1),"")</f>
        <v/>
      </c>
      <c r="T904" s="23" t="str">
        <f>IF('ASS END SYNC'!C908="SHOW",LEFT('ASS END SYNC'!E908,O904),"")</f>
        <v/>
      </c>
      <c r="U904" s="24" t="str">
        <f>IF('ASS END SYNC'!C908="SHOW",MID('ASS END SYNC'!E908,O904+1,P904-O904-1),"")</f>
        <v/>
      </c>
      <c r="V904" s="24" t="str">
        <f>IF(AND('ASS END SYNC'!C908="SHOW",'ASS END SYNC'!C909="SHOW"),U905,IF(AND('ASS END SYNC'!C908="SHOW",'ASS END SYNC'!C909&lt;&gt;"SHOW"),MID('ASS END SYNC'!E908,O904+1,P904-O904-1),""))</f>
        <v/>
      </c>
      <c r="W904" s="23" t="str">
        <f>IF('ASS END SYNC'!C908="SHOW",MID('ASS END SYNC'!E908,Q904+1,S904-Q904+1),"")</f>
        <v/>
      </c>
      <c r="X904" s="23" t="str">
        <f>IF('ASS END SYNC'!C908="SHOW",MID('ASS END SYNC'!E908,S904+2,1000),"")</f>
        <v/>
      </c>
      <c r="Z904" s="24"/>
    </row>
    <row r="905" spans="1:26" x14ac:dyDescent="0.25">
      <c r="A905" s="26">
        <v>902</v>
      </c>
      <c r="B905" s="24" t="str">
        <f>IF('ASS START SYNC'!C909="SHOW",FIND(",",'ASS START SYNC'!E909,1),"")</f>
        <v/>
      </c>
      <c r="C905" s="24" t="str">
        <f>IF('ASS START SYNC'!C909="SHOW",FIND(",",'ASS START SYNC'!E909,B905+1),"")</f>
        <v/>
      </c>
      <c r="D905" s="24" t="str">
        <f>IF('ASS START SYNC'!C909="SHOW",FIND(",",'ASS START SYNC'!E909,C905+1),"")</f>
        <v/>
      </c>
      <c r="E905" s="25" t="str">
        <f>IF('ASS START SYNC'!C909="SHOW",FIND(",,",'ASS START SYNC'!E909,1),"")</f>
        <v/>
      </c>
      <c r="F905" s="25" t="str">
        <f>IF('ASS START SYNC'!C909="SHOW",FIND(",,",'ASS START SYNC'!E909,E905+1),"")</f>
        <v/>
      </c>
      <c r="G905" s="23" t="str">
        <f>IF('ASS START SYNC'!C909="SHOW",LEFT('ASS START SYNC'!E909,B905),"")</f>
        <v/>
      </c>
      <c r="H905" s="24" t="str">
        <f>IF(AND('ASS START SYNC'!C909="SHOW",COUNTA('ASS START SYNC'!$E$8:'ASS START SYNC'!E908)=0),MID('ASS START SYNC'!E909,B905+1,C905-B905-1),IF(AND('ASS START SYNC'!C909="SHOW",COUNTA('ASS START SYNC'!$E$8:'ASS START SYNC'!E908)&lt;&gt;0),I904,""))</f>
        <v/>
      </c>
      <c r="I905" s="24" t="str">
        <f>IF('ASS START SYNC'!C909="SHOW",MID('ASS START SYNC'!E909,C905+1,D905-C905-1),I904)</f>
        <v/>
      </c>
      <c r="J905" s="23" t="str">
        <f>IF('ASS START SYNC'!C909="SHOW",MID('ASS START SYNC'!E909,D905+1,F905-D905+1),"")</f>
        <v/>
      </c>
      <c r="K905" s="23" t="str">
        <f>IF('ASS START SYNC'!C909="SHOW",MID('ASS START SYNC'!E909,F905+2,1000),"")</f>
        <v/>
      </c>
      <c r="M905" s="24"/>
      <c r="N905" s="26">
        <v>902</v>
      </c>
      <c r="O905" s="24" t="str">
        <f>IF('ASS END SYNC'!C909="SHOW",FIND(",",'ASS END SYNC'!E909,1),"")</f>
        <v/>
      </c>
      <c r="P905" s="24" t="str">
        <f>IF('ASS END SYNC'!C909="SHOW",FIND(",",'ASS END SYNC'!E909,O905+1),"")</f>
        <v/>
      </c>
      <c r="Q905" s="24" t="str">
        <f>IF('ASS END SYNC'!C909="SHOW",FIND(",",'ASS END SYNC'!E909,P905+1),"")</f>
        <v/>
      </c>
      <c r="R905" s="25" t="str">
        <f>IF('ASS END SYNC'!C909="SHOW",FIND(",,",'ASS END SYNC'!E909,1),"")</f>
        <v/>
      </c>
      <c r="S905" s="25" t="str">
        <f>IF('ASS END SYNC'!C909="SHOW",FIND(",,",'ASS END SYNC'!E909,R905+1),"")</f>
        <v/>
      </c>
      <c r="T905" s="23" t="str">
        <f>IF('ASS END SYNC'!C909="SHOW",LEFT('ASS END SYNC'!E909,O905),"")</f>
        <v/>
      </c>
      <c r="U905" s="24" t="str">
        <f>IF('ASS END SYNC'!C909="SHOW",MID('ASS END SYNC'!E909,O905+1,P905-O905-1),"")</f>
        <v/>
      </c>
      <c r="V905" s="24" t="str">
        <f>IF(AND('ASS END SYNC'!C909="SHOW",'ASS END SYNC'!C910="SHOW"),U906,IF(AND('ASS END SYNC'!C909="SHOW",'ASS END SYNC'!C910&lt;&gt;"SHOW"),MID('ASS END SYNC'!E909,O905+1,P905-O905-1),""))</f>
        <v/>
      </c>
      <c r="W905" s="23" t="str">
        <f>IF('ASS END SYNC'!C909="SHOW",MID('ASS END SYNC'!E909,Q905+1,S905-Q905+1),"")</f>
        <v/>
      </c>
      <c r="X905" s="23" t="str">
        <f>IF('ASS END SYNC'!C909="SHOW",MID('ASS END SYNC'!E909,S905+2,1000),"")</f>
        <v/>
      </c>
      <c r="Z905" s="24"/>
    </row>
    <row r="906" spans="1:26" x14ac:dyDescent="0.25">
      <c r="A906" s="26">
        <v>903</v>
      </c>
      <c r="B906" s="24" t="str">
        <f>IF('ASS START SYNC'!C910="SHOW",FIND(",",'ASS START SYNC'!E910,1),"")</f>
        <v/>
      </c>
      <c r="C906" s="24" t="str">
        <f>IF('ASS START SYNC'!C910="SHOW",FIND(",",'ASS START SYNC'!E910,B906+1),"")</f>
        <v/>
      </c>
      <c r="D906" s="24" t="str">
        <f>IF('ASS START SYNC'!C910="SHOW",FIND(",",'ASS START SYNC'!E910,C906+1),"")</f>
        <v/>
      </c>
      <c r="E906" s="25" t="str">
        <f>IF('ASS START SYNC'!C910="SHOW",FIND(",,",'ASS START SYNC'!E910,1),"")</f>
        <v/>
      </c>
      <c r="F906" s="25" t="str">
        <f>IF('ASS START SYNC'!C910="SHOW",FIND(",,",'ASS START SYNC'!E910,E906+1),"")</f>
        <v/>
      </c>
      <c r="G906" s="23" t="str">
        <f>IF('ASS START SYNC'!C910="SHOW",LEFT('ASS START SYNC'!E910,B906),"")</f>
        <v/>
      </c>
      <c r="H906" s="24" t="str">
        <f>IF(AND('ASS START SYNC'!C910="SHOW",COUNTA('ASS START SYNC'!$E$8:'ASS START SYNC'!E909)=0),MID('ASS START SYNC'!E910,B906+1,C906-B906-1),IF(AND('ASS START SYNC'!C910="SHOW",COUNTA('ASS START SYNC'!$E$8:'ASS START SYNC'!E909)&lt;&gt;0),I905,""))</f>
        <v/>
      </c>
      <c r="I906" s="24" t="str">
        <f>IF('ASS START SYNC'!C910="SHOW",MID('ASS START SYNC'!E910,C906+1,D906-C906-1),I905)</f>
        <v/>
      </c>
      <c r="J906" s="23" t="str">
        <f>IF('ASS START SYNC'!C910="SHOW",MID('ASS START SYNC'!E910,D906+1,F906-D906+1),"")</f>
        <v/>
      </c>
      <c r="K906" s="23" t="str">
        <f>IF('ASS START SYNC'!C910="SHOW",MID('ASS START SYNC'!E910,F906+2,1000),"")</f>
        <v/>
      </c>
      <c r="M906" s="24"/>
      <c r="N906" s="26">
        <v>903</v>
      </c>
      <c r="O906" s="24" t="str">
        <f>IF('ASS END SYNC'!C910="SHOW",FIND(",",'ASS END SYNC'!E910,1),"")</f>
        <v/>
      </c>
      <c r="P906" s="24" t="str">
        <f>IF('ASS END SYNC'!C910="SHOW",FIND(",",'ASS END SYNC'!E910,O906+1),"")</f>
        <v/>
      </c>
      <c r="Q906" s="24" t="str">
        <f>IF('ASS END SYNC'!C910="SHOW",FIND(",",'ASS END SYNC'!E910,P906+1),"")</f>
        <v/>
      </c>
      <c r="R906" s="25" t="str">
        <f>IF('ASS END SYNC'!C910="SHOW",FIND(",,",'ASS END SYNC'!E910,1),"")</f>
        <v/>
      </c>
      <c r="S906" s="25" t="str">
        <f>IF('ASS END SYNC'!C910="SHOW",FIND(",,",'ASS END SYNC'!E910,R906+1),"")</f>
        <v/>
      </c>
      <c r="T906" s="23" t="str">
        <f>IF('ASS END SYNC'!C910="SHOW",LEFT('ASS END SYNC'!E910,O906),"")</f>
        <v/>
      </c>
      <c r="U906" s="24" t="str">
        <f>IF('ASS END SYNC'!C910="SHOW",MID('ASS END SYNC'!E910,O906+1,P906-O906-1),"")</f>
        <v/>
      </c>
      <c r="V906" s="24" t="str">
        <f>IF(AND('ASS END SYNC'!C910="SHOW",'ASS END SYNC'!C911="SHOW"),U907,IF(AND('ASS END SYNC'!C910="SHOW",'ASS END SYNC'!C911&lt;&gt;"SHOW"),MID('ASS END SYNC'!E910,O906+1,P906-O906-1),""))</f>
        <v/>
      </c>
      <c r="W906" s="23" t="str">
        <f>IF('ASS END SYNC'!C910="SHOW",MID('ASS END SYNC'!E910,Q906+1,S906-Q906+1),"")</f>
        <v/>
      </c>
      <c r="X906" s="23" t="str">
        <f>IF('ASS END SYNC'!C910="SHOW",MID('ASS END SYNC'!E910,S906+2,1000),"")</f>
        <v/>
      </c>
      <c r="Z906" s="24"/>
    </row>
    <row r="907" spans="1:26" x14ac:dyDescent="0.25">
      <c r="A907" s="26">
        <v>904</v>
      </c>
      <c r="B907" s="24" t="str">
        <f>IF('ASS START SYNC'!C911="SHOW",FIND(",",'ASS START SYNC'!E911,1),"")</f>
        <v/>
      </c>
      <c r="C907" s="24" t="str">
        <f>IF('ASS START SYNC'!C911="SHOW",FIND(",",'ASS START SYNC'!E911,B907+1),"")</f>
        <v/>
      </c>
      <c r="D907" s="24" t="str">
        <f>IF('ASS START SYNC'!C911="SHOW",FIND(",",'ASS START SYNC'!E911,C907+1),"")</f>
        <v/>
      </c>
      <c r="E907" s="25" t="str">
        <f>IF('ASS START SYNC'!C911="SHOW",FIND(",,",'ASS START SYNC'!E911,1),"")</f>
        <v/>
      </c>
      <c r="F907" s="25" t="str">
        <f>IF('ASS START SYNC'!C911="SHOW",FIND(",,",'ASS START SYNC'!E911,E907+1),"")</f>
        <v/>
      </c>
      <c r="G907" s="23" t="str">
        <f>IF('ASS START SYNC'!C911="SHOW",LEFT('ASS START SYNC'!E911,B907),"")</f>
        <v/>
      </c>
      <c r="H907" s="24" t="str">
        <f>IF(AND('ASS START SYNC'!C911="SHOW",COUNTA('ASS START SYNC'!$E$8:'ASS START SYNC'!E910)=0),MID('ASS START SYNC'!E911,B907+1,C907-B907-1),IF(AND('ASS START SYNC'!C911="SHOW",COUNTA('ASS START SYNC'!$E$8:'ASS START SYNC'!E910)&lt;&gt;0),I906,""))</f>
        <v/>
      </c>
      <c r="I907" s="24" t="str">
        <f>IF('ASS START SYNC'!C911="SHOW",MID('ASS START SYNC'!E911,C907+1,D907-C907-1),I906)</f>
        <v/>
      </c>
      <c r="J907" s="23" t="str">
        <f>IF('ASS START SYNC'!C911="SHOW",MID('ASS START SYNC'!E911,D907+1,F907-D907+1),"")</f>
        <v/>
      </c>
      <c r="K907" s="23" t="str">
        <f>IF('ASS START SYNC'!C911="SHOW",MID('ASS START SYNC'!E911,F907+2,1000),"")</f>
        <v/>
      </c>
      <c r="M907" s="24"/>
      <c r="N907" s="26">
        <v>904</v>
      </c>
      <c r="O907" s="24" t="str">
        <f>IF('ASS END SYNC'!C911="SHOW",FIND(",",'ASS END SYNC'!E911,1),"")</f>
        <v/>
      </c>
      <c r="P907" s="24" t="str">
        <f>IF('ASS END SYNC'!C911="SHOW",FIND(",",'ASS END SYNC'!E911,O907+1),"")</f>
        <v/>
      </c>
      <c r="Q907" s="24" t="str">
        <f>IF('ASS END SYNC'!C911="SHOW",FIND(",",'ASS END SYNC'!E911,P907+1),"")</f>
        <v/>
      </c>
      <c r="R907" s="25" t="str">
        <f>IF('ASS END SYNC'!C911="SHOW",FIND(",,",'ASS END SYNC'!E911,1),"")</f>
        <v/>
      </c>
      <c r="S907" s="25" t="str">
        <f>IF('ASS END SYNC'!C911="SHOW",FIND(",,",'ASS END SYNC'!E911,R907+1),"")</f>
        <v/>
      </c>
      <c r="T907" s="23" t="str">
        <f>IF('ASS END SYNC'!C911="SHOW",LEFT('ASS END SYNC'!E911,O907),"")</f>
        <v/>
      </c>
      <c r="U907" s="24" t="str">
        <f>IF('ASS END SYNC'!C911="SHOW",MID('ASS END SYNC'!E911,O907+1,P907-O907-1),"")</f>
        <v/>
      </c>
      <c r="V907" s="24" t="str">
        <f>IF(AND('ASS END SYNC'!C911="SHOW",'ASS END SYNC'!C912="SHOW"),U908,IF(AND('ASS END SYNC'!C911="SHOW",'ASS END SYNC'!C912&lt;&gt;"SHOW"),MID('ASS END SYNC'!E911,O907+1,P907-O907-1),""))</f>
        <v/>
      </c>
      <c r="W907" s="23" t="str">
        <f>IF('ASS END SYNC'!C911="SHOW",MID('ASS END SYNC'!E911,Q907+1,S907-Q907+1),"")</f>
        <v/>
      </c>
      <c r="X907" s="23" t="str">
        <f>IF('ASS END SYNC'!C911="SHOW",MID('ASS END SYNC'!E911,S907+2,1000),"")</f>
        <v/>
      </c>
      <c r="Z907" s="24"/>
    </row>
    <row r="908" spans="1:26" x14ac:dyDescent="0.25">
      <c r="A908" s="26">
        <v>905</v>
      </c>
      <c r="B908" s="24" t="str">
        <f>IF('ASS START SYNC'!C912="SHOW",FIND(",",'ASS START SYNC'!E912,1),"")</f>
        <v/>
      </c>
      <c r="C908" s="24" t="str">
        <f>IF('ASS START SYNC'!C912="SHOW",FIND(",",'ASS START SYNC'!E912,B908+1),"")</f>
        <v/>
      </c>
      <c r="D908" s="24" t="str">
        <f>IF('ASS START SYNC'!C912="SHOW",FIND(",",'ASS START SYNC'!E912,C908+1),"")</f>
        <v/>
      </c>
      <c r="E908" s="25" t="str">
        <f>IF('ASS START SYNC'!C912="SHOW",FIND(",,",'ASS START SYNC'!E912,1),"")</f>
        <v/>
      </c>
      <c r="F908" s="25" t="str">
        <f>IF('ASS START SYNC'!C912="SHOW",FIND(",,",'ASS START SYNC'!E912,E908+1),"")</f>
        <v/>
      </c>
      <c r="G908" s="23" t="str">
        <f>IF('ASS START SYNC'!C912="SHOW",LEFT('ASS START SYNC'!E912,B908),"")</f>
        <v/>
      </c>
      <c r="H908" s="24" t="str">
        <f>IF(AND('ASS START SYNC'!C912="SHOW",COUNTA('ASS START SYNC'!$E$8:'ASS START SYNC'!E911)=0),MID('ASS START SYNC'!E912,B908+1,C908-B908-1),IF(AND('ASS START SYNC'!C912="SHOW",COUNTA('ASS START SYNC'!$E$8:'ASS START SYNC'!E911)&lt;&gt;0),I907,""))</f>
        <v/>
      </c>
      <c r="I908" s="24" t="str">
        <f>IF('ASS START SYNC'!C912="SHOW",MID('ASS START SYNC'!E912,C908+1,D908-C908-1),I907)</f>
        <v/>
      </c>
      <c r="J908" s="23" t="str">
        <f>IF('ASS START SYNC'!C912="SHOW",MID('ASS START SYNC'!E912,D908+1,F908-D908+1),"")</f>
        <v/>
      </c>
      <c r="K908" s="23" t="str">
        <f>IF('ASS START SYNC'!C912="SHOW",MID('ASS START SYNC'!E912,F908+2,1000),"")</f>
        <v/>
      </c>
      <c r="M908" s="24"/>
      <c r="N908" s="26">
        <v>905</v>
      </c>
      <c r="O908" s="24" t="str">
        <f>IF('ASS END SYNC'!C912="SHOW",FIND(",",'ASS END SYNC'!E912,1),"")</f>
        <v/>
      </c>
      <c r="P908" s="24" t="str">
        <f>IF('ASS END SYNC'!C912="SHOW",FIND(",",'ASS END SYNC'!E912,O908+1),"")</f>
        <v/>
      </c>
      <c r="Q908" s="24" t="str">
        <f>IF('ASS END SYNC'!C912="SHOW",FIND(",",'ASS END SYNC'!E912,P908+1),"")</f>
        <v/>
      </c>
      <c r="R908" s="25" t="str">
        <f>IF('ASS END SYNC'!C912="SHOW",FIND(",,",'ASS END SYNC'!E912,1),"")</f>
        <v/>
      </c>
      <c r="S908" s="25" t="str">
        <f>IF('ASS END SYNC'!C912="SHOW",FIND(",,",'ASS END SYNC'!E912,R908+1),"")</f>
        <v/>
      </c>
      <c r="T908" s="23" t="str">
        <f>IF('ASS END SYNC'!C912="SHOW",LEFT('ASS END SYNC'!E912,O908),"")</f>
        <v/>
      </c>
      <c r="U908" s="24" t="str">
        <f>IF('ASS END SYNC'!C912="SHOW",MID('ASS END SYNC'!E912,O908+1,P908-O908-1),"")</f>
        <v/>
      </c>
      <c r="V908" s="24" t="str">
        <f>IF(AND('ASS END SYNC'!C912="SHOW",'ASS END SYNC'!C913="SHOW"),U909,IF(AND('ASS END SYNC'!C912="SHOW",'ASS END SYNC'!C913&lt;&gt;"SHOW"),MID('ASS END SYNC'!E912,O908+1,P908-O908-1),""))</f>
        <v/>
      </c>
      <c r="W908" s="23" t="str">
        <f>IF('ASS END SYNC'!C912="SHOW",MID('ASS END SYNC'!E912,Q908+1,S908-Q908+1),"")</f>
        <v/>
      </c>
      <c r="X908" s="23" t="str">
        <f>IF('ASS END SYNC'!C912="SHOW",MID('ASS END SYNC'!E912,S908+2,1000),"")</f>
        <v/>
      </c>
      <c r="Z908" s="24"/>
    </row>
    <row r="909" spans="1:26" x14ac:dyDescent="0.25">
      <c r="A909" s="26">
        <v>906</v>
      </c>
      <c r="B909" s="24" t="str">
        <f>IF('ASS START SYNC'!C913="SHOW",FIND(",",'ASS START SYNC'!E913,1),"")</f>
        <v/>
      </c>
      <c r="C909" s="24" t="str">
        <f>IF('ASS START SYNC'!C913="SHOW",FIND(",",'ASS START SYNC'!E913,B909+1),"")</f>
        <v/>
      </c>
      <c r="D909" s="24" t="str">
        <f>IF('ASS START SYNC'!C913="SHOW",FIND(",",'ASS START SYNC'!E913,C909+1),"")</f>
        <v/>
      </c>
      <c r="E909" s="25" t="str">
        <f>IF('ASS START SYNC'!C913="SHOW",FIND(",,",'ASS START SYNC'!E913,1),"")</f>
        <v/>
      </c>
      <c r="F909" s="25" t="str">
        <f>IF('ASS START SYNC'!C913="SHOW",FIND(",,",'ASS START SYNC'!E913,E909+1),"")</f>
        <v/>
      </c>
      <c r="G909" s="23" t="str">
        <f>IF('ASS START SYNC'!C913="SHOW",LEFT('ASS START SYNC'!E913,B909),"")</f>
        <v/>
      </c>
      <c r="H909" s="24" t="str">
        <f>IF(AND('ASS START SYNC'!C913="SHOW",COUNTA('ASS START SYNC'!$E$8:'ASS START SYNC'!E912)=0),MID('ASS START SYNC'!E913,B909+1,C909-B909-1),IF(AND('ASS START SYNC'!C913="SHOW",COUNTA('ASS START SYNC'!$E$8:'ASS START SYNC'!E912)&lt;&gt;0),I908,""))</f>
        <v/>
      </c>
      <c r="I909" s="24" t="str">
        <f>IF('ASS START SYNC'!C913="SHOW",MID('ASS START SYNC'!E913,C909+1,D909-C909-1),I908)</f>
        <v/>
      </c>
      <c r="J909" s="23" t="str">
        <f>IF('ASS START SYNC'!C913="SHOW",MID('ASS START SYNC'!E913,D909+1,F909-D909+1),"")</f>
        <v/>
      </c>
      <c r="K909" s="23" t="str">
        <f>IF('ASS START SYNC'!C913="SHOW",MID('ASS START SYNC'!E913,F909+2,1000),"")</f>
        <v/>
      </c>
      <c r="M909" s="24"/>
      <c r="N909" s="26">
        <v>906</v>
      </c>
      <c r="O909" s="24" t="str">
        <f>IF('ASS END SYNC'!C913="SHOW",FIND(",",'ASS END SYNC'!E913,1),"")</f>
        <v/>
      </c>
      <c r="P909" s="24" t="str">
        <f>IF('ASS END SYNC'!C913="SHOW",FIND(",",'ASS END SYNC'!E913,O909+1),"")</f>
        <v/>
      </c>
      <c r="Q909" s="24" t="str">
        <f>IF('ASS END SYNC'!C913="SHOW",FIND(",",'ASS END SYNC'!E913,P909+1),"")</f>
        <v/>
      </c>
      <c r="R909" s="25" t="str">
        <f>IF('ASS END SYNC'!C913="SHOW",FIND(",,",'ASS END SYNC'!E913,1),"")</f>
        <v/>
      </c>
      <c r="S909" s="25" t="str">
        <f>IF('ASS END SYNC'!C913="SHOW",FIND(",,",'ASS END SYNC'!E913,R909+1),"")</f>
        <v/>
      </c>
      <c r="T909" s="23" t="str">
        <f>IF('ASS END SYNC'!C913="SHOW",LEFT('ASS END SYNC'!E913,O909),"")</f>
        <v/>
      </c>
      <c r="U909" s="24" t="str">
        <f>IF('ASS END SYNC'!C913="SHOW",MID('ASS END SYNC'!E913,O909+1,P909-O909-1),"")</f>
        <v/>
      </c>
      <c r="V909" s="24" t="str">
        <f>IF(AND('ASS END SYNC'!C913="SHOW",'ASS END SYNC'!C914="SHOW"),U910,IF(AND('ASS END SYNC'!C913="SHOW",'ASS END SYNC'!C914&lt;&gt;"SHOW"),MID('ASS END SYNC'!E913,O909+1,P909-O909-1),""))</f>
        <v/>
      </c>
      <c r="W909" s="23" t="str">
        <f>IF('ASS END SYNC'!C913="SHOW",MID('ASS END SYNC'!E913,Q909+1,S909-Q909+1),"")</f>
        <v/>
      </c>
      <c r="X909" s="23" t="str">
        <f>IF('ASS END SYNC'!C913="SHOW",MID('ASS END SYNC'!E913,S909+2,1000),"")</f>
        <v/>
      </c>
      <c r="Z909" s="24"/>
    </row>
    <row r="910" spans="1:26" x14ac:dyDescent="0.25">
      <c r="A910" s="26">
        <v>907</v>
      </c>
      <c r="B910" s="24" t="str">
        <f>IF('ASS START SYNC'!C914="SHOW",FIND(",",'ASS START SYNC'!E914,1),"")</f>
        <v/>
      </c>
      <c r="C910" s="24" t="str">
        <f>IF('ASS START SYNC'!C914="SHOW",FIND(",",'ASS START SYNC'!E914,B910+1),"")</f>
        <v/>
      </c>
      <c r="D910" s="24" t="str">
        <f>IF('ASS START SYNC'!C914="SHOW",FIND(",",'ASS START SYNC'!E914,C910+1),"")</f>
        <v/>
      </c>
      <c r="E910" s="25" t="str">
        <f>IF('ASS START SYNC'!C914="SHOW",FIND(",,",'ASS START SYNC'!E914,1),"")</f>
        <v/>
      </c>
      <c r="F910" s="25" t="str">
        <f>IF('ASS START SYNC'!C914="SHOW",FIND(",,",'ASS START SYNC'!E914,E910+1),"")</f>
        <v/>
      </c>
      <c r="G910" s="23" t="str">
        <f>IF('ASS START SYNC'!C914="SHOW",LEFT('ASS START SYNC'!E914,B910),"")</f>
        <v/>
      </c>
      <c r="H910" s="24" t="str">
        <f>IF(AND('ASS START SYNC'!C914="SHOW",COUNTA('ASS START SYNC'!$E$8:'ASS START SYNC'!E913)=0),MID('ASS START SYNC'!E914,B910+1,C910-B910-1),IF(AND('ASS START SYNC'!C914="SHOW",COUNTA('ASS START SYNC'!$E$8:'ASS START SYNC'!E913)&lt;&gt;0),I909,""))</f>
        <v/>
      </c>
      <c r="I910" s="24" t="str">
        <f>IF('ASS START SYNC'!C914="SHOW",MID('ASS START SYNC'!E914,C910+1,D910-C910-1),I909)</f>
        <v/>
      </c>
      <c r="J910" s="23" t="str">
        <f>IF('ASS START SYNC'!C914="SHOW",MID('ASS START SYNC'!E914,D910+1,F910-D910+1),"")</f>
        <v/>
      </c>
      <c r="K910" s="23" t="str">
        <f>IF('ASS START SYNC'!C914="SHOW",MID('ASS START SYNC'!E914,F910+2,1000),"")</f>
        <v/>
      </c>
      <c r="M910" s="24"/>
      <c r="N910" s="26">
        <v>907</v>
      </c>
      <c r="O910" s="24" t="str">
        <f>IF('ASS END SYNC'!C914="SHOW",FIND(",",'ASS END SYNC'!E914,1),"")</f>
        <v/>
      </c>
      <c r="P910" s="24" t="str">
        <f>IF('ASS END SYNC'!C914="SHOW",FIND(",",'ASS END SYNC'!E914,O910+1),"")</f>
        <v/>
      </c>
      <c r="Q910" s="24" t="str">
        <f>IF('ASS END SYNC'!C914="SHOW",FIND(",",'ASS END SYNC'!E914,P910+1),"")</f>
        <v/>
      </c>
      <c r="R910" s="25" t="str">
        <f>IF('ASS END SYNC'!C914="SHOW",FIND(",,",'ASS END SYNC'!E914,1),"")</f>
        <v/>
      </c>
      <c r="S910" s="25" t="str">
        <f>IF('ASS END SYNC'!C914="SHOW",FIND(",,",'ASS END SYNC'!E914,R910+1),"")</f>
        <v/>
      </c>
      <c r="T910" s="23" t="str">
        <f>IF('ASS END SYNC'!C914="SHOW",LEFT('ASS END SYNC'!E914,O910),"")</f>
        <v/>
      </c>
      <c r="U910" s="24" t="str">
        <f>IF('ASS END SYNC'!C914="SHOW",MID('ASS END SYNC'!E914,O910+1,P910-O910-1),"")</f>
        <v/>
      </c>
      <c r="V910" s="24" t="str">
        <f>IF(AND('ASS END SYNC'!C914="SHOW",'ASS END SYNC'!C915="SHOW"),U911,IF(AND('ASS END SYNC'!C914="SHOW",'ASS END SYNC'!C915&lt;&gt;"SHOW"),MID('ASS END SYNC'!E914,O910+1,P910-O910-1),""))</f>
        <v/>
      </c>
      <c r="W910" s="23" t="str">
        <f>IF('ASS END SYNC'!C914="SHOW",MID('ASS END SYNC'!E914,Q910+1,S910-Q910+1),"")</f>
        <v/>
      </c>
      <c r="X910" s="23" t="str">
        <f>IF('ASS END SYNC'!C914="SHOW",MID('ASS END SYNC'!E914,S910+2,1000),"")</f>
        <v/>
      </c>
      <c r="Z910" s="24"/>
    </row>
    <row r="911" spans="1:26" x14ac:dyDescent="0.25">
      <c r="A911" s="26">
        <v>908</v>
      </c>
      <c r="B911" s="24" t="str">
        <f>IF('ASS START SYNC'!C915="SHOW",FIND(",",'ASS START SYNC'!E915,1),"")</f>
        <v/>
      </c>
      <c r="C911" s="24" t="str">
        <f>IF('ASS START SYNC'!C915="SHOW",FIND(",",'ASS START SYNC'!E915,B911+1),"")</f>
        <v/>
      </c>
      <c r="D911" s="24" t="str">
        <f>IF('ASS START SYNC'!C915="SHOW",FIND(",",'ASS START SYNC'!E915,C911+1),"")</f>
        <v/>
      </c>
      <c r="E911" s="25" t="str">
        <f>IF('ASS START SYNC'!C915="SHOW",FIND(",,",'ASS START SYNC'!E915,1),"")</f>
        <v/>
      </c>
      <c r="F911" s="25" t="str">
        <f>IF('ASS START SYNC'!C915="SHOW",FIND(",,",'ASS START SYNC'!E915,E911+1),"")</f>
        <v/>
      </c>
      <c r="G911" s="23" t="str">
        <f>IF('ASS START SYNC'!C915="SHOW",LEFT('ASS START SYNC'!E915,B911),"")</f>
        <v/>
      </c>
      <c r="H911" s="24" t="str">
        <f>IF(AND('ASS START SYNC'!C915="SHOW",COUNTA('ASS START SYNC'!$E$8:'ASS START SYNC'!E914)=0),MID('ASS START SYNC'!E915,B911+1,C911-B911-1),IF(AND('ASS START SYNC'!C915="SHOW",COUNTA('ASS START SYNC'!$E$8:'ASS START SYNC'!E914)&lt;&gt;0),I910,""))</f>
        <v/>
      </c>
      <c r="I911" s="24" t="str">
        <f>IF('ASS START SYNC'!C915="SHOW",MID('ASS START SYNC'!E915,C911+1,D911-C911-1),I910)</f>
        <v/>
      </c>
      <c r="J911" s="23" t="str">
        <f>IF('ASS START SYNC'!C915="SHOW",MID('ASS START SYNC'!E915,D911+1,F911-D911+1),"")</f>
        <v/>
      </c>
      <c r="K911" s="23" t="str">
        <f>IF('ASS START SYNC'!C915="SHOW",MID('ASS START SYNC'!E915,F911+2,1000),"")</f>
        <v/>
      </c>
      <c r="M911" s="24"/>
      <c r="N911" s="26">
        <v>908</v>
      </c>
      <c r="O911" s="24" t="str">
        <f>IF('ASS END SYNC'!C915="SHOW",FIND(",",'ASS END SYNC'!E915,1),"")</f>
        <v/>
      </c>
      <c r="P911" s="24" t="str">
        <f>IF('ASS END SYNC'!C915="SHOW",FIND(",",'ASS END SYNC'!E915,O911+1),"")</f>
        <v/>
      </c>
      <c r="Q911" s="24" t="str">
        <f>IF('ASS END SYNC'!C915="SHOW",FIND(",",'ASS END SYNC'!E915,P911+1),"")</f>
        <v/>
      </c>
      <c r="R911" s="25" t="str">
        <f>IF('ASS END SYNC'!C915="SHOW",FIND(",,",'ASS END SYNC'!E915,1),"")</f>
        <v/>
      </c>
      <c r="S911" s="25" t="str">
        <f>IF('ASS END SYNC'!C915="SHOW",FIND(",,",'ASS END SYNC'!E915,R911+1),"")</f>
        <v/>
      </c>
      <c r="T911" s="23" t="str">
        <f>IF('ASS END SYNC'!C915="SHOW",LEFT('ASS END SYNC'!E915,O911),"")</f>
        <v/>
      </c>
      <c r="U911" s="24" t="str">
        <f>IF('ASS END SYNC'!C915="SHOW",MID('ASS END SYNC'!E915,O911+1,P911-O911-1),"")</f>
        <v/>
      </c>
      <c r="V911" s="24" t="str">
        <f>IF(AND('ASS END SYNC'!C915="SHOW",'ASS END SYNC'!C916="SHOW"),U912,IF(AND('ASS END SYNC'!C915="SHOW",'ASS END SYNC'!C916&lt;&gt;"SHOW"),MID('ASS END SYNC'!E915,O911+1,P911-O911-1),""))</f>
        <v/>
      </c>
      <c r="W911" s="23" t="str">
        <f>IF('ASS END SYNC'!C915="SHOW",MID('ASS END SYNC'!E915,Q911+1,S911-Q911+1),"")</f>
        <v/>
      </c>
      <c r="X911" s="23" t="str">
        <f>IF('ASS END SYNC'!C915="SHOW",MID('ASS END SYNC'!E915,S911+2,1000),"")</f>
        <v/>
      </c>
      <c r="Z911" s="24"/>
    </row>
    <row r="912" spans="1:26" x14ac:dyDescent="0.25">
      <c r="A912" s="26">
        <v>909</v>
      </c>
      <c r="B912" s="24" t="str">
        <f>IF('ASS START SYNC'!C916="SHOW",FIND(",",'ASS START SYNC'!E916,1),"")</f>
        <v/>
      </c>
      <c r="C912" s="24" t="str">
        <f>IF('ASS START SYNC'!C916="SHOW",FIND(",",'ASS START SYNC'!E916,B912+1),"")</f>
        <v/>
      </c>
      <c r="D912" s="24" t="str">
        <f>IF('ASS START SYNC'!C916="SHOW",FIND(",",'ASS START SYNC'!E916,C912+1),"")</f>
        <v/>
      </c>
      <c r="E912" s="25" t="str">
        <f>IF('ASS START SYNC'!C916="SHOW",FIND(",,",'ASS START SYNC'!E916,1),"")</f>
        <v/>
      </c>
      <c r="F912" s="25" t="str">
        <f>IF('ASS START SYNC'!C916="SHOW",FIND(",,",'ASS START SYNC'!E916,E912+1),"")</f>
        <v/>
      </c>
      <c r="G912" s="23" t="str">
        <f>IF('ASS START SYNC'!C916="SHOW",LEFT('ASS START SYNC'!E916,B912),"")</f>
        <v/>
      </c>
      <c r="H912" s="24" t="str">
        <f>IF(AND('ASS START SYNC'!C916="SHOW",COUNTA('ASS START SYNC'!$E$8:'ASS START SYNC'!E915)=0),MID('ASS START SYNC'!E916,B912+1,C912-B912-1),IF(AND('ASS START SYNC'!C916="SHOW",COUNTA('ASS START SYNC'!$E$8:'ASS START SYNC'!E915)&lt;&gt;0),I911,""))</f>
        <v/>
      </c>
      <c r="I912" s="24" t="str">
        <f>IF('ASS START SYNC'!C916="SHOW",MID('ASS START SYNC'!E916,C912+1,D912-C912-1),I911)</f>
        <v/>
      </c>
      <c r="J912" s="23" t="str">
        <f>IF('ASS START SYNC'!C916="SHOW",MID('ASS START SYNC'!E916,D912+1,F912-D912+1),"")</f>
        <v/>
      </c>
      <c r="K912" s="23" t="str">
        <f>IF('ASS START SYNC'!C916="SHOW",MID('ASS START SYNC'!E916,F912+2,1000),"")</f>
        <v/>
      </c>
      <c r="M912" s="24"/>
      <c r="N912" s="26">
        <v>909</v>
      </c>
      <c r="O912" s="24" t="str">
        <f>IF('ASS END SYNC'!C916="SHOW",FIND(",",'ASS END SYNC'!E916,1),"")</f>
        <v/>
      </c>
      <c r="P912" s="24" t="str">
        <f>IF('ASS END SYNC'!C916="SHOW",FIND(",",'ASS END SYNC'!E916,O912+1),"")</f>
        <v/>
      </c>
      <c r="Q912" s="24" t="str">
        <f>IF('ASS END SYNC'!C916="SHOW",FIND(",",'ASS END SYNC'!E916,P912+1),"")</f>
        <v/>
      </c>
      <c r="R912" s="25" t="str">
        <f>IF('ASS END SYNC'!C916="SHOW",FIND(",,",'ASS END SYNC'!E916,1),"")</f>
        <v/>
      </c>
      <c r="S912" s="25" t="str">
        <f>IF('ASS END SYNC'!C916="SHOW",FIND(",,",'ASS END SYNC'!E916,R912+1),"")</f>
        <v/>
      </c>
      <c r="T912" s="23" t="str">
        <f>IF('ASS END SYNC'!C916="SHOW",LEFT('ASS END SYNC'!E916,O912),"")</f>
        <v/>
      </c>
      <c r="U912" s="24" t="str">
        <f>IF('ASS END SYNC'!C916="SHOW",MID('ASS END SYNC'!E916,O912+1,P912-O912-1),"")</f>
        <v/>
      </c>
      <c r="V912" s="24" t="str">
        <f>IF(AND('ASS END SYNC'!C916="SHOW",'ASS END SYNC'!C917="SHOW"),U913,IF(AND('ASS END SYNC'!C916="SHOW",'ASS END SYNC'!C917&lt;&gt;"SHOW"),MID('ASS END SYNC'!E916,O912+1,P912-O912-1),""))</f>
        <v/>
      </c>
      <c r="W912" s="23" t="str">
        <f>IF('ASS END SYNC'!C916="SHOW",MID('ASS END SYNC'!E916,Q912+1,S912-Q912+1),"")</f>
        <v/>
      </c>
      <c r="X912" s="23" t="str">
        <f>IF('ASS END SYNC'!C916="SHOW",MID('ASS END SYNC'!E916,S912+2,1000),"")</f>
        <v/>
      </c>
      <c r="Z912" s="24"/>
    </row>
    <row r="913" spans="1:26" x14ac:dyDescent="0.25">
      <c r="A913" s="26">
        <v>910</v>
      </c>
      <c r="B913" s="24" t="str">
        <f>IF('ASS START SYNC'!C917="SHOW",FIND(",",'ASS START SYNC'!E917,1),"")</f>
        <v/>
      </c>
      <c r="C913" s="24" t="str">
        <f>IF('ASS START SYNC'!C917="SHOW",FIND(",",'ASS START SYNC'!E917,B913+1),"")</f>
        <v/>
      </c>
      <c r="D913" s="24" t="str">
        <f>IF('ASS START SYNC'!C917="SHOW",FIND(",",'ASS START SYNC'!E917,C913+1),"")</f>
        <v/>
      </c>
      <c r="E913" s="25" t="str">
        <f>IF('ASS START SYNC'!C917="SHOW",FIND(",,",'ASS START SYNC'!E917,1),"")</f>
        <v/>
      </c>
      <c r="F913" s="25" t="str">
        <f>IF('ASS START SYNC'!C917="SHOW",FIND(",,",'ASS START SYNC'!E917,E913+1),"")</f>
        <v/>
      </c>
      <c r="G913" s="23" t="str">
        <f>IF('ASS START SYNC'!C917="SHOW",LEFT('ASS START SYNC'!E917,B913),"")</f>
        <v/>
      </c>
      <c r="H913" s="24" t="str">
        <f>IF(AND('ASS START SYNC'!C917="SHOW",COUNTA('ASS START SYNC'!$E$8:'ASS START SYNC'!E916)=0),MID('ASS START SYNC'!E917,B913+1,C913-B913-1),IF(AND('ASS START SYNC'!C917="SHOW",COUNTA('ASS START SYNC'!$E$8:'ASS START SYNC'!E916)&lt;&gt;0),I912,""))</f>
        <v/>
      </c>
      <c r="I913" s="24" t="str">
        <f>IF('ASS START SYNC'!C917="SHOW",MID('ASS START SYNC'!E917,C913+1,D913-C913-1),I912)</f>
        <v/>
      </c>
      <c r="J913" s="23" t="str">
        <f>IF('ASS START SYNC'!C917="SHOW",MID('ASS START SYNC'!E917,D913+1,F913-D913+1),"")</f>
        <v/>
      </c>
      <c r="K913" s="23" t="str">
        <f>IF('ASS START SYNC'!C917="SHOW",MID('ASS START SYNC'!E917,F913+2,1000),"")</f>
        <v/>
      </c>
      <c r="M913" s="24"/>
      <c r="N913" s="26">
        <v>910</v>
      </c>
      <c r="O913" s="24" t="str">
        <f>IF('ASS END SYNC'!C917="SHOW",FIND(",",'ASS END SYNC'!E917,1),"")</f>
        <v/>
      </c>
      <c r="P913" s="24" t="str">
        <f>IF('ASS END SYNC'!C917="SHOW",FIND(",",'ASS END SYNC'!E917,O913+1),"")</f>
        <v/>
      </c>
      <c r="Q913" s="24" t="str">
        <f>IF('ASS END SYNC'!C917="SHOW",FIND(",",'ASS END SYNC'!E917,P913+1),"")</f>
        <v/>
      </c>
      <c r="R913" s="25" t="str">
        <f>IF('ASS END SYNC'!C917="SHOW",FIND(",,",'ASS END SYNC'!E917,1),"")</f>
        <v/>
      </c>
      <c r="S913" s="25" t="str">
        <f>IF('ASS END SYNC'!C917="SHOW",FIND(",,",'ASS END SYNC'!E917,R913+1),"")</f>
        <v/>
      </c>
      <c r="T913" s="23" t="str">
        <f>IF('ASS END SYNC'!C917="SHOW",LEFT('ASS END SYNC'!E917,O913),"")</f>
        <v/>
      </c>
      <c r="U913" s="24" t="str">
        <f>IF('ASS END SYNC'!C917="SHOW",MID('ASS END SYNC'!E917,O913+1,P913-O913-1),"")</f>
        <v/>
      </c>
      <c r="V913" s="24" t="str">
        <f>IF(AND('ASS END SYNC'!C917="SHOW",'ASS END SYNC'!C918="SHOW"),U914,IF(AND('ASS END SYNC'!C917="SHOW",'ASS END SYNC'!C918&lt;&gt;"SHOW"),MID('ASS END SYNC'!E917,O913+1,P913-O913-1),""))</f>
        <v/>
      </c>
      <c r="W913" s="23" t="str">
        <f>IF('ASS END SYNC'!C917="SHOW",MID('ASS END SYNC'!E917,Q913+1,S913-Q913+1),"")</f>
        <v/>
      </c>
      <c r="X913" s="23" t="str">
        <f>IF('ASS END SYNC'!C917="SHOW",MID('ASS END SYNC'!E917,S913+2,1000),"")</f>
        <v/>
      </c>
      <c r="Z913" s="24"/>
    </row>
    <row r="914" spans="1:26" x14ac:dyDescent="0.25">
      <c r="A914" s="26">
        <v>911</v>
      </c>
      <c r="B914" s="24" t="str">
        <f>IF('ASS START SYNC'!C918="SHOW",FIND(",",'ASS START SYNC'!E918,1),"")</f>
        <v/>
      </c>
      <c r="C914" s="24" t="str">
        <f>IF('ASS START SYNC'!C918="SHOW",FIND(",",'ASS START SYNC'!E918,B914+1),"")</f>
        <v/>
      </c>
      <c r="D914" s="24" t="str">
        <f>IF('ASS START SYNC'!C918="SHOW",FIND(",",'ASS START SYNC'!E918,C914+1),"")</f>
        <v/>
      </c>
      <c r="E914" s="25" t="str">
        <f>IF('ASS START SYNC'!C918="SHOW",FIND(",,",'ASS START SYNC'!E918,1),"")</f>
        <v/>
      </c>
      <c r="F914" s="25" t="str">
        <f>IF('ASS START SYNC'!C918="SHOW",FIND(",,",'ASS START SYNC'!E918,E914+1),"")</f>
        <v/>
      </c>
      <c r="G914" s="23" t="str">
        <f>IF('ASS START SYNC'!C918="SHOW",LEFT('ASS START SYNC'!E918,B914),"")</f>
        <v/>
      </c>
      <c r="H914" s="24" t="str">
        <f>IF(AND('ASS START SYNC'!C918="SHOW",COUNTA('ASS START SYNC'!$E$8:'ASS START SYNC'!E917)=0),MID('ASS START SYNC'!E918,B914+1,C914-B914-1),IF(AND('ASS START SYNC'!C918="SHOW",COUNTA('ASS START SYNC'!$E$8:'ASS START SYNC'!E917)&lt;&gt;0),I913,""))</f>
        <v/>
      </c>
      <c r="I914" s="24" t="str">
        <f>IF('ASS START SYNC'!C918="SHOW",MID('ASS START SYNC'!E918,C914+1,D914-C914-1),I913)</f>
        <v/>
      </c>
      <c r="J914" s="23" t="str">
        <f>IF('ASS START SYNC'!C918="SHOW",MID('ASS START SYNC'!E918,D914+1,F914-D914+1),"")</f>
        <v/>
      </c>
      <c r="K914" s="23" t="str">
        <f>IF('ASS START SYNC'!C918="SHOW",MID('ASS START SYNC'!E918,F914+2,1000),"")</f>
        <v/>
      </c>
      <c r="M914" s="24"/>
      <c r="N914" s="26">
        <v>911</v>
      </c>
      <c r="O914" s="24" t="str">
        <f>IF('ASS END SYNC'!C918="SHOW",FIND(",",'ASS END SYNC'!E918,1),"")</f>
        <v/>
      </c>
      <c r="P914" s="24" t="str">
        <f>IF('ASS END SYNC'!C918="SHOW",FIND(",",'ASS END SYNC'!E918,O914+1),"")</f>
        <v/>
      </c>
      <c r="Q914" s="24" t="str">
        <f>IF('ASS END SYNC'!C918="SHOW",FIND(",",'ASS END SYNC'!E918,P914+1),"")</f>
        <v/>
      </c>
      <c r="R914" s="25" t="str">
        <f>IF('ASS END SYNC'!C918="SHOW",FIND(",,",'ASS END SYNC'!E918,1),"")</f>
        <v/>
      </c>
      <c r="S914" s="25" t="str">
        <f>IF('ASS END SYNC'!C918="SHOW",FIND(",,",'ASS END SYNC'!E918,R914+1),"")</f>
        <v/>
      </c>
      <c r="T914" s="23" t="str">
        <f>IF('ASS END SYNC'!C918="SHOW",LEFT('ASS END SYNC'!E918,O914),"")</f>
        <v/>
      </c>
      <c r="U914" s="24" t="str">
        <f>IF('ASS END SYNC'!C918="SHOW",MID('ASS END SYNC'!E918,O914+1,P914-O914-1),"")</f>
        <v/>
      </c>
      <c r="V914" s="24" t="str">
        <f>IF(AND('ASS END SYNC'!C918="SHOW",'ASS END SYNC'!C919="SHOW"),U915,IF(AND('ASS END SYNC'!C918="SHOW",'ASS END SYNC'!C919&lt;&gt;"SHOW"),MID('ASS END SYNC'!E918,O914+1,P914-O914-1),""))</f>
        <v/>
      </c>
      <c r="W914" s="23" t="str">
        <f>IF('ASS END SYNC'!C918="SHOW",MID('ASS END SYNC'!E918,Q914+1,S914-Q914+1),"")</f>
        <v/>
      </c>
      <c r="X914" s="23" t="str">
        <f>IF('ASS END SYNC'!C918="SHOW",MID('ASS END SYNC'!E918,S914+2,1000),"")</f>
        <v/>
      </c>
      <c r="Z914" s="24"/>
    </row>
    <row r="915" spans="1:26" x14ac:dyDescent="0.25">
      <c r="A915" s="26">
        <v>912</v>
      </c>
      <c r="B915" s="24" t="str">
        <f>IF('ASS START SYNC'!C919="SHOW",FIND(",",'ASS START SYNC'!E919,1),"")</f>
        <v/>
      </c>
      <c r="C915" s="24" t="str">
        <f>IF('ASS START SYNC'!C919="SHOW",FIND(",",'ASS START SYNC'!E919,B915+1),"")</f>
        <v/>
      </c>
      <c r="D915" s="24" t="str">
        <f>IF('ASS START SYNC'!C919="SHOW",FIND(",",'ASS START SYNC'!E919,C915+1),"")</f>
        <v/>
      </c>
      <c r="E915" s="25" t="str">
        <f>IF('ASS START SYNC'!C919="SHOW",FIND(",,",'ASS START SYNC'!E919,1),"")</f>
        <v/>
      </c>
      <c r="F915" s="25" t="str">
        <f>IF('ASS START SYNC'!C919="SHOW",FIND(",,",'ASS START SYNC'!E919,E915+1),"")</f>
        <v/>
      </c>
      <c r="G915" s="23" t="str">
        <f>IF('ASS START SYNC'!C919="SHOW",LEFT('ASS START SYNC'!E919,B915),"")</f>
        <v/>
      </c>
      <c r="H915" s="24" t="str">
        <f>IF(AND('ASS START SYNC'!C919="SHOW",COUNTA('ASS START SYNC'!$E$8:'ASS START SYNC'!E918)=0),MID('ASS START SYNC'!E919,B915+1,C915-B915-1),IF(AND('ASS START SYNC'!C919="SHOW",COUNTA('ASS START SYNC'!$E$8:'ASS START SYNC'!E918)&lt;&gt;0),I914,""))</f>
        <v/>
      </c>
      <c r="I915" s="24" t="str">
        <f>IF('ASS START SYNC'!C919="SHOW",MID('ASS START SYNC'!E919,C915+1,D915-C915-1),I914)</f>
        <v/>
      </c>
      <c r="J915" s="23" t="str">
        <f>IF('ASS START SYNC'!C919="SHOW",MID('ASS START SYNC'!E919,D915+1,F915-D915+1),"")</f>
        <v/>
      </c>
      <c r="K915" s="23" t="str">
        <f>IF('ASS START SYNC'!C919="SHOW",MID('ASS START SYNC'!E919,F915+2,1000),"")</f>
        <v/>
      </c>
      <c r="M915" s="24"/>
      <c r="N915" s="26">
        <v>912</v>
      </c>
      <c r="O915" s="24" t="str">
        <f>IF('ASS END SYNC'!C919="SHOW",FIND(",",'ASS END SYNC'!E919,1),"")</f>
        <v/>
      </c>
      <c r="P915" s="24" t="str">
        <f>IF('ASS END SYNC'!C919="SHOW",FIND(",",'ASS END SYNC'!E919,O915+1),"")</f>
        <v/>
      </c>
      <c r="Q915" s="24" t="str">
        <f>IF('ASS END SYNC'!C919="SHOW",FIND(",",'ASS END SYNC'!E919,P915+1),"")</f>
        <v/>
      </c>
      <c r="R915" s="25" t="str">
        <f>IF('ASS END SYNC'!C919="SHOW",FIND(",,",'ASS END SYNC'!E919,1),"")</f>
        <v/>
      </c>
      <c r="S915" s="25" t="str">
        <f>IF('ASS END SYNC'!C919="SHOW",FIND(",,",'ASS END SYNC'!E919,R915+1),"")</f>
        <v/>
      </c>
      <c r="T915" s="23" t="str">
        <f>IF('ASS END SYNC'!C919="SHOW",LEFT('ASS END SYNC'!E919,O915),"")</f>
        <v/>
      </c>
      <c r="U915" s="24" t="str">
        <f>IF('ASS END SYNC'!C919="SHOW",MID('ASS END SYNC'!E919,O915+1,P915-O915-1),"")</f>
        <v/>
      </c>
      <c r="V915" s="24" t="str">
        <f>IF(AND('ASS END SYNC'!C919="SHOW",'ASS END SYNC'!C920="SHOW"),U916,IF(AND('ASS END SYNC'!C919="SHOW",'ASS END SYNC'!C920&lt;&gt;"SHOW"),MID('ASS END SYNC'!E919,O915+1,P915-O915-1),""))</f>
        <v/>
      </c>
      <c r="W915" s="23" t="str">
        <f>IF('ASS END SYNC'!C919="SHOW",MID('ASS END SYNC'!E919,Q915+1,S915-Q915+1),"")</f>
        <v/>
      </c>
      <c r="X915" s="23" t="str">
        <f>IF('ASS END SYNC'!C919="SHOW",MID('ASS END SYNC'!E919,S915+2,1000),"")</f>
        <v/>
      </c>
      <c r="Z915" s="24"/>
    </row>
    <row r="916" spans="1:26" x14ac:dyDescent="0.25">
      <c r="A916" s="26">
        <v>913</v>
      </c>
      <c r="B916" s="24" t="str">
        <f>IF('ASS START SYNC'!C920="SHOW",FIND(",",'ASS START SYNC'!E920,1),"")</f>
        <v/>
      </c>
      <c r="C916" s="24" t="str">
        <f>IF('ASS START SYNC'!C920="SHOW",FIND(",",'ASS START SYNC'!E920,B916+1),"")</f>
        <v/>
      </c>
      <c r="D916" s="24" t="str">
        <f>IF('ASS START SYNC'!C920="SHOW",FIND(",",'ASS START SYNC'!E920,C916+1),"")</f>
        <v/>
      </c>
      <c r="E916" s="25" t="str">
        <f>IF('ASS START SYNC'!C920="SHOW",FIND(",,",'ASS START SYNC'!E920,1),"")</f>
        <v/>
      </c>
      <c r="F916" s="25" t="str">
        <f>IF('ASS START SYNC'!C920="SHOW",FIND(",,",'ASS START SYNC'!E920,E916+1),"")</f>
        <v/>
      </c>
      <c r="G916" s="23" t="str">
        <f>IF('ASS START SYNC'!C920="SHOW",LEFT('ASS START SYNC'!E920,B916),"")</f>
        <v/>
      </c>
      <c r="H916" s="24" t="str">
        <f>IF(AND('ASS START SYNC'!C920="SHOW",COUNTA('ASS START SYNC'!$E$8:'ASS START SYNC'!E919)=0),MID('ASS START SYNC'!E920,B916+1,C916-B916-1),IF(AND('ASS START SYNC'!C920="SHOW",COUNTA('ASS START SYNC'!$E$8:'ASS START SYNC'!E919)&lt;&gt;0),I915,""))</f>
        <v/>
      </c>
      <c r="I916" s="24" t="str">
        <f>IF('ASS START SYNC'!C920="SHOW",MID('ASS START SYNC'!E920,C916+1,D916-C916-1),I915)</f>
        <v/>
      </c>
      <c r="J916" s="23" t="str">
        <f>IF('ASS START SYNC'!C920="SHOW",MID('ASS START SYNC'!E920,D916+1,F916-D916+1),"")</f>
        <v/>
      </c>
      <c r="K916" s="23" t="str">
        <f>IF('ASS START SYNC'!C920="SHOW",MID('ASS START SYNC'!E920,F916+2,1000),"")</f>
        <v/>
      </c>
      <c r="M916" s="24"/>
      <c r="N916" s="26">
        <v>913</v>
      </c>
      <c r="O916" s="24" t="str">
        <f>IF('ASS END SYNC'!C920="SHOW",FIND(",",'ASS END SYNC'!E920,1),"")</f>
        <v/>
      </c>
      <c r="P916" s="24" t="str">
        <f>IF('ASS END SYNC'!C920="SHOW",FIND(",",'ASS END SYNC'!E920,O916+1),"")</f>
        <v/>
      </c>
      <c r="Q916" s="24" t="str">
        <f>IF('ASS END SYNC'!C920="SHOW",FIND(",",'ASS END SYNC'!E920,P916+1),"")</f>
        <v/>
      </c>
      <c r="R916" s="25" t="str">
        <f>IF('ASS END SYNC'!C920="SHOW",FIND(",,",'ASS END SYNC'!E920,1),"")</f>
        <v/>
      </c>
      <c r="S916" s="25" t="str">
        <f>IF('ASS END SYNC'!C920="SHOW",FIND(",,",'ASS END SYNC'!E920,R916+1),"")</f>
        <v/>
      </c>
      <c r="T916" s="23" t="str">
        <f>IF('ASS END SYNC'!C920="SHOW",LEFT('ASS END SYNC'!E920,O916),"")</f>
        <v/>
      </c>
      <c r="U916" s="24" t="str">
        <f>IF('ASS END SYNC'!C920="SHOW",MID('ASS END SYNC'!E920,O916+1,P916-O916-1),"")</f>
        <v/>
      </c>
      <c r="V916" s="24" t="str">
        <f>IF(AND('ASS END SYNC'!C920="SHOW",'ASS END SYNC'!C921="SHOW"),U917,IF(AND('ASS END SYNC'!C920="SHOW",'ASS END SYNC'!C921&lt;&gt;"SHOW"),MID('ASS END SYNC'!E920,O916+1,P916-O916-1),""))</f>
        <v/>
      </c>
      <c r="W916" s="23" t="str">
        <f>IF('ASS END SYNC'!C920="SHOW",MID('ASS END SYNC'!E920,Q916+1,S916-Q916+1),"")</f>
        <v/>
      </c>
      <c r="X916" s="23" t="str">
        <f>IF('ASS END SYNC'!C920="SHOW",MID('ASS END SYNC'!E920,S916+2,1000),"")</f>
        <v/>
      </c>
      <c r="Z916" s="24"/>
    </row>
    <row r="917" spans="1:26" x14ac:dyDescent="0.25">
      <c r="A917" s="26">
        <v>914</v>
      </c>
      <c r="B917" s="24" t="str">
        <f>IF('ASS START SYNC'!C921="SHOW",FIND(",",'ASS START SYNC'!E921,1),"")</f>
        <v/>
      </c>
      <c r="C917" s="24" t="str">
        <f>IF('ASS START SYNC'!C921="SHOW",FIND(",",'ASS START SYNC'!E921,B917+1),"")</f>
        <v/>
      </c>
      <c r="D917" s="24" t="str">
        <f>IF('ASS START SYNC'!C921="SHOW",FIND(",",'ASS START SYNC'!E921,C917+1),"")</f>
        <v/>
      </c>
      <c r="E917" s="25" t="str">
        <f>IF('ASS START SYNC'!C921="SHOW",FIND(",,",'ASS START SYNC'!E921,1),"")</f>
        <v/>
      </c>
      <c r="F917" s="25" t="str">
        <f>IF('ASS START SYNC'!C921="SHOW",FIND(",,",'ASS START SYNC'!E921,E917+1),"")</f>
        <v/>
      </c>
      <c r="G917" s="23" t="str">
        <f>IF('ASS START SYNC'!C921="SHOW",LEFT('ASS START SYNC'!E921,B917),"")</f>
        <v/>
      </c>
      <c r="H917" s="24" t="str">
        <f>IF(AND('ASS START SYNC'!C921="SHOW",COUNTA('ASS START SYNC'!$E$8:'ASS START SYNC'!E920)=0),MID('ASS START SYNC'!E921,B917+1,C917-B917-1),IF(AND('ASS START SYNC'!C921="SHOW",COUNTA('ASS START SYNC'!$E$8:'ASS START SYNC'!E920)&lt;&gt;0),I916,""))</f>
        <v/>
      </c>
      <c r="I917" s="24" t="str">
        <f>IF('ASS START SYNC'!C921="SHOW",MID('ASS START SYNC'!E921,C917+1,D917-C917-1),I916)</f>
        <v/>
      </c>
      <c r="J917" s="23" t="str">
        <f>IF('ASS START SYNC'!C921="SHOW",MID('ASS START SYNC'!E921,D917+1,F917-D917+1),"")</f>
        <v/>
      </c>
      <c r="K917" s="23" t="str">
        <f>IF('ASS START SYNC'!C921="SHOW",MID('ASS START SYNC'!E921,F917+2,1000),"")</f>
        <v/>
      </c>
      <c r="M917" s="24"/>
      <c r="N917" s="26">
        <v>914</v>
      </c>
      <c r="O917" s="24" t="str">
        <f>IF('ASS END SYNC'!C921="SHOW",FIND(",",'ASS END SYNC'!E921,1),"")</f>
        <v/>
      </c>
      <c r="P917" s="24" t="str">
        <f>IF('ASS END SYNC'!C921="SHOW",FIND(",",'ASS END SYNC'!E921,O917+1),"")</f>
        <v/>
      </c>
      <c r="Q917" s="24" t="str">
        <f>IF('ASS END SYNC'!C921="SHOW",FIND(",",'ASS END SYNC'!E921,P917+1),"")</f>
        <v/>
      </c>
      <c r="R917" s="25" t="str">
        <f>IF('ASS END SYNC'!C921="SHOW",FIND(",,",'ASS END SYNC'!E921,1),"")</f>
        <v/>
      </c>
      <c r="S917" s="25" t="str">
        <f>IF('ASS END SYNC'!C921="SHOW",FIND(",,",'ASS END SYNC'!E921,R917+1),"")</f>
        <v/>
      </c>
      <c r="T917" s="23" t="str">
        <f>IF('ASS END SYNC'!C921="SHOW",LEFT('ASS END SYNC'!E921,O917),"")</f>
        <v/>
      </c>
      <c r="U917" s="24" t="str">
        <f>IF('ASS END SYNC'!C921="SHOW",MID('ASS END SYNC'!E921,O917+1,P917-O917-1),"")</f>
        <v/>
      </c>
      <c r="V917" s="24" t="str">
        <f>IF(AND('ASS END SYNC'!C921="SHOW",'ASS END SYNC'!C922="SHOW"),U918,IF(AND('ASS END SYNC'!C921="SHOW",'ASS END SYNC'!C922&lt;&gt;"SHOW"),MID('ASS END SYNC'!E921,O917+1,P917-O917-1),""))</f>
        <v/>
      </c>
      <c r="W917" s="23" t="str">
        <f>IF('ASS END SYNC'!C921="SHOW",MID('ASS END SYNC'!E921,Q917+1,S917-Q917+1),"")</f>
        <v/>
      </c>
      <c r="X917" s="23" t="str">
        <f>IF('ASS END SYNC'!C921="SHOW",MID('ASS END SYNC'!E921,S917+2,1000),"")</f>
        <v/>
      </c>
      <c r="Z917" s="24"/>
    </row>
    <row r="918" spans="1:26" x14ac:dyDescent="0.25">
      <c r="A918" s="26">
        <v>915</v>
      </c>
      <c r="B918" s="24" t="str">
        <f>IF('ASS START SYNC'!C922="SHOW",FIND(",",'ASS START SYNC'!E922,1),"")</f>
        <v/>
      </c>
      <c r="C918" s="24" t="str">
        <f>IF('ASS START SYNC'!C922="SHOW",FIND(",",'ASS START SYNC'!E922,B918+1),"")</f>
        <v/>
      </c>
      <c r="D918" s="24" t="str">
        <f>IF('ASS START SYNC'!C922="SHOW",FIND(",",'ASS START SYNC'!E922,C918+1),"")</f>
        <v/>
      </c>
      <c r="E918" s="25" t="str">
        <f>IF('ASS START SYNC'!C922="SHOW",FIND(",,",'ASS START SYNC'!E922,1),"")</f>
        <v/>
      </c>
      <c r="F918" s="25" t="str">
        <f>IF('ASS START SYNC'!C922="SHOW",FIND(",,",'ASS START SYNC'!E922,E918+1),"")</f>
        <v/>
      </c>
      <c r="G918" s="23" t="str">
        <f>IF('ASS START SYNC'!C922="SHOW",LEFT('ASS START SYNC'!E922,B918),"")</f>
        <v/>
      </c>
      <c r="H918" s="24" t="str">
        <f>IF(AND('ASS START SYNC'!C922="SHOW",COUNTA('ASS START SYNC'!$E$8:'ASS START SYNC'!E921)=0),MID('ASS START SYNC'!E922,B918+1,C918-B918-1),IF(AND('ASS START SYNC'!C922="SHOW",COUNTA('ASS START SYNC'!$E$8:'ASS START SYNC'!E921)&lt;&gt;0),I917,""))</f>
        <v/>
      </c>
      <c r="I918" s="24" t="str">
        <f>IF('ASS START SYNC'!C922="SHOW",MID('ASS START SYNC'!E922,C918+1,D918-C918-1),I917)</f>
        <v/>
      </c>
      <c r="J918" s="23" t="str">
        <f>IF('ASS START SYNC'!C922="SHOW",MID('ASS START SYNC'!E922,D918+1,F918-D918+1),"")</f>
        <v/>
      </c>
      <c r="K918" s="23" t="str">
        <f>IF('ASS START SYNC'!C922="SHOW",MID('ASS START SYNC'!E922,F918+2,1000),"")</f>
        <v/>
      </c>
      <c r="M918" s="24"/>
      <c r="N918" s="26">
        <v>915</v>
      </c>
      <c r="O918" s="24" t="str">
        <f>IF('ASS END SYNC'!C922="SHOW",FIND(",",'ASS END SYNC'!E922,1),"")</f>
        <v/>
      </c>
      <c r="P918" s="24" t="str">
        <f>IF('ASS END SYNC'!C922="SHOW",FIND(",",'ASS END SYNC'!E922,O918+1),"")</f>
        <v/>
      </c>
      <c r="Q918" s="24" t="str">
        <f>IF('ASS END SYNC'!C922="SHOW",FIND(",",'ASS END SYNC'!E922,P918+1),"")</f>
        <v/>
      </c>
      <c r="R918" s="25" t="str">
        <f>IF('ASS END SYNC'!C922="SHOW",FIND(",,",'ASS END SYNC'!E922,1),"")</f>
        <v/>
      </c>
      <c r="S918" s="25" t="str">
        <f>IF('ASS END SYNC'!C922="SHOW",FIND(",,",'ASS END SYNC'!E922,R918+1),"")</f>
        <v/>
      </c>
      <c r="T918" s="23" t="str">
        <f>IF('ASS END SYNC'!C922="SHOW",LEFT('ASS END SYNC'!E922,O918),"")</f>
        <v/>
      </c>
      <c r="U918" s="24" t="str">
        <f>IF('ASS END SYNC'!C922="SHOW",MID('ASS END SYNC'!E922,O918+1,P918-O918-1),"")</f>
        <v/>
      </c>
      <c r="V918" s="24" t="str">
        <f>IF(AND('ASS END SYNC'!C922="SHOW",'ASS END SYNC'!C923="SHOW"),U919,IF(AND('ASS END SYNC'!C922="SHOW",'ASS END SYNC'!C923&lt;&gt;"SHOW"),MID('ASS END SYNC'!E922,O918+1,P918-O918-1),""))</f>
        <v/>
      </c>
      <c r="W918" s="23" t="str">
        <f>IF('ASS END SYNC'!C922="SHOW",MID('ASS END SYNC'!E922,Q918+1,S918-Q918+1),"")</f>
        <v/>
      </c>
      <c r="X918" s="23" t="str">
        <f>IF('ASS END SYNC'!C922="SHOW",MID('ASS END SYNC'!E922,S918+2,1000),"")</f>
        <v/>
      </c>
      <c r="Z918" s="24"/>
    </row>
    <row r="919" spans="1:26" x14ac:dyDescent="0.25">
      <c r="A919" s="26">
        <v>916</v>
      </c>
      <c r="B919" s="24" t="str">
        <f>IF('ASS START SYNC'!C923="SHOW",FIND(",",'ASS START SYNC'!E923,1),"")</f>
        <v/>
      </c>
      <c r="C919" s="24" t="str">
        <f>IF('ASS START SYNC'!C923="SHOW",FIND(",",'ASS START SYNC'!E923,B919+1),"")</f>
        <v/>
      </c>
      <c r="D919" s="24" t="str">
        <f>IF('ASS START SYNC'!C923="SHOW",FIND(",",'ASS START SYNC'!E923,C919+1),"")</f>
        <v/>
      </c>
      <c r="E919" s="25" t="str">
        <f>IF('ASS START SYNC'!C923="SHOW",FIND(",,",'ASS START SYNC'!E923,1),"")</f>
        <v/>
      </c>
      <c r="F919" s="25" t="str">
        <f>IF('ASS START SYNC'!C923="SHOW",FIND(",,",'ASS START SYNC'!E923,E919+1),"")</f>
        <v/>
      </c>
      <c r="G919" s="23" t="str">
        <f>IF('ASS START SYNC'!C923="SHOW",LEFT('ASS START SYNC'!E923,B919),"")</f>
        <v/>
      </c>
      <c r="H919" s="24" t="str">
        <f>IF(AND('ASS START SYNC'!C923="SHOW",COUNTA('ASS START SYNC'!$E$8:'ASS START SYNC'!E922)=0),MID('ASS START SYNC'!E923,B919+1,C919-B919-1),IF(AND('ASS START SYNC'!C923="SHOW",COUNTA('ASS START SYNC'!$E$8:'ASS START SYNC'!E922)&lt;&gt;0),I918,""))</f>
        <v/>
      </c>
      <c r="I919" s="24" t="str">
        <f>IF('ASS START SYNC'!C923="SHOW",MID('ASS START SYNC'!E923,C919+1,D919-C919-1),I918)</f>
        <v/>
      </c>
      <c r="J919" s="23" t="str">
        <f>IF('ASS START SYNC'!C923="SHOW",MID('ASS START SYNC'!E923,D919+1,F919-D919+1),"")</f>
        <v/>
      </c>
      <c r="K919" s="23" t="str">
        <f>IF('ASS START SYNC'!C923="SHOW",MID('ASS START SYNC'!E923,F919+2,1000),"")</f>
        <v/>
      </c>
      <c r="M919" s="24"/>
      <c r="N919" s="26">
        <v>916</v>
      </c>
      <c r="O919" s="24" t="str">
        <f>IF('ASS END SYNC'!C923="SHOW",FIND(",",'ASS END SYNC'!E923,1),"")</f>
        <v/>
      </c>
      <c r="P919" s="24" t="str">
        <f>IF('ASS END SYNC'!C923="SHOW",FIND(",",'ASS END SYNC'!E923,O919+1),"")</f>
        <v/>
      </c>
      <c r="Q919" s="24" t="str">
        <f>IF('ASS END SYNC'!C923="SHOW",FIND(",",'ASS END SYNC'!E923,P919+1),"")</f>
        <v/>
      </c>
      <c r="R919" s="25" t="str">
        <f>IF('ASS END SYNC'!C923="SHOW",FIND(",,",'ASS END SYNC'!E923,1),"")</f>
        <v/>
      </c>
      <c r="S919" s="25" t="str">
        <f>IF('ASS END SYNC'!C923="SHOW",FIND(",,",'ASS END SYNC'!E923,R919+1),"")</f>
        <v/>
      </c>
      <c r="T919" s="23" t="str">
        <f>IF('ASS END SYNC'!C923="SHOW",LEFT('ASS END SYNC'!E923,O919),"")</f>
        <v/>
      </c>
      <c r="U919" s="24" t="str">
        <f>IF('ASS END SYNC'!C923="SHOW",MID('ASS END SYNC'!E923,O919+1,P919-O919-1),"")</f>
        <v/>
      </c>
      <c r="V919" s="24" t="str">
        <f>IF(AND('ASS END SYNC'!C923="SHOW",'ASS END SYNC'!C924="SHOW"),U920,IF(AND('ASS END SYNC'!C923="SHOW",'ASS END SYNC'!C924&lt;&gt;"SHOW"),MID('ASS END SYNC'!E923,O919+1,P919-O919-1),""))</f>
        <v/>
      </c>
      <c r="W919" s="23" t="str">
        <f>IF('ASS END SYNC'!C923="SHOW",MID('ASS END SYNC'!E923,Q919+1,S919-Q919+1),"")</f>
        <v/>
      </c>
      <c r="X919" s="23" t="str">
        <f>IF('ASS END SYNC'!C923="SHOW",MID('ASS END SYNC'!E923,S919+2,1000),"")</f>
        <v/>
      </c>
      <c r="Z919" s="24"/>
    </row>
    <row r="920" spans="1:26" x14ac:dyDescent="0.25">
      <c r="A920" s="26">
        <v>917</v>
      </c>
      <c r="B920" s="24" t="str">
        <f>IF('ASS START SYNC'!C924="SHOW",FIND(",",'ASS START SYNC'!E924,1),"")</f>
        <v/>
      </c>
      <c r="C920" s="24" t="str">
        <f>IF('ASS START SYNC'!C924="SHOW",FIND(",",'ASS START SYNC'!E924,B920+1),"")</f>
        <v/>
      </c>
      <c r="D920" s="24" t="str">
        <f>IF('ASS START SYNC'!C924="SHOW",FIND(",",'ASS START SYNC'!E924,C920+1),"")</f>
        <v/>
      </c>
      <c r="E920" s="25" t="str">
        <f>IF('ASS START SYNC'!C924="SHOW",FIND(",,",'ASS START SYNC'!E924,1),"")</f>
        <v/>
      </c>
      <c r="F920" s="25" t="str">
        <f>IF('ASS START SYNC'!C924="SHOW",FIND(",,",'ASS START SYNC'!E924,E920+1),"")</f>
        <v/>
      </c>
      <c r="G920" s="23" t="str">
        <f>IF('ASS START SYNC'!C924="SHOW",LEFT('ASS START SYNC'!E924,B920),"")</f>
        <v/>
      </c>
      <c r="H920" s="24" t="str">
        <f>IF(AND('ASS START SYNC'!C924="SHOW",COUNTA('ASS START SYNC'!$E$8:'ASS START SYNC'!E923)=0),MID('ASS START SYNC'!E924,B920+1,C920-B920-1),IF(AND('ASS START SYNC'!C924="SHOW",COUNTA('ASS START SYNC'!$E$8:'ASS START SYNC'!E923)&lt;&gt;0),I919,""))</f>
        <v/>
      </c>
      <c r="I920" s="24" t="str">
        <f>IF('ASS START SYNC'!C924="SHOW",MID('ASS START SYNC'!E924,C920+1,D920-C920-1),I919)</f>
        <v/>
      </c>
      <c r="J920" s="23" t="str">
        <f>IF('ASS START SYNC'!C924="SHOW",MID('ASS START SYNC'!E924,D920+1,F920-D920+1),"")</f>
        <v/>
      </c>
      <c r="K920" s="23" t="str">
        <f>IF('ASS START SYNC'!C924="SHOW",MID('ASS START SYNC'!E924,F920+2,1000),"")</f>
        <v/>
      </c>
      <c r="M920" s="24"/>
      <c r="N920" s="26">
        <v>917</v>
      </c>
      <c r="O920" s="24" t="str">
        <f>IF('ASS END SYNC'!C924="SHOW",FIND(",",'ASS END SYNC'!E924,1),"")</f>
        <v/>
      </c>
      <c r="P920" s="24" t="str">
        <f>IF('ASS END SYNC'!C924="SHOW",FIND(",",'ASS END SYNC'!E924,O920+1),"")</f>
        <v/>
      </c>
      <c r="Q920" s="24" t="str">
        <f>IF('ASS END SYNC'!C924="SHOW",FIND(",",'ASS END SYNC'!E924,P920+1),"")</f>
        <v/>
      </c>
      <c r="R920" s="25" t="str">
        <f>IF('ASS END SYNC'!C924="SHOW",FIND(",,",'ASS END SYNC'!E924,1),"")</f>
        <v/>
      </c>
      <c r="S920" s="25" t="str">
        <f>IF('ASS END SYNC'!C924="SHOW",FIND(",,",'ASS END SYNC'!E924,R920+1),"")</f>
        <v/>
      </c>
      <c r="T920" s="23" t="str">
        <f>IF('ASS END SYNC'!C924="SHOW",LEFT('ASS END SYNC'!E924,O920),"")</f>
        <v/>
      </c>
      <c r="U920" s="24" t="str">
        <f>IF('ASS END SYNC'!C924="SHOW",MID('ASS END SYNC'!E924,O920+1,P920-O920-1),"")</f>
        <v/>
      </c>
      <c r="V920" s="24" t="str">
        <f>IF(AND('ASS END SYNC'!C924="SHOW",'ASS END SYNC'!C925="SHOW"),U921,IF(AND('ASS END SYNC'!C924="SHOW",'ASS END SYNC'!C925&lt;&gt;"SHOW"),MID('ASS END SYNC'!E924,O920+1,P920-O920-1),""))</f>
        <v/>
      </c>
      <c r="W920" s="23" t="str">
        <f>IF('ASS END SYNC'!C924="SHOW",MID('ASS END SYNC'!E924,Q920+1,S920-Q920+1),"")</f>
        <v/>
      </c>
      <c r="X920" s="23" t="str">
        <f>IF('ASS END SYNC'!C924="SHOW",MID('ASS END SYNC'!E924,S920+2,1000),"")</f>
        <v/>
      </c>
      <c r="Z920" s="24"/>
    </row>
    <row r="921" spans="1:26" x14ac:dyDescent="0.25">
      <c r="A921" s="26">
        <v>918</v>
      </c>
      <c r="B921" s="24" t="str">
        <f>IF('ASS START SYNC'!C925="SHOW",FIND(",",'ASS START SYNC'!E925,1),"")</f>
        <v/>
      </c>
      <c r="C921" s="24" t="str">
        <f>IF('ASS START SYNC'!C925="SHOW",FIND(",",'ASS START SYNC'!E925,B921+1),"")</f>
        <v/>
      </c>
      <c r="D921" s="24" t="str">
        <f>IF('ASS START SYNC'!C925="SHOW",FIND(",",'ASS START SYNC'!E925,C921+1),"")</f>
        <v/>
      </c>
      <c r="E921" s="25" t="str">
        <f>IF('ASS START SYNC'!C925="SHOW",FIND(",,",'ASS START SYNC'!E925,1),"")</f>
        <v/>
      </c>
      <c r="F921" s="25" t="str">
        <f>IF('ASS START SYNC'!C925="SHOW",FIND(",,",'ASS START SYNC'!E925,E921+1),"")</f>
        <v/>
      </c>
      <c r="G921" s="23" t="str">
        <f>IF('ASS START SYNC'!C925="SHOW",LEFT('ASS START SYNC'!E925,B921),"")</f>
        <v/>
      </c>
      <c r="H921" s="24" t="str">
        <f>IF(AND('ASS START SYNC'!C925="SHOW",COUNTA('ASS START SYNC'!$E$8:'ASS START SYNC'!E924)=0),MID('ASS START SYNC'!E925,B921+1,C921-B921-1),IF(AND('ASS START SYNC'!C925="SHOW",COUNTA('ASS START SYNC'!$E$8:'ASS START SYNC'!E924)&lt;&gt;0),I920,""))</f>
        <v/>
      </c>
      <c r="I921" s="24" t="str">
        <f>IF('ASS START SYNC'!C925="SHOW",MID('ASS START SYNC'!E925,C921+1,D921-C921-1),I920)</f>
        <v/>
      </c>
      <c r="J921" s="23" t="str">
        <f>IF('ASS START SYNC'!C925="SHOW",MID('ASS START SYNC'!E925,D921+1,F921-D921+1),"")</f>
        <v/>
      </c>
      <c r="K921" s="23" t="str">
        <f>IF('ASS START SYNC'!C925="SHOW",MID('ASS START SYNC'!E925,F921+2,1000),"")</f>
        <v/>
      </c>
      <c r="M921" s="24"/>
      <c r="N921" s="26">
        <v>918</v>
      </c>
      <c r="O921" s="24" t="str">
        <f>IF('ASS END SYNC'!C925="SHOW",FIND(",",'ASS END SYNC'!E925,1),"")</f>
        <v/>
      </c>
      <c r="P921" s="24" t="str">
        <f>IF('ASS END SYNC'!C925="SHOW",FIND(",",'ASS END SYNC'!E925,O921+1),"")</f>
        <v/>
      </c>
      <c r="Q921" s="24" t="str">
        <f>IF('ASS END SYNC'!C925="SHOW",FIND(",",'ASS END SYNC'!E925,P921+1),"")</f>
        <v/>
      </c>
      <c r="R921" s="25" t="str">
        <f>IF('ASS END SYNC'!C925="SHOW",FIND(",,",'ASS END SYNC'!E925,1),"")</f>
        <v/>
      </c>
      <c r="S921" s="25" t="str">
        <f>IF('ASS END SYNC'!C925="SHOW",FIND(",,",'ASS END SYNC'!E925,R921+1),"")</f>
        <v/>
      </c>
      <c r="T921" s="23" t="str">
        <f>IF('ASS END SYNC'!C925="SHOW",LEFT('ASS END SYNC'!E925,O921),"")</f>
        <v/>
      </c>
      <c r="U921" s="24" t="str">
        <f>IF('ASS END SYNC'!C925="SHOW",MID('ASS END SYNC'!E925,O921+1,P921-O921-1),"")</f>
        <v/>
      </c>
      <c r="V921" s="24" t="str">
        <f>IF(AND('ASS END SYNC'!C925="SHOW",'ASS END SYNC'!C926="SHOW"),U922,IF(AND('ASS END SYNC'!C925="SHOW",'ASS END SYNC'!C926&lt;&gt;"SHOW"),MID('ASS END SYNC'!E925,O921+1,P921-O921-1),""))</f>
        <v/>
      </c>
      <c r="W921" s="23" t="str">
        <f>IF('ASS END SYNC'!C925="SHOW",MID('ASS END SYNC'!E925,Q921+1,S921-Q921+1),"")</f>
        <v/>
      </c>
      <c r="X921" s="23" t="str">
        <f>IF('ASS END SYNC'!C925="SHOW",MID('ASS END SYNC'!E925,S921+2,1000),"")</f>
        <v/>
      </c>
      <c r="Z921" s="24"/>
    </row>
    <row r="922" spans="1:26" x14ac:dyDescent="0.25">
      <c r="A922" s="26">
        <v>919</v>
      </c>
      <c r="B922" s="24" t="str">
        <f>IF('ASS START SYNC'!C926="SHOW",FIND(",",'ASS START SYNC'!E926,1),"")</f>
        <v/>
      </c>
      <c r="C922" s="24" t="str">
        <f>IF('ASS START SYNC'!C926="SHOW",FIND(",",'ASS START SYNC'!E926,B922+1),"")</f>
        <v/>
      </c>
      <c r="D922" s="24" t="str">
        <f>IF('ASS START SYNC'!C926="SHOW",FIND(",",'ASS START SYNC'!E926,C922+1),"")</f>
        <v/>
      </c>
      <c r="E922" s="25" t="str">
        <f>IF('ASS START SYNC'!C926="SHOW",FIND(",,",'ASS START SYNC'!E926,1),"")</f>
        <v/>
      </c>
      <c r="F922" s="25" t="str">
        <f>IF('ASS START SYNC'!C926="SHOW",FIND(",,",'ASS START SYNC'!E926,E922+1),"")</f>
        <v/>
      </c>
      <c r="G922" s="23" t="str">
        <f>IF('ASS START SYNC'!C926="SHOW",LEFT('ASS START SYNC'!E926,B922),"")</f>
        <v/>
      </c>
      <c r="H922" s="24" t="str">
        <f>IF(AND('ASS START SYNC'!C926="SHOW",COUNTA('ASS START SYNC'!$E$8:'ASS START SYNC'!E925)=0),MID('ASS START SYNC'!E926,B922+1,C922-B922-1),IF(AND('ASS START SYNC'!C926="SHOW",COUNTA('ASS START SYNC'!$E$8:'ASS START SYNC'!E925)&lt;&gt;0),I921,""))</f>
        <v/>
      </c>
      <c r="I922" s="24" t="str">
        <f>IF('ASS START SYNC'!C926="SHOW",MID('ASS START SYNC'!E926,C922+1,D922-C922-1),I921)</f>
        <v/>
      </c>
      <c r="J922" s="23" t="str">
        <f>IF('ASS START SYNC'!C926="SHOW",MID('ASS START SYNC'!E926,D922+1,F922-D922+1),"")</f>
        <v/>
      </c>
      <c r="K922" s="23" t="str">
        <f>IF('ASS START SYNC'!C926="SHOW",MID('ASS START SYNC'!E926,F922+2,1000),"")</f>
        <v/>
      </c>
      <c r="M922" s="24"/>
      <c r="N922" s="26">
        <v>919</v>
      </c>
      <c r="O922" s="24" t="str">
        <f>IF('ASS END SYNC'!C926="SHOW",FIND(",",'ASS END SYNC'!E926,1),"")</f>
        <v/>
      </c>
      <c r="P922" s="24" t="str">
        <f>IF('ASS END SYNC'!C926="SHOW",FIND(",",'ASS END SYNC'!E926,O922+1),"")</f>
        <v/>
      </c>
      <c r="Q922" s="24" t="str">
        <f>IF('ASS END SYNC'!C926="SHOW",FIND(",",'ASS END SYNC'!E926,P922+1),"")</f>
        <v/>
      </c>
      <c r="R922" s="25" t="str">
        <f>IF('ASS END SYNC'!C926="SHOW",FIND(",,",'ASS END SYNC'!E926,1),"")</f>
        <v/>
      </c>
      <c r="S922" s="25" t="str">
        <f>IF('ASS END SYNC'!C926="SHOW",FIND(",,",'ASS END SYNC'!E926,R922+1),"")</f>
        <v/>
      </c>
      <c r="T922" s="23" t="str">
        <f>IF('ASS END SYNC'!C926="SHOW",LEFT('ASS END SYNC'!E926,O922),"")</f>
        <v/>
      </c>
      <c r="U922" s="24" t="str">
        <f>IF('ASS END SYNC'!C926="SHOW",MID('ASS END SYNC'!E926,O922+1,P922-O922-1),"")</f>
        <v/>
      </c>
      <c r="V922" s="24" t="str">
        <f>IF(AND('ASS END SYNC'!C926="SHOW",'ASS END SYNC'!C927="SHOW"),U923,IF(AND('ASS END SYNC'!C926="SHOW",'ASS END SYNC'!C927&lt;&gt;"SHOW"),MID('ASS END SYNC'!E926,O922+1,P922-O922-1),""))</f>
        <v/>
      </c>
      <c r="W922" s="23" t="str">
        <f>IF('ASS END SYNC'!C926="SHOW",MID('ASS END SYNC'!E926,Q922+1,S922-Q922+1),"")</f>
        <v/>
      </c>
      <c r="X922" s="23" t="str">
        <f>IF('ASS END SYNC'!C926="SHOW",MID('ASS END SYNC'!E926,S922+2,1000),"")</f>
        <v/>
      </c>
      <c r="Z922" s="24"/>
    </row>
    <row r="923" spans="1:26" x14ac:dyDescent="0.25">
      <c r="A923" s="26">
        <v>920</v>
      </c>
      <c r="B923" s="24" t="str">
        <f>IF('ASS START SYNC'!C927="SHOW",FIND(",",'ASS START SYNC'!E927,1),"")</f>
        <v/>
      </c>
      <c r="C923" s="24" t="str">
        <f>IF('ASS START SYNC'!C927="SHOW",FIND(",",'ASS START SYNC'!E927,B923+1),"")</f>
        <v/>
      </c>
      <c r="D923" s="24" t="str">
        <f>IF('ASS START SYNC'!C927="SHOW",FIND(",",'ASS START SYNC'!E927,C923+1),"")</f>
        <v/>
      </c>
      <c r="E923" s="25" t="str">
        <f>IF('ASS START SYNC'!C927="SHOW",FIND(",,",'ASS START SYNC'!E927,1),"")</f>
        <v/>
      </c>
      <c r="F923" s="25" t="str">
        <f>IF('ASS START SYNC'!C927="SHOW",FIND(",,",'ASS START SYNC'!E927,E923+1),"")</f>
        <v/>
      </c>
      <c r="G923" s="23" t="str">
        <f>IF('ASS START SYNC'!C927="SHOW",LEFT('ASS START SYNC'!E927,B923),"")</f>
        <v/>
      </c>
      <c r="H923" s="24" t="str">
        <f>IF(AND('ASS START SYNC'!C927="SHOW",COUNTA('ASS START SYNC'!$E$8:'ASS START SYNC'!E926)=0),MID('ASS START SYNC'!E927,B923+1,C923-B923-1),IF(AND('ASS START SYNC'!C927="SHOW",COUNTA('ASS START SYNC'!$E$8:'ASS START SYNC'!E926)&lt;&gt;0),I922,""))</f>
        <v/>
      </c>
      <c r="I923" s="24" t="str">
        <f>IF('ASS START SYNC'!C927="SHOW",MID('ASS START SYNC'!E927,C923+1,D923-C923-1),I922)</f>
        <v/>
      </c>
      <c r="J923" s="23" t="str">
        <f>IF('ASS START SYNC'!C927="SHOW",MID('ASS START SYNC'!E927,D923+1,F923-D923+1),"")</f>
        <v/>
      </c>
      <c r="K923" s="23" t="str">
        <f>IF('ASS START SYNC'!C927="SHOW",MID('ASS START SYNC'!E927,F923+2,1000),"")</f>
        <v/>
      </c>
      <c r="M923" s="24"/>
      <c r="N923" s="26">
        <v>920</v>
      </c>
      <c r="O923" s="24" t="str">
        <f>IF('ASS END SYNC'!C927="SHOW",FIND(",",'ASS END SYNC'!E927,1),"")</f>
        <v/>
      </c>
      <c r="P923" s="24" t="str">
        <f>IF('ASS END SYNC'!C927="SHOW",FIND(",",'ASS END SYNC'!E927,O923+1),"")</f>
        <v/>
      </c>
      <c r="Q923" s="24" t="str">
        <f>IF('ASS END SYNC'!C927="SHOW",FIND(",",'ASS END SYNC'!E927,P923+1),"")</f>
        <v/>
      </c>
      <c r="R923" s="25" t="str">
        <f>IF('ASS END SYNC'!C927="SHOW",FIND(",,",'ASS END SYNC'!E927,1),"")</f>
        <v/>
      </c>
      <c r="S923" s="25" t="str">
        <f>IF('ASS END SYNC'!C927="SHOW",FIND(",,",'ASS END SYNC'!E927,R923+1),"")</f>
        <v/>
      </c>
      <c r="T923" s="23" t="str">
        <f>IF('ASS END SYNC'!C927="SHOW",LEFT('ASS END SYNC'!E927,O923),"")</f>
        <v/>
      </c>
      <c r="U923" s="24" t="str">
        <f>IF('ASS END SYNC'!C927="SHOW",MID('ASS END SYNC'!E927,O923+1,P923-O923-1),"")</f>
        <v/>
      </c>
      <c r="V923" s="24" t="str">
        <f>IF(AND('ASS END SYNC'!C927="SHOW",'ASS END SYNC'!C928="SHOW"),U924,IF(AND('ASS END SYNC'!C927="SHOW",'ASS END SYNC'!C928&lt;&gt;"SHOW"),MID('ASS END SYNC'!E927,O923+1,P923-O923-1),""))</f>
        <v/>
      </c>
      <c r="W923" s="23" t="str">
        <f>IF('ASS END SYNC'!C927="SHOW",MID('ASS END SYNC'!E927,Q923+1,S923-Q923+1),"")</f>
        <v/>
      </c>
      <c r="X923" s="23" t="str">
        <f>IF('ASS END SYNC'!C927="SHOW",MID('ASS END SYNC'!E927,S923+2,1000),"")</f>
        <v/>
      </c>
      <c r="Z923" s="24"/>
    </row>
    <row r="924" spans="1:26" x14ac:dyDescent="0.25">
      <c r="A924" s="26">
        <v>921</v>
      </c>
      <c r="B924" s="24" t="str">
        <f>IF('ASS START SYNC'!C928="SHOW",FIND(",",'ASS START SYNC'!E928,1),"")</f>
        <v/>
      </c>
      <c r="C924" s="24" t="str">
        <f>IF('ASS START SYNC'!C928="SHOW",FIND(",",'ASS START SYNC'!E928,B924+1),"")</f>
        <v/>
      </c>
      <c r="D924" s="24" t="str">
        <f>IF('ASS START SYNC'!C928="SHOW",FIND(",",'ASS START SYNC'!E928,C924+1),"")</f>
        <v/>
      </c>
      <c r="E924" s="25" t="str">
        <f>IF('ASS START SYNC'!C928="SHOW",FIND(",,",'ASS START SYNC'!E928,1),"")</f>
        <v/>
      </c>
      <c r="F924" s="25" t="str">
        <f>IF('ASS START SYNC'!C928="SHOW",FIND(",,",'ASS START SYNC'!E928,E924+1),"")</f>
        <v/>
      </c>
      <c r="G924" s="23" t="str">
        <f>IF('ASS START SYNC'!C928="SHOW",LEFT('ASS START SYNC'!E928,B924),"")</f>
        <v/>
      </c>
      <c r="H924" s="24" t="str">
        <f>IF(AND('ASS START SYNC'!C928="SHOW",COUNTA('ASS START SYNC'!$E$8:'ASS START SYNC'!E927)=0),MID('ASS START SYNC'!E928,B924+1,C924-B924-1),IF(AND('ASS START SYNC'!C928="SHOW",COUNTA('ASS START SYNC'!$E$8:'ASS START SYNC'!E927)&lt;&gt;0),I923,""))</f>
        <v/>
      </c>
      <c r="I924" s="24" t="str">
        <f>IF('ASS START SYNC'!C928="SHOW",MID('ASS START SYNC'!E928,C924+1,D924-C924-1),I923)</f>
        <v/>
      </c>
      <c r="J924" s="23" t="str">
        <f>IF('ASS START SYNC'!C928="SHOW",MID('ASS START SYNC'!E928,D924+1,F924-D924+1),"")</f>
        <v/>
      </c>
      <c r="K924" s="23" t="str">
        <f>IF('ASS START SYNC'!C928="SHOW",MID('ASS START SYNC'!E928,F924+2,1000),"")</f>
        <v/>
      </c>
      <c r="M924" s="24"/>
      <c r="N924" s="26">
        <v>921</v>
      </c>
      <c r="O924" s="24" t="str">
        <f>IF('ASS END SYNC'!C928="SHOW",FIND(",",'ASS END SYNC'!E928,1),"")</f>
        <v/>
      </c>
      <c r="P924" s="24" t="str">
        <f>IF('ASS END SYNC'!C928="SHOW",FIND(",",'ASS END SYNC'!E928,O924+1),"")</f>
        <v/>
      </c>
      <c r="Q924" s="24" t="str">
        <f>IF('ASS END SYNC'!C928="SHOW",FIND(",",'ASS END SYNC'!E928,P924+1),"")</f>
        <v/>
      </c>
      <c r="R924" s="25" t="str">
        <f>IF('ASS END SYNC'!C928="SHOW",FIND(",,",'ASS END SYNC'!E928,1),"")</f>
        <v/>
      </c>
      <c r="S924" s="25" t="str">
        <f>IF('ASS END SYNC'!C928="SHOW",FIND(",,",'ASS END SYNC'!E928,R924+1),"")</f>
        <v/>
      </c>
      <c r="T924" s="23" t="str">
        <f>IF('ASS END SYNC'!C928="SHOW",LEFT('ASS END SYNC'!E928,O924),"")</f>
        <v/>
      </c>
      <c r="U924" s="24" t="str">
        <f>IF('ASS END SYNC'!C928="SHOW",MID('ASS END SYNC'!E928,O924+1,P924-O924-1),"")</f>
        <v/>
      </c>
      <c r="V924" s="24" t="str">
        <f>IF(AND('ASS END SYNC'!C928="SHOW",'ASS END SYNC'!C929="SHOW"),U925,IF(AND('ASS END SYNC'!C928="SHOW",'ASS END SYNC'!C929&lt;&gt;"SHOW"),MID('ASS END SYNC'!E928,O924+1,P924-O924-1),""))</f>
        <v/>
      </c>
      <c r="W924" s="23" t="str">
        <f>IF('ASS END SYNC'!C928="SHOW",MID('ASS END SYNC'!E928,Q924+1,S924-Q924+1),"")</f>
        <v/>
      </c>
      <c r="X924" s="23" t="str">
        <f>IF('ASS END SYNC'!C928="SHOW",MID('ASS END SYNC'!E928,S924+2,1000),"")</f>
        <v/>
      </c>
      <c r="Z924" s="24"/>
    </row>
    <row r="925" spans="1:26" x14ac:dyDescent="0.25">
      <c r="A925" s="26">
        <v>922</v>
      </c>
      <c r="B925" s="24" t="str">
        <f>IF('ASS START SYNC'!C929="SHOW",FIND(",",'ASS START SYNC'!E929,1),"")</f>
        <v/>
      </c>
      <c r="C925" s="24" t="str">
        <f>IF('ASS START SYNC'!C929="SHOW",FIND(",",'ASS START SYNC'!E929,B925+1),"")</f>
        <v/>
      </c>
      <c r="D925" s="24" t="str">
        <f>IF('ASS START SYNC'!C929="SHOW",FIND(",",'ASS START SYNC'!E929,C925+1),"")</f>
        <v/>
      </c>
      <c r="E925" s="25" t="str">
        <f>IF('ASS START SYNC'!C929="SHOW",FIND(",,",'ASS START SYNC'!E929,1),"")</f>
        <v/>
      </c>
      <c r="F925" s="25" t="str">
        <f>IF('ASS START SYNC'!C929="SHOW",FIND(",,",'ASS START SYNC'!E929,E925+1),"")</f>
        <v/>
      </c>
      <c r="G925" s="23" t="str">
        <f>IF('ASS START SYNC'!C929="SHOW",LEFT('ASS START SYNC'!E929,B925),"")</f>
        <v/>
      </c>
      <c r="H925" s="24" t="str">
        <f>IF(AND('ASS START SYNC'!C929="SHOW",COUNTA('ASS START SYNC'!$E$8:'ASS START SYNC'!E928)=0),MID('ASS START SYNC'!E929,B925+1,C925-B925-1),IF(AND('ASS START SYNC'!C929="SHOW",COUNTA('ASS START SYNC'!$E$8:'ASS START SYNC'!E928)&lt;&gt;0),I924,""))</f>
        <v/>
      </c>
      <c r="I925" s="24" t="str">
        <f>IF('ASS START SYNC'!C929="SHOW",MID('ASS START SYNC'!E929,C925+1,D925-C925-1),I924)</f>
        <v/>
      </c>
      <c r="J925" s="23" t="str">
        <f>IF('ASS START SYNC'!C929="SHOW",MID('ASS START SYNC'!E929,D925+1,F925-D925+1),"")</f>
        <v/>
      </c>
      <c r="K925" s="23" t="str">
        <f>IF('ASS START SYNC'!C929="SHOW",MID('ASS START SYNC'!E929,F925+2,1000),"")</f>
        <v/>
      </c>
      <c r="M925" s="24"/>
      <c r="N925" s="26">
        <v>922</v>
      </c>
      <c r="O925" s="24" t="str">
        <f>IF('ASS END SYNC'!C929="SHOW",FIND(",",'ASS END SYNC'!E929,1),"")</f>
        <v/>
      </c>
      <c r="P925" s="24" t="str">
        <f>IF('ASS END SYNC'!C929="SHOW",FIND(",",'ASS END SYNC'!E929,O925+1),"")</f>
        <v/>
      </c>
      <c r="Q925" s="24" t="str">
        <f>IF('ASS END SYNC'!C929="SHOW",FIND(",",'ASS END SYNC'!E929,P925+1),"")</f>
        <v/>
      </c>
      <c r="R925" s="25" t="str">
        <f>IF('ASS END SYNC'!C929="SHOW",FIND(",,",'ASS END SYNC'!E929,1),"")</f>
        <v/>
      </c>
      <c r="S925" s="25" t="str">
        <f>IF('ASS END SYNC'!C929="SHOW",FIND(",,",'ASS END SYNC'!E929,R925+1),"")</f>
        <v/>
      </c>
      <c r="T925" s="23" t="str">
        <f>IF('ASS END SYNC'!C929="SHOW",LEFT('ASS END SYNC'!E929,O925),"")</f>
        <v/>
      </c>
      <c r="U925" s="24" t="str">
        <f>IF('ASS END SYNC'!C929="SHOW",MID('ASS END SYNC'!E929,O925+1,P925-O925-1),"")</f>
        <v/>
      </c>
      <c r="V925" s="24" t="str">
        <f>IF(AND('ASS END SYNC'!C929="SHOW",'ASS END SYNC'!C930="SHOW"),U926,IF(AND('ASS END SYNC'!C929="SHOW",'ASS END SYNC'!C930&lt;&gt;"SHOW"),MID('ASS END SYNC'!E929,O925+1,P925-O925-1),""))</f>
        <v/>
      </c>
      <c r="W925" s="23" t="str">
        <f>IF('ASS END SYNC'!C929="SHOW",MID('ASS END SYNC'!E929,Q925+1,S925-Q925+1),"")</f>
        <v/>
      </c>
      <c r="X925" s="23" t="str">
        <f>IF('ASS END SYNC'!C929="SHOW",MID('ASS END SYNC'!E929,S925+2,1000),"")</f>
        <v/>
      </c>
      <c r="Z925" s="24"/>
    </row>
    <row r="926" spans="1:26" x14ac:dyDescent="0.25">
      <c r="A926" s="26">
        <v>923</v>
      </c>
      <c r="B926" s="24" t="str">
        <f>IF('ASS START SYNC'!C930="SHOW",FIND(",",'ASS START SYNC'!E930,1),"")</f>
        <v/>
      </c>
      <c r="C926" s="24" t="str">
        <f>IF('ASS START SYNC'!C930="SHOW",FIND(",",'ASS START SYNC'!E930,B926+1),"")</f>
        <v/>
      </c>
      <c r="D926" s="24" t="str">
        <f>IF('ASS START SYNC'!C930="SHOW",FIND(",",'ASS START SYNC'!E930,C926+1),"")</f>
        <v/>
      </c>
      <c r="E926" s="25" t="str">
        <f>IF('ASS START SYNC'!C930="SHOW",FIND(",,",'ASS START SYNC'!E930,1),"")</f>
        <v/>
      </c>
      <c r="F926" s="25" t="str">
        <f>IF('ASS START SYNC'!C930="SHOW",FIND(",,",'ASS START SYNC'!E930,E926+1),"")</f>
        <v/>
      </c>
      <c r="G926" s="23" t="str">
        <f>IF('ASS START SYNC'!C930="SHOW",LEFT('ASS START SYNC'!E930,B926),"")</f>
        <v/>
      </c>
      <c r="H926" s="24" t="str">
        <f>IF(AND('ASS START SYNC'!C930="SHOW",COUNTA('ASS START SYNC'!$E$8:'ASS START SYNC'!E929)=0),MID('ASS START SYNC'!E930,B926+1,C926-B926-1),IF(AND('ASS START SYNC'!C930="SHOW",COUNTA('ASS START SYNC'!$E$8:'ASS START SYNC'!E929)&lt;&gt;0),I925,""))</f>
        <v/>
      </c>
      <c r="I926" s="24" t="str">
        <f>IF('ASS START SYNC'!C930="SHOW",MID('ASS START SYNC'!E930,C926+1,D926-C926-1),I925)</f>
        <v/>
      </c>
      <c r="J926" s="23" t="str">
        <f>IF('ASS START SYNC'!C930="SHOW",MID('ASS START SYNC'!E930,D926+1,F926-D926+1),"")</f>
        <v/>
      </c>
      <c r="K926" s="23" t="str">
        <f>IF('ASS START SYNC'!C930="SHOW",MID('ASS START SYNC'!E930,F926+2,1000),"")</f>
        <v/>
      </c>
      <c r="M926" s="24"/>
      <c r="N926" s="26">
        <v>923</v>
      </c>
      <c r="O926" s="24" t="str">
        <f>IF('ASS END SYNC'!C930="SHOW",FIND(",",'ASS END SYNC'!E930,1),"")</f>
        <v/>
      </c>
      <c r="P926" s="24" t="str">
        <f>IF('ASS END SYNC'!C930="SHOW",FIND(",",'ASS END SYNC'!E930,O926+1),"")</f>
        <v/>
      </c>
      <c r="Q926" s="24" t="str">
        <f>IF('ASS END SYNC'!C930="SHOW",FIND(",",'ASS END SYNC'!E930,P926+1),"")</f>
        <v/>
      </c>
      <c r="R926" s="25" t="str">
        <f>IF('ASS END SYNC'!C930="SHOW",FIND(",,",'ASS END SYNC'!E930,1),"")</f>
        <v/>
      </c>
      <c r="S926" s="25" t="str">
        <f>IF('ASS END SYNC'!C930="SHOW",FIND(",,",'ASS END SYNC'!E930,R926+1),"")</f>
        <v/>
      </c>
      <c r="T926" s="23" t="str">
        <f>IF('ASS END SYNC'!C930="SHOW",LEFT('ASS END SYNC'!E930,O926),"")</f>
        <v/>
      </c>
      <c r="U926" s="24" t="str">
        <f>IF('ASS END SYNC'!C930="SHOW",MID('ASS END SYNC'!E930,O926+1,P926-O926-1),"")</f>
        <v/>
      </c>
      <c r="V926" s="24" t="str">
        <f>IF(AND('ASS END SYNC'!C930="SHOW",'ASS END SYNC'!C931="SHOW"),U927,IF(AND('ASS END SYNC'!C930="SHOW",'ASS END SYNC'!C931&lt;&gt;"SHOW"),MID('ASS END SYNC'!E930,O926+1,P926-O926-1),""))</f>
        <v/>
      </c>
      <c r="W926" s="23" t="str">
        <f>IF('ASS END SYNC'!C930="SHOW",MID('ASS END SYNC'!E930,Q926+1,S926-Q926+1),"")</f>
        <v/>
      </c>
      <c r="X926" s="23" t="str">
        <f>IF('ASS END SYNC'!C930="SHOW",MID('ASS END SYNC'!E930,S926+2,1000),"")</f>
        <v/>
      </c>
      <c r="Z926" s="24"/>
    </row>
    <row r="927" spans="1:26" x14ac:dyDescent="0.25">
      <c r="A927" s="26">
        <v>924</v>
      </c>
      <c r="B927" s="24" t="str">
        <f>IF('ASS START SYNC'!C931="SHOW",FIND(",",'ASS START SYNC'!E931,1),"")</f>
        <v/>
      </c>
      <c r="C927" s="24" t="str">
        <f>IF('ASS START SYNC'!C931="SHOW",FIND(",",'ASS START SYNC'!E931,B927+1),"")</f>
        <v/>
      </c>
      <c r="D927" s="24" t="str">
        <f>IF('ASS START SYNC'!C931="SHOW",FIND(",",'ASS START SYNC'!E931,C927+1),"")</f>
        <v/>
      </c>
      <c r="E927" s="25" t="str">
        <f>IF('ASS START SYNC'!C931="SHOW",FIND(",,",'ASS START SYNC'!E931,1),"")</f>
        <v/>
      </c>
      <c r="F927" s="25" t="str">
        <f>IF('ASS START SYNC'!C931="SHOW",FIND(",,",'ASS START SYNC'!E931,E927+1),"")</f>
        <v/>
      </c>
      <c r="G927" s="23" t="str">
        <f>IF('ASS START SYNC'!C931="SHOW",LEFT('ASS START SYNC'!E931,B927),"")</f>
        <v/>
      </c>
      <c r="H927" s="24" t="str">
        <f>IF(AND('ASS START SYNC'!C931="SHOW",COUNTA('ASS START SYNC'!$E$8:'ASS START SYNC'!E930)=0),MID('ASS START SYNC'!E931,B927+1,C927-B927-1),IF(AND('ASS START SYNC'!C931="SHOW",COUNTA('ASS START SYNC'!$E$8:'ASS START SYNC'!E930)&lt;&gt;0),I926,""))</f>
        <v/>
      </c>
      <c r="I927" s="24" t="str">
        <f>IF('ASS START SYNC'!C931="SHOW",MID('ASS START SYNC'!E931,C927+1,D927-C927-1),I926)</f>
        <v/>
      </c>
      <c r="J927" s="23" t="str">
        <f>IF('ASS START SYNC'!C931="SHOW",MID('ASS START SYNC'!E931,D927+1,F927-D927+1),"")</f>
        <v/>
      </c>
      <c r="K927" s="23" t="str">
        <f>IF('ASS START SYNC'!C931="SHOW",MID('ASS START SYNC'!E931,F927+2,1000),"")</f>
        <v/>
      </c>
      <c r="M927" s="24"/>
      <c r="N927" s="26">
        <v>924</v>
      </c>
      <c r="O927" s="24" t="str">
        <f>IF('ASS END SYNC'!C931="SHOW",FIND(",",'ASS END SYNC'!E931,1),"")</f>
        <v/>
      </c>
      <c r="P927" s="24" t="str">
        <f>IF('ASS END SYNC'!C931="SHOW",FIND(",",'ASS END SYNC'!E931,O927+1),"")</f>
        <v/>
      </c>
      <c r="Q927" s="24" t="str">
        <f>IF('ASS END SYNC'!C931="SHOW",FIND(",",'ASS END SYNC'!E931,P927+1),"")</f>
        <v/>
      </c>
      <c r="R927" s="25" t="str">
        <f>IF('ASS END SYNC'!C931="SHOW",FIND(",,",'ASS END SYNC'!E931,1),"")</f>
        <v/>
      </c>
      <c r="S927" s="25" t="str">
        <f>IF('ASS END SYNC'!C931="SHOW",FIND(",,",'ASS END SYNC'!E931,R927+1),"")</f>
        <v/>
      </c>
      <c r="T927" s="23" t="str">
        <f>IF('ASS END SYNC'!C931="SHOW",LEFT('ASS END SYNC'!E931,O927),"")</f>
        <v/>
      </c>
      <c r="U927" s="24" t="str">
        <f>IF('ASS END SYNC'!C931="SHOW",MID('ASS END SYNC'!E931,O927+1,P927-O927-1),"")</f>
        <v/>
      </c>
      <c r="V927" s="24" t="str">
        <f>IF(AND('ASS END SYNC'!C931="SHOW",'ASS END SYNC'!C932="SHOW"),U928,IF(AND('ASS END SYNC'!C931="SHOW",'ASS END SYNC'!C932&lt;&gt;"SHOW"),MID('ASS END SYNC'!E931,O927+1,P927-O927-1),""))</f>
        <v/>
      </c>
      <c r="W927" s="23" t="str">
        <f>IF('ASS END SYNC'!C931="SHOW",MID('ASS END SYNC'!E931,Q927+1,S927-Q927+1),"")</f>
        <v/>
      </c>
      <c r="X927" s="23" t="str">
        <f>IF('ASS END SYNC'!C931="SHOW",MID('ASS END SYNC'!E931,S927+2,1000),"")</f>
        <v/>
      </c>
      <c r="Z927" s="24"/>
    </row>
    <row r="928" spans="1:26" x14ac:dyDescent="0.25">
      <c r="A928" s="26">
        <v>925</v>
      </c>
      <c r="B928" s="24" t="str">
        <f>IF('ASS START SYNC'!C932="SHOW",FIND(",",'ASS START SYNC'!E932,1),"")</f>
        <v/>
      </c>
      <c r="C928" s="24" t="str">
        <f>IF('ASS START SYNC'!C932="SHOW",FIND(",",'ASS START SYNC'!E932,B928+1),"")</f>
        <v/>
      </c>
      <c r="D928" s="24" t="str">
        <f>IF('ASS START SYNC'!C932="SHOW",FIND(",",'ASS START SYNC'!E932,C928+1),"")</f>
        <v/>
      </c>
      <c r="E928" s="25" t="str">
        <f>IF('ASS START SYNC'!C932="SHOW",FIND(",,",'ASS START SYNC'!E932,1),"")</f>
        <v/>
      </c>
      <c r="F928" s="25" t="str">
        <f>IF('ASS START SYNC'!C932="SHOW",FIND(",,",'ASS START SYNC'!E932,E928+1),"")</f>
        <v/>
      </c>
      <c r="G928" s="23" t="str">
        <f>IF('ASS START SYNC'!C932="SHOW",LEFT('ASS START SYNC'!E932,B928),"")</f>
        <v/>
      </c>
      <c r="H928" s="24" t="str">
        <f>IF(AND('ASS START SYNC'!C932="SHOW",COUNTA('ASS START SYNC'!$E$8:'ASS START SYNC'!E931)=0),MID('ASS START SYNC'!E932,B928+1,C928-B928-1),IF(AND('ASS START SYNC'!C932="SHOW",COUNTA('ASS START SYNC'!$E$8:'ASS START SYNC'!E931)&lt;&gt;0),I927,""))</f>
        <v/>
      </c>
      <c r="I928" s="24" t="str">
        <f>IF('ASS START SYNC'!C932="SHOW",MID('ASS START SYNC'!E932,C928+1,D928-C928-1),I927)</f>
        <v/>
      </c>
      <c r="J928" s="23" t="str">
        <f>IF('ASS START SYNC'!C932="SHOW",MID('ASS START SYNC'!E932,D928+1,F928-D928+1),"")</f>
        <v/>
      </c>
      <c r="K928" s="23" t="str">
        <f>IF('ASS START SYNC'!C932="SHOW",MID('ASS START SYNC'!E932,F928+2,1000),"")</f>
        <v/>
      </c>
      <c r="M928" s="24"/>
      <c r="N928" s="26">
        <v>925</v>
      </c>
      <c r="O928" s="24" t="str">
        <f>IF('ASS END SYNC'!C932="SHOW",FIND(",",'ASS END SYNC'!E932,1),"")</f>
        <v/>
      </c>
      <c r="P928" s="24" t="str">
        <f>IF('ASS END SYNC'!C932="SHOW",FIND(",",'ASS END SYNC'!E932,O928+1),"")</f>
        <v/>
      </c>
      <c r="Q928" s="24" t="str">
        <f>IF('ASS END SYNC'!C932="SHOW",FIND(",",'ASS END SYNC'!E932,P928+1),"")</f>
        <v/>
      </c>
      <c r="R928" s="25" t="str">
        <f>IF('ASS END SYNC'!C932="SHOW",FIND(",,",'ASS END SYNC'!E932,1),"")</f>
        <v/>
      </c>
      <c r="S928" s="25" t="str">
        <f>IF('ASS END SYNC'!C932="SHOW",FIND(",,",'ASS END SYNC'!E932,R928+1),"")</f>
        <v/>
      </c>
      <c r="T928" s="23" t="str">
        <f>IF('ASS END SYNC'!C932="SHOW",LEFT('ASS END SYNC'!E932,O928),"")</f>
        <v/>
      </c>
      <c r="U928" s="24" t="str">
        <f>IF('ASS END SYNC'!C932="SHOW",MID('ASS END SYNC'!E932,O928+1,P928-O928-1),"")</f>
        <v/>
      </c>
      <c r="V928" s="24" t="str">
        <f>IF(AND('ASS END SYNC'!C932="SHOW",'ASS END SYNC'!C933="SHOW"),U929,IF(AND('ASS END SYNC'!C932="SHOW",'ASS END SYNC'!C933&lt;&gt;"SHOW"),MID('ASS END SYNC'!E932,O928+1,P928-O928-1),""))</f>
        <v/>
      </c>
      <c r="W928" s="23" t="str">
        <f>IF('ASS END SYNC'!C932="SHOW",MID('ASS END SYNC'!E932,Q928+1,S928-Q928+1),"")</f>
        <v/>
      </c>
      <c r="X928" s="23" t="str">
        <f>IF('ASS END SYNC'!C932="SHOW",MID('ASS END SYNC'!E932,S928+2,1000),"")</f>
        <v/>
      </c>
      <c r="Z928" s="24"/>
    </row>
    <row r="929" spans="1:26" x14ac:dyDescent="0.25">
      <c r="A929" s="26">
        <v>926</v>
      </c>
      <c r="B929" s="24" t="str">
        <f>IF('ASS START SYNC'!C933="SHOW",FIND(",",'ASS START SYNC'!E933,1),"")</f>
        <v/>
      </c>
      <c r="C929" s="24" t="str">
        <f>IF('ASS START SYNC'!C933="SHOW",FIND(",",'ASS START SYNC'!E933,B929+1),"")</f>
        <v/>
      </c>
      <c r="D929" s="24" t="str">
        <f>IF('ASS START SYNC'!C933="SHOW",FIND(",",'ASS START SYNC'!E933,C929+1),"")</f>
        <v/>
      </c>
      <c r="E929" s="25" t="str">
        <f>IF('ASS START SYNC'!C933="SHOW",FIND(",,",'ASS START SYNC'!E933,1),"")</f>
        <v/>
      </c>
      <c r="F929" s="25" t="str">
        <f>IF('ASS START SYNC'!C933="SHOW",FIND(",,",'ASS START SYNC'!E933,E929+1),"")</f>
        <v/>
      </c>
      <c r="G929" s="23" t="str">
        <f>IF('ASS START SYNC'!C933="SHOW",LEFT('ASS START SYNC'!E933,B929),"")</f>
        <v/>
      </c>
      <c r="H929" s="24" t="str">
        <f>IF(AND('ASS START SYNC'!C933="SHOW",COUNTA('ASS START SYNC'!$E$8:'ASS START SYNC'!E932)=0),MID('ASS START SYNC'!E933,B929+1,C929-B929-1),IF(AND('ASS START SYNC'!C933="SHOW",COUNTA('ASS START SYNC'!$E$8:'ASS START SYNC'!E932)&lt;&gt;0),I928,""))</f>
        <v/>
      </c>
      <c r="I929" s="24" t="str">
        <f>IF('ASS START SYNC'!C933="SHOW",MID('ASS START SYNC'!E933,C929+1,D929-C929-1),I928)</f>
        <v/>
      </c>
      <c r="J929" s="23" t="str">
        <f>IF('ASS START SYNC'!C933="SHOW",MID('ASS START SYNC'!E933,D929+1,F929-D929+1),"")</f>
        <v/>
      </c>
      <c r="K929" s="23" t="str">
        <f>IF('ASS START SYNC'!C933="SHOW",MID('ASS START SYNC'!E933,F929+2,1000),"")</f>
        <v/>
      </c>
      <c r="M929" s="24"/>
      <c r="N929" s="26">
        <v>926</v>
      </c>
      <c r="O929" s="24" t="str">
        <f>IF('ASS END SYNC'!C933="SHOW",FIND(",",'ASS END SYNC'!E933,1),"")</f>
        <v/>
      </c>
      <c r="P929" s="24" t="str">
        <f>IF('ASS END SYNC'!C933="SHOW",FIND(",",'ASS END SYNC'!E933,O929+1),"")</f>
        <v/>
      </c>
      <c r="Q929" s="24" t="str">
        <f>IF('ASS END SYNC'!C933="SHOW",FIND(",",'ASS END SYNC'!E933,P929+1),"")</f>
        <v/>
      </c>
      <c r="R929" s="25" t="str">
        <f>IF('ASS END SYNC'!C933="SHOW",FIND(",,",'ASS END SYNC'!E933,1),"")</f>
        <v/>
      </c>
      <c r="S929" s="25" t="str">
        <f>IF('ASS END SYNC'!C933="SHOW",FIND(",,",'ASS END SYNC'!E933,R929+1),"")</f>
        <v/>
      </c>
      <c r="T929" s="23" t="str">
        <f>IF('ASS END SYNC'!C933="SHOW",LEFT('ASS END SYNC'!E933,O929),"")</f>
        <v/>
      </c>
      <c r="U929" s="24" t="str">
        <f>IF('ASS END SYNC'!C933="SHOW",MID('ASS END SYNC'!E933,O929+1,P929-O929-1),"")</f>
        <v/>
      </c>
      <c r="V929" s="24" t="str">
        <f>IF(AND('ASS END SYNC'!C933="SHOW",'ASS END SYNC'!C934="SHOW"),U930,IF(AND('ASS END SYNC'!C933="SHOW",'ASS END SYNC'!C934&lt;&gt;"SHOW"),MID('ASS END SYNC'!E933,O929+1,P929-O929-1),""))</f>
        <v/>
      </c>
      <c r="W929" s="23" t="str">
        <f>IF('ASS END SYNC'!C933="SHOW",MID('ASS END SYNC'!E933,Q929+1,S929-Q929+1),"")</f>
        <v/>
      </c>
      <c r="X929" s="23" t="str">
        <f>IF('ASS END SYNC'!C933="SHOW",MID('ASS END SYNC'!E933,S929+2,1000),"")</f>
        <v/>
      </c>
      <c r="Z929" s="24"/>
    </row>
    <row r="930" spans="1:26" x14ac:dyDescent="0.25">
      <c r="A930" s="26">
        <v>927</v>
      </c>
      <c r="B930" s="24" t="str">
        <f>IF('ASS START SYNC'!C934="SHOW",FIND(",",'ASS START SYNC'!E934,1),"")</f>
        <v/>
      </c>
      <c r="C930" s="24" t="str">
        <f>IF('ASS START SYNC'!C934="SHOW",FIND(",",'ASS START SYNC'!E934,B930+1),"")</f>
        <v/>
      </c>
      <c r="D930" s="24" t="str">
        <f>IF('ASS START SYNC'!C934="SHOW",FIND(",",'ASS START SYNC'!E934,C930+1),"")</f>
        <v/>
      </c>
      <c r="E930" s="25" t="str">
        <f>IF('ASS START SYNC'!C934="SHOW",FIND(",,",'ASS START SYNC'!E934,1),"")</f>
        <v/>
      </c>
      <c r="F930" s="25" t="str">
        <f>IF('ASS START SYNC'!C934="SHOW",FIND(",,",'ASS START SYNC'!E934,E930+1),"")</f>
        <v/>
      </c>
      <c r="G930" s="23" t="str">
        <f>IF('ASS START SYNC'!C934="SHOW",LEFT('ASS START SYNC'!E934,B930),"")</f>
        <v/>
      </c>
      <c r="H930" s="24" t="str">
        <f>IF(AND('ASS START SYNC'!C934="SHOW",COUNTA('ASS START SYNC'!$E$8:'ASS START SYNC'!E933)=0),MID('ASS START SYNC'!E934,B930+1,C930-B930-1),IF(AND('ASS START SYNC'!C934="SHOW",COUNTA('ASS START SYNC'!$E$8:'ASS START SYNC'!E933)&lt;&gt;0),I929,""))</f>
        <v/>
      </c>
      <c r="I930" s="24" t="str">
        <f>IF('ASS START SYNC'!C934="SHOW",MID('ASS START SYNC'!E934,C930+1,D930-C930-1),I929)</f>
        <v/>
      </c>
      <c r="J930" s="23" t="str">
        <f>IF('ASS START SYNC'!C934="SHOW",MID('ASS START SYNC'!E934,D930+1,F930-D930+1),"")</f>
        <v/>
      </c>
      <c r="K930" s="23" t="str">
        <f>IF('ASS START SYNC'!C934="SHOW",MID('ASS START SYNC'!E934,F930+2,1000),"")</f>
        <v/>
      </c>
      <c r="M930" s="24"/>
      <c r="N930" s="26">
        <v>927</v>
      </c>
      <c r="O930" s="24" t="str">
        <f>IF('ASS END SYNC'!C934="SHOW",FIND(",",'ASS END SYNC'!E934,1),"")</f>
        <v/>
      </c>
      <c r="P930" s="24" t="str">
        <f>IF('ASS END SYNC'!C934="SHOW",FIND(",",'ASS END SYNC'!E934,O930+1),"")</f>
        <v/>
      </c>
      <c r="Q930" s="24" t="str">
        <f>IF('ASS END SYNC'!C934="SHOW",FIND(",",'ASS END SYNC'!E934,P930+1),"")</f>
        <v/>
      </c>
      <c r="R930" s="25" t="str">
        <f>IF('ASS END SYNC'!C934="SHOW",FIND(",,",'ASS END SYNC'!E934,1),"")</f>
        <v/>
      </c>
      <c r="S930" s="25" t="str">
        <f>IF('ASS END SYNC'!C934="SHOW",FIND(",,",'ASS END SYNC'!E934,R930+1),"")</f>
        <v/>
      </c>
      <c r="T930" s="23" t="str">
        <f>IF('ASS END SYNC'!C934="SHOW",LEFT('ASS END SYNC'!E934,O930),"")</f>
        <v/>
      </c>
      <c r="U930" s="24" t="str">
        <f>IF('ASS END SYNC'!C934="SHOW",MID('ASS END SYNC'!E934,O930+1,P930-O930-1),"")</f>
        <v/>
      </c>
      <c r="V930" s="24" t="str">
        <f>IF(AND('ASS END SYNC'!C934="SHOW",'ASS END SYNC'!C935="SHOW"),U931,IF(AND('ASS END SYNC'!C934="SHOW",'ASS END SYNC'!C935&lt;&gt;"SHOW"),MID('ASS END SYNC'!E934,O930+1,P930-O930-1),""))</f>
        <v/>
      </c>
      <c r="W930" s="23" t="str">
        <f>IF('ASS END SYNC'!C934="SHOW",MID('ASS END SYNC'!E934,Q930+1,S930-Q930+1),"")</f>
        <v/>
      </c>
      <c r="X930" s="23" t="str">
        <f>IF('ASS END SYNC'!C934="SHOW",MID('ASS END SYNC'!E934,S930+2,1000),"")</f>
        <v/>
      </c>
      <c r="Z930" s="24"/>
    </row>
    <row r="931" spans="1:26" x14ac:dyDescent="0.25">
      <c r="A931" s="26">
        <v>928</v>
      </c>
      <c r="B931" s="24" t="str">
        <f>IF('ASS START SYNC'!C935="SHOW",FIND(",",'ASS START SYNC'!E935,1),"")</f>
        <v/>
      </c>
      <c r="C931" s="24" t="str">
        <f>IF('ASS START SYNC'!C935="SHOW",FIND(",",'ASS START SYNC'!E935,B931+1),"")</f>
        <v/>
      </c>
      <c r="D931" s="24" t="str">
        <f>IF('ASS START SYNC'!C935="SHOW",FIND(",",'ASS START SYNC'!E935,C931+1),"")</f>
        <v/>
      </c>
      <c r="E931" s="25" t="str">
        <f>IF('ASS START SYNC'!C935="SHOW",FIND(",,",'ASS START SYNC'!E935,1),"")</f>
        <v/>
      </c>
      <c r="F931" s="25" t="str">
        <f>IF('ASS START SYNC'!C935="SHOW",FIND(",,",'ASS START SYNC'!E935,E931+1),"")</f>
        <v/>
      </c>
      <c r="G931" s="23" t="str">
        <f>IF('ASS START SYNC'!C935="SHOW",LEFT('ASS START SYNC'!E935,B931),"")</f>
        <v/>
      </c>
      <c r="H931" s="24" t="str">
        <f>IF(AND('ASS START SYNC'!C935="SHOW",COUNTA('ASS START SYNC'!$E$8:'ASS START SYNC'!E934)=0),MID('ASS START SYNC'!E935,B931+1,C931-B931-1),IF(AND('ASS START SYNC'!C935="SHOW",COUNTA('ASS START SYNC'!$E$8:'ASS START SYNC'!E934)&lt;&gt;0),I930,""))</f>
        <v/>
      </c>
      <c r="I931" s="24" t="str">
        <f>IF('ASS START SYNC'!C935="SHOW",MID('ASS START SYNC'!E935,C931+1,D931-C931-1),I930)</f>
        <v/>
      </c>
      <c r="J931" s="23" t="str">
        <f>IF('ASS START SYNC'!C935="SHOW",MID('ASS START SYNC'!E935,D931+1,F931-D931+1),"")</f>
        <v/>
      </c>
      <c r="K931" s="23" t="str">
        <f>IF('ASS START SYNC'!C935="SHOW",MID('ASS START SYNC'!E935,F931+2,1000),"")</f>
        <v/>
      </c>
      <c r="M931" s="24"/>
      <c r="N931" s="26">
        <v>928</v>
      </c>
      <c r="O931" s="24" t="str">
        <f>IF('ASS END SYNC'!C935="SHOW",FIND(",",'ASS END SYNC'!E935,1),"")</f>
        <v/>
      </c>
      <c r="P931" s="24" t="str">
        <f>IF('ASS END SYNC'!C935="SHOW",FIND(",",'ASS END SYNC'!E935,O931+1),"")</f>
        <v/>
      </c>
      <c r="Q931" s="24" t="str">
        <f>IF('ASS END SYNC'!C935="SHOW",FIND(",",'ASS END SYNC'!E935,P931+1),"")</f>
        <v/>
      </c>
      <c r="R931" s="25" t="str">
        <f>IF('ASS END SYNC'!C935="SHOW",FIND(",,",'ASS END SYNC'!E935,1),"")</f>
        <v/>
      </c>
      <c r="S931" s="25" t="str">
        <f>IF('ASS END SYNC'!C935="SHOW",FIND(",,",'ASS END SYNC'!E935,R931+1),"")</f>
        <v/>
      </c>
      <c r="T931" s="23" t="str">
        <f>IF('ASS END SYNC'!C935="SHOW",LEFT('ASS END SYNC'!E935,O931),"")</f>
        <v/>
      </c>
      <c r="U931" s="24" t="str">
        <f>IF('ASS END SYNC'!C935="SHOW",MID('ASS END SYNC'!E935,O931+1,P931-O931-1),"")</f>
        <v/>
      </c>
      <c r="V931" s="24" t="str">
        <f>IF(AND('ASS END SYNC'!C935="SHOW",'ASS END SYNC'!C936="SHOW"),U932,IF(AND('ASS END SYNC'!C935="SHOW",'ASS END SYNC'!C936&lt;&gt;"SHOW"),MID('ASS END SYNC'!E935,O931+1,P931-O931-1),""))</f>
        <v/>
      </c>
      <c r="W931" s="23" t="str">
        <f>IF('ASS END SYNC'!C935="SHOW",MID('ASS END SYNC'!E935,Q931+1,S931-Q931+1),"")</f>
        <v/>
      </c>
      <c r="X931" s="23" t="str">
        <f>IF('ASS END SYNC'!C935="SHOW",MID('ASS END SYNC'!E935,S931+2,1000),"")</f>
        <v/>
      </c>
      <c r="Z931" s="24"/>
    </row>
    <row r="932" spans="1:26" x14ac:dyDescent="0.25">
      <c r="A932" s="26">
        <v>929</v>
      </c>
      <c r="B932" s="24" t="str">
        <f>IF('ASS START SYNC'!C936="SHOW",FIND(",",'ASS START SYNC'!E936,1),"")</f>
        <v/>
      </c>
      <c r="C932" s="24" t="str">
        <f>IF('ASS START SYNC'!C936="SHOW",FIND(",",'ASS START SYNC'!E936,B932+1),"")</f>
        <v/>
      </c>
      <c r="D932" s="24" t="str">
        <f>IF('ASS START SYNC'!C936="SHOW",FIND(",",'ASS START SYNC'!E936,C932+1),"")</f>
        <v/>
      </c>
      <c r="E932" s="25" t="str">
        <f>IF('ASS START SYNC'!C936="SHOW",FIND(",,",'ASS START SYNC'!E936,1),"")</f>
        <v/>
      </c>
      <c r="F932" s="25" t="str">
        <f>IF('ASS START SYNC'!C936="SHOW",FIND(",,",'ASS START SYNC'!E936,E932+1),"")</f>
        <v/>
      </c>
      <c r="G932" s="23" t="str">
        <f>IF('ASS START SYNC'!C936="SHOW",LEFT('ASS START SYNC'!E936,B932),"")</f>
        <v/>
      </c>
      <c r="H932" s="24" t="str">
        <f>IF(AND('ASS START SYNC'!C936="SHOW",COUNTA('ASS START SYNC'!$E$8:'ASS START SYNC'!E935)=0),MID('ASS START SYNC'!E936,B932+1,C932-B932-1),IF(AND('ASS START SYNC'!C936="SHOW",COUNTA('ASS START SYNC'!$E$8:'ASS START SYNC'!E935)&lt;&gt;0),I931,""))</f>
        <v/>
      </c>
      <c r="I932" s="24" t="str">
        <f>IF('ASS START SYNC'!C936="SHOW",MID('ASS START SYNC'!E936,C932+1,D932-C932-1),I931)</f>
        <v/>
      </c>
      <c r="J932" s="23" t="str">
        <f>IF('ASS START SYNC'!C936="SHOW",MID('ASS START SYNC'!E936,D932+1,F932-D932+1),"")</f>
        <v/>
      </c>
      <c r="K932" s="23" t="str">
        <f>IF('ASS START SYNC'!C936="SHOW",MID('ASS START SYNC'!E936,F932+2,1000),"")</f>
        <v/>
      </c>
      <c r="M932" s="24"/>
      <c r="N932" s="26">
        <v>929</v>
      </c>
      <c r="O932" s="24" t="str">
        <f>IF('ASS END SYNC'!C936="SHOW",FIND(",",'ASS END SYNC'!E936,1),"")</f>
        <v/>
      </c>
      <c r="P932" s="24" t="str">
        <f>IF('ASS END SYNC'!C936="SHOW",FIND(",",'ASS END SYNC'!E936,O932+1),"")</f>
        <v/>
      </c>
      <c r="Q932" s="24" t="str">
        <f>IF('ASS END SYNC'!C936="SHOW",FIND(",",'ASS END SYNC'!E936,P932+1),"")</f>
        <v/>
      </c>
      <c r="R932" s="25" t="str">
        <f>IF('ASS END SYNC'!C936="SHOW",FIND(",,",'ASS END SYNC'!E936,1),"")</f>
        <v/>
      </c>
      <c r="S932" s="25" t="str">
        <f>IF('ASS END SYNC'!C936="SHOW",FIND(",,",'ASS END SYNC'!E936,R932+1),"")</f>
        <v/>
      </c>
      <c r="T932" s="23" t="str">
        <f>IF('ASS END SYNC'!C936="SHOW",LEFT('ASS END SYNC'!E936,O932),"")</f>
        <v/>
      </c>
      <c r="U932" s="24" t="str">
        <f>IF('ASS END SYNC'!C936="SHOW",MID('ASS END SYNC'!E936,O932+1,P932-O932-1),"")</f>
        <v/>
      </c>
      <c r="V932" s="24" t="str">
        <f>IF(AND('ASS END SYNC'!C936="SHOW",'ASS END SYNC'!C937="SHOW"),U933,IF(AND('ASS END SYNC'!C936="SHOW",'ASS END SYNC'!C937&lt;&gt;"SHOW"),MID('ASS END SYNC'!E936,O932+1,P932-O932-1),""))</f>
        <v/>
      </c>
      <c r="W932" s="23" t="str">
        <f>IF('ASS END SYNC'!C936="SHOW",MID('ASS END SYNC'!E936,Q932+1,S932-Q932+1),"")</f>
        <v/>
      </c>
      <c r="X932" s="23" t="str">
        <f>IF('ASS END SYNC'!C936="SHOW",MID('ASS END SYNC'!E936,S932+2,1000),"")</f>
        <v/>
      </c>
      <c r="Z932" s="24"/>
    </row>
    <row r="933" spans="1:26" x14ac:dyDescent="0.25">
      <c r="A933" s="26">
        <v>930</v>
      </c>
      <c r="B933" s="24" t="str">
        <f>IF('ASS START SYNC'!C937="SHOW",FIND(",",'ASS START SYNC'!E937,1),"")</f>
        <v/>
      </c>
      <c r="C933" s="24" t="str">
        <f>IF('ASS START SYNC'!C937="SHOW",FIND(",",'ASS START SYNC'!E937,B933+1),"")</f>
        <v/>
      </c>
      <c r="D933" s="24" t="str">
        <f>IF('ASS START SYNC'!C937="SHOW",FIND(",",'ASS START SYNC'!E937,C933+1),"")</f>
        <v/>
      </c>
      <c r="E933" s="25" t="str">
        <f>IF('ASS START SYNC'!C937="SHOW",FIND(",,",'ASS START SYNC'!E937,1),"")</f>
        <v/>
      </c>
      <c r="F933" s="25" t="str">
        <f>IF('ASS START SYNC'!C937="SHOW",FIND(",,",'ASS START SYNC'!E937,E933+1),"")</f>
        <v/>
      </c>
      <c r="G933" s="23" t="str">
        <f>IF('ASS START SYNC'!C937="SHOW",LEFT('ASS START SYNC'!E937,B933),"")</f>
        <v/>
      </c>
      <c r="H933" s="24" t="str">
        <f>IF(AND('ASS START SYNC'!C937="SHOW",COUNTA('ASS START SYNC'!$E$8:'ASS START SYNC'!E936)=0),MID('ASS START SYNC'!E937,B933+1,C933-B933-1),IF(AND('ASS START SYNC'!C937="SHOW",COUNTA('ASS START SYNC'!$E$8:'ASS START SYNC'!E936)&lt;&gt;0),I932,""))</f>
        <v/>
      </c>
      <c r="I933" s="24" t="str">
        <f>IF('ASS START SYNC'!C937="SHOW",MID('ASS START SYNC'!E937,C933+1,D933-C933-1),I932)</f>
        <v/>
      </c>
      <c r="J933" s="23" t="str">
        <f>IF('ASS START SYNC'!C937="SHOW",MID('ASS START SYNC'!E937,D933+1,F933-D933+1),"")</f>
        <v/>
      </c>
      <c r="K933" s="23" t="str">
        <f>IF('ASS START SYNC'!C937="SHOW",MID('ASS START SYNC'!E937,F933+2,1000),"")</f>
        <v/>
      </c>
      <c r="M933" s="24"/>
      <c r="N933" s="26">
        <v>930</v>
      </c>
      <c r="O933" s="24" t="str">
        <f>IF('ASS END SYNC'!C937="SHOW",FIND(",",'ASS END SYNC'!E937,1),"")</f>
        <v/>
      </c>
      <c r="P933" s="24" t="str">
        <f>IF('ASS END SYNC'!C937="SHOW",FIND(",",'ASS END SYNC'!E937,O933+1),"")</f>
        <v/>
      </c>
      <c r="Q933" s="24" t="str">
        <f>IF('ASS END SYNC'!C937="SHOW",FIND(",",'ASS END SYNC'!E937,P933+1),"")</f>
        <v/>
      </c>
      <c r="R933" s="25" t="str">
        <f>IF('ASS END SYNC'!C937="SHOW",FIND(",,",'ASS END SYNC'!E937,1),"")</f>
        <v/>
      </c>
      <c r="S933" s="25" t="str">
        <f>IF('ASS END SYNC'!C937="SHOW",FIND(",,",'ASS END SYNC'!E937,R933+1),"")</f>
        <v/>
      </c>
      <c r="T933" s="23" t="str">
        <f>IF('ASS END SYNC'!C937="SHOW",LEFT('ASS END SYNC'!E937,O933),"")</f>
        <v/>
      </c>
      <c r="U933" s="24" t="str">
        <f>IF('ASS END SYNC'!C937="SHOW",MID('ASS END SYNC'!E937,O933+1,P933-O933-1),"")</f>
        <v/>
      </c>
      <c r="V933" s="24" t="str">
        <f>IF(AND('ASS END SYNC'!C937="SHOW",'ASS END SYNC'!C938="SHOW"),U934,IF(AND('ASS END SYNC'!C937="SHOW",'ASS END SYNC'!C938&lt;&gt;"SHOW"),MID('ASS END SYNC'!E937,O933+1,P933-O933-1),""))</f>
        <v/>
      </c>
      <c r="W933" s="23" t="str">
        <f>IF('ASS END SYNC'!C937="SHOW",MID('ASS END SYNC'!E937,Q933+1,S933-Q933+1),"")</f>
        <v/>
      </c>
      <c r="X933" s="23" t="str">
        <f>IF('ASS END SYNC'!C937="SHOW",MID('ASS END SYNC'!E937,S933+2,1000),"")</f>
        <v/>
      </c>
      <c r="Z933" s="24"/>
    </row>
    <row r="934" spans="1:26" x14ac:dyDescent="0.25">
      <c r="A934" s="26">
        <v>931</v>
      </c>
      <c r="B934" s="24" t="str">
        <f>IF('ASS START SYNC'!C938="SHOW",FIND(",",'ASS START SYNC'!E938,1),"")</f>
        <v/>
      </c>
      <c r="C934" s="24" t="str">
        <f>IF('ASS START SYNC'!C938="SHOW",FIND(",",'ASS START SYNC'!E938,B934+1),"")</f>
        <v/>
      </c>
      <c r="D934" s="24" t="str">
        <f>IF('ASS START SYNC'!C938="SHOW",FIND(",",'ASS START SYNC'!E938,C934+1),"")</f>
        <v/>
      </c>
      <c r="E934" s="25" t="str">
        <f>IF('ASS START SYNC'!C938="SHOW",FIND(",,",'ASS START SYNC'!E938,1),"")</f>
        <v/>
      </c>
      <c r="F934" s="25" t="str">
        <f>IF('ASS START SYNC'!C938="SHOW",FIND(",,",'ASS START SYNC'!E938,E934+1),"")</f>
        <v/>
      </c>
      <c r="G934" s="23" t="str">
        <f>IF('ASS START SYNC'!C938="SHOW",LEFT('ASS START SYNC'!E938,B934),"")</f>
        <v/>
      </c>
      <c r="H934" s="24" t="str">
        <f>IF(AND('ASS START SYNC'!C938="SHOW",COUNTA('ASS START SYNC'!$E$8:'ASS START SYNC'!E937)=0),MID('ASS START SYNC'!E938,B934+1,C934-B934-1),IF(AND('ASS START SYNC'!C938="SHOW",COUNTA('ASS START SYNC'!$E$8:'ASS START SYNC'!E937)&lt;&gt;0),I933,""))</f>
        <v/>
      </c>
      <c r="I934" s="24" t="str">
        <f>IF('ASS START SYNC'!C938="SHOW",MID('ASS START SYNC'!E938,C934+1,D934-C934-1),I933)</f>
        <v/>
      </c>
      <c r="J934" s="23" t="str">
        <f>IF('ASS START SYNC'!C938="SHOW",MID('ASS START SYNC'!E938,D934+1,F934-D934+1),"")</f>
        <v/>
      </c>
      <c r="K934" s="23" t="str">
        <f>IF('ASS START SYNC'!C938="SHOW",MID('ASS START SYNC'!E938,F934+2,1000),"")</f>
        <v/>
      </c>
      <c r="M934" s="24"/>
      <c r="N934" s="26">
        <v>931</v>
      </c>
      <c r="O934" s="24" t="str">
        <f>IF('ASS END SYNC'!C938="SHOW",FIND(",",'ASS END SYNC'!E938,1),"")</f>
        <v/>
      </c>
      <c r="P934" s="24" t="str">
        <f>IF('ASS END SYNC'!C938="SHOW",FIND(",",'ASS END SYNC'!E938,O934+1),"")</f>
        <v/>
      </c>
      <c r="Q934" s="24" t="str">
        <f>IF('ASS END SYNC'!C938="SHOW",FIND(",",'ASS END SYNC'!E938,P934+1),"")</f>
        <v/>
      </c>
      <c r="R934" s="25" t="str">
        <f>IF('ASS END SYNC'!C938="SHOW",FIND(",,",'ASS END SYNC'!E938,1),"")</f>
        <v/>
      </c>
      <c r="S934" s="25" t="str">
        <f>IF('ASS END SYNC'!C938="SHOW",FIND(",,",'ASS END SYNC'!E938,R934+1),"")</f>
        <v/>
      </c>
      <c r="T934" s="23" t="str">
        <f>IF('ASS END SYNC'!C938="SHOW",LEFT('ASS END SYNC'!E938,O934),"")</f>
        <v/>
      </c>
      <c r="U934" s="24" t="str">
        <f>IF('ASS END SYNC'!C938="SHOW",MID('ASS END SYNC'!E938,O934+1,P934-O934-1),"")</f>
        <v/>
      </c>
      <c r="V934" s="24" t="str">
        <f>IF(AND('ASS END SYNC'!C938="SHOW",'ASS END SYNC'!C939="SHOW"),U935,IF(AND('ASS END SYNC'!C938="SHOW",'ASS END SYNC'!C939&lt;&gt;"SHOW"),MID('ASS END SYNC'!E938,O934+1,P934-O934-1),""))</f>
        <v/>
      </c>
      <c r="W934" s="23" t="str">
        <f>IF('ASS END SYNC'!C938="SHOW",MID('ASS END SYNC'!E938,Q934+1,S934-Q934+1),"")</f>
        <v/>
      </c>
      <c r="X934" s="23" t="str">
        <f>IF('ASS END SYNC'!C938="SHOW",MID('ASS END SYNC'!E938,S934+2,1000),"")</f>
        <v/>
      </c>
      <c r="Z934" s="24"/>
    </row>
    <row r="935" spans="1:26" x14ac:dyDescent="0.25">
      <c r="A935" s="26">
        <v>932</v>
      </c>
      <c r="B935" s="24" t="str">
        <f>IF('ASS START SYNC'!C939="SHOW",FIND(",",'ASS START SYNC'!E939,1),"")</f>
        <v/>
      </c>
      <c r="C935" s="24" t="str">
        <f>IF('ASS START SYNC'!C939="SHOW",FIND(",",'ASS START SYNC'!E939,B935+1),"")</f>
        <v/>
      </c>
      <c r="D935" s="24" t="str">
        <f>IF('ASS START SYNC'!C939="SHOW",FIND(",",'ASS START SYNC'!E939,C935+1),"")</f>
        <v/>
      </c>
      <c r="E935" s="25" t="str">
        <f>IF('ASS START SYNC'!C939="SHOW",FIND(",,",'ASS START SYNC'!E939,1),"")</f>
        <v/>
      </c>
      <c r="F935" s="25" t="str">
        <f>IF('ASS START SYNC'!C939="SHOW",FIND(",,",'ASS START SYNC'!E939,E935+1),"")</f>
        <v/>
      </c>
      <c r="G935" s="23" t="str">
        <f>IF('ASS START SYNC'!C939="SHOW",LEFT('ASS START SYNC'!E939,B935),"")</f>
        <v/>
      </c>
      <c r="H935" s="24" t="str">
        <f>IF(AND('ASS START SYNC'!C939="SHOW",COUNTA('ASS START SYNC'!$E$8:'ASS START SYNC'!E938)=0),MID('ASS START SYNC'!E939,B935+1,C935-B935-1),IF(AND('ASS START SYNC'!C939="SHOW",COUNTA('ASS START SYNC'!$E$8:'ASS START SYNC'!E938)&lt;&gt;0),I934,""))</f>
        <v/>
      </c>
      <c r="I935" s="24" t="str">
        <f>IF('ASS START SYNC'!C939="SHOW",MID('ASS START SYNC'!E939,C935+1,D935-C935-1),I934)</f>
        <v/>
      </c>
      <c r="J935" s="23" t="str">
        <f>IF('ASS START SYNC'!C939="SHOW",MID('ASS START SYNC'!E939,D935+1,F935-D935+1),"")</f>
        <v/>
      </c>
      <c r="K935" s="23" t="str">
        <f>IF('ASS START SYNC'!C939="SHOW",MID('ASS START SYNC'!E939,F935+2,1000),"")</f>
        <v/>
      </c>
      <c r="M935" s="24"/>
      <c r="N935" s="26">
        <v>932</v>
      </c>
      <c r="O935" s="24" t="str">
        <f>IF('ASS END SYNC'!C939="SHOW",FIND(",",'ASS END SYNC'!E939,1),"")</f>
        <v/>
      </c>
      <c r="P935" s="24" t="str">
        <f>IF('ASS END SYNC'!C939="SHOW",FIND(",",'ASS END SYNC'!E939,O935+1),"")</f>
        <v/>
      </c>
      <c r="Q935" s="24" t="str">
        <f>IF('ASS END SYNC'!C939="SHOW",FIND(",",'ASS END SYNC'!E939,P935+1),"")</f>
        <v/>
      </c>
      <c r="R935" s="25" t="str">
        <f>IF('ASS END SYNC'!C939="SHOW",FIND(",,",'ASS END SYNC'!E939,1),"")</f>
        <v/>
      </c>
      <c r="S935" s="25" t="str">
        <f>IF('ASS END SYNC'!C939="SHOW",FIND(",,",'ASS END SYNC'!E939,R935+1),"")</f>
        <v/>
      </c>
      <c r="T935" s="23" t="str">
        <f>IF('ASS END SYNC'!C939="SHOW",LEFT('ASS END SYNC'!E939,O935),"")</f>
        <v/>
      </c>
      <c r="U935" s="24" t="str">
        <f>IF('ASS END SYNC'!C939="SHOW",MID('ASS END SYNC'!E939,O935+1,P935-O935-1),"")</f>
        <v/>
      </c>
      <c r="V935" s="24" t="str">
        <f>IF(AND('ASS END SYNC'!C939="SHOW",'ASS END SYNC'!C940="SHOW"),U936,IF(AND('ASS END SYNC'!C939="SHOW",'ASS END SYNC'!C940&lt;&gt;"SHOW"),MID('ASS END SYNC'!E939,O935+1,P935-O935-1),""))</f>
        <v/>
      </c>
      <c r="W935" s="23" t="str">
        <f>IF('ASS END SYNC'!C939="SHOW",MID('ASS END SYNC'!E939,Q935+1,S935-Q935+1),"")</f>
        <v/>
      </c>
      <c r="X935" s="23" t="str">
        <f>IF('ASS END SYNC'!C939="SHOW",MID('ASS END SYNC'!E939,S935+2,1000),"")</f>
        <v/>
      </c>
      <c r="Z935" s="24"/>
    </row>
    <row r="936" spans="1:26" x14ac:dyDescent="0.25">
      <c r="A936" s="26">
        <v>933</v>
      </c>
      <c r="B936" s="24" t="str">
        <f>IF('ASS START SYNC'!C940="SHOW",FIND(",",'ASS START SYNC'!E940,1),"")</f>
        <v/>
      </c>
      <c r="C936" s="24" t="str">
        <f>IF('ASS START SYNC'!C940="SHOW",FIND(",",'ASS START SYNC'!E940,B936+1),"")</f>
        <v/>
      </c>
      <c r="D936" s="24" t="str">
        <f>IF('ASS START SYNC'!C940="SHOW",FIND(",",'ASS START SYNC'!E940,C936+1),"")</f>
        <v/>
      </c>
      <c r="E936" s="25" t="str">
        <f>IF('ASS START SYNC'!C940="SHOW",FIND(",,",'ASS START SYNC'!E940,1),"")</f>
        <v/>
      </c>
      <c r="F936" s="25" t="str">
        <f>IF('ASS START SYNC'!C940="SHOW",FIND(",,",'ASS START SYNC'!E940,E936+1),"")</f>
        <v/>
      </c>
      <c r="G936" s="23" t="str">
        <f>IF('ASS START SYNC'!C940="SHOW",LEFT('ASS START SYNC'!E940,B936),"")</f>
        <v/>
      </c>
      <c r="H936" s="24" t="str">
        <f>IF(AND('ASS START SYNC'!C940="SHOW",COUNTA('ASS START SYNC'!$E$8:'ASS START SYNC'!E939)=0),MID('ASS START SYNC'!E940,B936+1,C936-B936-1),IF(AND('ASS START SYNC'!C940="SHOW",COUNTA('ASS START SYNC'!$E$8:'ASS START SYNC'!E939)&lt;&gt;0),I935,""))</f>
        <v/>
      </c>
      <c r="I936" s="24" t="str">
        <f>IF('ASS START SYNC'!C940="SHOW",MID('ASS START SYNC'!E940,C936+1,D936-C936-1),I935)</f>
        <v/>
      </c>
      <c r="J936" s="23" t="str">
        <f>IF('ASS START SYNC'!C940="SHOW",MID('ASS START SYNC'!E940,D936+1,F936-D936+1),"")</f>
        <v/>
      </c>
      <c r="K936" s="23" t="str">
        <f>IF('ASS START SYNC'!C940="SHOW",MID('ASS START SYNC'!E940,F936+2,1000),"")</f>
        <v/>
      </c>
      <c r="M936" s="24"/>
      <c r="N936" s="26">
        <v>933</v>
      </c>
      <c r="O936" s="24" t="str">
        <f>IF('ASS END SYNC'!C940="SHOW",FIND(",",'ASS END SYNC'!E940,1),"")</f>
        <v/>
      </c>
      <c r="P936" s="24" t="str">
        <f>IF('ASS END SYNC'!C940="SHOW",FIND(",",'ASS END SYNC'!E940,O936+1),"")</f>
        <v/>
      </c>
      <c r="Q936" s="24" t="str">
        <f>IF('ASS END SYNC'!C940="SHOW",FIND(",",'ASS END SYNC'!E940,P936+1),"")</f>
        <v/>
      </c>
      <c r="R936" s="25" t="str">
        <f>IF('ASS END SYNC'!C940="SHOW",FIND(",,",'ASS END SYNC'!E940,1),"")</f>
        <v/>
      </c>
      <c r="S936" s="25" t="str">
        <f>IF('ASS END SYNC'!C940="SHOW",FIND(",,",'ASS END SYNC'!E940,R936+1),"")</f>
        <v/>
      </c>
      <c r="T936" s="23" t="str">
        <f>IF('ASS END SYNC'!C940="SHOW",LEFT('ASS END SYNC'!E940,O936),"")</f>
        <v/>
      </c>
      <c r="U936" s="24" t="str">
        <f>IF('ASS END SYNC'!C940="SHOW",MID('ASS END SYNC'!E940,O936+1,P936-O936-1),"")</f>
        <v/>
      </c>
      <c r="V936" s="24" t="str">
        <f>IF(AND('ASS END SYNC'!C940="SHOW",'ASS END SYNC'!C941="SHOW"),U937,IF(AND('ASS END SYNC'!C940="SHOW",'ASS END SYNC'!C941&lt;&gt;"SHOW"),MID('ASS END SYNC'!E940,O936+1,P936-O936-1),""))</f>
        <v/>
      </c>
      <c r="W936" s="23" t="str">
        <f>IF('ASS END SYNC'!C940="SHOW",MID('ASS END SYNC'!E940,Q936+1,S936-Q936+1),"")</f>
        <v/>
      </c>
      <c r="X936" s="23" t="str">
        <f>IF('ASS END SYNC'!C940="SHOW",MID('ASS END SYNC'!E940,S936+2,1000),"")</f>
        <v/>
      </c>
      <c r="Z936" s="24"/>
    </row>
    <row r="937" spans="1:26" x14ac:dyDescent="0.25">
      <c r="A937" s="26">
        <v>934</v>
      </c>
      <c r="B937" s="24" t="str">
        <f>IF('ASS START SYNC'!C941="SHOW",FIND(",",'ASS START SYNC'!E941,1),"")</f>
        <v/>
      </c>
      <c r="C937" s="24" t="str">
        <f>IF('ASS START SYNC'!C941="SHOW",FIND(",",'ASS START SYNC'!E941,B937+1),"")</f>
        <v/>
      </c>
      <c r="D937" s="24" t="str">
        <f>IF('ASS START SYNC'!C941="SHOW",FIND(",",'ASS START SYNC'!E941,C937+1),"")</f>
        <v/>
      </c>
      <c r="E937" s="25" t="str">
        <f>IF('ASS START SYNC'!C941="SHOW",FIND(",,",'ASS START SYNC'!E941,1),"")</f>
        <v/>
      </c>
      <c r="F937" s="25" t="str">
        <f>IF('ASS START SYNC'!C941="SHOW",FIND(",,",'ASS START SYNC'!E941,E937+1),"")</f>
        <v/>
      </c>
      <c r="G937" s="23" t="str">
        <f>IF('ASS START SYNC'!C941="SHOW",LEFT('ASS START SYNC'!E941,B937),"")</f>
        <v/>
      </c>
      <c r="H937" s="24" t="str">
        <f>IF(AND('ASS START SYNC'!C941="SHOW",COUNTA('ASS START SYNC'!$E$8:'ASS START SYNC'!E940)=0),MID('ASS START SYNC'!E941,B937+1,C937-B937-1),IF(AND('ASS START SYNC'!C941="SHOW",COUNTA('ASS START SYNC'!$E$8:'ASS START SYNC'!E940)&lt;&gt;0),I936,""))</f>
        <v/>
      </c>
      <c r="I937" s="24" t="str">
        <f>IF('ASS START SYNC'!C941="SHOW",MID('ASS START SYNC'!E941,C937+1,D937-C937-1),I936)</f>
        <v/>
      </c>
      <c r="J937" s="23" t="str">
        <f>IF('ASS START SYNC'!C941="SHOW",MID('ASS START SYNC'!E941,D937+1,F937-D937+1),"")</f>
        <v/>
      </c>
      <c r="K937" s="23" t="str">
        <f>IF('ASS START SYNC'!C941="SHOW",MID('ASS START SYNC'!E941,F937+2,1000),"")</f>
        <v/>
      </c>
      <c r="M937" s="24"/>
      <c r="N937" s="26">
        <v>934</v>
      </c>
      <c r="O937" s="24" t="str">
        <f>IF('ASS END SYNC'!C941="SHOW",FIND(",",'ASS END SYNC'!E941,1),"")</f>
        <v/>
      </c>
      <c r="P937" s="24" t="str">
        <f>IF('ASS END SYNC'!C941="SHOW",FIND(",",'ASS END SYNC'!E941,O937+1),"")</f>
        <v/>
      </c>
      <c r="Q937" s="24" t="str">
        <f>IF('ASS END SYNC'!C941="SHOW",FIND(",",'ASS END SYNC'!E941,P937+1),"")</f>
        <v/>
      </c>
      <c r="R937" s="25" t="str">
        <f>IF('ASS END SYNC'!C941="SHOW",FIND(",,",'ASS END SYNC'!E941,1),"")</f>
        <v/>
      </c>
      <c r="S937" s="25" t="str">
        <f>IF('ASS END SYNC'!C941="SHOW",FIND(",,",'ASS END SYNC'!E941,R937+1),"")</f>
        <v/>
      </c>
      <c r="T937" s="23" t="str">
        <f>IF('ASS END SYNC'!C941="SHOW",LEFT('ASS END SYNC'!E941,O937),"")</f>
        <v/>
      </c>
      <c r="U937" s="24" t="str">
        <f>IF('ASS END SYNC'!C941="SHOW",MID('ASS END SYNC'!E941,O937+1,P937-O937-1),"")</f>
        <v/>
      </c>
      <c r="V937" s="24" t="str">
        <f>IF(AND('ASS END SYNC'!C941="SHOW",'ASS END SYNC'!C942="SHOW"),U938,IF(AND('ASS END SYNC'!C941="SHOW",'ASS END SYNC'!C942&lt;&gt;"SHOW"),MID('ASS END SYNC'!E941,O937+1,P937-O937-1),""))</f>
        <v/>
      </c>
      <c r="W937" s="23" t="str">
        <f>IF('ASS END SYNC'!C941="SHOW",MID('ASS END SYNC'!E941,Q937+1,S937-Q937+1),"")</f>
        <v/>
      </c>
      <c r="X937" s="23" t="str">
        <f>IF('ASS END SYNC'!C941="SHOW",MID('ASS END SYNC'!E941,S937+2,1000),"")</f>
        <v/>
      </c>
      <c r="Z937" s="24"/>
    </row>
    <row r="938" spans="1:26" x14ac:dyDescent="0.25">
      <c r="A938" s="26">
        <v>935</v>
      </c>
      <c r="B938" s="24" t="str">
        <f>IF('ASS START SYNC'!C942="SHOW",FIND(",",'ASS START SYNC'!E942,1),"")</f>
        <v/>
      </c>
      <c r="C938" s="24" t="str">
        <f>IF('ASS START SYNC'!C942="SHOW",FIND(",",'ASS START SYNC'!E942,B938+1),"")</f>
        <v/>
      </c>
      <c r="D938" s="24" t="str">
        <f>IF('ASS START SYNC'!C942="SHOW",FIND(",",'ASS START SYNC'!E942,C938+1),"")</f>
        <v/>
      </c>
      <c r="E938" s="25" t="str">
        <f>IF('ASS START SYNC'!C942="SHOW",FIND(",,",'ASS START SYNC'!E942,1),"")</f>
        <v/>
      </c>
      <c r="F938" s="25" t="str">
        <f>IF('ASS START SYNC'!C942="SHOW",FIND(",,",'ASS START SYNC'!E942,E938+1),"")</f>
        <v/>
      </c>
      <c r="G938" s="23" t="str">
        <f>IF('ASS START SYNC'!C942="SHOW",LEFT('ASS START SYNC'!E942,B938),"")</f>
        <v/>
      </c>
      <c r="H938" s="24" t="str">
        <f>IF(AND('ASS START SYNC'!C942="SHOW",COUNTA('ASS START SYNC'!$E$8:'ASS START SYNC'!E941)=0),MID('ASS START SYNC'!E942,B938+1,C938-B938-1),IF(AND('ASS START SYNC'!C942="SHOW",COUNTA('ASS START SYNC'!$E$8:'ASS START SYNC'!E941)&lt;&gt;0),I937,""))</f>
        <v/>
      </c>
      <c r="I938" s="24" t="str">
        <f>IF('ASS START SYNC'!C942="SHOW",MID('ASS START SYNC'!E942,C938+1,D938-C938-1),I937)</f>
        <v/>
      </c>
      <c r="J938" s="23" t="str">
        <f>IF('ASS START SYNC'!C942="SHOW",MID('ASS START SYNC'!E942,D938+1,F938-D938+1),"")</f>
        <v/>
      </c>
      <c r="K938" s="23" t="str">
        <f>IF('ASS START SYNC'!C942="SHOW",MID('ASS START SYNC'!E942,F938+2,1000),"")</f>
        <v/>
      </c>
      <c r="M938" s="24"/>
      <c r="N938" s="26">
        <v>935</v>
      </c>
      <c r="O938" s="24" t="str">
        <f>IF('ASS END SYNC'!C942="SHOW",FIND(",",'ASS END SYNC'!E942,1),"")</f>
        <v/>
      </c>
      <c r="P938" s="24" t="str">
        <f>IF('ASS END SYNC'!C942="SHOW",FIND(",",'ASS END SYNC'!E942,O938+1),"")</f>
        <v/>
      </c>
      <c r="Q938" s="24" t="str">
        <f>IF('ASS END SYNC'!C942="SHOW",FIND(",",'ASS END SYNC'!E942,P938+1),"")</f>
        <v/>
      </c>
      <c r="R938" s="25" t="str">
        <f>IF('ASS END SYNC'!C942="SHOW",FIND(",,",'ASS END SYNC'!E942,1),"")</f>
        <v/>
      </c>
      <c r="S938" s="25" t="str">
        <f>IF('ASS END SYNC'!C942="SHOW",FIND(",,",'ASS END SYNC'!E942,R938+1),"")</f>
        <v/>
      </c>
      <c r="T938" s="23" t="str">
        <f>IF('ASS END SYNC'!C942="SHOW",LEFT('ASS END SYNC'!E942,O938),"")</f>
        <v/>
      </c>
      <c r="U938" s="24" t="str">
        <f>IF('ASS END SYNC'!C942="SHOW",MID('ASS END SYNC'!E942,O938+1,P938-O938-1),"")</f>
        <v/>
      </c>
      <c r="V938" s="24" t="str">
        <f>IF(AND('ASS END SYNC'!C942="SHOW",'ASS END SYNC'!C943="SHOW"),U939,IF(AND('ASS END SYNC'!C942="SHOW",'ASS END SYNC'!C943&lt;&gt;"SHOW"),MID('ASS END SYNC'!E942,O938+1,P938-O938-1),""))</f>
        <v/>
      </c>
      <c r="W938" s="23" t="str">
        <f>IF('ASS END SYNC'!C942="SHOW",MID('ASS END SYNC'!E942,Q938+1,S938-Q938+1),"")</f>
        <v/>
      </c>
      <c r="X938" s="23" t="str">
        <f>IF('ASS END SYNC'!C942="SHOW",MID('ASS END SYNC'!E942,S938+2,1000),"")</f>
        <v/>
      </c>
      <c r="Z938" s="24"/>
    </row>
    <row r="939" spans="1:26" x14ac:dyDescent="0.25">
      <c r="A939" s="26">
        <v>936</v>
      </c>
      <c r="B939" s="24" t="str">
        <f>IF('ASS START SYNC'!C943="SHOW",FIND(",",'ASS START SYNC'!E943,1),"")</f>
        <v/>
      </c>
      <c r="C939" s="24" t="str">
        <f>IF('ASS START SYNC'!C943="SHOW",FIND(",",'ASS START SYNC'!E943,B939+1),"")</f>
        <v/>
      </c>
      <c r="D939" s="24" t="str">
        <f>IF('ASS START SYNC'!C943="SHOW",FIND(",",'ASS START SYNC'!E943,C939+1),"")</f>
        <v/>
      </c>
      <c r="E939" s="25" t="str">
        <f>IF('ASS START SYNC'!C943="SHOW",FIND(",,",'ASS START SYNC'!E943,1),"")</f>
        <v/>
      </c>
      <c r="F939" s="25" t="str">
        <f>IF('ASS START SYNC'!C943="SHOW",FIND(",,",'ASS START SYNC'!E943,E939+1),"")</f>
        <v/>
      </c>
      <c r="G939" s="23" t="str">
        <f>IF('ASS START SYNC'!C943="SHOW",LEFT('ASS START SYNC'!E943,B939),"")</f>
        <v/>
      </c>
      <c r="H939" s="24" t="str">
        <f>IF(AND('ASS START SYNC'!C943="SHOW",COUNTA('ASS START SYNC'!$E$8:'ASS START SYNC'!E942)=0),MID('ASS START SYNC'!E943,B939+1,C939-B939-1),IF(AND('ASS START SYNC'!C943="SHOW",COUNTA('ASS START SYNC'!$E$8:'ASS START SYNC'!E942)&lt;&gt;0),I938,""))</f>
        <v/>
      </c>
      <c r="I939" s="24" t="str">
        <f>IF('ASS START SYNC'!C943="SHOW",MID('ASS START SYNC'!E943,C939+1,D939-C939-1),I938)</f>
        <v/>
      </c>
      <c r="J939" s="23" t="str">
        <f>IF('ASS START SYNC'!C943="SHOW",MID('ASS START SYNC'!E943,D939+1,F939-D939+1),"")</f>
        <v/>
      </c>
      <c r="K939" s="23" t="str">
        <f>IF('ASS START SYNC'!C943="SHOW",MID('ASS START SYNC'!E943,F939+2,1000),"")</f>
        <v/>
      </c>
      <c r="M939" s="24"/>
      <c r="N939" s="26">
        <v>936</v>
      </c>
      <c r="O939" s="24" t="str">
        <f>IF('ASS END SYNC'!C943="SHOW",FIND(",",'ASS END SYNC'!E943,1),"")</f>
        <v/>
      </c>
      <c r="P939" s="24" t="str">
        <f>IF('ASS END SYNC'!C943="SHOW",FIND(",",'ASS END SYNC'!E943,O939+1),"")</f>
        <v/>
      </c>
      <c r="Q939" s="24" t="str">
        <f>IF('ASS END SYNC'!C943="SHOW",FIND(",",'ASS END SYNC'!E943,P939+1),"")</f>
        <v/>
      </c>
      <c r="R939" s="25" t="str">
        <f>IF('ASS END SYNC'!C943="SHOW",FIND(",,",'ASS END SYNC'!E943,1),"")</f>
        <v/>
      </c>
      <c r="S939" s="25" t="str">
        <f>IF('ASS END SYNC'!C943="SHOW",FIND(",,",'ASS END SYNC'!E943,R939+1),"")</f>
        <v/>
      </c>
      <c r="T939" s="23" t="str">
        <f>IF('ASS END SYNC'!C943="SHOW",LEFT('ASS END SYNC'!E943,O939),"")</f>
        <v/>
      </c>
      <c r="U939" s="24" t="str">
        <f>IF('ASS END SYNC'!C943="SHOW",MID('ASS END SYNC'!E943,O939+1,P939-O939-1),"")</f>
        <v/>
      </c>
      <c r="V939" s="24" t="str">
        <f>IF(AND('ASS END SYNC'!C943="SHOW",'ASS END SYNC'!C944="SHOW"),U940,IF(AND('ASS END SYNC'!C943="SHOW",'ASS END SYNC'!C944&lt;&gt;"SHOW"),MID('ASS END SYNC'!E943,O939+1,P939-O939-1),""))</f>
        <v/>
      </c>
      <c r="W939" s="23" t="str">
        <f>IF('ASS END SYNC'!C943="SHOW",MID('ASS END SYNC'!E943,Q939+1,S939-Q939+1),"")</f>
        <v/>
      </c>
      <c r="X939" s="23" t="str">
        <f>IF('ASS END SYNC'!C943="SHOW",MID('ASS END SYNC'!E943,S939+2,1000),"")</f>
        <v/>
      </c>
      <c r="Z939" s="24"/>
    </row>
    <row r="940" spans="1:26" x14ac:dyDescent="0.25">
      <c r="A940" s="26">
        <v>937</v>
      </c>
      <c r="B940" s="24" t="str">
        <f>IF('ASS START SYNC'!C944="SHOW",FIND(",",'ASS START SYNC'!E944,1),"")</f>
        <v/>
      </c>
      <c r="C940" s="24" t="str">
        <f>IF('ASS START SYNC'!C944="SHOW",FIND(",",'ASS START SYNC'!E944,B940+1),"")</f>
        <v/>
      </c>
      <c r="D940" s="24" t="str">
        <f>IF('ASS START SYNC'!C944="SHOW",FIND(",",'ASS START SYNC'!E944,C940+1),"")</f>
        <v/>
      </c>
      <c r="E940" s="25" t="str">
        <f>IF('ASS START SYNC'!C944="SHOW",FIND(",,",'ASS START SYNC'!E944,1),"")</f>
        <v/>
      </c>
      <c r="F940" s="25" t="str">
        <f>IF('ASS START SYNC'!C944="SHOW",FIND(",,",'ASS START SYNC'!E944,E940+1),"")</f>
        <v/>
      </c>
      <c r="G940" s="23" t="str">
        <f>IF('ASS START SYNC'!C944="SHOW",LEFT('ASS START SYNC'!E944,B940),"")</f>
        <v/>
      </c>
      <c r="H940" s="24" t="str">
        <f>IF(AND('ASS START SYNC'!C944="SHOW",COUNTA('ASS START SYNC'!$E$8:'ASS START SYNC'!E943)=0),MID('ASS START SYNC'!E944,B940+1,C940-B940-1),IF(AND('ASS START SYNC'!C944="SHOW",COUNTA('ASS START SYNC'!$E$8:'ASS START SYNC'!E943)&lt;&gt;0),I939,""))</f>
        <v/>
      </c>
      <c r="I940" s="24" t="str">
        <f>IF('ASS START SYNC'!C944="SHOW",MID('ASS START SYNC'!E944,C940+1,D940-C940-1),I939)</f>
        <v/>
      </c>
      <c r="J940" s="23" t="str">
        <f>IF('ASS START SYNC'!C944="SHOW",MID('ASS START SYNC'!E944,D940+1,F940-D940+1),"")</f>
        <v/>
      </c>
      <c r="K940" s="23" t="str">
        <f>IF('ASS START SYNC'!C944="SHOW",MID('ASS START SYNC'!E944,F940+2,1000),"")</f>
        <v/>
      </c>
      <c r="M940" s="24"/>
      <c r="N940" s="26">
        <v>937</v>
      </c>
      <c r="O940" s="24" t="str">
        <f>IF('ASS END SYNC'!C944="SHOW",FIND(",",'ASS END SYNC'!E944,1),"")</f>
        <v/>
      </c>
      <c r="P940" s="24" t="str">
        <f>IF('ASS END SYNC'!C944="SHOW",FIND(",",'ASS END SYNC'!E944,O940+1),"")</f>
        <v/>
      </c>
      <c r="Q940" s="24" t="str">
        <f>IF('ASS END SYNC'!C944="SHOW",FIND(",",'ASS END SYNC'!E944,P940+1),"")</f>
        <v/>
      </c>
      <c r="R940" s="25" t="str">
        <f>IF('ASS END SYNC'!C944="SHOW",FIND(",,",'ASS END SYNC'!E944,1),"")</f>
        <v/>
      </c>
      <c r="S940" s="25" t="str">
        <f>IF('ASS END SYNC'!C944="SHOW",FIND(",,",'ASS END SYNC'!E944,R940+1),"")</f>
        <v/>
      </c>
      <c r="T940" s="23" t="str">
        <f>IF('ASS END SYNC'!C944="SHOW",LEFT('ASS END SYNC'!E944,O940),"")</f>
        <v/>
      </c>
      <c r="U940" s="24" t="str">
        <f>IF('ASS END SYNC'!C944="SHOW",MID('ASS END SYNC'!E944,O940+1,P940-O940-1),"")</f>
        <v/>
      </c>
      <c r="V940" s="24" t="str">
        <f>IF(AND('ASS END SYNC'!C944="SHOW",'ASS END SYNC'!C945="SHOW"),U941,IF(AND('ASS END SYNC'!C944="SHOW",'ASS END SYNC'!C945&lt;&gt;"SHOW"),MID('ASS END SYNC'!E944,O940+1,P940-O940-1),""))</f>
        <v/>
      </c>
      <c r="W940" s="23" t="str">
        <f>IF('ASS END SYNC'!C944="SHOW",MID('ASS END SYNC'!E944,Q940+1,S940-Q940+1),"")</f>
        <v/>
      </c>
      <c r="X940" s="23" t="str">
        <f>IF('ASS END SYNC'!C944="SHOW",MID('ASS END SYNC'!E944,S940+2,1000),"")</f>
        <v/>
      </c>
      <c r="Z940" s="24"/>
    </row>
    <row r="941" spans="1:26" x14ac:dyDescent="0.25">
      <c r="A941" s="26">
        <v>938</v>
      </c>
      <c r="B941" s="24" t="str">
        <f>IF('ASS START SYNC'!C945="SHOW",FIND(",",'ASS START SYNC'!E945,1),"")</f>
        <v/>
      </c>
      <c r="C941" s="24" t="str">
        <f>IF('ASS START SYNC'!C945="SHOW",FIND(",",'ASS START SYNC'!E945,B941+1),"")</f>
        <v/>
      </c>
      <c r="D941" s="24" t="str">
        <f>IF('ASS START SYNC'!C945="SHOW",FIND(",",'ASS START SYNC'!E945,C941+1),"")</f>
        <v/>
      </c>
      <c r="E941" s="25" t="str">
        <f>IF('ASS START SYNC'!C945="SHOW",FIND(",,",'ASS START SYNC'!E945,1),"")</f>
        <v/>
      </c>
      <c r="F941" s="25" t="str">
        <f>IF('ASS START SYNC'!C945="SHOW",FIND(",,",'ASS START SYNC'!E945,E941+1),"")</f>
        <v/>
      </c>
      <c r="G941" s="23" t="str">
        <f>IF('ASS START SYNC'!C945="SHOW",LEFT('ASS START SYNC'!E945,B941),"")</f>
        <v/>
      </c>
      <c r="H941" s="24" t="str">
        <f>IF(AND('ASS START SYNC'!C945="SHOW",COUNTA('ASS START SYNC'!$E$8:'ASS START SYNC'!E944)=0),MID('ASS START SYNC'!E945,B941+1,C941-B941-1),IF(AND('ASS START SYNC'!C945="SHOW",COUNTA('ASS START SYNC'!$E$8:'ASS START SYNC'!E944)&lt;&gt;0),I940,""))</f>
        <v/>
      </c>
      <c r="I941" s="24" t="str">
        <f>IF('ASS START SYNC'!C945="SHOW",MID('ASS START SYNC'!E945,C941+1,D941-C941-1),I940)</f>
        <v/>
      </c>
      <c r="J941" s="23" t="str">
        <f>IF('ASS START SYNC'!C945="SHOW",MID('ASS START SYNC'!E945,D941+1,F941-D941+1),"")</f>
        <v/>
      </c>
      <c r="K941" s="23" t="str">
        <f>IF('ASS START SYNC'!C945="SHOW",MID('ASS START SYNC'!E945,F941+2,1000),"")</f>
        <v/>
      </c>
      <c r="M941" s="24"/>
      <c r="N941" s="26">
        <v>938</v>
      </c>
      <c r="O941" s="24" t="str">
        <f>IF('ASS END SYNC'!C945="SHOW",FIND(",",'ASS END SYNC'!E945,1),"")</f>
        <v/>
      </c>
      <c r="P941" s="24" t="str">
        <f>IF('ASS END SYNC'!C945="SHOW",FIND(",",'ASS END SYNC'!E945,O941+1),"")</f>
        <v/>
      </c>
      <c r="Q941" s="24" t="str">
        <f>IF('ASS END SYNC'!C945="SHOW",FIND(",",'ASS END SYNC'!E945,P941+1),"")</f>
        <v/>
      </c>
      <c r="R941" s="25" t="str">
        <f>IF('ASS END SYNC'!C945="SHOW",FIND(",,",'ASS END SYNC'!E945,1),"")</f>
        <v/>
      </c>
      <c r="S941" s="25" t="str">
        <f>IF('ASS END SYNC'!C945="SHOW",FIND(",,",'ASS END SYNC'!E945,R941+1),"")</f>
        <v/>
      </c>
      <c r="T941" s="23" t="str">
        <f>IF('ASS END SYNC'!C945="SHOW",LEFT('ASS END SYNC'!E945,O941),"")</f>
        <v/>
      </c>
      <c r="U941" s="24" t="str">
        <f>IF('ASS END SYNC'!C945="SHOW",MID('ASS END SYNC'!E945,O941+1,P941-O941-1),"")</f>
        <v/>
      </c>
      <c r="V941" s="24" t="str">
        <f>IF(AND('ASS END SYNC'!C945="SHOW",'ASS END SYNC'!C946="SHOW"),U942,IF(AND('ASS END SYNC'!C945="SHOW",'ASS END SYNC'!C946&lt;&gt;"SHOW"),MID('ASS END SYNC'!E945,O941+1,P941-O941-1),""))</f>
        <v/>
      </c>
      <c r="W941" s="23" t="str">
        <f>IF('ASS END SYNC'!C945="SHOW",MID('ASS END SYNC'!E945,Q941+1,S941-Q941+1),"")</f>
        <v/>
      </c>
      <c r="X941" s="23" t="str">
        <f>IF('ASS END SYNC'!C945="SHOW",MID('ASS END SYNC'!E945,S941+2,1000),"")</f>
        <v/>
      </c>
      <c r="Z941" s="24"/>
    </row>
    <row r="942" spans="1:26" x14ac:dyDescent="0.25">
      <c r="A942" s="26">
        <v>939</v>
      </c>
      <c r="B942" s="24" t="str">
        <f>IF('ASS START SYNC'!C946="SHOW",FIND(",",'ASS START SYNC'!E946,1),"")</f>
        <v/>
      </c>
      <c r="C942" s="24" t="str">
        <f>IF('ASS START SYNC'!C946="SHOW",FIND(",",'ASS START SYNC'!E946,B942+1),"")</f>
        <v/>
      </c>
      <c r="D942" s="24" t="str">
        <f>IF('ASS START SYNC'!C946="SHOW",FIND(",",'ASS START SYNC'!E946,C942+1),"")</f>
        <v/>
      </c>
      <c r="E942" s="25" t="str">
        <f>IF('ASS START SYNC'!C946="SHOW",FIND(",,",'ASS START SYNC'!E946,1),"")</f>
        <v/>
      </c>
      <c r="F942" s="25" t="str">
        <f>IF('ASS START SYNC'!C946="SHOW",FIND(",,",'ASS START SYNC'!E946,E942+1),"")</f>
        <v/>
      </c>
      <c r="G942" s="23" t="str">
        <f>IF('ASS START SYNC'!C946="SHOW",LEFT('ASS START SYNC'!E946,B942),"")</f>
        <v/>
      </c>
      <c r="H942" s="24" t="str">
        <f>IF(AND('ASS START SYNC'!C946="SHOW",COUNTA('ASS START SYNC'!$E$8:'ASS START SYNC'!E945)=0),MID('ASS START SYNC'!E946,B942+1,C942-B942-1),IF(AND('ASS START SYNC'!C946="SHOW",COUNTA('ASS START SYNC'!$E$8:'ASS START SYNC'!E945)&lt;&gt;0),I941,""))</f>
        <v/>
      </c>
      <c r="I942" s="24" t="str">
        <f>IF('ASS START SYNC'!C946="SHOW",MID('ASS START SYNC'!E946,C942+1,D942-C942-1),I941)</f>
        <v/>
      </c>
      <c r="J942" s="23" t="str">
        <f>IF('ASS START SYNC'!C946="SHOW",MID('ASS START SYNC'!E946,D942+1,F942-D942+1),"")</f>
        <v/>
      </c>
      <c r="K942" s="23" t="str">
        <f>IF('ASS START SYNC'!C946="SHOW",MID('ASS START SYNC'!E946,F942+2,1000),"")</f>
        <v/>
      </c>
      <c r="M942" s="24"/>
      <c r="N942" s="26">
        <v>939</v>
      </c>
      <c r="O942" s="24" t="str">
        <f>IF('ASS END SYNC'!C946="SHOW",FIND(",",'ASS END SYNC'!E946,1),"")</f>
        <v/>
      </c>
      <c r="P942" s="24" t="str">
        <f>IF('ASS END SYNC'!C946="SHOW",FIND(",",'ASS END SYNC'!E946,O942+1),"")</f>
        <v/>
      </c>
      <c r="Q942" s="24" t="str">
        <f>IF('ASS END SYNC'!C946="SHOW",FIND(",",'ASS END SYNC'!E946,P942+1),"")</f>
        <v/>
      </c>
      <c r="R942" s="25" t="str">
        <f>IF('ASS END SYNC'!C946="SHOW",FIND(",,",'ASS END SYNC'!E946,1),"")</f>
        <v/>
      </c>
      <c r="S942" s="25" t="str">
        <f>IF('ASS END SYNC'!C946="SHOW",FIND(",,",'ASS END SYNC'!E946,R942+1),"")</f>
        <v/>
      </c>
      <c r="T942" s="23" t="str">
        <f>IF('ASS END SYNC'!C946="SHOW",LEFT('ASS END SYNC'!E946,O942),"")</f>
        <v/>
      </c>
      <c r="U942" s="24" t="str">
        <f>IF('ASS END SYNC'!C946="SHOW",MID('ASS END SYNC'!E946,O942+1,P942-O942-1),"")</f>
        <v/>
      </c>
      <c r="V942" s="24" t="str">
        <f>IF(AND('ASS END SYNC'!C946="SHOW",'ASS END SYNC'!C947="SHOW"),U943,IF(AND('ASS END SYNC'!C946="SHOW",'ASS END SYNC'!C947&lt;&gt;"SHOW"),MID('ASS END SYNC'!E946,O942+1,P942-O942-1),""))</f>
        <v/>
      </c>
      <c r="W942" s="23" t="str">
        <f>IF('ASS END SYNC'!C946="SHOW",MID('ASS END SYNC'!E946,Q942+1,S942-Q942+1),"")</f>
        <v/>
      </c>
      <c r="X942" s="23" t="str">
        <f>IF('ASS END SYNC'!C946="SHOW",MID('ASS END SYNC'!E946,S942+2,1000),"")</f>
        <v/>
      </c>
      <c r="Z942" s="24"/>
    </row>
    <row r="943" spans="1:26" x14ac:dyDescent="0.25">
      <c r="A943" s="26">
        <v>940</v>
      </c>
      <c r="B943" s="24" t="str">
        <f>IF('ASS START SYNC'!C947="SHOW",FIND(",",'ASS START SYNC'!E947,1),"")</f>
        <v/>
      </c>
      <c r="C943" s="24" t="str">
        <f>IF('ASS START SYNC'!C947="SHOW",FIND(",",'ASS START SYNC'!E947,B943+1),"")</f>
        <v/>
      </c>
      <c r="D943" s="24" t="str">
        <f>IF('ASS START SYNC'!C947="SHOW",FIND(",",'ASS START SYNC'!E947,C943+1),"")</f>
        <v/>
      </c>
      <c r="E943" s="25" t="str">
        <f>IF('ASS START SYNC'!C947="SHOW",FIND(",,",'ASS START SYNC'!E947,1),"")</f>
        <v/>
      </c>
      <c r="F943" s="25" t="str">
        <f>IF('ASS START SYNC'!C947="SHOW",FIND(",,",'ASS START SYNC'!E947,E943+1),"")</f>
        <v/>
      </c>
      <c r="G943" s="23" t="str">
        <f>IF('ASS START SYNC'!C947="SHOW",LEFT('ASS START SYNC'!E947,B943),"")</f>
        <v/>
      </c>
      <c r="H943" s="24" t="str">
        <f>IF(AND('ASS START SYNC'!C947="SHOW",COUNTA('ASS START SYNC'!$E$8:'ASS START SYNC'!E946)=0),MID('ASS START SYNC'!E947,B943+1,C943-B943-1),IF(AND('ASS START SYNC'!C947="SHOW",COUNTA('ASS START SYNC'!$E$8:'ASS START SYNC'!E946)&lt;&gt;0),I942,""))</f>
        <v/>
      </c>
      <c r="I943" s="24" t="str">
        <f>IF('ASS START SYNC'!C947="SHOW",MID('ASS START SYNC'!E947,C943+1,D943-C943-1),I942)</f>
        <v/>
      </c>
      <c r="J943" s="23" t="str">
        <f>IF('ASS START SYNC'!C947="SHOW",MID('ASS START SYNC'!E947,D943+1,F943-D943+1),"")</f>
        <v/>
      </c>
      <c r="K943" s="23" t="str">
        <f>IF('ASS START SYNC'!C947="SHOW",MID('ASS START SYNC'!E947,F943+2,1000),"")</f>
        <v/>
      </c>
      <c r="M943" s="24"/>
      <c r="N943" s="26">
        <v>940</v>
      </c>
      <c r="O943" s="24" t="str">
        <f>IF('ASS END SYNC'!C947="SHOW",FIND(",",'ASS END SYNC'!E947,1),"")</f>
        <v/>
      </c>
      <c r="P943" s="24" t="str">
        <f>IF('ASS END SYNC'!C947="SHOW",FIND(",",'ASS END SYNC'!E947,O943+1),"")</f>
        <v/>
      </c>
      <c r="Q943" s="24" t="str">
        <f>IF('ASS END SYNC'!C947="SHOW",FIND(",",'ASS END SYNC'!E947,P943+1),"")</f>
        <v/>
      </c>
      <c r="R943" s="25" t="str">
        <f>IF('ASS END SYNC'!C947="SHOW",FIND(",,",'ASS END SYNC'!E947,1),"")</f>
        <v/>
      </c>
      <c r="S943" s="25" t="str">
        <f>IF('ASS END SYNC'!C947="SHOW",FIND(",,",'ASS END SYNC'!E947,R943+1),"")</f>
        <v/>
      </c>
      <c r="T943" s="23" t="str">
        <f>IF('ASS END SYNC'!C947="SHOW",LEFT('ASS END SYNC'!E947,O943),"")</f>
        <v/>
      </c>
      <c r="U943" s="24" t="str">
        <f>IF('ASS END SYNC'!C947="SHOW",MID('ASS END SYNC'!E947,O943+1,P943-O943-1),"")</f>
        <v/>
      </c>
      <c r="V943" s="24" t="str">
        <f>IF(AND('ASS END SYNC'!C947="SHOW",'ASS END SYNC'!C948="SHOW"),U944,IF(AND('ASS END SYNC'!C947="SHOW",'ASS END SYNC'!C948&lt;&gt;"SHOW"),MID('ASS END SYNC'!E947,O943+1,P943-O943-1),""))</f>
        <v/>
      </c>
      <c r="W943" s="23" t="str">
        <f>IF('ASS END SYNC'!C947="SHOW",MID('ASS END SYNC'!E947,Q943+1,S943-Q943+1),"")</f>
        <v/>
      </c>
      <c r="X943" s="23" t="str">
        <f>IF('ASS END SYNC'!C947="SHOW",MID('ASS END SYNC'!E947,S943+2,1000),"")</f>
        <v/>
      </c>
      <c r="Z943" s="24"/>
    </row>
    <row r="944" spans="1:26" x14ac:dyDescent="0.25">
      <c r="A944" s="26">
        <v>941</v>
      </c>
      <c r="B944" s="24" t="str">
        <f>IF('ASS START SYNC'!C948="SHOW",FIND(",",'ASS START SYNC'!E948,1),"")</f>
        <v/>
      </c>
      <c r="C944" s="24" t="str">
        <f>IF('ASS START SYNC'!C948="SHOW",FIND(",",'ASS START SYNC'!E948,B944+1),"")</f>
        <v/>
      </c>
      <c r="D944" s="24" t="str">
        <f>IF('ASS START SYNC'!C948="SHOW",FIND(",",'ASS START SYNC'!E948,C944+1),"")</f>
        <v/>
      </c>
      <c r="E944" s="25" t="str">
        <f>IF('ASS START SYNC'!C948="SHOW",FIND(",,",'ASS START SYNC'!E948,1),"")</f>
        <v/>
      </c>
      <c r="F944" s="25" t="str">
        <f>IF('ASS START SYNC'!C948="SHOW",FIND(",,",'ASS START SYNC'!E948,E944+1),"")</f>
        <v/>
      </c>
      <c r="G944" s="23" t="str">
        <f>IF('ASS START SYNC'!C948="SHOW",LEFT('ASS START SYNC'!E948,B944),"")</f>
        <v/>
      </c>
      <c r="H944" s="24" t="str">
        <f>IF(AND('ASS START SYNC'!C948="SHOW",COUNTA('ASS START SYNC'!$E$8:'ASS START SYNC'!E947)=0),MID('ASS START SYNC'!E948,B944+1,C944-B944-1),IF(AND('ASS START SYNC'!C948="SHOW",COUNTA('ASS START SYNC'!$E$8:'ASS START SYNC'!E947)&lt;&gt;0),I943,""))</f>
        <v/>
      </c>
      <c r="I944" s="24" t="str">
        <f>IF('ASS START SYNC'!C948="SHOW",MID('ASS START SYNC'!E948,C944+1,D944-C944-1),I943)</f>
        <v/>
      </c>
      <c r="J944" s="23" t="str">
        <f>IF('ASS START SYNC'!C948="SHOW",MID('ASS START SYNC'!E948,D944+1,F944-D944+1),"")</f>
        <v/>
      </c>
      <c r="K944" s="23" t="str">
        <f>IF('ASS START SYNC'!C948="SHOW",MID('ASS START SYNC'!E948,F944+2,1000),"")</f>
        <v/>
      </c>
      <c r="M944" s="24"/>
      <c r="N944" s="26">
        <v>941</v>
      </c>
      <c r="O944" s="24" t="str">
        <f>IF('ASS END SYNC'!C948="SHOW",FIND(",",'ASS END SYNC'!E948,1),"")</f>
        <v/>
      </c>
      <c r="P944" s="24" t="str">
        <f>IF('ASS END SYNC'!C948="SHOW",FIND(",",'ASS END SYNC'!E948,O944+1),"")</f>
        <v/>
      </c>
      <c r="Q944" s="24" t="str">
        <f>IF('ASS END SYNC'!C948="SHOW",FIND(",",'ASS END SYNC'!E948,P944+1),"")</f>
        <v/>
      </c>
      <c r="R944" s="25" t="str">
        <f>IF('ASS END SYNC'!C948="SHOW",FIND(",,",'ASS END SYNC'!E948,1),"")</f>
        <v/>
      </c>
      <c r="S944" s="25" t="str">
        <f>IF('ASS END SYNC'!C948="SHOW",FIND(",,",'ASS END SYNC'!E948,R944+1),"")</f>
        <v/>
      </c>
      <c r="T944" s="23" t="str">
        <f>IF('ASS END SYNC'!C948="SHOW",LEFT('ASS END SYNC'!E948,O944),"")</f>
        <v/>
      </c>
      <c r="U944" s="24" t="str">
        <f>IF('ASS END SYNC'!C948="SHOW",MID('ASS END SYNC'!E948,O944+1,P944-O944-1),"")</f>
        <v/>
      </c>
      <c r="V944" s="24" t="str">
        <f>IF(AND('ASS END SYNC'!C948="SHOW",'ASS END SYNC'!C949="SHOW"),U945,IF(AND('ASS END SYNC'!C948="SHOW",'ASS END SYNC'!C949&lt;&gt;"SHOW"),MID('ASS END SYNC'!E948,O944+1,P944-O944-1),""))</f>
        <v/>
      </c>
      <c r="W944" s="23" t="str">
        <f>IF('ASS END SYNC'!C948="SHOW",MID('ASS END SYNC'!E948,Q944+1,S944-Q944+1),"")</f>
        <v/>
      </c>
      <c r="X944" s="23" t="str">
        <f>IF('ASS END SYNC'!C948="SHOW",MID('ASS END SYNC'!E948,S944+2,1000),"")</f>
        <v/>
      </c>
      <c r="Z944" s="24"/>
    </row>
    <row r="945" spans="1:26" x14ac:dyDescent="0.25">
      <c r="A945" s="26">
        <v>942</v>
      </c>
      <c r="B945" s="24" t="str">
        <f>IF('ASS START SYNC'!C949="SHOW",FIND(",",'ASS START SYNC'!E949,1),"")</f>
        <v/>
      </c>
      <c r="C945" s="24" t="str">
        <f>IF('ASS START SYNC'!C949="SHOW",FIND(",",'ASS START SYNC'!E949,B945+1),"")</f>
        <v/>
      </c>
      <c r="D945" s="24" t="str">
        <f>IF('ASS START SYNC'!C949="SHOW",FIND(",",'ASS START SYNC'!E949,C945+1),"")</f>
        <v/>
      </c>
      <c r="E945" s="25" t="str">
        <f>IF('ASS START SYNC'!C949="SHOW",FIND(",,",'ASS START SYNC'!E949,1),"")</f>
        <v/>
      </c>
      <c r="F945" s="25" t="str">
        <f>IF('ASS START SYNC'!C949="SHOW",FIND(",,",'ASS START SYNC'!E949,E945+1),"")</f>
        <v/>
      </c>
      <c r="G945" s="23" t="str">
        <f>IF('ASS START SYNC'!C949="SHOW",LEFT('ASS START SYNC'!E949,B945),"")</f>
        <v/>
      </c>
      <c r="H945" s="24" t="str">
        <f>IF(AND('ASS START SYNC'!C949="SHOW",COUNTA('ASS START SYNC'!$E$8:'ASS START SYNC'!E948)=0),MID('ASS START SYNC'!E949,B945+1,C945-B945-1),IF(AND('ASS START SYNC'!C949="SHOW",COUNTA('ASS START SYNC'!$E$8:'ASS START SYNC'!E948)&lt;&gt;0),I944,""))</f>
        <v/>
      </c>
      <c r="I945" s="24" t="str">
        <f>IF('ASS START SYNC'!C949="SHOW",MID('ASS START SYNC'!E949,C945+1,D945-C945-1),I944)</f>
        <v/>
      </c>
      <c r="J945" s="23" t="str">
        <f>IF('ASS START SYNC'!C949="SHOW",MID('ASS START SYNC'!E949,D945+1,F945-D945+1),"")</f>
        <v/>
      </c>
      <c r="K945" s="23" t="str">
        <f>IF('ASS START SYNC'!C949="SHOW",MID('ASS START SYNC'!E949,F945+2,1000),"")</f>
        <v/>
      </c>
      <c r="M945" s="24"/>
      <c r="N945" s="26">
        <v>942</v>
      </c>
      <c r="O945" s="24" t="str">
        <f>IF('ASS END SYNC'!C949="SHOW",FIND(",",'ASS END SYNC'!E949,1),"")</f>
        <v/>
      </c>
      <c r="P945" s="24" t="str">
        <f>IF('ASS END SYNC'!C949="SHOW",FIND(",",'ASS END SYNC'!E949,O945+1),"")</f>
        <v/>
      </c>
      <c r="Q945" s="24" t="str">
        <f>IF('ASS END SYNC'!C949="SHOW",FIND(",",'ASS END SYNC'!E949,P945+1),"")</f>
        <v/>
      </c>
      <c r="R945" s="25" t="str">
        <f>IF('ASS END SYNC'!C949="SHOW",FIND(",,",'ASS END SYNC'!E949,1),"")</f>
        <v/>
      </c>
      <c r="S945" s="25" t="str">
        <f>IF('ASS END SYNC'!C949="SHOW",FIND(",,",'ASS END SYNC'!E949,R945+1),"")</f>
        <v/>
      </c>
      <c r="T945" s="23" t="str">
        <f>IF('ASS END SYNC'!C949="SHOW",LEFT('ASS END SYNC'!E949,O945),"")</f>
        <v/>
      </c>
      <c r="U945" s="24" t="str">
        <f>IF('ASS END SYNC'!C949="SHOW",MID('ASS END SYNC'!E949,O945+1,P945-O945-1),"")</f>
        <v/>
      </c>
      <c r="V945" s="24" t="str">
        <f>IF(AND('ASS END SYNC'!C949="SHOW",'ASS END SYNC'!C950="SHOW"),U946,IF(AND('ASS END SYNC'!C949="SHOW",'ASS END SYNC'!C950&lt;&gt;"SHOW"),MID('ASS END SYNC'!E949,O945+1,P945-O945-1),""))</f>
        <v/>
      </c>
      <c r="W945" s="23" t="str">
        <f>IF('ASS END SYNC'!C949="SHOW",MID('ASS END SYNC'!E949,Q945+1,S945-Q945+1),"")</f>
        <v/>
      </c>
      <c r="X945" s="23" t="str">
        <f>IF('ASS END SYNC'!C949="SHOW",MID('ASS END SYNC'!E949,S945+2,1000),"")</f>
        <v/>
      </c>
      <c r="Z945" s="24"/>
    </row>
    <row r="946" spans="1:26" x14ac:dyDescent="0.25">
      <c r="A946" s="26">
        <v>943</v>
      </c>
      <c r="B946" s="24" t="str">
        <f>IF('ASS START SYNC'!C950="SHOW",FIND(",",'ASS START SYNC'!E950,1),"")</f>
        <v/>
      </c>
      <c r="C946" s="24" t="str">
        <f>IF('ASS START SYNC'!C950="SHOW",FIND(",",'ASS START SYNC'!E950,B946+1),"")</f>
        <v/>
      </c>
      <c r="D946" s="24" t="str">
        <f>IF('ASS START SYNC'!C950="SHOW",FIND(",",'ASS START SYNC'!E950,C946+1),"")</f>
        <v/>
      </c>
      <c r="E946" s="25" t="str">
        <f>IF('ASS START SYNC'!C950="SHOW",FIND(",,",'ASS START SYNC'!E950,1),"")</f>
        <v/>
      </c>
      <c r="F946" s="25" t="str">
        <f>IF('ASS START SYNC'!C950="SHOW",FIND(",,",'ASS START SYNC'!E950,E946+1),"")</f>
        <v/>
      </c>
      <c r="G946" s="23" t="str">
        <f>IF('ASS START SYNC'!C950="SHOW",LEFT('ASS START SYNC'!E950,B946),"")</f>
        <v/>
      </c>
      <c r="H946" s="24" t="str">
        <f>IF(AND('ASS START SYNC'!C950="SHOW",COUNTA('ASS START SYNC'!$E$8:'ASS START SYNC'!E949)=0),MID('ASS START SYNC'!E950,B946+1,C946-B946-1),IF(AND('ASS START SYNC'!C950="SHOW",COUNTA('ASS START SYNC'!$E$8:'ASS START SYNC'!E949)&lt;&gt;0),I945,""))</f>
        <v/>
      </c>
      <c r="I946" s="24" t="str">
        <f>IF('ASS START SYNC'!C950="SHOW",MID('ASS START SYNC'!E950,C946+1,D946-C946-1),I945)</f>
        <v/>
      </c>
      <c r="J946" s="23" t="str">
        <f>IF('ASS START SYNC'!C950="SHOW",MID('ASS START SYNC'!E950,D946+1,F946-D946+1),"")</f>
        <v/>
      </c>
      <c r="K946" s="23" t="str">
        <f>IF('ASS START SYNC'!C950="SHOW",MID('ASS START SYNC'!E950,F946+2,1000),"")</f>
        <v/>
      </c>
      <c r="M946" s="24"/>
      <c r="N946" s="26">
        <v>943</v>
      </c>
      <c r="O946" s="24" t="str">
        <f>IF('ASS END SYNC'!C950="SHOW",FIND(",",'ASS END SYNC'!E950,1),"")</f>
        <v/>
      </c>
      <c r="P946" s="24" t="str">
        <f>IF('ASS END SYNC'!C950="SHOW",FIND(",",'ASS END SYNC'!E950,O946+1),"")</f>
        <v/>
      </c>
      <c r="Q946" s="24" t="str">
        <f>IF('ASS END SYNC'!C950="SHOW",FIND(",",'ASS END SYNC'!E950,P946+1),"")</f>
        <v/>
      </c>
      <c r="R946" s="25" t="str">
        <f>IF('ASS END SYNC'!C950="SHOW",FIND(",,",'ASS END SYNC'!E950,1),"")</f>
        <v/>
      </c>
      <c r="S946" s="25" t="str">
        <f>IF('ASS END SYNC'!C950="SHOW",FIND(",,",'ASS END SYNC'!E950,R946+1),"")</f>
        <v/>
      </c>
      <c r="T946" s="23" t="str">
        <f>IF('ASS END SYNC'!C950="SHOW",LEFT('ASS END SYNC'!E950,O946),"")</f>
        <v/>
      </c>
      <c r="U946" s="24" t="str">
        <f>IF('ASS END SYNC'!C950="SHOW",MID('ASS END SYNC'!E950,O946+1,P946-O946-1),"")</f>
        <v/>
      </c>
      <c r="V946" s="24" t="str">
        <f>IF(AND('ASS END SYNC'!C950="SHOW",'ASS END SYNC'!C951="SHOW"),U947,IF(AND('ASS END SYNC'!C950="SHOW",'ASS END SYNC'!C951&lt;&gt;"SHOW"),MID('ASS END SYNC'!E950,O946+1,P946-O946-1),""))</f>
        <v/>
      </c>
      <c r="W946" s="23" t="str">
        <f>IF('ASS END SYNC'!C950="SHOW",MID('ASS END SYNC'!E950,Q946+1,S946-Q946+1),"")</f>
        <v/>
      </c>
      <c r="X946" s="23" t="str">
        <f>IF('ASS END SYNC'!C950="SHOW",MID('ASS END SYNC'!E950,S946+2,1000),"")</f>
        <v/>
      </c>
      <c r="Z946" s="24"/>
    </row>
    <row r="947" spans="1:26" x14ac:dyDescent="0.25">
      <c r="A947" s="26">
        <v>944</v>
      </c>
      <c r="B947" s="24" t="str">
        <f>IF('ASS START SYNC'!C951="SHOW",FIND(",",'ASS START SYNC'!E951,1),"")</f>
        <v/>
      </c>
      <c r="C947" s="24" t="str">
        <f>IF('ASS START SYNC'!C951="SHOW",FIND(",",'ASS START SYNC'!E951,B947+1),"")</f>
        <v/>
      </c>
      <c r="D947" s="24" t="str">
        <f>IF('ASS START SYNC'!C951="SHOW",FIND(",",'ASS START SYNC'!E951,C947+1),"")</f>
        <v/>
      </c>
      <c r="E947" s="25" t="str">
        <f>IF('ASS START SYNC'!C951="SHOW",FIND(",,",'ASS START SYNC'!E951,1),"")</f>
        <v/>
      </c>
      <c r="F947" s="25" t="str">
        <f>IF('ASS START SYNC'!C951="SHOW",FIND(",,",'ASS START SYNC'!E951,E947+1),"")</f>
        <v/>
      </c>
      <c r="G947" s="23" t="str">
        <f>IF('ASS START SYNC'!C951="SHOW",LEFT('ASS START SYNC'!E951,B947),"")</f>
        <v/>
      </c>
      <c r="H947" s="24" t="str">
        <f>IF(AND('ASS START SYNC'!C951="SHOW",COUNTA('ASS START SYNC'!$E$8:'ASS START SYNC'!E950)=0),MID('ASS START SYNC'!E951,B947+1,C947-B947-1),IF(AND('ASS START SYNC'!C951="SHOW",COUNTA('ASS START SYNC'!$E$8:'ASS START SYNC'!E950)&lt;&gt;0),I946,""))</f>
        <v/>
      </c>
      <c r="I947" s="24" t="str">
        <f>IF('ASS START SYNC'!C951="SHOW",MID('ASS START SYNC'!E951,C947+1,D947-C947-1),I946)</f>
        <v/>
      </c>
      <c r="J947" s="23" t="str">
        <f>IF('ASS START SYNC'!C951="SHOW",MID('ASS START SYNC'!E951,D947+1,F947-D947+1),"")</f>
        <v/>
      </c>
      <c r="K947" s="23" t="str">
        <f>IF('ASS START SYNC'!C951="SHOW",MID('ASS START SYNC'!E951,F947+2,1000),"")</f>
        <v/>
      </c>
      <c r="M947" s="24"/>
      <c r="N947" s="26">
        <v>944</v>
      </c>
      <c r="O947" s="24" t="str">
        <f>IF('ASS END SYNC'!C951="SHOW",FIND(",",'ASS END SYNC'!E951,1),"")</f>
        <v/>
      </c>
      <c r="P947" s="24" t="str">
        <f>IF('ASS END SYNC'!C951="SHOW",FIND(",",'ASS END SYNC'!E951,O947+1),"")</f>
        <v/>
      </c>
      <c r="Q947" s="24" t="str">
        <f>IF('ASS END SYNC'!C951="SHOW",FIND(",",'ASS END SYNC'!E951,P947+1),"")</f>
        <v/>
      </c>
      <c r="R947" s="25" t="str">
        <f>IF('ASS END SYNC'!C951="SHOW",FIND(",,",'ASS END SYNC'!E951,1),"")</f>
        <v/>
      </c>
      <c r="S947" s="25" t="str">
        <f>IF('ASS END SYNC'!C951="SHOW",FIND(",,",'ASS END SYNC'!E951,R947+1),"")</f>
        <v/>
      </c>
      <c r="T947" s="23" t="str">
        <f>IF('ASS END SYNC'!C951="SHOW",LEFT('ASS END SYNC'!E951,O947),"")</f>
        <v/>
      </c>
      <c r="U947" s="24" t="str">
        <f>IF('ASS END SYNC'!C951="SHOW",MID('ASS END SYNC'!E951,O947+1,P947-O947-1),"")</f>
        <v/>
      </c>
      <c r="V947" s="24" t="str">
        <f>IF(AND('ASS END SYNC'!C951="SHOW",'ASS END SYNC'!C952="SHOW"),U948,IF(AND('ASS END SYNC'!C951="SHOW",'ASS END SYNC'!C952&lt;&gt;"SHOW"),MID('ASS END SYNC'!E951,O947+1,P947-O947-1),""))</f>
        <v/>
      </c>
      <c r="W947" s="23" t="str">
        <f>IF('ASS END SYNC'!C951="SHOW",MID('ASS END SYNC'!E951,Q947+1,S947-Q947+1),"")</f>
        <v/>
      </c>
      <c r="X947" s="23" t="str">
        <f>IF('ASS END SYNC'!C951="SHOW",MID('ASS END SYNC'!E951,S947+2,1000),"")</f>
        <v/>
      </c>
      <c r="Z947" s="24"/>
    </row>
    <row r="948" spans="1:26" x14ac:dyDescent="0.25">
      <c r="A948" s="26">
        <v>945</v>
      </c>
      <c r="B948" s="24" t="str">
        <f>IF('ASS START SYNC'!C952="SHOW",FIND(",",'ASS START SYNC'!E952,1),"")</f>
        <v/>
      </c>
      <c r="C948" s="24" t="str">
        <f>IF('ASS START SYNC'!C952="SHOW",FIND(",",'ASS START SYNC'!E952,B948+1),"")</f>
        <v/>
      </c>
      <c r="D948" s="24" t="str">
        <f>IF('ASS START SYNC'!C952="SHOW",FIND(",",'ASS START SYNC'!E952,C948+1),"")</f>
        <v/>
      </c>
      <c r="E948" s="25" t="str">
        <f>IF('ASS START SYNC'!C952="SHOW",FIND(",,",'ASS START SYNC'!E952,1),"")</f>
        <v/>
      </c>
      <c r="F948" s="25" t="str">
        <f>IF('ASS START SYNC'!C952="SHOW",FIND(",,",'ASS START SYNC'!E952,E948+1),"")</f>
        <v/>
      </c>
      <c r="G948" s="23" t="str">
        <f>IF('ASS START SYNC'!C952="SHOW",LEFT('ASS START SYNC'!E952,B948),"")</f>
        <v/>
      </c>
      <c r="H948" s="24" t="str">
        <f>IF(AND('ASS START SYNC'!C952="SHOW",COUNTA('ASS START SYNC'!$E$8:'ASS START SYNC'!E951)=0),MID('ASS START SYNC'!E952,B948+1,C948-B948-1),IF(AND('ASS START SYNC'!C952="SHOW",COUNTA('ASS START SYNC'!$E$8:'ASS START SYNC'!E951)&lt;&gt;0),I947,""))</f>
        <v/>
      </c>
      <c r="I948" s="24" t="str">
        <f>IF('ASS START SYNC'!C952="SHOW",MID('ASS START SYNC'!E952,C948+1,D948-C948-1),I947)</f>
        <v/>
      </c>
      <c r="J948" s="23" t="str">
        <f>IF('ASS START SYNC'!C952="SHOW",MID('ASS START SYNC'!E952,D948+1,F948-D948+1),"")</f>
        <v/>
      </c>
      <c r="K948" s="23" t="str">
        <f>IF('ASS START SYNC'!C952="SHOW",MID('ASS START SYNC'!E952,F948+2,1000),"")</f>
        <v/>
      </c>
      <c r="M948" s="24"/>
      <c r="N948" s="26">
        <v>945</v>
      </c>
      <c r="O948" s="24" t="str">
        <f>IF('ASS END SYNC'!C952="SHOW",FIND(",",'ASS END SYNC'!E952,1),"")</f>
        <v/>
      </c>
      <c r="P948" s="24" t="str">
        <f>IF('ASS END SYNC'!C952="SHOW",FIND(",",'ASS END SYNC'!E952,O948+1),"")</f>
        <v/>
      </c>
      <c r="Q948" s="24" t="str">
        <f>IF('ASS END SYNC'!C952="SHOW",FIND(",",'ASS END SYNC'!E952,P948+1),"")</f>
        <v/>
      </c>
      <c r="R948" s="25" t="str">
        <f>IF('ASS END SYNC'!C952="SHOW",FIND(",,",'ASS END SYNC'!E952,1),"")</f>
        <v/>
      </c>
      <c r="S948" s="25" t="str">
        <f>IF('ASS END SYNC'!C952="SHOW",FIND(",,",'ASS END SYNC'!E952,R948+1),"")</f>
        <v/>
      </c>
      <c r="T948" s="23" t="str">
        <f>IF('ASS END SYNC'!C952="SHOW",LEFT('ASS END SYNC'!E952,O948),"")</f>
        <v/>
      </c>
      <c r="U948" s="24" t="str">
        <f>IF('ASS END SYNC'!C952="SHOW",MID('ASS END SYNC'!E952,O948+1,P948-O948-1),"")</f>
        <v/>
      </c>
      <c r="V948" s="24" t="str">
        <f>IF(AND('ASS END SYNC'!C952="SHOW",'ASS END SYNC'!C953="SHOW"),U949,IF(AND('ASS END SYNC'!C952="SHOW",'ASS END SYNC'!C953&lt;&gt;"SHOW"),MID('ASS END SYNC'!E952,O948+1,P948-O948-1),""))</f>
        <v/>
      </c>
      <c r="W948" s="23" t="str">
        <f>IF('ASS END SYNC'!C952="SHOW",MID('ASS END SYNC'!E952,Q948+1,S948-Q948+1),"")</f>
        <v/>
      </c>
      <c r="X948" s="23" t="str">
        <f>IF('ASS END SYNC'!C952="SHOW",MID('ASS END SYNC'!E952,S948+2,1000),"")</f>
        <v/>
      </c>
      <c r="Z948" s="24"/>
    </row>
    <row r="949" spans="1:26" x14ac:dyDescent="0.25">
      <c r="A949" s="26">
        <v>946</v>
      </c>
      <c r="B949" s="24" t="str">
        <f>IF('ASS START SYNC'!C953="SHOW",FIND(",",'ASS START SYNC'!E953,1),"")</f>
        <v/>
      </c>
      <c r="C949" s="24" t="str">
        <f>IF('ASS START SYNC'!C953="SHOW",FIND(",",'ASS START SYNC'!E953,B949+1),"")</f>
        <v/>
      </c>
      <c r="D949" s="24" t="str">
        <f>IF('ASS START SYNC'!C953="SHOW",FIND(",",'ASS START SYNC'!E953,C949+1),"")</f>
        <v/>
      </c>
      <c r="E949" s="25" t="str">
        <f>IF('ASS START SYNC'!C953="SHOW",FIND(",,",'ASS START SYNC'!E953,1),"")</f>
        <v/>
      </c>
      <c r="F949" s="25" t="str">
        <f>IF('ASS START SYNC'!C953="SHOW",FIND(",,",'ASS START SYNC'!E953,E949+1),"")</f>
        <v/>
      </c>
      <c r="G949" s="23" t="str">
        <f>IF('ASS START SYNC'!C953="SHOW",LEFT('ASS START SYNC'!E953,B949),"")</f>
        <v/>
      </c>
      <c r="H949" s="24" t="str">
        <f>IF(AND('ASS START SYNC'!C953="SHOW",COUNTA('ASS START SYNC'!$E$8:'ASS START SYNC'!E952)=0),MID('ASS START SYNC'!E953,B949+1,C949-B949-1),IF(AND('ASS START SYNC'!C953="SHOW",COUNTA('ASS START SYNC'!$E$8:'ASS START SYNC'!E952)&lt;&gt;0),I948,""))</f>
        <v/>
      </c>
      <c r="I949" s="24" t="str">
        <f>IF('ASS START SYNC'!C953="SHOW",MID('ASS START SYNC'!E953,C949+1,D949-C949-1),I948)</f>
        <v/>
      </c>
      <c r="J949" s="23" t="str">
        <f>IF('ASS START SYNC'!C953="SHOW",MID('ASS START SYNC'!E953,D949+1,F949-D949+1),"")</f>
        <v/>
      </c>
      <c r="K949" s="23" t="str">
        <f>IF('ASS START SYNC'!C953="SHOW",MID('ASS START SYNC'!E953,F949+2,1000),"")</f>
        <v/>
      </c>
      <c r="M949" s="24"/>
      <c r="N949" s="26">
        <v>946</v>
      </c>
      <c r="O949" s="24" t="str">
        <f>IF('ASS END SYNC'!C953="SHOW",FIND(",",'ASS END SYNC'!E953,1),"")</f>
        <v/>
      </c>
      <c r="P949" s="24" t="str">
        <f>IF('ASS END SYNC'!C953="SHOW",FIND(",",'ASS END SYNC'!E953,O949+1),"")</f>
        <v/>
      </c>
      <c r="Q949" s="24" t="str">
        <f>IF('ASS END SYNC'!C953="SHOW",FIND(",",'ASS END SYNC'!E953,P949+1),"")</f>
        <v/>
      </c>
      <c r="R949" s="25" t="str">
        <f>IF('ASS END SYNC'!C953="SHOW",FIND(",,",'ASS END SYNC'!E953,1),"")</f>
        <v/>
      </c>
      <c r="S949" s="25" t="str">
        <f>IF('ASS END SYNC'!C953="SHOW",FIND(",,",'ASS END SYNC'!E953,R949+1),"")</f>
        <v/>
      </c>
      <c r="T949" s="23" t="str">
        <f>IF('ASS END SYNC'!C953="SHOW",LEFT('ASS END SYNC'!E953,O949),"")</f>
        <v/>
      </c>
      <c r="U949" s="24" t="str">
        <f>IF('ASS END SYNC'!C953="SHOW",MID('ASS END SYNC'!E953,O949+1,P949-O949-1),"")</f>
        <v/>
      </c>
      <c r="V949" s="24" t="str">
        <f>IF(AND('ASS END SYNC'!C953="SHOW",'ASS END SYNC'!C954="SHOW"),U950,IF(AND('ASS END SYNC'!C953="SHOW",'ASS END SYNC'!C954&lt;&gt;"SHOW"),MID('ASS END SYNC'!E953,O949+1,P949-O949-1),""))</f>
        <v/>
      </c>
      <c r="W949" s="23" t="str">
        <f>IF('ASS END SYNC'!C953="SHOW",MID('ASS END SYNC'!E953,Q949+1,S949-Q949+1),"")</f>
        <v/>
      </c>
      <c r="X949" s="23" t="str">
        <f>IF('ASS END SYNC'!C953="SHOW",MID('ASS END SYNC'!E953,S949+2,1000),"")</f>
        <v/>
      </c>
      <c r="Z949" s="24"/>
    </row>
    <row r="950" spans="1:26" x14ac:dyDescent="0.25">
      <c r="A950" s="26">
        <v>947</v>
      </c>
      <c r="B950" s="24" t="str">
        <f>IF('ASS START SYNC'!C954="SHOW",FIND(",",'ASS START SYNC'!E954,1),"")</f>
        <v/>
      </c>
      <c r="C950" s="24" t="str">
        <f>IF('ASS START SYNC'!C954="SHOW",FIND(",",'ASS START SYNC'!E954,B950+1),"")</f>
        <v/>
      </c>
      <c r="D950" s="24" t="str">
        <f>IF('ASS START SYNC'!C954="SHOW",FIND(",",'ASS START SYNC'!E954,C950+1),"")</f>
        <v/>
      </c>
      <c r="E950" s="25" t="str">
        <f>IF('ASS START SYNC'!C954="SHOW",FIND(",,",'ASS START SYNC'!E954,1),"")</f>
        <v/>
      </c>
      <c r="F950" s="25" t="str">
        <f>IF('ASS START SYNC'!C954="SHOW",FIND(",,",'ASS START SYNC'!E954,E950+1),"")</f>
        <v/>
      </c>
      <c r="G950" s="23" t="str">
        <f>IF('ASS START SYNC'!C954="SHOW",LEFT('ASS START SYNC'!E954,B950),"")</f>
        <v/>
      </c>
      <c r="H950" s="24" t="str">
        <f>IF(AND('ASS START SYNC'!C954="SHOW",COUNTA('ASS START SYNC'!$E$8:'ASS START SYNC'!E953)=0),MID('ASS START SYNC'!E954,B950+1,C950-B950-1),IF(AND('ASS START SYNC'!C954="SHOW",COUNTA('ASS START SYNC'!$E$8:'ASS START SYNC'!E953)&lt;&gt;0),I949,""))</f>
        <v/>
      </c>
      <c r="I950" s="24" t="str">
        <f>IF('ASS START SYNC'!C954="SHOW",MID('ASS START SYNC'!E954,C950+1,D950-C950-1),I949)</f>
        <v/>
      </c>
      <c r="J950" s="23" t="str">
        <f>IF('ASS START SYNC'!C954="SHOW",MID('ASS START SYNC'!E954,D950+1,F950-D950+1),"")</f>
        <v/>
      </c>
      <c r="K950" s="23" t="str">
        <f>IF('ASS START SYNC'!C954="SHOW",MID('ASS START SYNC'!E954,F950+2,1000),"")</f>
        <v/>
      </c>
      <c r="M950" s="24"/>
      <c r="N950" s="26">
        <v>947</v>
      </c>
      <c r="O950" s="24" t="str">
        <f>IF('ASS END SYNC'!C954="SHOW",FIND(",",'ASS END SYNC'!E954,1),"")</f>
        <v/>
      </c>
      <c r="P950" s="24" t="str">
        <f>IF('ASS END SYNC'!C954="SHOW",FIND(",",'ASS END SYNC'!E954,O950+1),"")</f>
        <v/>
      </c>
      <c r="Q950" s="24" t="str">
        <f>IF('ASS END SYNC'!C954="SHOW",FIND(",",'ASS END SYNC'!E954,P950+1),"")</f>
        <v/>
      </c>
      <c r="R950" s="25" t="str">
        <f>IF('ASS END SYNC'!C954="SHOW",FIND(",,",'ASS END SYNC'!E954,1),"")</f>
        <v/>
      </c>
      <c r="S950" s="25" t="str">
        <f>IF('ASS END SYNC'!C954="SHOW",FIND(",,",'ASS END SYNC'!E954,R950+1),"")</f>
        <v/>
      </c>
      <c r="T950" s="23" t="str">
        <f>IF('ASS END SYNC'!C954="SHOW",LEFT('ASS END SYNC'!E954,O950),"")</f>
        <v/>
      </c>
      <c r="U950" s="24" t="str">
        <f>IF('ASS END SYNC'!C954="SHOW",MID('ASS END SYNC'!E954,O950+1,P950-O950-1),"")</f>
        <v/>
      </c>
      <c r="V950" s="24" t="str">
        <f>IF(AND('ASS END SYNC'!C954="SHOW",'ASS END SYNC'!C955="SHOW"),U951,IF(AND('ASS END SYNC'!C954="SHOW",'ASS END SYNC'!C955&lt;&gt;"SHOW"),MID('ASS END SYNC'!E954,O950+1,P950-O950-1),""))</f>
        <v/>
      </c>
      <c r="W950" s="23" t="str">
        <f>IF('ASS END SYNC'!C954="SHOW",MID('ASS END SYNC'!E954,Q950+1,S950-Q950+1),"")</f>
        <v/>
      </c>
      <c r="X950" s="23" t="str">
        <f>IF('ASS END SYNC'!C954="SHOW",MID('ASS END SYNC'!E954,S950+2,1000),"")</f>
        <v/>
      </c>
      <c r="Z950" s="24"/>
    </row>
    <row r="951" spans="1:26" x14ac:dyDescent="0.25">
      <c r="A951" s="26">
        <v>948</v>
      </c>
      <c r="B951" s="24" t="str">
        <f>IF('ASS START SYNC'!C955="SHOW",FIND(",",'ASS START SYNC'!E955,1),"")</f>
        <v/>
      </c>
      <c r="C951" s="24" t="str">
        <f>IF('ASS START SYNC'!C955="SHOW",FIND(",",'ASS START SYNC'!E955,B951+1),"")</f>
        <v/>
      </c>
      <c r="D951" s="24" t="str">
        <f>IF('ASS START SYNC'!C955="SHOW",FIND(",",'ASS START SYNC'!E955,C951+1),"")</f>
        <v/>
      </c>
      <c r="E951" s="25" t="str">
        <f>IF('ASS START SYNC'!C955="SHOW",FIND(",,",'ASS START SYNC'!E955,1),"")</f>
        <v/>
      </c>
      <c r="F951" s="25" t="str">
        <f>IF('ASS START SYNC'!C955="SHOW",FIND(",,",'ASS START SYNC'!E955,E951+1),"")</f>
        <v/>
      </c>
      <c r="G951" s="23" t="str">
        <f>IF('ASS START SYNC'!C955="SHOW",LEFT('ASS START SYNC'!E955,B951),"")</f>
        <v/>
      </c>
      <c r="H951" s="24" t="str">
        <f>IF(AND('ASS START SYNC'!C955="SHOW",COUNTA('ASS START SYNC'!$E$8:'ASS START SYNC'!E954)=0),MID('ASS START SYNC'!E955,B951+1,C951-B951-1),IF(AND('ASS START SYNC'!C955="SHOW",COUNTA('ASS START SYNC'!$E$8:'ASS START SYNC'!E954)&lt;&gt;0),I950,""))</f>
        <v/>
      </c>
      <c r="I951" s="24" t="str">
        <f>IF('ASS START SYNC'!C955="SHOW",MID('ASS START SYNC'!E955,C951+1,D951-C951-1),I950)</f>
        <v/>
      </c>
      <c r="J951" s="23" t="str">
        <f>IF('ASS START SYNC'!C955="SHOW",MID('ASS START SYNC'!E955,D951+1,F951-D951+1),"")</f>
        <v/>
      </c>
      <c r="K951" s="23" t="str">
        <f>IF('ASS START SYNC'!C955="SHOW",MID('ASS START SYNC'!E955,F951+2,1000),"")</f>
        <v/>
      </c>
      <c r="M951" s="24"/>
      <c r="N951" s="26">
        <v>948</v>
      </c>
      <c r="O951" s="24" t="str">
        <f>IF('ASS END SYNC'!C955="SHOW",FIND(",",'ASS END SYNC'!E955,1),"")</f>
        <v/>
      </c>
      <c r="P951" s="24" t="str">
        <f>IF('ASS END SYNC'!C955="SHOW",FIND(",",'ASS END SYNC'!E955,O951+1),"")</f>
        <v/>
      </c>
      <c r="Q951" s="24" t="str">
        <f>IF('ASS END SYNC'!C955="SHOW",FIND(",",'ASS END SYNC'!E955,P951+1),"")</f>
        <v/>
      </c>
      <c r="R951" s="25" t="str">
        <f>IF('ASS END SYNC'!C955="SHOW",FIND(",,",'ASS END SYNC'!E955,1),"")</f>
        <v/>
      </c>
      <c r="S951" s="25" t="str">
        <f>IF('ASS END SYNC'!C955="SHOW",FIND(",,",'ASS END SYNC'!E955,R951+1),"")</f>
        <v/>
      </c>
      <c r="T951" s="23" t="str">
        <f>IF('ASS END SYNC'!C955="SHOW",LEFT('ASS END SYNC'!E955,O951),"")</f>
        <v/>
      </c>
      <c r="U951" s="24" t="str">
        <f>IF('ASS END SYNC'!C955="SHOW",MID('ASS END SYNC'!E955,O951+1,P951-O951-1),"")</f>
        <v/>
      </c>
      <c r="V951" s="24" t="str">
        <f>IF(AND('ASS END SYNC'!C955="SHOW",'ASS END SYNC'!C956="SHOW"),U952,IF(AND('ASS END SYNC'!C955="SHOW",'ASS END SYNC'!C956&lt;&gt;"SHOW"),MID('ASS END SYNC'!E955,O951+1,P951-O951-1),""))</f>
        <v/>
      </c>
      <c r="W951" s="23" t="str">
        <f>IF('ASS END SYNC'!C955="SHOW",MID('ASS END SYNC'!E955,Q951+1,S951-Q951+1),"")</f>
        <v/>
      </c>
      <c r="X951" s="23" t="str">
        <f>IF('ASS END SYNC'!C955="SHOW",MID('ASS END SYNC'!E955,S951+2,1000),"")</f>
        <v/>
      </c>
      <c r="Z951" s="24"/>
    </row>
    <row r="952" spans="1:26" x14ac:dyDescent="0.25">
      <c r="A952" s="26">
        <v>949</v>
      </c>
      <c r="B952" s="24" t="str">
        <f>IF('ASS START SYNC'!C956="SHOW",FIND(",",'ASS START SYNC'!E956,1),"")</f>
        <v/>
      </c>
      <c r="C952" s="24" t="str">
        <f>IF('ASS START SYNC'!C956="SHOW",FIND(",",'ASS START SYNC'!E956,B952+1),"")</f>
        <v/>
      </c>
      <c r="D952" s="24" t="str">
        <f>IF('ASS START SYNC'!C956="SHOW",FIND(",",'ASS START SYNC'!E956,C952+1),"")</f>
        <v/>
      </c>
      <c r="E952" s="25" t="str">
        <f>IF('ASS START SYNC'!C956="SHOW",FIND(",,",'ASS START SYNC'!E956,1),"")</f>
        <v/>
      </c>
      <c r="F952" s="25" t="str">
        <f>IF('ASS START SYNC'!C956="SHOW",FIND(",,",'ASS START SYNC'!E956,E952+1),"")</f>
        <v/>
      </c>
      <c r="G952" s="23" t="str">
        <f>IF('ASS START SYNC'!C956="SHOW",LEFT('ASS START SYNC'!E956,B952),"")</f>
        <v/>
      </c>
      <c r="H952" s="24" t="str">
        <f>IF(AND('ASS START SYNC'!C956="SHOW",COUNTA('ASS START SYNC'!$E$8:'ASS START SYNC'!E955)=0),MID('ASS START SYNC'!E956,B952+1,C952-B952-1),IF(AND('ASS START SYNC'!C956="SHOW",COUNTA('ASS START SYNC'!$E$8:'ASS START SYNC'!E955)&lt;&gt;0),I951,""))</f>
        <v/>
      </c>
      <c r="I952" s="24" t="str">
        <f>IF('ASS START SYNC'!C956="SHOW",MID('ASS START SYNC'!E956,C952+1,D952-C952-1),I951)</f>
        <v/>
      </c>
      <c r="J952" s="23" t="str">
        <f>IF('ASS START SYNC'!C956="SHOW",MID('ASS START SYNC'!E956,D952+1,F952-D952+1),"")</f>
        <v/>
      </c>
      <c r="K952" s="23" t="str">
        <f>IF('ASS START SYNC'!C956="SHOW",MID('ASS START SYNC'!E956,F952+2,1000),"")</f>
        <v/>
      </c>
      <c r="M952" s="24"/>
      <c r="N952" s="26">
        <v>949</v>
      </c>
      <c r="O952" s="24" t="str">
        <f>IF('ASS END SYNC'!C956="SHOW",FIND(",",'ASS END SYNC'!E956,1),"")</f>
        <v/>
      </c>
      <c r="P952" s="24" t="str">
        <f>IF('ASS END SYNC'!C956="SHOW",FIND(",",'ASS END SYNC'!E956,O952+1),"")</f>
        <v/>
      </c>
      <c r="Q952" s="24" t="str">
        <f>IF('ASS END SYNC'!C956="SHOW",FIND(",",'ASS END SYNC'!E956,P952+1),"")</f>
        <v/>
      </c>
      <c r="R952" s="25" t="str">
        <f>IF('ASS END SYNC'!C956="SHOW",FIND(",,",'ASS END SYNC'!E956,1),"")</f>
        <v/>
      </c>
      <c r="S952" s="25" t="str">
        <f>IF('ASS END SYNC'!C956="SHOW",FIND(",,",'ASS END SYNC'!E956,R952+1),"")</f>
        <v/>
      </c>
      <c r="T952" s="23" t="str">
        <f>IF('ASS END SYNC'!C956="SHOW",LEFT('ASS END SYNC'!E956,O952),"")</f>
        <v/>
      </c>
      <c r="U952" s="24" t="str">
        <f>IF('ASS END SYNC'!C956="SHOW",MID('ASS END SYNC'!E956,O952+1,P952-O952-1),"")</f>
        <v/>
      </c>
      <c r="V952" s="24" t="str">
        <f>IF(AND('ASS END SYNC'!C956="SHOW",'ASS END SYNC'!C957="SHOW"),U953,IF(AND('ASS END SYNC'!C956="SHOW",'ASS END SYNC'!C957&lt;&gt;"SHOW"),MID('ASS END SYNC'!E956,O952+1,P952-O952-1),""))</f>
        <v/>
      </c>
      <c r="W952" s="23" t="str">
        <f>IF('ASS END SYNC'!C956="SHOW",MID('ASS END SYNC'!E956,Q952+1,S952-Q952+1),"")</f>
        <v/>
      </c>
      <c r="X952" s="23" t="str">
        <f>IF('ASS END SYNC'!C956="SHOW",MID('ASS END SYNC'!E956,S952+2,1000),"")</f>
        <v/>
      </c>
      <c r="Z952" s="24"/>
    </row>
    <row r="953" spans="1:26" x14ac:dyDescent="0.25">
      <c r="A953" s="26">
        <v>950</v>
      </c>
      <c r="B953" s="24" t="str">
        <f>IF('ASS START SYNC'!C957="SHOW",FIND(",",'ASS START SYNC'!E957,1),"")</f>
        <v/>
      </c>
      <c r="C953" s="24" t="str">
        <f>IF('ASS START SYNC'!C957="SHOW",FIND(",",'ASS START SYNC'!E957,B953+1),"")</f>
        <v/>
      </c>
      <c r="D953" s="24" t="str">
        <f>IF('ASS START SYNC'!C957="SHOW",FIND(",",'ASS START SYNC'!E957,C953+1),"")</f>
        <v/>
      </c>
      <c r="E953" s="25" t="str">
        <f>IF('ASS START SYNC'!C957="SHOW",FIND(",,",'ASS START SYNC'!E957,1),"")</f>
        <v/>
      </c>
      <c r="F953" s="25" t="str">
        <f>IF('ASS START SYNC'!C957="SHOW",FIND(",,",'ASS START SYNC'!E957,E953+1),"")</f>
        <v/>
      </c>
      <c r="G953" s="23" t="str">
        <f>IF('ASS START SYNC'!C957="SHOW",LEFT('ASS START SYNC'!E957,B953),"")</f>
        <v/>
      </c>
      <c r="H953" s="24" t="str">
        <f>IF(AND('ASS START SYNC'!C957="SHOW",COUNTA('ASS START SYNC'!$E$8:'ASS START SYNC'!E956)=0),MID('ASS START SYNC'!E957,B953+1,C953-B953-1),IF(AND('ASS START SYNC'!C957="SHOW",COUNTA('ASS START SYNC'!$E$8:'ASS START SYNC'!E956)&lt;&gt;0),I952,""))</f>
        <v/>
      </c>
      <c r="I953" s="24" t="str">
        <f>IF('ASS START SYNC'!C957="SHOW",MID('ASS START SYNC'!E957,C953+1,D953-C953-1),I952)</f>
        <v/>
      </c>
      <c r="J953" s="23" t="str">
        <f>IF('ASS START SYNC'!C957="SHOW",MID('ASS START SYNC'!E957,D953+1,F953-D953+1),"")</f>
        <v/>
      </c>
      <c r="K953" s="23" t="str">
        <f>IF('ASS START SYNC'!C957="SHOW",MID('ASS START SYNC'!E957,F953+2,1000),"")</f>
        <v/>
      </c>
      <c r="M953" s="24"/>
      <c r="N953" s="26">
        <v>950</v>
      </c>
      <c r="O953" s="24" t="str">
        <f>IF('ASS END SYNC'!C957="SHOW",FIND(",",'ASS END SYNC'!E957,1),"")</f>
        <v/>
      </c>
      <c r="P953" s="24" t="str">
        <f>IF('ASS END SYNC'!C957="SHOW",FIND(",",'ASS END SYNC'!E957,O953+1),"")</f>
        <v/>
      </c>
      <c r="Q953" s="24" t="str">
        <f>IF('ASS END SYNC'!C957="SHOW",FIND(",",'ASS END SYNC'!E957,P953+1),"")</f>
        <v/>
      </c>
      <c r="R953" s="25" t="str">
        <f>IF('ASS END SYNC'!C957="SHOW",FIND(",,",'ASS END SYNC'!E957,1),"")</f>
        <v/>
      </c>
      <c r="S953" s="25" t="str">
        <f>IF('ASS END SYNC'!C957="SHOW",FIND(",,",'ASS END SYNC'!E957,R953+1),"")</f>
        <v/>
      </c>
      <c r="T953" s="23" t="str">
        <f>IF('ASS END SYNC'!C957="SHOW",LEFT('ASS END SYNC'!E957,O953),"")</f>
        <v/>
      </c>
      <c r="U953" s="24" t="str">
        <f>IF('ASS END SYNC'!C957="SHOW",MID('ASS END SYNC'!E957,O953+1,P953-O953-1),"")</f>
        <v/>
      </c>
      <c r="V953" s="24" t="str">
        <f>IF(AND('ASS END SYNC'!C957="SHOW",'ASS END SYNC'!C958="SHOW"),U954,IF(AND('ASS END SYNC'!C957="SHOW",'ASS END SYNC'!C958&lt;&gt;"SHOW"),MID('ASS END SYNC'!E957,O953+1,P953-O953-1),""))</f>
        <v/>
      </c>
      <c r="W953" s="23" t="str">
        <f>IF('ASS END SYNC'!C957="SHOW",MID('ASS END SYNC'!E957,Q953+1,S953-Q953+1),"")</f>
        <v/>
      </c>
      <c r="X953" s="23" t="str">
        <f>IF('ASS END SYNC'!C957="SHOW",MID('ASS END SYNC'!E957,S953+2,1000),"")</f>
        <v/>
      </c>
      <c r="Z953" s="24"/>
    </row>
    <row r="954" spans="1:26" x14ac:dyDescent="0.25">
      <c r="A954" s="26">
        <v>951</v>
      </c>
      <c r="B954" s="24" t="str">
        <f>IF('ASS START SYNC'!C958="SHOW",FIND(",",'ASS START SYNC'!E958,1),"")</f>
        <v/>
      </c>
      <c r="C954" s="24" t="str">
        <f>IF('ASS START SYNC'!C958="SHOW",FIND(",",'ASS START SYNC'!E958,B954+1),"")</f>
        <v/>
      </c>
      <c r="D954" s="24" t="str">
        <f>IF('ASS START SYNC'!C958="SHOW",FIND(",",'ASS START SYNC'!E958,C954+1),"")</f>
        <v/>
      </c>
      <c r="E954" s="25" t="str">
        <f>IF('ASS START SYNC'!C958="SHOW",FIND(",,",'ASS START SYNC'!E958,1),"")</f>
        <v/>
      </c>
      <c r="F954" s="25" t="str">
        <f>IF('ASS START SYNC'!C958="SHOW",FIND(",,",'ASS START SYNC'!E958,E954+1),"")</f>
        <v/>
      </c>
      <c r="G954" s="23" t="str">
        <f>IF('ASS START SYNC'!C958="SHOW",LEFT('ASS START SYNC'!E958,B954),"")</f>
        <v/>
      </c>
      <c r="H954" s="24" t="str">
        <f>IF(AND('ASS START SYNC'!C958="SHOW",COUNTA('ASS START SYNC'!$E$8:'ASS START SYNC'!E957)=0),MID('ASS START SYNC'!E958,B954+1,C954-B954-1),IF(AND('ASS START SYNC'!C958="SHOW",COUNTA('ASS START SYNC'!$E$8:'ASS START SYNC'!E957)&lt;&gt;0),I953,""))</f>
        <v/>
      </c>
      <c r="I954" s="24" t="str">
        <f>IF('ASS START SYNC'!C958="SHOW",MID('ASS START SYNC'!E958,C954+1,D954-C954-1),I953)</f>
        <v/>
      </c>
      <c r="J954" s="23" t="str">
        <f>IF('ASS START SYNC'!C958="SHOW",MID('ASS START SYNC'!E958,D954+1,F954-D954+1),"")</f>
        <v/>
      </c>
      <c r="K954" s="23" t="str">
        <f>IF('ASS START SYNC'!C958="SHOW",MID('ASS START SYNC'!E958,F954+2,1000),"")</f>
        <v/>
      </c>
      <c r="M954" s="24"/>
      <c r="N954" s="26">
        <v>951</v>
      </c>
      <c r="O954" s="24" t="str">
        <f>IF('ASS END SYNC'!C958="SHOW",FIND(",",'ASS END SYNC'!E958,1),"")</f>
        <v/>
      </c>
      <c r="P954" s="24" t="str">
        <f>IF('ASS END SYNC'!C958="SHOW",FIND(",",'ASS END SYNC'!E958,O954+1),"")</f>
        <v/>
      </c>
      <c r="Q954" s="24" t="str">
        <f>IF('ASS END SYNC'!C958="SHOW",FIND(",",'ASS END SYNC'!E958,P954+1),"")</f>
        <v/>
      </c>
      <c r="R954" s="25" t="str">
        <f>IF('ASS END SYNC'!C958="SHOW",FIND(",,",'ASS END SYNC'!E958,1),"")</f>
        <v/>
      </c>
      <c r="S954" s="25" t="str">
        <f>IF('ASS END SYNC'!C958="SHOW",FIND(",,",'ASS END SYNC'!E958,R954+1),"")</f>
        <v/>
      </c>
      <c r="T954" s="23" t="str">
        <f>IF('ASS END SYNC'!C958="SHOW",LEFT('ASS END SYNC'!E958,O954),"")</f>
        <v/>
      </c>
      <c r="U954" s="24" t="str">
        <f>IF('ASS END SYNC'!C958="SHOW",MID('ASS END SYNC'!E958,O954+1,P954-O954-1),"")</f>
        <v/>
      </c>
      <c r="V954" s="24" t="str">
        <f>IF(AND('ASS END SYNC'!C958="SHOW",'ASS END SYNC'!C959="SHOW"),U955,IF(AND('ASS END SYNC'!C958="SHOW",'ASS END SYNC'!C959&lt;&gt;"SHOW"),MID('ASS END SYNC'!E958,O954+1,P954-O954-1),""))</f>
        <v/>
      </c>
      <c r="W954" s="23" t="str">
        <f>IF('ASS END SYNC'!C958="SHOW",MID('ASS END SYNC'!E958,Q954+1,S954-Q954+1),"")</f>
        <v/>
      </c>
      <c r="X954" s="23" t="str">
        <f>IF('ASS END SYNC'!C958="SHOW",MID('ASS END SYNC'!E958,S954+2,1000),"")</f>
        <v/>
      </c>
      <c r="Z954" s="24"/>
    </row>
    <row r="955" spans="1:26" x14ac:dyDescent="0.25">
      <c r="A955" s="26">
        <v>952</v>
      </c>
      <c r="B955" s="24" t="str">
        <f>IF('ASS START SYNC'!C959="SHOW",FIND(",",'ASS START SYNC'!E959,1),"")</f>
        <v/>
      </c>
      <c r="C955" s="24" t="str">
        <f>IF('ASS START SYNC'!C959="SHOW",FIND(",",'ASS START SYNC'!E959,B955+1),"")</f>
        <v/>
      </c>
      <c r="D955" s="24" t="str">
        <f>IF('ASS START SYNC'!C959="SHOW",FIND(",",'ASS START SYNC'!E959,C955+1),"")</f>
        <v/>
      </c>
      <c r="E955" s="25" t="str">
        <f>IF('ASS START SYNC'!C959="SHOW",FIND(",,",'ASS START SYNC'!E959,1),"")</f>
        <v/>
      </c>
      <c r="F955" s="25" t="str">
        <f>IF('ASS START SYNC'!C959="SHOW",FIND(",,",'ASS START SYNC'!E959,E955+1),"")</f>
        <v/>
      </c>
      <c r="G955" s="23" t="str">
        <f>IF('ASS START SYNC'!C959="SHOW",LEFT('ASS START SYNC'!E959,B955),"")</f>
        <v/>
      </c>
      <c r="H955" s="24" t="str">
        <f>IF(AND('ASS START SYNC'!C959="SHOW",COUNTA('ASS START SYNC'!$E$8:'ASS START SYNC'!E958)=0),MID('ASS START SYNC'!E959,B955+1,C955-B955-1),IF(AND('ASS START SYNC'!C959="SHOW",COUNTA('ASS START SYNC'!$E$8:'ASS START SYNC'!E958)&lt;&gt;0),I954,""))</f>
        <v/>
      </c>
      <c r="I955" s="24" t="str">
        <f>IF('ASS START SYNC'!C959="SHOW",MID('ASS START SYNC'!E959,C955+1,D955-C955-1),I954)</f>
        <v/>
      </c>
      <c r="J955" s="23" t="str">
        <f>IF('ASS START SYNC'!C959="SHOW",MID('ASS START SYNC'!E959,D955+1,F955-D955+1),"")</f>
        <v/>
      </c>
      <c r="K955" s="23" t="str">
        <f>IF('ASS START SYNC'!C959="SHOW",MID('ASS START SYNC'!E959,F955+2,1000),"")</f>
        <v/>
      </c>
      <c r="M955" s="24"/>
      <c r="N955" s="26">
        <v>952</v>
      </c>
      <c r="O955" s="24" t="str">
        <f>IF('ASS END SYNC'!C959="SHOW",FIND(",",'ASS END SYNC'!E959,1),"")</f>
        <v/>
      </c>
      <c r="P955" s="24" t="str">
        <f>IF('ASS END SYNC'!C959="SHOW",FIND(",",'ASS END SYNC'!E959,O955+1),"")</f>
        <v/>
      </c>
      <c r="Q955" s="24" t="str">
        <f>IF('ASS END SYNC'!C959="SHOW",FIND(",",'ASS END SYNC'!E959,P955+1),"")</f>
        <v/>
      </c>
      <c r="R955" s="25" t="str">
        <f>IF('ASS END SYNC'!C959="SHOW",FIND(",,",'ASS END SYNC'!E959,1),"")</f>
        <v/>
      </c>
      <c r="S955" s="25" t="str">
        <f>IF('ASS END SYNC'!C959="SHOW",FIND(",,",'ASS END SYNC'!E959,R955+1),"")</f>
        <v/>
      </c>
      <c r="T955" s="23" t="str">
        <f>IF('ASS END SYNC'!C959="SHOW",LEFT('ASS END SYNC'!E959,O955),"")</f>
        <v/>
      </c>
      <c r="U955" s="24" t="str">
        <f>IF('ASS END SYNC'!C959="SHOW",MID('ASS END SYNC'!E959,O955+1,P955-O955-1),"")</f>
        <v/>
      </c>
      <c r="V955" s="24" t="str">
        <f>IF(AND('ASS END SYNC'!C959="SHOW",'ASS END SYNC'!C960="SHOW"),U956,IF(AND('ASS END SYNC'!C959="SHOW",'ASS END SYNC'!C960&lt;&gt;"SHOW"),MID('ASS END SYNC'!E959,O955+1,P955-O955-1),""))</f>
        <v/>
      </c>
      <c r="W955" s="23" t="str">
        <f>IF('ASS END SYNC'!C959="SHOW",MID('ASS END SYNC'!E959,Q955+1,S955-Q955+1),"")</f>
        <v/>
      </c>
      <c r="X955" s="23" t="str">
        <f>IF('ASS END SYNC'!C959="SHOW",MID('ASS END SYNC'!E959,S955+2,1000),"")</f>
        <v/>
      </c>
      <c r="Z955" s="24"/>
    </row>
    <row r="956" spans="1:26" x14ac:dyDescent="0.25">
      <c r="A956" s="26">
        <v>953</v>
      </c>
      <c r="B956" s="24" t="str">
        <f>IF('ASS START SYNC'!C960="SHOW",FIND(",",'ASS START SYNC'!E960,1),"")</f>
        <v/>
      </c>
      <c r="C956" s="24" t="str">
        <f>IF('ASS START SYNC'!C960="SHOW",FIND(",",'ASS START SYNC'!E960,B956+1),"")</f>
        <v/>
      </c>
      <c r="D956" s="24" t="str">
        <f>IF('ASS START SYNC'!C960="SHOW",FIND(",",'ASS START SYNC'!E960,C956+1),"")</f>
        <v/>
      </c>
      <c r="E956" s="25" t="str">
        <f>IF('ASS START SYNC'!C960="SHOW",FIND(",,",'ASS START SYNC'!E960,1),"")</f>
        <v/>
      </c>
      <c r="F956" s="25" t="str">
        <f>IF('ASS START SYNC'!C960="SHOW",FIND(",,",'ASS START SYNC'!E960,E956+1),"")</f>
        <v/>
      </c>
      <c r="G956" s="23" t="str">
        <f>IF('ASS START SYNC'!C960="SHOW",LEFT('ASS START SYNC'!E960,B956),"")</f>
        <v/>
      </c>
      <c r="H956" s="24" t="str">
        <f>IF(AND('ASS START SYNC'!C960="SHOW",COUNTA('ASS START SYNC'!$E$8:'ASS START SYNC'!E959)=0),MID('ASS START SYNC'!E960,B956+1,C956-B956-1),IF(AND('ASS START SYNC'!C960="SHOW",COUNTA('ASS START SYNC'!$E$8:'ASS START SYNC'!E959)&lt;&gt;0),I955,""))</f>
        <v/>
      </c>
      <c r="I956" s="24" t="str">
        <f>IF('ASS START SYNC'!C960="SHOW",MID('ASS START SYNC'!E960,C956+1,D956-C956-1),I955)</f>
        <v/>
      </c>
      <c r="J956" s="23" t="str">
        <f>IF('ASS START SYNC'!C960="SHOW",MID('ASS START SYNC'!E960,D956+1,F956-D956+1),"")</f>
        <v/>
      </c>
      <c r="K956" s="23" t="str">
        <f>IF('ASS START SYNC'!C960="SHOW",MID('ASS START SYNC'!E960,F956+2,1000),"")</f>
        <v/>
      </c>
      <c r="M956" s="24"/>
      <c r="N956" s="26">
        <v>953</v>
      </c>
      <c r="O956" s="24" t="str">
        <f>IF('ASS END SYNC'!C960="SHOW",FIND(",",'ASS END SYNC'!E960,1),"")</f>
        <v/>
      </c>
      <c r="P956" s="24" t="str">
        <f>IF('ASS END SYNC'!C960="SHOW",FIND(",",'ASS END SYNC'!E960,O956+1),"")</f>
        <v/>
      </c>
      <c r="Q956" s="24" t="str">
        <f>IF('ASS END SYNC'!C960="SHOW",FIND(",",'ASS END SYNC'!E960,P956+1),"")</f>
        <v/>
      </c>
      <c r="R956" s="25" t="str">
        <f>IF('ASS END SYNC'!C960="SHOW",FIND(",,",'ASS END SYNC'!E960,1),"")</f>
        <v/>
      </c>
      <c r="S956" s="25" t="str">
        <f>IF('ASS END SYNC'!C960="SHOW",FIND(",,",'ASS END SYNC'!E960,R956+1),"")</f>
        <v/>
      </c>
      <c r="T956" s="23" t="str">
        <f>IF('ASS END SYNC'!C960="SHOW",LEFT('ASS END SYNC'!E960,O956),"")</f>
        <v/>
      </c>
      <c r="U956" s="24" t="str">
        <f>IF('ASS END SYNC'!C960="SHOW",MID('ASS END SYNC'!E960,O956+1,P956-O956-1),"")</f>
        <v/>
      </c>
      <c r="V956" s="24" t="str">
        <f>IF(AND('ASS END SYNC'!C960="SHOW",'ASS END SYNC'!C961="SHOW"),U957,IF(AND('ASS END SYNC'!C960="SHOW",'ASS END SYNC'!C961&lt;&gt;"SHOW"),MID('ASS END SYNC'!E960,O956+1,P956-O956-1),""))</f>
        <v/>
      </c>
      <c r="W956" s="23" t="str">
        <f>IF('ASS END SYNC'!C960="SHOW",MID('ASS END SYNC'!E960,Q956+1,S956-Q956+1),"")</f>
        <v/>
      </c>
      <c r="X956" s="23" t="str">
        <f>IF('ASS END SYNC'!C960="SHOW",MID('ASS END SYNC'!E960,S956+2,1000),"")</f>
        <v/>
      </c>
      <c r="Z956" s="24"/>
    </row>
    <row r="957" spans="1:26" x14ac:dyDescent="0.25">
      <c r="A957" s="26">
        <v>954</v>
      </c>
      <c r="B957" s="24" t="str">
        <f>IF('ASS START SYNC'!C961="SHOW",FIND(",",'ASS START SYNC'!E961,1),"")</f>
        <v/>
      </c>
      <c r="C957" s="24" t="str">
        <f>IF('ASS START SYNC'!C961="SHOW",FIND(",",'ASS START SYNC'!E961,B957+1),"")</f>
        <v/>
      </c>
      <c r="D957" s="24" t="str">
        <f>IF('ASS START SYNC'!C961="SHOW",FIND(",",'ASS START SYNC'!E961,C957+1),"")</f>
        <v/>
      </c>
      <c r="E957" s="25" t="str">
        <f>IF('ASS START SYNC'!C961="SHOW",FIND(",,",'ASS START SYNC'!E961,1),"")</f>
        <v/>
      </c>
      <c r="F957" s="25" t="str">
        <f>IF('ASS START SYNC'!C961="SHOW",FIND(",,",'ASS START SYNC'!E961,E957+1),"")</f>
        <v/>
      </c>
      <c r="G957" s="23" t="str">
        <f>IF('ASS START SYNC'!C961="SHOW",LEFT('ASS START SYNC'!E961,B957),"")</f>
        <v/>
      </c>
      <c r="H957" s="24" t="str">
        <f>IF(AND('ASS START SYNC'!C961="SHOW",COUNTA('ASS START SYNC'!$E$8:'ASS START SYNC'!E960)=0),MID('ASS START SYNC'!E961,B957+1,C957-B957-1),IF(AND('ASS START SYNC'!C961="SHOW",COUNTA('ASS START SYNC'!$E$8:'ASS START SYNC'!E960)&lt;&gt;0),I956,""))</f>
        <v/>
      </c>
      <c r="I957" s="24" t="str">
        <f>IF('ASS START SYNC'!C961="SHOW",MID('ASS START SYNC'!E961,C957+1,D957-C957-1),I956)</f>
        <v/>
      </c>
      <c r="J957" s="23" t="str">
        <f>IF('ASS START SYNC'!C961="SHOW",MID('ASS START SYNC'!E961,D957+1,F957-D957+1),"")</f>
        <v/>
      </c>
      <c r="K957" s="23" t="str">
        <f>IF('ASS START SYNC'!C961="SHOW",MID('ASS START SYNC'!E961,F957+2,1000),"")</f>
        <v/>
      </c>
      <c r="M957" s="24"/>
      <c r="N957" s="26">
        <v>954</v>
      </c>
      <c r="O957" s="24" t="str">
        <f>IF('ASS END SYNC'!C961="SHOW",FIND(",",'ASS END SYNC'!E961,1),"")</f>
        <v/>
      </c>
      <c r="P957" s="24" t="str">
        <f>IF('ASS END SYNC'!C961="SHOW",FIND(",",'ASS END SYNC'!E961,O957+1),"")</f>
        <v/>
      </c>
      <c r="Q957" s="24" t="str">
        <f>IF('ASS END SYNC'!C961="SHOW",FIND(",",'ASS END SYNC'!E961,P957+1),"")</f>
        <v/>
      </c>
      <c r="R957" s="25" t="str">
        <f>IF('ASS END SYNC'!C961="SHOW",FIND(",,",'ASS END SYNC'!E961,1),"")</f>
        <v/>
      </c>
      <c r="S957" s="25" t="str">
        <f>IF('ASS END SYNC'!C961="SHOW",FIND(",,",'ASS END SYNC'!E961,R957+1),"")</f>
        <v/>
      </c>
      <c r="T957" s="23" t="str">
        <f>IF('ASS END SYNC'!C961="SHOW",LEFT('ASS END SYNC'!E961,O957),"")</f>
        <v/>
      </c>
      <c r="U957" s="24" t="str">
        <f>IF('ASS END SYNC'!C961="SHOW",MID('ASS END SYNC'!E961,O957+1,P957-O957-1),"")</f>
        <v/>
      </c>
      <c r="V957" s="24" t="str">
        <f>IF(AND('ASS END SYNC'!C961="SHOW",'ASS END SYNC'!C962="SHOW"),U958,IF(AND('ASS END SYNC'!C961="SHOW",'ASS END SYNC'!C962&lt;&gt;"SHOW"),MID('ASS END SYNC'!E961,O957+1,P957-O957-1),""))</f>
        <v/>
      </c>
      <c r="W957" s="23" t="str">
        <f>IF('ASS END SYNC'!C961="SHOW",MID('ASS END SYNC'!E961,Q957+1,S957-Q957+1),"")</f>
        <v/>
      </c>
      <c r="X957" s="23" t="str">
        <f>IF('ASS END SYNC'!C961="SHOW",MID('ASS END SYNC'!E961,S957+2,1000),"")</f>
        <v/>
      </c>
      <c r="Z957" s="24"/>
    </row>
    <row r="958" spans="1:26" x14ac:dyDescent="0.25">
      <c r="A958" s="26">
        <v>955</v>
      </c>
      <c r="B958" s="24" t="str">
        <f>IF('ASS START SYNC'!C962="SHOW",FIND(",",'ASS START SYNC'!E962,1),"")</f>
        <v/>
      </c>
      <c r="C958" s="24" t="str">
        <f>IF('ASS START SYNC'!C962="SHOW",FIND(",",'ASS START SYNC'!E962,B958+1),"")</f>
        <v/>
      </c>
      <c r="D958" s="24" t="str">
        <f>IF('ASS START SYNC'!C962="SHOW",FIND(",",'ASS START SYNC'!E962,C958+1),"")</f>
        <v/>
      </c>
      <c r="E958" s="25" t="str">
        <f>IF('ASS START SYNC'!C962="SHOW",FIND(",,",'ASS START SYNC'!E962,1),"")</f>
        <v/>
      </c>
      <c r="F958" s="25" t="str">
        <f>IF('ASS START SYNC'!C962="SHOW",FIND(",,",'ASS START SYNC'!E962,E958+1),"")</f>
        <v/>
      </c>
      <c r="G958" s="23" t="str">
        <f>IF('ASS START SYNC'!C962="SHOW",LEFT('ASS START SYNC'!E962,B958),"")</f>
        <v/>
      </c>
      <c r="H958" s="24" t="str">
        <f>IF(AND('ASS START SYNC'!C962="SHOW",COUNTA('ASS START SYNC'!$E$8:'ASS START SYNC'!E961)=0),MID('ASS START SYNC'!E962,B958+1,C958-B958-1),IF(AND('ASS START SYNC'!C962="SHOW",COUNTA('ASS START SYNC'!$E$8:'ASS START SYNC'!E961)&lt;&gt;0),I957,""))</f>
        <v/>
      </c>
      <c r="I958" s="24" t="str">
        <f>IF('ASS START SYNC'!C962="SHOW",MID('ASS START SYNC'!E962,C958+1,D958-C958-1),I957)</f>
        <v/>
      </c>
      <c r="J958" s="23" t="str">
        <f>IF('ASS START SYNC'!C962="SHOW",MID('ASS START SYNC'!E962,D958+1,F958-D958+1),"")</f>
        <v/>
      </c>
      <c r="K958" s="23" t="str">
        <f>IF('ASS START SYNC'!C962="SHOW",MID('ASS START SYNC'!E962,F958+2,1000),"")</f>
        <v/>
      </c>
      <c r="M958" s="24"/>
      <c r="N958" s="26">
        <v>955</v>
      </c>
      <c r="O958" s="24" t="str">
        <f>IF('ASS END SYNC'!C962="SHOW",FIND(",",'ASS END SYNC'!E962,1),"")</f>
        <v/>
      </c>
      <c r="P958" s="24" t="str">
        <f>IF('ASS END SYNC'!C962="SHOW",FIND(",",'ASS END SYNC'!E962,O958+1),"")</f>
        <v/>
      </c>
      <c r="Q958" s="24" t="str">
        <f>IF('ASS END SYNC'!C962="SHOW",FIND(",",'ASS END SYNC'!E962,P958+1),"")</f>
        <v/>
      </c>
      <c r="R958" s="25" t="str">
        <f>IF('ASS END SYNC'!C962="SHOW",FIND(",,",'ASS END SYNC'!E962,1),"")</f>
        <v/>
      </c>
      <c r="S958" s="25" t="str">
        <f>IF('ASS END SYNC'!C962="SHOW",FIND(",,",'ASS END SYNC'!E962,R958+1),"")</f>
        <v/>
      </c>
      <c r="T958" s="23" t="str">
        <f>IF('ASS END SYNC'!C962="SHOW",LEFT('ASS END SYNC'!E962,O958),"")</f>
        <v/>
      </c>
      <c r="U958" s="24" t="str">
        <f>IF('ASS END SYNC'!C962="SHOW",MID('ASS END SYNC'!E962,O958+1,P958-O958-1),"")</f>
        <v/>
      </c>
      <c r="V958" s="24" t="str">
        <f>IF(AND('ASS END SYNC'!C962="SHOW",'ASS END SYNC'!C963="SHOW"),U959,IF(AND('ASS END SYNC'!C962="SHOW",'ASS END SYNC'!C963&lt;&gt;"SHOW"),MID('ASS END SYNC'!E962,O958+1,P958-O958-1),""))</f>
        <v/>
      </c>
      <c r="W958" s="23" t="str">
        <f>IF('ASS END SYNC'!C962="SHOW",MID('ASS END SYNC'!E962,Q958+1,S958-Q958+1),"")</f>
        <v/>
      </c>
      <c r="X958" s="23" t="str">
        <f>IF('ASS END SYNC'!C962="SHOW",MID('ASS END SYNC'!E962,S958+2,1000),"")</f>
        <v/>
      </c>
      <c r="Z958" s="24"/>
    </row>
    <row r="959" spans="1:26" x14ac:dyDescent="0.25">
      <c r="A959" s="26">
        <v>956</v>
      </c>
      <c r="B959" s="24" t="str">
        <f>IF('ASS START SYNC'!C963="SHOW",FIND(",",'ASS START SYNC'!E963,1),"")</f>
        <v/>
      </c>
      <c r="C959" s="24" t="str">
        <f>IF('ASS START SYNC'!C963="SHOW",FIND(",",'ASS START SYNC'!E963,B959+1),"")</f>
        <v/>
      </c>
      <c r="D959" s="24" t="str">
        <f>IF('ASS START SYNC'!C963="SHOW",FIND(",",'ASS START SYNC'!E963,C959+1),"")</f>
        <v/>
      </c>
      <c r="E959" s="25" t="str">
        <f>IF('ASS START SYNC'!C963="SHOW",FIND(",,",'ASS START SYNC'!E963,1),"")</f>
        <v/>
      </c>
      <c r="F959" s="25" t="str">
        <f>IF('ASS START SYNC'!C963="SHOW",FIND(",,",'ASS START SYNC'!E963,E959+1),"")</f>
        <v/>
      </c>
      <c r="G959" s="23" t="str">
        <f>IF('ASS START SYNC'!C963="SHOW",LEFT('ASS START SYNC'!E963,B959),"")</f>
        <v/>
      </c>
      <c r="H959" s="24" t="str">
        <f>IF(AND('ASS START SYNC'!C963="SHOW",COUNTA('ASS START SYNC'!$E$8:'ASS START SYNC'!E962)=0),MID('ASS START SYNC'!E963,B959+1,C959-B959-1),IF(AND('ASS START SYNC'!C963="SHOW",COUNTA('ASS START SYNC'!$E$8:'ASS START SYNC'!E962)&lt;&gt;0),I958,""))</f>
        <v/>
      </c>
      <c r="I959" s="24" t="str">
        <f>IF('ASS START SYNC'!C963="SHOW",MID('ASS START SYNC'!E963,C959+1,D959-C959-1),I958)</f>
        <v/>
      </c>
      <c r="J959" s="23" t="str">
        <f>IF('ASS START SYNC'!C963="SHOW",MID('ASS START SYNC'!E963,D959+1,F959-D959+1),"")</f>
        <v/>
      </c>
      <c r="K959" s="23" t="str">
        <f>IF('ASS START SYNC'!C963="SHOW",MID('ASS START SYNC'!E963,F959+2,1000),"")</f>
        <v/>
      </c>
      <c r="M959" s="24"/>
      <c r="N959" s="26">
        <v>956</v>
      </c>
      <c r="O959" s="24" t="str">
        <f>IF('ASS END SYNC'!C963="SHOW",FIND(",",'ASS END SYNC'!E963,1),"")</f>
        <v/>
      </c>
      <c r="P959" s="24" t="str">
        <f>IF('ASS END SYNC'!C963="SHOW",FIND(",",'ASS END SYNC'!E963,O959+1),"")</f>
        <v/>
      </c>
      <c r="Q959" s="24" t="str">
        <f>IF('ASS END SYNC'!C963="SHOW",FIND(",",'ASS END SYNC'!E963,P959+1),"")</f>
        <v/>
      </c>
      <c r="R959" s="25" t="str">
        <f>IF('ASS END SYNC'!C963="SHOW",FIND(",,",'ASS END SYNC'!E963,1),"")</f>
        <v/>
      </c>
      <c r="S959" s="25" t="str">
        <f>IF('ASS END SYNC'!C963="SHOW",FIND(",,",'ASS END SYNC'!E963,R959+1),"")</f>
        <v/>
      </c>
      <c r="T959" s="23" t="str">
        <f>IF('ASS END SYNC'!C963="SHOW",LEFT('ASS END SYNC'!E963,O959),"")</f>
        <v/>
      </c>
      <c r="U959" s="24" t="str">
        <f>IF('ASS END SYNC'!C963="SHOW",MID('ASS END SYNC'!E963,O959+1,P959-O959-1),"")</f>
        <v/>
      </c>
      <c r="V959" s="24" t="str">
        <f>IF(AND('ASS END SYNC'!C963="SHOW",'ASS END SYNC'!C964="SHOW"),U960,IF(AND('ASS END SYNC'!C963="SHOW",'ASS END SYNC'!C964&lt;&gt;"SHOW"),MID('ASS END SYNC'!E963,O959+1,P959-O959-1),""))</f>
        <v/>
      </c>
      <c r="W959" s="23" t="str">
        <f>IF('ASS END SYNC'!C963="SHOW",MID('ASS END SYNC'!E963,Q959+1,S959-Q959+1),"")</f>
        <v/>
      </c>
      <c r="X959" s="23" t="str">
        <f>IF('ASS END SYNC'!C963="SHOW",MID('ASS END SYNC'!E963,S959+2,1000),"")</f>
        <v/>
      </c>
      <c r="Z959" s="24"/>
    </row>
    <row r="960" spans="1:26" x14ac:dyDescent="0.25">
      <c r="A960" s="26">
        <v>957</v>
      </c>
      <c r="B960" s="24" t="str">
        <f>IF('ASS START SYNC'!C964="SHOW",FIND(",",'ASS START SYNC'!E964,1),"")</f>
        <v/>
      </c>
      <c r="C960" s="24" t="str">
        <f>IF('ASS START SYNC'!C964="SHOW",FIND(",",'ASS START SYNC'!E964,B960+1),"")</f>
        <v/>
      </c>
      <c r="D960" s="24" t="str">
        <f>IF('ASS START SYNC'!C964="SHOW",FIND(",",'ASS START SYNC'!E964,C960+1),"")</f>
        <v/>
      </c>
      <c r="E960" s="25" t="str">
        <f>IF('ASS START SYNC'!C964="SHOW",FIND(",,",'ASS START SYNC'!E964,1),"")</f>
        <v/>
      </c>
      <c r="F960" s="25" t="str">
        <f>IF('ASS START SYNC'!C964="SHOW",FIND(",,",'ASS START SYNC'!E964,E960+1),"")</f>
        <v/>
      </c>
      <c r="G960" s="23" t="str">
        <f>IF('ASS START SYNC'!C964="SHOW",LEFT('ASS START SYNC'!E964,B960),"")</f>
        <v/>
      </c>
      <c r="H960" s="24" t="str">
        <f>IF(AND('ASS START SYNC'!C964="SHOW",COUNTA('ASS START SYNC'!$E$8:'ASS START SYNC'!E963)=0),MID('ASS START SYNC'!E964,B960+1,C960-B960-1),IF(AND('ASS START SYNC'!C964="SHOW",COUNTA('ASS START SYNC'!$E$8:'ASS START SYNC'!E963)&lt;&gt;0),I959,""))</f>
        <v/>
      </c>
      <c r="I960" s="24" t="str">
        <f>IF('ASS START SYNC'!C964="SHOW",MID('ASS START SYNC'!E964,C960+1,D960-C960-1),I959)</f>
        <v/>
      </c>
      <c r="J960" s="23" t="str">
        <f>IF('ASS START SYNC'!C964="SHOW",MID('ASS START SYNC'!E964,D960+1,F960-D960+1),"")</f>
        <v/>
      </c>
      <c r="K960" s="23" t="str">
        <f>IF('ASS START SYNC'!C964="SHOW",MID('ASS START SYNC'!E964,F960+2,1000),"")</f>
        <v/>
      </c>
      <c r="M960" s="24"/>
      <c r="N960" s="26">
        <v>957</v>
      </c>
      <c r="O960" s="24" t="str">
        <f>IF('ASS END SYNC'!C964="SHOW",FIND(",",'ASS END SYNC'!E964,1),"")</f>
        <v/>
      </c>
      <c r="P960" s="24" t="str">
        <f>IF('ASS END SYNC'!C964="SHOW",FIND(",",'ASS END SYNC'!E964,O960+1),"")</f>
        <v/>
      </c>
      <c r="Q960" s="24" t="str">
        <f>IF('ASS END SYNC'!C964="SHOW",FIND(",",'ASS END SYNC'!E964,P960+1),"")</f>
        <v/>
      </c>
      <c r="R960" s="25" t="str">
        <f>IF('ASS END SYNC'!C964="SHOW",FIND(",,",'ASS END SYNC'!E964,1),"")</f>
        <v/>
      </c>
      <c r="S960" s="25" t="str">
        <f>IF('ASS END SYNC'!C964="SHOW",FIND(",,",'ASS END SYNC'!E964,R960+1),"")</f>
        <v/>
      </c>
      <c r="T960" s="23" t="str">
        <f>IF('ASS END SYNC'!C964="SHOW",LEFT('ASS END SYNC'!E964,O960),"")</f>
        <v/>
      </c>
      <c r="U960" s="24" t="str">
        <f>IF('ASS END SYNC'!C964="SHOW",MID('ASS END SYNC'!E964,O960+1,P960-O960-1),"")</f>
        <v/>
      </c>
      <c r="V960" s="24" t="str">
        <f>IF(AND('ASS END SYNC'!C964="SHOW",'ASS END SYNC'!C965="SHOW"),U961,IF(AND('ASS END SYNC'!C964="SHOW",'ASS END SYNC'!C965&lt;&gt;"SHOW"),MID('ASS END SYNC'!E964,O960+1,P960-O960-1),""))</f>
        <v/>
      </c>
      <c r="W960" s="23" t="str">
        <f>IF('ASS END SYNC'!C964="SHOW",MID('ASS END SYNC'!E964,Q960+1,S960-Q960+1),"")</f>
        <v/>
      </c>
      <c r="X960" s="23" t="str">
        <f>IF('ASS END SYNC'!C964="SHOW",MID('ASS END SYNC'!E964,S960+2,1000),"")</f>
        <v/>
      </c>
      <c r="Z960" s="24"/>
    </row>
    <row r="961" spans="1:26" x14ac:dyDescent="0.25">
      <c r="A961" s="26">
        <v>958</v>
      </c>
      <c r="B961" s="24" t="str">
        <f>IF('ASS START SYNC'!C965="SHOW",FIND(",",'ASS START SYNC'!E965,1),"")</f>
        <v/>
      </c>
      <c r="C961" s="24" t="str">
        <f>IF('ASS START SYNC'!C965="SHOW",FIND(",",'ASS START SYNC'!E965,B961+1),"")</f>
        <v/>
      </c>
      <c r="D961" s="24" t="str">
        <f>IF('ASS START SYNC'!C965="SHOW",FIND(",",'ASS START SYNC'!E965,C961+1),"")</f>
        <v/>
      </c>
      <c r="E961" s="25" t="str">
        <f>IF('ASS START SYNC'!C965="SHOW",FIND(",,",'ASS START SYNC'!E965,1),"")</f>
        <v/>
      </c>
      <c r="F961" s="25" t="str">
        <f>IF('ASS START SYNC'!C965="SHOW",FIND(",,",'ASS START SYNC'!E965,E961+1),"")</f>
        <v/>
      </c>
      <c r="G961" s="23" t="str">
        <f>IF('ASS START SYNC'!C965="SHOW",LEFT('ASS START SYNC'!E965,B961),"")</f>
        <v/>
      </c>
      <c r="H961" s="24" t="str">
        <f>IF(AND('ASS START SYNC'!C965="SHOW",COUNTA('ASS START SYNC'!$E$8:'ASS START SYNC'!E964)=0),MID('ASS START SYNC'!E965,B961+1,C961-B961-1),IF(AND('ASS START SYNC'!C965="SHOW",COUNTA('ASS START SYNC'!$E$8:'ASS START SYNC'!E964)&lt;&gt;0),I960,""))</f>
        <v/>
      </c>
      <c r="I961" s="24" t="str">
        <f>IF('ASS START SYNC'!C965="SHOW",MID('ASS START SYNC'!E965,C961+1,D961-C961-1),I960)</f>
        <v/>
      </c>
      <c r="J961" s="23" t="str">
        <f>IF('ASS START SYNC'!C965="SHOW",MID('ASS START SYNC'!E965,D961+1,F961-D961+1),"")</f>
        <v/>
      </c>
      <c r="K961" s="23" t="str">
        <f>IF('ASS START SYNC'!C965="SHOW",MID('ASS START SYNC'!E965,F961+2,1000),"")</f>
        <v/>
      </c>
      <c r="M961" s="24"/>
      <c r="N961" s="26">
        <v>958</v>
      </c>
      <c r="O961" s="24" t="str">
        <f>IF('ASS END SYNC'!C965="SHOW",FIND(",",'ASS END SYNC'!E965,1),"")</f>
        <v/>
      </c>
      <c r="P961" s="24" t="str">
        <f>IF('ASS END SYNC'!C965="SHOW",FIND(",",'ASS END SYNC'!E965,O961+1),"")</f>
        <v/>
      </c>
      <c r="Q961" s="24" t="str">
        <f>IF('ASS END SYNC'!C965="SHOW",FIND(",",'ASS END SYNC'!E965,P961+1),"")</f>
        <v/>
      </c>
      <c r="R961" s="25" t="str">
        <f>IF('ASS END SYNC'!C965="SHOW",FIND(",,",'ASS END SYNC'!E965,1),"")</f>
        <v/>
      </c>
      <c r="S961" s="25" t="str">
        <f>IF('ASS END SYNC'!C965="SHOW",FIND(",,",'ASS END SYNC'!E965,R961+1),"")</f>
        <v/>
      </c>
      <c r="T961" s="23" t="str">
        <f>IF('ASS END SYNC'!C965="SHOW",LEFT('ASS END SYNC'!E965,O961),"")</f>
        <v/>
      </c>
      <c r="U961" s="24" t="str">
        <f>IF('ASS END SYNC'!C965="SHOW",MID('ASS END SYNC'!E965,O961+1,P961-O961-1),"")</f>
        <v/>
      </c>
      <c r="V961" s="24" t="str">
        <f>IF(AND('ASS END SYNC'!C965="SHOW",'ASS END SYNC'!C966="SHOW"),U962,IF(AND('ASS END SYNC'!C965="SHOW",'ASS END SYNC'!C966&lt;&gt;"SHOW"),MID('ASS END SYNC'!E965,O961+1,P961-O961-1),""))</f>
        <v/>
      </c>
      <c r="W961" s="23" t="str">
        <f>IF('ASS END SYNC'!C965="SHOW",MID('ASS END SYNC'!E965,Q961+1,S961-Q961+1),"")</f>
        <v/>
      </c>
      <c r="X961" s="23" t="str">
        <f>IF('ASS END SYNC'!C965="SHOW",MID('ASS END SYNC'!E965,S961+2,1000),"")</f>
        <v/>
      </c>
      <c r="Z961" s="24"/>
    </row>
    <row r="962" spans="1:26" x14ac:dyDescent="0.25">
      <c r="A962" s="26">
        <v>959</v>
      </c>
      <c r="B962" s="24" t="str">
        <f>IF('ASS START SYNC'!C966="SHOW",FIND(",",'ASS START SYNC'!E966,1),"")</f>
        <v/>
      </c>
      <c r="C962" s="24" t="str">
        <f>IF('ASS START SYNC'!C966="SHOW",FIND(",",'ASS START SYNC'!E966,B962+1),"")</f>
        <v/>
      </c>
      <c r="D962" s="24" t="str">
        <f>IF('ASS START SYNC'!C966="SHOW",FIND(",",'ASS START SYNC'!E966,C962+1),"")</f>
        <v/>
      </c>
      <c r="E962" s="25" t="str">
        <f>IF('ASS START SYNC'!C966="SHOW",FIND(",,",'ASS START SYNC'!E966,1),"")</f>
        <v/>
      </c>
      <c r="F962" s="25" t="str">
        <f>IF('ASS START SYNC'!C966="SHOW",FIND(",,",'ASS START SYNC'!E966,E962+1),"")</f>
        <v/>
      </c>
      <c r="G962" s="23" t="str">
        <f>IF('ASS START SYNC'!C966="SHOW",LEFT('ASS START SYNC'!E966,B962),"")</f>
        <v/>
      </c>
      <c r="H962" s="24" t="str">
        <f>IF(AND('ASS START SYNC'!C966="SHOW",COUNTA('ASS START SYNC'!$E$8:'ASS START SYNC'!E965)=0),MID('ASS START SYNC'!E966,B962+1,C962-B962-1),IF(AND('ASS START SYNC'!C966="SHOW",COUNTA('ASS START SYNC'!$E$8:'ASS START SYNC'!E965)&lt;&gt;0),I961,""))</f>
        <v/>
      </c>
      <c r="I962" s="24" t="str">
        <f>IF('ASS START SYNC'!C966="SHOW",MID('ASS START SYNC'!E966,C962+1,D962-C962-1),I961)</f>
        <v/>
      </c>
      <c r="J962" s="23" t="str">
        <f>IF('ASS START SYNC'!C966="SHOW",MID('ASS START SYNC'!E966,D962+1,F962-D962+1),"")</f>
        <v/>
      </c>
      <c r="K962" s="23" t="str">
        <f>IF('ASS START SYNC'!C966="SHOW",MID('ASS START SYNC'!E966,F962+2,1000),"")</f>
        <v/>
      </c>
      <c r="M962" s="24"/>
      <c r="N962" s="26">
        <v>959</v>
      </c>
      <c r="O962" s="24" t="str">
        <f>IF('ASS END SYNC'!C966="SHOW",FIND(",",'ASS END SYNC'!E966,1),"")</f>
        <v/>
      </c>
      <c r="P962" s="24" t="str">
        <f>IF('ASS END SYNC'!C966="SHOW",FIND(",",'ASS END SYNC'!E966,O962+1),"")</f>
        <v/>
      </c>
      <c r="Q962" s="24" t="str">
        <f>IF('ASS END SYNC'!C966="SHOW",FIND(",",'ASS END SYNC'!E966,P962+1),"")</f>
        <v/>
      </c>
      <c r="R962" s="25" t="str">
        <f>IF('ASS END SYNC'!C966="SHOW",FIND(",,",'ASS END SYNC'!E966,1),"")</f>
        <v/>
      </c>
      <c r="S962" s="25" t="str">
        <f>IF('ASS END SYNC'!C966="SHOW",FIND(",,",'ASS END SYNC'!E966,R962+1),"")</f>
        <v/>
      </c>
      <c r="T962" s="23" t="str">
        <f>IF('ASS END SYNC'!C966="SHOW",LEFT('ASS END SYNC'!E966,O962),"")</f>
        <v/>
      </c>
      <c r="U962" s="24" t="str">
        <f>IF('ASS END SYNC'!C966="SHOW",MID('ASS END SYNC'!E966,O962+1,P962-O962-1),"")</f>
        <v/>
      </c>
      <c r="V962" s="24" t="str">
        <f>IF(AND('ASS END SYNC'!C966="SHOW",'ASS END SYNC'!C967="SHOW"),U963,IF(AND('ASS END SYNC'!C966="SHOW",'ASS END SYNC'!C967&lt;&gt;"SHOW"),MID('ASS END SYNC'!E966,O962+1,P962-O962-1),""))</f>
        <v/>
      </c>
      <c r="W962" s="23" t="str">
        <f>IF('ASS END SYNC'!C966="SHOW",MID('ASS END SYNC'!E966,Q962+1,S962-Q962+1),"")</f>
        <v/>
      </c>
      <c r="X962" s="23" t="str">
        <f>IF('ASS END SYNC'!C966="SHOW",MID('ASS END SYNC'!E966,S962+2,1000),"")</f>
        <v/>
      </c>
      <c r="Z962" s="24"/>
    </row>
    <row r="963" spans="1:26" x14ac:dyDescent="0.25">
      <c r="A963" s="26">
        <v>960</v>
      </c>
      <c r="B963" s="24" t="str">
        <f>IF('ASS START SYNC'!C967="SHOW",FIND(",",'ASS START SYNC'!E967,1),"")</f>
        <v/>
      </c>
      <c r="C963" s="24" t="str">
        <f>IF('ASS START SYNC'!C967="SHOW",FIND(",",'ASS START SYNC'!E967,B963+1),"")</f>
        <v/>
      </c>
      <c r="D963" s="24" t="str">
        <f>IF('ASS START SYNC'!C967="SHOW",FIND(",",'ASS START SYNC'!E967,C963+1),"")</f>
        <v/>
      </c>
      <c r="E963" s="25" t="str">
        <f>IF('ASS START SYNC'!C967="SHOW",FIND(",,",'ASS START SYNC'!E967,1),"")</f>
        <v/>
      </c>
      <c r="F963" s="25" t="str">
        <f>IF('ASS START SYNC'!C967="SHOW",FIND(",,",'ASS START SYNC'!E967,E963+1),"")</f>
        <v/>
      </c>
      <c r="G963" s="23" t="str">
        <f>IF('ASS START SYNC'!C967="SHOW",LEFT('ASS START SYNC'!E967,B963),"")</f>
        <v/>
      </c>
      <c r="H963" s="24" t="str">
        <f>IF(AND('ASS START SYNC'!C967="SHOW",COUNTA('ASS START SYNC'!$E$8:'ASS START SYNC'!E966)=0),MID('ASS START SYNC'!E967,B963+1,C963-B963-1),IF(AND('ASS START SYNC'!C967="SHOW",COUNTA('ASS START SYNC'!$E$8:'ASS START SYNC'!E966)&lt;&gt;0),I962,""))</f>
        <v/>
      </c>
      <c r="I963" s="24" t="str">
        <f>IF('ASS START SYNC'!C967="SHOW",MID('ASS START SYNC'!E967,C963+1,D963-C963-1),I962)</f>
        <v/>
      </c>
      <c r="J963" s="23" t="str">
        <f>IF('ASS START SYNC'!C967="SHOW",MID('ASS START SYNC'!E967,D963+1,F963-D963+1),"")</f>
        <v/>
      </c>
      <c r="K963" s="23" t="str">
        <f>IF('ASS START SYNC'!C967="SHOW",MID('ASS START SYNC'!E967,F963+2,1000),"")</f>
        <v/>
      </c>
      <c r="M963" s="24"/>
      <c r="N963" s="26">
        <v>960</v>
      </c>
      <c r="O963" s="24" t="str">
        <f>IF('ASS END SYNC'!C967="SHOW",FIND(",",'ASS END SYNC'!E967,1),"")</f>
        <v/>
      </c>
      <c r="P963" s="24" t="str">
        <f>IF('ASS END SYNC'!C967="SHOW",FIND(",",'ASS END SYNC'!E967,O963+1),"")</f>
        <v/>
      </c>
      <c r="Q963" s="24" t="str">
        <f>IF('ASS END SYNC'!C967="SHOW",FIND(",",'ASS END SYNC'!E967,P963+1),"")</f>
        <v/>
      </c>
      <c r="R963" s="25" t="str">
        <f>IF('ASS END SYNC'!C967="SHOW",FIND(",,",'ASS END SYNC'!E967,1),"")</f>
        <v/>
      </c>
      <c r="S963" s="25" t="str">
        <f>IF('ASS END SYNC'!C967="SHOW",FIND(",,",'ASS END SYNC'!E967,R963+1),"")</f>
        <v/>
      </c>
      <c r="T963" s="23" t="str">
        <f>IF('ASS END SYNC'!C967="SHOW",LEFT('ASS END SYNC'!E967,O963),"")</f>
        <v/>
      </c>
      <c r="U963" s="24" t="str">
        <f>IF('ASS END SYNC'!C967="SHOW",MID('ASS END SYNC'!E967,O963+1,P963-O963-1),"")</f>
        <v/>
      </c>
      <c r="V963" s="24" t="str">
        <f>IF(AND('ASS END SYNC'!C967="SHOW",'ASS END SYNC'!C968="SHOW"),U964,IF(AND('ASS END SYNC'!C967="SHOW",'ASS END SYNC'!C968&lt;&gt;"SHOW"),MID('ASS END SYNC'!E967,O963+1,P963-O963-1),""))</f>
        <v/>
      </c>
      <c r="W963" s="23" t="str">
        <f>IF('ASS END SYNC'!C967="SHOW",MID('ASS END SYNC'!E967,Q963+1,S963-Q963+1),"")</f>
        <v/>
      </c>
      <c r="X963" s="23" t="str">
        <f>IF('ASS END SYNC'!C967="SHOW",MID('ASS END SYNC'!E967,S963+2,1000),"")</f>
        <v/>
      </c>
      <c r="Z963" s="24"/>
    </row>
    <row r="964" spans="1:26" x14ac:dyDescent="0.25">
      <c r="A964" s="26">
        <v>961</v>
      </c>
      <c r="B964" s="24" t="str">
        <f>IF('ASS START SYNC'!C968="SHOW",FIND(",",'ASS START SYNC'!E968,1),"")</f>
        <v/>
      </c>
      <c r="C964" s="24" t="str">
        <f>IF('ASS START SYNC'!C968="SHOW",FIND(",",'ASS START SYNC'!E968,B964+1),"")</f>
        <v/>
      </c>
      <c r="D964" s="24" t="str">
        <f>IF('ASS START SYNC'!C968="SHOW",FIND(",",'ASS START SYNC'!E968,C964+1),"")</f>
        <v/>
      </c>
      <c r="E964" s="25" t="str">
        <f>IF('ASS START SYNC'!C968="SHOW",FIND(",,",'ASS START SYNC'!E968,1),"")</f>
        <v/>
      </c>
      <c r="F964" s="25" t="str">
        <f>IF('ASS START SYNC'!C968="SHOW",FIND(",,",'ASS START SYNC'!E968,E964+1),"")</f>
        <v/>
      </c>
      <c r="G964" s="23" t="str">
        <f>IF('ASS START SYNC'!C968="SHOW",LEFT('ASS START SYNC'!E968,B964),"")</f>
        <v/>
      </c>
      <c r="H964" s="24" t="str">
        <f>IF(AND('ASS START SYNC'!C968="SHOW",COUNTA('ASS START SYNC'!$E$8:'ASS START SYNC'!E967)=0),MID('ASS START SYNC'!E968,B964+1,C964-B964-1),IF(AND('ASS START SYNC'!C968="SHOW",COUNTA('ASS START SYNC'!$E$8:'ASS START SYNC'!E967)&lt;&gt;0),I963,""))</f>
        <v/>
      </c>
      <c r="I964" s="24" t="str">
        <f>IF('ASS START SYNC'!C968="SHOW",MID('ASS START SYNC'!E968,C964+1,D964-C964-1),I963)</f>
        <v/>
      </c>
      <c r="J964" s="23" t="str">
        <f>IF('ASS START SYNC'!C968="SHOW",MID('ASS START SYNC'!E968,D964+1,F964-D964+1),"")</f>
        <v/>
      </c>
      <c r="K964" s="23" t="str">
        <f>IF('ASS START SYNC'!C968="SHOW",MID('ASS START SYNC'!E968,F964+2,1000),"")</f>
        <v/>
      </c>
      <c r="M964" s="24"/>
      <c r="N964" s="26">
        <v>961</v>
      </c>
      <c r="O964" s="24" t="str">
        <f>IF('ASS END SYNC'!C968="SHOW",FIND(",",'ASS END SYNC'!E968,1),"")</f>
        <v/>
      </c>
      <c r="P964" s="24" t="str">
        <f>IF('ASS END SYNC'!C968="SHOW",FIND(",",'ASS END SYNC'!E968,O964+1),"")</f>
        <v/>
      </c>
      <c r="Q964" s="24" t="str">
        <f>IF('ASS END SYNC'!C968="SHOW",FIND(",",'ASS END SYNC'!E968,P964+1),"")</f>
        <v/>
      </c>
      <c r="R964" s="25" t="str">
        <f>IF('ASS END SYNC'!C968="SHOW",FIND(",,",'ASS END SYNC'!E968,1),"")</f>
        <v/>
      </c>
      <c r="S964" s="25" t="str">
        <f>IF('ASS END SYNC'!C968="SHOW",FIND(",,",'ASS END SYNC'!E968,R964+1),"")</f>
        <v/>
      </c>
      <c r="T964" s="23" t="str">
        <f>IF('ASS END SYNC'!C968="SHOW",LEFT('ASS END SYNC'!E968,O964),"")</f>
        <v/>
      </c>
      <c r="U964" s="24" t="str">
        <f>IF('ASS END SYNC'!C968="SHOW",MID('ASS END SYNC'!E968,O964+1,P964-O964-1),"")</f>
        <v/>
      </c>
      <c r="V964" s="24" t="str">
        <f>IF(AND('ASS END SYNC'!C968="SHOW",'ASS END SYNC'!C969="SHOW"),U965,IF(AND('ASS END SYNC'!C968="SHOW",'ASS END SYNC'!C969&lt;&gt;"SHOW"),MID('ASS END SYNC'!E968,O964+1,P964-O964-1),""))</f>
        <v/>
      </c>
      <c r="W964" s="23" t="str">
        <f>IF('ASS END SYNC'!C968="SHOW",MID('ASS END SYNC'!E968,Q964+1,S964-Q964+1),"")</f>
        <v/>
      </c>
      <c r="X964" s="23" t="str">
        <f>IF('ASS END SYNC'!C968="SHOW",MID('ASS END SYNC'!E968,S964+2,1000),"")</f>
        <v/>
      </c>
      <c r="Z964" s="24"/>
    </row>
    <row r="965" spans="1:26" x14ac:dyDescent="0.25">
      <c r="A965" s="26">
        <v>962</v>
      </c>
      <c r="B965" s="24" t="str">
        <f>IF('ASS START SYNC'!C969="SHOW",FIND(",",'ASS START SYNC'!E969,1),"")</f>
        <v/>
      </c>
      <c r="C965" s="24" t="str">
        <f>IF('ASS START SYNC'!C969="SHOW",FIND(",",'ASS START SYNC'!E969,B965+1),"")</f>
        <v/>
      </c>
      <c r="D965" s="24" t="str">
        <f>IF('ASS START SYNC'!C969="SHOW",FIND(",",'ASS START SYNC'!E969,C965+1),"")</f>
        <v/>
      </c>
      <c r="E965" s="25" t="str">
        <f>IF('ASS START SYNC'!C969="SHOW",FIND(",,",'ASS START SYNC'!E969,1),"")</f>
        <v/>
      </c>
      <c r="F965" s="25" t="str">
        <f>IF('ASS START SYNC'!C969="SHOW",FIND(",,",'ASS START SYNC'!E969,E965+1),"")</f>
        <v/>
      </c>
      <c r="G965" s="23" t="str">
        <f>IF('ASS START SYNC'!C969="SHOW",LEFT('ASS START SYNC'!E969,B965),"")</f>
        <v/>
      </c>
      <c r="H965" s="24" t="str">
        <f>IF(AND('ASS START SYNC'!C969="SHOW",COUNTA('ASS START SYNC'!$E$8:'ASS START SYNC'!E968)=0),MID('ASS START SYNC'!E969,B965+1,C965-B965-1),IF(AND('ASS START SYNC'!C969="SHOW",COUNTA('ASS START SYNC'!$E$8:'ASS START SYNC'!E968)&lt;&gt;0),I964,""))</f>
        <v/>
      </c>
      <c r="I965" s="24" t="str">
        <f>IF('ASS START SYNC'!C969="SHOW",MID('ASS START SYNC'!E969,C965+1,D965-C965-1),I964)</f>
        <v/>
      </c>
      <c r="J965" s="23" t="str">
        <f>IF('ASS START SYNC'!C969="SHOW",MID('ASS START SYNC'!E969,D965+1,F965-D965+1),"")</f>
        <v/>
      </c>
      <c r="K965" s="23" t="str">
        <f>IF('ASS START SYNC'!C969="SHOW",MID('ASS START SYNC'!E969,F965+2,1000),"")</f>
        <v/>
      </c>
      <c r="M965" s="24"/>
      <c r="N965" s="26">
        <v>962</v>
      </c>
      <c r="O965" s="24" t="str">
        <f>IF('ASS END SYNC'!C969="SHOW",FIND(",",'ASS END SYNC'!E969,1),"")</f>
        <v/>
      </c>
      <c r="P965" s="24" t="str">
        <f>IF('ASS END SYNC'!C969="SHOW",FIND(",",'ASS END SYNC'!E969,O965+1),"")</f>
        <v/>
      </c>
      <c r="Q965" s="24" t="str">
        <f>IF('ASS END SYNC'!C969="SHOW",FIND(",",'ASS END SYNC'!E969,P965+1),"")</f>
        <v/>
      </c>
      <c r="R965" s="25" t="str">
        <f>IF('ASS END SYNC'!C969="SHOW",FIND(",,",'ASS END SYNC'!E969,1),"")</f>
        <v/>
      </c>
      <c r="S965" s="25" t="str">
        <f>IF('ASS END SYNC'!C969="SHOW",FIND(",,",'ASS END SYNC'!E969,R965+1),"")</f>
        <v/>
      </c>
      <c r="T965" s="23" t="str">
        <f>IF('ASS END SYNC'!C969="SHOW",LEFT('ASS END SYNC'!E969,O965),"")</f>
        <v/>
      </c>
      <c r="U965" s="24" t="str">
        <f>IF('ASS END SYNC'!C969="SHOW",MID('ASS END SYNC'!E969,O965+1,P965-O965-1),"")</f>
        <v/>
      </c>
      <c r="V965" s="24" t="str">
        <f>IF(AND('ASS END SYNC'!C969="SHOW",'ASS END SYNC'!C970="SHOW"),U966,IF(AND('ASS END SYNC'!C969="SHOW",'ASS END SYNC'!C970&lt;&gt;"SHOW"),MID('ASS END SYNC'!E969,O965+1,P965-O965-1),""))</f>
        <v/>
      </c>
      <c r="W965" s="23" t="str">
        <f>IF('ASS END SYNC'!C969="SHOW",MID('ASS END SYNC'!E969,Q965+1,S965-Q965+1),"")</f>
        <v/>
      </c>
      <c r="X965" s="23" t="str">
        <f>IF('ASS END SYNC'!C969="SHOW",MID('ASS END SYNC'!E969,S965+2,1000),"")</f>
        <v/>
      </c>
      <c r="Z965" s="24"/>
    </row>
    <row r="966" spans="1:26" x14ac:dyDescent="0.25">
      <c r="A966" s="26">
        <v>963</v>
      </c>
      <c r="B966" s="24" t="str">
        <f>IF('ASS START SYNC'!C970="SHOW",FIND(",",'ASS START SYNC'!E970,1),"")</f>
        <v/>
      </c>
      <c r="C966" s="24" t="str">
        <f>IF('ASS START SYNC'!C970="SHOW",FIND(",",'ASS START SYNC'!E970,B966+1),"")</f>
        <v/>
      </c>
      <c r="D966" s="24" t="str">
        <f>IF('ASS START SYNC'!C970="SHOW",FIND(",",'ASS START SYNC'!E970,C966+1),"")</f>
        <v/>
      </c>
      <c r="E966" s="25" t="str">
        <f>IF('ASS START SYNC'!C970="SHOW",FIND(",,",'ASS START SYNC'!E970,1),"")</f>
        <v/>
      </c>
      <c r="F966" s="25" t="str">
        <f>IF('ASS START SYNC'!C970="SHOW",FIND(",,",'ASS START SYNC'!E970,E966+1),"")</f>
        <v/>
      </c>
      <c r="G966" s="23" t="str">
        <f>IF('ASS START SYNC'!C970="SHOW",LEFT('ASS START SYNC'!E970,B966),"")</f>
        <v/>
      </c>
      <c r="H966" s="24" t="str">
        <f>IF(AND('ASS START SYNC'!C970="SHOW",COUNTA('ASS START SYNC'!$E$8:'ASS START SYNC'!E969)=0),MID('ASS START SYNC'!E970,B966+1,C966-B966-1),IF(AND('ASS START SYNC'!C970="SHOW",COUNTA('ASS START SYNC'!$E$8:'ASS START SYNC'!E969)&lt;&gt;0),I965,""))</f>
        <v/>
      </c>
      <c r="I966" s="24" t="str">
        <f>IF('ASS START SYNC'!C970="SHOW",MID('ASS START SYNC'!E970,C966+1,D966-C966-1),I965)</f>
        <v/>
      </c>
      <c r="J966" s="23" t="str">
        <f>IF('ASS START SYNC'!C970="SHOW",MID('ASS START SYNC'!E970,D966+1,F966-D966+1),"")</f>
        <v/>
      </c>
      <c r="K966" s="23" t="str">
        <f>IF('ASS START SYNC'!C970="SHOW",MID('ASS START SYNC'!E970,F966+2,1000),"")</f>
        <v/>
      </c>
      <c r="M966" s="24"/>
      <c r="N966" s="26">
        <v>963</v>
      </c>
      <c r="O966" s="24" t="str">
        <f>IF('ASS END SYNC'!C970="SHOW",FIND(",",'ASS END SYNC'!E970,1),"")</f>
        <v/>
      </c>
      <c r="P966" s="24" t="str">
        <f>IF('ASS END SYNC'!C970="SHOW",FIND(",",'ASS END SYNC'!E970,O966+1),"")</f>
        <v/>
      </c>
      <c r="Q966" s="24" t="str">
        <f>IF('ASS END SYNC'!C970="SHOW",FIND(",",'ASS END SYNC'!E970,P966+1),"")</f>
        <v/>
      </c>
      <c r="R966" s="25" t="str">
        <f>IF('ASS END SYNC'!C970="SHOW",FIND(",,",'ASS END SYNC'!E970,1),"")</f>
        <v/>
      </c>
      <c r="S966" s="25" t="str">
        <f>IF('ASS END SYNC'!C970="SHOW",FIND(",,",'ASS END SYNC'!E970,R966+1),"")</f>
        <v/>
      </c>
      <c r="T966" s="23" t="str">
        <f>IF('ASS END SYNC'!C970="SHOW",LEFT('ASS END SYNC'!E970,O966),"")</f>
        <v/>
      </c>
      <c r="U966" s="24" t="str">
        <f>IF('ASS END SYNC'!C970="SHOW",MID('ASS END SYNC'!E970,O966+1,P966-O966-1),"")</f>
        <v/>
      </c>
      <c r="V966" s="24" t="str">
        <f>IF(AND('ASS END SYNC'!C970="SHOW",'ASS END SYNC'!C971="SHOW"),U967,IF(AND('ASS END SYNC'!C970="SHOW",'ASS END SYNC'!C971&lt;&gt;"SHOW"),MID('ASS END SYNC'!E970,O966+1,P966-O966-1),""))</f>
        <v/>
      </c>
      <c r="W966" s="23" t="str">
        <f>IF('ASS END SYNC'!C970="SHOW",MID('ASS END SYNC'!E970,Q966+1,S966-Q966+1),"")</f>
        <v/>
      </c>
      <c r="X966" s="23" t="str">
        <f>IF('ASS END SYNC'!C970="SHOW",MID('ASS END SYNC'!E970,S966+2,1000),"")</f>
        <v/>
      </c>
      <c r="Z966" s="24"/>
    </row>
    <row r="967" spans="1:26" x14ac:dyDescent="0.25">
      <c r="A967" s="26">
        <v>964</v>
      </c>
      <c r="B967" s="24" t="str">
        <f>IF('ASS START SYNC'!C971="SHOW",FIND(",",'ASS START SYNC'!E971,1),"")</f>
        <v/>
      </c>
      <c r="C967" s="24" t="str">
        <f>IF('ASS START SYNC'!C971="SHOW",FIND(",",'ASS START SYNC'!E971,B967+1),"")</f>
        <v/>
      </c>
      <c r="D967" s="24" t="str">
        <f>IF('ASS START SYNC'!C971="SHOW",FIND(",",'ASS START SYNC'!E971,C967+1),"")</f>
        <v/>
      </c>
      <c r="E967" s="25" t="str">
        <f>IF('ASS START SYNC'!C971="SHOW",FIND(",,",'ASS START SYNC'!E971,1),"")</f>
        <v/>
      </c>
      <c r="F967" s="25" t="str">
        <f>IF('ASS START SYNC'!C971="SHOW",FIND(",,",'ASS START SYNC'!E971,E967+1),"")</f>
        <v/>
      </c>
      <c r="G967" s="23" t="str">
        <f>IF('ASS START SYNC'!C971="SHOW",LEFT('ASS START SYNC'!E971,B967),"")</f>
        <v/>
      </c>
      <c r="H967" s="24" t="str">
        <f>IF(AND('ASS START SYNC'!C971="SHOW",COUNTA('ASS START SYNC'!$E$8:'ASS START SYNC'!E970)=0),MID('ASS START SYNC'!E971,B967+1,C967-B967-1),IF(AND('ASS START SYNC'!C971="SHOW",COUNTA('ASS START SYNC'!$E$8:'ASS START SYNC'!E970)&lt;&gt;0),I966,""))</f>
        <v/>
      </c>
      <c r="I967" s="24" t="str">
        <f>IF('ASS START SYNC'!C971="SHOW",MID('ASS START SYNC'!E971,C967+1,D967-C967-1),I966)</f>
        <v/>
      </c>
      <c r="J967" s="23" t="str">
        <f>IF('ASS START SYNC'!C971="SHOW",MID('ASS START SYNC'!E971,D967+1,F967-D967+1),"")</f>
        <v/>
      </c>
      <c r="K967" s="23" t="str">
        <f>IF('ASS START SYNC'!C971="SHOW",MID('ASS START SYNC'!E971,F967+2,1000),"")</f>
        <v/>
      </c>
      <c r="M967" s="24"/>
      <c r="N967" s="26">
        <v>964</v>
      </c>
      <c r="O967" s="24" t="str">
        <f>IF('ASS END SYNC'!C971="SHOW",FIND(",",'ASS END SYNC'!E971,1),"")</f>
        <v/>
      </c>
      <c r="P967" s="24" t="str">
        <f>IF('ASS END SYNC'!C971="SHOW",FIND(",",'ASS END SYNC'!E971,O967+1),"")</f>
        <v/>
      </c>
      <c r="Q967" s="24" t="str">
        <f>IF('ASS END SYNC'!C971="SHOW",FIND(",",'ASS END SYNC'!E971,P967+1),"")</f>
        <v/>
      </c>
      <c r="R967" s="25" t="str">
        <f>IF('ASS END SYNC'!C971="SHOW",FIND(",,",'ASS END SYNC'!E971,1),"")</f>
        <v/>
      </c>
      <c r="S967" s="25" t="str">
        <f>IF('ASS END SYNC'!C971="SHOW",FIND(",,",'ASS END SYNC'!E971,R967+1),"")</f>
        <v/>
      </c>
      <c r="T967" s="23" t="str">
        <f>IF('ASS END SYNC'!C971="SHOW",LEFT('ASS END SYNC'!E971,O967),"")</f>
        <v/>
      </c>
      <c r="U967" s="24" t="str">
        <f>IF('ASS END SYNC'!C971="SHOW",MID('ASS END SYNC'!E971,O967+1,P967-O967-1),"")</f>
        <v/>
      </c>
      <c r="V967" s="24" t="str">
        <f>IF(AND('ASS END SYNC'!C971="SHOW",'ASS END SYNC'!C972="SHOW"),U968,IF(AND('ASS END SYNC'!C971="SHOW",'ASS END SYNC'!C972&lt;&gt;"SHOW"),MID('ASS END SYNC'!E971,O967+1,P967-O967-1),""))</f>
        <v/>
      </c>
      <c r="W967" s="23" t="str">
        <f>IF('ASS END SYNC'!C971="SHOW",MID('ASS END SYNC'!E971,Q967+1,S967-Q967+1),"")</f>
        <v/>
      </c>
      <c r="X967" s="23" t="str">
        <f>IF('ASS END SYNC'!C971="SHOW",MID('ASS END SYNC'!E971,S967+2,1000),"")</f>
        <v/>
      </c>
      <c r="Z967" s="24"/>
    </row>
    <row r="968" spans="1:26" x14ac:dyDescent="0.25">
      <c r="A968" s="26">
        <v>965</v>
      </c>
      <c r="B968" s="24" t="str">
        <f>IF('ASS START SYNC'!C972="SHOW",FIND(",",'ASS START SYNC'!E972,1),"")</f>
        <v/>
      </c>
      <c r="C968" s="24" t="str">
        <f>IF('ASS START SYNC'!C972="SHOW",FIND(",",'ASS START SYNC'!E972,B968+1),"")</f>
        <v/>
      </c>
      <c r="D968" s="24" t="str">
        <f>IF('ASS START SYNC'!C972="SHOW",FIND(",",'ASS START SYNC'!E972,C968+1),"")</f>
        <v/>
      </c>
      <c r="E968" s="25" t="str">
        <f>IF('ASS START SYNC'!C972="SHOW",FIND(",,",'ASS START SYNC'!E972,1),"")</f>
        <v/>
      </c>
      <c r="F968" s="25" t="str">
        <f>IF('ASS START SYNC'!C972="SHOW",FIND(",,",'ASS START SYNC'!E972,E968+1),"")</f>
        <v/>
      </c>
      <c r="G968" s="23" t="str">
        <f>IF('ASS START SYNC'!C972="SHOW",LEFT('ASS START SYNC'!E972,B968),"")</f>
        <v/>
      </c>
      <c r="H968" s="24" t="str">
        <f>IF(AND('ASS START SYNC'!C972="SHOW",COUNTA('ASS START SYNC'!$E$8:'ASS START SYNC'!E971)=0),MID('ASS START SYNC'!E972,B968+1,C968-B968-1),IF(AND('ASS START SYNC'!C972="SHOW",COUNTA('ASS START SYNC'!$E$8:'ASS START SYNC'!E971)&lt;&gt;0),I967,""))</f>
        <v/>
      </c>
      <c r="I968" s="24" t="str">
        <f>IF('ASS START SYNC'!C972="SHOW",MID('ASS START SYNC'!E972,C968+1,D968-C968-1),I967)</f>
        <v/>
      </c>
      <c r="J968" s="23" t="str">
        <f>IF('ASS START SYNC'!C972="SHOW",MID('ASS START SYNC'!E972,D968+1,F968-D968+1),"")</f>
        <v/>
      </c>
      <c r="K968" s="23" t="str">
        <f>IF('ASS START SYNC'!C972="SHOW",MID('ASS START SYNC'!E972,F968+2,1000),"")</f>
        <v/>
      </c>
      <c r="M968" s="24"/>
      <c r="N968" s="26">
        <v>965</v>
      </c>
      <c r="O968" s="24" t="str">
        <f>IF('ASS END SYNC'!C972="SHOW",FIND(",",'ASS END SYNC'!E972,1),"")</f>
        <v/>
      </c>
      <c r="P968" s="24" t="str">
        <f>IF('ASS END SYNC'!C972="SHOW",FIND(",",'ASS END SYNC'!E972,O968+1),"")</f>
        <v/>
      </c>
      <c r="Q968" s="24" t="str">
        <f>IF('ASS END SYNC'!C972="SHOW",FIND(",",'ASS END SYNC'!E972,P968+1),"")</f>
        <v/>
      </c>
      <c r="R968" s="25" t="str">
        <f>IF('ASS END SYNC'!C972="SHOW",FIND(",,",'ASS END SYNC'!E972,1),"")</f>
        <v/>
      </c>
      <c r="S968" s="25" t="str">
        <f>IF('ASS END SYNC'!C972="SHOW",FIND(",,",'ASS END SYNC'!E972,R968+1),"")</f>
        <v/>
      </c>
      <c r="T968" s="23" t="str">
        <f>IF('ASS END SYNC'!C972="SHOW",LEFT('ASS END SYNC'!E972,O968),"")</f>
        <v/>
      </c>
      <c r="U968" s="24" t="str">
        <f>IF('ASS END SYNC'!C972="SHOW",MID('ASS END SYNC'!E972,O968+1,P968-O968-1),"")</f>
        <v/>
      </c>
      <c r="V968" s="24" t="str">
        <f>IF(AND('ASS END SYNC'!C972="SHOW",'ASS END SYNC'!C973="SHOW"),U969,IF(AND('ASS END SYNC'!C972="SHOW",'ASS END SYNC'!C973&lt;&gt;"SHOW"),MID('ASS END SYNC'!E972,O968+1,P968-O968-1),""))</f>
        <v/>
      </c>
      <c r="W968" s="23" t="str">
        <f>IF('ASS END SYNC'!C972="SHOW",MID('ASS END SYNC'!E972,Q968+1,S968-Q968+1),"")</f>
        <v/>
      </c>
      <c r="X968" s="23" t="str">
        <f>IF('ASS END SYNC'!C972="SHOW",MID('ASS END SYNC'!E972,S968+2,1000),"")</f>
        <v/>
      </c>
      <c r="Z968" s="24"/>
    </row>
    <row r="969" spans="1:26" x14ac:dyDescent="0.25">
      <c r="A969" s="26">
        <v>966</v>
      </c>
      <c r="B969" s="24" t="str">
        <f>IF('ASS START SYNC'!C973="SHOW",FIND(",",'ASS START SYNC'!E973,1),"")</f>
        <v/>
      </c>
      <c r="C969" s="24" t="str">
        <f>IF('ASS START SYNC'!C973="SHOW",FIND(",",'ASS START SYNC'!E973,B969+1),"")</f>
        <v/>
      </c>
      <c r="D969" s="24" t="str">
        <f>IF('ASS START SYNC'!C973="SHOW",FIND(",",'ASS START SYNC'!E973,C969+1),"")</f>
        <v/>
      </c>
      <c r="E969" s="25" t="str">
        <f>IF('ASS START SYNC'!C973="SHOW",FIND(",,",'ASS START SYNC'!E973,1),"")</f>
        <v/>
      </c>
      <c r="F969" s="25" t="str">
        <f>IF('ASS START SYNC'!C973="SHOW",FIND(",,",'ASS START SYNC'!E973,E969+1),"")</f>
        <v/>
      </c>
      <c r="G969" s="23" t="str">
        <f>IF('ASS START SYNC'!C973="SHOW",LEFT('ASS START SYNC'!E973,B969),"")</f>
        <v/>
      </c>
      <c r="H969" s="24" t="str">
        <f>IF(AND('ASS START SYNC'!C973="SHOW",COUNTA('ASS START SYNC'!$E$8:'ASS START SYNC'!E972)=0),MID('ASS START SYNC'!E973,B969+1,C969-B969-1),IF(AND('ASS START SYNC'!C973="SHOW",COUNTA('ASS START SYNC'!$E$8:'ASS START SYNC'!E972)&lt;&gt;0),I968,""))</f>
        <v/>
      </c>
      <c r="I969" s="24" t="str">
        <f>IF('ASS START SYNC'!C973="SHOW",MID('ASS START SYNC'!E973,C969+1,D969-C969-1),I968)</f>
        <v/>
      </c>
      <c r="J969" s="23" t="str">
        <f>IF('ASS START SYNC'!C973="SHOW",MID('ASS START SYNC'!E973,D969+1,F969-D969+1),"")</f>
        <v/>
      </c>
      <c r="K969" s="23" t="str">
        <f>IF('ASS START SYNC'!C973="SHOW",MID('ASS START SYNC'!E973,F969+2,1000),"")</f>
        <v/>
      </c>
      <c r="M969" s="24"/>
      <c r="N969" s="26">
        <v>966</v>
      </c>
      <c r="O969" s="24" t="str">
        <f>IF('ASS END SYNC'!C973="SHOW",FIND(",",'ASS END SYNC'!E973,1),"")</f>
        <v/>
      </c>
      <c r="P969" s="24" t="str">
        <f>IF('ASS END SYNC'!C973="SHOW",FIND(",",'ASS END SYNC'!E973,O969+1),"")</f>
        <v/>
      </c>
      <c r="Q969" s="24" t="str">
        <f>IF('ASS END SYNC'!C973="SHOW",FIND(",",'ASS END SYNC'!E973,P969+1),"")</f>
        <v/>
      </c>
      <c r="R969" s="25" t="str">
        <f>IF('ASS END SYNC'!C973="SHOW",FIND(",,",'ASS END SYNC'!E973,1),"")</f>
        <v/>
      </c>
      <c r="S969" s="25" t="str">
        <f>IF('ASS END SYNC'!C973="SHOW",FIND(",,",'ASS END SYNC'!E973,R969+1),"")</f>
        <v/>
      </c>
      <c r="T969" s="23" t="str">
        <f>IF('ASS END SYNC'!C973="SHOW",LEFT('ASS END SYNC'!E973,O969),"")</f>
        <v/>
      </c>
      <c r="U969" s="24" t="str">
        <f>IF('ASS END SYNC'!C973="SHOW",MID('ASS END SYNC'!E973,O969+1,P969-O969-1),"")</f>
        <v/>
      </c>
      <c r="V969" s="24" t="str">
        <f>IF(AND('ASS END SYNC'!C973="SHOW",'ASS END SYNC'!C974="SHOW"),U970,IF(AND('ASS END SYNC'!C973="SHOW",'ASS END SYNC'!C974&lt;&gt;"SHOW"),MID('ASS END SYNC'!E973,O969+1,P969-O969-1),""))</f>
        <v/>
      </c>
      <c r="W969" s="23" t="str">
        <f>IF('ASS END SYNC'!C973="SHOW",MID('ASS END SYNC'!E973,Q969+1,S969-Q969+1),"")</f>
        <v/>
      </c>
      <c r="X969" s="23" t="str">
        <f>IF('ASS END SYNC'!C973="SHOW",MID('ASS END SYNC'!E973,S969+2,1000),"")</f>
        <v/>
      </c>
      <c r="Z969" s="24"/>
    </row>
    <row r="970" spans="1:26" x14ac:dyDescent="0.25">
      <c r="A970" s="26">
        <v>967</v>
      </c>
      <c r="B970" s="24" t="str">
        <f>IF('ASS START SYNC'!C974="SHOW",FIND(",",'ASS START SYNC'!E974,1),"")</f>
        <v/>
      </c>
      <c r="C970" s="24" t="str">
        <f>IF('ASS START SYNC'!C974="SHOW",FIND(",",'ASS START SYNC'!E974,B970+1),"")</f>
        <v/>
      </c>
      <c r="D970" s="24" t="str">
        <f>IF('ASS START SYNC'!C974="SHOW",FIND(",",'ASS START SYNC'!E974,C970+1),"")</f>
        <v/>
      </c>
      <c r="E970" s="25" t="str">
        <f>IF('ASS START SYNC'!C974="SHOW",FIND(",,",'ASS START SYNC'!E974,1),"")</f>
        <v/>
      </c>
      <c r="F970" s="25" t="str">
        <f>IF('ASS START SYNC'!C974="SHOW",FIND(",,",'ASS START SYNC'!E974,E970+1),"")</f>
        <v/>
      </c>
      <c r="G970" s="23" t="str">
        <f>IF('ASS START SYNC'!C974="SHOW",LEFT('ASS START SYNC'!E974,B970),"")</f>
        <v/>
      </c>
      <c r="H970" s="24" t="str">
        <f>IF(AND('ASS START SYNC'!C974="SHOW",COUNTA('ASS START SYNC'!$E$8:'ASS START SYNC'!E973)=0),MID('ASS START SYNC'!E974,B970+1,C970-B970-1),IF(AND('ASS START SYNC'!C974="SHOW",COUNTA('ASS START SYNC'!$E$8:'ASS START SYNC'!E973)&lt;&gt;0),I969,""))</f>
        <v/>
      </c>
      <c r="I970" s="24" t="str">
        <f>IF('ASS START SYNC'!C974="SHOW",MID('ASS START SYNC'!E974,C970+1,D970-C970-1),I969)</f>
        <v/>
      </c>
      <c r="J970" s="23" t="str">
        <f>IF('ASS START SYNC'!C974="SHOW",MID('ASS START SYNC'!E974,D970+1,F970-D970+1),"")</f>
        <v/>
      </c>
      <c r="K970" s="23" t="str">
        <f>IF('ASS START SYNC'!C974="SHOW",MID('ASS START SYNC'!E974,F970+2,1000),"")</f>
        <v/>
      </c>
      <c r="M970" s="24"/>
      <c r="N970" s="26">
        <v>967</v>
      </c>
      <c r="O970" s="24" t="str">
        <f>IF('ASS END SYNC'!C974="SHOW",FIND(",",'ASS END SYNC'!E974,1),"")</f>
        <v/>
      </c>
      <c r="P970" s="24" t="str">
        <f>IF('ASS END SYNC'!C974="SHOW",FIND(",",'ASS END SYNC'!E974,O970+1),"")</f>
        <v/>
      </c>
      <c r="Q970" s="24" t="str">
        <f>IF('ASS END SYNC'!C974="SHOW",FIND(",",'ASS END SYNC'!E974,P970+1),"")</f>
        <v/>
      </c>
      <c r="R970" s="25" t="str">
        <f>IF('ASS END SYNC'!C974="SHOW",FIND(",,",'ASS END SYNC'!E974,1),"")</f>
        <v/>
      </c>
      <c r="S970" s="25" t="str">
        <f>IF('ASS END SYNC'!C974="SHOW",FIND(",,",'ASS END SYNC'!E974,R970+1),"")</f>
        <v/>
      </c>
      <c r="T970" s="23" t="str">
        <f>IF('ASS END SYNC'!C974="SHOW",LEFT('ASS END SYNC'!E974,O970),"")</f>
        <v/>
      </c>
      <c r="U970" s="24" t="str">
        <f>IF('ASS END SYNC'!C974="SHOW",MID('ASS END SYNC'!E974,O970+1,P970-O970-1),"")</f>
        <v/>
      </c>
      <c r="V970" s="24" t="str">
        <f>IF(AND('ASS END SYNC'!C974="SHOW",'ASS END SYNC'!C975="SHOW"),U971,IF(AND('ASS END SYNC'!C974="SHOW",'ASS END SYNC'!C975&lt;&gt;"SHOW"),MID('ASS END SYNC'!E974,O970+1,P970-O970-1),""))</f>
        <v/>
      </c>
      <c r="W970" s="23" t="str">
        <f>IF('ASS END SYNC'!C974="SHOW",MID('ASS END SYNC'!E974,Q970+1,S970-Q970+1),"")</f>
        <v/>
      </c>
      <c r="X970" s="23" t="str">
        <f>IF('ASS END SYNC'!C974="SHOW",MID('ASS END SYNC'!E974,S970+2,1000),"")</f>
        <v/>
      </c>
      <c r="Z970" s="24"/>
    </row>
    <row r="971" spans="1:26" x14ac:dyDescent="0.25">
      <c r="A971" s="26">
        <v>968</v>
      </c>
      <c r="B971" s="24" t="str">
        <f>IF('ASS START SYNC'!C975="SHOW",FIND(",",'ASS START SYNC'!E975,1),"")</f>
        <v/>
      </c>
      <c r="C971" s="24" t="str">
        <f>IF('ASS START SYNC'!C975="SHOW",FIND(",",'ASS START SYNC'!E975,B971+1),"")</f>
        <v/>
      </c>
      <c r="D971" s="24" t="str">
        <f>IF('ASS START SYNC'!C975="SHOW",FIND(",",'ASS START SYNC'!E975,C971+1),"")</f>
        <v/>
      </c>
      <c r="E971" s="25" t="str">
        <f>IF('ASS START SYNC'!C975="SHOW",FIND(",,",'ASS START SYNC'!E975,1),"")</f>
        <v/>
      </c>
      <c r="F971" s="25" t="str">
        <f>IF('ASS START SYNC'!C975="SHOW",FIND(",,",'ASS START SYNC'!E975,E971+1),"")</f>
        <v/>
      </c>
      <c r="G971" s="23" t="str">
        <f>IF('ASS START SYNC'!C975="SHOW",LEFT('ASS START SYNC'!E975,B971),"")</f>
        <v/>
      </c>
      <c r="H971" s="24" t="str">
        <f>IF(AND('ASS START SYNC'!C975="SHOW",COUNTA('ASS START SYNC'!$E$8:'ASS START SYNC'!E974)=0),MID('ASS START SYNC'!E975,B971+1,C971-B971-1),IF(AND('ASS START SYNC'!C975="SHOW",COUNTA('ASS START SYNC'!$E$8:'ASS START SYNC'!E974)&lt;&gt;0),I970,""))</f>
        <v/>
      </c>
      <c r="I971" s="24" t="str">
        <f>IF('ASS START SYNC'!C975="SHOW",MID('ASS START SYNC'!E975,C971+1,D971-C971-1),I970)</f>
        <v/>
      </c>
      <c r="J971" s="23" t="str">
        <f>IF('ASS START SYNC'!C975="SHOW",MID('ASS START SYNC'!E975,D971+1,F971-D971+1),"")</f>
        <v/>
      </c>
      <c r="K971" s="23" t="str">
        <f>IF('ASS START SYNC'!C975="SHOW",MID('ASS START SYNC'!E975,F971+2,1000),"")</f>
        <v/>
      </c>
      <c r="M971" s="24"/>
      <c r="N971" s="26">
        <v>968</v>
      </c>
      <c r="O971" s="24" t="str">
        <f>IF('ASS END SYNC'!C975="SHOW",FIND(",",'ASS END SYNC'!E975,1),"")</f>
        <v/>
      </c>
      <c r="P971" s="24" t="str">
        <f>IF('ASS END SYNC'!C975="SHOW",FIND(",",'ASS END SYNC'!E975,O971+1),"")</f>
        <v/>
      </c>
      <c r="Q971" s="24" t="str">
        <f>IF('ASS END SYNC'!C975="SHOW",FIND(",",'ASS END SYNC'!E975,P971+1),"")</f>
        <v/>
      </c>
      <c r="R971" s="25" t="str">
        <f>IF('ASS END SYNC'!C975="SHOW",FIND(",,",'ASS END SYNC'!E975,1),"")</f>
        <v/>
      </c>
      <c r="S971" s="25" t="str">
        <f>IF('ASS END SYNC'!C975="SHOW",FIND(",,",'ASS END SYNC'!E975,R971+1),"")</f>
        <v/>
      </c>
      <c r="T971" s="23" t="str">
        <f>IF('ASS END SYNC'!C975="SHOW",LEFT('ASS END SYNC'!E975,O971),"")</f>
        <v/>
      </c>
      <c r="U971" s="24" t="str">
        <f>IF('ASS END SYNC'!C975="SHOW",MID('ASS END SYNC'!E975,O971+1,P971-O971-1),"")</f>
        <v/>
      </c>
      <c r="V971" s="24" t="str">
        <f>IF(AND('ASS END SYNC'!C975="SHOW",'ASS END SYNC'!C976="SHOW"),U972,IF(AND('ASS END SYNC'!C975="SHOW",'ASS END SYNC'!C976&lt;&gt;"SHOW"),MID('ASS END SYNC'!E975,O971+1,P971-O971-1),""))</f>
        <v/>
      </c>
      <c r="W971" s="23" t="str">
        <f>IF('ASS END SYNC'!C975="SHOW",MID('ASS END SYNC'!E975,Q971+1,S971-Q971+1),"")</f>
        <v/>
      </c>
      <c r="X971" s="23" t="str">
        <f>IF('ASS END SYNC'!C975="SHOW",MID('ASS END SYNC'!E975,S971+2,1000),"")</f>
        <v/>
      </c>
      <c r="Z971" s="24"/>
    </row>
    <row r="972" spans="1:26" x14ac:dyDescent="0.25">
      <c r="A972" s="26">
        <v>969</v>
      </c>
      <c r="B972" s="24" t="str">
        <f>IF('ASS START SYNC'!C976="SHOW",FIND(",",'ASS START SYNC'!E976,1),"")</f>
        <v/>
      </c>
      <c r="C972" s="24" t="str">
        <f>IF('ASS START SYNC'!C976="SHOW",FIND(",",'ASS START SYNC'!E976,B972+1),"")</f>
        <v/>
      </c>
      <c r="D972" s="24" t="str">
        <f>IF('ASS START SYNC'!C976="SHOW",FIND(",",'ASS START SYNC'!E976,C972+1),"")</f>
        <v/>
      </c>
      <c r="E972" s="25" t="str">
        <f>IF('ASS START SYNC'!C976="SHOW",FIND(",,",'ASS START SYNC'!E976,1),"")</f>
        <v/>
      </c>
      <c r="F972" s="25" t="str">
        <f>IF('ASS START SYNC'!C976="SHOW",FIND(",,",'ASS START SYNC'!E976,E972+1),"")</f>
        <v/>
      </c>
      <c r="G972" s="23" t="str">
        <f>IF('ASS START SYNC'!C976="SHOW",LEFT('ASS START SYNC'!E976,B972),"")</f>
        <v/>
      </c>
      <c r="H972" s="24" t="str">
        <f>IF(AND('ASS START SYNC'!C976="SHOW",COUNTA('ASS START SYNC'!$E$8:'ASS START SYNC'!E975)=0),MID('ASS START SYNC'!E976,B972+1,C972-B972-1),IF(AND('ASS START SYNC'!C976="SHOW",COUNTA('ASS START SYNC'!$E$8:'ASS START SYNC'!E975)&lt;&gt;0),I971,""))</f>
        <v/>
      </c>
      <c r="I972" s="24" t="str">
        <f>IF('ASS START SYNC'!C976="SHOW",MID('ASS START SYNC'!E976,C972+1,D972-C972-1),I971)</f>
        <v/>
      </c>
      <c r="J972" s="23" t="str">
        <f>IF('ASS START SYNC'!C976="SHOW",MID('ASS START SYNC'!E976,D972+1,F972-D972+1),"")</f>
        <v/>
      </c>
      <c r="K972" s="23" t="str">
        <f>IF('ASS START SYNC'!C976="SHOW",MID('ASS START SYNC'!E976,F972+2,1000),"")</f>
        <v/>
      </c>
      <c r="M972" s="24"/>
      <c r="N972" s="26">
        <v>969</v>
      </c>
      <c r="O972" s="24" t="str">
        <f>IF('ASS END SYNC'!C976="SHOW",FIND(",",'ASS END SYNC'!E976,1),"")</f>
        <v/>
      </c>
      <c r="P972" s="24" t="str">
        <f>IF('ASS END SYNC'!C976="SHOW",FIND(",",'ASS END SYNC'!E976,O972+1),"")</f>
        <v/>
      </c>
      <c r="Q972" s="24" t="str">
        <f>IF('ASS END SYNC'!C976="SHOW",FIND(",",'ASS END SYNC'!E976,P972+1),"")</f>
        <v/>
      </c>
      <c r="R972" s="25" t="str">
        <f>IF('ASS END SYNC'!C976="SHOW",FIND(",,",'ASS END SYNC'!E976,1),"")</f>
        <v/>
      </c>
      <c r="S972" s="25" t="str">
        <f>IF('ASS END SYNC'!C976="SHOW",FIND(",,",'ASS END SYNC'!E976,R972+1),"")</f>
        <v/>
      </c>
      <c r="T972" s="23" t="str">
        <f>IF('ASS END SYNC'!C976="SHOW",LEFT('ASS END SYNC'!E976,O972),"")</f>
        <v/>
      </c>
      <c r="U972" s="24" t="str">
        <f>IF('ASS END SYNC'!C976="SHOW",MID('ASS END SYNC'!E976,O972+1,P972-O972-1),"")</f>
        <v/>
      </c>
      <c r="V972" s="24" t="str">
        <f>IF(AND('ASS END SYNC'!C976="SHOW",'ASS END SYNC'!C977="SHOW"),U973,IF(AND('ASS END SYNC'!C976="SHOW",'ASS END SYNC'!C977&lt;&gt;"SHOW"),MID('ASS END SYNC'!E976,O972+1,P972-O972-1),""))</f>
        <v/>
      </c>
      <c r="W972" s="23" t="str">
        <f>IF('ASS END SYNC'!C976="SHOW",MID('ASS END SYNC'!E976,Q972+1,S972-Q972+1),"")</f>
        <v/>
      </c>
      <c r="X972" s="23" t="str">
        <f>IF('ASS END SYNC'!C976="SHOW",MID('ASS END SYNC'!E976,S972+2,1000),"")</f>
        <v/>
      </c>
      <c r="Z972" s="24"/>
    </row>
    <row r="973" spans="1:26" x14ac:dyDescent="0.25">
      <c r="A973" s="26">
        <v>970</v>
      </c>
      <c r="B973" s="24" t="str">
        <f>IF('ASS START SYNC'!C977="SHOW",FIND(",",'ASS START SYNC'!E977,1),"")</f>
        <v/>
      </c>
      <c r="C973" s="24" t="str">
        <f>IF('ASS START SYNC'!C977="SHOW",FIND(",",'ASS START SYNC'!E977,B973+1),"")</f>
        <v/>
      </c>
      <c r="D973" s="24" t="str">
        <f>IF('ASS START SYNC'!C977="SHOW",FIND(",",'ASS START SYNC'!E977,C973+1),"")</f>
        <v/>
      </c>
      <c r="E973" s="25" t="str">
        <f>IF('ASS START SYNC'!C977="SHOW",FIND(",,",'ASS START SYNC'!E977,1),"")</f>
        <v/>
      </c>
      <c r="F973" s="25" t="str">
        <f>IF('ASS START SYNC'!C977="SHOW",FIND(",,",'ASS START SYNC'!E977,E973+1),"")</f>
        <v/>
      </c>
      <c r="G973" s="23" t="str">
        <f>IF('ASS START SYNC'!C977="SHOW",LEFT('ASS START SYNC'!E977,B973),"")</f>
        <v/>
      </c>
      <c r="H973" s="24" t="str">
        <f>IF(AND('ASS START SYNC'!C977="SHOW",COUNTA('ASS START SYNC'!$E$8:'ASS START SYNC'!E976)=0),MID('ASS START SYNC'!E977,B973+1,C973-B973-1),IF(AND('ASS START SYNC'!C977="SHOW",COUNTA('ASS START SYNC'!$E$8:'ASS START SYNC'!E976)&lt;&gt;0),I972,""))</f>
        <v/>
      </c>
      <c r="I973" s="24" t="str">
        <f>IF('ASS START SYNC'!C977="SHOW",MID('ASS START SYNC'!E977,C973+1,D973-C973-1),I972)</f>
        <v/>
      </c>
      <c r="J973" s="23" t="str">
        <f>IF('ASS START SYNC'!C977="SHOW",MID('ASS START SYNC'!E977,D973+1,F973-D973+1),"")</f>
        <v/>
      </c>
      <c r="K973" s="23" t="str">
        <f>IF('ASS START SYNC'!C977="SHOW",MID('ASS START SYNC'!E977,F973+2,1000),"")</f>
        <v/>
      </c>
      <c r="M973" s="24"/>
      <c r="N973" s="26">
        <v>970</v>
      </c>
      <c r="O973" s="24" t="str">
        <f>IF('ASS END SYNC'!C977="SHOW",FIND(",",'ASS END SYNC'!E977,1),"")</f>
        <v/>
      </c>
      <c r="P973" s="24" t="str">
        <f>IF('ASS END SYNC'!C977="SHOW",FIND(",",'ASS END SYNC'!E977,O973+1),"")</f>
        <v/>
      </c>
      <c r="Q973" s="24" t="str">
        <f>IF('ASS END SYNC'!C977="SHOW",FIND(",",'ASS END SYNC'!E977,P973+1),"")</f>
        <v/>
      </c>
      <c r="R973" s="25" t="str">
        <f>IF('ASS END SYNC'!C977="SHOW",FIND(",,",'ASS END SYNC'!E977,1),"")</f>
        <v/>
      </c>
      <c r="S973" s="25" t="str">
        <f>IF('ASS END SYNC'!C977="SHOW",FIND(",,",'ASS END SYNC'!E977,R973+1),"")</f>
        <v/>
      </c>
      <c r="T973" s="23" t="str">
        <f>IF('ASS END SYNC'!C977="SHOW",LEFT('ASS END SYNC'!E977,O973),"")</f>
        <v/>
      </c>
      <c r="U973" s="24" t="str">
        <f>IF('ASS END SYNC'!C977="SHOW",MID('ASS END SYNC'!E977,O973+1,P973-O973-1),"")</f>
        <v/>
      </c>
      <c r="V973" s="24" t="str">
        <f>IF(AND('ASS END SYNC'!C977="SHOW",'ASS END SYNC'!C978="SHOW"),U974,IF(AND('ASS END SYNC'!C977="SHOW",'ASS END SYNC'!C978&lt;&gt;"SHOW"),MID('ASS END SYNC'!E977,O973+1,P973-O973-1),""))</f>
        <v/>
      </c>
      <c r="W973" s="23" t="str">
        <f>IF('ASS END SYNC'!C977="SHOW",MID('ASS END SYNC'!E977,Q973+1,S973-Q973+1),"")</f>
        <v/>
      </c>
      <c r="X973" s="23" t="str">
        <f>IF('ASS END SYNC'!C977="SHOW",MID('ASS END SYNC'!E977,S973+2,1000),"")</f>
        <v/>
      </c>
      <c r="Z973" s="24"/>
    </row>
    <row r="974" spans="1:26" x14ac:dyDescent="0.25">
      <c r="A974" s="26">
        <v>971</v>
      </c>
      <c r="B974" s="24" t="str">
        <f>IF('ASS START SYNC'!C978="SHOW",FIND(",",'ASS START SYNC'!E978,1),"")</f>
        <v/>
      </c>
      <c r="C974" s="24" t="str">
        <f>IF('ASS START SYNC'!C978="SHOW",FIND(",",'ASS START SYNC'!E978,B974+1),"")</f>
        <v/>
      </c>
      <c r="D974" s="24" t="str">
        <f>IF('ASS START SYNC'!C978="SHOW",FIND(",",'ASS START SYNC'!E978,C974+1),"")</f>
        <v/>
      </c>
      <c r="E974" s="25" t="str">
        <f>IF('ASS START SYNC'!C978="SHOW",FIND(",,",'ASS START SYNC'!E978,1),"")</f>
        <v/>
      </c>
      <c r="F974" s="25" t="str">
        <f>IF('ASS START SYNC'!C978="SHOW",FIND(",,",'ASS START SYNC'!E978,E974+1),"")</f>
        <v/>
      </c>
      <c r="G974" s="23" t="str">
        <f>IF('ASS START SYNC'!C978="SHOW",LEFT('ASS START SYNC'!E978,B974),"")</f>
        <v/>
      </c>
      <c r="H974" s="24" t="str">
        <f>IF(AND('ASS START SYNC'!C978="SHOW",COUNTA('ASS START SYNC'!$E$8:'ASS START SYNC'!E977)=0),MID('ASS START SYNC'!E978,B974+1,C974-B974-1),IF(AND('ASS START SYNC'!C978="SHOW",COUNTA('ASS START SYNC'!$E$8:'ASS START SYNC'!E977)&lt;&gt;0),I973,""))</f>
        <v/>
      </c>
      <c r="I974" s="24" t="str">
        <f>IF('ASS START SYNC'!C978="SHOW",MID('ASS START SYNC'!E978,C974+1,D974-C974-1),I973)</f>
        <v/>
      </c>
      <c r="J974" s="23" t="str">
        <f>IF('ASS START SYNC'!C978="SHOW",MID('ASS START SYNC'!E978,D974+1,F974-D974+1),"")</f>
        <v/>
      </c>
      <c r="K974" s="23" t="str">
        <f>IF('ASS START SYNC'!C978="SHOW",MID('ASS START SYNC'!E978,F974+2,1000),"")</f>
        <v/>
      </c>
      <c r="M974" s="24"/>
      <c r="N974" s="26">
        <v>971</v>
      </c>
      <c r="O974" s="24" t="str">
        <f>IF('ASS END SYNC'!C978="SHOW",FIND(",",'ASS END SYNC'!E978,1),"")</f>
        <v/>
      </c>
      <c r="P974" s="24" t="str">
        <f>IF('ASS END SYNC'!C978="SHOW",FIND(",",'ASS END SYNC'!E978,O974+1),"")</f>
        <v/>
      </c>
      <c r="Q974" s="24" t="str">
        <f>IF('ASS END SYNC'!C978="SHOW",FIND(",",'ASS END SYNC'!E978,P974+1),"")</f>
        <v/>
      </c>
      <c r="R974" s="25" t="str">
        <f>IF('ASS END SYNC'!C978="SHOW",FIND(",,",'ASS END SYNC'!E978,1),"")</f>
        <v/>
      </c>
      <c r="S974" s="25" t="str">
        <f>IF('ASS END SYNC'!C978="SHOW",FIND(",,",'ASS END SYNC'!E978,R974+1),"")</f>
        <v/>
      </c>
      <c r="T974" s="23" t="str">
        <f>IF('ASS END SYNC'!C978="SHOW",LEFT('ASS END SYNC'!E978,O974),"")</f>
        <v/>
      </c>
      <c r="U974" s="24" t="str">
        <f>IF('ASS END SYNC'!C978="SHOW",MID('ASS END SYNC'!E978,O974+1,P974-O974-1),"")</f>
        <v/>
      </c>
      <c r="V974" s="24" t="str">
        <f>IF(AND('ASS END SYNC'!C978="SHOW",'ASS END SYNC'!C979="SHOW"),U975,IF(AND('ASS END SYNC'!C978="SHOW",'ASS END SYNC'!C979&lt;&gt;"SHOW"),MID('ASS END SYNC'!E978,O974+1,P974-O974-1),""))</f>
        <v/>
      </c>
      <c r="W974" s="23" t="str">
        <f>IF('ASS END SYNC'!C978="SHOW",MID('ASS END SYNC'!E978,Q974+1,S974-Q974+1),"")</f>
        <v/>
      </c>
      <c r="X974" s="23" t="str">
        <f>IF('ASS END SYNC'!C978="SHOW",MID('ASS END SYNC'!E978,S974+2,1000),"")</f>
        <v/>
      </c>
      <c r="Z974" s="24"/>
    </row>
    <row r="975" spans="1:26" x14ac:dyDescent="0.25">
      <c r="A975" s="26">
        <v>972</v>
      </c>
      <c r="B975" s="24" t="str">
        <f>IF('ASS START SYNC'!C979="SHOW",FIND(",",'ASS START SYNC'!E979,1),"")</f>
        <v/>
      </c>
      <c r="C975" s="24" t="str">
        <f>IF('ASS START SYNC'!C979="SHOW",FIND(",",'ASS START SYNC'!E979,B975+1),"")</f>
        <v/>
      </c>
      <c r="D975" s="24" t="str">
        <f>IF('ASS START SYNC'!C979="SHOW",FIND(",",'ASS START SYNC'!E979,C975+1),"")</f>
        <v/>
      </c>
      <c r="E975" s="25" t="str">
        <f>IF('ASS START SYNC'!C979="SHOW",FIND(",,",'ASS START SYNC'!E979,1),"")</f>
        <v/>
      </c>
      <c r="F975" s="25" t="str">
        <f>IF('ASS START SYNC'!C979="SHOW",FIND(",,",'ASS START SYNC'!E979,E975+1),"")</f>
        <v/>
      </c>
      <c r="G975" s="23" t="str">
        <f>IF('ASS START SYNC'!C979="SHOW",LEFT('ASS START SYNC'!E979,B975),"")</f>
        <v/>
      </c>
      <c r="H975" s="24" t="str">
        <f>IF(AND('ASS START SYNC'!C979="SHOW",COUNTA('ASS START SYNC'!$E$8:'ASS START SYNC'!E978)=0),MID('ASS START SYNC'!E979,B975+1,C975-B975-1),IF(AND('ASS START SYNC'!C979="SHOW",COUNTA('ASS START SYNC'!$E$8:'ASS START SYNC'!E978)&lt;&gt;0),I974,""))</f>
        <v/>
      </c>
      <c r="I975" s="24" t="str">
        <f>IF('ASS START SYNC'!C979="SHOW",MID('ASS START SYNC'!E979,C975+1,D975-C975-1),I974)</f>
        <v/>
      </c>
      <c r="J975" s="23" t="str">
        <f>IF('ASS START SYNC'!C979="SHOW",MID('ASS START SYNC'!E979,D975+1,F975-D975+1),"")</f>
        <v/>
      </c>
      <c r="K975" s="23" t="str">
        <f>IF('ASS START SYNC'!C979="SHOW",MID('ASS START SYNC'!E979,F975+2,1000),"")</f>
        <v/>
      </c>
      <c r="M975" s="24"/>
      <c r="N975" s="26">
        <v>972</v>
      </c>
      <c r="O975" s="24" t="str">
        <f>IF('ASS END SYNC'!C979="SHOW",FIND(",",'ASS END SYNC'!E979,1),"")</f>
        <v/>
      </c>
      <c r="P975" s="24" t="str">
        <f>IF('ASS END SYNC'!C979="SHOW",FIND(",",'ASS END SYNC'!E979,O975+1),"")</f>
        <v/>
      </c>
      <c r="Q975" s="24" t="str">
        <f>IF('ASS END SYNC'!C979="SHOW",FIND(",",'ASS END SYNC'!E979,P975+1),"")</f>
        <v/>
      </c>
      <c r="R975" s="25" t="str">
        <f>IF('ASS END SYNC'!C979="SHOW",FIND(",,",'ASS END SYNC'!E979,1),"")</f>
        <v/>
      </c>
      <c r="S975" s="25" t="str">
        <f>IF('ASS END SYNC'!C979="SHOW",FIND(",,",'ASS END SYNC'!E979,R975+1),"")</f>
        <v/>
      </c>
      <c r="T975" s="23" t="str">
        <f>IF('ASS END SYNC'!C979="SHOW",LEFT('ASS END SYNC'!E979,O975),"")</f>
        <v/>
      </c>
      <c r="U975" s="24" t="str">
        <f>IF('ASS END SYNC'!C979="SHOW",MID('ASS END SYNC'!E979,O975+1,P975-O975-1),"")</f>
        <v/>
      </c>
      <c r="V975" s="24" t="str">
        <f>IF(AND('ASS END SYNC'!C979="SHOW",'ASS END SYNC'!C980="SHOW"),U976,IF(AND('ASS END SYNC'!C979="SHOW",'ASS END SYNC'!C980&lt;&gt;"SHOW"),MID('ASS END SYNC'!E979,O975+1,P975-O975-1),""))</f>
        <v/>
      </c>
      <c r="W975" s="23" t="str">
        <f>IF('ASS END SYNC'!C979="SHOW",MID('ASS END SYNC'!E979,Q975+1,S975-Q975+1),"")</f>
        <v/>
      </c>
      <c r="X975" s="23" t="str">
        <f>IF('ASS END SYNC'!C979="SHOW",MID('ASS END SYNC'!E979,S975+2,1000),"")</f>
        <v/>
      </c>
      <c r="Z975" s="24"/>
    </row>
    <row r="976" spans="1:26" x14ac:dyDescent="0.25">
      <c r="A976" s="26">
        <v>973</v>
      </c>
      <c r="B976" s="24" t="str">
        <f>IF('ASS START SYNC'!C980="SHOW",FIND(",",'ASS START SYNC'!E980,1),"")</f>
        <v/>
      </c>
      <c r="C976" s="24" t="str">
        <f>IF('ASS START SYNC'!C980="SHOW",FIND(",",'ASS START SYNC'!E980,B976+1),"")</f>
        <v/>
      </c>
      <c r="D976" s="24" t="str">
        <f>IF('ASS START SYNC'!C980="SHOW",FIND(",",'ASS START SYNC'!E980,C976+1),"")</f>
        <v/>
      </c>
      <c r="E976" s="25" t="str">
        <f>IF('ASS START SYNC'!C980="SHOW",FIND(",,",'ASS START SYNC'!E980,1),"")</f>
        <v/>
      </c>
      <c r="F976" s="25" t="str">
        <f>IF('ASS START SYNC'!C980="SHOW",FIND(",,",'ASS START SYNC'!E980,E976+1),"")</f>
        <v/>
      </c>
      <c r="G976" s="23" t="str">
        <f>IF('ASS START SYNC'!C980="SHOW",LEFT('ASS START SYNC'!E980,B976),"")</f>
        <v/>
      </c>
      <c r="H976" s="24" t="str">
        <f>IF(AND('ASS START SYNC'!C980="SHOW",COUNTA('ASS START SYNC'!$E$8:'ASS START SYNC'!E979)=0),MID('ASS START SYNC'!E980,B976+1,C976-B976-1),IF(AND('ASS START SYNC'!C980="SHOW",COUNTA('ASS START SYNC'!$E$8:'ASS START SYNC'!E979)&lt;&gt;0),I975,""))</f>
        <v/>
      </c>
      <c r="I976" s="24" t="str">
        <f>IF('ASS START SYNC'!C980="SHOW",MID('ASS START SYNC'!E980,C976+1,D976-C976-1),I975)</f>
        <v/>
      </c>
      <c r="J976" s="23" t="str">
        <f>IF('ASS START SYNC'!C980="SHOW",MID('ASS START SYNC'!E980,D976+1,F976-D976+1),"")</f>
        <v/>
      </c>
      <c r="K976" s="23" t="str">
        <f>IF('ASS START SYNC'!C980="SHOW",MID('ASS START SYNC'!E980,F976+2,1000),"")</f>
        <v/>
      </c>
      <c r="M976" s="24"/>
      <c r="N976" s="26">
        <v>973</v>
      </c>
      <c r="O976" s="24" t="str">
        <f>IF('ASS END SYNC'!C980="SHOW",FIND(",",'ASS END SYNC'!E980,1),"")</f>
        <v/>
      </c>
      <c r="P976" s="24" t="str">
        <f>IF('ASS END SYNC'!C980="SHOW",FIND(",",'ASS END SYNC'!E980,O976+1),"")</f>
        <v/>
      </c>
      <c r="Q976" s="24" t="str">
        <f>IF('ASS END SYNC'!C980="SHOW",FIND(",",'ASS END SYNC'!E980,P976+1),"")</f>
        <v/>
      </c>
      <c r="R976" s="25" t="str">
        <f>IF('ASS END SYNC'!C980="SHOW",FIND(",,",'ASS END SYNC'!E980,1),"")</f>
        <v/>
      </c>
      <c r="S976" s="25" t="str">
        <f>IF('ASS END SYNC'!C980="SHOW",FIND(",,",'ASS END SYNC'!E980,R976+1),"")</f>
        <v/>
      </c>
      <c r="T976" s="23" t="str">
        <f>IF('ASS END SYNC'!C980="SHOW",LEFT('ASS END SYNC'!E980,O976),"")</f>
        <v/>
      </c>
      <c r="U976" s="24" t="str">
        <f>IF('ASS END SYNC'!C980="SHOW",MID('ASS END SYNC'!E980,O976+1,P976-O976-1),"")</f>
        <v/>
      </c>
      <c r="V976" s="24" t="str">
        <f>IF(AND('ASS END SYNC'!C980="SHOW",'ASS END SYNC'!C981="SHOW"),U977,IF(AND('ASS END SYNC'!C980="SHOW",'ASS END SYNC'!C981&lt;&gt;"SHOW"),MID('ASS END SYNC'!E980,O976+1,P976-O976-1),""))</f>
        <v/>
      </c>
      <c r="W976" s="23" t="str">
        <f>IF('ASS END SYNC'!C980="SHOW",MID('ASS END SYNC'!E980,Q976+1,S976-Q976+1),"")</f>
        <v/>
      </c>
      <c r="X976" s="23" t="str">
        <f>IF('ASS END SYNC'!C980="SHOW",MID('ASS END SYNC'!E980,S976+2,1000),"")</f>
        <v/>
      </c>
      <c r="Z976" s="24"/>
    </row>
    <row r="977" spans="1:26" x14ac:dyDescent="0.25">
      <c r="A977" s="26">
        <v>974</v>
      </c>
      <c r="B977" s="24" t="str">
        <f>IF('ASS START SYNC'!C981="SHOW",FIND(",",'ASS START SYNC'!E981,1),"")</f>
        <v/>
      </c>
      <c r="C977" s="24" t="str">
        <f>IF('ASS START SYNC'!C981="SHOW",FIND(",",'ASS START SYNC'!E981,B977+1),"")</f>
        <v/>
      </c>
      <c r="D977" s="24" t="str">
        <f>IF('ASS START SYNC'!C981="SHOW",FIND(",",'ASS START SYNC'!E981,C977+1),"")</f>
        <v/>
      </c>
      <c r="E977" s="25" t="str">
        <f>IF('ASS START SYNC'!C981="SHOW",FIND(",,",'ASS START SYNC'!E981,1),"")</f>
        <v/>
      </c>
      <c r="F977" s="25" t="str">
        <f>IF('ASS START SYNC'!C981="SHOW",FIND(",,",'ASS START SYNC'!E981,E977+1),"")</f>
        <v/>
      </c>
      <c r="G977" s="23" t="str">
        <f>IF('ASS START SYNC'!C981="SHOW",LEFT('ASS START SYNC'!E981,B977),"")</f>
        <v/>
      </c>
      <c r="H977" s="24" t="str">
        <f>IF(AND('ASS START SYNC'!C981="SHOW",COUNTA('ASS START SYNC'!$E$8:'ASS START SYNC'!E980)=0),MID('ASS START SYNC'!E981,B977+1,C977-B977-1),IF(AND('ASS START SYNC'!C981="SHOW",COUNTA('ASS START SYNC'!$E$8:'ASS START SYNC'!E980)&lt;&gt;0),I976,""))</f>
        <v/>
      </c>
      <c r="I977" s="24" t="str">
        <f>IF('ASS START SYNC'!C981="SHOW",MID('ASS START SYNC'!E981,C977+1,D977-C977-1),I976)</f>
        <v/>
      </c>
      <c r="J977" s="23" t="str">
        <f>IF('ASS START SYNC'!C981="SHOW",MID('ASS START SYNC'!E981,D977+1,F977-D977+1),"")</f>
        <v/>
      </c>
      <c r="K977" s="23" t="str">
        <f>IF('ASS START SYNC'!C981="SHOW",MID('ASS START SYNC'!E981,F977+2,1000),"")</f>
        <v/>
      </c>
      <c r="M977" s="24"/>
      <c r="N977" s="26">
        <v>974</v>
      </c>
      <c r="O977" s="24" t="str">
        <f>IF('ASS END SYNC'!C981="SHOW",FIND(",",'ASS END SYNC'!E981,1),"")</f>
        <v/>
      </c>
      <c r="P977" s="24" t="str">
        <f>IF('ASS END SYNC'!C981="SHOW",FIND(",",'ASS END SYNC'!E981,O977+1),"")</f>
        <v/>
      </c>
      <c r="Q977" s="24" t="str">
        <f>IF('ASS END SYNC'!C981="SHOW",FIND(",",'ASS END SYNC'!E981,P977+1),"")</f>
        <v/>
      </c>
      <c r="R977" s="25" t="str">
        <f>IF('ASS END SYNC'!C981="SHOW",FIND(",,",'ASS END SYNC'!E981,1),"")</f>
        <v/>
      </c>
      <c r="S977" s="25" t="str">
        <f>IF('ASS END SYNC'!C981="SHOW",FIND(",,",'ASS END SYNC'!E981,R977+1),"")</f>
        <v/>
      </c>
      <c r="T977" s="23" t="str">
        <f>IF('ASS END SYNC'!C981="SHOW",LEFT('ASS END SYNC'!E981,O977),"")</f>
        <v/>
      </c>
      <c r="U977" s="24" t="str">
        <f>IF('ASS END SYNC'!C981="SHOW",MID('ASS END SYNC'!E981,O977+1,P977-O977-1),"")</f>
        <v/>
      </c>
      <c r="V977" s="24" t="str">
        <f>IF(AND('ASS END SYNC'!C981="SHOW",'ASS END SYNC'!C982="SHOW"),U978,IF(AND('ASS END SYNC'!C981="SHOW",'ASS END SYNC'!C982&lt;&gt;"SHOW"),MID('ASS END SYNC'!E981,O977+1,P977-O977-1),""))</f>
        <v/>
      </c>
      <c r="W977" s="23" t="str">
        <f>IF('ASS END SYNC'!C981="SHOW",MID('ASS END SYNC'!E981,Q977+1,S977-Q977+1),"")</f>
        <v/>
      </c>
      <c r="X977" s="23" t="str">
        <f>IF('ASS END SYNC'!C981="SHOW",MID('ASS END SYNC'!E981,S977+2,1000),"")</f>
        <v/>
      </c>
      <c r="Z977" s="24"/>
    </row>
    <row r="978" spans="1:26" x14ac:dyDescent="0.25">
      <c r="A978" s="26">
        <v>975</v>
      </c>
      <c r="B978" s="24" t="str">
        <f>IF('ASS START SYNC'!C982="SHOW",FIND(",",'ASS START SYNC'!E982,1),"")</f>
        <v/>
      </c>
      <c r="C978" s="24" t="str">
        <f>IF('ASS START SYNC'!C982="SHOW",FIND(",",'ASS START SYNC'!E982,B978+1),"")</f>
        <v/>
      </c>
      <c r="D978" s="24" t="str">
        <f>IF('ASS START SYNC'!C982="SHOW",FIND(",",'ASS START SYNC'!E982,C978+1),"")</f>
        <v/>
      </c>
      <c r="E978" s="25" t="str">
        <f>IF('ASS START SYNC'!C982="SHOW",FIND(",,",'ASS START SYNC'!E982,1),"")</f>
        <v/>
      </c>
      <c r="F978" s="25" t="str">
        <f>IF('ASS START SYNC'!C982="SHOW",FIND(",,",'ASS START SYNC'!E982,E978+1),"")</f>
        <v/>
      </c>
      <c r="G978" s="23" t="str">
        <f>IF('ASS START SYNC'!C982="SHOW",LEFT('ASS START SYNC'!E982,B978),"")</f>
        <v/>
      </c>
      <c r="H978" s="24" t="str">
        <f>IF(AND('ASS START SYNC'!C982="SHOW",COUNTA('ASS START SYNC'!$E$8:'ASS START SYNC'!E981)=0),MID('ASS START SYNC'!E982,B978+1,C978-B978-1),IF(AND('ASS START SYNC'!C982="SHOW",COUNTA('ASS START SYNC'!$E$8:'ASS START SYNC'!E981)&lt;&gt;0),I977,""))</f>
        <v/>
      </c>
      <c r="I978" s="24" t="str">
        <f>IF('ASS START SYNC'!C982="SHOW",MID('ASS START SYNC'!E982,C978+1,D978-C978-1),I977)</f>
        <v/>
      </c>
      <c r="J978" s="23" t="str">
        <f>IF('ASS START SYNC'!C982="SHOW",MID('ASS START SYNC'!E982,D978+1,F978-D978+1),"")</f>
        <v/>
      </c>
      <c r="K978" s="23" t="str">
        <f>IF('ASS START SYNC'!C982="SHOW",MID('ASS START SYNC'!E982,F978+2,1000),"")</f>
        <v/>
      </c>
      <c r="M978" s="24"/>
      <c r="N978" s="26">
        <v>975</v>
      </c>
      <c r="O978" s="24" t="str">
        <f>IF('ASS END SYNC'!C982="SHOW",FIND(",",'ASS END SYNC'!E982,1),"")</f>
        <v/>
      </c>
      <c r="P978" s="24" t="str">
        <f>IF('ASS END SYNC'!C982="SHOW",FIND(",",'ASS END SYNC'!E982,O978+1),"")</f>
        <v/>
      </c>
      <c r="Q978" s="24" t="str">
        <f>IF('ASS END SYNC'!C982="SHOW",FIND(",",'ASS END SYNC'!E982,P978+1),"")</f>
        <v/>
      </c>
      <c r="R978" s="25" t="str">
        <f>IF('ASS END SYNC'!C982="SHOW",FIND(",,",'ASS END SYNC'!E982,1),"")</f>
        <v/>
      </c>
      <c r="S978" s="25" t="str">
        <f>IF('ASS END SYNC'!C982="SHOW",FIND(",,",'ASS END SYNC'!E982,R978+1),"")</f>
        <v/>
      </c>
      <c r="T978" s="23" t="str">
        <f>IF('ASS END SYNC'!C982="SHOW",LEFT('ASS END SYNC'!E982,O978),"")</f>
        <v/>
      </c>
      <c r="U978" s="24" t="str">
        <f>IF('ASS END SYNC'!C982="SHOW",MID('ASS END SYNC'!E982,O978+1,P978-O978-1),"")</f>
        <v/>
      </c>
      <c r="V978" s="24" t="str">
        <f>IF(AND('ASS END SYNC'!C982="SHOW",'ASS END SYNC'!C983="SHOW"),U979,IF(AND('ASS END SYNC'!C982="SHOW",'ASS END SYNC'!C983&lt;&gt;"SHOW"),MID('ASS END SYNC'!E982,O978+1,P978-O978-1),""))</f>
        <v/>
      </c>
      <c r="W978" s="23" t="str">
        <f>IF('ASS END SYNC'!C982="SHOW",MID('ASS END SYNC'!E982,Q978+1,S978-Q978+1),"")</f>
        <v/>
      </c>
      <c r="X978" s="23" t="str">
        <f>IF('ASS END SYNC'!C982="SHOW",MID('ASS END SYNC'!E982,S978+2,1000),"")</f>
        <v/>
      </c>
      <c r="Z978" s="24"/>
    </row>
    <row r="979" spans="1:26" x14ac:dyDescent="0.25">
      <c r="A979" s="26">
        <v>976</v>
      </c>
      <c r="B979" s="24" t="str">
        <f>IF('ASS START SYNC'!C983="SHOW",FIND(",",'ASS START SYNC'!E983,1),"")</f>
        <v/>
      </c>
      <c r="C979" s="24" t="str">
        <f>IF('ASS START SYNC'!C983="SHOW",FIND(",",'ASS START SYNC'!E983,B979+1),"")</f>
        <v/>
      </c>
      <c r="D979" s="24" t="str">
        <f>IF('ASS START SYNC'!C983="SHOW",FIND(",",'ASS START SYNC'!E983,C979+1),"")</f>
        <v/>
      </c>
      <c r="E979" s="25" t="str">
        <f>IF('ASS START SYNC'!C983="SHOW",FIND(",,",'ASS START SYNC'!E983,1),"")</f>
        <v/>
      </c>
      <c r="F979" s="25" t="str">
        <f>IF('ASS START SYNC'!C983="SHOW",FIND(",,",'ASS START SYNC'!E983,E979+1),"")</f>
        <v/>
      </c>
      <c r="G979" s="23" t="str">
        <f>IF('ASS START SYNC'!C983="SHOW",LEFT('ASS START SYNC'!E983,B979),"")</f>
        <v/>
      </c>
      <c r="H979" s="24" t="str">
        <f>IF(AND('ASS START SYNC'!C983="SHOW",COUNTA('ASS START SYNC'!$E$8:'ASS START SYNC'!E982)=0),MID('ASS START SYNC'!E983,B979+1,C979-B979-1),IF(AND('ASS START SYNC'!C983="SHOW",COUNTA('ASS START SYNC'!$E$8:'ASS START SYNC'!E982)&lt;&gt;0),I978,""))</f>
        <v/>
      </c>
      <c r="I979" s="24" t="str">
        <f>IF('ASS START SYNC'!C983="SHOW",MID('ASS START SYNC'!E983,C979+1,D979-C979-1),I978)</f>
        <v/>
      </c>
      <c r="J979" s="23" t="str">
        <f>IF('ASS START SYNC'!C983="SHOW",MID('ASS START SYNC'!E983,D979+1,F979-D979+1),"")</f>
        <v/>
      </c>
      <c r="K979" s="23" t="str">
        <f>IF('ASS START SYNC'!C983="SHOW",MID('ASS START SYNC'!E983,F979+2,1000),"")</f>
        <v/>
      </c>
      <c r="M979" s="24"/>
      <c r="N979" s="26">
        <v>976</v>
      </c>
      <c r="O979" s="24" t="str">
        <f>IF('ASS END SYNC'!C983="SHOW",FIND(",",'ASS END SYNC'!E983,1),"")</f>
        <v/>
      </c>
      <c r="P979" s="24" t="str">
        <f>IF('ASS END SYNC'!C983="SHOW",FIND(",",'ASS END SYNC'!E983,O979+1),"")</f>
        <v/>
      </c>
      <c r="Q979" s="24" t="str">
        <f>IF('ASS END SYNC'!C983="SHOW",FIND(",",'ASS END SYNC'!E983,P979+1),"")</f>
        <v/>
      </c>
      <c r="R979" s="25" t="str">
        <f>IF('ASS END SYNC'!C983="SHOW",FIND(",,",'ASS END SYNC'!E983,1),"")</f>
        <v/>
      </c>
      <c r="S979" s="25" t="str">
        <f>IF('ASS END SYNC'!C983="SHOW",FIND(",,",'ASS END SYNC'!E983,R979+1),"")</f>
        <v/>
      </c>
      <c r="T979" s="23" t="str">
        <f>IF('ASS END SYNC'!C983="SHOW",LEFT('ASS END SYNC'!E983,O979),"")</f>
        <v/>
      </c>
      <c r="U979" s="24" t="str">
        <f>IF('ASS END SYNC'!C983="SHOW",MID('ASS END SYNC'!E983,O979+1,P979-O979-1),"")</f>
        <v/>
      </c>
      <c r="V979" s="24" t="str">
        <f>IF(AND('ASS END SYNC'!C983="SHOW",'ASS END SYNC'!C984="SHOW"),U980,IF(AND('ASS END SYNC'!C983="SHOW",'ASS END SYNC'!C984&lt;&gt;"SHOW"),MID('ASS END SYNC'!E983,O979+1,P979-O979-1),""))</f>
        <v/>
      </c>
      <c r="W979" s="23" t="str">
        <f>IF('ASS END SYNC'!C983="SHOW",MID('ASS END SYNC'!E983,Q979+1,S979-Q979+1),"")</f>
        <v/>
      </c>
      <c r="X979" s="23" t="str">
        <f>IF('ASS END SYNC'!C983="SHOW",MID('ASS END SYNC'!E983,S979+2,1000),"")</f>
        <v/>
      </c>
      <c r="Z979" s="24"/>
    </row>
    <row r="980" spans="1:26" x14ac:dyDescent="0.25">
      <c r="A980" s="26">
        <v>977</v>
      </c>
      <c r="B980" s="24" t="str">
        <f>IF('ASS START SYNC'!C984="SHOW",FIND(",",'ASS START SYNC'!E984,1),"")</f>
        <v/>
      </c>
      <c r="C980" s="24" t="str">
        <f>IF('ASS START SYNC'!C984="SHOW",FIND(",",'ASS START SYNC'!E984,B980+1),"")</f>
        <v/>
      </c>
      <c r="D980" s="24" t="str">
        <f>IF('ASS START SYNC'!C984="SHOW",FIND(",",'ASS START SYNC'!E984,C980+1),"")</f>
        <v/>
      </c>
      <c r="E980" s="25" t="str">
        <f>IF('ASS START SYNC'!C984="SHOW",FIND(",,",'ASS START SYNC'!E984,1),"")</f>
        <v/>
      </c>
      <c r="F980" s="25" t="str">
        <f>IF('ASS START SYNC'!C984="SHOW",FIND(",,",'ASS START SYNC'!E984,E980+1),"")</f>
        <v/>
      </c>
      <c r="G980" s="23" t="str">
        <f>IF('ASS START SYNC'!C984="SHOW",LEFT('ASS START SYNC'!E984,B980),"")</f>
        <v/>
      </c>
      <c r="H980" s="24" t="str">
        <f>IF(AND('ASS START SYNC'!C984="SHOW",COUNTA('ASS START SYNC'!$E$8:'ASS START SYNC'!E983)=0),MID('ASS START SYNC'!E984,B980+1,C980-B980-1),IF(AND('ASS START SYNC'!C984="SHOW",COUNTA('ASS START SYNC'!$E$8:'ASS START SYNC'!E983)&lt;&gt;0),I979,""))</f>
        <v/>
      </c>
      <c r="I980" s="24" t="str">
        <f>IF('ASS START SYNC'!C984="SHOW",MID('ASS START SYNC'!E984,C980+1,D980-C980-1),I979)</f>
        <v/>
      </c>
      <c r="J980" s="23" t="str">
        <f>IF('ASS START SYNC'!C984="SHOW",MID('ASS START SYNC'!E984,D980+1,F980-D980+1),"")</f>
        <v/>
      </c>
      <c r="K980" s="23" t="str">
        <f>IF('ASS START SYNC'!C984="SHOW",MID('ASS START SYNC'!E984,F980+2,1000),"")</f>
        <v/>
      </c>
      <c r="M980" s="24"/>
      <c r="N980" s="26">
        <v>977</v>
      </c>
      <c r="O980" s="24" t="str">
        <f>IF('ASS END SYNC'!C984="SHOW",FIND(",",'ASS END SYNC'!E984,1),"")</f>
        <v/>
      </c>
      <c r="P980" s="24" t="str">
        <f>IF('ASS END SYNC'!C984="SHOW",FIND(",",'ASS END SYNC'!E984,O980+1),"")</f>
        <v/>
      </c>
      <c r="Q980" s="24" t="str">
        <f>IF('ASS END SYNC'!C984="SHOW",FIND(",",'ASS END SYNC'!E984,P980+1),"")</f>
        <v/>
      </c>
      <c r="R980" s="25" t="str">
        <f>IF('ASS END SYNC'!C984="SHOW",FIND(",,",'ASS END SYNC'!E984,1),"")</f>
        <v/>
      </c>
      <c r="S980" s="25" t="str">
        <f>IF('ASS END SYNC'!C984="SHOW",FIND(",,",'ASS END SYNC'!E984,R980+1),"")</f>
        <v/>
      </c>
      <c r="T980" s="23" t="str">
        <f>IF('ASS END SYNC'!C984="SHOW",LEFT('ASS END SYNC'!E984,O980),"")</f>
        <v/>
      </c>
      <c r="U980" s="24" t="str">
        <f>IF('ASS END SYNC'!C984="SHOW",MID('ASS END SYNC'!E984,O980+1,P980-O980-1),"")</f>
        <v/>
      </c>
      <c r="V980" s="24" t="str">
        <f>IF(AND('ASS END SYNC'!C984="SHOW",'ASS END SYNC'!C985="SHOW"),U981,IF(AND('ASS END SYNC'!C984="SHOW",'ASS END SYNC'!C985&lt;&gt;"SHOW"),MID('ASS END SYNC'!E984,O980+1,P980-O980-1),""))</f>
        <v/>
      </c>
      <c r="W980" s="23" t="str">
        <f>IF('ASS END SYNC'!C984="SHOW",MID('ASS END SYNC'!E984,Q980+1,S980-Q980+1),"")</f>
        <v/>
      </c>
      <c r="X980" s="23" t="str">
        <f>IF('ASS END SYNC'!C984="SHOW",MID('ASS END SYNC'!E984,S980+2,1000),"")</f>
        <v/>
      </c>
      <c r="Z980" s="24"/>
    </row>
    <row r="981" spans="1:26" x14ac:dyDescent="0.25">
      <c r="A981" s="26">
        <v>978</v>
      </c>
      <c r="B981" s="24" t="str">
        <f>IF('ASS START SYNC'!C985="SHOW",FIND(",",'ASS START SYNC'!E985,1),"")</f>
        <v/>
      </c>
      <c r="C981" s="24" t="str">
        <f>IF('ASS START SYNC'!C985="SHOW",FIND(",",'ASS START SYNC'!E985,B981+1),"")</f>
        <v/>
      </c>
      <c r="D981" s="24" t="str">
        <f>IF('ASS START SYNC'!C985="SHOW",FIND(",",'ASS START SYNC'!E985,C981+1),"")</f>
        <v/>
      </c>
      <c r="E981" s="25" t="str">
        <f>IF('ASS START SYNC'!C985="SHOW",FIND(",,",'ASS START SYNC'!E985,1),"")</f>
        <v/>
      </c>
      <c r="F981" s="25" t="str">
        <f>IF('ASS START SYNC'!C985="SHOW",FIND(",,",'ASS START SYNC'!E985,E981+1),"")</f>
        <v/>
      </c>
      <c r="G981" s="23" t="str">
        <f>IF('ASS START SYNC'!C985="SHOW",LEFT('ASS START SYNC'!E985,B981),"")</f>
        <v/>
      </c>
      <c r="H981" s="24" t="str">
        <f>IF(AND('ASS START SYNC'!C985="SHOW",COUNTA('ASS START SYNC'!$E$8:'ASS START SYNC'!E984)=0),MID('ASS START SYNC'!E985,B981+1,C981-B981-1),IF(AND('ASS START SYNC'!C985="SHOW",COUNTA('ASS START SYNC'!$E$8:'ASS START SYNC'!E984)&lt;&gt;0),I980,""))</f>
        <v/>
      </c>
      <c r="I981" s="24" t="str">
        <f>IF('ASS START SYNC'!C985="SHOW",MID('ASS START SYNC'!E985,C981+1,D981-C981-1),I980)</f>
        <v/>
      </c>
      <c r="J981" s="23" t="str">
        <f>IF('ASS START SYNC'!C985="SHOW",MID('ASS START SYNC'!E985,D981+1,F981-D981+1),"")</f>
        <v/>
      </c>
      <c r="K981" s="23" t="str">
        <f>IF('ASS START SYNC'!C985="SHOW",MID('ASS START SYNC'!E985,F981+2,1000),"")</f>
        <v/>
      </c>
      <c r="M981" s="24"/>
      <c r="N981" s="26">
        <v>978</v>
      </c>
      <c r="O981" s="24" t="str">
        <f>IF('ASS END SYNC'!C985="SHOW",FIND(",",'ASS END SYNC'!E985,1),"")</f>
        <v/>
      </c>
      <c r="P981" s="24" t="str">
        <f>IF('ASS END SYNC'!C985="SHOW",FIND(",",'ASS END SYNC'!E985,O981+1),"")</f>
        <v/>
      </c>
      <c r="Q981" s="24" t="str">
        <f>IF('ASS END SYNC'!C985="SHOW",FIND(",",'ASS END SYNC'!E985,P981+1),"")</f>
        <v/>
      </c>
      <c r="R981" s="25" t="str">
        <f>IF('ASS END SYNC'!C985="SHOW",FIND(",,",'ASS END SYNC'!E985,1),"")</f>
        <v/>
      </c>
      <c r="S981" s="25" t="str">
        <f>IF('ASS END SYNC'!C985="SHOW",FIND(",,",'ASS END SYNC'!E985,R981+1),"")</f>
        <v/>
      </c>
      <c r="T981" s="23" t="str">
        <f>IF('ASS END SYNC'!C985="SHOW",LEFT('ASS END SYNC'!E985,O981),"")</f>
        <v/>
      </c>
      <c r="U981" s="24" t="str">
        <f>IF('ASS END SYNC'!C985="SHOW",MID('ASS END SYNC'!E985,O981+1,P981-O981-1),"")</f>
        <v/>
      </c>
      <c r="V981" s="24" t="str">
        <f>IF(AND('ASS END SYNC'!C985="SHOW",'ASS END SYNC'!C986="SHOW"),U982,IF(AND('ASS END SYNC'!C985="SHOW",'ASS END SYNC'!C986&lt;&gt;"SHOW"),MID('ASS END SYNC'!E985,O981+1,P981-O981-1),""))</f>
        <v/>
      </c>
      <c r="W981" s="23" t="str">
        <f>IF('ASS END SYNC'!C985="SHOW",MID('ASS END SYNC'!E985,Q981+1,S981-Q981+1),"")</f>
        <v/>
      </c>
      <c r="X981" s="23" t="str">
        <f>IF('ASS END SYNC'!C985="SHOW",MID('ASS END SYNC'!E985,S981+2,1000),"")</f>
        <v/>
      </c>
      <c r="Z981" s="24"/>
    </row>
    <row r="982" spans="1:26" x14ac:dyDescent="0.25">
      <c r="A982" s="26">
        <v>979</v>
      </c>
      <c r="B982" s="24" t="str">
        <f>IF('ASS START SYNC'!C986="SHOW",FIND(",",'ASS START SYNC'!E986,1),"")</f>
        <v/>
      </c>
      <c r="C982" s="24" t="str">
        <f>IF('ASS START SYNC'!C986="SHOW",FIND(",",'ASS START SYNC'!E986,B982+1),"")</f>
        <v/>
      </c>
      <c r="D982" s="24" t="str">
        <f>IF('ASS START SYNC'!C986="SHOW",FIND(",",'ASS START SYNC'!E986,C982+1),"")</f>
        <v/>
      </c>
      <c r="E982" s="25" t="str">
        <f>IF('ASS START SYNC'!C986="SHOW",FIND(",,",'ASS START SYNC'!E986,1),"")</f>
        <v/>
      </c>
      <c r="F982" s="25" t="str">
        <f>IF('ASS START SYNC'!C986="SHOW",FIND(",,",'ASS START SYNC'!E986,E982+1),"")</f>
        <v/>
      </c>
      <c r="G982" s="23" t="str">
        <f>IF('ASS START SYNC'!C986="SHOW",LEFT('ASS START SYNC'!E986,B982),"")</f>
        <v/>
      </c>
      <c r="H982" s="24" t="str">
        <f>IF(AND('ASS START SYNC'!C986="SHOW",COUNTA('ASS START SYNC'!$E$8:'ASS START SYNC'!E985)=0),MID('ASS START SYNC'!E986,B982+1,C982-B982-1),IF(AND('ASS START SYNC'!C986="SHOW",COUNTA('ASS START SYNC'!$E$8:'ASS START SYNC'!E985)&lt;&gt;0),I981,""))</f>
        <v/>
      </c>
      <c r="I982" s="24" t="str">
        <f>IF('ASS START SYNC'!C986="SHOW",MID('ASS START SYNC'!E986,C982+1,D982-C982-1),I981)</f>
        <v/>
      </c>
      <c r="J982" s="23" t="str">
        <f>IF('ASS START SYNC'!C986="SHOW",MID('ASS START SYNC'!E986,D982+1,F982-D982+1),"")</f>
        <v/>
      </c>
      <c r="K982" s="23" t="str">
        <f>IF('ASS START SYNC'!C986="SHOW",MID('ASS START SYNC'!E986,F982+2,1000),"")</f>
        <v/>
      </c>
      <c r="M982" s="24"/>
      <c r="N982" s="26">
        <v>979</v>
      </c>
      <c r="O982" s="24" t="str">
        <f>IF('ASS END SYNC'!C986="SHOW",FIND(",",'ASS END SYNC'!E986,1),"")</f>
        <v/>
      </c>
      <c r="P982" s="24" t="str">
        <f>IF('ASS END SYNC'!C986="SHOW",FIND(",",'ASS END SYNC'!E986,O982+1),"")</f>
        <v/>
      </c>
      <c r="Q982" s="24" t="str">
        <f>IF('ASS END SYNC'!C986="SHOW",FIND(",",'ASS END SYNC'!E986,P982+1),"")</f>
        <v/>
      </c>
      <c r="R982" s="25" t="str">
        <f>IF('ASS END SYNC'!C986="SHOW",FIND(",,",'ASS END SYNC'!E986,1),"")</f>
        <v/>
      </c>
      <c r="S982" s="25" t="str">
        <f>IF('ASS END SYNC'!C986="SHOW",FIND(",,",'ASS END SYNC'!E986,R982+1),"")</f>
        <v/>
      </c>
      <c r="T982" s="23" t="str">
        <f>IF('ASS END SYNC'!C986="SHOW",LEFT('ASS END SYNC'!E986,O982),"")</f>
        <v/>
      </c>
      <c r="U982" s="24" t="str">
        <f>IF('ASS END SYNC'!C986="SHOW",MID('ASS END SYNC'!E986,O982+1,P982-O982-1),"")</f>
        <v/>
      </c>
      <c r="V982" s="24" t="str">
        <f>IF(AND('ASS END SYNC'!C986="SHOW",'ASS END SYNC'!C987="SHOW"),U983,IF(AND('ASS END SYNC'!C986="SHOW",'ASS END SYNC'!C987&lt;&gt;"SHOW"),MID('ASS END SYNC'!E986,O982+1,P982-O982-1),""))</f>
        <v/>
      </c>
      <c r="W982" s="23" t="str">
        <f>IF('ASS END SYNC'!C986="SHOW",MID('ASS END SYNC'!E986,Q982+1,S982-Q982+1),"")</f>
        <v/>
      </c>
      <c r="X982" s="23" t="str">
        <f>IF('ASS END SYNC'!C986="SHOW",MID('ASS END SYNC'!E986,S982+2,1000),"")</f>
        <v/>
      </c>
      <c r="Z982" s="24"/>
    </row>
    <row r="983" spans="1:26" x14ac:dyDescent="0.25">
      <c r="A983" s="26">
        <v>980</v>
      </c>
      <c r="B983" s="24" t="str">
        <f>IF('ASS START SYNC'!C987="SHOW",FIND(",",'ASS START SYNC'!E987,1),"")</f>
        <v/>
      </c>
      <c r="C983" s="24" t="str">
        <f>IF('ASS START SYNC'!C987="SHOW",FIND(",",'ASS START SYNC'!E987,B983+1),"")</f>
        <v/>
      </c>
      <c r="D983" s="24" t="str">
        <f>IF('ASS START SYNC'!C987="SHOW",FIND(",",'ASS START SYNC'!E987,C983+1),"")</f>
        <v/>
      </c>
      <c r="E983" s="25" t="str">
        <f>IF('ASS START SYNC'!C987="SHOW",FIND(",,",'ASS START SYNC'!E987,1),"")</f>
        <v/>
      </c>
      <c r="F983" s="25" t="str">
        <f>IF('ASS START SYNC'!C987="SHOW",FIND(",,",'ASS START SYNC'!E987,E983+1),"")</f>
        <v/>
      </c>
      <c r="G983" s="23" t="str">
        <f>IF('ASS START SYNC'!C987="SHOW",LEFT('ASS START SYNC'!E987,B983),"")</f>
        <v/>
      </c>
      <c r="H983" s="24" t="str">
        <f>IF(AND('ASS START SYNC'!C987="SHOW",COUNTA('ASS START SYNC'!$E$8:'ASS START SYNC'!E986)=0),MID('ASS START SYNC'!E987,B983+1,C983-B983-1),IF(AND('ASS START SYNC'!C987="SHOW",COUNTA('ASS START SYNC'!$E$8:'ASS START SYNC'!E986)&lt;&gt;0),I982,""))</f>
        <v/>
      </c>
      <c r="I983" s="24" t="str">
        <f>IF('ASS START SYNC'!C987="SHOW",MID('ASS START SYNC'!E987,C983+1,D983-C983-1),I982)</f>
        <v/>
      </c>
      <c r="J983" s="23" t="str">
        <f>IF('ASS START SYNC'!C987="SHOW",MID('ASS START SYNC'!E987,D983+1,F983-D983+1),"")</f>
        <v/>
      </c>
      <c r="K983" s="23" t="str">
        <f>IF('ASS START SYNC'!C987="SHOW",MID('ASS START SYNC'!E987,F983+2,1000),"")</f>
        <v/>
      </c>
      <c r="M983" s="24"/>
      <c r="N983" s="26">
        <v>980</v>
      </c>
      <c r="O983" s="24" t="str">
        <f>IF('ASS END SYNC'!C987="SHOW",FIND(",",'ASS END SYNC'!E987,1),"")</f>
        <v/>
      </c>
      <c r="P983" s="24" t="str">
        <f>IF('ASS END SYNC'!C987="SHOW",FIND(",",'ASS END SYNC'!E987,O983+1),"")</f>
        <v/>
      </c>
      <c r="Q983" s="24" t="str">
        <f>IF('ASS END SYNC'!C987="SHOW",FIND(",",'ASS END SYNC'!E987,P983+1),"")</f>
        <v/>
      </c>
      <c r="R983" s="25" t="str">
        <f>IF('ASS END SYNC'!C987="SHOW",FIND(",,",'ASS END SYNC'!E987,1),"")</f>
        <v/>
      </c>
      <c r="S983" s="25" t="str">
        <f>IF('ASS END SYNC'!C987="SHOW",FIND(",,",'ASS END SYNC'!E987,R983+1),"")</f>
        <v/>
      </c>
      <c r="T983" s="23" t="str">
        <f>IF('ASS END SYNC'!C987="SHOW",LEFT('ASS END SYNC'!E987,O983),"")</f>
        <v/>
      </c>
      <c r="U983" s="24" t="str">
        <f>IF('ASS END SYNC'!C987="SHOW",MID('ASS END SYNC'!E987,O983+1,P983-O983-1),"")</f>
        <v/>
      </c>
      <c r="V983" s="24" t="str">
        <f>IF(AND('ASS END SYNC'!C987="SHOW",'ASS END SYNC'!C988="SHOW"),U984,IF(AND('ASS END SYNC'!C987="SHOW",'ASS END SYNC'!C988&lt;&gt;"SHOW"),MID('ASS END SYNC'!E987,O983+1,P983-O983-1),""))</f>
        <v/>
      </c>
      <c r="W983" s="23" t="str">
        <f>IF('ASS END SYNC'!C987="SHOW",MID('ASS END SYNC'!E987,Q983+1,S983-Q983+1),"")</f>
        <v/>
      </c>
      <c r="X983" s="23" t="str">
        <f>IF('ASS END SYNC'!C987="SHOW",MID('ASS END SYNC'!E987,S983+2,1000),"")</f>
        <v/>
      </c>
      <c r="Z983" s="24"/>
    </row>
    <row r="984" spans="1:26" x14ac:dyDescent="0.25">
      <c r="A984" s="26">
        <v>981</v>
      </c>
      <c r="B984" s="24" t="str">
        <f>IF('ASS START SYNC'!C988="SHOW",FIND(",",'ASS START SYNC'!E988,1),"")</f>
        <v/>
      </c>
      <c r="C984" s="24" t="str">
        <f>IF('ASS START SYNC'!C988="SHOW",FIND(",",'ASS START SYNC'!E988,B984+1),"")</f>
        <v/>
      </c>
      <c r="D984" s="24" t="str">
        <f>IF('ASS START SYNC'!C988="SHOW",FIND(",",'ASS START SYNC'!E988,C984+1),"")</f>
        <v/>
      </c>
      <c r="E984" s="25" t="str">
        <f>IF('ASS START SYNC'!C988="SHOW",FIND(",,",'ASS START SYNC'!E988,1),"")</f>
        <v/>
      </c>
      <c r="F984" s="25" t="str">
        <f>IF('ASS START SYNC'!C988="SHOW",FIND(",,",'ASS START SYNC'!E988,E984+1),"")</f>
        <v/>
      </c>
      <c r="G984" s="23" t="str">
        <f>IF('ASS START SYNC'!C988="SHOW",LEFT('ASS START SYNC'!E988,B984),"")</f>
        <v/>
      </c>
      <c r="H984" s="24" t="str">
        <f>IF(AND('ASS START SYNC'!C988="SHOW",COUNTA('ASS START SYNC'!$E$8:'ASS START SYNC'!E987)=0),MID('ASS START SYNC'!E988,B984+1,C984-B984-1),IF(AND('ASS START SYNC'!C988="SHOW",COUNTA('ASS START SYNC'!$E$8:'ASS START SYNC'!E987)&lt;&gt;0),I983,""))</f>
        <v/>
      </c>
      <c r="I984" s="24" t="str">
        <f>IF('ASS START SYNC'!C988="SHOW",MID('ASS START SYNC'!E988,C984+1,D984-C984-1),I983)</f>
        <v/>
      </c>
      <c r="J984" s="23" t="str">
        <f>IF('ASS START SYNC'!C988="SHOW",MID('ASS START SYNC'!E988,D984+1,F984-D984+1),"")</f>
        <v/>
      </c>
      <c r="K984" s="23" t="str">
        <f>IF('ASS START SYNC'!C988="SHOW",MID('ASS START SYNC'!E988,F984+2,1000),"")</f>
        <v/>
      </c>
      <c r="M984" s="24"/>
      <c r="N984" s="26">
        <v>981</v>
      </c>
      <c r="O984" s="24" t="str">
        <f>IF('ASS END SYNC'!C988="SHOW",FIND(",",'ASS END SYNC'!E988,1),"")</f>
        <v/>
      </c>
      <c r="P984" s="24" t="str">
        <f>IF('ASS END SYNC'!C988="SHOW",FIND(",",'ASS END SYNC'!E988,O984+1),"")</f>
        <v/>
      </c>
      <c r="Q984" s="24" t="str">
        <f>IF('ASS END SYNC'!C988="SHOW",FIND(",",'ASS END SYNC'!E988,P984+1),"")</f>
        <v/>
      </c>
      <c r="R984" s="25" t="str">
        <f>IF('ASS END SYNC'!C988="SHOW",FIND(",,",'ASS END SYNC'!E988,1),"")</f>
        <v/>
      </c>
      <c r="S984" s="25" t="str">
        <f>IF('ASS END SYNC'!C988="SHOW",FIND(",,",'ASS END SYNC'!E988,R984+1),"")</f>
        <v/>
      </c>
      <c r="T984" s="23" t="str">
        <f>IF('ASS END SYNC'!C988="SHOW",LEFT('ASS END SYNC'!E988,O984),"")</f>
        <v/>
      </c>
      <c r="U984" s="24" t="str">
        <f>IF('ASS END SYNC'!C988="SHOW",MID('ASS END SYNC'!E988,O984+1,P984-O984-1),"")</f>
        <v/>
      </c>
      <c r="V984" s="24" t="str">
        <f>IF(AND('ASS END SYNC'!C988="SHOW",'ASS END SYNC'!C989="SHOW"),U985,IF(AND('ASS END SYNC'!C988="SHOW",'ASS END SYNC'!C989&lt;&gt;"SHOW"),MID('ASS END SYNC'!E988,O984+1,P984-O984-1),""))</f>
        <v/>
      </c>
      <c r="W984" s="23" t="str">
        <f>IF('ASS END SYNC'!C988="SHOW",MID('ASS END SYNC'!E988,Q984+1,S984-Q984+1),"")</f>
        <v/>
      </c>
      <c r="X984" s="23" t="str">
        <f>IF('ASS END SYNC'!C988="SHOW",MID('ASS END SYNC'!E988,S984+2,1000),"")</f>
        <v/>
      </c>
      <c r="Z984" s="24"/>
    </row>
    <row r="985" spans="1:26" x14ac:dyDescent="0.25">
      <c r="A985" s="26">
        <v>982</v>
      </c>
      <c r="B985" s="24" t="str">
        <f>IF('ASS START SYNC'!C989="SHOW",FIND(",",'ASS START SYNC'!E989,1),"")</f>
        <v/>
      </c>
      <c r="C985" s="24" t="str">
        <f>IF('ASS START SYNC'!C989="SHOW",FIND(",",'ASS START SYNC'!E989,B985+1),"")</f>
        <v/>
      </c>
      <c r="D985" s="24" t="str">
        <f>IF('ASS START SYNC'!C989="SHOW",FIND(",",'ASS START SYNC'!E989,C985+1),"")</f>
        <v/>
      </c>
      <c r="E985" s="25" t="str">
        <f>IF('ASS START SYNC'!C989="SHOW",FIND(",,",'ASS START SYNC'!E989,1),"")</f>
        <v/>
      </c>
      <c r="F985" s="25" t="str">
        <f>IF('ASS START SYNC'!C989="SHOW",FIND(",,",'ASS START SYNC'!E989,E985+1),"")</f>
        <v/>
      </c>
      <c r="G985" s="23" t="str">
        <f>IF('ASS START SYNC'!C989="SHOW",LEFT('ASS START SYNC'!E989,B985),"")</f>
        <v/>
      </c>
      <c r="H985" s="24" t="str">
        <f>IF(AND('ASS START SYNC'!C989="SHOW",COUNTA('ASS START SYNC'!$E$8:'ASS START SYNC'!E988)=0),MID('ASS START SYNC'!E989,B985+1,C985-B985-1),IF(AND('ASS START SYNC'!C989="SHOW",COUNTA('ASS START SYNC'!$E$8:'ASS START SYNC'!E988)&lt;&gt;0),I984,""))</f>
        <v/>
      </c>
      <c r="I985" s="24" t="str">
        <f>IF('ASS START SYNC'!C989="SHOW",MID('ASS START SYNC'!E989,C985+1,D985-C985-1),I984)</f>
        <v/>
      </c>
      <c r="J985" s="23" t="str">
        <f>IF('ASS START SYNC'!C989="SHOW",MID('ASS START SYNC'!E989,D985+1,F985-D985+1),"")</f>
        <v/>
      </c>
      <c r="K985" s="23" t="str">
        <f>IF('ASS START SYNC'!C989="SHOW",MID('ASS START SYNC'!E989,F985+2,1000),"")</f>
        <v/>
      </c>
      <c r="M985" s="24"/>
      <c r="N985" s="26">
        <v>982</v>
      </c>
      <c r="O985" s="24" t="str">
        <f>IF('ASS END SYNC'!C989="SHOW",FIND(",",'ASS END SYNC'!E989,1),"")</f>
        <v/>
      </c>
      <c r="P985" s="24" t="str">
        <f>IF('ASS END SYNC'!C989="SHOW",FIND(",",'ASS END SYNC'!E989,O985+1),"")</f>
        <v/>
      </c>
      <c r="Q985" s="24" t="str">
        <f>IF('ASS END SYNC'!C989="SHOW",FIND(",",'ASS END SYNC'!E989,P985+1),"")</f>
        <v/>
      </c>
      <c r="R985" s="25" t="str">
        <f>IF('ASS END SYNC'!C989="SHOW",FIND(",,",'ASS END SYNC'!E989,1),"")</f>
        <v/>
      </c>
      <c r="S985" s="25" t="str">
        <f>IF('ASS END SYNC'!C989="SHOW",FIND(",,",'ASS END SYNC'!E989,R985+1),"")</f>
        <v/>
      </c>
      <c r="T985" s="23" t="str">
        <f>IF('ASS END SYNC'!C989="SHOW",LEFT('ASS END SYNC'!E989,O985),"")</f>
        <v/>
      </c>
      <c r="U985" s="24" t="str">
        <f>IF('ASS END SYNC'!C989="SHOW",MID('ASS END SYNC'!E989,O985+1,P985-O985-1),"")</f>
        <v/>
      </c>
      <c r="V985" s="24" t="str">
        <f>IF(AND('ASS END SYNC'!C989="SHOW",'ASS END SYNC'!C990="SHOW"),U986,IF(AND('ASS END SYNC'!C989="SHOW",'ASS END SYNC'!C990&lt;&gt;"SHOW"),MID('ASS END SYNC'!E989,O985+1,P985-O985-1),""))</f>
        <v/>
      </c>
      <c r="W985" s="23" t="str">
        <f>IF('ASS END SYNC'!C989="SHOW",MID('ASS END SYNC'!E989,Q985+1,S985-Q985+1),"")</f>
        <v/>
      </c>
      <c r="X985" s="23" t="str">
        <f>IF('ASS END SYNC'!C989="SHOW",MID('ASS END SYNC'!E989,S985+2,1000),"")</f>
        <v/>
      </c>
      <c r="Z985" s="24"/>
    </row>
    <row r="986" spans="1:26" x14ac:dyDescent="0.25">
      <c r="A986" s="26">
        <v>983</v>
      </c>
      <c r="B986" s="24" t="str">
        <f>IF('ASS START SYNC'!C990="SHOW",FIND(",",'ASS START SYNC'!E990,1),"")</f>
        <v/>
      </c>
      <c r="C986" s="24" t="str">
        <f>IF('ASS START SYNC'!C990="SHOW",FIND(",",'ASS START SYNC'!E990,B986+1),"")</f>
        <v/>
      </c>
      <c r="D986" s="24" t="str">
        <f>IF('ASS START SYNC'!C990="SHOW",FIND(",",'ASS START SYNC'!E990,C986+1),"")</f>
        <v/>
      </c>
      <c r="E986" s="25" t="str">
        <f>IF('ASS START SYNC'!C990="SHOW",FIND(",,",'ASS START SYNC'!E990,1),"")</f>
        <v/>
      </c>
      <c r="F986" s="25" t="str">
        <f>IF('ASS START SYNC'!C990="SHOW",FIND(",,",'ASS START SYNC'!E990,E986+1),"")</f>
        <v/>
      </c>
      <c r="G986" s="23" t="str">
        <f>IF('ASS START SYNC'!C990="SHOW",LEFT('ASS START SYNC'!E990,B986),"")</f>
        <v/>
      </c>
      <c r="H986" s="24" t="str">
        <f>IF(AND('ASS START SYNC'!C990="SHOW",COUNTA('ASS START SYNC'!$E$8:'ASS START SYNC'!E989)=0),MID('ASS START SYNC'!E990,B986+1,C986-B986-1),IF(AND('ASS START SYNC'!C990="SHOW",COUNTA('ASS START SYNC'!$E$8:'ASS START SYNC'!E989)&lt;&gt;0),I985,""))</f>
        <v/>
      </c>
      <c r="I986" s="24" t="str">
        <f>IF('ASS START SYNC'!C990="SHOW",MID('ASS START SYNC'!E990,C986+1,D986-C986-1),I985)</f>
        <v/>
      </c>
      <c r="J986" s="23" t="str">
        <f>IF('ASS START SYNC'!C990="SHOW",MID('ASS START SYNC'!E990,D986+1,F986-D986+1),"")</f>
        <v/>
      </c>
      <c r="K986" s="23" t="str">
        <f>IF('ASS START SYNC'!C990="SHOW",MID('ASS START SYNC'!E990,F986+2,1000),"")</f>
        <v/>
      </c>
      <c r="M986" s="24"/>
      <c r="N986" s="26">
        <v>983</v>
      </c>
      <c r="O986" s="24" t="str">
        <f>IF('ASS END SYNC'!C990="SHOW",FIND(",",'ASS END SYNC'!E990,1),"")</f>
        <v/>
      </c>
      <c r="P986" s="24" t="str">
        <f>IF('ASS END SYNC'!C990="SHOW",FIND(",",'ASS END SYNC'!E990,O986+1),"")</f>
        <v/>
      </c>
      <c r="Q986" s="24" t="str">
        <f>IF('ASS END SYNC'!C990="SHOW",FIND(",",'ASS END SYNC'!E990,P986+1),"")</f>
        <v/>
      </c>
      <c r="R986" s="25" t="str">
        <f>IF('ASS END SYNC'!C990="SHOW",FIND(",,",'ASS END SYNC'!E990,1),"")</f>
        <v/>
      </c>
      <c r="S986" s="25" t="str">
        <f>IF('ASS END SYNC'!C990="SHOW",FIND(",,",'ASS END SYNC'!E990,R986+1),"")</f>
        <v/>
      </c>
      <c r="T986" s="23" t="str">
        <f>IF('ASS END SYNC'!C990="SHOW",LEFT('ASS END SYNC'!E990,O986),"")</f>
        <v/>
      </c>
      <c r="U986" s="24" t="str">
        <f>IF('ASS END SYNC'!C990="SHOW",MID('ASS END SYNC'!E990,O986+1,P986-O986-1),"")</f>
        <v/>
      </c>
      <c r="V986" s="24" t="str">
        <f>IF(AND('ASS END SYNC'!C990="SHOW",'ASS END SYNC'!C991="SHOW"),U987,IF(AND('ASS END SYNC'!C990="SHOW",'ASS END SYNC'!C991&lt;&gt;"SHOW"),MID('ASS END SYNC'!E990,O986+1,P986-O986-1),""))</f>
        <v/>
      </c>
      <c r="W986" s="23" t="str">
        <f>IF('ASS END SYNC'!C990="SHOW",MID('ASS END SYNC'!E990,Q986+1,S986-Q986+1),"")</f>
        <v/>
      </c>
      <c r="X986" s="23" t="str">
        <f>IF('ASS END SYNC'!C990="SHOW",MID('ASS END SYNC'!E990,S986+2,1000),"")</f>
        <v/>
      </c>
      <c r="Z986" s="24"/>
    </row>
    <row r="987" spans="1:26" x14ac:dyDescent="0.25">
      <c r="A987" s="26">
        <v>984</v>
      </c>
      <c r="B987" s="24" t="str">
        <f>IF('ASS START SYNC'!C991="SHOW",FIND(",",'ASS START SYNC'!E991,1),"")</f>
        <v/>
      </c>
      <c r="C987" s="24" t="str">
        <f>IF('ASS START SYNC'!C991="SHOW",FIND(",",'ASS START SYNC'!E991,B987+1),"")</f>
        <v/>
      </c>
      <c r="D987" s="24" t="str">
        <f>IF('ASS START SYNC'!C991="SHOW",FIND(",",'ASS START SYNC'!E991,C987+1),"")</f>
        <v/>
      </c>
      <c r="E987" s="25" t="str">
        <f>IF('ASS START SYNC'!C991="SHOW",FIND(",,",'ASS START SYNC'!E991,1),"")</f>
        <v/>
      </c>
      <c r="F987" s="25" t="str">
        <f>IF('ASS START SYNC'!C991="SHOW",FIND(",,",'ASS START SYNC'!E991,E987+1),"")</f>
        <v/>
      </c>
      <c r="G987" s="23" t="str">
        <f>IF('ASS START SYNC'!C991="SHOW",LEFT('ASS START SYNC'!E991,B987),"")</f>
        <v/>
      </c>
      <c r="H987" s="24" t="str">
        <f>IF(AND('ASS START SYNC'!C991="SHOW",COUNTA('ASS START SYNC'!$E$8:'ASS START SYNC'!E990)=0),MID('ASS START SYNC'!E991,B987+1,C987-B987-1),IF(AND('ASS START SYNC'!C991="SHOW",COUNTA('ASS START SYNC'!$E$8:'ASS START SYNC'!E990)&lt;&gt;0),I986,""))</f>
        <v/>
      </c>
      <c r="I987" s="24" t="str">
        <f>IF('ASS START SYNC'!C991="SHOW",MID('ASS START SYNC'!E991,C987+1,D987-C987-1),I986)</f>
        <v/>
      </c>
      <c r="J987" s="23" t="str">
        <f>IF('ASS START SYNC'!C991="SHOW",MID('ASS START SYNC'!E991,D987+1,F987-D987+1),"")</f>
        <v/>
      </c>
      <c r="K987" s="23" t="str">
        <f>IF('ASS START SYNC'!C991="SHOW",MID('ASS START SYNC'!E991,F987+2,1000),"")</f>
        <v/>
      </c>
      <c r="M987" s="24"/>
      <c r="N987" s="26">
        <v>984</v>
      </c>
      <c r="O987" s="24" t="str">
        <f>IF('ASS END SYNC'!C991="SHOW",FIND(",",'ASS END SYNC'!E991,1),"")</f>
        <v/>
      </c>
      <c r="P987" s="24" t="str">
        <f>IF('ASS END SYNC'!C991="SHOW",FIND(",",'ASS END SYNC'!E991,O987+1),"")</f>
        <v/>
      </c>
      <c r="Q987" s="24" t="str">
        <f>IF('ASS END SYNC'!C991="SHOW",FIND(",",'ASS END SYNC'!E991,P987+1),"")</f>
        <v/>
      </c>
      <c r="R987" s="25" t="str">
        <f>IF('ASS END SYNC'!C991="SHOW",FIND(",,",'ASS END SYNC'!E991,1),"")</f>
        <v/>
      </c>
      <c r="S987" s="25" t="str">
        <f>IF('ASS END SYNC'!C991="SHOW",FIND(",,",'ASS END SYNC'!E991,R987+1),"")</f>
        <v/>
      </c>
      <c r="T987" s="23" t="str">
        <f>IF('ASS END SYNC'!C991="SHOW",LEFT('ASS END SYNC'!E991,O987),"")</f>
        <v/>
      </c>
      <c r="U987" s="24" t="str">
        <f>IF('ASS END SYNC'!C991="SHOW",MID('ASS END SYNC'!E991,O987+1,P987-O987-1),"")</f>
        <v/>
      </c>
      <c r="V987" s="24" t="str">
        <f>IF(AND('ASS END SYNC'!C991="SHOW",'ASS END SYNC'!C992="SHOW"),U988,IF(AND('ASS END SYNC'!C991="SHOW",'ASS END SYNC'!C992&lt;&gt;"SHOW"),MID('ASS END SYNC'!E991,O987+1,P987-O987-1),""))</f>
        <v/>
      </c>
      <c r="W987" s="23" t="str">
        <f>IF('ASS END SYNC'!C991="SHOW",MID('ASS END SYNC'!E991,Q987+1,S987-Q987+1),"")</f>
        <v/>
      </c>
      <c r="X987" s="23" t="str">
        <f>IF('ASS END SYNC'!C991="SHOW",MID('ASS END SYNC'!E991,S987+2,1000),"")</f>
        <v/>
      </c>
      <c r="Z987" s="24"/>
    </row>
    <row r="988" spans="1:26" x14ac:dyDescent="0.25">
      <c r="A988" s="26">
        <v>985</v>
      </c>
      <c r="B988" s="24" t="str">
        <f>IF('ASS START SYNC'!C992="SHOW",FIND(",",'ASS START SYNC'!E992,1),"")</f>
        <v/>
      </c>
      <c r="C988" s="24" t="str">
        <f>IF('ASS START SYNC'!C992="SHOW",FIND(",",'ASS START SYNC'!E992,B988+1),"")</f>
        <v/>
      </c>
      <c r="D988" s="24" t="str">
        <f>IF('ASS START SYNC'!C992="SHOW",FIND(",",'ASS START SYNC'!E992,C988+1),"")</f>
        <v/>
      </c>
      <c r="E988" s="25" t="str">
        <f>IF('ASS START SYNC'!C992="SHOW",FIND(",,",'ASS START SYNC'!E992,1),"")</f>
        <v/>
      </c>
      <c r="F988" s="25" t="str">
        <f>IF('ASS START SYNC'!C992="SHOW",FIND(",,",'ASS START SYNC'!E992,E988+1),"")</f>
        <v/>
      </c>
      <c r="G988" s="23" t="str">
        <f>IF('ASS START SYNC'!C992="SHOW",LEFT('ASS START SYNC'!E992,B988),"")</f>
        <v/>
      </c>
      <c r="H988" s="24" t="str">
        <f>IF(AND('ASS START SYNC'!C992="SHOW",COUNTA('ASS START SYNC'!$E$8:'ASS START SYNC'!E991)=0),MID('ASS START SYNC'!E992,B988+1,C988-B988-1),IF(AND('ASS START SYNC'!C992="SHOW",COUNTA('ASS START SYNC'!$E$8:'ASS START SYNC'!E991)&lt;&gt;0),I987,""))</f>
        <v/>
      </c>
      <c r="I988" s="24" t="str">
        <f>IF('ASS START SYNC'!C992="SHOW",MID('ASS START SYNC'!E992,C988+1,D988-C988-1),I987)</f>
        <v/>
      </c>
      <c r="J988" s="23" t="str">
        <f>IF('ASS START SYNC'!C992="SHOW",MID('ASS START SYNC'!E992,D988+1,F988-D988+1),"")</f>
        <v/>
      </c>
      <c r="K988" s="23" t="str">
        <f>IF('ASS START SYNC'!C992="SHOW",MID('ASS START SYNC'!E992,F988+2,1000),"")</f>
        <v/>
      </c>
      <c r="M988" s="24"/>
      <c r="N988" s="26">
        <v>985</v>
      </c>
      <c r="O988" s="24" t="str">
        <f>IF('ASS END SYNC'!C992="SHOW",FIND(",",'ASS END SYNC'!E992,1),"")</f>
        <v/>
      </c>
      <c r="P988" s="24" t="str">
        <f>IF('ASS END SYNC'!C992="SHOW",FIND(",",'ASS END SYNC'!E992,O988+1),"")</f>
        <v/>
      </c>
      <c r="Q988" s="24" t="str">
        <f>IF('ASS END SYNC'!C992="SHOW",FIND(",",'ASS END SYNC'!E992,P988+1),"")</f>
        <v/>
      </c>
      <c r="R988" s="25" t="str">
        <f>IF('ASS END SYNC'!C992="SHOW",FIND(",,",'ASS END SYNC'!E992,1),"")</f>
        <v/>
      </c>
      <c r="S988" s="25" t="str">
        <f>IF('ASS END SYNC'!C992="SHOW",FIND(",,",'ASS END SYNC'!E992,R988+1),"")</f>
        <v/>
      </c>
      <c r="T988" s="23" t="str">
        <f>IF('ASS END SYNC'!C992="SHOW",LEFT('ASS END SYNC'!E992,O988),"")</f>
        <v/>
      </c>
      <c r="U988" s="24" t="str">
        <f>IF('ASS END SYNC'!C992="SHOW",MID('ASS END SYNC'!E992,O988+1,P988-O988-1),"")</f>
        <v/>
      </c>
      <c r="V988" s="24" t="str">
        <f>IF(AND('ASS END SYNC'!C992="SHOW",'ASS END SYNC'!C993="SHOW"),U989,IF(AND('ASS END SYNC'!C992="SHOW",'ASS END SYNC'!C993&lt;&gt;"SHOW"),MID('ASS END SYNC'!E992,O988+1,P988-O988-1),""))</f>
        <v/>
      </c>
      <c r="W988" s="23" t="str">
        <f>IF('ASS END SYNC'!C992="SHOW",MID('ASS END SYNC'!E992,Q988+1,S988-Q988+1),"")</f>
        <v/>
      </c>
      <c r="X988" s="23" t="str">
        <f>IF('ASS END SYNC'!C992="SHOW",MID('ASS END SYNC'!E992,S988+2,1000),"")</f>
        <v/>
      </c>
      <c r="Z988" s="24"/>
    </row>
    <row r="989" spans="1:26" x14ac:dyDescent="0.25">
      <c r="A989" s="26">
        <v>986</v>
      </c>
      <c r="B989" s="24" t="str">
        <f>IF('ASS START SYNC'!C993="SHOW",FIND(",",'ASS START SYNC'!E993,1),"")</f>
        <v/>
      </c>
      <c r="C989" s="24" t="str">
        <f>IF('ASS START SYNC'!C993="SHOW",FIND(",",'ASS START SYNC'!E993,B989+1),"")</f>
        <v/>
      </c>
      <c r="D989" s="24" t="str">
        <f>IF('ASS START SYNC'!C993="SHOW",FIND(",",'ASS START SYNC'!E993,C989+1),"")</f>
        <v/>
      </c>
      <c r="E989" s="25" t="str">
        <f>IF('ASS START SYNC'!C993="SHOW",FIND(",,",'ASS START SYNC'!E993,1),"")</f>
        <v/>
      </c>
      <c r="F989" s="25" t="str">
        <f>IF('ASS START SYNC'!C993="SHOW",FIND(",,",'ASS START SYNC'!E993,E989+1),"")</f>
        <v/>
      </c>
      <c r="G989" s="23" t="str">
        <f>IF('ASS START SYNC'!C993="SHOW",LEFT('ASS START SYNC'!E993,B989),"")</f>
        <v/>
      </c>
      <c r="H989" s="24" t="str">
        <f>IF(AND('ASS START SYNC'!C993="SHOW",COUNTA('ASS START SYNC'!$E$8:'ASS START SYNC'!E992)=0),MID('ASS START SYNC'!E993,B989+1,C989-B989-1),IF(AND('ASS START SYNC'!C993="SHOW",COUNTA('ASS START SYNC'!$E$8:'ASS START SYNC'!E992)&lt;&gt;0),I988,""))</f>
        <v/>
      </c>
      <c r="I989" s="24" t="str">
        <f>IF('ASS START SYNC'!C993="SHOW",MID('ASS START SYNC'!E993,C989+1,D989-C989-1),I988)</f>
        <v/>
      </c>
      <c r="J989" s="23" t="str">
        <f>IF('ASS START SYNC'!C993="SHOW",MID('ASS START SYNC'!E993,D989+1,F989-D989+1),"")</f>
        <v/>
      </c>
      <c r="K989" s="23" t="str">
        <f>IF('ASS START SYNC'!C993="SHOW",MID('ASS START SYNC'!E993,F989+2,1000),"")</f>
        <v/>
      </c>
      <c r="M989" s="24"/>
      <c r="N989" s="26">
        <v>986</v>
      </c>
      <c r="O989" s="24" t="str">
        <f>IF('ASS END SYNC'!C993="SHOW",FIND(",",'ASS END SYNC'!E993,1),"")</f>
        <v/>
      </c>
      <c r="P989" s="24" t="str">
        <f>IF('ASS END SYNC'!C993="SHOW",FIND(",",'ASS END SYNC'!E993,O989+1),"")</f>
        <v/>
      </c>
      <c r="Q989" s="24" t="str">
        <f>IF('ASS END SYNC'!C993="SHOW",FIND(",",'ASS END SYNC'!E993,P989+1),"")</f>
        <v/>
      </c>
      <c r="R989" s="25" t="str">
        <f>IF('ASS END SYNC'!C993="SHOW",FIND(",,",'ASS END SYNC'!E993,1),"")</f>
        <v/>
      </c>
      <c r="S989" s="25" t="str">
        <f>IF('ASS END SYNC'!C993="SHOW",FIND(",,",'ASS END SYNC'!E993,R989+1),"")</f>
        <v/>
      </c>
      <c r="T989" s="23" t="str">
        <f>IF('ASS END SYNC'!C993="SHOW",LEFT('ASS END SYNC'!E993,O989),"")</f>
        <v/>
      </c>
      <c r="U989" s="24" t="str">
        <f>IF('ASS END SYNC'!C993="SHOW",MID('ASS END SYNC'!E993,O989+1,P989-O989-1),"")</f>
        <v/>
      </c>
      <c r="V989" s="24" t="str">
        <f>IF(AND('ASS END SYNC'!C993="SHOW",'ASS END SYNC'!C994="SHOW"),U990,IF(AND('ASS END SYNC'!C993="SHOW",'ASS END SYNC'!C994&lt;&gt;"SHOW"),MID('ASS END SYNC'!E993,O989+1,P989-O989-1),""))</f>
        <v/>
      </c>
      <c r="W989" s="23" t="str">
        <f>IF('ASS END SYNC'!C993="SHOW",MID('ASS END SYNC'!E993,Q989+1,S989-Q989+1),"")</f>
        <v/>
      </c>
      <c r="X989" s="23" t="str">
        <f>IF('ASS END SYNC'!C993="SHOW",MID('ASS END SYNC'!E993,S989+2,1000),"")</f>
        <v/>
      </c>
      <c r="Z989" s="24"/>
    </row>
    <row r="990" spans="1:26" x14ac:dyDescent="0.25">
      <c r="A990" s="26">
        <v>987</v>
      </c>
      <c r="B990" s="24" t="str">
        <f>IF('ASS START SYNC'!C994="SHOW",FIND(",",'ASS START SYNC'!E994,1),"")</f>
        <v/>
      </c>
      <c r="C990" s="24" t="str">
        <f>IF('ASS START SYNC'!C994="SHOW",FIND(",",'ASS START SYNC'!E994,B990+1),"")</f>
        <v/>
      </c>
      <c r="D990" s="24" t="str">
        <f>IF('ASS START SYNC'!C994="SHOW",FIND(",",'ASS START SYNC'!E994,C990+1),"")</f>
        <v/>
      </c>
      <c r="E990" s="25" t="str">
        <f>IF('ASS START SYNC'!C994="SHOW",FIND(",,",'ASS START SYNC'!E994,1),"")</f>
        <v/>
      </c>
      <c r="F990" s="25" t="str">
        <f>IF('ASS START SYNC'!C994="SHOW",FIND(",,",'ASS START SYNC'!E994,E990+1),"")</f>
        <v/>
      </c>
      <c r="G990" s="23" t="str">
        <f>IF('ASS START SYNC'!C994="SHOW",LEFT('ASS START SYNC'!E994,B990),"")</f>
        <v/>
      </c>
      <c r="H990" s="24" t="str">
        <f>IF(AND('ASS START SYNC'!C994="SHOW",COUNTA('ASS START SYNC'!$E$8:'ASS START SYNC'!E993)=0),MID('ASS START SYNC'!E994,B990+1,C990-B990-1),IF(AND('ASS START SYNC'!C994="SHOW",COUNTA('ASS START SYNC'!$E$8:'ASS START SYNC'!E993)&lt;&gt;0),I989,""))</f>
        <v/>
      </c>
      <c r="I990" s="24" t="str">
        <f>IF('ASS START SYNC'!C994="SHOW",MID('ASS START SYNC'!E994,C990+1,D990-C990-1),I989)</f>
        <v/>
      </c>
      <c r="J990" s="23" t="str">
        <f>IF('ASS START SYNC'!C994="SHOW",MID('ASS START SYNC'!E994,D990+1,F990-D990+1),"")</f>
        <v/>
      </c>
      <c r="K990" s="23" t="str">
        <f>IF('ASS START SYNC'!C994="SHOW",MID('ASS START SYNC'!E994,F990+2,1000),"")</f>
        <v/>
      </c>
      <c r="M990" s="24"/>
      <c r="N990" s="26">
        <v>987</v>
      </c>
      <c r="O990" s="24" t="str">
        <f>IF('ASS END SYNC'!C994="SHOW",FIND(",",'ASS END SYNC'!E994,1),"")</f>
        <v/>
      </c>
      <c r="P990" s="24" t="str">
        <f>IF('ASS END SYNC'!C994="SHOW",FIND(",",'ASS END SYNC'!E994,O990+1),"")</f>
        <v/>
      </c>
      <c r="Q990" s="24" t="str">
        <f>IF('ASS END SYNC'!C994="SHOW",FIND(",",'ASS END SYNC'!E994,P990+1),"")</f>
        <v/>
      </c>
      <c r="R990" s="25" t="str">
        <f>IF('ASS END SYNC'!C994="SHOW",FIND(",,",'ASS END SYNC'!E994,1),"")</f>
        <v/>
      </c>
      <c r="S990" s="25" t="str">
        <f>IF('ASS END SYNC'!C994="SHOW",FIND(",,",'ASS END SYNC'!E994,R990+1),"")</f>
        <v/>
      </c>
      <c r="T990" s="23" t="str">
        <f>IF('ASS END SYNC'!C994="SHOW",LEFT('ASS END SYNC'!E994,O990),"")</f>
        <v/>
      </c>
      <c r="U990" s="24" t="str">
        <f>IF('ASS END SYNC'!C994="SHOW",MID('ASS END SYNC'!E994,O990+1,P990-O990-1),"")</f>
        <v/>
      </c>
      <c r="V990" s="24" t="str">
        <f>IF(AND('ASS END SYNC'!C994="SHOW",'ASS END SYNC'!C995="SHOW"),U991,IF(AND('ASS END SYNC'!C994="SHOW",'ASS END SYNC'!C995&lt;&gt;"SHOW"),MID('ASS END SYNC'!E994,O990+1,P990-O990-1),""))</f>
        <v/>
      </c>
      <c r="W990" s="23" t="str">
        <f>IF('ASS END SYNC'!C994="SHOW",MID('ASS END SYNC'!E994,Q990+1,S990-Q990+1),"")</f>
        <v/>
      </c>
      <c r="X990" s="23" t="str">
        <f>IF('ASS END SYNC'!C994="SHOW",MID('ASS END SYNC'!E994,S990+2,1000),"")</f>
        <v/>
      </c>
      <c r="Z990" s="24"/>
    </row>
    <row r="991" spans="1:26" x14ac:dyDescent="0.25">
      <c r="A991" s="26">
        <v>988</v>
      </c>
      <c r="B991" s="24" t="str">
        <f>IF('ASS START SYNC'!C995="SHOW",FIND(",",'ASS START SYNC'!E995,1),"")</f>
        <v/>
      </c>
      <c r="C991" s="24" t="str">
        <f>IF('ASS START SYNC'!C995="SHOW",FIND(",",'ASS START SYNC'!E995,B991+1),"")</f>
        <v/>
      </c>
      <c r="D991" s="24" t="str">
        <f>IF('ASS START SYNC'!C995="SHOW",FIND(",",'ASS START SYNC'!E995,C991+1),"")</f>
        <v/>
      </c>
      <c r="E991" s="25" t="str">
        <f>IF('ASS START SYNC'!C995="SHOW",FIND(",,",'ASS START SYNC'!E995,1),"")</f>
        <v/>
      </c>
      <c r="F991" s="25" t="str">
        <f>IF('ASS START SYNC'!C995="SHOW",FIND(",,",'ASS START SYNC'!E995,E991+1),"")</f>
        <v/>
      </c>
      <c r="G991" s="23" t="str">
        <f>IF('ASS START SYNC'!C995="SHOW",LEFT('ASS START SYNC'!E995,B991),"")</f>
        <v/>
      </c>
      <c r="H991" s="24" t="str">
        <f>IF(AND('ASS START SYNC'!C995="SHOW",COUNTA('ASS START SYNC'!$E$8:'ASS START SYNC'!E994)=0),MID('ASS START SYNC'!E995,B991+1,C991-B991-1),IF(AND('ASS START SYNC'!C995="SHOW",COUNTA('ASS START SYNC'!$E$8:'ASS START SYNC'!E994)&lt;&gt;0),I990,""))</f>
        <v/>
      </c>
      <c r="I991" s="24" t="str">
        <f>IF('ASS START SYNC'!C995="SHOW",MID('ASS START SYNC'!E995,C991+1,D991-C991-1),I990)</f>
        <v/>
      </c>
      <c r="J991" s="23" t="str">
        <f>IF('ASS START SYNC'!C995="SHOW",MID('ASS START SYNC'!E995,D991+1,F991-D991+1),"")</f>
        <v/>
      </c>
      <c r="K991" s="23" t="str">
        <f>IF('ASS START SYNC'!C995="SHOW",MID('ASS START SYNC'!E995,F991+2,1000),"")</f>
        <v/>
      </c>
      <c r="M991" s="24"/>
      <c r="N991" s="26">
        <v>988</v>
      </c>
      <c r="O991" s="24" t="str">
        <f>IF('ASS END SYNC'!C995="SHOW",FIND(",",'ASS END SYNC'!E995,1),"")</f>
        <v/>
      </c>
      <c r="P991" s="24" t="str">
        <f>IF('ASS END SYNC'!C995="SHOW",FIND(",",'ASS END SYNC'!E995,O991+1),"")</f>
        <v/>
      </c>
      <c r="Q991" s="24" t="str">
        <f>IF('ASS END SYNC'!C995="SHOW",FIND(",",'ASS END SYNC'!E995,P991+1),"")</f>
        <v/>
      </c>
      <c r="R991" s="25" t="str">
        <f>IF('ASS END SYNC'!C995="SHOW",FIND(",,",'ASS END SYNC'!E995,1),"")</f>
        <v/>
      </c>
      <c r="S991" s="25" t="str">
        <f>IF('ASS END SYNC'!C995="SHOW",FIND(",,",'ASS END SYNC'!E995,R991+1),"")</f>
        <v/>
      </c>
      <c r="T991" s="23" t="str">
        <f>IF('ASS END SYNC'!C995="SHOW",LEFT('ASS END SYNC'!E995,O991),"")</f>
        <v/>
      </c>
      <c r="U991" s="24" t="str">
        <f>IF('ASS END SYNC'!C995="SHOW",MID('ASS END SYNC'!E995,O991+1,P991-O991-1),"")</f>
        <v/>
      </c>
      <c r="V991" s="24" t="str">
        <f>IF(AND('ASS END SYNC'!C995="SHOW",'ASS END SYNC'!C996="SHOW"),U992,IF(AND('ASS END SYNC'!C995="SHOW",'ASS END SYNC'!C996&lt;&gt;"SHOW"),MID('ASS END SYNC'!E995,O991+1,P991-O991-1),""))</f>
        <v/>
      </c>
      <c r="W991" s="23" t="str">
        <f>IF('ASS END SYNC'!C995="SHOW",MID('ASS END SYNC'!E995,Q991+1,S991-Q991+1),"")</f>
        <v/>
      </c>
      <c r="X991" s="23" t="str">
        <f>IF('ASS END SYNC'!C995="SHOW",MID('ASS END SYNC'!E995,S991+2,1000),"")</f>
        <v/>
      </c>
      <c r="Z991" s="24"/>
    </row>
    <row r="992" spans="1:26" x14ac:dyDescent="0.25">
      <c r="A992" s="26">
        <v>989</v>
      </c>
      <c r="B992" s="24" t="str">
        <f>IF('ASS START SYNC'!C996="SHOW",FIND(",",'ASS START SYNC'!E996,1),"")</f>
        <v/>
      </c>
      <c r="C992" s="24" t="str">
        <f>IF('ASS START SYNC'!C996="SHOW",FIND(",",'ASS START SYNC'!E996,B992+1),"")</f>
        <v/>
      </c>
      <c r="D992" s="24" t="str">
        <f>IF('ASS START SYNC'!C996="SHOW",FIND(",",'ASS START SYNC'!E996,C992+1),"")</f>
        <v/>
      </c>
      <c r="E992" s="25" t="str">
        <f>IF('ASS START SYNC'!C996="SHOW",FIND(",,",'ASS START SYNC'!E996,1),"")</f>
        <v/>
      </c>
      <c r="F992" s="25" t="str">
        <f>IF('ASS START SYNC'!C996="SHOW",FIND(",,",'ASS START SYNC'!E996,E992+1),"")</f>
        <v/>
      </c>
      <c r="G992" s="23" t="str">
        <f>IF('ASS START SYNC'!C996="SHOW",LEFT('ASS START SYNC'!E996,B992),"")</f>
        <v/>
      </c>
      <c r="H992" s="24" t="str">
        <f>IF(AND('ASS START SYNC'!C996="SHOW",COUNTA('ASS START SYNC'!$E$8:'ASS START SYNC'!E995)=0),MID('ASS START SYNC'!E996,B992+1,C992-B992-1),IF(AND('ASS START SYNC'!C996="SHOW",COUNTA('ASS START SYNC'!$E$8:'ASS START SYNC'!E995)&lt;&gt;0),I991,""))</f>
        <v/>
      </c>
      <c r="I992" s="24" t="str">
        <f>IF('ASS START SYNC'!C996="SHOW",MID('ASS START SYNC'!E996,C992+1,D992-C992-1),I991)</f>
        <v/>
      </c>
      <c r="J992" s="23" t="str">
        <f>IF('ASS START SYNC'!C996="SHOW",MID('ASS START SYNC'!E996,D992+1,F992-D992+1),"")</f>
        <v/>
      </c>
      <c r="K992" s="23" t="str">
        <f>IF('ASS START SYNC'!C996="SHOW",MID('ASS START SYNC'!E996,F992+2,1000),"")</f>
        <v/>
      </c>
      <c r="M992" s="24"/>
      <c r="N992" s="26">
        <v>989</v>
      </c>
      <c r="O992" s="24" t="str">
        <f>IF('ASS END SYNC'!C996="SHOW",FIND(",",'ASS END SYNC'!E996,1),"")</f>
        <v/>
      </c>
      <c r="P992" s="24" t="str">
        <f>IF('ASS END SYNC'!C996="SHOW",FIND(",",'ASS END SYNC'!E996,O992+1),"")</f>
        <v/>
      </c>
      <c r="Q992" s="24" t="str">
        <f>IF('ASS END SYNC'!C996="SHOW",FIND(",",'ASS END SYNC'!E996,P992+1),"")</f>
        <v/>
      </c>
      <c r="R992" s="25" t="str">
        <f>IF('ASS END SYNC'!C996="SHOW",FIND(",,",'ASS END SYNC'!E996,1),"")</f>
        <v/>
      </c>
      <c r="S992" s="25" t="str">
        <f>IF('ASS END SYNC'!C996="SHOW",FIND(",,",'ASS END SYNC'!E996,R992+1),"")</f>
        <v/>
      </c>
      <c r="T992" s="23" t="str">
        <f>IF('ASS END SYNC'!C996="SHOW",LEFT('ASS END SYNC'!E996,O992),"")</f>
        <v/>
      </c>
      <c r="U992" s="24" t="str">
        <f>IF('ASS END SYNC'!C996="SHOW",MID('ASS END SYNC'!E996,O992+1,P992-O992-1),"")</f>
        <v/>
      </c>
      <c r="V992" s="24" t="str">
        <f>IF(AND('ASS END SYNC'!C996="SHOW",'ASS END SYNC'!C997="SHOW"),U993,IF(AND('ASS END SYNC'!C996="SHOW",'ASS END SYNC'!C997&lt;&gt;"SHOW"),MID('ASS END SYNC'!E996,O992+1,P992-O992-1),""))</f>
        <v/>
      </c>
      <c r="W992" s="23" t="str">
        <f>IF('ASS END SYNC'!C996="SHOW",MID('ASS END SYNC'!E996,Q992+1,S992-Q992+1),"")</f>
        <v/>
      </c>
      <c r="X992" s="23" t="str">
        <f>IF('ASS END SYNC'!C996="SHOW",MID('ASS END SYNC'!E996,S992+2,1000),"")</f>
        <v/>
      </c>
      <c r="Z992" s="24"/>
    </row>
    <row r="993" spans="1:26" x14ac:dyDescent="0.25">
      <c r="A993" s="26">
        <v>990</v>
      </c>
      <c r="B993" s="24" t="str">
        <f>IF('ASS START SYNC'!C997="SHOW",FIND(",",'ASS START SYNC'!E997,1),"")</f>
        <v/>
      </c>
      <c r="C993" s="24" t="str">
        <f>IF('ASS START SYNC'!C997="SHOW",FIND(",",'ASS START SYNC'!E997,B993+1),"")</f>
        <v/>
      </c>
      <c r="D993" s="24" t="str">
        <f>IF('ASS START SYNC'!C997="SHOW",FIND(",",'ASS START SYNC'!E997,C993+1),"")</f>
        <v/>
      </c>
      <c r="E993" s="25" t="str">
        <f>IF('ASS START SYNC'!C997="SHOW",FIND(",,",'ASS START SYNC'!E997,1),"")</f>
        <v/>
      </c>
      <c r="F993" s="25" t="str">
        <f>IF('ASS START SYNC'!C997="SHOW",FIND(",,",'ASS START SYNC'!E997,E993+1),"")</f>
        <v/>
      </c>
      <c r="G993" s="23" t="str">
        <f>IF('ASS START SYNC'!C997="SHOW",LEFT('ASS START SYNC'!E997,B993),"")</f>
        <v/>
      </c>
      <c r="H993" s="24" t="str">
        <f>IF(AND('ASS START SYNC'!C997="SHOW",COUNTA('ASS START SYNC'!$E$8:'ASS START SYNC'!E996)=0),MID('ASS START SYNC'!E997,B993+1,C993-B993-1),IF(AND('ASS START SYNC'!C997="SHOW",COUNTA('ASS START SYNC'!$E$8:'ASS START SYNC'!E996)&lt;&gt;0),I992,""))</f>
        <v/>
      </c>
      <c r="I993" s="24" t="str">
        <f>IF('ASS START SYNC'!C997="SHOW",MID('ASS START SYNC'!E997,C993+1,D993-C993-1),I992)</f>
        <v/>
      </c>
      <c r="J993" s="23" t="str">
        <f>IF('ASS START SYNC'!C997="SHOW",MID('ASS START SYNC'!E997,D993+1,F993-D993+1),"")</f>
        <v/>
      </c>
      <c r="K993" s="23" t="str">
        <f>IF('ASS START SYNC'!C997="SHOW",MID('ASS START SYNC'!E997,F993+2,1000),"")</f>
        <v/>
      </c>
      <c r="M993" s="24"/>
      <c r="N993" s="26">
        <v>990</v>
      </c>
      <c r="O993" s="24" t="str">
        <f>IF('ASS END SYNC'!C997="SHOW",FIND(",",'ASS END SYNC'!E997,1),"")</f>
        <v/>
      </c>
      <c r="P993" s="24" t="str">
        <f>IF('ASS END SYNC'!C997="SHOW",FIND(",",'ASS END SYNC'!E997,O993+1),"")</f>
        <v/>
      </c>
      <c r="Q993" s="24" t="str">
        <f>IF('ASS END SYNC'!C997="SHOW",FIND(",",'ASS END SYNC'!E997,P993+1),"")</f>
        <v/>
      </c>
      <c r="R993" s="25" t="str">
        <f>IF('ASS END SYNC'!C997="SHOW",FIND(",,",'ASS END SYNC'!E997,1),"")</f>
        <v/>
      </c>
      <c r="S993" s="25" t="str">
        <f>IF('ASS END SYNC'!C997="SHOW",FIND(",,",'ASS END SYNC'!E997,R993+1),"")</f>
        <v/>
      </c>
      <c r="T993" s="23" t="str">
        <f>IF('ASS END SYNC'!C997="SHOW",LEFT('ASS END SYNC'!E997,O993),"")</f>
        <v/>
      </c>
      <c r="U993" s="24" t="str">
        <f>IF('ASS END SYNC'!C997="SHOW",MID('ASS END SYNC'!E997,O993+1,P993-O993-1),"")</f>
        <v/>
      </c>
      <c r="V993" s="24" t="str">
        <f>IF(AND('ASS END SYNC'!C997="SHOW",'ASS END SYNC'!C998="SHOW"),U994,IF(AND('ASS END SYNC'!C997="SHOW",'ASS END SYNC'!C998&lt;&gt;"SHOW"),MID('ASS END SYNC'!E997,O993+1,P993-O993-1),""))</f>
        <v/>
      </c>
      <c r="W993" s="23" t="str">
        <f>IF('ASS END SYNC'!C997="SHOW",MID('ASS END SYNC'!E997,Q993+1,S993-Q993+1),"")</f>
        <v/>
      </c>
      <c r="X993" s="23" t="str">
        <f>IF('ASS END SYNC'!C997="SHOW",MID('ASS END SYNC'!E997,S993+2,1000),"")</f>
        <v/>
      </c>
      <c r="Z993" s="24"/>
    </row>
    <row r="994" spans="1:26" x14ac:dyDescent="0.25">
      <c r="A994" s="26">
        <v>991</v>
      </c>
      <c r="B994" s="24" t="str">
        <f>IF('ASS START SYNC'!C998="SHOW",FIND(",",'ASS START SYNC'!E998,1),"")</f>
        <v/>
      </c>
      <c r="C994" s="24" t="str">
        <f>IF('ASS START SYNC'!C998="SHOW",FIND(",",'ASS START SYNC'!E998,B994+1),"")</f>
        <v/>
      </c>
      <c r="D994" s="24" t="str">
        <f>IF('ASS START SYNC'!C998="SHOW",FIND(",",'ASS START SYNC'!E998,C994+1),"")</f>
        <v/>
      </c>
      <c r="E994" s="25" t="str">
        <f>IF('ASS START SYNC'!C998="SHOW",FIND(",,",'ASS START SYNC'!E998,1),"")</f>
        <v/>
      </c>
      <c r="F994" s="25" t="str">
        <f>IF('ASS START SYNC'!C998="SHOW",FIND(",,",'ASS START SYNC'!E998,E994+1),"")</f>
        <v/>
      </c>
      <c r="G994" s="23" t="str">
        <f>IF('ASS START SYNC'!C998="SHOW",LEFT('ASS START SYNC'!E998,B994),"")</f>
        <v/>
      </c>
      <c r="H994" s="24" t="str">
        <f>IF(AND('ASS START SYNC'!C998="SHOW",COUNTA('ASS START SYNC'!$E$8:'ASS START SYNC'!E997)=0),MID('ASS START SYNC'!E998,B994+1,C994-B994-1),IF(AND('ASS START SYNC'!C998="SHOW",COUNTA('ASS START SYNC'!$E$8:'ASS START SYNC'!E997)&lt;&gt;0),I993,""))</f>
        <v/>
      </c>
      <c r="I994" s="24" t="str">
        <f>IF('ASS START SYNC'!C998="SHOW",MID('ASS START SYNC'!E998,C994+1,D994-C994-1),I993)</f>
        <v/>
      </c>
      <c r="J994" s="23" t="str">
        <f>IF('ASS START SYNC'!C998="SHOW",MID('ASS START SYNC'!E998,D994+1,F994-D994+1),"")</f>
        <v/>
      </c>
      <c r="K994" s="23" t="str">
        <f>IF('ASS START SYNC'!C998="SHOW",MID('ASS START SYNC'!E998,F994+2,1000),"")</f>
        <v/>
      </c>
      <c r="M994" s="24"/>
      <c r="N994" s="26">
        <v>991</v>
      </c>
      <c r="O994" s="24" t="str">
        <f>IF('ASS END SYNC'!C998="SHOW",FIND(",",'ASS END SYNC'!E998,1),"")</f>
        <v/>
      </c>
      <c r="P994" s="24" t="str">
        <f>IF('ASS END SYNC'!C998="SHOW",FIND(",",'ASS END SYNC'!E998,O994+1),"")</f>
        <v/>
      </c>
      <c r="Q994" s="24" t="str">
        <f>IF('ASS END SYNC'!C998="SHOW",FIND(",",'ASS END SYNC'!E998,P994+1),"")</f>
        <v/>
      </c>
      <c r="R994" s="25" t="str">
        <f>IF('ASS END SYNC'!C998="SHOW",FIND(",,",'ASS END SYNC'!E998,1),"")</f>
        <v/>
      </c>
      <c r="S994" s="25" t="str">
        <f>IF('ASS END SYNC'!C998="SHOW",FIND(",,",'ASS END SYNC'!E998,R994+1),"")</f>
        <v/>
      </c>
      <c r="T994" s="23" t="str">
        <f>IF('ASS END SYNC'!C998="SHOW",LEFT('ASS END SYNC'!E998,O994),"")</f>
        <v/>
      </c>
      <c r="U994" s="24" t="str">
        <f>IF('ASS END SYNC'!C998="SHOW",MID('ASS END SYNC'!E998,O994+1,P994-O994-1),"")</f>
        <v/>
      </c>
      <c r="V994" s="24" t="str">
        <f>IF(AND('ASS END SYNC'!C998="SHOW",'ASS END SYNC'!C999="SHOW"),U995,IF(AND('ASS END SYNC'!C998="SHOW",'ASS END SYNC'!C999&lt;&gt;"SHOW"),MID('ASS END SYNC'!E998,O994+1,P994-O994-1),""))</f>
        <v/>
      </c>
      <c r="W994" s="23" t="str">
        <f>IF('ASS END SYNC'!C998="SHOW",MID('ASS END SYNC'!E998,Q994+1,S994-Q994+1),"")</f>
        <v/>
      </c>
      <c r="X994" s="23" t="str">
        <f>IF('ASS END SYNC'!C998="SHOW",MID('ASS END SYNC'!E998,S994+2,1000),"")</f>
        <v/>
      </c>
      <c r="Z994" s="24"/>
    </row>
    <row r="995" spans="1:26" x14ac:dyDescent="0.25">
      <c r="A995" s="26">
        <v>992</v>
      </c>
      <c r="B995" s="24" t="str">
        <f>IF('ASS START SYNC'!C999="SHOW",FIND(",",'ASS START SYNC'!E999,1),"")</f>
        <v/>
      </c>
      <c r="C995" s="24" t="str">
        <f>IF('ASS START SYNC'!C999="SHOW",FIND(",",'ASS START SYNC'!E999,B995+1),"")</f>
        <v/>
      </c>
      <c r="D995" s="24" t="str">
        <f>IF('ASS START SYNC'!C999="SHOW",FIND(",",'ASS START SYNC'!E999,C995+1),"")</f>
        <v/>
      </c>
      <c r="E995" s="25" t="str">
        <f>IF('ASS START SYNC'!C999="SHOW",FIND(",,",'ASS START SYNC'!E999,1),"")</f>
        <v/>
      </c>
      <c r="F995" s="25" t="str">
        <f>IF('ASS START SYNC'!C999="SHOW",FIND(",,",'ASS START SYNC'!E999,E995+1),"")</f>
        <v/>
      </c>
      <c r="G995" s="23" t="str">
        <f>IF('ASS START SYNC'!C999="SHOW",LEFT('ASS START SYNC'!E999,B995),"")</f>
        <v/>
      </c>
      <c r="H995" s="24" t="str">
        <f>IF(AND('ASS START SYNC'!C999="SHOW",COUNTA('ASS START SYNC'!$E$8:'ASS START SYNC'!E998)=0),MID('ASS START SYNC'!E999,B995+1,C995-B995-1),IF(AND('ASS START SYNC'!C999="SHOW",COUNTA('ASS START SYNC'!$E$8:'ASS START SYNC'!E998)&lt;&gt;0),I994,""))</f>
        <v/>
      </c>
      <c r="I995" s="24" t="str">
        <f>IF('ASS START SYNC'!C999="SHOW",MID('ASS START SYNC'!E999,C995+1,D995-C995-1),I994)</f>
        <v/>
      </c>
      <c r="J995" s="23" t="str">
        <f>IF('ASS START SYNC'!C999="SHOW",MID('ASS START SYNC'!E999,D995+1,F995-D995+1),"")</f>
        <v/>
      </c>
      <c r="K995" s="23" t="str">
        <f>IF('ASS START SYNC'!C999="SHOW",MID('ASS START SYNC'!E999,F995+2,1000),"")</f>
        <v/>
      </c>
      <c r="M995" s="24"/>
      <c r="N995" s="26">
        <v>992</v>
      </c>
      <c r="O995" s="24" t="str">
        <f>IF('ASS END SYNC'!C999="SHOW",FIND(",",'ASS END SYNC'!E999,1),"")</f>
        <v/>
      </c>
      <c r="P995" s="24" t="str">
        <f>IF('ASS END SYNC'!C999="SHOW",FIND(",",'ASS END SYNC'!E999,O995+1),"")</f>
        <v/>
      </c>
      <c r="Q995" s="24" t="str">
        <f>IF('ASS END SYNC'!C999="SHOW",FIND(",",'ASS END SYNC'!E999,P995+1),"")</f>
        <v/>
      </c>
      <c r="R995" s="25" t="str">
        <f>IF('ASS END SYNC'!C999="SHOW",FIND(",,",'ASS END SYNC'!E999,1),"")</f>
        <v/>
      </c>
      <c r="S995" s="25" t="str">
        <f>IF('ASS END SYNC'!C999="SHOW",FIND(",,",'ASS END SYNC'!E999,R995+1),"")</f>
        <v/>
      </c>
      <c r="T995" s="23" t="str">
        <f>IF('ASS END SYNC'!C999="SHOW",LEFT('ASS END SYNC'!E999,O995),"")</f>
        <v/>
      </c>
      <c r="U995" s="24" t="str">
        <f>IF('ASS END SYNC'!C999="SHOW",MID('ASS END SYNC'!E999,O995+1,P995-O995-1),"")</f>
        <v/>
      </c>
      <c r="V995" s="24" t="str">
        <f>IF(AND('ASS END SYNC'!C999="SHOW",'ASS END SYNC'!C1000="SHOW"),U996,IF(AND('ASS END SYNC'!C999="SHOW",'ASS END SYNC'!C1000&lt;&gt;"SHOW"),MID('ASS END SYNC'!E999,O995+1,P995-O995-1),""))</f>
        <v/>
      </c>
      <c r="W995" s="23" t="str">
        <f>IF('ASS END SYNC'!C999="SHOW",MID('ASS END SYNC'!E999,Q995+1,S995-Q995+1),"")</f>
        <v/>
      </c>
      <c r="X995" s="23" t="str">
        <f>IF('ASS END SYNC'!C999="SHOW",MID('ASS END SYNC'!E999,S995+2,1000),"")</f>
        <v/>
      </c>
      <c r="Z995" s="24"/>
    </row>
    <row r="996" spans="1:26" x14ac:dyDescent="0.25">
      <c r="A996" s="26">
        <v>993</v>
      </c>
      <c r="B996" s="24" t="str">
        <f>IF('ASS START SYNC'!C1000="SHOW",FIND(",",'ASS START SYNC'!E1000,1),"")</f>
        <v/>
      </c>
      <c r="C996" s="24" t="str">
        <f>IF('ASS START SYNC'!C1000="SHOW",FIND(",",'ASS START SYNC'!E1000,B996+1),"")</f>
        <v/>
      </c>
      <c r="D996" s="24" t="str">
        <f>IF('ASS START SYNC'!C1000="SHOW",FIND(",",'ASS START SYNC'!E1000,C996+1),"")</f>
        <v/>
      </c>
      <c r="E996" s="25" t="str">
        <f>IF('ASS START SYNC'!C1000="SHOW",FIND(",,",'ASS START SYNC'!E1000,1),"")</f>
        <v/>
      </c>
      <c r="F996" s="25" t="str">
        <f>IF('ASS START SYNC'!C1000="SHOW",FIND(",,",'ASS START SYNC'!E1000,E996+1),"")</f>
        <v/>
      </c>
      <c r="G996" s="23" t="str">
        <f>IF('ASS START SYNC'!C1000="SHOW",LEFT('ASS START SYNC'!E1000,B996),"")</f>
        <v/>
      </c>
      <c r="H996" s="24" t="str">
        <f>IF(AND('ASS START SYNC'!C1000="SHOW",COUNTA('ASS START SYNC'!$E$8:'ASS START SYNC'!E999)=0),MID('ASS START SYNC'!E1000,B996+1,C996-B996-1),IF(AND('ASS START SYNC'!C1000="SHOW",COUNTA('ASS START SYNC'!$E$8:'ASS START SYNC'!E999)&lt;&gt;0),I995,""))</f>
        <v/>
      </c>
      <c r="I996" s="24" t="str">
        <f>IF('ASS START SYNC'!C1000="SHOW",MID('ASS START SYNC'!E1000,C996+1,D996-C996-1),I995)</f>
        <v/>
      </c>
      <c r="J996" s="23" t="str">
        <f>IF('ASS START SYNC'!C1000="SHOW",MID('ASS START SYNC'!E1000,D996+1,F996-D996+1),"")</f>
        <v/>
      </c>
      <c r="K996" s="23" t="str">
        <f>IF('ASS START SYNC'!C1000="SHOW",MID('ASS START SYNC'!E1000,F996+2,1000),"")</f>
        <v/>
      </c>
      <c r="M996" s="24"/>
      <c r="N996" s="26">
        <v>993</v>
      </c>
      <c r="O996" s="24" t="str">
        <f>IF('ASS END SYNC'!C1000="SHOW",FIND(",",'ASS END SYNC'!E1000,1),"")</f>
        <v/>
      </c>
      <c r="P996" s="24" t="str">
        <f>IF('ASS END SYNC'!C1000="SHOW",FIND(",",'ASS END SYNC'!E1000,O996+1),"")</f>
        <v/>
      </c>
      <c r="Q996" s="24" t="str">
        <f>IF('ASS END SYNC'!C1000="SHOW",FIND(",",'ASS END SYNC'!E1000,P996+1),"")</f>
        <v/>
      </c>
      <c r="R996" s="25" t="str">
        <f>IF('ASS END SYNC'!C1000="SHOW",FIND(",,",'ASS END SYNC'!E1000,1),"")</f>
        <v/>
      </c>
      <c r="S996" s="25" t="str">
        <f>IF('ASS END SYNC'!C1000="SHOW",FIND(",,",'ASS END SYNC'!E1000,R996+1),"")</f>
        <v/>
      </c>
      <c r="T996" s="23" t="str">
        <f>IF('ASS END SYNC'!C1000="SHOW",LEFT('ASS END SYNC'!E1000,O996),"")</f>
        <v/>
      </c>
      <c r="U996" s="24" t="str">
        <f>IF('ASS END SYNC'!C1000="SHOW",MID('ASS END SYNC'!E1000,O996+1,P996-O996-1),"")</f>
        <v/>
      </c>
      <c r="V996" s="24" t="str">
        <f>IF(AND('ASS END SYNC'!C1000="SHOW",'ASS END SYNC'!C1001="SHOW"),U997,IF(AND('ASS END SYNC'!C1000="SHOW",'ASS END SYNC'!C1001&lt;&gt;"SHOW"),MID('ASS END SYNC'!E1000,O996+1,P996-O996-1),""))</f>
        <v/>
      </c>
      <c r="W996" s="23" t="str">
        <f>IF('ASS END SYNC'!C1000="SHOW",MID('ASS END SYNC'!E1000,Q996+1,S996-Q996+1),"")</f>
        <v/>
      </c>
      <c r="X996" s="23" t="str">
        <f>IF('ASS END SYNC'!C1000="SHOW",MID('ASS END SYNC'!E1000,S996+2,1000),"")</f>
        <v/>
      </c>
      <c r="Z996" s="24"/>
    </row>
    <row r="997" spans="1:26" x14ac:dyDescent="0.25">
      <c r="A997" s="26">
        <v>994</v>
      </c>
      <c r="B997" s="24" t="str">
        <f>IF('ASS START SYNC'!C1001="SHOW",FIND(",",'ASS START SYNC'!E1001,1),"")</f>
        <v/>
      </c>
      <c r="C997" s="24" t="str">
        <f>IF('ASS START SYNC'!C1001="SHOW",FIND(",",'ASS START SYNC'!E1001,B997+1),"")</f>
        <v/>
      </c>
      <c r="D997" s="24" t="str">
        <f>IF('ASS START SYNC'!C1001="SHOW",FIND(",",'ASS START SYNC'!E1001,C997+1),"")</f>
        <v/>
      </c>
      <c r="E997" s="25" t="str">
        <f>IF('ASS START SYNC'!C1001="SHOW",FIND(",,",'ASS START SYNC'!E1001,1),"")</f>
        <v/>
      </c>
      <c r="F997" s="25" t="str">
        <f>IF('ASS START SYNC'!C1001="SHOW",FIND(",,",'ASS START SYNC'!E1001,E997+1),"")</f>
        <v/>
      </c>
      <c r="G997" s="23" t="str">
        <f>IF('ASS START SYNC'!C1001="SHOW",LEFT('ASS START SYNC'!E1001,B997),"")</f>
        <v/>
      </c>
      <c r="H997" s="24" t="str">
        <f>IF(AND('ASS START SYNC'!C1001="SHOW",COUNTA('ASS START SYNC'!$E$8:'ASS START SYNC'!E1000)=0),MID('ASS START SYNC'!E1001,B997+1,C997-B997-1),IF(AND('ASS START SYNC'!C1001="SHOW",COUNTA('ASS START SYNC'!$E$8:'ASS START SYNC'!E1000)&lt;&gt;0),I996,""))</f>
        <v/>
      </c>
      <c r="I997" s="24" t="str">
        <f>IF('ASS START SYNC'!C1001="SHOW",MID('ASS START SYNC'!E1001,C997+1,D997-C997-1),I996)</f>
        <v/>
      </c>
      <c r="J997" s="23" t="str">
        <f>IF('ASS START SYNC'!C1001="SHOW",MID('ASS START SYNC'!E1001,D997+1,F997-D997+1),"")</f>
        <v/>
      </c>
      <c r="K997" s="23" t="str">
        <f>IF('ASS START SYNC'!C1001="SHOW",MID('ASS START SYNC'!E1001,F997+2,1000),"")</f>
        <v/>
      </c>
      <c r="M997" s="24"/>
      <c r="N997" s="26">
        <v>994</v>
      </c>
      <c r="O997" s="24" t="str">
        <f>IF('ASS END SYNC'!C1001="SHOW",FIND(",",'ASS END SYNC'!E1001,1),"")</f>
        <v/>
      </c>
      <c r="P997" s="24" t="str">
        <f>IF('ASS END SYNC'!C1001="SHOW",FIND(",",'ASS END SYNC'!E1001,O997+1),"")</f>
        <v/>
      </c>
      <c r="Q997" s="24" t="str">
        <f>IF('ASS END SYNC'!C1001="SHOW",FIND(",",'ASS END SYNC'!E1001,P997+1),"")</f>
        <v/>
      </c>
      <c r="R997" s="25" t="str">
        <f>IF('ASS END SYNC'!C1001="SHOW",FIND(",,",'ASS END SYNC'!E1001,1),"")</f>
        <v/>
      </c>
      <c r="S997" s="25" t="str">
        <f>IF('ASS END SYNC'!C1001="SHOW",FIND(",,",'ASS END SYNC'!E1001,R997+1),"")</f>
        <v/>
      </c>
      <c r="T997" s="23" t="str">
        <f>IF('ASS END SYNC'!C1001="SHOW",LEFT('ASS END SYNC'!E1001,O997),"")</f>
        <v/>
      </c>
      <c r="U997" s="24" t="str">
        <f>IF('ASS END SYNC'!C1001="SHOW",MID('ASS END SYNC'!E1001,O997+1,P997-O997-1),"")</f>
        <v/>
      </c>
      <c r="V997" s="24" t="str">
        <f>IF(AND('ASS END SYNC'!C1001="SHOW",'ASS END SYNC'!C1002="SHOW"),U998,IF(AND('ASS END SYNC'!C1001="SHOW",'ASS END SYNC'!C1002&lt;&gt;"SHOW"),MID('ASS END SYNC'!E1001,O997+1,P997-O997-1),""))</f>
        <v/>
      </c>
      <c r="W997" s="23" t="str">
        <f>IF('ASS END SYNC'!C1001="SHOW",MID('ASS END SYNC'!E1001,Q997+1,S997-Q997+1),"")</f>
        <v/>
      </c>
      <c r="X997" s="23" t="str">
        <f>IF('ASS END SYNC'!C1001="SHOW",MID('ASS END SYNC'!E1001,S997+2,1000),"")</f>
        <v/>
      </c>
      <c r="Z997" s="24"/>
    </row>
    <row r="998" spans="1:26" x14ac:dyDescent="0.25">
      <c r="A998" s="26">
        <v>995</v>
      </c>
      <c r="B998" s="24" t="str">
        <f>IF('ASS START SYNC'!C1002="SHOW",FIND(",",'ASS START SYNC'!E1002,1),"")</f>
        <v/>
      </c>
      <c r="C998" s="24" t="str">
        <f>IF('ASS START SYNC'!C1002="SHOW",FIND(",",'ASS START SYNC'!E1002,B998+1),"")</f>
        <v/>
      </c>
      <c r="D998" s="24" t="str">
        <f>IF('ASS START SYNC'!C1002="SHOW",FIND(",",'ASS START SYNC'!E1002,C998+1),"")</f>
        <v/>
      </c>
      <c r="E998" s="25" t="str">
        <f>IF('ASS START SYNC'!C1002="SHOW",FIND(",,",'ASS START SYNC'!E1002,1),"")</f>
        <v/>
      </c>
      <c r="F998" s="25" t="str">
        <f>IF('ASS START SYNC'!C1002="SHOW",FIND(",,",'ASS START SYNC'!E1002,E998+1),"")</f>
        <v/>
      </c>
      <c r="G998" s="23" t="str">
        <f>IF('ASS START SYNC'!C1002="SHOW",LEFT('ASS START SYNC'!E1002,B998),"")</f>
        <v/>
      </c>
      <c r="H998" s="24" t="str">
        <f>IF(AND('ASS START SYNC'!C1002="SHOW",COUNTA('ASS START SYNC'!$E$8:'ASS START SYNC'!E1001)=0),MID('ASS START SYNC'!E1002,B998+1,C998-B998-1),IF(AND('ASS START SYNC'!C1002="SHOW",COUNTA('ASS START SYNC'!$E$8:'ASS START SYNC'!E1001)&lt;&gt;0),I997,""))</f>
        <v/>
      </c>
      <c r="I998" s="24" t="str">
        <f>IF('ASS START SYNC'!C1002="SHOW",MID('ASS START SYNC'!E1002,C998+1,D998-C998-1),I997)</f>
        <v/>
      </c>
      <c r="J998" s="23" t="str">
        <f>IF('ASS START SYNC'!C1002="SHOW",MID('ASS START SYNC'!E1002,D998+1,F998-D998+1),"")</f>
        <v/>
      </c>
      <c r="K998" s="23" t="str">
        <f>IF('ASS START SYNC'!C1002="SHOW",MID('ASS START SYNC'!E1002,F998+2,1000),"")</f>
        <v/>
      </c>
      <c r="M998" s="24"/>
      <c r="N998" s="26">
        <v>995</v>
      </c>
      <c r="O998" s="24" t="str">
        <f>IF('ASS END SYNC'!C1002="SHOW",FIND(",",'ASS END SYNC'!E1002,1),"")</f>
        <v/>
      </c>
      <c r="P998" s="24" t="str">
        <f>IF('ASS END SYNC'!C1002="SHOW",FIND(",",'ASS END SYNC'!E1002,O998+1),"")</f>
        <v/>
      </c>
      <c r="Q998" s="24" t="str">
        <f>IF('ASS END SYNC'!C1002="SHOW",FIND(",",'ASS END SYNC'!E1002,P998+1),"")</f>
        <v/>
      </c>
      <c r="R998" s="25" t="str">
        <f>IF('ASS END SYNC'!C1002="SHOW",FIND(",,",'ASS END SYNC'!E1002,1),"")</f>
        <v/>
      </c>
      <c r="S998" s="25" t="str">
        <f>IF('ASS END SYNC'!C1002="SHOW",FIND(",,",'ASS END SYNC'!E1002,R998+1),"")</f>
        <v/>
      </c>
      <c r="T998" s="23" t="str">
        <f>IF('ASS END SYNC'!C1002="SHOW",LEFT('ASS END SYNC'!E1002,O998),"")</f>
        <v/>
      </c>
      <c r="U998" s="24" t="str">
        <f>IF('ASS END SYNC'!C1002="SHOW",MID('ASS END SYNC'!E1002,O998+1,P998-O998-1),"")</f>
        <v/>
      </c>
      <c r="V998" s="24" t="str">
        <f>IF(AND('ASS END SYNC'!C1002="SHOW",'ASS END SYNC'!C1003="SHOW"),U999,IF(AND('ASS END SYNC'!C1002="SHOW",'ASS END SYNC'!C1003&lt;&gt;"SHOW"),MID('ASS END SYNC'!E1002,O998+1,P998-O998-1),""))</f>
        <v/>
      </c>
      <c r="W998" s="23" t="str">
        <f>IF('ASS END SYNC'!C1002="SHOW",MID('ASS END SYNC'!E1002,Q998+1,S998-Q998+1),"")</f>
        <v/>
      </c>
      <c r="X998" s="23" t="str">
        <f>IF('ASS END SYNC'!C1002="SHOW",MID('ASS END SYNC'!E1002,S998+2,1000),"")</f>
        <v/>
      </c>
      <c r="Z998" s="24"/>
    </row>
    <row r="999" spans="1:26" x14ac:dyDescent="0.25">
      <c r="A999" s="26">
        <v>996</v>
      </c>
      <c r="B999" s="24" t="str">
        <f>IF('ASS START SYNC'!C1003="SHOW",FIND(",",'ASS START SYNC'!E1003,1),"")</f>
        <v/>
      </c>
      <c r="C999" s="24" t="str">
        <f>IF('ASS START SYNC'!C1003="SHOW",FIND(",",'ASS START SYNC'!E1003,B999+1),"")</f>
        <v/>
      </c>
      <c r="D999" s="24" t="str">
        <f>IF('ASS START SYNC'!C1003="SHOW",FIND(",",'ASS START SYNC'!E1003,C999+1),"")</f>
        <v/>
      </c>
      <c r="E999" s="25" t="str">
        <f>IF('ASS START SYNC'!C1003="SHOW",FIND(",,",'ASS START SYNC'!E1003,1),"")</f>
        <v/>
      </c>
      <c r="F999" s="25" t="str">
        <f>IF('ASS START SYNC'!C1003="SHOW",FIND(",,",'ASS START SYNC'!E1003,E999+1),"")</f>
        <v/>
      </c>
      <c r="G999" s="23" t="str">
        <f>IF('ASS START SYNC'!C1003="SHOW",LEFT('ASS START SYNC'!E1003,B999),"")</f>
        <v/>
      </c>
      <c r="H999" s="24" t="str">
        <f>IF(AND('ASS START SYNC'!C1003="SHOW",COUNTA('ASS START SYNC'!$E$8:'ASS START SYNC'!E1002)=0),MID('ASS START SYNC'!E1003,B999+1,C999-B999-1),IF(AND('ASS START SYNC'!C1003="SHOW",COUNTA('ASS START SYNC'!$E$8:'ASS START SYNC'!E1002)&lt;&gt;0),I998,""))</f>
        <v/>
      </c>
      <c r="I999" s="24" t="str">
        <f>IF('ASS START SYNC'!C1003="SHOW",MID('ASS START SYNC'!E1003,C999+1,D999-C999-1),I998)</f>
        <v/>
      </c>
      <c r="J999" s="23" t="str">
        <f>IF('ASS START SYNC'!C1003="SHOW",MID('ASS START SYNC'!E1003,D999+1,F999-D999+1),"")</f>
        <v/>
      </c>
      <c r="K999" s="23" t="str">
        <f>IF('ASS START SYNC'!C1003="SHOW",MID('ASS START SYNC'!E1003,F999+2,1000),"")</f>
        <v/>
      </c>
      <c r="M999" s="24"/>
      <c r="N999" s="26">
        <v>996</v>
      </c>
      <c r="O999" s="24" t="str">
        <f>IF('ASS END SYNC'!C1003="SHOW",FIND(",",'ASS END SYNC'!E1003,1),"")</f>
        <v/>
      </c>
      <c r="P999" s="24" t="str">
        <f>IF('ASS END SYNC'!C1003="SHOW",FIND(",",'ASS END SYNC'!E1003,O999+1),"")</f>
        <v/>
      </c>
      <c r="Q999" s="24" t="str">
        <f>IF('ASS END SYNC'!C1003="SHOW",FIND(",",'ASS END SYNC'!E1003,P999+1),"")</f>
        <v/>
      </c>
      <c r="R999" s="25" t="str">
        <f>IF('ASS END SYNC'!C1003="SHOW",FIND(",,",'ASS END SYNC'!E1003,1),"")</f>
        <v/>
      </c>
      <c r="S999" s="25" t="str">
        <f>IF('ASS END SYNC'!C1003="SHOW",FIND(",,",'ASS END SYNC'!E1003,R999+1),"")</f>
        <v/>
      </c>
      <c r="T999" s="23" t="str">
        <f>IF('ASS END SYNC'!C1003="SHOW",LEFT('ASS END SYNC'!E1003,O999),"")</f>
        <v/>
      </c>
      <c r="U999" s="24" t="str">
        <f>IF('ASS END SYNC'!C1003="SHOW",MID('ASS END SYNC'!E1003,O999+1,P999-O999-1),"")</f>
        <v/>
      </c>
      <c r="V999" s="24" t="str">
        <f>IF(AND('ASS END SYNC'!C1003="SHOW",'ASS END SYNC'!C1004="SHOW"),U1000,IF(AND('ASS END SYNC'!C1003="SHOW",'ASS END SYNC'!C1004&lt;&gt;"SHOW"),MID('ASS END SYNC'!E1003,O999+1,P999-O999-1),""))</f>
        <v/>
      </c>
      <c r="W999" s="23" t="str">
        <f>IF('ASS END SYNC'!C1003="SHOW",MID('ASS END SYNC'!E1003,Q999+1,S999-Q999+1),"")</f>
        <v/>
      </c>
      <c r="X999" s="23" t="str">
        <f>IF('ASS END SYNC'!C1003="SHOW",MID('ASS END SYNC'!E1003,S999+2,1000),"")</f>
        <v/>
      </c>
      <c r="Z999" s="24"/>
    </row>
    <row r="1000" spans="1:26" x14ac:dyDescent="0.25">
      <c r="A1000" s="26">
        <v>997</v>
      </c>
      <c r="B1000" s="24" t="str">
        <f>IF('ASS START SYNC'!C1004="SHOW",FIND(",",'ASS START SYNC'!E1004,1),"")</f>
        <v/>
      </c>
      <c r="C1000" s="24" t="str">
        <f>IF('ASS START SYNC'!C1004="SHOW",FIND(",",'ASS START SYNC'!E1004,B1000+1),"")</f>
        <v/>
      </c>
      <c r="D1000" s="24" t="str">
        <f>IF('ASS START SYNC'!C1004="SHOW",FIND(",",'ASS START SYNC'!E1004,C1000+1),"")</f>
        <v/>
      </c>
      <c r="E1000" s="25" t="str">
        <f>IF('ASS START SYNC'!C1004="SHOW",FIND(",,",'ASS START SYNC'!E1004,1),"")</f>
        <v/>
      </c>
      <c r="F1000" s="25" t="str">
        <f>IF('ASS START SYNC'!C1004="SHOW",FIND(",,",'ASS START SYNC'!E1004,E1000+1),"")</f>
        <v/>
      </c>
      <c r="G1000" s="23" t="str">
        <f>IF('ASS START SYNC'!C1004="SHOW",LEFT('ASS START SYNC'!E1004,B1000),"")</f>
        <v/>
      </c>
      <c r="H1000" s="24" t="str">
        <f>IF(AND('ASS START SYNC'!C1004="SHOW",COUNTA('ASS START SYNC'!$E$8:'ASS START SYNC'!E1003)=0),MID('ASS START SYNC'!E1004,B1000+1,C1000-B1000-1),IF(AND('ASS START SYNC'!C1004="SHOW",COUNTA('ASS START SYNC'!$E$8:'ASS START SYNC'!E1003)&lt;&gt;0),I999,""))</f>
        <v/>
      </c>
      <c r="I1000" s="24" t="str">
        <f>IF('ASS START SYNC'!C1004="SHOW",MID('ASS START SYNC'!E1004,C1000+1,D1000-C1000-1),I999)</f>
        <v/>
      </c>
      <c r="J1000" s="23" t="str">
        <f>IF('ASS START SYNC'!C1004="SHOW",MID('ASS START SYNC'!E1004,D1000+1,F1000-D1000+1),"")</f>
        <v/>
      </c>
      <c r="K1000" s="23" t="str">
        <f>IF('ASS START SYNC'!C1004="SHOW",MID('ASS START SYNC'!E1004,F1000+2,1000),"")</f>
        <v/>
      </c>
      <c r="M1000" s="24"/>
      <c r="N1000" s="26">
        <v>997</v>
      </c>
      <c r="O1000" s="24" t="str">
        <f>IF('ASS END SYNC'!C1004="SHOW",FIND(",",'ASS END SYNC'!E1004,1),"")</f>
        <v/>
      </c>
      <c r="P1000" s="24" t="str">
        <f>IF('ASS END SYNC'!C1004="SHOW",FIND(",",'ASS END SYNC'!E1004,O1000+1),"")</f>
        <v/>
      </c>
      <c r="Q1000" s="24" t="str">
        <f>IF('ASS END SYNC'!C1004="SHOW",FIND(",",'ASS END SYNC'!E1004,P1000+1),"")</f>
        <v/>
      </c>
      <c r="R1000" s="25" t="str">
        <f>IF('ASS END SYNC'!C1004="SHOW",FIND(",,",'ASS END SYNC'!E1004,1),"")</f>
        <v/>
      </c>
      <c r="S1000" s="25" t="str">
        <f>IF('ASS END SYNC'!C1004="SHOW",FIND(",,",'ASS END SYNC'!E1004,R1000+1),"")</f>
        <v/>
      </c>
      <c r="T1000" s="23" t="str">
        <f>IF('ASS END SYNC'!C1004="SHOW",LEFT('ASS END SYNC'!E1004,O1000),"")</f>
        <v/>
      </c>
      <c r="U1000" s="24" t="str">
        <f>IF('ASS END SYNC'!C1004="SHOW",MID('ASS END SYNC'!E1004,O1000+1,P1000-O1000-1),"")</f>
        <v/>
      </c>
      <c r="V1000" s="24" t="str">
        <f>IF(AND('ASS END SYNC'!C1004="SHOW",'ASS END SYNC'!C1005="SHOW"),U1001,IF(AND('ASS END SYNC'!C1004="SHOW",'ASS END SYNC'!C1005&lt;&gt;"SHOW"),MID('ASS END SYNC'!E1004,O1000+1,P1000-O1000-1),""))</f>
        <v/>
      </c>
      <c r="W1000" s="23" t="str">
        <f>IF('ASS END SYNC'!C1004="SHOW",MID('ASS END SYNC'!E1004,Q1000+1,S1000-Q1000+1),"")</f>
        <v/>
      </c>
      <c r="X1000" s="23" t="str">
        <f>IF('ASS END SYNC'!C1004="SHOW",MID('ASS END SYNC'!E1004,S1000+2,1000),"")</f>
        <v/>
      </c>
      <c r="Z1000" s="24"/>
    </row>
    <row r="1001" spans="1:26" x14ac:dyDescent="0.25">
      <c r="A1001" s="26">
        <v>998</v>
      </c>
      <c r="B1001" s="24" t="str">
        <f>IF('ASS START SYNC'!C1005="SHOW",FIND(",",'ASS START SYNC'!E1005,1),"")</f>
        <v/>
      </c>
      <c r="C1001" s="24" t="str">
        <f>IF('ASS START SYNC'!C1005="SHOW",FIND(",",'ASS START SYNC'!E1005,B1001+1),"")</f>
        <v/>
      </c>
      <c r="D1001" s="24" t="str">
        <f>IF('ASS START SYNC'!C1005="SHOW",FIND(",",'ASS START SYNC'!E1005,C1001+1),"")</f>
        <v/>
      </c>
      <c r="E1001" s="25" t="str">
        <f>IF('ASS START SYNC'!C1005="SHOW",FIND(",,",'ASS START SYNC'!E1005,1),"")</f>
        <v/>
      </c>
      <c r="F1001" s="25" t="str">
        <f>IF('ASS START SYNC'!C1005="SHOW",FIND(",,",'ASS START SYNC'!E1005,E1001+1),"")</f>
        <v/>
      </c>
      <c r="G1001" s="23" t="str">
        <f>IF('ASS START SYNC'!C1005="SHOW",LEFT('ASS START SYNC'!E1005,B1001),"")</f>
        <v/>
      </c>
      <c r="H1001" s="24" t="str">
        <f>IF(AND('ASS START SYNC'!C1005="SHOW",COUNTA('ASS START SYNC'!$E$8:'ASS START SYNC'!E1004)=0),MID('ASS START SYNC'!E1005,B1001+1,C1001-B1001-1),IF(AND('ASS START SYNC'!C1005="SHOW",COUNTA('ASS START SYNC'!$E$8:'ASS START SYNC'!E1004)&lt;&gt;0),I1000,""))</f>
        <v/>
      </c>
      <c r="I1001" s="24" t="str">
        <f>IF('ASS START SYNC'!C1005="SHOW",MID('ASS START SYNC'!E1005,C1001+1,D1001-C1001-1),I1000)</f>
        <v/>
      </c>
      <c r="J1001" s="23" t="str">
        <f>IF('ASS START SYNC'!C1005="SHOW",MID('ASS START SYNC'!E1005,D1001+1,F1001-D1001+1),"")</f>
        <v/>
      </c>
      <c r="K1001" s="23" t="str">
        <f>IF('ASS START SYNC'!C1005="SHOW",MID('ASS START SYNC'!E1005,F1001+2,1000),"")</f>
        <v/>
      </c>
      <c r="M1001" s="24"/>
      <c r="N1001" s="26">
        <v>998</v>
      </c>
      <c r="O1001" s="24" t="str">
        <f>IF('ASS END SYNC'!C1005="SHOW",FIND(",",'ASS END SYNC'!E1005,1),"")</f>
        <v/>
      </c>
      <c r="P1001" s="24" t="str">
        <f>IF('ASS END SYNC'!C1005="SHOW",FIND(",",'ASS END SYNC'!E1005,O1001+1),"")</f>
        <v/>
      </c>
      <c r="Q1001" s="24" t="str">
        <f>IF('ASS END SYNC'!C1005="SHOW",FIND(",",'ASS END SYNC'!E1005,P1001+1),"")</f>
        <v/>
      </c>
      <c r="R1001" s="25" t="str">
        <f>IF('ASS END SYNC'!C1005="SHOW",FIND(",,",'ASS END SYNC'!E1005,1),"")</f>
        <v/>
      </c>
      <c r="S1001" s="25" t="str">
        <f>IF('ASS END SYNC'!C1005="SHOW",FIND(",,",'ASS END SYNC'!E1005,R1001+1),"")</f>
        <v/>
      </c>
      <c r="T1001" s="23" t="str">
        <f>IF('ASS END SYNC'!C1005="SHOW",LEFT('ASS END SYNC'!E1005,O1001),"")</f>
        <v/>
      </c>
      <c r="U1001" s="24" t="str">
        <f>IF('ASS END SYNC'!C1005="SHOW",MID('ASS END SYNC'!E1005,O1001+1,P1001-O1001-1),"")</f>
        <v/>
      </c>
      <c r="V1001" s="24" t="str">
        <f>IF(AND('ASS END SYNC'!C1005="SHOW",'ASS END SYNC'!C1006="SHOW"),U1002,IF(AND('ASS END SYNC'!C1005="SHOW",'ASS END SYNC'!C1006&lt;&gt;"SHOW"),MID('ASS END SYNC'!E1005,O1001+1,P1001-O1001-1),""))</f>
        <v/>
      </c>
      <c r="W1001" s="23" t="str">
        <f>IF('ASS END SYNC'!C1005="SHOW",MID('ASS END SYNC'!E1005,Q1001+1,S1001-Q1001+1),"")</f>
        <v/>
      </c>
      <c r="X1001" s="23" t="str">
        <f>IF('ASS END SYNC'!C1005="SHOW",MID('ASS END SYNC'!E1005,S1001+2,1000),"")</f>
        <v/>
      </c>
      <c r="Z1001" s="24"/>
    </row>
    <row r="1002" spans="1:26" x14ac:dyDescent="0.25">
      <c r="A1002" s="26">
        <v>999</v>
      </c>
      <c r="B1002" s="24" t="str">
        <f>IF('ASS START SYNC'!C1006="SHOW",FIND(",",'ASS START SYNC'!E1006,1),"")</f>
        <v/>
      </c>
      <c r="C1002" s="24" t="str">
        <f>IF('ASS START SYNC'!C1006="SHOW",FIND(",",'ASS START SYNC'!E1006,B1002+1),"")</f>
        <v/>
      </c>
      <c r="D1002" s="24" t="str">
        <f>IF('ASS START SYNC'!C1006="SHOW",FIND(",",'ASS START SYNC'!E1006,C1002+1),"")</f>
        <v/>
      </c>
      <c r="E1002" s="25" t="str">
        <f>IF('ASS START SYNC'!C1006="SHOW",FIND(",,",'ASS START SYNC'!E1006,1),"")</f>
        <v/>
      </c>
      <c r="F1002" s="25" t="str">
        <f>IF('ASS START SYNC'!C1006="SHOW",FIND(",,",'ASS START SYNC'!E1006,E1002+1),"")</f>
        <v/>
      </c>
      <c r="G1002" s="23" t="str">
        <f>IF('ASS START SYNC'!C1006="SHOW",LEFT('ASS START SYNC'!E1006,B1002),"")</f>
        <v/>
      </c>
      <c r="H1002" s="24" t="str">
        <f>IF(AND('ASS START SYNC'!C1006="SHOW",COUNTA('ASS START SYNC'!$E$8:'ASS START SYNC'!E1005)=0),MID('ASS START SYNC'!E1006,B1002+1,C1002-B1002-1),IF(AND('ASS START SYNC'!C1006="SHOW",COUNTA('ASS START SYNC'!$E$8:'ASS START SYNC'!E1005)&lt;&gt;0),I1001,""))</f>
        <v/>
      </c>
      <c r="I1002" s="24" t="str">
        <f>IF('ASS START SYNC'!C1006="SHOW",MID('ASS START SYNC'!E1006,C1002+1,D1002-C1002-1),I1001)</f>
        <v/>
      </c>
      <c r="J1002" s="23" t="str">
        <f>IF('ASS START SYNC'!C1006="SHOW",MID('ASS START SYNC'!E1006,D1002+1,F1002-D1002+1),"")</f>
        <v/>
      </c>
      <c r="K1002" s="23" t="str">
        <f>IF('ASS START SYNC'!C1006="SHOW",MID('ASS START SYNC'!E1006,F1002+2,1000),"")</f>
        <v/>
      </c>
      <c r="M1002" s="24"/>
      <c r="N1002" s="26">
        <v>999</v>
      </c>
      <c r="O1002" s="24" t="str">
        <f>IF('ASS END SYNC'!C1006="SHOW",FIND(",",'ASS END SYNC'!E1006,1),"")</f>
        <v/>
      </c>
      <c r="P1002" s="24" t="str">
        <f>IF('ASS END SYNC'!C1006="SHOW",FIND(",",'ASS END SYNC'!E1006,O1002+1),"")</f>
        <v/>
      </c>
      <c r="Q1002" s="24" t="str">
        <f>IF('ASS END SYNC'!C1006="SHOW",FIND(",",'ASS END SYNC'!E1006,P1002+1),"")</f>
        <v/>
      </c>
      <c r="R1002" s="25" t="str">
        <f>IF('ASS END SYNC'!C1006="SHOW",FIND(",,",'ASS END SYNC'!E1006,1),"")</f>
        <v/>
      </c>
      <c r="S1002" s="25" t="str">
        <f>IF('ASS END SYNC'!C1006="SHOW",FIND(",,",'ASS END SYNC'!E1006,R1002+1),"")</f>
        <v/>
      </c>
      <c r="T1002" s="23" t="str">
        <f>IF('ASS END SYNC'!C1006="SHOW",LEFT('ASS END SYNC'!E1006,O1002),"")</f>
        <v/>
      </c>
      <c r="U1002" s="24" t="str">
        <f>IF('ASS END SYNC'!C1006="SHOW",MID('ASS END SYNC'!E1006,O1002+1,P1002-O1002-1),"")</f>
        <v/>
      </c>
      <c r="V1002" s="24" t="str">
        <f>IF(AND('ASS END SYNC'!C1006="SHOW",'ASS END SYNC'!C1007="SHOW"),U1003,IF(AND('ASS END SYNC'!C1006="SHOW",'ASS END SYNC'!C1007&lt;&gt;"SHOW"),MID('ASS END SYNC'!E1006,O1002+1,P1002-O1002-1),""))</f>
        <v/>
      </c>
      <c r="W1002" s="23" t="str">
        <f>IF('ASS END SYNC'!C1006="SHOW",MID('ASS END SYNC'!E1006,Q1002+1,S1002-Q1002+1),"")</f>
        <v/>
      </c>
      <c r="X1002" s="23" t="str">
        <f>IF('ASS END SYNC'!C1006="SHOW",MID('ASS END SYNC'!E1006,S1002+2,1000),"")</f>
        <v/>
      </c>
      <c r="Z1002" s="24"/>
    </row>
    <row r="1003" spans="1:26" x14ac:dyDescent="0.25">
      <c r="A1003" s="26">
        <v>1000</v>
      </c>
      <c r="B1003" s="24" t="str">
        <f>IF('ASS START SYNC'!C1007="SHOW",FIND(",",'ASS START SYNC'!E1007,1),"")</f>
        <v/>
      </c>
      <c r="C1003" s="24" t="str">
        <f>IF('ASS START SYNC'!C1007="SHOW",FIND(",",'ASS START SYNC'!E1007,B1003+1),"")</f>
        <v/>
      </c>
      <c r="D1003" s="24" t="str">
        <f>IF('ASS START SYNC'!C1007="SHOW",FIND(",",'ASS START SYNC'!E1007,C1003+1),"")</f>
        <v/>
      </c>
      <c r="E1003" s="25" t="str">
        <f>IF('ASS START SYNC'!C1007="SHOW",FIND(",,",'ASS START SYNC'!E1007,1),"")</f>
        <v/>
      </c>
      <c r="F1003" s="25" t="str">
        <f>IF('ASS START SYNC'!C1007="SHOW",FIND(",,",'ASS START SYNC'!E1007,E1003+1),"")</f>
        <v/>
      </c>
      <c r="G1003" s="23" t="str">
        <f>IF('ASS START SYNC'!C1007="SHOW",LEFT('ASS START SYNC'!E1007,B1003),"")</f>
        <v/>
      </c>
      <c r="H1003" s="24" t="str">
        <f>IF(AND('ASS START SYNC'!C1007="SHOW",COUNTA('ASS START SYNC'!$E$8:'ASS START SYNC'!E1006)=0),MID('ASS START SYNC'!E1007,B1003+1,C1003-B1003-1),IF(AND('ASS START SYNC'!C1007="SHOW",COUNTA('ASS START SYNC'!$E$8:'ASS START SYNC'!E1006)&lt;&gt;0),I1002,""))</f>
        <v/>
      </c>
      <c r="I1003" s="24" t="str">
        <f>IF('ASS START SYNC'!C1007="SHOW",MID('ASS START SYNC'!E1007,C1003+1,D1003-C1003-1),I1002)</f>
        <v/>
      </c>
      <c r="J1003" s="23" t="str">
        <f>IF('ASS START SYNC'!C1007="SHOW",MID('ASS START SYNC'!E1007,D1003+1,F1003-D1003+1),"")</f>
        <v/>
      </c>
      <c r="K1003" s="23" t="str">
        <f>IF('ASS START SYNC'!C1007="SHOW",MID('ASS START SYNC'!E1007,F1003+2,1000),"")</f>
        <v/>
      </c>
      <c r="M1003" s="24"/>
      <c r="N1003" s="26">
        <v>1000</v>
      </c>
      <c r="O1003" s="24" t="str">
        <f>IF('ASS END SYNC'!C1007="SHOW",FIND(",",'ASS END SYNC'!E1007,1),"")</f>
        <v/>
      </c>
      <c r="P1003" s="24" t="str">
        <f>IF('ASS END SYNC'!C1007="SHOW",FIND(",",'ASS END SYNC'!E1007,O1003+1),"")</f>
        <v/>
      </c>
      <c r="Q1003" s="24" t="str">
        <f>IF('ASS END SYNC'!C1007="SHOW",FIND(",",'ASS END SYNC'!E1007,P1003+1),"")</f>
        <v/>
      </c>
      <c r="R1003" s="25" t="str">
        <f>IF('ASS END SYNC'!C1007="SHOW",FIND(",,",'ASS END SYNC'!E1007,1),"")</f>
        <v/>
      </c>
      <c r="S1003" s="25" t="str">
        <f>IF('ASS END SYNC'!C1007="SHOW",FIND(",,",'ASS END SYNC'!E1007,R1003+1),"")</f>
        <v/>
      </c>
      <c r="T1003" s="23" t="str">
        <f>IF('ASS END SYNC'!C1007="SHOW",LEFT('ASS END SYNC'!E1007,O1003),"")</f>
        <v/>
      </c>
      <c r="U1003" s="24" t="str">
        <f>IF('ASS END SYNC'!C1007="SHOW",MID('ASS END SYNC'!E1007,O1003+1,P1003-O1003-1),"")</f>
        <v/>
      </c>
      <c r="V1003" s="24" t="str">
        <f>IF(AND('ASS END SYNC'!C1007="SHOW",'ASS END SYNC'!C1008="SHOW"),U1004,IF(AND('ASS END SYNC'!C1007="SHOW",'ASS END SYNC'!C1008&lt;&gt;"SHOW"),MID('ASS END SYNC'!E1007,O1003+1,P1003-O1003-1),""))</f>
        <v/>
      </c>
      <c r="W1003" s="23" t="str">
        <f>IF('ASS END SYNC'!C1007="SHOW",MID('ASS END SYNC'!E1007,Q1003+1,S1003-Q1003+1),"")</f>
        <v/>
      </c>
      <c r="X1003" s="23" t="str">
        <f>IF('ASS END SYNC'!C1007="SHOW",MID('ASS END SYNC'!E1007,S1003+2,1000),"")</f>
        <v/>
      </c>
      <c r="Z1003" s="24"/>
    </row>
    <row r="1004" spans="1:26" x14ac:dyDescent="0.25">
      <c r="H1004" s="24" t="str">
        <f>IF(AND('ASS START SYNC'!C1008="SHOW",COUNTA('ASS START SYNC'!$E$8:'ASS START SYNC'!E1007)=0),MID('ASS START SYNC'!E1008,B1004+1,C1004-B1004-1),IF(AND('ASS START SYNC'!C1008="SHOW",COUNTA('ASS START SYNC'!$E$8:'ASS START SYNC'!E1007)&lt;&gt;0),I1003,""))</f>
        <v/>
      </c>
      <c r="U1004" s="24" t="str">
        <f>IF(AND('ASS START SYNC'!P1008="SHOW",COUNTA('ASS START SYNC'!$E$8:'ASS START SYNC'!R1007)=0),MID('ASS START SYNC'!R1008,O1004+1,P1004-O1004-1),IF(AND('ASS START SYNC'!P1008="SHOW",COUNTA('ASS START SYNC'!$E$8:'ASS START SYNC'!R1007)&lt;&gt;0),V1003,""))</f>
        <v/>
      </c>
    </row>
  </sheetData>
  <mergeCells count="2">
    <mergeCell ref="A1:M2"/>
    <mergeCell ref="N1:Z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W41"/>
  <sheetViews>
    <sheetView showGridLines="0" showRowColHeaders="0" workbookViewId="0">
      <selection activeCell="L3" sqref="L3"/>
    </sheetView>
  </sheetViews>
  <sheetFormatPr defaultColWidth="0" defaultRowHeight="15" customHeight="1" zeroHeight="1" x14ac:dyDescent="0.25"/>
  <cols>
    <col min="1" max="2" width="10.7109375" style="30" customWidth="1"/>
    <col min="3" max="3" width="5.7109375" style="30" customWidth="1"/>
    <col min="4" max="4" width="2.28515625" style="30" customWidth="1"/>
    <col min="5" max="8" width="9.140625" style="30" customWidth="1"/>
    <col min="9" max="9" width="13" style="30" customWidth="1"/>
    <col min="10" max="10" width="5.7109375" style="30" customWidth="1"/>
    <col min="11" max="13" width="12.28515625" style="30" customWidth="1"/>
    <col min="14" max="14" width="5.7109375" style="30" customWidth="1"/>
    <col min="15" max="15" width="2.28515625" style="30" customWidth="1"/>
    <col min="16" max="16" width="13.28515625" style="30" customWidth="1"/>
    <col min="17" max="17" width="3.140625" style="28" customWidth="1"/>
    <col min="18" max="18" width="18.140625" style="29" bestFit="1" customWidth="1"/>
    <col min="19" max="19" width="5.7109375" style="30" customWidth="1"/>
    <col min="20" max="21" width="10.7109375" style="30" customWidth="1"/>
    <col min="22" max="23" width="0" style="30" hidden="1" customWidth="1"/>
    <col min="24" max="16384" width="9.140625" style="30" hidden="1"/>
  </cols>
  <sheetData>
    <row r="1" spans="3:19" ht="15.75" x14ac:dyDescent="0.25"/>
    <row r="2" spans="3:19" ht="15.75" x14ac:dyDescent="0.25"/>
    <row r="3" spans="3:19" ht="21" customHeight="1" x14ac:dyDescent="0.25">
      <c r="D3" s="32"/>
      <c r="E3" s="32"/>
      <c r="F3" s="54" t="s">
        <v>19</v>
      </c>
      <c r="G3" s="54"/>
      <c r="H3" s="54"/>
      <c r="I3" s="32"/>
      <c r="J3" s="32"/>
      <c r="P3" s="55" t="s">
        <v>22</v>
      </c>
      <c r="Q3" s="55"/>
      <c r="R3" s="55"/>
    </row>
    <row r="4" spans="3:19" ht="15.75" customHeight="1" x14ac:dyDescent="0.25">
      <c r="C4" s="36"/>
      <c r="D4" s="37"/>
      <c r="E4" s="37"/>
      <c r="F4" s="54"/>
      <c r="G4" s="54"/>
      <c r="H4" s="54"/>
      <c r="I4" s="37"/>
      <c r="J4" s="38"/>
      <c r="N4" s="44"/>
      <c r="P4" s="55"/>
      <c r="Q4" s="55"/>
      <c r="R4" s="55"/>
      <c r="S4" s="47"/>
    </row>
    <row r="5" spans="3:19" ht="15.75" x14ac:dyDescent="0.25">
      <c r="C5" s="35"/>
      <c r="D5" s="33" t="s">
        <v>34</v>
      </c>
      <c r="E5" s="34"/>
      <c r="F5" s="34"/>
      <c r="G5" s="34"/>
      <c r="H5" s="34"/>
      <c r="I5" s="34"/>
      <c r="J5" s="39"/>
      <c r="N5" s="35"/>
      <c r="O5" s="30" t="s">
        <v>23</v>
      </c>
      <c r="Q5" s="28" t="s">
        <v>24</v>
      </c>
      <c r="R5" s="29" t="s">
        <v>25</v>
      </c>
      <c r="S5" s="48"/>
    </row>
    <row r="6" spans="3:19" ht="15.75" x14ac:dyDescent="0.25">
      <c r="C6" s="35"/>
      <c r="D6" s="34"/>
      <c r="E6" s="34" t="s">
        <v>35</v>
      </c>
      <c r="F6" s="34"/>
      <c r="G6" s="34"/>
      <c r="H6" s="34"/>
      <c r="I6" s="34"/>
      <c r="J6" s="39"/>
      <c r="N6" s="35"/>
      <c r="O6" s="30" t="s">
        <v>26</v>
      </c>
      <c r="Q6" s="28" t="s">
        <v>24</v>
      </c>
      <c r="R6" s="29" t="s">
        <v>29</v>
      </c>
      <c r="S6" s="48"/>
    </row>
    <row r="7" spans="3:19" ht="15.75" x14ac:dyDescent="0.25">
      <c r="C7" s="35"/>
      <c r="D7" s="34"/>
      <c r="E7" s="34" t="s">
        <v>41</v>
      </c>
      <c r="F7" s="34"/>
      <c r="G7" s="34"/>
      <c r="H7" s="34"/>
      <c r="I7" s="34"/>
      <c r="J7" s="39"/>
      <c r="N7" s="35"/>
      <c r="O7" s="30" t="s">
        <v>30</v>
      </c>
      <c r="Q7" s="28" t="s">
        <v>24</v>
      </c>
      <c r="R7" s="29" t="s">
        <v>27</v>
      </c>
      <c r="S7" s="48"/>
    </row>
    <row r="8" spans="3:19" ht="15.75" x14ac:dyDescent="0.25">
      <c r="C8" s="35"/>
      <c r="D8" s="34"/>
      <c r="E8" s="34"/>
      <c r="F8" s="34"/>
      <c r="G8" s="34"/>
      <c r="H8" s="34"/>
      <c r="I8" s="34"/>
      <c r="J8" s="39"/>
      <c r="N8" s="35"/>
      <c r="O8" s="30" t="s">
        <v>28</v>
      </c>
      <c r="Q8" s="28" t="s">
        <v>24</v>
      </c>
      <c r="S8" s="48"/>
    </row>
    <row r="9" spans="3:19" ht="15.75" x14ac:dyDescent="0.25">
      <c r="C9" s="35"/>
      <c r="D9" s="18"/>
      <c r="E9" s="18"/>
      <c r="F9" s="34"/>
      <c r="G9" s="34"/>
      <c r="H9" s="34"/>
      <c r="I9" s="34"/>
      <c r="J9" s="39"/>
      <c r="N9" s="35"/>
      <c r="P9" s="30" t="s">
        <v>33</v>
      </c>
      <c r="S9" s="48"/>
    </row>
    <row r="10" spans="3:19" ht="15.75" x14ac:dyDescent="0.25">
      <c r="C10" s="35"/>
      <c r="D10" s="33" t="s">
        <v>20</v>
      </c>
      <c r="E10" s="34"/>
      <c r="F10" s="34"/>
      <c r="G10" s="34"/>
      <c r="H10" s="34"/>
      <c r="I10" s="34"/>
      <c r="J10" s="39"/>
      <c r="N10" s="35"/>
      <c r="P10" s="30" t="s">
        <v>31</v>
      </c>
      <c r="S10" s="48"/>
    </row>
    <row r="11" spans="3:19" ht="15.75" x14ac:dyDescent="0.25">
      <c r="C11" s="35"/>
      <c r="D11" s="34"/>
      <c r="E11" s="34" t="s">
        <v>37</v>
      </c>
      <c r="F11" s="34"/>
      <c r="G11" s="34"/>
      <c r="H11" s="34"/>
      <c r="I11" s="34"/>
      <c r="J11" s="39"/>
      <c r="N11" s="35"/>
      <c r="P11" s="30" t="s">
        <v>32</v>
      </c>
      <c r="S11" s="48"/>
    </row>
    <row r="12" spans="3:19" ht="15.75" x14ac:dyDescent="0.25">
      <c r="C12" s="35"/>
      <c r="D12" s="34"/>
      <c r="E12" s="34" t="s">
        <v>36</v>
      </c>
      <c r="F12" s="34"/>
      <c r="G12" s="34"/>
      <c r="H12" s="34"/>
      <c r="I12" s="34"/>
      <c r="J12" s="39"/>
      <c r="N12" s="40"/>
      <c r="O12" s="41"/>
      <c r="P12" s="41"/>
      <c r="Q12" s="45"/>
      <c r="R12" s="46"/>
      <c r="S12" s="49"/>
    </row>
    <row r="13" spans="3:19" ht="15.75" x14ac:dyDescent="0.25">
      <c r="C13" s="35"/>
      <c r="D13" s="34"/>
      <c r="E13" s="34" t="s">
        <v>38</v>
      </c>
      <c r="F13" s="34"/>
      <c r="G13" s="34"/>
      <c r="H13" s="34"/>
      <c r="I13" s="34"/>
      <c r="J13" s="39"/>
    </row>
    <row r="14" spans="3:19" ht="15.75" x14ac:dyDescent="0.25">
      <c r="C14" s="35"/>
      <c r="D14" s="34"/>
      <c r="E14" s="34" t="s">
        <v>39</v>
      </c>
      <c r="F14" s="34"/>
      <c r="G14" s="34"/>
      <c r="H14" s="34"/>
      <c r="I14" s="34"/>
      <c r="J14" s="39"/>
    </row>
    <row r="15" spans="3:19" ht="15.75" x14ac:dyDescent="0.25">
      <c r="C15" s="35"/>
      <c r="D15" s="34"/>
      <c r="E15" s="34" t="s">
        <v>40</v>
      </c>
      <c r="F15" s="34"/>
      <c r="G15" s="34"/>
      <c r="H15" s="34"/>
      <c r="I15" s="34"/>
      <c r="J15" s="39"/>
    </row>
    <row r="16" spans="3:19" ht="15.75" x14ac:dyDescent="0.25">
      <c r="C16" s="35"/>
      <c r="D16" s="34"/>
      <c r="E16" s="34"/>
      <c r="F16" s="34"/>
      <c r="G16" s="34"/>
      <c r="H16" s="34"/>
      <c r="I16" s="34"/>
      <c r="J16" s="39"/>
    </row>
    <row r="17" spans="3:10" ht="15.75" x14ac:dyDescent="0.25">
      <c r="C17" s="35"/>
      <c r="D17" s="34"/>
      <c r="E17" s="34"/>
      <c r="F17" s="34"/>
      <c r="G17" s="34"/>
      <c r="H17" s="34"/>
      <c r="I17" s="34"/>
      <c r="J17" s="39"/>
    </row>
    <row r="18" spans="3:10" ht="15.75" x14ac:dyDescent="0.25">
      <c r="C18" s="35"/>
      <c r="D18" s="33" t="s">
        <v>21</v>
      </c>
      <c r="E18" s="34"/>
      <c r="F18" s="34"/>
      <c r="G18" s="34"/>
      <c r="H18" s="34"/>
      <c r="I18" s="34"/>
      <c r="J18" s="39"/>
    </row>
    <row r="19" spans="3:10" ht="15.75" x14ac:dyDescent="0.25">
      <c r="C19" s="35"/>
      <c r="D19" s="34"/>
      <c r="E19" s="34" t="s">
        <v>42</v>
      </c>
      <c r="F19" s="34"/>
      <c r="G19" s="34"/>
      <c r="H19" s="34"/>
      <c r="I19" s="34"/>
      <c r="J19" s="39"/>
    </row>
    <row r="20" spans="3:10" ht="15.75" x14ac:dyDescent="0.25">
      <c r="C20" s="35"/>
      <c r="D20" s="34"/>
      <c r="E20" s="34" t="s">
        <v>43</v>
      </c>
      <c r="F20" s="34"/>
      <c r="G20" s="34"/>
      <c r="H20" s="34"/>
      <c r="I20" s="34"/>
      <c r="J20" s="39"/>
    </row>
    <row r="21" spans="3:10" ht="15.75" x14ac:dyDescent="0.25">
      <c r="C21" s="35"/>
      <c r="D21" s="34"/>
      <c r="E21" s="34" t="s">
        <v>44</v>
      </c>
      <c r="F21" s="34"/>
      <c r="G21" s="34"/>
      <c r="H21" s="34"/>
      <c r="I21" s="34"/>
      <c r="J21" s="39"/>
    </row>
    <row r="22" spans="3:10" ht="15.75" x14ac:dyDescent="0.25">
      <c r="C22" s="40"/>
      <c r="D22" s="41"/>
      <c r="E22" s="41"/>
      <c r="F22" s="42"/>
      <c r="G22" s="42"/>
      <c r="H22" s="42"/>
      <c r="I22" s="42"/>
      <c r="J22" s="43"/>
    </row>
    <row r="23" spans="3:10" ht="15.75" x14ac:dyDescent="0.25">
      <c r="D23" s="31"/>
      <c r="E23" s="31"/>
      <c r="F23" s="31"/>
      <c r="G23" s="31"/>
      <c r="H23" s="31"/>
      <c r="I23" s="31"/>
      <c r="J23" s="31"/>
    </row>
    <row r="24" spans="3:10" ht="15.75" x14ac:dyDescent="0.25"/>
    <row r="25" spans="3:10" ht="15.75" hidden="1" x14ac:dyDescent="0.25"/>
    <row r="26" spans="3:10" ht="15.75" hidden="1" x14ac:dyDescent="0.25"/>
    <row r="27" spans="3:10" ht="15.75" hidden="1" x14ac:dyDescent="0.25"/>
    <row r="28" spans="3:10" ht="15.75" hidden="1" x14ac:dyDescent="0.25"/>
    <row r="29" spans="3:10" ht="15.75" hidden="1" x14ac:dyDescent="0.25"/>
    <row r="30" spans="3:10" ht="39.950000000000003" hidden="1" customHeight="1" x14ac:dyDescent="0.25"/>
    <row r="31" spans="3:10" ht="15.75" hidden="1" x14ac:dyDescent="0.25"/>
    <row r="32" spans="3:10" ht="15.75" hidden="1" x14ac:dyDescent="0.25"/>
    <row r="33" ht="15.75" hidden="1" x14ac:dyDescent="0.25"/>
    <row r="34" ht="15.75" hidden="1" x14ac:dyDescent="0.25"/>
    <row r="35" ht="15.75" hidden="1" x14ac:dyDescent="0.25"/>
    <row r="36" ht="15.75" hidden="1" x14ac:dyDescent="0.25"/>
    <row r="37" ht="15.75" hidden="1" x14ac:dyDescent="0.25"/>
    <row r="38" ht="15.75" hidden="1" x14ac:dyDescent="0.25"/>
    <row r="39" ht="15.75" hidden="1" x14ac:dyDescent="0.25"/>
    <row r="40" ht="15.75" hidden="1" x14ac:dyDescent="0.25"/>
    <row r="41" ht="15.75" hidden="1" x14ac:dyDescent="0.25"/>
  </sheetData>
  <mergeCells count="2">
    <mergeCell ref="F3:H4"/>
    <mergeCell ref="P3:R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LRC TO ASS</vt:lpstr>
      <vt:lpstr>ASS TO LRC</vt:lpstr>
      <vt:lpstr>ASS START SYNC</vt:lpstr>
      <vt:lpstr>ASS END SYNC</vt:lpstr>
      <vt:lpstr>Temp</vt:lpstr>
      <vt:lpstr>ABOUT</vt:lpstr>
    </vt:vector>
  </TitlesOfParts>
  <Company>Revertify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SUBLRC Converter</dc:title>
  <dc:creator>Lamilavie</dc:creator>
  <cp:lastModifiedBy>Nycto</cp:lastModifiedBy>
  <dcterms:created xsi:type="dcterms:W3CDTF">2022-02-11T11:52:11Z</dcterms:created>
  <dcterms:modified xsi:type="dcterms:W3CDTF">2023-04-17T22:55:30Z</dcterms:modified>
  <cp:category>Text Format Converter</cp:category>
  <cp:version>1.3</cp:version>
</cp:coreProperties>
</file>